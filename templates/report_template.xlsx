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0480" tabRatio="850" firstSheet="3" activeTab="3" autoFilterDateGrouping="1"/>
  </bookViews>
  <sheets>
    <sheet name="资金报表科目" sheetId="1" state="hidden" r:id="rId1"/>
    <sheet name="科目编码" sheetId="2" state="hidden" r:id="rId2"/>
    <sheet name="问题" sheetId="3" state="hidden" r:id="rId3"/>
    <sheet name="合并抵消" sheetId="4" state="visible" r:id="rId4"/>
    <sheet name="分月实际收支-集团合并" sheetId="5" state="visible" r:id="rId5"/>
    <sheet name="浙江精准学" sheetId="6" state="visible" r:id="rId6"/>
    <sheet name="知识跳跳" sheetId="7" state="visible" r:id="rId7"/>
    <sheet name="海南精准学" sheetId="8" state="visible" r:id="rId8"/>
    <sheet name="实时查" sheetId="9" state="visible" r:id="rId9"/>
    <sheet name="目标准" sheetId="10" state="visible" r:id="rId10"/>
    <sheet name="驷海宾朋" sheetId="11" state="hidden" r:id="rId11"/>
    <sheet name="SMART LEARNING HOLDING" sheetId="12" state="visible" r:id="rId12"/>
    <sheet name="SMART AI LIMITED" sheetId="13" state="visible" r:id="rId13"/>
    <sheet name="HK01" sheetId="14" state="visible" r:id="rId14"/>
    <sheet name="1月数据源" sheetId="15" state="visible" r:id="rId15"/>
    <sheet name="2月数据源" sheetId="16" state="visible" r:id="rId16"/>
    <sheet name="3月数据源" sheetId="17" state="visible" r:id="rId17"/>
    <sheet name="4月数据源" sheetId="18" state="visible" r:id="rId18"/>
    <sheet name="5月数据源" sheetId="19" state="visible" r:id="rId19"/>
    <sheet name="6月数据源" sheetId="20" state="visible" r:id="rId20"/>
    <sheet name="7月数据源" sheetId="21" state="visible" r:id="rId21"/>
    <sheet name="8月数据源" sheetId="22" state="visible" r:id="rId22"/>
    <sheet name="9月数据源" sheetId="23" state="visible" r:id="rId23"/>
    <sheet name="10月数据源" sheetId="24" state="visible" r:id="rId24"/>
    <sheet name="11月数据源" sheetId="25" state="visible" r:id="rId25"/>
    <sheet name="12月数据源" sheetId="26" state="visible" r:id="rId26"/>
  </sheets>
  <externalReferences>
    <externalReference r:id="rId27"/>
  </externalReferences>
  <definedNames>
    <definedName name="enum_aa_booleanstatus">[1]importDropDownContent!$C$2:$C$3</definedName>
    <definedName name="enum_bd_assetmanage">[1]importDropDownContent!$A$2:$A$6</definedName>
    <definedName name="enum_taxDeductible">[1]importDropDownContent!$B$2:$B$3</definedName>
    <definedName name="refer_ucf_org_center.org_pure_tree_ref0">[1]参照!$C$3:$C$3</definedName>
    <definedName name="_xlnm._FilterDatabase" localSheetId="1" hidden="1">'科目编码'!$A$1:$X$187</definedName>
    <definedName name="_xlnm._FilterDatabase" localSheetId="4" hidden="1">'分月实际收支-集团合并'!$A$2:$R$182</definedName>
    <definedName name="_xlnm._FilterDatabase" localSheetId="5" hidden="1">'浙江精准学'!$A$2:$R$181</definedName>
    <definedName name="_xlnm._FilterDatabase" localSheetId="6" hidden="1">'知识跳跳'!$A$2:$R$181</definedName>
    <definedName name="_xlnm._FilterDatabase" localSheetId="7" hidden="1">'海南精准学'!$A$2:$R$181</definedName>
    <definedName name="_xlnm._FilterDatabase" localSheetId="8" hidden="1">'实时查'!$A$2:$AN$181</definedName>
    <definedName name="_xlnm._FilterDatabase" localSheetId="9" hidden="1">'目标准'!$A$2:$R$181</definedName>
    <definedName name="_xlnm._FilterDatabase" localSheetId="10" hidden="1">'驷海宾朋'!$A$2:$R$171</definedName>
    <definedName name="_xlnm._FilterDatabase" localSheetId="11" hidden="1">'SMART LEARNING HOLDING'!$A$2:$R$181</definedName>
    <definedName name="_xlnm._FilterDatabase" localSheetId="12" hidden="1">'SMART AI LIMITED'!$A$2:$R$181</definedName>
    <definedName name="_xlnm._FilterDatabase" localSheetId="13" hidden="1">'HK01'!$A$2:$R$181</definedName>
    <definedName name="_xlnm._FilterDatabase" localSheetId="14" hidden="1">'1月数据源'!$A$1:$J$328</definedName>
    <definedName name="_xlnm._FilterDatabase" localSheetId="15" hidden="1">'2月数据源'!$A$1:$J$239</definedName>
    <definedName name="_xlnm._FilterDatabase" localSheetId="16" hidden="1">'3月数据源'!$A$1:$J$324</definedName>
    <definedName name="_xlnm._FilterDatabase" localSheetId="17" hidden="1">'4月数据源'!$A$1:$N$627</definedName>
    <definedName name="_xlnm._FilterDatabase" localSheetId="18" hidden="1">'5月数据源'!$A$1:$XEY$1048576</definedName>
    <definedName name="_xlnm._FilterDatabase" localSheetId="19" hidden="1">'6月数据源'!$A$1:$N$593</definedName>
    <definedName name="_xlnm._FilterDatabase" localSheetId="20" hidden="1">'7月数据源'!$A$1:$M$587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#,##0.00_ "/>
    <numFmt numFmtId="166" formatCode="_ * #,##0.0000_ ;_ * \-#,##0.0000_ ;_ * &quot;-&quot;??.00_ ;_ @_ "/>
    <numFmt numFmtId="167" formatCode="_ * #,##0.0000_ ;_ * \-#,##0.0000_ ;_ * &quot;-&quot;??_ ;_ @_ "/>
  </numFmts>
  <fonts count="33">
    <font>
      <name val="等线"/>
      <charset val="134"/>
      <color theme="1"/>
      <sz val="12"/>
      <scheme val="minor"/>
    </font>
    <font>
      <name val="宋体"/>
      <charset val="134"/>
      <color rgb="FF111111"/>
      <sz val="10"/>
    </font>
    <font>
      <name val="宋体"/>
      <charset val="134"/>
      <color rgb="FF000000"/>
      <sz val="10"/>
    </font>
    <font>
      <name val="宋体"/>
      <charset val="134"/>
      <color rgb="FF000000"/>
      <sz val="12"/>
    </font>
    <font>
      <name val="黑体"/>
      <charset val="134"/>
      <color rgb="FF111111"/>
      <sz val="10"/>
    </font>
    <font>
      <name val="Arial"/>
      <charset val="134"/>
      <color rgb="FF111111"/>
      <sz val="9"/>
    </font>
    <font>
      <name val="宋体"/>
      <charset val="134"/>
      <color rgb="FF000000"/>
      <sz val="11"/>
    </font>
    <font>
      <name val="黑体"/>
      <charset val="134"/>
      <color rgb="FF111111"/>
      <sz val="9"/>
    </font>
    <font>
      <name val="宋体"/>
      <charset val="134"/>
      <b val="1"/>
      <color rgb="FF000000"/>
      <sz val="10"/>
    </font>
    <font>
      <name val="黑体"/>
      <charset val="134"/>
      <color rgb="FF000000"/>
      <sz val="10"/>
    </font>
    <font>
      <name val="宋体"/>
      <charset val="134"/>
      <color rgb="FFEA3324"/>
      <sz val="10"/>
    </font>
    <font>
      <name val="等线"/>
      <charset val="134"/>
      <color theme="1"/>
      <sz val="11"/>
      <scheme val="minor"/>
    </font>
    <font>
      <name val="等线"/>
      <charset val="134"/>
      <color theme="10"/>
      <sz val="10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b val="1"/>
    </font>
    <font>
      <name val="宋体"/>
      <sz val="10"/>
    </font>
  </fonts>
  <fills count="47">
    <fill>
      <patternFill/>
    </fill>
    <fill>
      <patternFill patternType="gray125"/>
    </fill>
    <fill>
      <patternFill patternType="solid">
        <fgColor rgb="FFEEF1F6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5C8EE"/>
        <bgColor indexed="64"/>
      </patternFill>
    </fill>
    <fill>
      <patternFill patternType="solid">
        <fgColor rgb="FFFEF2CA"/>
        <bgColor indexed="64"/>
      </patternFill>
    </fill>
    <fill>
      <patternFill patternType="solid">
        <fgColor rgb="FFFFFAE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AE2F6"/>
        <bgColor indexed="64"/>
      </patternFill>
    </fill>
    <fill>
      <patternFill patternType="solid">
        <fgColor rgb="FFB2C7E6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rgb="FFFFF3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BE0E5"/>
      </left>
      <right style="thin">
        <color rgb="FFDBE0E5"/>
      </right>
      <top style="thin">
        <color rgb="FFDBE0E5"/>
      </top>
      <bottom style="thin">
        <color rgb="FFDBE0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11" fillId="0" borderId="0" applyAlignment="1">
      <alignment vertical="center"/>
    </xf>
    <xf numFmtId="44" fontId="11" fillId="0" borderId="0" applyAlignment="1">
      <alignment vertical="center"/>
    </xf>
    <xf numFmtId="9" fontId="11" fillId="0" borderId="0" applyAlignment="1">
      <alignment vertical="center"/>
    </xf>
    <xf numFmtId="41" fontId="11" fillId="0" borderId="0" applyAlignment="1">
      <alignment vertical="center"/>
    </xf>
    <xf numFmtId="42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1" fillId="16" borderId="2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3" applyAlignment="1">
      <alignment vertical="center"/>
    </xf>
    <xf numFmtId="0" fontId="18" fillId="0" borderId="3" applyAlignment="1">
      <alignment vertical="center"/>
    </xf>
    <xf numFmtId="0" fontId="19" fillId="0" borderId="4" applyAlignment="1">
      <alignment vertical="center"/>
    </xf>
    <xf numFmtId="0" fontId="19" fillId="0" borderId="0" applyAlignment="1">
      <alignment vertical="center"/>
    </xf>
    <xf numFmtId="0" fontId="20" fillId="17" borderId="5" applyAlignment="1">
      <alignment vertical="center"/>
    </xf>
    <xf numFmtId="0" fontId="21" fillId="18" borderId="6" applyAlignment="1">
      <alignment vertical="center"/>
    </xf>
    <xf numFmtId="0" fontId="22" fillId="18" borderId="5" applyAlignment="1">
      <alignment vertical="center"/>
    </xf>
    <xf numFmtId="0" fontId="23" fillId="19" borderId="7" applyAlignment="1">
      <alignment vertical="center"/>
    </xf>
    <xf numFmtId="0" fontId="24" fillId="0" borderId="8" applyAlignment="1">
      <alignment vertical="center"/>
    </xf>
    <xf numFmtId="0" fontId="25" fillId="0" borderId="9" applyAlignment="1">
      <alignment vertical="center"/>
    </xf>
    <xf numFmtId="0" fontId="26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9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29" fillId="34" borderId="0" applyAlignment="1">
      <alignment vertical="center"/>
    </xf>
    <xf numFmtId="0" fontId="29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29" fillId="38" borderId="0" applyAlignment="1">
      <alignment vertical="center"/>
    </xf>
    <xf numFmtId="0" fontId="29" fillId="39" borderId="0" applyAlignment="1">
      <alignment vertical="center"/>
    </xf>
    <xf numFmtId="0" fontId="30" fillId="40" borderId="0" applyAlignment="1">
      <alignment vertical="center"/>
    </xf>
    <xf numFmtId="0" fontId="30" fillId="41" borderId="0" applyAlignment="1">
      <alignment vertical="center"/>
    </xf>
    <xf numFmtId="0" fontId="29" fillId="42" borderId="0" applyAlignment="1">
      <alignment vertical="center"/>
    </xf>
    <xf numFmtId="0" fontId="29" fillId="43" borderId="0" applyAlignment="1">
      <alignment vertical="center"/>
    </xf>
    <xf numFmtId="0" fontId="30" fillId="44" borderId="0" applyAlignment="1">
      <alignment vertical="center"/>
    </xf>
    <xf numFmtId="0" fontId="30" fillId="45" borderId="0" applyAlignment="1">
      <alignment vertical="center"/>
    </xf>
    <xf numFmtId="0" fontId="29" fillId="46" borderId="0" applyAlignment="1">
      <alignment vertical="center"/>
    </xf>
  </cellStyleXfs>
  <cellXfs count="119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4" fontId="4" fillId="2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vertical="center"/>
    </xf>
    <xf numFmtId="0" fontId="7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164" fontId="7" fillId="2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164" fontId="1" fillId="2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center" vertical="center"/>
    </xf>
    <xf numFmtId="164" fontId="1" fillId="5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4" fontId="7" fillId="3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165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8" fillId="6" borderId="0" applyAlignment="1" pivotButton="0" quotePrefix="0" xfId="0">
      <alignment vertical="center"/>
    </xf>
    <xf numFmtId="0" fontId="8" fillId="6" borderId="0" applyAlignment="1" pivotButton="0" quotePrefix="0" xfId="0">
      <alignment horizontal="left" vertical="center"/>
    </xf>
    <xf numFmtId="0" fontId="8" fillId="7" borderId="0" applyAlignment="1" pivotButton="0" quotePrefix="0" xfId="0">
      <alignment vertical="center"/>
    </xf>
    <xf numFmtId="0" fontId="8" fillId="7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7" borderId="0" applyAlignment="1" pivotButton="0" quotePrefix="0" xfId="0">
      <alignment horizontal="left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4" fontId="2" fillId="0" borderId="0" applyAlignment="1" pivotButton="0" quotePrefix="0" xfId="0">
      <alignment vertical="center"/>
    </xf>
    <xf numFmtId="0" fontId="8" fillId="8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left" vertical="center"/>
    </xf>
    <xf numFmtId="164" fontId="8" fillId="8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2" fillId="9" borderId="0" applyAlignment="1" pivotButton="0" quotePrefix="0" xfId="0">
      <alignment vertical="center"/>
    </xf>
    <xf numFmtId="0" fontId="2" fillId="9" borderId="0" applyAlignment="1" pivotButton="0" quotePrefix="0" xfId="0">
      <alignment horizontal="left" vertical="center"/>
    </xf>
    <xf numFmtId="10" fontId="2" fillId="0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6" fillId="11" borderId="0" applyAlignment="1" pivotButton="0" quotePrefix="0" xfId="0">
      <alignment vertical="center"/>
    </xf>
    <xf numFmtId="0" fontId="2" fillId="1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2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vertical="center"/>
    </xf>
    <xf numFmtId="0" fontId="2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2" fillId="15" borderId="0" applyAlignment="1" pivotButton="0" quotePrefix="0" xfId="0">
      <alignment vertical="center"/>
    </xf>
    <xf numFmtId="0" fontId="8" fillId="14" borderId="0" applyAlignment="1" pivotButton="0" quotePrefix="0" xfId="0">
      <alignment horizontal="center" vertical="center"/>
    </xf>
    <xf numFmtId="0" fontId="8" fillId="14" borderId="0" applyAlignment="1" pivotButton="0" quotePrefix="0" xfId="0">
      <alignment vertical="center"/>
    </xf>
    <xf numFmtId="0" fontId="0" fillId="0" borderId="0" pivotButton="0" quotePrefix="0" xfId="0"/>
    <xf numFmtId="164" fontId="6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64" fontId="4" fillId="2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4" fontId="2" fillId="0" borderId="0" applyAlignment="1" pivotButton="0" quotePrefix="0" xfId="0">
      <alignment vertical="center"/>
    </xf>
    <xf numFmtId="164" fontId="8" fillId="8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4" fontId="1" fillId="2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right" vertical="center"/>
    </xf>
    <xf numFmtId="164" fontId="1" fillId="5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4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right" vertical="center"/>
    </xf>
    <xf numFmtId="0" fontId="31" fillId="0" borderId="10" applyAlignment="1" pivotButton="0" quotePrefix="0" xfId="0">
      <alignment horizontal="center" vertical="top"/>
    </xf>
    <xf numFmtId="0" fontId="31" fillId="2" borderId="10" applyAlignment="1" pivotButton="0" quotePrefix="0" xfId="0">
      <alignment horizontal="center" vertical="top"/>
    </xf>
    <xf numFmtId="164" fontId="31" fillId="2" borderId="10" applyAlignment="1" pivotButton="0" quotePrefix="0" xfId="0">
      <alignment horizontal="center" vertical="top"/>
    </xf>
    <xf numFmtId="0" fontId="32" fillId="0" borderId="10" applyAlignment="1" pivotButton="0" quotePrefix="0" xfId="0">
      <alignment horizontal="center" vertical="top"/>
    </xf>
    <xf numFmtId="0" fontId="32" fillId="2" borderId="10" applyAlignment="1" pivotButton="0" quotePrefix="0" xfId="0">
      <alignment horizontal="center" vertical="top"/>
    </xf>
    <xf numFmtId="164" fontId="32" fillId="2" borderId="10" applyAlignment="1" pivotButton="0" quotePrefix="0" xfId="0">
      <alignment horizontal="center" vertical="top"/>
    </xf>
    <xf numFmtId="0" fontId="32" fillId="0" borderId="0" applyAlignment="1" pivotButton="0" quotePrefix="0" xfId="0">
      <alignment vertical="center"/>
    </xf>
    <xf numFmtId="0" fontId="32" fillId="5" borderId="1" applyAlignment="1" pivotButton="0" quotePrefix="0" xfId="0">
      <alignment horizontal="left" vertical="center"/>
    </xf>
    <xf numFmtId="2" fontId="32" fillId="5" borderId="1" applyAlignment="1" pivotButton="0" quotePrefix="0" xfId="0">
      <alignment horizontal="right" vertical="center"/>
    </xf>
    <xf numFmtId="0" fontId="32" fillId="3" borderId="1" applyAlignment="1" pivotButton="0" quotePrefix="0" xfId="0">
      <alignment horizontal="left" vertical="center"/>
    </xf>
    <xf numFmtId="2" fontId="32" fillId="3" borderId="1" applyAlignment="1" pivotButton="0" quotePrefix="0" xfId="0">
      <alignment horizontal="right" vertical="center"/>
    </xf>
    <xf numFmtId="0" fontId="32" fillId="4" borderId="1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2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externalLink" Target="/xl/externalLinks/externalLink1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800"/>
              <a:t>2025年分月收支情况</a:t>
            </a:r>
            <a:endParaRPr sz="1800"/>
          </a:p>
        </rich>
      </tx>
      <layout/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'分月实际收支-集团合并'!$E$201</f>
              <strCache>
                <ptCount val="1"/>
                <pt idx="0">
                  <v>收入合计</v>
                </pt>
              </strCache>
            </strRef>
          </tx>
          <spPr>
            <a:solidFill>
              <a:srgbClr val="83C4FF"/>
            </a:solidFill>
            <a:ln>
              <a:prstDash val="solid"/>
            </a:ln>
          </spPr>
          <invertIfNegative val="0"/>
          <dLbls>
            <delete val="1"/>
          </dLbls>
          <cat>
            <strRef>
              <f>'分月实际收支-集团合并'!$F$188:$L$188</f>
              <strCache>
                <ptCount val="7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</strCache>
            </strRef>
          </cat>
          <val>
            <numRef>
              <f>'分月实际收支-集团合并'!$F$201:$L$201</f>
              <numCache>
                <formatCode xml:space="preserve">_ * #,##0.00_ ;_ * \-#,##0.00_ ;_ * "-"??_ ;_ @_ </formatCode>
                <ptCount val="7"/>
                <pt idx="0">
                  <v>40.6792</v>
                </pt>
                <pt idx="1">
                  <v>67.3904</v>
                </pt>
                <pt idx="2">
                  <v>143.1384</v>
                </pt>
                <pt idx="3">
                  <v>187.2224</v>
                </pt>
                <pt idx="4">
                  <v>28748718.152</v>
                </pt>
                <pt idx="5">
                  <v>17222863.7096</v>
                </pt>
                <pt idx="6">
                  <v>305.1832</v>
                </pt>
              </numCache>
            </numRef>
          </val>
        </ser>
        <ser>
          <idx val="1"/>
          <order val="1"/>
          <tx>
            <strRef>
              <f>'分月实际收支-集团合并'!$E$202</f>
              <strCache>
                <ptCount val="1"/>
                <pt idx="0">
                  <v>支出合计</v>
                </pt>
              </strCache>
            </strRef>
          </tx>
          <spPr>
            <a:solidFill>
              <a:srgbClr val="83D9A2"/>
            </a:solidFill>
            <a:ln>
              <a:prstDash val="solid"/>
            </a:ln>
          </spPr>
          <invertIfNegative val="0"/>
          <dLbls>
            <delete val="1"/>
          </dLbls>
          <cat>
            <strRef>
              <f>'分月实际收支-集团合并'!$F$188:$L$188</f>
              <strCache>
                <ptCount val="7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</strCache>
            </strRef>
          </cat>
          <val>
            <numRef>
              <f>'分月实际收支-集团合并'!$F$202:$L$202</f>
              <numCache>
                <formatCode xml:space="preserve">_ * #,##0.00_ ;_ * \-#,##0.00_ ;_ * "-"??_ ;_ @_ </formatCode>
                <ptCount val="7"/>
                <pt idx="0">
                  <v>-4378.06</v>
                </pt>
                <pt idx="1">
                  <v>5379.82</v>
                </pt>
                <pt idx="2">
                  <v>3539.54</v>
                </pt>
                <pt idx="3">
                  <v>224567.34</v>
                </pt>
                <pt idx="4">
                  <v>152161.6</v>
                </pt>
                <pt idx="5">
                  <v>61930.39</v>
                </pt>
                <pt idx="6">
                  <v>1725.14</v>
                </pt>
              </numCache>
            </numRef>
          </val>
        </ser>
        <ser>
          <idx val="2"/>
          <order val="2"/>
          <tx>
            <strRef>
              <f>'分月实际收支-集团合并'!$E$203</f>
              <strCache>
                <ptCount val="1"/>
                <pt idx="0">
                  <v>当月现金净流入</v>
                </pt>
              </strCache>
            </strRef>
          </tx>
          <spPr>
            <a:solidFill>
              <a:srgbClr val="FAE584"/>
            </a:solidFill>
            <a:ln>
              <a:prstDash val="solid"/>
            </a:ln>
          </spPr>
          <invertIfNegative val="0"/>
          <dLbls>
            <delete val="1"/>
          </dLbls>
          <cat>
            <strRef>
              <f>'分月实际收支-集团合并'!$F$188:$L$188</f>
              <strCache>
                <ptCount val="7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</strCache>
            </strRef>
          </cat>
          <val>
            <numRef>
              <f>'分月实际收支-集团合并'!$F$203:$L$203</f>
              <numCache>
                <formatCode xml:space="preserve">_ * #,##0.00_ ;_ * \-#,##0.00_ ;_ * "-"??_ ;_ @_ </formatCode>
                <ptCount val="7"/>
                <pt idx="0">
                  <v>4418.7392</v>
                </pt>
                <pt idx="1">
                  <v>-5312.4296</v>
                </pt>
                <pt idx="2">
                  <v>-3396.4016</v>
                </pt>
                <pt idx="3">
                  <v>-224380.1176</v>
                </pt>
                <pt idx="4">
                  <v>28596556.552</v>
                </pt>
                <pt idx="5">
                  <v>17160933.3196</v>
                </pt>
                <pt idx="6">
                  <v>-1419.9568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"/>
        <axId val="2"/>
      </barChart>
      <catAx>
        <axId val="1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/>
                </a:pPr>
                <a:r>
                  <a:t>None</a:t>
                </a:r>
              </a:p>
            </rich>
          </tx>
          <layout/>
          <overlay val="0"/>
        </title>
        <numFmt formatCode="General" sourceLinked="1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"/>
        <crosses val="autoZero"/>
        <auto val="1"/>
        <lblAlgn val="ctr"/>
        <lblOffset val="100"/>
        <noMultiLvlLbl val="0"/>
      </catAx>
      <valAx>
        <axId val="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/>
              <a:lstStyle/>
              <a:p>
                <a:pPr>
                  <a:defRPr/>
                </a:pPr>
                <a:r>
                  <a:t>None</a:t>
                </a:r>
              </a:p>
            </rich>
          </tx>
          <layout/>
          <overlay val="0"/>
        </title>
        <numFmt formatCode="General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"/>
        <crosses val="autoZero"/>
        <crossBetween val="midCat"/>
      </valAx>
    </plotArea>
    <legend>
      <legendPos val="b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800"/>
              <a:t>2025年分月资金余额情况</a:t>
            </a:r>
            <a:endParaRPr sz="1800"/>
          </a:p>
        </rich>
      </tx>
      <layout/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'分月实际收支-集团合并'!$E$205</f>
              <strCache>
                <ptCount val="1"/>
                <pt idx="0">
                  <v>月末资金余额</v>
                </pt>
              </strCache>
            </strRef>
          </tx>
          <spPr>
            <a:solidFill>
              <a:srgbClr val="83C4FF"/>
            </a:solidFill>
            <a:ln>
              <a:prstDash val="solid"/>
            </a:ln>
          </spPr>
          <invertIfNegative val="0"/>
          <dLbls>
            <delete val="1"/>
          </dLbls>
          <val>
            <numRef>
              <f>'分月实际收支-集团合并'!$F$205:$L$205</f>
              <numCache>
                <formatCode xml:space="preserve">_ * #,##0.00_ ;_ * \-#,##0.00_ ;_ * "-"??_ ;_ @_ </formatCode>
                <ptCount val="7"/>
                <pt idx="0">
                  <v>61432858.21</v>
                </pt>
                <pt idx="1">
                  <v>53957811.07</v>
                </pt>
                <pt idx="2">
                  <v>45508330.2</v>
                </pt>
                <pt idx="3">
                  <v>28049962.6</v>
                </pt>
                <pt idx="4">
                  <v>19287565.89</v>
                </pt>
                <pt idx="5">
                  <v>12024415.15</v>
                </pt>
                <pt idx="6">
                  <v>0</v>
                </pt>
              </numCache>
            </numRef>
          </val>
        </ser>
        <ser>
          <idx val="1"/>
          <order val="1"/>
          <tx>
            <strRef>
              <f>'分月实际收支-集团合并'!$E$203</f>
              <strCache>
                <ptCount val="1"/>
                <pt idx="0">
                  <v>当月现金净流入</v>
                </pt>
              </strCache>
            </strRef>
          </tx>
          <spPr>
            <a:solidFill>
              <a:srgbClr val="83D9A2"/>
            </a:solidFill>
            <a:ln>
              <a:prstDash val="solid"/>
            </a:ln>
          </spPr>
          <invertIfNegative val="0"/>
          <dLbls>
            <delete val="1"/>
          </dLbls>
          <val>
            <numRef>
              <f>'分月实际收支-集团合并'!$F$203:$L$203</f>
              <numCache>
                <formatCode xml:space="preserve">_ * #,##0.00_ ;_ * \-#,##0.00_ ;_ * "-"??_ ;_ @_ </formatCode>
                <ptCount val="7"/>
                <pt idx="0">
                  <v>4418.7392</v>
                </pt>
                <pt idx="1">
                  <v>-5312.4296</v>
                </pt>
                <pt idx="2">
                  <v>-3396.4016</v>
                </pt>
                <pt idx="3">
                  <v>-224380.1176</v>
                </pt>
                <pt idx="4">
                  <v>28596556.552</v>
                </pt>
                <pt idx="5">
                  <v>17160933.3196</v>
                </pt>
                <pt idx="6">
                  <v>-1419.9568</v>
                </pt>
              </numCache>
            </numRef>
          </val>
        </ser>
        <ser>
          <idx val="2"/>
          <order val="2"/>
          <tx>
            <strRef>
              <f>'分月实际收支-集团合并'!$E$204</f>
              <strCache>
                <ptCount val="1"/>
                <pt idx="0">
                  <v>累计现金净流入</v>
                </pt>
              </strCache>
            </strRef>
          </tx>
          <spPr>
            <a:solidFill>
              <a:srgbClr val="FAE584"/>
            </a:solidFill>
            <a:ln>
              <a:prstDash val="solid"/>
            </a:ln>
          </spPr>
          <invertIfNegative val="0"/>
          <dLbls>
            <delete val="1"/>
          </dLbls>
          <val>
            <numRef>
              <f>'分月实际收支-集团合并'!$F$204:$L$204</f>
              <numCache>
                <formatCode xml:space="preserve">_ * #,##0.00_ ;_ * \-#,##0.00_ ;_ * "-"??_ ;_ @_ </formatCode>
                <ptCount val="7"/>
                <pt idx="0">
                  <v>4418.7392</v>
                </pt>
                <pt idx="1">
                  <v>-893.6904</v>
                </pt>
                <pt idx="2">
                  <v>-4290.092</v>
                </pt>
                <pt idx="3">
                  <v>-228670.2096</v>
                </pt>
                <pt idx="4">
                  <v>28367886.3424</v>
                </pt>
                <pt idx="5">
                  <v>45528819.662</v>
                </pt>
                <pt idx="6">
                  <v>45527399.7052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"/>
        <axId val="2"/>
      </barChart>
      <catAx>
        <axId val="1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/>
                </a:pPr>
                <a:r>
                  <a:t>None</a:t>
                </a:r>
              </a:p>
            </rich>
          </tx>
          <layout/>
          <overlay val="0"/>
        </title>
        <numFmt formatCode="General" sourceLinked="1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"/>
        <crosses val="autoZero"/>
        <auto val="1"/>
        <lblAlgn val="ctr"/>
        <lblOffset val="100"/>
        <noMultiLvlLbl val="0"/>
      </catAx>
      <valAx>
        <axId val="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/>
              <a:lstStyle/>
              <a:p>
                <a:pPr>
                  <a:defRPr/>
                </a:pPr>
                <a:r>
                  <a:t>None</a:t>
                </a:r>
              </a:p>
            </rich>
          </tx>
          <layout/>
          <overlay val="0"/>
        </title>
        <numFmt formatCode="General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"/>
        <crosses val="autoZero"/>
        <crossBetween val="midCat"/>
      </valAx>
    </plotArea>
    <legend>
      <legendPos val="b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800"/>
              <a:t>2025年分月分项收入明细</a:t>
            </a:r>
            <a:endParaRPr sz="1800"/>
          </a:p>
        </rich>
      </tx>
      <layout/>
      <overlay val="0"/>
    </title>
    <plotArea>
      <layout/>
      <barChart>
        <barDir val="col"/>
        <grouping val="stacked"/>
        <varyColors val="0"/>
        <ser>
          <idx val="0"/>
          <order val="0"/>
          <tx>
            <strRef>
              <f>'分月实际收支-集团合并'!$E$189</f>
              <strCache>
                <ptCount val="1"/>
                <pt idx="0">
                  <v>业务收入</v>
                </pt>
              </strCache>
            </strRef>
          </tx>
          <spPr>
            <a:solidFill>
              <a:srgbClr val="84C5FF"/>
            </a:solidFill>
            <a:ln>
              <a:prstDash val="solid"/>
            </a:ln>
          </spPr>
          <invertIfNegative val="0"/>
          <dLbls>
            <delete val="1"/>
          </dLbls>
          <cat>
            <strRef>
              <f>'分月实际收支-集团合并'!$F$188:$L$188</f>
              <strCache>
                <ptCount val="7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</strCache>
            </strRef>
          </cat>
          <val>
            <numRef>
              <f>'分月实际收支-集团合并'!$F$189:$L$189</f>
              <numCache>
                <formatCode xml:space="preserve">_ * #,##0.00_ ;_ * \-#,##0.00_ ;_ * "-"??_ ;_ @_ </formatCode>
                <ptCount val="7"/>
                <pt idx="0">
                  <v>-3</v>
                </pt>
                <pt idx="1">
                  <v>-12</v>
                </pt>
                <pt idx="2">
                  <v>-24</v>
                </pt>
                <pt idx="3">
                  <v>8</v>
                </pt>
                <pt idx="4">
                  <v>-25</v>
                </pt>
                <pt idx="5">
                  <v>90</v>
                </pt>
                <pt idx="6">
                  <v>7</v>
                </pt>
              </numCache>
            </numRef>
          </val>
        </ser>
        <ser>
          <idx val="1"/>
          <order val="1"/>
          <tx>
            <strRef>
              <f>'分月实际收支-集团合并'!$E$190</f>
              <strCache>
                <ptCount val="1"/>
                <pt idx="0">
                  <v>政府补贴收入</v>
                </pt>
              </strCache>
            </strRef>
          </tx>
          <spPr>
            <a:solidFill>
              <a:srgbClr val="84D9A3"/>
            </a:solidFill>
            <a:ln>
              <a:prstDash val="solid"/>
            </a:ln>
          </spPr>
          <invertIfNegative val="0"/>
          <dLbls>
            <delete val="1"/>
          </dLbls>
          <cat>
            <strRef>
              <f>'分月实际收支-集团合并'!$F$188:$L$188</f>
              <strCache>
                <ptCount val="7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</strCache>
            </strRef>
          </cat>
          <val>
            <numRef>
              <f>'分月实际收支-集团合并'!$F$190:$L$190</f>
              <numCache>
                <formatCode xml:space="preserve">_ * #,##0.00_ ;_ * \-#,##0.00_ ;_ * "-"??_ ;_ @_ 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4</v>
                </pt>
                <pt idx="4">
                  <v>0</v>
                </pt>
                <pt idx="5">
                  <v>6</v>
                </pt>
                <pt idx="6">
                  <v>0</v>
                </pt>
              </numCache>
            </numRef>
          </val>
        </ser>
        <ser>
          <idx val="2"/>
          <order val="2"/>
          <tx>
            <strRef>
              <f>'分月实际收支-集团合并'!$E$191</f>
              <strCache>
                <ptCount val="1"/>
                <pt idx="0">
                  <v>利息收入</v>
                </pt>
              </strCache>
            </strRef>
          </tx>
          <spPr>
            <a:solidFill>
              <a:srgbClr val="FAE584"/>
            </a:solidFill>
            <a:ln>
              <a:prstDash val="solid"/>
            </a:ln>
          </spPr>
          <invertIfNegative val="0"/>
          <dLbls>
            <delete val="1"/>
          </dLbls>
          <cat>
            <strRef>
              <f>'分月实际收支-集团合并'!$F$188:$L$188</f>
              <strCache>
                <ptCount val="7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</strCache>
            </strRef>
          </cat>
          <val>
            <numRef>
              <f>'分月实际收支-集团合并'!$F$191:$L$191</f>
              <numCache>
                <formatCode xml:space="preserve">_ * #,##0.00_ ;_ * \-#,##0.00_ ;_ * "-"??_ ;_ @_ </formatCode>
                <ptCount val="7"/>
                <pt idx="0">
                  <v>29.6792</v>
                </pt>
                <pt idx="1">
                  <v>61.3904</v>
                </pt>
                <pt idx="2">
                  <v>131.1384</v>
                </pt>
                <pt idx="3">
                  <v>119.2224</v>
                </pt>
                <pt idx="4">
                  <v>0</v>
                </pt>
                <pt idx="5">
                  <v>335.7096</v>
                </pt>
                <pt idx="6">
                  <v>221.1832</v>
                </pt>
              </numCache>
            </numRef>
          </val>
        </ser>
        <ser>
          <idx val="3"/>
          <order val="3"/>
          <tx>
            <strRef>
              <f>'分月实际收支-集团合并'!$E$192</f>
              <strCache>
                <ptCount val="1"/>
                <pt idx="0">
                  <v>往来款项收入</v>
                </pt>
              </strCache>
            </strRef>
          </tx>
          <spPr>
            <a:solidFill>
              <a:srgbClr val="FFCA84"/>
            </a:solidFill>
            <a:ln>
              <a:prstDash val="solid"/>
            </a:ln>
          </spPr>
          <invertIfNegative val="0"/>
          <dLbls>
            <delete val="1"/>
          </dLbls>
          <cat>
            <strRef>
              <f>'分月实际收支-集团合并'!$F$188:$L$188</f>
              <strCache>
                <ptCount val="7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</strCache>
            </strRef>
          </cat>
          <val>
            <numRef>
              <f>'分月实际收支-集团合并'!$F$192:$L$192</f>
              <numCache>
                <formatCode xml:space="preserve">_ * #,##0.00_ ;_ * \-#,##0.00_ ;_ * "-"??_ ;_ @_ </formatCode>
                <ptCount val="7"/>
                <pt idx="0">
                  <v>11</v>
                </pt>
                <pt idx="1">
                  <v>8</v>
                </pt>
                <pt idx="2">
                  <v>6</v>
                </pt>
                <pt idx="3">
                  <v>-16</v>
                </pt>
                <pt idx="4">
                  <v>-256.848</v>
                </pt>
                <pt idx="5">
                  <v>54</v>
                </pt>
                <pt idx="6">
                  <v>42</v>
                </pt>
              </numCache>
            </numRef>
          </val>
        </ser>
        <ser>
          <idx val="4"/>
          <order val="4"/>
          <tx>
            <strRef>
              <f>'分月实际收支-集团合并'!$E$193</f>
              <strCache>
                <ptCount val="1"/>
                <pt idx="0">
                  <v>投资款收入</v>
                </pt>
              </strCache>
            </strRef>
          </tx>
          <spPr>
            <a:solidFill>
              <a:srgbClr val="FEAC91"/>
            </a:solidFill>
            <a:ln>
              <a:prstDash val="solid"/>
            </a:ln>
          </spPr>
          <invertIfNegative val="0"/>
          <dLbls>
            <delete val="1"/>
          </dLbls>
          <cat>
            <strRef>
              <f>'分月实际收支-集团合并'!$F$188:$L$188</f>
              <strCache>
                <ptCount val="7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</strCache>
            </strRef>
          </cat>
          <val>
            <numRef>
              <f>'分月实际收支-集团合并'!$F$193:$L$193</f>
              <numCache>
                <formatCode xml:space="preserve">_ * #,##0.00_ ;_ * \-#,##0.00_ ;_ * "-"??_ ;_ @_ 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4</v>
                </pt>
                <pt idx="4">
                  <v>28749000</v>
                </pt>
                <pt idx="5">
                  <v>17222366</v>
                </pt>
                <pt idx="6">
                  <v>21</v>
                </pt>
              </numCache>
            </numRef>
          </val>
        </ser>
        <ser>
          <idx val="5"/>
          <order val="5"/>
          <tx>
            <strRef>
              <f>'分月实际收支-集团合并'!$E$194</f>
              <strCache>
                <ptCount val="1"/>
                <pt idx="0">
                  <v>其他收入</v>
                </pt>
              </strCache>
            </strRef>
          </tx>
          <spPr>
            <a:solidFill>
              <a:srgbClr val="F6A6C5"/>
            </a:solidFill>
            <a:ln>
              <a:prstDash val="solid"/>
            </a:ln>
          </spPr>
          <invertIfNegative val="0"/>
          <dLbls>
            <delete val="1"/>
          </dLbls>
          <cat>
            <strRef>
              <f>'分月实际收支-集团合并'!$F$188:$L$188</f>
              <strCache>
                <ptCount val="7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</strCache>
            </strRef>
          </cat>
          <val>
            <numRef>
              <f>'分月实际收支-集团合并'!$F$194:$L$194</f>
              <numCache>
                <formatCode xml:space="preserve">_ * #,##0.00_ ;_ * \-#,##0.00_ ;_ * "-"??_ ;_ @_ </formatCode>
                <ptCount val="7"/>
                <pt idx="0">
                  <v>3</v>
                </pt>
                <pt idx="1">
                  <v>10</v>
                </pt>
                <pt idx="2">
                  <v>30</v>
                </pt>
                <pt idx="3">
                  <v>68</v>
                </pt>
                <pt idx="4">
                  <v>0</v>
                </pt>
                <pt idx="5">
                  <v>12</v>
                </pt>
                <pt idx="6">
                  <v>14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"/>
        <axId val="2"/>
      </barChart>
      <catAx>
        <axId val="1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/>
                </a:pPr>
                <a:r>
                  <a:t>None</a:t>
                </a:r>
              </a:p>
            </rich>
          </tx>
          <layout/>
          <overlay val="0"/>
        </title>
        <numFmt formatCode="General" sourceLinked="1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"/>
        <crosses val="autoZero"/>
        <auto val="1"/>
        <lblAlgn val="ctr"/>
        <lblOffset val="100"/>
        <noMultiLvlLbl val="0"/>
      </catAx>
      <valAx>
        <axId val="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/>
              <a:lstStyle/>
              <a:p>
                <a:pPr>
                  <a:defRPr/>
                </a:pPr>
                <a:r>
                  <a:t>None</a:t>
                </a:r>
              </a:p>
            </rich>
          </tx>
          <layout/>
          <overlay val="0"/>
        </title>
        <numFmt formatCode="General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"/>
        <crosses val="autoZero"/>
        <crossBetween val="midCat"/>
      </valAx>
    </plotArea>
    <legend>
      <legendPos val="b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800"/>
              <a:t>2025年分月分项支出明细</a:t>
            </a:r>
            <a:endParaRPr sz="1800"/>
          </a:p>
        </rich>
      </tx>
      <layout/>
      <overlay val="0"/>
    </title>
    <plotArea>
      <layout/>
      <barChart>
        <barDir val="col"/>
        <grouping val="stacked"/>
        <varyColors val="0"/>
        <ser>
          <idx val="0"/>
          <order val="0"/>
          <tx>
            <strRef>
              <f>'分月实际收支-集团合并'!$E$195</f>
              <strCache>
                <ptCount val="1"/>
                <pt idx="0">
                  <v>硬件采购</v>
                </pt>
              </strCache>
            </strRef>
          </tx>
          <spPr>
            <a:solidFill>
              <a:srgbClr val="84C5FF"/>
            </a:solidFill>
            <a:ln>
              <a:prstDash val="solid"/>
            </a:ln>
          </spPr>
          <invertIfNegative val="0"/>
          <dLbls>
            <delete val="1"/>
          </dLbls>
          <cat>
            <strRef>
              <f>'分月实际收支-集团合并'!$F$188:$L$188</f>
              <strCache>
                <ptCount val="7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</strCache>
            </strRef>
          </cat>
          <val>
            <numRef>
              <f>'分月实际收支-集团合并'!$F$195:$L$195</f>
              <numCache>
                <formatCode xml:space="preserve">_ * #,##0.00_ ;_ * \-#,##0.00_ ;_ * "-"??_ ;_ @_ </formatCode>
                <ptCount val="7"/>
                <pt idx="0">
                  <v>3</v>
                </pt>
                <pt idx="1">
                  <v>6</v>
                </pt>
                <pt idx="2">
                  <v>6</v>
                </pt>
                <pt idx="3">
                  <v>48</v>
                </pt>
                <pt idx="4">
                  <v>20</v>
                </pt>
                <pt idx="5">
                  <v>42</v>
                </pt>
                <pt idx="6">
                  <v>35</v>
                </pt>
              </numCache>
            </numRef>
          </val>
        </ser>
        <ser>
          <idx val="1"/>
          <order val="1"/>
          <tx>
            <strRef>
              <f>'分月实际收支-集团合并'!$E$196</f>
              <strCache>
                <ptCount val="1"/>
                <pt idx="0">
                  <v>硬件研发</v>
                </pt>
              </strCache>
            </strRef>
          </tx>
          <spPr>
            <a:solidFill>
              <a:srgbClr val="84D9A3"/>
            </a:solidFill>
            <a:ln>
              <a:prstDash val="solid"/>
            </a:ln>
          </spPr>
          <invertIfNegative val="0"/>
          <dLbls>
            <delete val="1"/>
          </dLbls>
          <cat>
            <strRef>
              <f>'分月实际收支-集团合并'!$F$188:$L$188</f>
              <strCache>
                <ptCount val="7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</strCache>
            </strRef>
          </cat>
          <val>
            <numRef>
              <f>'分月实际收支-集团合并'!$F$196:$L$196</f>
              <numCache>
                <formatCode xml:space="preserve">_ * #,##0.00_ ;_ * \-#,##0.00_ ;_ * "-"??_ ;_ @_ </formatCode>
                <ptCount val="7"/>
                <pt idx="0">
                  <v>0</v>
                </pt>
                <pt idx="1">
                  <v>2</v>
                </pt>
                <pt idx="2">
                  <v>9</v>
                </pt>
                <pt idx="3">
                  <v>0</v>
                </pt>
                <pt idx="4">
                  <v>0</v>
                </pt>
                <pt idx="5">
                  <v>12</v>
                </pt>
                <pt idx="6">
                  <v>28</v>
                </pt>
              </numCache>
            </numRef>
          </val>
        </ser>
        <ser>
          <idx val="2"/>
          <order val="2"/>
          <tx>
            <strRef>
              <f>'分月实际收支-集团合并'!$E$197</f>
              <strCache>
                <ptCount val="1"/>
                <pt idx="0">
                  <v>软件研发</v>
                </pt>
              </strCache>
            </strRef>
          </tx>
          <spPr>
            <a:solidFill>
              <a:srgbClr val="FAE584"/>
            </a:solidFill>
            <a:ln>
              <a:prstDash val="solid"/>
            </a:ln>
          </spPr>
          <invertIfNegative val="0"/>
          <dLbls>
            <delete val="1"/>
          </dLbls>
          <cat>
            <strRef>
              <f>'分月实际收支-集团合并'!$F$188:$L$188</f>
              <strCache>
                <ptCount val="7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</strCache>
            </strRef>
          </cat>
          <val>
            <numRef>
              <f>'分月实际收支-集团合并'!$F$197:$L$197</f>
              <numCache>
                <formatCode xml:space="preserve">_ * #,##0.00_ ;_ * \-#,##0.00_ ;_ * "-"??_ ;_ @_ </formatCode>
                <ptCount val="7"/>
                <pt idx="0">
                  <v>19</v>
                </pt>
                <pt idx="1">
                  <v>16</v>
                </pt>
                <pt idx="2">
                  <v>51</v>
                </pt>
                <pt idx="3">
                  <v>80</v>
                </pt>
                <pt idx="4">
                  <v>115</v>
                </pt>
                <pt idx="5">
                  <v>126</v>
                </pt>
                <pt idx="6">
                  <v>210</v>
                </pt>
              </numCache>
            </numRef>
          </val>
        </ser>
        <ser>
          <idx val="3"/>
          <order val="3"/>
          <tx>
            <strRef>
              <f>'分月实际收支-集团合并'!$E$198</f>
              <strCache>
                <ptCount val="1"/>
                <pt idx="0">
                  <v>营销支出</v>
                </pt>
              </strCache>
            </strRef>
          </tx>
          <spPr>
            <a:solidFill>
              <a:srgbClr val="FFCA84"/>
            </a:solidFill>
            <a:ln>
              <a:prstDash val="solid"/>
            </a:ln>
          </spPr>
          <invertIfNegative val="0"/>
          <dLbls>
            <delete val="1"/>
          </dLbls>
          <cat>
            <strRef>
              <f>'分月实际收支-集团合并'!$F$188:$L$188</f>
              <strCache>
                <ptCount val="7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</strCache>
            </strRef>
          </cat>
          <val>
            <numRef>
              <f>'分月实际收支-集团合并'!$F$198:$L$198</f>
              <numCache>
                <formatCode xml:space="preserve">_ * #,##0.00_ ;_ * \-#,##0.00_ ;_ * "-"??_ ;_ @_ </formatCode>
                <ptCount val="7"/>
                <pt idx="0">
                  <v>59</v>
                </pt>
                <pt idx="1">
                  <v>112</v>
                </pt>
                <pt idx="2">
                  <v>174</v>
                </pt>
                <pt idx="3">
                  <v>324</v>
                </pt>
                <pt idx="4">
                  <v>320</v>
                </pt>
                <pt idx="5">
                  <v>360</v>
                </pt>
                <pt idx="6">
                  <v>511</v>
                </pt>
              </numCache>
            </numRef>
          </val>
        </ser>
        <ser>
          <idx val="4"/>
          <order val="4"/>
          <tx>
            <strRef>
              <f>'分月实际收支-集团合并'!$E$199</f>
              <strCache>
                <ptCount val="1"/>
                <pt idx="0">
                  <v>人工成本</v>
                </pt>
              </strCache>
            </strRef>
          </tx>
          <spPr>
            <a:solidFill>
              <a:srgbClr val="FEAC91"/>
            </a:solidFill>
            <a:ln>
              <a:prstDash val="solid"/>
            </a:ln>
          </spPr>
          <invertIfNegative val="0"/>
          <dLbls>
            <delete val="1"/>
          </dLbls>
          <cat>
            <strRef>
              <f>'分月实际收支-集团合并'!$F$188:$L$188</f>
              <strCache>
                <ptCount val="7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</strCache>
            </strRef>
          </cat>
          <val>
            <numRef>
              <f>'分月实际收支-集团合并'!$F$199:$L$199</f>
              <numCache>
                <formatCode xml:space="preserve">_ * #,##0.00_ ;_ * \-#,##0.00_ ;_ * "-"??_ ;_ @_ </formatCode>
                <ptCount val="7"/>
                <pt idx="0">
                  <v>25</v>
                </pt>
                <pt idx="1">
                  <v>44</v>
                </pt>
                <pt idx="2">
                  <v>60</v>
                </pt>
                <pt idx="3">
                  <v>80</v>
                </pt>
                <pt idx="4">
                  <v>110</v>
                </pt>
                <pt idx="5">
                  <v>174</v>
                </pt>
                <pt idx="6">
                  <v>168</v>
                </pt>
              </numCache>
            </numRef>
          </val>
        </ser>
        <ser>
          <idx val="5"/>
          <order val="5"/>
          <tx>
            <strRef>
              <f>'分月实际收支-集团合并'!$E$200</f>
              <strCache>
                <ptCount val="1"/>
                <pt idx="0">
                  <v>其他经营支出</v>
                </pt>
              </strCache>
            </strRef>
          </tx>
          <spPr>
            <a:solidFill>
              <a:srgbClr val="F6A6C5"/>
            </a:solidFill>
            <a:ln>
              <a:prstDash val="solid"/>
            </a:ln>
          </spPr>
          <invertIfNegative val="0"/>
          <dLbls>
            <delete val="1"/>
          </dLbls>
          <cat>
            <strRef>
              <f>'分月实际收支-集团合并'!$F$188:$L$188</f>
              <strCache>
                <ptCount val="7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</strCache>
            </strRef>
          </cat>
          <val>
            <numRef>
              <f>'分月实际收支-集团合并'!$F$200:$L$200</f>
              <numCache>
                <formatCode xml:space="preserve">_ * #,##0.00_ ;_ * \-#,##0.00_ ;_ * "-"??_ ;_ @_ </formatCode>
                <ptCount val="7"/>
                <pt idx="0">
                  <v>-4484.06</v>
                </pt>
                <pt idx="1">
                  <v>5199.82</v>
                </pt>
                <pt idx="2">
                  <v>3239.54</v>
                </pt>
                <pt idx="3">
                  <v>224035.34</v>
                </pt>
                <pt idx="4">
                  <v>151596.6</v>
                </pt>
                <pt idx="5">
                  <v>61216.39</v>
                </pt>
                <pt idx="6">
                  <v>773.14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"/>
        <axId val="2"/>
      </barChart>
      <catAx>
        <axId val="1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/>
                </a:pPr>
                <a:r>
                  <a:t>None</a:t>
                </a:r>
              </a:p>
            </rich>
          </tx>
          <layout/>
          <overlay val="0"/>
        </title>
        <numFmt formatCode="General" sourceLinked="1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"/>
        <crosses val="autoZero"/>
        <auto val="1"/>
        <lblAlgn val="ctr"/>
        <lblOffset val="100"/>
        <noMultiLvlLbl val="0"/>
      </catAx>
      <valAx>
        <axId val="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/>
              <a:lstStyle/>
              <a:p>
                <a:pPr>
                  <a:defRPr/>
                </a:pPr>
                <a:r>
                  <a:t>None</a:t>
                </a:r>
              </a:p>
            </rich>
          </tx>
          <layout/>
          <overlay val="0"/>
        </title>
        <numFmt formatCode="General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"/>
        <crosses val="autoZero"/>
        <crossBetween val="midCat"/>
      </valAx>
    </plotArea>
    <legend>
      <legendPos val="b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800"/>
              <a:t>2025年业务收入/营销支出对比情况</a:t>
            </a:r>
            <a:endParaRPr sz="1800"/>
          </a:p>
        </rich>
      </tx>
      <layout/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'分月实际收支-集团合并'!$E$189</f>
              <strCache>
                <ptCount val="1"/>
                <pt idx="0">
                  <v>业务收入</v>
                </pt>
              </strCache>
            </strRef>
          </tx>
          <spPr>
            <a:solidFill>
              <a:srgbClr val="75BD41"/>
            </a:solidFill>
            <a:ln>
              <a:prstDash val="solid"/>
            </a:ln>
          </spPr>
          <invertIfNegative val="0"/>
          <dLbls>
            <delete val="1"/>
          </dLbls>
          <cat>
            <strRef>
              <f>'分月实际收支-集团合并'!$F$188:$L$188</f>
              <strCache>
                <ptCount val="7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</strCache>
            </strRef>
          </cat>
          <val>
            <numRef>
              <f>'分月实际收支-集团合并'!$F$189:$L$189</f>
              <numCache>
                <formatCode xml:space="preserve">_ * #,##0.00_ ;_ * \-#,##0.00_ ;_ * "-"??_ ;_ @_ </formatCode>
                <ptCount val="7"/>
                <pt idx="0">
                  <v>-3</v>
                </pt>
                <pt idx="1">
                  <v>-12</v>
                </pt>
                <pt idx="2">
                  <v>-24</v>
                </pt>
                <pt idx="3">
                  <v>8</v>
                </pt>
                <pt idx="4">
                  <v>-25</v>
                </pt>
                <pt idx="5">
                  <v>90</v>
                </pt>
                <pt idx="6">
                  <v>7</v>
                </pt>
              </numCache>
            </numRef>
          </val>
        </ser>
        <ser>
          <idx val="1"/>
          <order val="1"/>
          <tx>
            <strRef>
              <f>'分月实际收支-集团合并'!$E$198</f>
              <strCache>
                <ptCount val="1"/>
                <pt idx="0">
                  <v>营销支出</v>
                </pt>
              </strCache>
            </strRef>
          </tx>
          <spPr>
            <a:solidFill>
              <a:srgbClr val="F2B900"/>
            </a:solidFill>
            <a:ln>
              <a:prstDash val="solid"/>
            </a:ln>
          </spPr>
          <invertIfNegative val="0"/>
          <dLbls>
            <delete val="1"/>
          </dLbls>
          <cat>
            <strRef>
              <f>'分月实际收支-集团合并'!$F$188:$L$188</f>
              <strCache>
                <ptCount val="7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</strCache>
            </strRef>
          </cat>
          <val>
            <numRef>
              <f>'分月实际收支-集团合并'!$F$198:$L$198</f>
              <numCache>
                <formatCode xml:space="preserve">_ * #,##0.00_ ;_ * \-#,##0.00_ ;_ * "-"??_ ;_ @_ </formatCode>
                <ptCount val="7"/>
                <pt idx="0">
                  <v>59</v>
                </pt>
                <pt idx="1">
                  <v>112</v>
                </pt>
                <pt idx="2">
                  <v>174</v>
                </pt>
                <pt idx="3">
                  <v>324</v>
                </pt>
                <pt idx="4">
                  <v>320</v>
                </pt>
                <pt idx="5">
                  <v>360</v>
                </pt>
                <pt idx="6">
                  <v>511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"/>
        <axId val="2"/>
      </barChart>
      <catAx>
        <axId val="1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/>
                </a:pPr>
                <a:r>
                  <a:t>None</a:t>
                </a:r>
              </a:p>
            </rich>
          </tx>
          <layout/>
          <overlay val="0"/>
        </title>
        <numFmt formatCode="General" sourceLinked="1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"/>
        <crosses val="autoZero"/>
        <auto val="1"/>
        <lblAlgn val="ctr"/>
        <lblOffset val="100"/>
        <noMultiLvlLbl val="0"/>
      </catAx>
      <valAx>
        <axId val="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/>
              <a:lstStyle/>
              <a:p>
                <a:pPr>
                  <a:defRPr/>
                </a:pPr>
                <a:r>
                  <a:t>None</a:t>
                </a:r>
              </a:p>
            </rich>
          </tx>
          <layout/>
          <overlay val="0"/>
        </title>
        <numFmt formatCode="General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"/>
        <crosses val="autoZero"/>
        <crossBetween val="midCat"/>
      </valAx>
    </plotArea>
    <legend>
      <legendPos val="b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21</col>
      <colOff>125413</colOff>
      <row>227</row>
      <rowOff>63395</rowOff>
    </from>
    <ext cx="5035261" cy="3323273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73025</colOff>
      <row>227</row>
      <rowOff>57150</rowOff>
    </from>
    <ext cx="5407121" cy="2973917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560243</colOff>
      <row>227</row>
      <rowOff>95250</rowOff>
    </from>
    <ext cx="6039716" cy="3321844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14</col>
      <colOff>964406</colOff>
      <row>227</row>
      <rowOff>14288</rowOff>
    </from>
    <ext cx="6584156" cy="3417094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29</col>
      <colOff>549275</colOff>
      <row>227</row>
      <rowOff>170815</rowOff>
    </from>
    <ext cx="5762218" cy="3031008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D:\GPT&#27983;&#35272;&#22120;&#19979;&#36733;\&#36153;&#29992;&#39033;&#30446;&#21345;&#29255;%20(4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费用项目"/>
      <sheetName val="importDropDownContent"/>
      <sheetName val="参照"/>
      <sheetName val="importTemplateInfo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159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8.838461538461541" defaultRowHeight="16.05" customHeight="1"/>
  <cols>
    <col width="22.8307692307692" customWidth="1" style="5" min="1" max="1"/>
    <col width="28.6615384615385" customWidth="1" style="5" min="2" max="2"/>
    <col width="28.1615384615385" customWidth="1" style="5" min="3" max="3"/>
    <col width="8.838461538461541" customWidth="1" style="5" min="4" max="40"/>
  </cols>
  <sheetData>
    <row r="1" customFormat="1" s="34">
      <c r="A1" s="71" t="inlineStr">
        <is>
          <t>一级</t>
        </is>
      </c>
      <c r="B1" s="71" t="inlineStr">
        <is>
          <t>二级</t>
        </is>
      </c>
      <c r="C1" s="71" t="inlineStr">
        <is>
          <t>名词解释</t>
        </is>
      </c>
    </row>
    <row r="2" s="83">
      <c r="A2" s="34" t="inlineStr">
        <is>
          <t>业务收入</t>
        </is>
      </c>
      <c r="B2" s="6" t="inlineStr">
        <is>
          <t>平台硬件销售收入</t>
        </is>
      </c>
      <c r="C2" s="5" t="inlineStr">
        <is>
          <t>各个平台货款收入-退款部分。</t>
        </is>
      </c>
    </row>
    <row r="3" s="83">
      <c r="B3" s="6" t="inlineStr">
        <is>
          <t>服务收款</t>
        </is>
      </c>
      <c r="C3" s="5" t="inlineStr">
        <is>
          <t>目前业务暂不涉及，主要是后续用户达到一定量级后，会给用户提供其他AI服务</t>
        </is>
      </c>
    </row>
    <row r="4" s="83">
      <c r="B4" s="6" t="inlineStr">
        <is>
          <t>平台补贴收入</t>
        </is>
      </c>
    </row>
    <row r="5" s="83">
      <c r="A5" s="34" t="inlineStr">
        <is>
          <t>售后收入</t>
        </is>
      </c>
      <c r="B5" s="72" t="inlineStr">
        <is>
          <t>客户赔偿款</t>
        </is>
      </c>
      <c r="C5" s="5" t="inlineStr">
        <is>
          <t>用户因为机器以及零配件损坏，支付的赔偿款</t>
        </is>
      </c>
    </row>
    <row r="6" s="83">
      <c r="B6" s="72" t="inlineStr">
        <is>
          <t>供应商赔偿款</t>
        </is>
      </c>
      <c r="C6" s="5" t="inlineStr">
        <is>
          <t>供应商（合作商、物流、仓储供应商、员工等）因为机器以及零配件损坏，支付的赔偿款</t>
        </is>
      </c>
    </row>
    <row r="7" s="83">
      <c r="A7" s="34" t="inlineStr">
        <is>
          <t>营业外收入</t>
        </is>
      </c>
      <c r="B7" s="6" t="inlineStr">
        <is>
          <t>政府补贴收入</t>
        </is>
      </c>
      <c r="C7" s="5" t="inlineStr">
        <is>
          <t>从政府部门获取的各类补贴收益，包含注册资本金返还、房租补贴、研发补贴、高新技术补助等</t>
        </is>
      </c>
    </row>
    <row r="8" s="83">
      <c r="B8" s="6" t="inlineStr">
        <is>
          <t>利息收入</t>
        </is>
      </c>
      <c r="C8" s="5" t="inlineStr">
        <is>
          <t>理财收入、利息收入</t>
        </is>
      </c>
    </row>
    <row r="9" s="83">
      <c r="B9" s="6" t="inlineStr">
        <is>
          <t>其他收入</t>
        </is>
      </c>
      <c r="C9" s="5" t="inlineStr">
        <is>
          <t>验证款项等</t>
        </is>
      </c>
    </row>
    <row r="10" s="83">
      <c r="A10" s="73" t="n"/>
      <c r="B10" s="74" t="inlineStr">
        <is>
          <t>收入合计</t>
        </is>
      </c>
      <c r="C10" s="74" t="n"/>
    </row>
    <row r="11" s="83">
      <c r="A11" s="34" t="inlineStr">
        <is>
          <t>往来款项收入</t>
        </is>
      </c>
      <c r="B11" s="5" t="inlineStr">
        <is>
          <t>内部往来收入</t>
        </is>
      </c>
      <c r="C11" s="5" t="inlineStr">
        <is>
          <t>合并内关联方的往来款项</t>
        </is>
      </c>
    </row>
    <row r="12" s="83">
      <c r="B12" s="5" t="inlineStr">
        <is>
          <t>外部往来收入</t>
        </is>
      </c>
      <c r="C12" s="5" t="inlineStr">
        <is>
          <t>合并报表外的往来款项</t>
        </is>
      </c>
    </row>
    <row r="13" s="83">
      <c r="A13" s="34" t="inlineStr">
        <is>
          <t>投资款收入</t>
        </is>
      </c>
      <c r="B13" s="5" t="inlineStr">
        <is>
          <t>内部投资款收入</t>
        </is>
      </c>
      <c r="C13" s="5" t="inlineStr">
        <is>
          <t>合并内关联方的投资款，包含香港公司的对内投资</t>
        </is>
      </c>
    </row>
    <row r="14" s="83">
      <c r="B14" s="5" t="inlineStr">
        <is>
          <t>外部投资款收入</t>
        </is>
      </c>
    </row>
    <row r="15" s="83">
      <c r="A15" s="75" t="n"/>
      <c r="B15" s="76" t="inlineStr">
        <is>
          <t>收款合计</t>
        </is>
      </c>
      <c r="C15" s="76" t="n"/>
    </row>
    <row r="16" s="83">
      <c r="A16" s="34" t="inlineStr">
        <is>
          <t>往来款项支出</t>
        </is>
      </c>
      <c r="B16" s="5" t="inlineStr">
        <is>
          <t>内部往来支出</t>
        </is>
      </c>
      <c r="C16" s="5" t="inlineStr">
        <is>
          <t>合并内关联方的往来款项</t>
        </is>
      </c>
    </row>
    <row r="17" s="83">
      <c r="B17" s="5" t="inlineStr">
        <is>
          <t>外部往来支出</t>
        </is>
      </c>
      <c r="C17" s="5" t="inlineStr">
        <is>
          <t>合并报表外的往来款项</t>
        </is>
      </c>
    </row>
    <row r="18" s="83">
      <c r="A18" s="34" t="inlineStr">
        <is>
          <t>投资款支出</t>
        </is>
      </c>
      <c r="B18" s="5" t="inlineStr">
        <is>
          <t>内部投资款支出</t>
        </is>
      </c>
      <c r="C18" s="5" t="inlineStr">
        <is>
          <t>合并内关联方的投资款，包含香港公司的对内投资</t>
        </is>
      </c>
    </row>
    <row r="19" s="83">
      <c r="A19" s="34" t="inlineStr">
        <is>
          <t>人工成本</t>
        </is>
      </c>
      <c r="B19" s="5" t="inlineStr">
        <is>
          <t>实发工资</t>
        </is>
      </c>
      <c r="C19" s="5" t="inlineStr">
        <is>
          <t>销售、客服提成包含其中</t>
        </is>
      </c>
    </row>
    <row r="20" s="83">
      <c r="B20" s="5" t="inlineStr">
        <is>
          <t>奖金</t>
        </is>
      </c>
      <c r="C20" s="5" t="inlineStr">
        <is>
          <t>特殊项目奖金或者年终奖</t>
        </is>
      </c>
    </row>
    <row r="21" s="83">
      <c r="B21" s="5" t="inlineStr">
        <is>
          <t>社保（单位+个人）</t>
        </is>
      </c>
    </row>
    <row r="22" s="83">
      <c r="B22" s="5" t="inlineStr">
        <is>
          <t>公积金（单位+个人）</t>
        </is>
      </c>
    </row>
    <row r="23" s="83">
      <c r="B23" s="5" t="inlineStr">
        <is>
          <t>个税</t>
        </is>
      </c>
    </row>
    <row r="24" s="83">
      <c r="B24" s="5" t="inlineStr">
        <is>
          <t>福利费</t>
        </is>
      </c>
    </row>
    <row r="25" s="83">
      <c r="B25" s="5" t="inlineStr">
        <is>
          <t>补偿金</t>
        </is>
      </c>
    </row>
    <row r="26" s="83">
      <c r="B26" s="5" t="inlineStr">
        <is>
          <t>派遣费用</t>
        </is>
      </c>
      <c r="C26" s="5" t="inlineStr">
        <is>
          <t>支付给外包劳务公司的</t>
        </is>
      </c>
    </row>
    <row r="27" s="83">
      <c r="B27" s="77" t="inlineStr">
        <is>
          <t>顾问费</t>
        </is>
      </c>
      <c r="C27" s="5" t="inlineStr">
        <is>
          <t>支付给提供个人劳务的服务费</t>
        </is>
      </c>
    </row>
    <row r="28" s="83">
      <c r="B28" s="5" t="inlineStr">
        <is>
          <t>其他人工成本</t>
        </is>
      </c>
    </row>
    <row r="29" s="83">
      <c r="A29" s="34" t="inlineStr">
        <is>
          <t>BONG MAX</t>
        </is>
      </c>
      <c r="B29" s="5" t="inlineStr">
        <is>
          <t>TCL平板电脑款项</t>
        </is>
      </c>
      <c r="C29" s="5" t="inlineStr">
        <is>
          <t>TCL提货的款项支出，不包含前期的研发支出</t>
        </is>
      </c>
    </row>
    <row r="30" s="83">
      <c r="B30" s="5" t="inlineStr">
        <is>
          <t>保护套</t>
        </is>
      </c>
      <c r="C30" s="5" t="inlineStr">
        <is>
          <t>提货的款项支出，不包含模具等前期开发费用</t>
        </is>
      </c>
    </row>
    <row r="31" s="83">
      <c r="B31" s="5" t="inlineStr">
        <is>
          <t>包装盒</t>
        </is>
      </c>
      <c r="C31" s="5" t="inlineStr">
        <is>
          <t>提货的款项支出，不包含前期开发费用</t>
        </is>
      </c>
    </row>
    <row r="32" s="83">
      <c r="B32" s="5" t="inlineStr">
        <is>
          <t>充电器费用</t>
        </is>
      </c>
      <c r="C32" s="5" t="inlineStr">
        <is>
          <t>提货的款项支出，不包含前期开发费用</t>
        </is>
      </c>
    </row>
    <row r="33" s="83">
      <c r="B33" s="5" t="inlineStr">
        <is>
          <t>指学镜</t>
        </is>
      </c>
      <c r="C33" s="5" t="inlineStr">
        <is>
          <t>提货的款项支出，不包含前期开发费用</t>
        </is>
      </c>
    </row>
    <row r="34" s="83">
      <c r="B34" s="5" t="inlineStr">
        <is>
          <t>学习机系统授权费</t>
        </is>
      </c>
      <c r="C34" s="5" t="inlineStr">
        <is>
          <t>九学王等系统授权，该授权费用是根据学习机的装机数量确定</t>
        </is>
      </c>
    </row>
    <row r="35" s="83">
      <c r="A35" s="34" t="inlineStr">
        <is>
          <t>BONG PRO</t>
        </is>
      </c>
      <c r="B35" s="5" t="inlineStr">
        <is>
          <t>BOE平板电脑款项</t>
        </is>
      </c>
      <c r="C35" s="5" t="inlineStr">
        <is>
          <t>提货的款项支出，不包含前期开发费用</t>
        </is>
      </c>
    </row>
    <row r="36" s="83">
      <c r="B36" s="5" t="inlineStr">
        <is>
          <t>保护套</t>
        </is>
      </c>
      <c r="C36" s="5" t="inlineStr">
        <is>
          <t>提货的款项支出，不包含前期开发费用</t>
        </is>
      </c>
    </row>
    <row r="37" s="83">
      <c r="B37" s="5" t="inlineStr">
        <is>
          <t>包装盒</t>
        </is>
      </c>
      <c r="C37" s="5" t="inlineStr">
        <is>
          <t>提货的款项支出，不包含前期开发费用</t>
        </is>
      </c>
    </row>
    <row r="38" s="83">
      <c r="B38" s="5" t="inlineStr">
        <is>
          <t>充电器费用</t>
        </is>
      </c>
      <c r="C38" s="5" t="inlineStr">
        <is>
          <t>提货的款项支出，不包含前期开发费用</t>
        </is>
      </c>
    </row>
    <row r="39" s="83">
      <c r="B39" s="5" t="inlineStr">
        <is>
          <t>指学镜</t>
        </is>
      </c>
      <c r="C39" s="5" t="inlineStr">
        <is>
          <t>提货的款项支出，不包含前期开发费用</t>
        </is>
      </c>
    </row>
    <row r="40" s="83">
      <c r="B40" s="5" t="inlineStr">
        <is>
          <t>学习机系统授权费</t>
        </is>
      </c>
      <c r="C40" s="5" t="inlineStr">
        <is>
          <t>九学王等系统授权，该授权费用是根据学习机的装机数量确定</t>
        </is>
      </c>
    </row>
    <row r="41" s="83">
      <c r="A41" s="34" t="inlineStr">
        <is>
          <t>其他硬件成本</t>
        </is>
      </c>
      <c r="B41" s="5" t="inlineStr">
        <is>
          <t>电容笔</t>
        </is>
      </c>
      <c r="C41" s="5" t="inlineStr">
        <is>
          <t>没办法区分支付的款项，是属于MAX还是Pro时，记录在其他硬件成本中</t>
        </is>
      </c>
    </row>
    <row r="42" s="83">
      <c r="B42" s="5" t="inlineStr">
        <is>
          <t>支架</t>
        </is>
      </c>
      <c r="C42" s="5" t="inlineStr">
        <is>
          <t>没办法区分支付的款项，是属于MAX还是Pro时，记录在其他硬件成本中</t>
        </is>
      </c>
    </row>
    <row r="43" s="83">
      <c r="A43" s="73" t="n"/>
      <c r="B43" s="74" t="inlineStr">
        <is>
          <t>硬件支出合计</t>
        </is>
      </c>
      <c r="C43" s="74" t="n"/>
    </row>
    <row r="44" s="83">
      <c r="A44" s="34" t="inlineStr">
        <is>
          <t>产品开发-MAX</t>
        </is>
      </c>
      <c r="B44" s="5" t="inlineStr">
        <is>
          <t>检测费</t>
        </is>
      </c>
    </row>
    <row r="45" s="83">
      <c r="B45" s="5" t="inlineStr">
        <is>
          <t>认证费</t>
        </is>
      </c>
      <c r="C45" s="5" t="inlineStr">
        <is>
          <t>硬件认证相关的支出，包含各项资质认证等</t>
        </is>
      </c>
    </row>
    <row r="46" s="83">
      <c r="B46" s="5" t="inlineStr">
        <is>
          <t>设计费</t>
        </is>
      </c>
      <c r="C46" s="5" t="inlineStr">
        <is>
          <t>产品外包装设计、电容笔设计费等</t>
        </is>
      </c>
    </row>
    <row r="47" s="83">
      <c r="B47" s="5" t="inlineStr">
        <is>
          <t>OTA费用</t>
        </is>
      </c>
      <c r="C47" s="5" t="inlineStr">
        <is>
          <t>软件升级的服务费</t>
        </is>
      </c>
    </row>
    <row r="48" s="83">
      <c r="B48" s="5" t="inlineStr">
        <is>
          <t>模具费用</t>
        </is>
      </c>
    </row>
    <row r="49" s="83">
      <c r="B49" s="5" t="inlineStr">
        <is>
          <t>TCL研发费</t>
        </is>
      </c>
      <c r="C49" s="5" t="inlineStr">
        <is>
          <t>研发产品的产品开发支出，是产品量产前的研发费用</t>
        </is>
      </c>
    </row>
    <row r="50" s="83">
      <c r="B50" s="5" t="inlineStr">
        <is>
          <t>唤醒功能开发</t>
        </is>
      </c>
      <c r="C50" s="5" t="inlineStr">
        <is>
          <t>思必驰的机器唤醒功能开发</t>
        </is>
      </c>
    </row>
    <row r="51" s="83">
      <c r="B51" s="5" t="inlineStr">
        <is>
          <t>题库费</t>
        </is>
      </c>
      <c r="C51" s="5" t="inlineStr">
        <is>
          <t>供应商-菁优，</t>
        </is>
      </c>
    </row>
    <row r="52" s="83">
      <c r="A52" s="78" t="inlineStr">
        <is>
          <t>产品开发-PRO</t>
        </is>
      </c>
      <c r="B52" s="77" t="inlineStr">
        <is>
          <t>检测费</t>
        </is>
      </c>
    </row>
    <row r="53" s="83">
      <c r="B53" s="77" t="inlineStr">
        <is>
          <t>认证费</t>
        </is>
      </c>
      <c r="C53" s="5" t="inlineStr">
        <is>
          <t>硬件认证相关的支出，包含各项资质认证等</t>
        </is>
      </c>
    </row>
    <row r="54" s="83">
      <c r="B54" s="77" t="inlineStr">
        <is>
          <t>设计费</t>
        </is>
      </c>
      <c r="C54" s="5" t="inlineStr">
        <is>
          <t>产品外包装设计、电容笔设计费等</t>
        </is>
      </c>
    </row>
    <row r="55" s="83">
      <c r="B55" s="77" t="inlineStr">
        <is>
          <t>OTA费用</t>
        </is>
      </c>
      <c r="C55" s="5" t="inlineStr">
        <is>
          <t>软件升级的服务费</t>
        </is>
      </c>
    </row>
    <row r="56" s="83">
      <c r="B56" s="77" t="inlineStr">
        <is>
          <t>模具费用</t>
        </is>
      </c>
    </row>
    <row r="57" s="83">
      <c r="B57" s="77" t="inlineStr">
        <is>
          <t>BOE研发费</t>
        </is>
      </c>
      <c r="C57" s="5" t="inlineStr">
        <is>
          <t>研发产品的产品开发支出，是产品量产前的研发费用</t>
        </is>
      </c>
    </row>
    <row r="58" s="83">
      <c r="B58" s="77" t="inlineStr">
        <is>
          <t>题库费</t>
        </is>
      </c>
      <c r="C58" s="5" t="inlineStr">
        <is>
          <t>供应商-菁优，</t>
        </is>
      </c>
    </row>
    <row r="59" s="83">
      <c r="A59" s="79" t="inlineStr">
        <is>
          <t>其他产品开发</t>
        </is>
      </c>
      <c r="B59" s="80" t="inlineStr">
        <is>
          <t>员工报销</t>
        </is>
      </c>
      <c r="C59" s="80" t="n"/>
    </row>
    <row r="60" s="83">
      <c r="B60" s="80" t="inlineStr">
        <is>
          <t>软件使用费</t>
        </is>
      </c>
      <c r="C60" s="80" t="n"/>
    </row>
    <row r="61" s="83">
      <c r="A61" s="34" t="inlineStr">
        <is>
          <t>服务器算法充值</t>
        </is>
      </c>
      <c r="B61" s="5" t="inlineStr">
        <is>
          <t>阿里云充值费用</t>
        </is>
      </c>
      <c r="C61" s="5" t="inlineStr">
        <is>
          <t>充值至阿里云网站的费用，包含服务器租赁费用/GPU费用</t>
        </is>
      </c>
    </row>
    <row r="62" s="83">
      <c r="B62" s="5" t="inlineStr">
        <is>
          <t>微软充值费用</t>
        </is>
      </c>
      <c r="C62" s="5" t="inlineStr">
        <is>
          <t>语音服务（可燃）</t>
        </is>
      </c>
    </row>
    <row r="63" s="83">
      <c r="B63" s="5" t="inlineStr">
        <is>
          <t>kimi充值费用</t>
        </is>
      </c>
    </row>
    <row r="64" s="83">
      <c r="B64" s="5" t="inlineStr">
        <is>
          <t>智普AI充值费用</t>
        </is>
      </c>
    </row>
    <row r="65" s="83">
      <c r="B65" s="5" t="inlineStr">
        <is>
          <t>硅基流动充值费用</t>
        </is>
      </c>
    </row>
    <row r="66" s="83">
      <c r="B66" s="5" t="inlineStr">
        <is>
          <t>无问芯穹充值费用</t>
        </is>
      </c>
    </row>
    <row r="67" s="83">
      <c r="B67" s="5" t="inlineStr">
        <is>
          <t>其他服务器算法充值</t>
        </is>
      </c>
      <c r="C67" s="5" t="inlineStr">
        <is>
          <t>其他接口费用，要是金额较大，也可以列示二级项目</t>
        </is>
      </c>
    </row>
    <row r="68" s="83">
      <c r="A68" s="34" t="inlineStr">
        <is>
          <t>研发-服务费</t>
        </is>
      </c>
      <c r="B68" s="5" t="inlineStr">
        <is>
          <t>设计外包服务费</t>
        </is>
      </c>
      <c r="C68" s="5" t="inlineStr">
        <is>
          <t>是软件产品需要外包给其他人的设计服务，软件的UI设计、软件中人物设计等费用</t>
        </is>
      </c>
    </row>
    <row r="69" s="83">
      <c r="B69" s="5" t="inlineStr">
        <is>
          <t>AI技术外包服务费</t>
        </is>
      </c>
      <c r="C69" s="5" t="inlineStr">
        <is>
          <t>主要是包含中山市虚实之间网络科技工作室供应商的服务</t>
        </is>
      </c>
    </row>
    <row r="70" s="83">
      <c r="B70" s="5" t="inlineStr">
        <is>
          <t>知识产权服务费</t>
        </is>
      </c>
      <c r="C70" s="5" t="inlineStr">
        <is>
          <t>商标、软著、专利等，全部包括</t>
        </is>
      </c>
    </row>
    <row r="71" s="83">
      <c r="A71" s="34" t="inlineStr">
        <is>
          <t>研发-费用报销</t>
        </is>
      </c>
      <c r="B71" s="5" t="inlineStr">
        <is>
          <t>员工报销</t>
        </is>
      </c>
      <c r="C71" s="5" t="inlineStr">
        <is>
          <t>研发部门产生的差旅费，包括杭州市内的打车费和杭州市外的机票、住宿、打车费</t>
        </is>
      </c>
    </row>
    <row r="72" s="83">
      <c r="A72" s="73" t="n"/>
      <c r="B72" s="74" t="inlineStr">
        <is>
          <t>研发支出合计</t>
        </is>
      </c>
      <c r="C72" s="74" t="n"/>
    </row>
    <row r="73" s="83">
      <c r="A73" s="34" t="inlineStr">
        <is>
          <t>品牌建设</t>
        </is>
      </c>
      <c r="B73" s="5" t="inlineStr">
        <is>
          <t>媒体采购</t>
        </is>
      </c>
      <c r="C73" s="5" t="inlineStr">
        <is>
          <t>发布新闻稿、公众号等媒体服务</t>
        </is>
      </c>
    </row>
    <row r="74" s="83">
      <c r="B74" s="5" t="inlineStr">
        <is>
          <t>舆情服务</t>
        </is>
      </c>
      <c r="C74" s="5" t="inlineStr">
        <is>
          <t>对公共舆论进行监测、危机管理的服务</t>
        </is>
      </c>
    </row>
    <row r="75" s="83">
      <c r="B75" s="5" t="inlineStr">
        <is>
          <t>会务服务</t>
        </is>
      </c>
      <c r="C75" s="5" t="inlineStr">
        <is>
          <t>指为会议、展览、商务活动等提供的专业服务，它涵盖了会议策划、组织、执行以及相关配套服务的全过程。包含会议策划、接待、餐饮、车马费等</t>
        </is>
      </c>
    </row>
    <row r="76" s="83">
      <c r="B76" s="5" t="inlineStr">
        <is>
          <t>场地搭建</t>
        </is>
      </c>
      <c r="C76" s="5" t="inlineStr">
        <is>
          <t>公司参加各种展会而产生的场地建设费用，包括展台架、易拉宝、供应商服务费等，如：云栖大会展台搭建</t>
        </is>
      </c>
    </row>
    <row r="77" s="83">
      <c r="B77" s="5" t="inlineStr">
        <is>
          <t>素材拍摄</t>
        </is>
      </c>
      <c r="C77" s="5" t="inlineStr">
        <is>
          <t>通过和影楼、媒体公司合作，让供应商提供模特，后续拍摄视频、图像、语音，以便公司或者相关部门对外宣传时有素材可用而产生的费用</t>
        </is>
      </c>
    </row>
    <row r="78" s="83">
      <c r="B78" s="77" t="inlineStr">
        <is>
          <t>背书合作费用</t>
        </is>
      </c>
      <c r="C78" s="5" t="inlineStr">
        <is>
          <t>支付给高校或其他有名的品牌方，寻求业内知名机构背书而产生的费用。（如：李睿的服务费）</t>
        </is>
      </c>
    </row>
    <row r="79" s="83">
      <c r="A79" s="34" t="inlineStr">
        <is>
          <t>内容种草</t>
        </is>
      </c>
      <c r="B79" s="5" t="inlineStr">
        <is>
          <t>抖音平台种草-GD广告</t>
        </is>
      </c>
      <c r="C79" s="5" t="inlineStr">
        <is>
          <t>指在抖音平台推广中使用了GD广告，这是一种按照广告主的投放需求，在指定的时间、曝光量内，确保广告投放完成的广告形式</t>
        </is>
      </c>
    </row>
    <row r="80" s="83">
      <c r="B80" s="5" t="inlineStr">
        <is>
          <t>抖音平台种草-种草通</t>
        </is>
      </c>
      <c r="C80" s="5" t="inlineStr">
        <is>
          <t>指在抖音千川账户中下单，与相关领域具有一定影响力和粉丝基础的抖音用户合作，这些用户会创作并发布关于产品的使用体验、评测、展示等内容，以吸引更多用户的关注和兴趣，进而促进产品的销售和品牌的推广。</t>
        </is>
      </c>
    </row>
    <row r="81" s="83">
      <c r="B81" s="5" t="inlineStr">
        <is>
          <t>抖音平台种草-达人合作</t>
        </is>
      </c>
      <c r="C81" s="5" t="inlineStr">
        <is>
          <t>直接与达人供应商进行合作，达人主要发布在抖音的种草视频，以吸引更多用户的关注和兴趣，进而促进产品的销售和品牌的推广。</t>
        </is>
      </c>
    </row>
    <row r="82" s="83">
      <c r="B82" s="5" t="inlineStr">
        <is>
          <t>小红书平台种草-达人合作</t>
        </is>
      </c>
      <c r="C82" s="5" t="inlineStr">
        <is>
          <t>达人只在小红书端发帖，或者主要合作目的是小红书的宣发。</t>
        </is>
      </c>
    </row>
    <row r="83" s="83">
      <c r="B83" s="5" t="inlineStr">
        <is>
          <t>全平台种草-达人合作</t>
        </is>
      </c>
      <c r="C83" s="5" t="inlineStr">
        <is>
          <t>达人会在抖音、小红书、视频号等都发布相关作品，进行宣传</t>
        </is>
      </c>
    </row>
    <row r="84" s="83">
      <c r="B84" s="5" t="inlineStr">
        <is>
          <t>小红书种草充值</t>
        </is>
      </c>
      <c r="C84" s="5" t="inlineStr">
        <is>
          <t>指公司为了给已经发布的小红书作品而产生的投流而产生的“红薯币”的充值费用</t>
        </is>
      </c>
    </row>
    <row r="85" s="83">
      <c r="A85" s="34" t="inlineStr">
        <is>
          <t>投放转化</t>
        </is>
      </c>
      <c r="B85" s="5" t="inlineStr">
        <is>
          <t>信息流视频制作</t>
        </is>
      </c>
      <c r="C85" s="5" t="inlineStr">
        <is>
          <t>通过和供应商合作，让供应商通过结合视频、音频、图像、文字等元素，达到给用户种草的目的，以便后续在直播时对这个视频进行投流，后续完成对用户的收割</t>
        </is>
      </c>
    </row>
    <row r="86" s="83">
      <c r="B86" s="5" t="inlineStr">
        <is>
          <t>抖音投放充值</t>
        </is>
      </c>
      <c r="C86" s="5" t="inlineStr">
        <is>
          <t>支付给在抖音平台充值的推广费用和购买流量的费用，目前主要供应商为“湖北巨量引擎科技有限公司”。奈斯</t>
        </is>
      </c>
    </row>
    <row r="87" s="83">
      <c r="B87" s="5" t="inlineStr">
        <is>
          <t>京东平台投放充值</t>
        </is>
      </c>
      <c r="C87" s="5" t="inlineStr">
        <is>
          <t>直接在京东平台充值的推广费用，工具包括但不限于“品销宝”、“引力魔方”、“钻石展位”、“万象台”等推广充值费用</t>
        </is>
      </c>
    </row>
    <row r="88" s="83">
      <c r="B88" s="5" t="inlineStr">
        <is>
          <t>视频号投放充值</t>
        </is>
      </c>
      <c r="C88" s="5" t="inlineStr">
        <is>
          <t>支付给在微信视频号平台的充值推广费用和购买流量的费用，目前主要供应商为“润和（深圳）互联网有限公司”</t>
        </is>
      </c>
    </row>
    <row r="89" s="83">
      <c r="B89" s="5" t="inlineStr">
        <is>
          <t>天猫平台投放充值</t>
        </is>
      </c>
      <c r="C89" s="5" t="inlineStr">
        <is>
          <t>直接在淘宝、天猫平台充值的推广费用，工具包括但不限于“品销宝”、“引力魔方”、“钻石展位”、“万象台”等推广充值费用</t>
        </is>
      </c>
    </row>
    <row r="90" s="83">
      <c r="A90" s="34" t="inlineStr">
        <is>
          <t>直播间运营</t>
        </is>
      </c>
      <c r="B90" s="5" t="inlineStr">
        <is>
          <t>DP-有熊团队服务费</t>
        </is>
      </c>
      <c r="C90" s="5" t="inlineStr">
        <is>
          <t>核算公司直播间代运营服务商【上海粒资信息科技有限公司】，即“有熊&amp;周扬扬”直播间的服务费</t>
        </is>
      </c>
    </row>
    <row r="91" s="83">
      <c r="B91" s="5" t="inlineStr">
        <is>
          <t>DP-黑哥团队服务费</t>
        </is>
      </c>
      <c r="C91" s="5" t="inlineStr">
        <is>
          <t>核算公司直播间代运营服务商【杭州小百灵网络科技有限公司】，即“黑哥”直播间的服务费+佣金费用</t>
        </is>
      </c>
    </row>
    <row r="92" s="83">
      <c r="B92" s="5" t="inlineStr">
        <is>
          <t>DP-小太阳团队服务费</t>
        </is>
      </c>
      <c r="C92" s="5" t="inlineStr">
        <is>
          <t>核算公司直播间代运营服务商【杭州辰上星辰信息科技有限公司】，即“小太阳”直播间的服务费</t>
        </is>
      </c>
    </row>
    <row r="93" s="83">
      <c r="B93" s="5" t="inlineStr">
        <is>
          <t>直播间搭建费用</t>
        </is>
      </c>
      <c r="C93" s="5" t="inlineStr">
        <is>
          <t>给供应商直播间场景建设、软装、硬装、零星设备采买而支付的费用</t>
        </is>
      </c>
    </row>
    <row r="94" s="83">
      <c r="A94" s="34" t="inlineStr">
        <is>
          <t>平台运营</t>
        </is>
      </c>
      <c r="B94" s="5" t="inlineStr">
        <is>
          <t>分期服务费</t>
        </is>
      </c>
      <c r="C94" s="5" t="inlineStr">
        <is>
          <t>抖音月付与商家联合贴息活动、代收白条网络推广技术服务费、花呗分期服务费、信用卡服务费</t>
        </is>
      </c>
    </row>
    <row r="95" s="83">
      <c r="B95" s="5" t="inlineStr">
        <is>
          <t>平台服务费</t>
        </is>
      </c>
      <c r="C95" s="5" t="inlineStr">
        <is>
          <t>平台佣金、软件服务费、技术服务费年费、交易服务费</t>
        </is>
      </c>
    </row>
    <row r="96" s="83">
      <c r="B96" s="5" t="inlineStr">
        <is>
          <t>权益保险</t>
        </is>
      </c>
    </row>
    <row r="97" s="83">
      <c r="B97" s="5" t="inlineStr">
        <is>
          <t>消费者赔付</t>
        </is>
      </c>
      <c r="C97" s="5" t="inlineStr">
        <is>
          <t>因发货延迟给客户的赔款</t>
        </is>
      </c>
    </row>
    <row r="98" s="83">
      <c r="B98" s="5" t="inlineStr">
        <is>
          <t>平台积分扣款</t>
        </is>
      </c>
      <c r="C98" s="5" t="inlineStr">
        <is>
          <t>代扣积分、京东京豆</t>
        </is>
      </c>
    </row>
    <row r="99" s="83">
      <c r="B99" s="5" t="inlineStr">
        <is>
          <t>平台推荐佣金</t>
        </is>
      </c>
      <c r="C99" s="5" t="inlineStr">
        <is>
          <t>京东联盟扣款、淘宝客佣金</t>
        </is>
      </c>
    </row>
    <row r="100" s="83">
      <c r="B100" s="5" t="inlineStr">
        <is>
          <t>保证金及认证费用</t>
        </is>
      </c>
      <c r="C100" s="5" t="inlineStr">
        <is>
          <t>核算店铺在抖音、京东、天猫等线上平台为开设电商店铺而支付的保证金，认证费用</t>
        </is>
      </c>
    </row>
    <row r="101" s="83">
      <c r="B101" s="5" t="inlineStr">
        <is>
          <t>品专支出</t>
        </is>
      </c>
      <c r="C101" s="5" t="inlineStr">
        <is>
          <t>核算店铺在京东、天猫、小红书等线上平台为了达成“客户搜索”首页第一个就是我们的产品而产生的支出</t>
        </is>
      </c>
    </row>
    <row r="102" s="83">
      <c r="B102" s="5" t="inlineStr">
        <is>
          <t>其他平台扣款</t>
        </is>
      </c>
      <c r="C102" s="5" t="inlineStr">
        <is>
          <t>上门取件运费、偏远地区物流服务、体验提升计划服务费</t>
        </is>
      </c>
    </row>
    <row r="103" s="83">
      <c r="A103" s="34" t="inlineStr">
        <is>
          <t>私域运营</t>
        </is>
      </c>
      <c r="B103" s="5" t="inlineStr">
        <is>
          <t>返现活动</t>
        </is>
      </c>
      <c r="C103" s="5" t="inlineStr">
        <is>
          <t>品销的销售部门为促单、挽单、客户好评而产生的费用</t>
        </is>
      </c>
    </row>
    <row r="104" s="83">
      <c r="B104" s="5" t="inlineStr">
        <is>
          <t>转介绍佣金</t>
        </is>
      </c>
      <c r="C104" s="5" t="inlineStr">
        <is>
          <t>客户转介绍佣金</t>
        </is>
      </c>
    </row>
    <row r="105" s="83">
      <c r="A105" s="34" t="inlineStr">
        <is>
          <t>达人带货</t>
        </is>
      </c>
      <c r="B105" s="5" t="inlineStr">
        <is>
          <t>坑位费</t>
        </is>
      </c>
      <c r="C105" s="5" t="inlineStr">
        <is>
          <t>公司为了让商品在各平台达人账号直播中获得直播的机会，提前向达人支付的固定费用</t>
        </is>
      </c>
    </row>
    <row r="106" s="83">
      <c r="B106" s="5" t="inlineStr">
        <is>
          <t>佣金</t>
        </is>
      </c>
      <c r="C106" s="5" t="inlineStr">
        <is>
          <t>达人完成商品带货后，根据销售额按一定比例收取的报酬，包括达人佣金、招商服务费（团长）</t>
        </is>
      </c>
    </row>
    <row r="107" s="83">
      <c r="B107" s="5" t="inlineStr">
        <is>
          <t>助播费用</t>
        </is>
      </c>
      <c r="C107" s="5" t="inlineStr">
        <is>
          <t>支付给直播间助播的报酬，包括但不限于：助播劳务费、直播间发福利</t>
        </is>
      </c>
    </row>
    <row r="108" s="83">
      <c r="A108" s="34" t="inlineStr">
        <is>
          <t>发货成本</t>
        </is>
      </c>
      <c r="B108" s="5" t="inlineStr">
        <is>
          <t>快递费</t>
        </is>
      </c>
      <c r="C108" s="5" t="inlineStr">
        <is>
          <t>核算因线上店铺销售，正品仓库、售后仓库发货而产生的快递费</t>
        </is>
      </c>
    </row>
    <row r="109" s="83">
      <c r="B109" s="5" t="inlineStr">
        <is>
          <t>云仓租金</t>
        </is>
      </c>
      <c r="C109" s="5" t="inlineStr">
        <is>
          <t>核算因线上店铺销售，正品云仓而产生的场地租金费用</t>
        </is>
      </c>
    </row>
    <row r="110" s="83">
      <c r="A110" s="34" t="inlineStr">
        <is>
          <t>品销-费用报销</t>
        </is>
      </c>
      <c r="B110" s="5" t="inlineStr">
        <is>
          <t>员工报销</t>
        </is>
      </c>
      <c r="C110" s="5" t="inlineStr">
        <is>
          <t>品销部门产生的差旅费，包括杭州市内的打车费和杭州市外的机票、住宿、打车费</t>
        </is>
      </c>
    </row>
    <row r="111" s="83">
      <c r="A111" s="73" t="n"/>
      <c r="B111" s="74" t="inlineStr">
        <is>
          <t>销售费用合计</t>
        </is>
      </c>
      <c r="C111" s="74" t="n"/>
    </row>
    <row r="112" s="83">
      <c r="A112" s="34" t="inlineStr">
        <is>
          <t>办公场地使用费</t>
        </is>
      </c>
      <c r="B112" s="5" t="inlineStr">
        <is>
          <t>西溪首座办公场地租金</t>
        </is>
      </c>
    </row>
    <row r="113" s="83">
      <c r="B113" s="5" t="inlineStr">
        <is>
          <t>西溪首座办公场地装修费</t>
        </is>
      </c>
      <c r="C113" s="5" t="inlineStr">
        <is>
          <t>装修费用、强弱电改造费、办公区域文化墙布置等</t>
        </is>
      </c>
    </row>
    <row r="114" s="83">
      <c r="B114" s="5" t="inlineStr">
        <is>
          <t>西溪首座办公室物业水电费</t>
        </is>
      </c>
    </row>
    <row r="115" s="83">
      <c r="B115" s="5" t="inlineStr">
        <is>
          <t>合肥办公室租金</t>
        </is>
      </c>
    </row>
    <row r="116" s="83">
      <c r="B116" s="5" t="inlineStr">
        <is>
          <t>合肥办公室物业水电费</t>
        </is>
      </c>
    </row>
    <row r="117" s="83">
      <c r="B117" s="5" t="inlineStr">
        <is>
          <t>其他办公场地使用费</t>
        </is>
      </c>
    </row>
    <row r="118" s="83">
      <c r="B118" s="5" t="inlineStr">
        <is>
          <t>其他办公场地物业水电费</t>
        </is>
      </c>
    </row>
    <row r="119" s="83">
      <c r="B119" s="5" t="inlineStr">
        <is>
          <t>押金</t>
        </is>
      </c>
      <c r="C119" s="5" t="inlineStr">
        <is>
          <t>因办公场地而需要支付给房东的押金</t>
        </is>
      </c>
    </row>
    <row r="120" s="83">
      <c r="A120" s="34" t="inlineStr">
        <is>
          <t>服务费</t>
        </is>
      </c>
      <c r="B120" s="5" t="inlineStr">
        <is>
          <t>律师费</t>
        </is>
      </c>
      <c r="C120" s="5" t="inlineStr">
        <is>
          <t>聘请律师为公司服务而产生的费用</t>
        </is>
      </c>
    </row>
    <row r="121" s="83">
      <c r="B121" s="5" t="inlineStr">
        <is>
          <t>中介代理费用</t>
        </is>
      </c>
      <c r="C121" s="5" t="inlineStr">
        <is>
          <t>聘请第三方中介机构进行代理服务（如残疾人招聘、海外事项代办公司或者工商代办等）提供专业服务所支付的费用</t>
        </is>
      </c>
    </row>
    <row r="122" s="83">
      <c r="B122" s="5" t="inlineStr">
        <is>
          <t>财务咨询费</t>
        </is>
      </c>
      <c r="C122" s="5" t="inlineStr">
        <is>
          <t>聘请第三方机构进行的财务咨询费（如代理记账、财务业务咨询、税收筹划方案建设等）</t>
        </is>
      </c>
    </row>
    <row r="123" s="83">
      <c r="B123" s="5" t="inlineStr">
        <is>
          <t>审计费</t>
        </is>
      </c>
    </row>
    <row r="124" s="83">
      <c r="B124" s="5" t="inlineStr">
        <is>
          <t>招聘费用</t>
        </is>
      </c>
      <c r="C124" s="5" t="inlineStr">
        <is>
          <t>支付给第三方猎头机构或者招聘软件而产生的招聘费用</t>
        </is>
      </c>
    </row>
    <row r="125" s="83">
      <c r="B125" s="5" t="inlineStr">
        <is>
          <t>软件服务费</t>
        </is>
      </c>
      <c r="C125" s="5" t="inlineStr">
        <is>
          <t>用友软件服务费、聚水潭接口费、聚胜算、人力SAAS系统等</t>
        </is>
      </c>
    </row>
    <row r="126" s="83">
      <c r="B126" s="5" t="inlineStr">
        <is>
          <t>其他服务费</t>
        </is>
      </c>
    </row>
    <row r="127" s="83">
      <c r="A127" s="34" t="inlineStr">
        <is>
          <t>办公费用</t>
        </is>
      </c>
      <c r="B127" s="5" t="inlineStr">
        <is>
          <t>固定资产采购</t>
        </is>
      </c>
    </row>
    <row r="128" s="83">
      <c r="B128" s="5" t="inlineStr">
        <is>
          <t>办公用品采购</t>
        </is>
      </c>
    </row>
    <row r="129" s="83">
      <c r="B129" s="5" t="inlineStr">
        <is>
          <t>网络费</t>
        </is>
      </c>
    </row>
    <row r="130" s="83">
      <c r="B130" s="5" t="inlineStr">
        <is>
          <t>通讯费</t>
        </is>
      </c>
      <c r="C130" s="5" t="inlineStr">
        <is>
          <t>指电信业务而产生的电话费</t>
        </is>
      </c>
    </row>
    <row r="131" s="83">
      <c r="B131" s="5" t="inlineStr">
        <is>
          <t>快递费</t>
        </is>
      </c>
      <c r="C131" s="5" t="inlineStr">
        <is>
          <t>核算在办公室寄出的文件快递费</t>
        </is>
      </c>
    </row>
    <row r="132" s="83">
      <c r="B132" s="5" t="inlineStr">
        <is>
          <t>员工报销</t>
        </is>
      </c>
      <c r="C132" s="5" t="inlineStr">
        <is>
          <t>包含备用金</t>
        </is>
      </c>
    </row>
    <row r="133" s="83">
      <c r="B133" s="5" t="inlineStr">
        <is>
          <t>办公设备租赁费</t>
        </is>
      </c>
      <c r="C133" s="5" t="inlineStr">
        <is>
          <t>核算支付给供应商的电脑、打印机、电视、相机等设备的租赁费</t>
        </is>
      </c>
    </row>
    <row r="134" s="83">
      <c r="B134" s="77" t="inlineStr">
        <is>
          <t>总经办报销费用</t>
        </is>
      </c>
      <c r="C134" s="5" t="inlineStr">
        <is>
          <t>核算杨仁斌老板和晓燕姐总裁的费用。张辉拆分供应链、总经办报销</t>
        </is>
      </c>
    </row>
    <row r="135" s="83">
      <c r="B135" s="5" t="inlineStr">
        <is>
          <t>其他办公费用</t>
        </is>
      </c>
      <c r="C135" s="5" t="inlineStr">
        <is>
          <t>询证函费用放这里</t>
        </is>
      </c>
    </row>
    <row r="136" s="83">
      <c r="A136" s="73" t="n"/>
      <c r="B136" s="74" t="inlineStr">
        <is>
          <t>管理费用合计</t>
        </is>
      </c>
      <c r="C136" s="74" t="n"/>
    </row>
    <row r="137" s="83">
      <c r="A137" s="34" t="inlineStr">
        <is>
          <t>生产成本</t>
        </is>
      </c>
      <c r="B137" s="5" t="inlineStr">
        <is>
          <t>西溪首座仓库租金</t>
        </is>
      </c>
    </row>
    <row r="138" s="83">
      <c r="B138" s="5" t="inlineStr">
        <is>
          <t>西溪首座仓库物业水电费</t>
        </is>
      </c>
    </row>
    <row r="139" s="83">
      <c r="B139" s="5" t="inlineStr">
        <is>
          <t>西溪首座仓库装修费</t>
        </is>
      </c>
      <c r="C139" s="5" t="inlineStr">
        <is>
          <t>装修费用、强弱电改造费</t>
        </is>
      </c>
    </row>
    <row r="140" s="83">
      <c r="B140" s="5" t="inlineStr">
        <is>
          <t>运输费</t>
        </is>
      </c>
      <c r="C140" s="5" t="inlineStr">
        <is>
          <t>从售后仓拉货到云仓的货拉拉的费用</t>
        </is>
      </c>
    </row>
    <row r="141" s="83">
      <c r="B141" s="5" t="inlineStr">
        <is>
          <t>低值易耗品采购</t>
        </is>
      </c>
      <c r="C141" s="5" t="inlineStr">
        <is>
          <t>不属于产品的构成部分，如酒精、手套、电子秤等</t>
        </is>
      </c>
    </row>
    <row r="142" s="83">
      <c r="B142" s="5" t="inlineStr">
        <is>
          <t>员工报销</t>
        </is>
      </c>
    </row>
    <row r="143" s="83">
      <c r="B143" s="5" t="inlineStr">
        <is>
          <t>包机膜</t>
        </is>
      </c>
    </row>
    <row r="144" s="83">
      <c r="B144" s="5" t="inlineStr">
        <is>
          <t>贴纸/说明书</t>
        </is>
      </c>
      <c r="C144" s="5" t="inlineStr">
        <is>
          <t>包含合格证</t>
        </is>
      </c>
    </row>
    <row r="145" s="83">
      <c r="B145" s="5" t="inlineStr">
        <is>
          <t>笔尖</t>
        </is>
      </c>
    </row>
    <row r="146" s="83">
      <c r="A146" s="73" t="n"/>
      <c r="B146" s="74" t="inlineStr">
        <is>
          <t>生产成本合计</t>
        </is>
      </c>
      <c r="C146" s="74" t="n"/>
    </row>
    <row r="147" s="83">
      <c r="A147" s="34" t="inlineStr">
        <is>
          <t>税费成本</t>
        </is>
      </c>
      <c r="B147" s="5" t="inlineStr">
        <is>
          <t>增值税</t>
        </is>
      </c>
      <c r="C147" s="5" t="inlineStr">
        <is>
          <t>支付给税务部门的增值税</t>
        </is>
      </c>
    </row>
    <row r="148" s="83">
      <c r="B148" s="5" t="inlineStr">
        <is>
          <t>附加税</t>
        </is>
      </c>
      <c r="C148" s="5" t="inlineStr">
        <is>
          <t>支付给税务部门的因增值税缴纳而发生的附加税，核算的是：城建税、教育附加和地方教育附加三项税费</t>
        </is>
      </c>
    </row>
    <row r="149" s="83">
      <c r="B149" s="5" t="inlineStr">
        <is>
          <t>印花税</t>
        </is>
      </c>
      <c r="C149" s="5" t="inlineStr">
        <is>
          <t>支付给税务部门的印花税、实收资本</t>
        </is>
      </c>
    </row>
    <row r="150" s="83">
      <c r="B150" s="5" t="inlineStr">
        <is>
          <t>企业所得税</t>
        </is>
      </c>
      <c r="C150" s="5" t="inlineStr">
        <is>
          <t>支付给税务部门的企业所得税</t>
        </is>
      </c>
    </row>
    <row r="151" s="83">
      <c r="A151" s="34" t="inlineStr">
        <is>
          <t>营业外支出</t>
        </is>
      </c>
      <c r="B151" s="5" t="inlineStr">
        <is>
          <t>手续费</t>
        </is>
      </c>
      <c r="C151" s="5" t="inlineStr">
        <is>
          <t>支付给银行、平台的因业务办理、转账而产生的手续费</t>
        </is>
      </c>
    </row>
    <row r="152" s="83">
      <c r="B152" s="5" t="inlineStr">
        <is>
          <t>罚款支出</t>
        </is>
      </c>
      <c r="C152" s="5" t="inlineStr">
        <is>
          <t>核算指因违反法律法规、合同约定或内部规章制度等而被相关机构（如政府部门、监管机构、法院等）处以的罚款金额</t>
        </is>
      </c>
    </row>
    <row r="153" s="83">
      <c r="B153" s="5" t="inlineStr">
        <is>
          <t>违约金支出</t>
        </is>
      </c>
      <c r="C153" s="5" t="inlineStr">
        <is>
          <t>因提前节约而支付的违约金</t>
        </is>
      </c>
    </row>
    <row r="154" s="83">
      <c r="B154" s="5" t="inlineStr">
        <is>
          <t>滞纳金支出</t>
        </is>
      </c>
      <c r="C154" s="5" t="inlineStr">
        <is>
          <t>核算我们应当支付但未支付，因资金延迟支付造成款项（如税款、费用、货款等而被加收的滞纳金费用）</t>
        </is>
      </c>
    </row>
    <row r="155" s="83">
      <c r="A155" s="34" t="inlineStr">
        <is>
          <t>理财</t>
        </is>
      </c>
      <c r="B155" s="5" t="inlineStr">
        <is>
          <t>理财收支</t>
        </is>
      </c>
      <c r="C155" s="5" t="inlineStr">
        <is>
          <t>购买理财和支取理财费用项目都放这个</t>
        </is>
      </c>
    </row>
    <row r="156" s="83">
      <c r="A156" s="73" t="n"/>
      <c r="B156" s="74" t="inlineStr">
        <is>
          <t>营业外支出合计</t>
        </is>
      </c>
      <c r="C156" s="74" t="n"/>
    </row>
    <row r="157" s="83">
      <c r="A157" s="81" t="n"/>
      <c r="B157" s="82" t="inlineStr">
        <is>
          <t>付款合计</t>
        </is>
      </c>
      <c r="C157" s="82" t="n"/>
    </row>
    <row r="158" s="83">
      <c r="A158" s="34" t="n"/>
      <c r="B158" s="5" t="inlineStr">
        <is>
          <t>现金净流入</t>
        </is>
      </c>
    </row>
    <row r="159" s="83">
      <c r="A159" s="34" t="n"/>
      <c r="B159" s="5" t="inlineStr">
        <is>
          <t>现金余额</t>
        </is>
      </c>
    </row>
  </sheetData>
  <mergeCells count="29">
    <mergeCell ref="A44:A51"/>
    <mergeCell ref="A2:A4"/>
    <mergeCell ref="A73:A78"/>
    <mergeCell ref="A103:A104"/>
    <mergeCell ref="A41:A42"/>
    <mergeCell ref="A19:A28"/>
    <mergeCell ref="A16:A17"/>
    <mergeCell ref="A85:A89"/>
    <mergeCell ref="A120:A126"/>
    <mergeCell ref="A68:A70"/>
    <mergeCell ref="A90:A93"/>
    <mergeCell ref="A79:A84"/>
    <mergeCell ref="A108:A109"/>
    <mergeCell ref="A5:A6"/>
    <mergeCell ref="A151:A154"/>
    <mergeCell ref="A52:A58"/>
    <mergeCell ref="A13:A14"/>
    <mergeCell ref="A127:A135"/>
    <mergeCell ref="A147:A150"/>
    <mergeCell ref="A61:A67"/>
    <mergeCell ref="A7:A9"/>
    <mergeCell ref="A35:A40"/>
    <mergeCell ref="A94:A102"/>
    <mergeCell ref="A105:A107"/>
    <mergeCell ref="A29:A34"/>
    <mergeCell ref="A59:A60"/>
    <mergeCell ref="A112:A119"/>
    <mergeCell ref="A137:A145"/>
    <mergeCell ref="A11:A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X18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8.838461538461541" defaultRowHeight="16.05" customHeight="1"/>
  <cols>
    <col width="24.3307692307692" customWidth="1" style="5" min="1" max="1"/>
    <col width="16.1615384615385" customWidth="1" style="5" min="2" max="2"/>
    <col width="8.838461538461541" customWidth="1" style="5" min="3" max="3"/>
    <col width="26.1615384615385" customWidth="1" style="5" min="4" max="4"/>
    <col width="19.8307692307692" customWidth="1" style="5" min="5" max="5"/>
    <col width="18" customWidth="1" style="5" min="6" max="6"/>
    <col width="18.1615384615385" customWidth="1" style="5" min="7" max="7"/>
    <col width="19.1615384615385" customWidth="1" style="5" min="8" max="8"/>
    <col width="8.838461538461541" customWidth="1" style="5" min="9" max="10"/>
    <col width="13" customWidth="1" style="5" min="11" max="11"/>
    <col width="14.5" customWidth="1" style="5" min="12" max="12"/>
    <col width="10.8307692307692" customWidth="1" style="5" min="13" max="14"/>
    <col width="13.1615384615385" customWidth="1" style="5" min="15" max="15"/>
    <col width="15" customWidth="1" style="5" min="16" max="16"/>
    <col width="18.5" customWidth="1" style="5" min="17" max="17"/>
    <col width="17" customWidth="1" style="5" min="18" max="18"/>
    <col width="10.5" customWidth="1" style="5" min="19" max="19"/>
    <col width="11.3384615384615" customWidth="1" style="5" min="20" max="20"/>
    <col width="20.1615384615385" customWidth="1" style="5" min="21" max="21"/>
    <col width="16.6615384615385" customWidth="1" style="5" min="22" max="22"/>
    <col width="12.6615384615385" customWidth="1" style="5" min="23" max="23"/>
    <col width="9.838461538461541" customWidth="1" style="5" min="24" max="24"/>
    <col width="8.838461538461541" customWidth="1" style="5" min="25" max="40"/>
  </cols>
  <sheetData>
    <row r="1" customFormat="1" s="34">
      <c r="A1" s="34" t="inlineStr">
        <is>
          <t>手工码</t>
        </is>
      </c>
      <c r="B1" s="34" t="inlineStr">
        <is>
          <t>*业务单元</t>
        </is>
      </c>
      <c r="C1" s="34" t="inlineStr">
        <is>
          <t>编码</t>
        </is>
      </c>
      <c r="D1" s="34" t="inlineStr">
        <is>
          <t>*名称</t>
        </is>
      </c>
      <c r="E1" s="34" t="inlineStr">
        <is>
          <t>费用项目类型编码</t>
        </is>
      </c>
      <c r="F1" s="34" t="inlineStr">
        <is>
          <t>费用项目类型</t>
        </is>
      </c>
      <c r="G1" s="34" t="inlineStr">
        <is>
          <t>上级费用项目编码</t>
        </is>
      </c>
      <c r="H1" s="34" t="inlineStr">
        <is>
          <t>上级费用项目</t>
        </is>
      </c>
      <c r="I1" s="34" t="inlineStr">
        <is>
          <t>备注</t>
        </is>
      </c>
      <c r="J1" s="34" t="inlineStr">
        <is>
          <t>状态</t>
        </is>
      </c>
      <c r="K1" s="34" t="inlineStr">
        <is>
          <t>资产业务</t>
        </is>
      </c>
      <c r="L1" s="34" t="inlineStr">
        <is>
          <t>供应链业务</t>
        </is>
      </c>
      <c r="M1" s="34" t="inlineStr">
        <is>
          <t>费控业务</t>
        </is>
      </c>
      <c r="N1" s="34" t="inlineStr">
        <is>
          <t>营销业务</t>
        </is>
      </c>
      <c r="O1" s="34" t="inlineStr">
        <is>
          <t>财资业务</t>
        </is>
      </c>
      <c r="P1" s="34" t="inlineStr">
        <is>
          <t>资产业务分类</t>
        </is>
      </c>
      <c r="Q1" s="34" t="inlineStr">
        <is>
          <t>资产对应物料编码</t>
        </is>
      </c>
      <c r="R1" s="34" t="inlineStr">
        <is>
          <t>资产对应物料</t>
        </is>
      </c>
      <c r="S1" s="34" t="inlineStr">
        <is>
          <t>是否开票</t>
        </is>
      </c>
      <c r="T1" s="34" t="inlineStr">
        <is>
          <t>更新成本</t>
        </is>
      </c>
      <c r="U1" s="34" t="inlineStr">
        <is>
          <t>供应链对应物料编码</t>
        </is>
      </c>
      <c r="V1" s="34" t="inlineStr">
        <is>
          <t>供应链对应物料</t>
        </is>
      </c>
      <c r="W1" s="34" t="inlineStr">
        <is>
          <t>是否分摊</t>
        </is>
      </c>
      <c r="X1" s="34" t="inlineStr">
        <is>
          <t>排序</t>
        </is>
      </c>
    </row>
    <row r="2" s="83">
      <c r="A2" s="5" t="inlineStr">
        <is>
          <t>2236674769572331525</t>
        </is>
      </c>
      <c r="B2" s="5" t="inlineStr">
        <is>
          <t>企业账号级</t>
        </is>
      </c>
      <c r="C2" s="5" t="inlineStr">
        <is>
          <t>Else01</t>
        </is>
      </c>
      <c r="D2" s="5" t="inlineStr">
        <is>
          <t>中转</t>
        </is>
      </c>
      <c r="G2" s="5" t="inlineStr">
        <is>
          <t>Else</t>
        </is>
      </c>
      <c r="H2" s="5" t="inlineStr">
        <is>
          <t>其他</t>
        </is>
      </c>
      <c r="I2" s="5" t="inlineStr"/>
      <c r="J2" s="5" t="inlineStr">
        <is>
          <t>启用</t>
        </is>
      </c>
      <c r="K2" s="5" t="inlineStr">
        <is>
          <t>否</t>
        </is>
      </c>
      <c r="L2" s="5" t="inlineStr">
        <is>
          <t>否</t>
        </is>
      </c>
      <c r="M2" s="5" t="inlineStr">
        <is>
          <t>否</t>
        </is>
      </c>
      <c r="N2" s="5" t="inlineStr">
        <is>
          <t>否</t>
        </is>
      </c>
      <c r="O2" s="5" t="inlineStr">
        <is>
          <t>否</t>
        </is>
      </c>
      <c r="S2" s="5" t="inlineStr">
        <is>
          <t>否</t>
        </is>
      </c>
      <c r="T2" s="5" t="inlineStr">
        <is>
          <t>否</t>
        </is>
      </c>
      <c r="V2" s="5" t="inlineStr">
        <is>
          <t>0</t>
        </is>
      </c>
      <c r="W2" s="5" t="inlineStr">
        <is>
          <t>否</t>
        </is>
      </c>
      <c r="X2" s="5" t="inlineStr">
        <is>
          <t>999</t>
        </is>
      </c>
    </row>
    <row r="3" s="83">
      <c r="A3" s="5" t="inlineStr">
        <is>
          <t>2236674142531747845</t>
        </is>
      </c>
      <c r="B3" s="5" t="inlineStr">
        <is>
          <t>企业账号级</t>
        </is>
      </c>
      <c r="C3" s="5" t="inlineStr">
        <is>
          <t>Else</t>
        </is>
      </c>
      <c r="D3" s="5" t="inlineStr">
        <is>
          <t>其他</t>
        </is>
      </c>
      <c r="I3" s="5" t="inlineStr"/>
      <c r="J3" s="5" t="inlineStr">
        <is>
          <t>启用</t>
        </is>
      </c>
      <c r="K3" s="5" t="inlineStr">
        <is>
          <t>否</t>
        </is>
      </c>
      <c r="L3" s="5" t="inlineStr">
        <is>
          <t>否</t>
        </is>
      </c>
      <c r="M3" s="5" t="inlineStr">
        <is>
          <t>否</t>
        </is>
      </c>
      <c r="N3" s="5" t="inlineStr">
        <is>
          <t>否</t>
        </is>
      </c>
      <c r="O3" s="5" t="inlineStr">
        <is>
          <t>否</t>
        </is>
      </c>
      <c r="S3" s="5" t="inlineStr">
        <is>
          <t>否</t>
        </is>
      </c>
      <c r="T3" s="5" t="inlineStr">
        <is>
          <t>否</t>
        </is>
      </c>
      <c r="V3" s="5" t="inlineStr">
        <is>
          <t>0</t>
        </is>
      </c>
      <c r="W3" s="5" t="inlineStr">
        <is>
          <t>否</t>
        </is>
      </c>
      <c r="X3" s="5" t="inlineStr">
        <is>
          <t>999</t>
        </is>
      </c>
    </row>
    <row r="4" s="83">
      <c r="A4" s="5" t="inlineStr">
        <is>
          <t>2225580121718259712</t>
        </is>
      </c>
      <c r="B4" s="5" t="inlineStr">
        <is>
          <t>企业账号级</t>
        </is>
      </c>
      <c r="C4" s="5" t="inlineStr">
        <is>
          <t>Q3301</t>
        </is>
      </c>
      <c r="D4" s="5" t="inlineStr">
        <is>
          <t>理财收支</t>
        </is>
      </c>
      <c r="G4" s="5" t="inlineStr">
        <is>
          <t>Q33</t>
        </is>
      </c>
      <c r="H4" s="5" t="inlineStr">
        <is>
          <t>理财</t>
        </is>
      </c>
      <c r="I4" s="5" t="inlineStr"/>
      <c r="J4" s="5" t="inlineStr">
        <is>
          <t>启用</t>
        </is>
      </c>
      <c r="K4" s="5" t="inlineStr">
        <is>
          <t>否</t>
        </is>
      </c>
      <c r="L4" s="5" t="inlineStr">
        <is>
          <t>否</t>
        </is>
      </c>
      <c r="M4" s="5" t="inlineStr">
        <is>
          <t>否</t>
        </is>
      </c>
      <c r="N4" s="5" t="inlineStr">
        <is>
          <t>否</t>
        </is>
      </c>
      <c r="O4" s="5" t="inlineStr">
        <is>
          <t>否</t>
        </is>
      </c>
      <c r="S4" s="5" t="inlineStr">
        <is>
          <t>否</t>
        </is>
      </c>
      <c r="T4" s="5" t="inlineStr">
        <is>
          <t>否</t>
        </is>
      </c>
      <c r="V4" s="5" t="inlineStr">
        <is>
          <t>0</t>
        </is>
      </c>
      <c r="W4" s="5" t="inlineStr">
        <is>
          <t>否</t>
        </is>
      </c>
      <c r="X4" s="5" t="inlineStr">
        <is>
          <t>999</t>
        </is>
      </c>
    </row>
    <row r="5" s="83">
      <c r="A5" s="5" t="inlineStr">
        <is>
          <t>2225579984277733378</t>
        </is>
      </c>
      <c r="B5" s="5" t="inlineStr">
        <is>
          <t>企业账号级</t>
        </is>
      </c>
      <c r="C5" s="5" t="inlineStr">
        <is>
          <t>Q33</t>
        </is>
      </c>
      <c r="D5" s="5" t="inlineStr">
        <is>
          <t>理财</t>
        </is>
      </c>
      <c r="I5" s="5" t="inlineStr"/>
      <c r="J5" s="5" t="inlineStr">
        <is>
          <t>启用</t>
        </is>
      </c>
      <c r="K5" s="5" t="inlineStr">
        <is>
          <t>否</t>
        </is>
      </c>
      <c r="L5" s="5" t="inlineStr">
        <is>
          <t>否</t>
        </is>
      </c>
      <c r="M5" s="5" t="inlineStr">
        <is>
          <t>否</t>
        </is>
      </c>
      <c r="N5" s="5" t="inlineStr">
        <is>
          <t>否</t>
        </is>
      </c>
      <c r="O5" s="5" t="inlineStr">
        <is>
          <t>否</t>
        </is>
      </c>
      <c r="S5" s="5" t="inlineStr">
        <is>
          <t>否</t>
        </is>
      </c>
      <c r="T5" s="5" t="inlineStr">
        <is>
          <t>否</t>
        </is>
      </c>
      <c r="V5" s="5" t="inlineStr">
        <is>
          <t>0</t>
        </is>
      </c>
      <c r="W5" s="5" t="inlineStr">
        <is>
          <t>否</t>
        </is>
      </c>
      <c r="X5" s="5" t="inlineStr">
        <is>
          <t>999</t>
        </is>
      </c>
    </row>
    <row r="6" s="83">
      <c r="A6" s="5" t="inlineStr">
        <is>
          <t>2225576187526643714</t>
        </is>
      </c>
      <c r="B6" s="5" t="inlineStr">
        <is>
          <t>企业账号级</t>
        </is>
      </c>
      <c r="C6" s="5" t="inlineStr">
        <is>
          <t>Q3209</t>
        </is>
      </c>
      <c r="D6" s="5" t="inlineStr">
        <is>
          <t>笔尖</t>
        </is>
      </c>
      <c r="G6" s="5" t="inlineStr">
        <is>
          <t>Q32</t>
        </is>
      </c>
      <c r="H6" s="5" t="inlineStr">
        <is>
          <t>生产成本</t>
        </is>
      </c>
      <c r="I6" s="5" t="inlineStr"/>
      <c r="J6" s="5" t="inlineStr">
        <is>
          <t>启用</t>
        </is>
      </c>
      <c r="K6" s="5" t="inlineStr">
        <is>
          <t>否</t>
        </is>
      </c>
      <c r="L6" s="5" t="inlineStr">
        <is>
          <t>否</t>
        </is>
      </c>
      <c r="M6" s="5" t="inlineStr">
        <is>
          <t>否</t>
        </is>
      </c>
      <c r="N6" s="5" t="inlineStr">
        <is>
          <t>否</t>
        </is>
      </c>
      <c r="O6" s="5" t="inlineStr">
        <is>
          <t>否</t>
        </is>
      </c>
      <c r="S6" s="5" t="inlineStr">
        <is>
          <t>否</t>
        </is>
      </c>
      <c r="T6" s="5" t="inlineStr">
        <is>
          <t>否</t>
        </is>
      </c>
      <c r="V6" s="5" t="inlineStr">
        <is>
          <t>0</t>
        </is>
      </c>
      <c r="W6" s="5" t="inlineStr">
        <is>
          <t>否</t>
        </is>
      </c>
      <c r="X6" s="5" t="inlineStr">
        <is>
          <t>999</t>
        </is>
      </c>
    </row>
    <row r="7" s="83">
      <c r="A7" s="5" t="inlineStr">
        <is>
          <t>2225576084447428617</t>
        </is>
      </c>
      <c r="B7" s="5" t="inlineStr">
        <is>
          <t>企业账号级</t>
        </is>
      </c>
      <c r="C7" s="5" t="inlineStr">
        <is>
          <t>Q3208</t>
        </is>
      </c>
      <c r="D7" s="5" t="inlineStr">
        <is>
          <t>贴纸/说明书</t>
        </is>
      </c>
      <c r="G7" s="5" t="inlineStr">
        <is>
          <t>Q32</t>
        </is>
      </c>
      <c r="H7" s="5" t="inlineStr">
        <is>
          <t>生产成本</t>
        </is>
      </c>
      <c r="I7" s="5" t="inlineStr"/>
      <c r="J7" s="5" t="inlineStr">
        <is>
          <t>启用</t>
        </is>
      </c>
      <c r="K7" s="5" t="inlineStr">
        <is>
          <t>否</t>
        </is>
      </c>
      <c r="L7" s="5" t="inlineStr">
        <is>
          <t>否</t>
        </is>
      </c>
      <c r="M7" s="5" t="inlineStr">
        <is>
          <t>否</t>
        </is>
      </c>
      <c r="N7" s="5" t="inlineStr">
        <is>
          <t>否</t>
        </is>
      </c>
      <c r="O7" s="5" t="inlineStr">
        <is>
          <t>否</t>
        </is>
      </c>
      <c r="S7" s="5" t="inlineStr">
        <is>
          <t>否</t>
        </is>
      </c>
      <c r="T7" s="5" t="inlineStr">
        <is>
          <t>否</t>
        </is>
      </c>
      <c r="V7" s="5" t="inlineStr">
        <is>
          <t>0</t>
        </is>
      </c>
      <c r="W7" s="5" t="inlineStr">
        <is>
          <t>否</t>
        </is>
      </c>
      <c r="X7" s="5" t="inlineStr">
        <is>
          <t>999</t>
        </is>
      </c>
    </row>
    <row r="8" s="83">
      <c r="A8" s="5" t="inlineStr">
        <is>
          <t>2225575921240244228</t>
        </is>
      </c>
      <c r="B8" s="5" t="inlineStr">
        <is>
          <t>企业账号级</t>
        </is>
      </c>
      <c r="C8" s="5" t="inlineStr">
        <is>
          <t>Q3207</t>
        </is>
      </c>
      <c r="D8" s="5" t="inlineStr">
        <is>
          <t>包机膜</t>
        </is>
      </c>
      <c r="G8" s="5" t="inlineStr">
        <is>
          <t>Q32</t>
        </is>
      </c>
      <c r="H8" s="5" t="inlineStr">
        <is>
          <t>生产成本</t>
        </is>
      </c>
      <c r="I8" s="5" t="inlineStr"/>
      <c r="J8" s="5" t="inlineStr">
        <is>
          <t>启用</t>
        </is>
      </c>
      <c r="K8" s="5" t="inlineStr">
        <is>
          <t>否</t>
        </is>
      </c>
      <c r="L8" s="5" t="inlineStr">
        <is>
          <t>否</t>
        </is>
      </c>
      <c r="M8" s="5" t="inlineStr">
        <is>
          <t>否</t>
        </is>
      </c>
      <c r="N8" s="5" t="inlineStr">
        <is>
          <t>否</t>
        </is>
      </c>
      <c r="O8" s="5" t="inlineStr">
        <is>
          <t>否</t>
        </is>
      </c>
      <c r="S8" s="5" t="inlineStr">
        <is>
          <t>否</t>
        </is>
      </c>
      <c r="T8" s="5" t="inlineStr">
        <is>
          <t>否</t>
        </is>
      </c>
      <c r="V8" s="5" t="inlineStr">
        <is>
          <t>0</t>
        </is>
      </c>
      <c r="W8" s="5" t="inlineStr">
        <is>
          <t>否</t>
        </is>
      </c>
      <c r="X8" s="5" t="inlineStr">
        <is>
          <t>999</t>
        </is>
      </c>
    </row>
    <row r="9" s="83">
      <c r="A9" s="5" t="inlineStr">
        <is>
          <t>2225575792421109769</t>
        </is>
      </c>
      <c r="B9" s="5" t="inlineStr">
        <is>
          <t>企业账号级</t>
        </is>
      </c>
      <c r="C9" s="5" t="inlineStr">
        <is>
          <t>Q3206</t>
        </is>
      </c>
      <c r="D9" s="5" t="inlineStr">
        <is>
          <t>生产成本-员工报销</t>
        </is>
      </c>
      <c r="G9" s="5" t="inlineStr">
        <is>
          <t>Q32</t>
        </is>
      </c>
      <c r="H9" s="5" t="inlineStr">
        <is>
          <t>生产成本</t>
        </is>
      </c>
      <c r="I9" s="5" t="inlineStr"/>
      <c r="J9" s="5" t="inlineStr">
        <is>
          <t>启用</t>
        </is>
      </c>
      <c r="K9" s="5" t="inlineStr">
        <is>
          <t>否</t>
        </is>
      </c>
      <c r="L9" s="5" t="inlineStr">
        <is>
          <t>否</t>
        </is>
      </c>
      <c r="M9" s="5" t="inlineStr">
        <is>
          <t>否</t>
        </is>
      </c>
      <c r="N9" s="5" t="inlineStr">
        <is>
          <t>否</t>
        </is>
      </c>
      <c r="O9" s="5" t="inlineStr">
        <is>
          <t>否</t>
        </is>
      </c>
      <c r="S9" s="5" t="inlineStr">
        <is>
          <t>否</t>
        </is>
      </c>
      <c r="T9" s="5" t="inlineStr">
        <is>
          <t>否</t>
        </is>
      </c>
      <c r="V9" s="5" t="inlineStr">
        <is>
          <t>0</t>
        </is>
      </c>
      <c r="W9" s="5" t="inlineStr">
        <is>
          <t>否</t>
        </is>
      </c>
      <c r="X9" s="5" t="inlineStr">
        <is>
          <t>999</t>
        </is>
      </c>
    </row>
    <row r="10" s="83">
      <c r="A10" s="5" t="inlineStr">
        <is>
          <t>2225575637772402693</t>
        </is>
      </c>
      <c r="B10" s="5" t="inlineStr">
        <is>
          <t>企业账号级</t>
        </is>
      </c>
      <c r="C10" s="5" t="inlineStr">
        <is>
          <t>Q3205</t>
        </is>
      </c>
      <c r="D10" s="5" t="inlineStr">
        <is>
          <t>低值易耗品采购</t>
        </is>
      </c>
      <c r="G10" s="5" t="inlineStr">
        <is>
          <t>Q32</t>
        </is>
      </c>
      <c r="H10" s="5" t="inlineStr">
        <is>
          <t>生产成本</t>
        </is>
      </c>
      <c r="I10" s="5" t="inlineStr"/>
      <c r="J10" s="5" t="inlineStr">
        <is>
          <t>启用</t>
        </is>
      </c>
      <c r="K10" s="5" t="inlineStr">
        <is>
          <t>否</t>
        </is>
      </c>
      <c r="L10" s="5" t="inlineStr">
        <is>
          <t>否</t>
        </is>
      </c>
      <c r="M10" s="5" t="inlineStr">
        <is>
          <t>否</t>
        </is>
      </c>
      <c r="N10" s="5" t="inlineStr">
        <is>
          <t>否</t>
        </is>
      </c>
      <c r="O10" s="5" t="inlineStr">
        <is>
          <t>否</t>
        </is>
      </c>
      <c r="S10" s="5" t="inlineStr">
        <is>
          <t>否</t>
        </is>
      </c>
      <c r="T10" s="5" t="inlineStr">
        <is>
          <t>否</t>
        </is>
      </c>
      <c r="V10" s="5" t="inlineStr">
        <is>
          <t>0</t>
        </is>
      </c>
      <c r="W10" s="5" t="inlineStr">
        <is>
          <t>否</t>
        </is>
      </c>
      <c r="X10" s="5" t="inlineStr">
        <is>
          <t>999</t>
        </is>
      </c>
    </row>
    <row r="11" s="83">
      <c r="A11" s="5" t="inlineStr">
        <is>
          <t>2225575508923383812</t>
        </is>
      </c>
      <c r="B11" s="5" t="inlineStr">
        <is>
          <t>企业账号级</t>
        </is>
      </c>
      <c r="C11" s="5" t="inlineStr">
        <is>
          <t>Q3204</t>
        </is>
      </c>
      <c r="D11" s="5" t="inlineStr">
        <is>
          <t>运输费</t>
        </is>
      </c>
      <c r="G11" s="5" t="inlineStr">
        <is>
          <t>Q32</t>
        </is>
      </c>
      <c r="H11" s="5" t="inlineStr">
        <is>
          <t>生产成本</t>
        </is>
      </c>
      <c r="I11" s="5" t="inlineStr"/>
      <c r="J11" s="5" t="inlineStr">
        <is>
          <t>启用</t>
        </is>
      </c>
      <c r="K11" s="5" t="inlineStr">
        <is>
          <t>否</t>
        </is>
      </c>
      <c r="L11" s="5" t="inlineStr">
        <is>
          <t>否</t>
        </is>
      </c>
      <c r="M11" s="5" t="inlineStr">
        <is>
          <t>否</t>
        </is>
      </c>
      <c r="N11" s="5" t="inlineStr">
        <is>
          <t>否</t>
        </is>
      </c>
      <c r="O11" s="5" t="inlineStr">
        <is>
          <t>否</t>
        </is>
      </c>
      <c r="S11" s="5" t="inlineStr">
        <is>
          <t>否</t>
        </is>
      </c>
      <c r="T11" s="5" t="inlineStr">
        <is>
          <t>否</t>
        </is>
      </c>
      <c r="V11" s="5" t="inlineStr">
        <is>
          <t>0</t>
        </is>
      </c>
      <c r="W11" s="5" t="inlineStr">
        <is>
          <t>否</t>
        </is>
      </c>
      <c r="X11" s="5" t="inlineStr">
        <is>
          <t>999</t>
        </is>
      </c>
    </row>
    <row r="12" s="83">
      <c r="A12" s="5" t="inlineStr">
        <is>
          <t>2225575362894495751</t>
        </is>
      </c>
      <c r="B12" s="5" t="inlineStr">
        <is>
          <t>企业账号级</t>
        </is>
      </c>
      <c r="C12" s="5" t="inlineStr">
        <is>
          <t>Q3203</t>
        </is>
      </c>
      <c r="D12" s="5" t="inlineStr">
        <is>
          <t>西溪首座仓库装修费</t>
        </is>
      </c>
      <c r="G12" s="5" t="inlineStr">
        <is>
          <t>Q32</t>
        </is>
      </c>
      <c r="H12" s="5" t="inlineStr">
        <is>
          <t>生产成本</t>
        </is>
      </c>
      <c r="I12" s="5" t="inlineStr"/>
      <c r="J12" s="5" t="inlineStr">
        <is>
          <t>启用</t>
        </is>
      </c>
      <c r="K12" s="5" t="inlineStr">
        <is>
          <t>否</t>
        </is>
      </c>
      <c r="L12" s="5" t="inlineStr">
        <is>
          <t>否</t>
        </is>
      </c>
      <c r="M12" s="5" t="inlineStr">
        <is>
          <t>否</t>
        </is>
      </c>
      <c r="N12" s="5" t="inlineStr">
        <is>
          <t>否</t>
        </is>
      </c>
      <c r="O12" s="5" t="inlineStr">
        <is>
          <t>否</t>
        </is>
      </c>
      <c r="S12" s="5" t="inlineStr">
        <is>
          <t>否</t>
        </is>
      </c>
      <c r="T12" s="5" t="inlineStr">
        <is>
          <t>否</t>
        </is>
      </c>
      <c r="V12" s="5" t="inlineStr">
        <is>
          <t>0</t>
        </is>
      </c>
      <c r="W12" s="5" t="inlineStr">
        <is>
          <t>否</t>
        </is>
      </c>
      <c r="X12" s="5" t="inlineStr">
        <is>
          <t>999</t>
        </is>
      </c>
    </row>
    <row r="13" s="83">
      <c r="A13" s="5" t="inlineStr">
        <is>
          <t>2225575199685738502</t>
        </is>
      </c>
      <c r="B13" s="5" t="inlineStr">
        <is>
          <t>企业账号级</t>
        </is>
      </c>
      <c r="C13" s="5" t="inlineStr">
        <is>
          <t>Q3202</t>
        </is>
      </c>
      <c r="D13" s="5" t="inlineStr">
        <is>
          <t>西溪首座仓库物业水电费</t>
        </is>
      </c>
      <c r="G13" s="5" t="inlineStr">
        <is>
          <t>Q32</t>
        </is>
      </c>
      <c r="H13" s="5" t="inlineStr">
        <is>
          <t>生产成本</t>
        </is>
      </c>
      <c r="I13" s="5" t="inlineStr"/>
      <c r="J13" s="5" t="inlineStr">
        <is>
          <t>启用</t>
        </is>
      </c>
      <c r="K13" s="5" t="inlineStr">
        <is>
          <t>否</t>
        </is>
      </c>
      <c r="L13" s="5" t="inlineStr">
        <is>
          <t>否</t>
        </is>
      </c>
      <c r="M13" s="5" t="inlineStr">
        <is>
          <t>否</t>
        </is>
      </c>
      <c r="N13" s="5" t="inlineStr">
        <is>
          <t>否</t>
        </is>
      </c>
      <c r="O13" s="5" t="inlineStr">
        <is>
          <t>否</t>
        </is>
      </c>
      <c r="S13" s="5" t="inlineStr">
        <is>
          <t>否</t>
        </is>
      </c>
      <c r="T13" s="5" t="inlineStr">
        <is>
          <t>否</t>
        </is>
      </c>
      <c r="V13" s="5" t="inlineStr">
        <is>
          <t>0</t>
        </is>
      </c>
      <c r="W13" s="5" t="inlineStr">
        <is>
          <t>否</t>
        </is>
      </c>
      <c r="X13" s="5" t="inlineStr">
        <is>
          <t>999</t>
        </is>
      </c>
    </row>
    <row r="14" s="83">
      <c r="A14" s="5" t="inlineStr">
        <is>
          <t>2225574692909481986</t>
        </is>
      </c>
      <c r="B14" s="5" t="inlineStr">
        <is>
          <t>企业账号级</t>
        </is>
      </c>
      <c r="C14" s="5" t="inlineStr">
        <is>
          <t>Q3201</t>
        </is>
      </c>
      <c r="D14" s="5" t="inlineStr">
        <is>
          <t>西溪首座仓库租金</t>
        </is>
      </c>
      <c r="G14" s="5" t="inlineStr">
        <is>
          <t>Q32</t>
        </is>
      </c>
      <c r="H14" s="5" t="inlineStr">
        <is>
          <t>生产成本</t>
        </is>
      </c>
      <c r="I14" s="5" t="inlineStr"/>
      <c r="J14" s="5" t="inlineStr">
        <is>
          <t>启用</t>
        </is>
      </c>
      <c r="K14" s="5" t="inlineStr">
        <is>
          <t>否</t>
        </is>
      </c>
      <c r="L14" s="5" t="inlineStr">
        <is>
          <t>否</t>
        </is>
      </c>
      <c r="M14" s="5" t="inlineStr">
        <is>
          <t>否</t>
        </is>
      </c>
      <c r="N14" s="5" t="inlineStr">
        <is>
          <t>否</t>
        </is>
      </c>
      <c r="O14" s="5" t="inlineStr">
        <is>
          <t>否</t>
        </is>
      </c>
      <c r="S14" s="5" t="inlineStr">
        <is>
          <t>否</t>
        </is>
      </c>
      <c r="T14" s="5" t="inlineStr">
        <is>
          <t>否</t>
        </is>
      </c>
      <c r="V14" s="5" t="inlineStr">
        <is>
          <t>0</t>
        </is>
      </c>
      <c r="W14" s="5" t="inlineStr">
        <is>
          <t>否</t>
        </is>
      </c>
      <c r="X14" s="5" t="inlineStr">
        <is>
          <t>999</t>
        </is>
      </c>
    </row>
    <row r="15" s="83">
      <c r="A15" s="5" t="inlineStr">
        <is>
          <t>2225574443801378816</t>
        </is>
      </c>
      <c r="B15" s="5" t="inlineStr">
        <is>
          <t>企业账号级</t>
        </is>
      </c>
      <c r="C15" s="5" t="inlineStr">
        <is>
          <t>Q32</t>
        </is>
      </c>
      <c r="D15" s="5" t="inlineStr">
        <is>
          <t>生产成本</t>
        </is>
      </c>
      <c r="I15" s="5" t="inlineStr"/>
      <c r="J15" s="5" t="inlineStr">
        <is>
          <t>启用</t>
        </is>
      </c>
      <c r="K15" s="5" t="inlineStr">
        <is>
          <t>否</t>
        </is>
      </c>
      <c r="L15" s="5" t="inlineStr">
        <is>
          <t>否</t>
        </is>
      </c>
      <c r="M15" s="5" t="inlineStr">
        <is>
          <t>否</t>
        </is>
      </c>
      <c r="N15" s="5" t="inlineStr">
        <is>
          <t>否</t>
        </is>
      </c>
      <c r="O15" s="5" t="inlineStr">
        <is>
          <t>否</t>
        </is>
      </c>
      <c r="S15" s="5" t="inlineStr">
        <is>
          <t>否</t>
        </is>
      </c>
      <c r="T15" s="5" t="inlineStr">
        <is>
          <t>否</t>
        </is>
      </c>
      <c r="V15" s="5" t="inlineStr">
        <is>
          <t>0</t>
        </is>
      </c>
      <c r="W15" s="5" t="inlineStr">
        <is>
          <t>否</t>
        </is>
      </c>
      <c r="X15" s="5" t="inlineStr">
        <is>
          <t>999</t>
        </is>
      </c>
    </row>
    <row r="16" s="83">
      <c r="A16" s="5" t="inlineStr">
        <is>
          <t>2225570054313345030</t>
        </is>
      </c>
      <c r="B16" s="5" t="inlineStr">
        <is>
          <t>企业账号级</t>
        </is>
      </c>
      <c r="C16" s="5" t="inlineStr">
        <is>
          <t>Q3104</t>
        </is>
      </c>
      <c r="D16" s="5" t="inlineStr">
        <is>
          <t>违约金支出</t>
        </is>
      </c>
      <c r="G16" s="5" t="inlineStr">
        <is>
          <t>Q31</t>
        </is>
      </c>
      <c r="H16" s="5" t="inlineStr">
        <is>
          <t>营业外支出</t>
        </is>
      </c>
      <c r="I16" s="5" t="inlineStr"/>
      <c r="J16" s="5" t="inlineStr">
        <is>
          <t>启用</t>
        </is>
      </c>
      <c r="K16" s="5" t="inlineStr">
        <is>
          <t>否</t>
        </is>
      </c>
      <c r="L16" s="5" t="inlineStr">
        <is>
          <t>否</t>
        </is>
      </c>
      <c r="M16" s="5" t="inlineStr">
        <is>
          <t>否</t>
        </is>
      </c>
      <c r="N16" s="5" t="inlineStr">
        <is>
          <t>否</t>
        </is>
      </c>
      <c r="O16" s="5" t="inlineStr">
        <is>
          <t>否</t>
        </is>
      </c>
      <c r="S16" s="5" t="inlineStr">
        <is>
          <t>否</t>
        </is>
      </c>
      <c r="T16" s="5" t="inlineStr">
        <is>
          <t>否</t>
        </is>
      </c>
      <c r="V16" s="5" t="inlineStr">
        <is>
          <t>0</t>
        </is>
      </c>
      <c r="W16" s="5" t="inlineStr">
        <is>
          <t>否</t>
        </is>
      </c>
      <c r="X16" s="5" t="inlineStr">
        <is>
          <t>999</t>
        </is>
      </c>
    </row>
    <row r="17" s="83">
      <c r="A17" s="5" t="inlineStr">
        <is>
          <t>2225569444459446277</t>
        </is>
      </c>
      <c r="B17" s="5" t="inlineStr">
        <is>
          <t>企业账号级</t>
        </is>
      </c>
      <c r="C17" s="5" t="inlineStr">
        <is>
          <t>Q2807</t>
        </is>
      </c>
      <c r="D17" s="5" t="inlineStr">
        <is>
          <t>软件服务费</t>
        </is>
      </c>
      <c r="G17" s="5" t="inlineStr">
        <is>
          <t>Q28</t>
        </is>
      </c>
      <c r="H17" s="5" t="inlineStr">
        <is>
          <t>服务费</t>
        </is>
      </c>
      <c r="I17" s="5" t="inlineStr"/>
      <c r="J17" s="5" t="inlineStr">
        <is>
          <t>启用</t>
        </is>
      </c>
      <c r="K17" s="5" t="inlineStr">
        <is>
          <t>否</t>
        </is>
      </c>
      <c r="L17" s="5" t="inlineStr">
        <is>
          <t>否</t>
        </is>
      </c>
      <c r="M17" s="5" t="inlineStr">
        <is>
          <t>否</t>
        </is>
      </c>
      <c r="N17" s="5" t="inlineStr">
        <is>
          <t>否</t>
        </is>
      </c>
      <c r="O17" s="5" t="inlineStr">
        <is>
          <t>否</t>
        </is>
      </c>
      <c r="S17" s="5" t="inlineStr">
        <is>
          <t>否</t>
        </is>
      </c>
      <c r="T17" s="5" t="inlineStr">
        <is>
          <t>否</t>
        </is>
      </c>
      <c r="V17" s="5" t="inlineStr">
        <is>
          <t>0</t>
        </is>
      </c>
      <c r="W17" s="5" t="inlineStr">
        <is>
          <t>否</t>
        </is>
      </c>
      <c r="X17" s="5" t="inlineStr">
        <is>
          <t>999</t>
        </is>
      </c>
    </row>
    <row r="18" s="83">
      <c r="A18" s="5" t="inlineStr">
        <is>
          <t>2225547351117791241</t>
        </is>
      </c>
      <c r="B18" s="5" t="inlineStr">
        <is>
          <t>企业账号级</t>
        </is>
      </c>
      <c r="C18" s="5" t="inlineStr">
        <is>
          <t>Q2209</t>
        </is>
      </c>
      <c r="D18" s="5" t="inlineStr">
        <is>
          <t>其他平台扣款</t>
        </is>
      </c>
      <c r="G18" s="5" t="inlineStr">
        <is>
          <t>Q22</t>
        </is>
      </c>
      <c r="H18" s="5" t="inlineStr">
        <is>
          <t>平台运营</t>
        </is>
      </c>
      <c r="I18" s="5" t="inlineStr"/>
      <c r="J18" s="5" t="inlineStr">
        <is>
          <t>启用</t>
        </is>
      </c>
      <c r="K18" s="5" t="inlineStr">
        <is>
          <t>否</t>
        </is>
      </c>
      <c r="L18" s="5" t="inlineStr">
        <is>
          <t>否</t>
        </is>
      </c>
      <c r="M18" s="5" t="inlineStr">
        <is>
          <t>否</t>
        </is>
      </c>
      <c r="N18" s="5" t="inlineStr">
        <is>
          <t>否</t>
        </is>
      </c>
      <c r="O18" s="5" t="inlineStr">
        <is>
          <t>否</t>
        </is>
      </c>
      <c r="S18" s="5" t="inlineStr">
        <is>
          <t>否</t>
        </is>
      </c>
      <c r="T18" s="5" t="inlineStr">
        <is>
          <t>否</t>
        </is>
      </c>
      <c r="V18" s="5" t="inlineStr">
        <is>
          <t>0</t>
        </is>
      </c>
      <c r="W18" s="5" t="inlineStr">
        <is>
          <t>否</t>
        </is>
      </c>
      <c r="X18" s="5" t="inlineStr">
        <is>
          <t>999</t>
        </is>
      </c>
    </row>
    <row r="19" s="83">
      <c r="A19" s="5" t="inlineStr">
        <is>
          <t>2225547144959361032</t>
        </is>
      </c>
      <c r="B19" s="5" t="inlineStr">
        <is>
          <t>企业账号级</t>
        </is>
      </c>
      <c r="C19" s="5" t="inlineStr">
        <is>
          <t>Q2208</t>
        </is>
      </c>
      <c r="D19" s="5" t="inlineStr">
        <is>
          <t>平台推荐佣金</t>
        </is>
      </c>
      <c r="G19" s="5" t="inlineStr">
        <is>
          <t>Q22</t>
        </is>
      </c>
      <c r="H19" s="5" t="inlineStr">
        <is>
          <t>平台运营</t>
        </is>
      </c>
      <c r="I19" s="5" t="inlineStr"/>
      <c r="J19" s="5" t="inlineStr">
        <is>
          <t>启用</t>
        </is>
      </c>
      <c r="K19" s="5" t="inlineStr">
        <is>
          <t>否</t>
        </is>
      </c>
      <c r="L19" s="5" t="inlineStr">
        <is>
          <t>否</t>
        </is>
      </c>
      <c r="M19" s="5" t="inlineStr">
        <is>
          <t>否</t>
        </is>
      </c>
      <c r="N19" s="5" t="inlineStr">
        <is>
          <t>否</t>
        </is>
      </c>
      <c r="O19" s="5" t="inlineStr">
        <is>
          <t>否</t>
        </is>
      </c>
      <c r="S19" s="5" t="inlineStr">
        <is>
          <t>否</t>
        </is>
      </c>
      <c r="T19" s="5" t="inlineStr">
        <is>
          <t>否</t>
        </is>
      </c>
      <c r="V19" s="5" t="inlineStr">
        <is>
          <t>0</t>
        </is>
      </c>
      <c r="W19" s="5" t="inlineStr">
        <is>
          <t>否</t>
        </is>
      </c>
      <c r="X19" s="5" t="inlineStr">
        <is>
          <t>999</t>
        </is>
      </c>
    </row>
    <row r="20" s="83">
      <c r="A20" s="5" t="inlineStr">
        <is>
          <t>2225546973190553601</t>
        </is>
      </c>
      <c r="B20" s="5" t="inlineStr">
        <is>
          <t>企业账号级</t>
        </is>
      </c>
      <c r="C20" s="5" t="inlineStr">
        <is>
          <t>Q2207</t>
        </is>
      </c>
      <c r="D20" s="5" t="inlineStr">
        <is>
          <t>平台积分扣款</t>
        </is>
      </c>
      <c r="G20" s="5" t="inlineStr">
        <is>
          <t>Q22</t>
        </is>
      </c>
      <c r="H20" s="5" t="inlineStr">
        <is>
          <t>平台运营</t>
        </is>
      </c>
      <c r="I20" s="5" t="inlineStr"/>
      <c r="J20" s="5" t="inlineStr">
        <is>
          <t>启用</t>
        </is>
      </c>
      <c r="K20" s="5" t="inlineStr">
        <is>
          <t>否</t>
        </is>
      </c>
      <c r="L20" s="5" t="inlineStr">
        <is>
          <t>否</t>
        </is>
      </c>
      <c r="M20" s="5" t="inlineStr">
        <is>
          <t>否</t>
        </is>
      </c>
      <c r="N20" s="5" t="inlineStr">
        <is>
          <t>否</t>
        </is>
      </c>
      <c r="O20" s="5" t="inlineStr">
        <is>
          <t>否</t>
        </is>
      </c>
      <c r="S20" s="5" t="inlineStr">
        <is>
          <t>否</t>
        </is>
      </c>
      <c r="T20" s="5" t="inlineStr">
        <is>
          <t>否</t>
        </is>
      </c>
      <c r="V20" s="5" t="inlineStr">
        <is>
          <t>0</t>
        </is>
      </c>
      <c r="W20" s="5" t="inlineStr">
        <is>
          <t>否</t>
        </is>
      </c>
      <c r="X20" s="5" t="inlineStr">
        <is>
          <t>999</t>
        </is>
      </c>
    </row>
    <row r="21" s="83">
      <c r="A21" s="5" t="inlineStr">
        <is>
          <t>2225546715461058564</t>
        </is>
      </c>
      <c r="B21" s="5" t="inlineStr">
        <is>
          <t>企业账号级</t>
        </is>
      </c>
      <c r="C21" s="5" t="inlineStr">
        <is>
          <t>Q2206</t>
        </is>
      </c>
      <c r="D21" s="5" t="inlineStr">
        <is>
          <t>消费者赔付</t>
        </is>
      </c>
      <c r="G21" s="5" t="inlineStr">
        <is>
          <t>Q22</t>
        </is>
      </c>
      <c r="H21" s="5" t="inlineStr">
        <is>
          <t>平台运营</t>
        </is>
      </c>
      <c r="I21" s="5" t="inlineStr"/>
      <c r="J21" s="5" t="inlineStr">
        <is>
          <t>启用</t>
        </is>
      </c>
      <c r="K21" s="5" t="inlineStr">
        <is>
          <t>否</t>
        </is>
      </c>
      <c r="L21" s="5" t="inlineStr">
        <is>
          <t>否</t>
        </is>
      </c>
      <c r="M21" s="5" t="inlineStr">
        <is>
          <t>否</t>
        </is>
      </c>
      <c r="N21" s="5" t="inlineStr">
        <is>
          <t>否</t>
        </is>
      </c>
      <c r="O21" s="5" t="inlineStr">
        <is>
          <t>否</t>
        </is>
      </c>
      <c r="S21" s="5" t="inlineStr">
        <is>
          <t>否</t>
        </is>
      </c>
      <c r="T21" s="5" t="inlineStr">
        <is>
          <t>否</t>
        </is>
      </c>
      <c r="V21" s="5" t="inlineStr">
        <is>
          <t>0</t>
        </is>
      </c>
      <c r="W21" s="5" t="inlineStr">
        <is>
          <t>否</t>
        </is>
      </c>
      <c r="X21" s="5" t="inlineStr">
        <is>
          <t>999</t>
        </is>
      </c>
    </row>
    <row r="22" s="83">
      <c r="A22" s="5" t="inlineStr">
        <is>
          <t>2225546612413300736</t>
        </is>
      </c>
      <c r="B22" s="5" t="inlineStr">
        <is>
          <t>企业账号级</t>
        </is>
      </c>
      <c r="C22" s="5" t="inlineStr">
        <is>
          <t>Q2205</t>
        </is>
      </c>
      <c r="D22" s="5" t="inlineStr">
        <is>
          <t>权益保险</t>
        </is>
      </c>
      <c r="G22" s="5" t="inlineStr">
        <is>
          <t>Q22</t>
        </is>
      </c>
      <c r="H22" s="5" t="inlineStr">
        <is>
          <t>平台运营</t>
        </is>
      </c>
      <c r="I22" s="5" t="inlineStr"/>
      <c r="J22" s="5" t="inlineStr">
        <is>
          <t>启用</t>
        </is>
      </c>
      <c r="K22" s="5" t="inlineStr">
        <is>
          <t>否</t>
        </is>
      </c>
      <c r="L22" s="5" t="inlineStr">
        <is>
          <t>否</t>
        </is>
      </c>
      <c r="M22" s="5" t="inlineStr">
        <is>
          <t>否</t>
        </is>
      </c>
      <c r="N22" s="5" t="inlineStr">
        <is>
          <t>否</t>
        </is>
      </c>
      <c r="O22" s="5" t="inlineStr">
        <is>
          <t>否</t>
        </is>
      </c>
      <c r="S22" s="5" t="inlineStr">
        <is>
          <t>否</t>
        </is>
      </c>
      <c r="T22" s="5" t="inlineStr">
        <is>
          <t>否</t>
        </is>
      </c>
      <c r="V22" s="5" t="inlineStr">
        <is>
          <t>0</t>
        </is>
      </c>
      <c r="W22" s="5" t="inlineStr">
        <is>
          <t>否</t>
        </is>
      </c>
      <c r="X22" s="5" t="inlineStr">
        <is>
          <t>999</t>
        </is>
      </c>
    </row>
    <row r="23" s="83">
      <c r="A23" s="5" t="inlineStr">
        <is>
          <t>2225546423434739718</t>
        </is>
      </c>
      <c r="B23" s="5" t="inlineStr">
        <is>
          <t>企业账号级</t>
        </is>
      </c>
      <c r="C23" s="5" t="inlineStr">
        <is>
          <t>Q2204</t>
        </is>
      </c>
      <c r="D23" s="5" t="inlineStr">
        <is>
          <t>分期服务费</t>
        </is>
      </c>
      <c r="G23" s="5" t="inlineStr">
        <is>
          <t>Q22</t>
        </is>
      </c>
      <c r="H23" s="5" t="inlineStr">
        <is>
          <t>平台运营</t>
        </is>
      </c>
      <c r="I23" s="5" t="inlineStr"/>
      <c r="J23" s="5" t="inlineStr">
        <is>
          <t>启用</t>
        </is>
      </c>
      <c r="K23" s="5" t="inlineStr">
        <is>
          <t>否</t>
        </is>
      </c>
      <c r="L23" s="5" t="inlineStr">
        <is>
          <t>否</t>
        </is>
      </c>
      <c r="M23" s="5" t="inlineStr">
        <is>
          <t>否</t>
        </is>
      </c>
      <c r="N23" s="5" t="inlineStr">
        <is>
          <t>否</t>
        </is>
      </c>
      <c r="O23" s="5" t="inlineStr">
        <is>
          <t>否</t>
        </is>
      </c>
      <c r="S23" s="5" t="inlineStr">
        <is>
          <t>否</t>
        </is>
      </c>
      <c r="T23" s="5" t="inlineStr">
        <is>
          <t>否</t>
        </is>
      </c>
      <c r="V23" s="5" t="inlineStr">
        <is>
          <t>0</t>
        </is>
      </c>
      <c r="W23" s="5" t="inlineStr">
        <is>
          <t>否</t>
        </is>
      </c>
      <c r="X23" s="5" t="inlineStr">
        <is>
          <t>999</t>
        </is>
      </c>
    </row>
    <row r="24" s="83">
      <c r="A24" s="5" t="inlineStr">
        <is>
          <t>2225498637598720000</t>
        </is>
      </c>
      <c r="B24" s="5" t="inlineStr">
        <is>
          <t>企业账号级</t>
        </is>
      </c>
      <c r="C24" s="5" t="inlineStr">
        <is>
          <t>Q1507</t>
        </is>
      </c>
      <c r="D24" s="5" t="inlineStr">
        <is>
          <t>无问芯穹充值费用</t>
        </is>
      </c>
      <c r="G24" s="5" t="inlineStr">
        <is>
          <t>Q15</t>
        </is>
      </c>
      <c r="H24" s="5" t="inlineStr">
        <is>
          <t>服务器算法充值</t>
        </is>
      </c>
      <c r="I24" s="5" t="inlineStr"/>
      <c r="J24" s="5" t="inlineStr">
        <is>
          <t>启用</t>
        </is>
      </c>
      <c r="K24" s="5" t="inlineStr">
        <is>
          <t>否</t>
        </is>
      </c>
      <c r="L24" s="5" t="inlineStr">
        <is>
          <t>否</t>
        </is>
      </c>
      <c r="M24" s="5" t="inlineStr">
        <is>
          <t>否</t>
        </is>
      </c>
      <c r="N24" s="5" t="inlineStr">
        <is>
          <t>否</t>
        </is>
      </c>
      <c r="O24" s="5" t="inlineStr">
        <is>
          <t>否</t>
        </is>
      </c>
      <c r="S24" s="5" t="inlineStr">
        <is>
          <t>否</t>
        </is>
      </c>
      <c r="T24" s="5" t="inlineStr">
        <is>
          <t>否</t>
        </is>
      </c>
      <c r="V24" s="5" t="inlineStr">
        <is>
          <t>0</t>
        </is>
      </c>
      <c r="W24" s="5" t="inlineStr">
        <is>
          <t>否</t>
        </is>
      </c>
      <c r="X24" s="5" t="inlineStr">
        <is>
          <t>999</t>
        </is>
      </c>
    </row>
    <row r="25" s="83">
      <c r="A25" s="5" t="inlineStr">
        <is>
          <t>2225498491599716358</t>
        </is>
      </c>
      <c r="B25" s="5" t="inlineStr">
        <is>
          <t>企业账号级</t>
        </is>
      </c>
      <c r="C25" s="5" t="inlineStr">
        <is>
          <t>Q1506</t>
        </is>
      </c>
      <c r="D25" s="5" t="inlineStr">
        <is>
          <t>硅基流动充值费用</t>
        </is>
      </c>
      <c r="G25" s="5" t="inlineStr">
        <is>
          <t>Q15</t>
        </is>
      </c>
      <c r="H25" s="5" t="inlineStr">
        <is>
          <t>服务器算法充值</t>
        </is>
      </c>
      <c r="I25" s="5" t="inlineStr"/>
      <c r="J25" s="5" t="inlineStr">
        <is>
          <t>启用</t>
        </is>
      </c>
      <c r="K25" s="5" t="inlineStr">
        <is>
          <t>否</t>
        </is>
      </c>
      <c r="L25" s="5" t="inlineStr">
        <is>
          <t>否</t>
        </is>
      </c>
      <c r="M25" s="5" t="inlineStr">
        <is>
          <t>否</t>
        </is>
      </c>
      <c r="N25" s="5" t="inlineStr">
        <is>
          <t>否</t>
        </is>
      </c>
      <c r="O25" s="5" t="inlineStr">
        <is>
          <t>否</t>
        </is>
      </c>
      <c r="S25" s="5" t="inlineStr">
        <is>
          <t>否</t>
        </is>
      </c>
      <c r="T25" s="5" t="inlineStr">
        <is>
          <t>否</t>
        </is>
      </c>
      <c r="V25" s="5" t="inlineStr">
        <is>
          <t>0</t>
        </is>
      </c>
      <c r="W25" s="5" t="inlineStr">
        <is>
          <t>否</t>
        </is>
      </c>
      <c r="X25" s="5" t="inlineStr">
        <is>
          <t>999</t>
        </is>
      </c>
    </row>
    <row r="26" s="83">
      <c r="A26" s="5" t="inlineStr">
        <is>
          <t>2225497855944556547</t>
        </is>
      </c>
      <c r="B26" s="5" t="inlineStr">
        <is>
          <t>企业账号级</t>
        </is>
      </c>
      <c r="C26" s="5" t="inlineStr">
        <is>
          <t>Q1402</t>
        </is>
      </c>
      <c r="D26" s="5" t="inlineStr">
        <is>
          <t>产品开发-员工报销</t>
        </is>
      </c>
      <c r="G26" s="5" t="inlineStr">
        <is>
          <t>Q14</t>
        </is>
      </c>
      <c r="H26" s="5" t="inlineStr">
        <is>
          <t>其他产品开发</t>
        </is>
      </c>
      <c r="I26" s="5" t="inlineStr"/>
      <c r="J26" s="5" t="inlineStr">
        <is>
          <t>启用</t>
        </is>
      </c>
      <c r="K26" s="5" t="inlineStr">
        <is>
          <t>否</t>
        </is>
      </c>
      <c r="L26" s="5" t="inlineStr">
        <is>
          <t>否</t>
        </is>
      </c>
      <c r="M26" s="5" t="inlineStr">
        <is>
          <t>否</t>
        </is>
      </c>
      <c r="N26" s="5" t="inlineStr">
        <is>
          <t>否</t>
        </is>
      </c>
      <c r="O26" s="5" t="inlineStr">
        <is>
          <t>否</t>
        </is>
      </c>
      <c r="S26" s="5" t="inlineStr">
        <is>
          <t>否</t>
        </is>
      </c>
      <c r="T26" s="5" t="inlineStr">
        <is>
          <t>否</t>
        </is>
      </c>
      <c r="V26" s="5" t="inlineStr">
        <is>
          <t>0</t>
        </is>
      </c>
      <c r="W26" s="5" t="inlineStr">
        <is>
          <t>否</t>
        </is>
      </c>
      <c r="X26" s="5" t="inlineStr">
        <is>
          <t>999</t>
        </is>
      </c>
    </row>
    <row r="27" s="83">
      <c r="A27" s="5" t="inlineStr">
        <is>
          <t>2225337902772518913</t>
        </is>
      </c>
      <c r="B27" s="5" t="inlineStr">
        <is>
          <t>企业账号级</t>
        </is>
      </c>
      <c r="C27" s="5" t="inlineStr">
        <is>
          <t>Q0103</t>
        </is>
      </c>
      <c r="D27" s="5" t="inlineStr">
        <is>
          <t>平台补贴收入</t>
        </is>
      </c>
      <c r="G27" s="5" t="inlineStr">
        <is>
          <t>Q01</t>
        </is>
      </c>
      <c r="H27" s="5" t="inlineStr">
        <is>
          <t>业务收入</t>
        </is>
      </c>
      <c r="I27" s="5" t="inlineStr"/>
      <c r="J27" s="5" t="inlineStr">
        <is>
          <t>启用</t>
        </is>
      </c>
      <c r="K27" s="5" t="inlineStr">
        <is>
          <t>否</t>
        </is>
      </c>
      <c r="L27" s="5" t="inlineStr">
        <is>
          <t>否</t>
        </is>
      </c>
      <c r="M27" s="5" t="inlineStr">
        <is>
          <t>否</t>
        </is>
      </c>
      <c r="N27" s="5" t="inlineStr">
        <is>
          <t>否</t>
        </is>
      </c>
      <c r="O27" s="5" t="inlineStr">
        <is>
          <t>否</t>
        </is>
      </c>
      <c r="S27" s="5" t="inlineStr">
        <is>
          <t>否</t>
        </is>
      </c>
      <c r="T27" s="5" t="inlineStr">
        <is>
          <t>否</t>
        </is>
      </c>
      <c r="W27" s="5" t="inlineStr">
        <is>
          <t>否</t>
        </is>
      </c>
      <c r="X27" s="5" t="inlineStr">
        <is>
          <t>999</t>
        </is>
      </c>
    </row>
    <row r="28" s="83">
      <c r="A28" s="5" t="inlineStr">
        <is>
          <t>2200402851648241672</t>
        </is>
      </c>
      <c r="B28" s="5" t="inlineStr">
        <is>
          <t>企业账号级</t>
        </is>
      </c>
      <c r="C28" s="5" t="inlineStr">
        <is>
          <t>Q2302</t>
        </is>
      </c>
      <c r="D28" s="5" t="inlineStr">
        <is>
          <t>转介绍佣金</t>
        </is>
      </c>
      <c r="G28" s="5" t="inlineStr">
        <is>
          <t>Q23</t>
        </is>
      </c>
      <c r="H28" s="5" t="inlineStr">
        <is>
          <t>私域运营</t>
        </is>
      </c>
      <c r="I28" s="5" t="inlineStr"/>
      <c r="J28" s="5" t="inlineStr">
        <is>
          <t>启用</t>
        </is>
      </c>
      <c r="K28" s="5" t="inlineStr">
        <is>
          <t>否</t>
        </is>
      </c>
      <c r="L28" s="5" t="inlineStr">
        <is>
          <t>否</t>
        </is>
      </c>
      <c r="M28" s="5" t="inlineStr">
        <is>
          <t>否</t>
        </is>
      </c>
      <c r="N28" s="5" t="inlineStr">
        <is>
          <t>否</t>
        </is>
      </c>
      <c r="O28" s="5" t="inlineStr">
        <is>
          <t>否</t>
        </is>
      </c>
      <c r="S28" s="5" t="inlineStr">
        <is>
          <t>否</t>
        </is>
      </c>
      <c r="T28" s="5" t="inlineStr">
        <is>
          <t>否</t>
        </is>
      </c>
      <c r="W28" s="5" t="inlineStr">
        <is>
          <t>否</t>
        </is>
      </c>
      <c r="X28" s="5" t="inlineStr">
        <is>
          <t>999</t>
        </is>
      </c>
    </row>
    <row r="29" s="83">
      <c r="A29" s="5" t="inlineStr">
        <is>
          <t>2184633380988518407</t>
        </is>
      </c>
      <c r="B29" s="5" t="inlineStr">
        <is>
          <t>企业账号级</t>
        </is>
      </c>
      <c r="C29" s="5" t="inlineStr">
        <is>
          <t>Q3103</t>
        </is>
      </c>
      <c r="D29" s="5" t="inlineStr">
        <is>
          <t>滞纳金支出</t>
        </is>
      </c>
      <c r="G29" s="5" t="inlineStr">
        <is>
          <t>Q31</t>
        </is>
      </c>
      <c r="H29" s="5" t="inlineStr">
        <is>
          <t>营业外支出</t>
        </is>
      </c>
      <c r="I29" s="5" t="inlineStr"/>
      <c r="J29" s="5" t="inlineStr">
        <is>
          <t>启用</t>
        </is>
      </c>
      <c r="K29" s="5" t="inlineStr">
        <is>
          <t>是</t>
        </is>
      </c>
      <c r="L29" s="5" t="inlineStr">
        <is>
          <t>是</t>
        </is>
      </c>
      <c r="M29" s="5" t="inlineStr">
        <is>
          <t>是</t>
        </is>
      </c>
      <c r="N29" s="5" t="inlineStr">
        <is>
          <t>是</t>
        </is>
      </c>
      <c r="O29" s="5" t="inlineStr">
        <is>
          <t>是</t>
        </is>
      </c>
      <c r="S29" s="5" t="inlineStr">
        <is>
          <t>否</t>
        </is>
      </c>
      <c r="T29" s="5" t="inlineStr">
        <is>
          <t>否</t>
        </is>
      </c>
      <c r="W29" s="5" t="inlineStr">
        <is>
          <t>否</t>
        </is>
      </c>
      <c r="X29" s="5" t="inlineStr">
        <is>
          <t>999</t>
        </is>
      </c>
    </row>
    <row r="30" s="83">
      <c r="A30" s="5" t="inlineStr">
        <is>
          <t>2184633380988518406</t>
        </is>
      </c>
      <c r="B30" s="5" t="inlineStr">
        <is>
          <t>企业账号级</t>
        </is>
      </c>
      <c r="C30" s="5" t="inlineStr">
        <is>
          <t>Q3102</t>
        </is>
      </c>
      <c r="D30" s="5" t="inlineStr">
        <is>
          <t>罚款支出</t>
        </is>
      </c>
      <c r="G30" s="5" t="inlineStr">
        <is>
          <t>Q31</t>
        </is>
      </c>
      <c r="H30" s="5" t="inlineStr">
        <is>
          <t>营业外支出</t>
        </is>
      </c>
      <c r="I30" s="5" t="inlineStr"/>
      <c r="J30" s="5" t="inlineStr">
        <is>
          <t>启用</t>
        </is>
      </c>
      <c r="K30" s="5" t="inlineStr">
        <is>
          <t>是</t>
        </is>
      </c>
      <c r="L30" s="5" t="inlineStr">
        <is>
          <t>是</t>
        </is>
      </c>
      <c r="M30" s="5" t="inlineStr">
        <is>
          <t>是</t>
        </is>
      </c>
      <c r="N30" s="5" t="inlineStr">
        <is>
          <t>是</t>
        </is>
      </c>
      <c r="O30" s="5" t="inlineStr">
        <is>
          <t>是</t>
        </is>
      </c>
      <c r="S30" s="5" t="inlineStr">
        <is>
          <t>否</t>
        </is>
      </c>
      <c r="T30" s="5" t="inlineStr">
        <is>
          <t>否</t>
        </is>
      </c>
      <c r="W30" s="5" t="inlineStr">
        <is>
          <t>否</t>
        </is>
      </c>
      <c r="X30" s="5" t="inlineStr">
        <is>
          <t>999</t>
        </is>
      </c>
    </row>
    <row r="31" s="83">
      <c r="A31" s="5" t="inlineStr">
        <is>
          <t>2184633380988518405</t>
        </is>
      </c>
      <c r="B31" s="5" t="inlineStr">
        <is>
          <t>企业账号级</t>
        </is>
      </c>
      <c r="C31" s="5" t="inlineStr">
        <is>
          <t>Q3101</t>
        </is>
      </c>
      <c r="D31" s="5" t="inlineStr">
        <is>
          <t>手续费</t>
        </is>
      </c>
      <c r="G31" s="5" t="inlineStr">
        <is>
          <t>Q31</t>
        </is>
      </c>
      <c r="H31" s="5" t="inlineStr">
        <is>
          <t>营业外支出</t>
        </is>
      </c>
      <c r="I31" s="5" t="inlineStr"/>
      <c r="J31" s="5" t="inlineStr">
        <is>
          <t>启用</t>
        </is>
      </c>
      <c r="K31" s="5" t="inlineStr">
        <is>
          <t>是</t>
        </is>
      </c>
      <c r="L31" s="5" t="inlineStr">
        <is>
          <t>是</t>
        </is>
      </c>
      <c r="M31" s="5" t="inlineStr">
        <is>
          <t>是</t>
        </is>
      </c>
      <c r="N31" s="5" t="inlineStr">
        <is>
          <t>是</t>
        </is>
      </c>
      <c r="O31" s="5" t="inlineStr">
        <is>
          <t>是</t>
        </is>
      </c>
      <c r="S31" s="5" t="inlineStr">
        <is>
          <t>否</t>
        </is>
      </c>
      <c r="T31" s="5" t="inlineStr">
        <is>
          <t>否</t>
        </is>
      </c>
      <c r="W31" s="5" t="inlineStr">
        <is>
          <t>否</t>
        </is>
      </c>
      <c r="X31" s="5" t="inlineStr">
        <is>
          <t>999</t>
        </is>
      </c>
    </row>
    <row r="32" s="83">
      <c r="A32" s="5" t="inlineStr">
        <is>
          <t>2184633380988518404</t>
        </is>
      </c>
      <c r="B32" s="5" t="inlineStr">
        <is>
          <t>企业账号级</t>
        </is>
      </c>
      <c r="C32" s="5" t="inlineStr">
        <is>
          <t>Q3004</t>
        </is>
      </c>
      <c r="D32" s="5" t="inlineStr">
        <is>
          <t>企业所得税</t>
        </is>
      </c>
      <c r="G32" s="5" t="inlineStr">
        <is>
          <t>Q30</t>
        </is>
      </c>
      <c r="H32" s="5" t="inlineStr">
        <is>
          <t>税费成本</t>
        </is>
      </c>
      <c r="I32" s="5" t="inlineStr"/>
      <c r="J32" s="5" t="inlineStr">
        <is>
          <t>启用</t>
        </is>
      </c>
      <c r="K32" s="5" t="inlineStr">
        <is>
          <t>是</t>
        </is>
      </c>
      <c r="L32" s="5" t="inlineStr">
        <is>
          <t>是</t>
        </is>
      </c>
      <c r="M32" s="5" t="inlineStr">
        <is>
          <t>是</t>
        </is>
      </c>
      <c r="N32" s="5" t="inlineStr">
        <is>
          <t>是</t>
        </is>
      </c>
      <c r="O32" s="5" t="inlineStr">
        <is>
          <t>是</t>
        </is>
      </c>
      <c r="S32" s="5" t="inlineStr">
        <is>
          <t>否</t>
        </is>
      </c>
      <c r="T32" s="5" t="inlineStr">
        <is>
          <t>否</t>
        </is>
      </c>
      <c r="W32" s="5" t="inlineStr">
        <is>
          <t>否</t>
        </is>
      </c>
      <c r="X32" s="5" t="inlineStr">
        <is>
          <t>999</t>
        </is>
      </c>
    </row>
    <row r="33" s="83">
      <c r="A33" s="5" t="inlineStr">
        <is>
          <t>2184633380988518403</t>
        </is>
      </c>
      <c r="B33" s="5" t="inlineStr">
        <is>
          <t>企业账号级</t>
        </is>
      </c>
      <c r="C33" s="5" t="inlineStr">
        <is>
          <t>Q3003</t>
        </is>
      </c>
      <c r="D33" s="5" t="inlineStr">
        <is>
          <t>印花税</t>
        </is>
      </c>
      <c r="G33" s="5" t="inlineStr">
        <is>
          <t>Q30</t>
        </is>
      </c>
      <c r="H33" s="5" t="inlineStr">
        <is>
          <t>税费成本</t>
        </is>
      </c>
      <c r="I33" s="5" t="inlineStr"/>
      <c r="J33" s="5" t="inlineStr">
        <is>
          <t>启用</t>
        </is>
      </c>
      <c r="K33" s="5" t="inlineStr">
        <is>
          <t>是</t>
        </is>
      </c>
      <c r="L33" s="5" t="inlineStr">
        <is>
          <t>是</t>
        </is>
      </c>
      <c r="M33" s="5" t="inlineStr">
        <is>
          <t>是</t>
        </is>
      </c>
      <c r="N33" s="5" t="inlineStr">
        <is>
          <t>是</t>
        </is>
      </c>
      <c r="O33" s="5" t="inlineStr">
        <is>
          <t>是</t>
        </is>
      </c>
      <c r="S33" s="5" t="inlineStr">
        <is>
          <t>否</t>
        </is>
      </c>
      <c r="T33" s="5" t="inlineStr">
        <is>
          <t>否</t>
        </is>
      </c>
      <c r="W33" s="5" t="inlineStr">
        <is>
          <t>否</t>
        </is>
      </c>
      <c r="X33" s="5" t="inlineStr">
        <is>
          <t>999</t>
        </is>
      </c>
    </row>
    <row r="34" s="83">
      <c r="A34" s="5" t="inlineStr">
        <is>
          <t>2184633372398583822</t>
        </is>
      </c>
      <c r="B34" s="5" t="inlineStr">
        <is>
          <t>企业账号级</t>
        </is>
      </c>
      <c r="C34" s="5" t="inlineStr">
        <is>
          <t>Q3002</t>
        </is>
      </c>
      <c r="D34" s="5" t="inlineStr">
        <is>
          <t>附加税</t>
        </is>
      </c>
      <c r="G34" s="5" t="inlineStr">
        <is>
          <t>Q30</t>
        </is>
      </c>
      <c r="H34" s="5" t="inlineStr">
        <is>
          <t>税费成本</t>
        </is>
      </c>
      <c r="I34" s="5" t="inlineStr"/>
      <c r="J34" s="5" t="inlineStr">
        <is>
          <t>启用</t>
        </is>
      </c>
      <c r="K34" s="5" t="inlineStr">
        <is>
          <t>是</t>
        </is>
      </c>
      <c r="L34" s="5" t="inlineStr">
        <is>
          <t>是</t>
        </is>
      </c>
      <c r="M34" s="5" t="inlineStr">
        <is>
          <t>是</t>
        </is>
      </c>
      <c r="N34" s="5" t="inlineStr">
        <is>
          <t>是</t>
        </is>
      </c>
      <c r="O34" s="5" t="inlineStr">
        <is>
          <t>是</t>
        </is>
      </c>
      <c r="S34" s="5" t="inlineStr">
        <is>
          <t>否</t>
        </is>
      </c>
      <c r="T34" s="5" t="inlineStr">
        <is>
          <t>否</t>
        </is>
      </c>
      <c r="W34" s="5" t="inlineStr">
        <is>
          <t>否</t>
        </is>
      </c>
      <c r="X34" s="5" t="inlineStr">
        <is>
          <t>999</t>
        </is>
      </c>
    </row>
    <row r="35" s="83">
      <c r="A35" s="5" t="inlineStr">
        <is>
          <t>2184633372398583821</t>
        </is>
      </c>
      <c r="B35" s="5" t="inlineStr">
        <is>
          <t>企业账号级</t>
        </is>
      </c>
      <c r="C35" s="5" t="inlineStr">
        <is>
          <t>Q3001</t>
        </is>
      </c>
      <c r="D35" s="5" t="inlineStr">
        <is>
          <t>增值税</t>
        </is>
      </c>
      <c r="G35" s="5" t="inlineStr">
        <is>
          <t>Q30</t>
        </is>
      </c>
      <c r="H35" s="5" t="inlineStr">
        <is>
          <t>税费成本</t>
        </is>
      </c>
      <c r="I35" s="5" t="inlineStr"/>
      <c r="J35" s="5" t="inlineStr">
        <is>
          <t>启用</t>
        </is>
      </c>
      <c r="K35" s="5" t="inlineStr">
        <is>
          <t>是</t>
        </is>
      </c>
      <c r="L35" s="5" t="inlineStr">
        <is>
          <t>是</t>
        </is>
      </c>
      <c r="M35" s="5" t="inlineStr">
        <is>
          <t>是</t>
        </is>
      </c>
      <c r="N35" s="5" t="inlineStr">
        <is>
          <t>是</t>
        </is>
      </c>
      <c r="O35" s="5" t="inlineStr">
        <is>
          <t>是</t>
        </is>
      </c>
      <c r="S35" s="5" t="inlineStr">
        <is>
          <t>否</t>
        </is>
      </c>
      <c r="T35" s="5" t="inlineStr">
        <is>
          <t>否</t>
        </is>
      </c>
      <c r="W35" s="5" t="inlineStr">
        <is>
          <t>否</t>
        </is>
      </c>
      <c r="X35" s="5" t="inlineStr">
        <is>
          <t>999</t>
        </is>
      </c>
    </row>
    <row r="36" s="83">
      <c r="A36" s="5" t="inlineStr">
        <is>
          <t>2184633372398583820</t>
        </is>
      </c>
      <c r="B36" s="5" t="inlineStr">
        <is>
          <t>企业账号级</t>
        </is>
      </c>
      <c r="C36" s="5" t="inlineStr">
        <is>
          <t>Q29010</t>
        </is>
      </c>
      <c r="D36" s="5" t="inlineStr">
        <is>
          <t>其他办公费用</t>
        </is>
      </c>
      <c r="G36" s="5" t="inlineStr">
        <is>
          <t>Q29</t>
        </is>
      </c>
      <c r="H36" s="5" t="inlineStr">
        <is>
          <t>办公费用</t>
        </is>
      </c>
      <c r="I36" s="5" t="inlineStr"/>
      <c r="J36" s="5" t="inlineStr">
        <is>
          <t>启用</t>
        </is>
      </c>
      <c r="K36" s="5" t="inlineStr">
        <is>
          <t>是</t>
        </is>
      </c>
      <c r="L36" s="5" t="inlineStr">
        <is>
          <t>是</t>
        </is>
      </c>
      <c r="M36" s="5" t="inlineStr">
        <is>
          <t>是</t>
        </is>
      </c>
      <c r="N36" s="5" t="inlineStr">
        <is>
          <t>是</t>
        </is>
      </c>
      <c r="O36" s="5" t="inlineStr">
        <is>
          <t>是</t>
        </is>
      </c>
      <c r="S36" s="5" t="inlineStr">
        <is>
          <t>否</t>
        </is>
      </c>
      <c r="T36" s="5" t="inlineStr">
        <is>
          <t>否</t>
        </is>
      </c>
      <c r="W36" s="5" t="inlineStr">
        <is>
          <t>否</t>
        </is>
      </c>
      <c r="X36" s="5" t="inlineStr">
        <is>
          <t>999</t>
        </is>
      </c>
    </row>
    <row r="37" s="83">
      <c r="A37" s="5" t="inlineStr">
        <is>
          <t>2184633372398583819</t>
        </is>
      </c>
      <c r="B37" s="5" t="inlineStr">
        <is>
          <t>企业账号级</t>
        </is>
      </c>
      <c r="C37" s="5" t="inlineStr">
        <is>
          <t>Q2909</t>
        </is>
      </c>
      <c r="D37" s="5" t="inlineStr">
        <is>
          <t>总经办报销费用</t>
        </is>
      </c>
      <c r="G37" s="5" t="inlineStr">
        <is>
          <t>Q29</t>
        </is>
      </c>
      <c r="H37" s="5" t="inlineStr">
        <is>
          <t>办公费用</t>
        </is>
      </c>
      <c r="I37" s="5" t="inlineStr"/>
      <c r="J37" s="5" t="inlineStr">
        <is>
          <t>启用</t>
        </is>
      </c>
      <c r="K37" s="5" t="inlineStr">
        <is>
          <t>是</t>
        </is>
      </c>
      <c r="L37" s="5" t="inlineStr">
        <is>
          <t>是</t>
        </is>
      </c>
      <c r="M37" s="5" t="inlineStr">
        <is>
          <t>是</t>
        </is>
      </c>
      <c r="N37" s="5" t="inlineStr">
        <is>
          <t>是</t>
        </is>
      </c>
      <c r="O37" s="5" t="inlineStr">
        <is>
          <t>是</t>
        </is>
      </c>
      <c r="S37" s="5" t="inlineStr">
        <is>
          <t>否</t>
        </is>
      </c>
      <c r="T37" s="5" t="inlineStr">
        <is>
          <t>否</t>
        </is>
      </c>
      <c r="W37" s="5" t="inlineStr">
        <is>
          <t>否</t>
        </is>
      </c>
      <c r="X37" s="5" t="inlineStr">
        <is>
          <t>999</t>
        </is>
      </c>
    </row>
    <row r="38" s="83">
      <c r="A38" s="5" t="inlineStr">
        <is>
          <t>2184633372398583818</t>
        </is>
      </c>
      <c r="B38" s="5" t="inlineStr">
        <is>
          <t>企业账号级</t>
        </is>
      </c>
      <c r="C38" s="5" t="inlineStr">
        <is>
          <t>Q2908</t>
        </is>
      </c>
      <c r="D38" s="5" t="inlineStr">
        <is>
          <t>办公设备租赁费</t>
        </is>
      </c>
      <c r="G38" s="5" t="inlineStr">
        <is>
          <t>Q29</t>
        </is>
      </c>
      <c r="H38" s="5" t="inlineStr">
        <is>
          <t>办公费用</t>
        </is>
      </c>
      <c r="I38" s="5" t="inlineStr"/>
      <c r="J38" s="5" t="inlineStr">
        <is>
          <t>启用</t>
        </is>
      </c>
      <c r="K38" s="5" t="inlineStr">
        <is>
          <t>是</t>
        </is>
      </c>
      <c r="L38" s="5" t="inlineStr">
        <is>
          <t>是</t>
        </is>
      </c>
      <c r="M38" s="5" t="inlineStr">
        <is>
          <t>是</t>
        </is>
      </c>
      <c r="N38" s="5" t="inlineStr">
        <is>
          <t>是</t>
        </is>
      </c>
      <c r="O38" s="5" t="inlineStr">
        <is>
          <t>是</t>
        </is>
      </c>
      <c r="S38" s="5" t="inlineStr">
        <is>
          <t>否</t>
        </is>
      </c>
      <c r="T38" s="5" t="inlineStr">
        <is>
          <t>否</t>
        </is>
      </c>
      <c r="W38" s="5" t="inlineStr">
        <is>
          <t>否</t>
        </is>
      </c>
      <c r="X38" s="5" t="inlineStr">
        <is>
          <t>999</t>
        </is>
      </c>
    </row>
    <row r="39" s="83">
      <c r="A39" s="5" t="inlineStr">
        <is>
          <t>2184633372398583817</t>
        </is>
      </c>
      <c r="B39" s="5" t="inlineStr">
        <is>
          <t>企业账号级</t>
        </is>
      </c>
      <c r="C39" s="5" t="inlineStr">
        <is>
          <t>Q2907</t>
        </is>
      </c>
      <c r="D39" s="5" t="inlineStr">
        <is>
          <t>其他员工报销</t>
        </is>
      </c>
      <c r="G39" s="5" t="inlineStr">
        <is>
          <t>Q29</t>
        </is>
      </c>
      <c r="H39" s="5" t="inlineStr">
        <is>
          <t>办公费用</t>
        </is>
      </c>
      <c r="I39" s="5" t="inlineStr"/>
      <c r="J39" s="5" t="inlineStr">
        <is>
          <t>启用</t>
        </is>
      </c>
      <c r="K39" s="5" t="inlineStr">
        <is>
          <t>是</t>
        </is>
      </c>
      <c r="L39" s="5" t="inlineStr">
        <is>
          <t>是</t>
        </is>
      </c>
      <c r="M39" s="5" t="inlineStr">
        <is>
          <t>是</t>
        </is>
      </c>
      <c r="N39" s="5" t="inlineStr">
        <is>
          <t>是</t>
        </is>
      </c>
      <c r="O39" s="5" t="inlineStr">
        <is>
          <t>是</t>
        </is>
      </c>
      <c r="S39" s="5" t="inlineStr">
        <is>
          <t>否</t>
        </is>
      </c>
      <c r="T39" s="5" t="inlineStr">
        <is>
          <t>否</t>
        </is>
      </c>
      <c r="W39" s="5" t="inlineStr">
        <is>
          <t>否</t>
        </is>
      </c>
      <c r="X39" s="5" t="inlineStr">
        <is>
          <t>999</t>
        </is>
      </c>
    </row>
    <row r="40" s="83">
      <c r="A40" s="5" t="inlineStr">
        <is>
          <t>2184633363808649228</t>
        </is>
      </c>
      <c r="B40" s="5" t="inlineStr">
        <is>
          <t>企业账号级</t>
        </is>
      </c>
      <c r="C40" s="5" t="inlineStr">
        <is>
          <t>Q2905</t>
        </is>
      </c>
      <c r="D40" s="5" t="inlineStr">
        <is>
          <t>快递费</t>
        </is>
      </c>
      <c r="G40" s="5" t="inlineStr">
        <is>
          <t>Q29</t>
        </is>
      </c>
      <c r="H40" s="5" t="inlineStr">
        <is>
          <t>办公费用</t>
        </is>
      </c>
      <c r="I40" s="5" t="inlineStr"/>
      <c r="J40" s="5" t="inlineStr">
        <is>
          <t>启用</t>
        </is>
      </c>
      <c r="K40" s="5" t="inlineStr">
        <is>
          <t>是</t>
        </is>
      </c>
      <c r="L40" s="5" t="inlineStr">
        <is>
          <t>是</t>
        </is>
      </c>
      <c r="M40" s="5" t="inlineStr">
        <is>
          <t>是</t>
        </is>
      </c>
      <c r="N40" s="5" t="inlineStr">
        <is>
          <t>是</t>
        </is>
      </c>
      <c r="O40" s="5" t="inlineStr">
        <is>
          <t>是</t>
        </is>
      </c>
      <c r="S40" s="5" t="inlineStr">
        <is>
          <t>否</t>
        </is>
      </c>
      <c r="T40" s="5" t="inlineStr">
        <is>
          <t>否</t>
        </is>
      </c>
      <c r="W40" s="5" t="inlineStr">
        <is>
          <t>否</t>
        </is>
      </c>
      <c r="X40" s="5" t="inlineStr">
        <is>
          <t>999</t>
        </is>
      </c>
    </row>
    <row r="41" s="83">
      <c r="A41" s="5" t="inlineStr">
        <is>
          <t>2184633363808649227</t>
        </is>
      </c>
      <c r="B41" s="5" t="inlineStr">
        <is>
          <t>企业账号级</t>
        </is>
      </c>
      <c r="C41" s="5" t="inlineStr">
        <is>
          <t>Q2904</t>
        </is>
      </c>
      <c r="D41" s="5" t="inlineStr">
        <is>
          <t>通讯费</t>
        </is>
      </c>
      <c r="G41" s="5" t="inlineStr">
        <is>
          <t>Q29</t>
        </is>
      </c>
      <c r="H41" s="5" t="inlineStr">
        <is>
          <t>办公费用</t>
        </is>
      </c>
      <c r="I41" s="5" t="inlineStr"/>
      <c r="J41" s="5" t="inlineStr">
        <is>
          <t>启用</t>
        </is>
      </c>
      <c r="K41" s="5" t="inlineStr">
        <is>
          <t>是</t>
        </is>
      </c>
      <c r="L41" s="5" t="inlineStr">
        <is>
          <t>是</t>
        </is>
      </c>
      <c r="M41" s="5" t="inlineStr">
        <is>
          <t>是</t>
        </is>
      </c>
      <c r="N41" s="5" t="inlineStr">
        <is>
          <t>是</t>
        </is>
      </c>
      <c r="O41" s="5" t="inlineStr">
        <is>
          <t>是</t>
        </is>
      </c>
      <c r="S41" s="5" t="inlineStr">
        <is>
          <t>否</t>
        </is>
      </c>
      <c r="T41" s="5" t="inlineStr">
        <is>
          <t>否</t>
        </is>
      </c>
      <c r="W41" s="5" t="inlineStr">
        <is>
          <t>否</t>
        </is>
      </c>
      <c r="X41" s="5" t="inlineStr">
        <is>
          <t>999</t>
        </is>
      </c>
    </row>
    <row r="42" s="83">
      <c r="A42" s="5" t="inlineStr">
        <is>
          <t>2184633363808649226</t>
        </is>
      </c>
      <c r="B42" s="5" t="inlineStr">
        <is>
          <t>企业账号级</t>
        </is>
      </c>
      <c r="C42" s="5" t="inlineStr">
        <is>
          <t>Q2903</t>
        </is>
      </c>
      <c r="D42" s="5" t="inlineStr">
        <is>
          <t>网络费</t>
        </is>
      </c>
      <c r="G42" s="5" t="inlineStr">
        <is>
          <t>Q29</t>
        </is>
      </c>
      <c r="H42" s="5" t="inlineStr">
        <is>
          <t>办公费用</t>
        </is>
      </c>
      <c r="I42" s="5" t="inlineStr"/>
      <c r="J42" s="5" t="inlineStr">
        <is>
          <t>启用</t>
        </is>
      </c>
      <c r="K42" s="5" t="inlineStr">
        <is>
          <t>是</t>
        </is>
      </c>
      <c r="L42" s="5" t="inlineStr">
        <is>
          <t>是</t>
        </is>
      </c>
      <c r="M42" s="5" t="inlineStr">
        <is>
          <t>是</t>
        </is>
      </c>
      <c r="N42" s="5" t="inlineStr">
        <is>
          <t>是</t>
        </is>
      </c>
      <c r="O42" s="5" t="inlineStr">
        <is>
          <t>是</t>
        </is>
      </c>
      <c r="S42" s="5" t="inlineStr">
        <is>
          <t>否</t>
        </is>
      </c>
      <c r="T42" s="5" t="inlineStr">
        <is>
          <t>否</t>
        </is>
      </c>
      <c r="W42" s="5" t="inlineStr">
        <is>
          <t>否</t>
        </is>
      </c>
      <c r="X42" s="5" t="inlineStr">
        <is>
          <t>999</t>
        </is>
      </c>
    </row>
    <row r="43" s="83">
      <c r="A43" s="5" t="inlineStr">
        <is>
          <t>2184633363808649225</t>
        </is>
      </c>
      <c r="B43" s="5" t="inlineStr">
        <is>
          <t>企业账号级</t>
        </is>
      </c>
      <c r="C43" s="5" t="inlineStr">
        <is>
          <t>Q2902</t>
        </is>
      </c>
      <c r="D43" s="5" t="inlineStr">
        <is>
          <t>办公用品采购</t>
        </is>
      </c>
      <c r="G43" s="5" t="inlineStr">
        <is>
          <t>Q29</t>
        </is>
      </c>
      <c r="H43" s="5" t="inlineStr">
        <is>
          <t>办公费用</t>
        </is>
      </c>
      <c r="I43" s="5" t="inlineStr"/>
      <c r="J43" s="5" t="inlineStr">
        <is>
          <t>启用</t>
        </is>
      </c>
      <c r="K43" s="5" t="inlineStr">
        <is>
          <t>是</t>
        </is>
      </c>
      <c r="L43" s="5" t="inlineStr">
        <is>
          <t>是</t>
        </is>
      </c>
      <c r="M43" s="5" t="inlineStr">
        <is>
          <t>是</t>
        </is>
      </c>
      <c r="N43" s="5" t="inlineStr">
        <is>
          <t>是</t>
        </is>
      </c>
      <c r="O43" s="5" t="inlineStr">
        <is>
          <t>是</t>
        </is>
      </c>
      <c r="S43" s="5" t="inlineStr">
        <is>
          <t>否</t>
        </is>
      </c>
      <c r="T43" s="5" t="inlineStr">
        <is>
          <t>否</t>
        </is>
      </c>
      <c r="W43" s="5" t="inlineStr">
        <is>
          <t>否</t>
        </is>
      </c>
      <c r="X43" s="5" t="inlineStr">
        <is>
          <t>999</t>
        </is>
      </c>
    </row>
    <row r="44" s="83">
      <c r="A44" s="5" t="inlineStr">
        <is>
          <t>2184633363808649224</t>
        </is>
      </c>
      <c r="B44" s="5" t="inlineStr">
        <is>
          <t>企业账号级</t>
        </is>
      </c>
      <c r="C44" s="5" t="inlineStr">
        <is>
          <t>Q2901</t>
        </is>
      </c>
      <c r="D44" s="5" t="inlineStr">
        <is>
          <t>固定资产采购</t>
        </is>
      </c>
      <c r="G44" s="5" t="inlineStr">
        <is>
          <t>Q29</t>
        </is>
      </c>
      <c r="H44" s="5" t="inlineStr">
        <is>
          <t>办公费用</t>
        </is>
      </c>
      <c r="I44" s="5" t="inlineStr"/>
      <c r="J44" s="5" t="inlineStr">
        <is>
          <t>启用</t>
        </is>
      </c>
      <c r="K44" s="5" t="inlineStr">
        <is>
          <t>是</t>
        </is>
      </c>
      <c r="L44" s="5" t="inlineStr">
        <is>
          <t>是</t>
        </is>
      </c>
      <c r="M44" s="5" t="inlineStr">
        <is>
          <t>是</t>
        </is>
      </c>
      <c r="N44" s="5" t="inlineStr">
        <is>
          <t>是</t>
        </is>
      </c>
      <c r="O44" s="5" t="inlineStr">
        <is>
          <t>是</t>
        </is>
      </c>
      <c r="S44" s="5" t="inlineStr">
        <is>
          <t>否</t>
        </is>
      </c>
      <c r="T44" s="5" t="inlineStr">
        <is>
          <t>否</t>
        </is>
      </c>
      <c r="W44" s="5" t="inlineStr">
        <is>
          <t>否</t>
        </is>
      </c>
      <c r="X44" s="5" t="inlineStr">
        <is>
          <t>999</t>
        </is>
      </c>
    </row>
    <row r="45" s="83">
      <c r="A45" s="5" t="inlineStr">
        <is>
          <t>2184633363808649223</t>
        </is>
      </c>
      <c r="B45" s="5" t="inlineStr">
        <is>
          <t>企业账号级</t>
        </is>
      </c>
      <c r="C45" s="5" t="inlineStr">
        <is>
          <t>Q2806</t>
        </is>
      </c>
      <c r="D45" s="5" t="inlineStr">
        <is>
          <t>其他服务费</t>
        </is>
      </c>
      <c r="G45" s="5" t="inlineStr">
        <is>
          <t>Q28</t>
        </is>
      </c>
      <c r="H45" s="5" t="inlineStr">
        <is>
          <t>服务费</t>
        </is>
      </c>
      <c r="I45" s="5" t="inlineStr"/>
      <c r="J45" s="5" t="inlineStr">
        <is>
          <t>启用</t>
        </is>
      </c>
      <c r="K45" s="5" t="inlineStr">
        <is>
          <t>是</t>
        </is>
      </c>
      <c r="L45" s="5" t="inlineStr">
        <is>
          <t>是</t>
        </is>
      </c>
      <c r="M45" s="5" t="inlineStr">
        <is>
          <t>是</t>
        </is>
      </c>
      <c r="N45" s="5" t="inlineStr">
        <is>
          <t>是</t>
        </is>
      </c>
      <c r="O45" s="5" t="inlineStr">
        <is>
          <t>是</t>
        </is>
      </c>
      <c r="S45" s="5" t="inlineStr">
        <is>
          <t>否</t>
        </is>
      </c>
      <c r="T45" s="5" t="inlineStr">
        <is>
          <t>否</t>
        </is>
      </c>
      <c r="W45" s="5" t="inlineStr">
        <is>
          <t>否</t>
        </is>
      </c>
      <c r="X45" s="5" t="inlineStr">
        <is>
          <t>999</t>
        </is>
      </c>
    </row>
    <row r="46" s="83">
      <c r="A46" s="5" t="inlineStr">
        <is>
          <t>2184633355218714633</t>
        </is>
      </c>
      <c r="B46" s="5" t="inlineStr">
        <is>
          <t>企业账号级</t>
        </is>
      </c>
      <c r="C46" s="5" t="inlineStr">
        <is>
          <t>Q2805</t>
        </is>
      </c>
      <c r="D46" s="5" t="inlineStr">
        <is>
          <t>招聘费用</t>
        </is>
      </c>
      <c r="G46" s="5" t="inlineStr">
        <is>
          <t>Q28</t>
        </is>
      </c>
      <c r="H46" s="5" t="inlineStr">
        <is>
          <t>服务费</t>
        </is>
      </c>
      <c r="I46" s="5" t="inlineStr"/>
      <c r="J46" s="5" t="inlineStr">
        <is>
          <t>启用</t>
        </is>
      </c>
      <c r="K46" s="5" t="inlineStr">
        <is>
          <t>是</t>
        </is>
      </c>
      <c r="L46" s="5" t="inlineStr">
        <is>
          <t>是</t>
        </is>
      </c>
      <c r="M46" s="5" t="inlineStr">
        <is>
          <t>是</t>
        </is>
      </c>
      <c r="N46" s="5" t="inlineStr">
        <is>
          <t>是</t>
        </is>
      </c>
      <c r="O46" s="5" t="inlineStr">
        <is>
          <t>是</t>
        </is>
      </c>
      <c r="S46" s="5" t="inlineStr">
        <is>
          <t>否</t>
        </is>
      </c>
      <c r="T46" s="5" t="inlineStr">
        <is>
          <t>否</t>
        </is>
      </c>
      <c r="W46" s="5" t="inlineStr">
        <is>
          <t>否</t>
        </is>
      </c>
      <c r="X46" s="5" t="inlineStr">
        <is>
          <t>999</t>
        </is>
      </c>
    </row>
    <row r="47" s="83">
      <c r="A47" s="5" t="inlineStr">
        <is>
          <t>2184633355218714632</t>
        </is>
      </c>
      <c r="B47" s="5" t="inlineStr">
        <is>
          <t>企业账号级</t>
        </is>
      </c>
      <c r="C47" s="5" t="inlineStr">
        <is>
          <t>Q2804</t>
        </is>
      </c>
      <c r="D47" s="5" t="inlineStr">
        <is>
          <t>审计费</t>
        </is>
      </c>
      <c r="G47" s="5" t="inlineStr">
        <is>
          <t>Q28</t>
        </is>
      </c>
      <c r="H47" s="5" t="inlineStr">
        <is>
          <t>服务费</t>
        </is>
      </c>
      <c r="I47" s="5" t="inlineStr"/>
      <c r="J47" s="5" t="inlineStr">
        <is>
          <t>启用</t>
        </is>
      </c>
      <c r="K47" s="5" t="inlineStr">
        <is>
          <t>是</t>
        </is>
      </c>
      <c r="L47" s="5" t="inlineStr">
        <is>
          <t>是</t>
        </is>
      </c>
      <c r="M47" s="5" t="inlineStr">
        <is>
          <t>是</t>
        </is>
      </c>
      <c r="N47" s="5" t="inlineStr">
        <is>
          <t>是</t>
        </is>
      </c>
      <c r="O47" s="5" t="inlineStr">
        <is>
          <t>是</t>
        </is>
      </c>
      <c r="S47" s="5" t="inlineStr">
        <is>
          <t>否</t>
        </is>
      </c>
      <c r="T47" s="5" t="inlineStr">
        <is>
          <t>否</t>
        </is>
      </c>
      <c r="W47" s="5" t="inlineStr">
        <is>
          <t>否</t>
        </is>
      </c>
      <c r="X47" s="5" t="inlineStr">
        <is>
          <t>999</t>
        </is>
      </c>
    </row>
    <row r="48" s="83">
      <c r="A48" s="5" t="inlineStr">
        <is>
          <t>2184633355218714631</t>
        </is>
      </c>
      <c r="B48" s="5" t="inlineStr">
        <is>
          <t>企业账号级</t>
        </is>
      </c>
      <c r="C48" s="5" t="inlineStr">
        <is>
          <t>Q2803</t>
        </is>
      </c>
      <c r="D48" s="5" t="inlineStr">
        <is>
          <t>财务咨询费</t>
        </is>
      </c>
      <c r="G48" s="5" t="inlineStr">
        <is>
          <t>Q28</t>
        </is>
      </c>
      <c r="H48" s="5" t="inlineStr">
        <is>
          <t>服务费</t>
        </is>
      </c>
      <c r="I48" s="5" t="inlineStr"/>
      <c r="J48" s="5" t="inlineStr">
        <is>
          <t>启用</t>
        </is>
      </c>
      <c r="K48" s="5" t="inlineStr">
        <is>
          <t>是</t>
        </is>
      </c>
      <c r="L48" s="5" t="inlineStr">
        <is>
          <t>是</t>
        </is>
      </c>
      <c r="M48" s="5" t="inlineStr">
        <is>
          <t>是</t>
        </is>
      </c>
      <c r="N48" s="5" t="inlineStr">
        <is>
          <t>是</t>
        </is>
      </c>
      <c r="O48" s="5" t="inlineStr">
        <is>
          <t>是</t>
        </is>
      </c>
      <c r="S48" s="5" t="inlineStr">
        <is>
          <t>否</t>
        </is>
      </c>
      <c r="T48" s="5" t="inlineStr">
        <is>
          <t>否</t>
        </is>
      </c>
      <c r="W48" s="5" t="inlineStr">
        <is>
          <t>否</t>
        </is>
      </c>
      <c r="X48" s="5" t="inlineStr">
        <is>
          <t>999</t>
        </is>
      </c>
    </row>
    <row r="49" s="83">
      <c r="A49" s="5" t="inlineStr">
        <is>
          <t>2184633355218714630</t>
        </is>
      </c>
      <c r="B49" s="5" t="inlineStr">
        <is>
          <t>企业账号级</t>
        </is>
      </c>
      <c r="C49" s="5" t="inlineStr">
        <is>
          <t>Q2802</t>
        </is>
      </c>
      <c r="D49" s="5" t="inlineStr">
        <is>
          <t>中介代理费用</t>
        </is>
      </c>
      <c r="G49" s="5" t="inlineStr">
        <is>
          <t>Q28</t>
        </is>
      </c>
      <c r="H49" s="5" t="inlineStr">
        <is>
          <t>服务费</t>
        </is>
      </c>
      <c r="I49" s="5" t="inlineStr"/>
      <c r="J49" s="5" t="inlineStr">
        <is>
          <t>启用</t>
        </is>
      </c>
      <c r="K49" s="5" t="inlineStr">
        <is>
          <t>是</t>
        </is>
      </c>
      <c r="L49" s="5" t="inlineStr">
        <is>
          <t>是</t>
        </is>
      </c>
      <c r="M49" s="5" t="inlineStr">
        <is>
          <t>是</t>
        </is>
      </c>
      <c r="N49" s="5" t="inlineStr">
        <is>
          <t>是</t>
        </is>
      </c>
      <c r="O49" s="5" t="inlineStr">
        <is>
          <t>是</t>
        </is>
      </c>
      <c r="S49" s="5" t="inlineStr">
        <is>
          <t>否</t>
        </is>
      </c>
      <c r="T49" s="5" t="inlineStr">
        <is>
          <t>否</t>
        </is>
      </c>
      <c r="W49" s="5" t="inlineStr">
        <is>
          <t>否</t>
        </is>
      </c>
      <c r="X49" s="5" t="inlineStr">
        <is>
          <t>999</t>
        </is>
      </c>
    </row>
    <row r="50" s="83">
      <c r="A50" s="5" t="inlineStr">
        <is>
          <t>2184633355218714629</t>
        </is>
      </c>
      <c r="B50" s="5" t="inlineStr">
        <is>
          <t>企业账号级</t>
        </is>
      </c>
      <c r="C50" s="5" t="inlineStr">
        <is>
          <t>Q2801</t>
        </is>
      </c>
      <c r="D50" s="5" t="inlineStr">
        <is>
          <t>律师费</t>
        </is>
      </c>
      <c r="G50" s="5" t="inlineStr">
        <is>
          <t>Q28</t>
        </is>
      </c>
      <c r="H50" s="5" t="inlineStr">
        <is>
          <t>服务费</t>
        </is>
      </c>
      <c r="I50" s="5" t="inlineStr"/>
      <c r="J50" s="5" t="inlineStr">
        <is>
          <t>启用</t>
        </is>
      </c>
      <c r="K50" s="5" t="inlineStr">
        <is>
          <t>是</t>
        </is>
      </c>
      <c r="L50" s="5" t="inlineStr">
        <is>
          <t>是</t>
        </is>
      </c>
      <c r="M50" s="5" t="inlineStr">
        <is>
          <t>是</t>
        </is>
      </c>
      <c r="N50" s="5" t="inlineStr">
        <is>
          <t>是</t>
        </is>
      </c>
      <c r="O50" s="5" t="inlineStr">
        <is>
          <t>是</t>
        </is>
      </c>
      <c r="S50" s="5" t="inlineStr">
        <is>
          <t>否</t>
        </is>
      </c>
      <c r="T50" s="5" t="inlineStr">
        <is>
          <t>否</t>
        </is>
      </c>
      <c r="W50" s="5" t="inlineStr">
        <is>
          <t>否</t>
        </is>
      </c>
      <c r="X50" s="5" t="inlineStr">
        <is>
          <t>999</t>
        </is>
      </c>
    </row>
    <row r="51" s="83">
      <c r="A51" s="5" t="inlineStr">
        <is>
          <t>2184633346628780036</t>
        </is>
      </c>
      <c r="B51" s="5" t="inlineStr">
        <is>
          <t>企业账号级</t>
        </is>
      </c>
      <c r="C51" s="5" t="inlineStr">
        <is>
          <t>Q2708</t>
        </is>
      </c>
      <c r="D51" s="5" t="inlineStr">
        <is>
          <t>其他办公场地物业水电费</t>
        </is>
      </c>
      <c r="G51" s="5" t="inlineStr">
        <is>
          <t>Q27</t>
        </is>
      </c>
      <c r="H51" s="5" t="inlineStr">
        <is>
          <t>办公场地使用费</t>
        </is>
      </c>
      <c r="I51" s="5" t="inlineStr"/>
      <c r="J51" s="5" t="inlineStr">
        <is>
          <t>启用</t>
        </is>
      </c>
      <c r="K51" s="5" t="inlineStr">
        <is>
          <t>是</t>
        </is>
      </c>
      <c r="L51" s="5" t="inlineStr">
        <is>
          <t>是</t>
        </is>
      </c>
      <c r="M51" s="5" t="inlineStr">
        <is>
          <t>是</t>
        </is>
      </c>
      <c r="N51" s="5" t="inlineStr">
        <is>
          <t>是</t>
        </is>
      </c>
      <c r="O51" s="5" t="inlineStr">
        <is>
          <t>是</t>
        </is>
      </c>
      <c r="S51" s="5" t="inlineStr">
        <is>
          <t>否</t>
        </is>
      </c>
      <c r="T51" s="5" t="inlineStr">
        <is>
          <t>否</t>
        </is>
      </c>
      <c r="W51" s="5" t="inlineStr">
        <is>
          <t>否</t>
        </is>
      </c>
      <c r="X51" s="5" t="inlineStr">
        <is>
          <t>999</t>
        </is>
      </c>
    </row>
    <row r="52" s="83">
      <c r="A52" s="5" t="inlineStr">
        <is>
          <t>2184633346628780035</t>
        </is>
      </c>
      <c r="B52" s="5" t="inlineStr">
        <is>
          <t>企业账号级</t>
        </is>
      </c>
      <c r="C52" s="5" t="inlineStr">
        <is>
          <t>Q2707</t>
        </is>
      </c>
      <c r="D52" s="5" t="inlineStr">
        <is>
          <t>押金</t>
        </is>
      </c>
      <c r="G52" s="5" t="inlineStr">
        <is>
          <t>Q27</t>
        </is>
      </c>
      <c r="H52" s="5" t="inlineStr">
        <is>
          <t>办公场地使用费</t>
        </is>
      </c>
      <c r="I52" s="5" t="inlineStr"/>
      <c r="J52" s="5" t="inlineStr">
        <is>
          <t>启用</t>
        </is>
      </c>
      <c r="K52" s="5" t="inlineStr">
        <is>
          <t>是</t>
        </is>
      </c>
      <c r="L52" s="5" t="inlineStr">
        <is>
          <t>是</t>
        </is>
      </c>
      <c r="M52" s="5" t="inlineStr">
        <is>
          <t>是</t>
        </is>
      </c>
      <c r="N52" s="5" t="inlineStr">
        <is>
          <t>是</t>
        </is>
      </c>
      <c r="O52" s="5" t="inlineStr">
        <is>
          <t>是</t>
        </is>
      </c>
      <c r="S52" s="5" t="inlineStr">
        <is>
          <t>否</t>
        </is>
      </c>
      <c r="T52" s="5" t="inlineStr">
        <is>
          <t>否</t>
        </is>
      </c>
      <c r="W52" s="5" t="inlineStr">
        <is>
          <t>否</t>
        </is>
      </c>
      <c r="X52" s="5" t="inlineStr">
        <is>
          <t>999</t>
        </is>
      </c>
    </row>
    <row r="53" s="83">
      <c r="A53" s="5" t="inlineStr">
        <is>
          <t>2184633346628780034</t>
        </is>
      </c>
      <c r="B53" s="5" t="inlineStr">
        <is>
          <t>企业账号级</t>
        </is>
      </c>
      <c r="C53" s="5" t="inlineStr">
        <is>
          <t>Q2706</t>
        </is>
      </c>
      <c r="D53" s="5" t="inlineStr">
        <is>
          <t>其他办公场地使用费</t>
        </is>
      </c>
      <c r="G53" s="5" t="inlineStr">
        <is>
          <t>Q27</t>
        </is>
      </c>
      <c r="H53" s="5" t="inlineStr">
        <is>
          <t>办公场地使用费</t>
        </is>
      </c>
      <c r="I53" s="5" t="inlineStr"/>
      <c r="J53" s="5" t="inlineStr">
        <is>
          <t>启用</t>
        </is>
      </c>
      <c r="K53" s="5" t="inlineStr">
        <is>
          <t>是</t>
        </is>
      </c>
      <c r="L53" s="5" t="inlineStr">
        <is>
          <t>是</t>
        </is>
      </c>
      <c r="M53" s="5" t="inlineStr">
        <is>
          <t>是</t>
        </is>
      </c>
      <c r="N53" s="5" t="inlineStr">
        <is>
          <t>是</t>
        </is>
      </c>
      <c r="O53" s="5" t="inlineStr">
        <is>
          <t>是</t>
        </is>
      </c>
      <c r="S53" s="5" t="inlineStr">
        <is>
          <t>否</t>
        </is>
      </c>
      <c r="T53" s="5" t="inlineStr">
        <is>
          <t>否</t>
        </is>
      </c>
      <c r="W53" s="5" t="inlineStr">
        <is>
          <t>否</t>
        </is>
      </c>
      <c r="X53" s="5" t="inlineStr">
        <is>
          <t>999</t>
        </is>
      </c>
    </row>
    <row r="54" s="83">
      <c r="A54" s="5" t="inlineStr">
        <is>
          <t>2184633346628780033</t>
        </is>
      </c>
      <c r="B54" s="5" t="inlineStr">
        <is>
          <t>企业账号级</t>
        </is>
      </c>
      <c r="C54" s="5" t="inlineStr">
        <is>
          <t>Q2705</t>
        </is>
      </c>
      <c r="D54" s="5" t="inlineStr">
        <is>
          <t>合肥办公室物业水电费</t>
        </is>
      </c>
      <c r="G54" s="5" t="inlineStr">
        <is>
          <t>Q27</t>
        </is>
      </c>
      <c r="H54" s="5" t="inlineStr">
        <is>
          <t>办公场地使用费</t>
        </is>
      </c>
      <c r="I54" s="5" t="inlineStr"/>
      <c r="J54" s="5" t="inlineStr">
        <is>
          <t>启用</t>
        </is>
      </c>
      <c r="K54" s="5" t="inlineStr">
        <is>
          <t>是</t>
        </is>
      </c>
      <c r="L54" s="5" t="inlineStr">
        <is>
          <t>是</t>
        </is>
      </c>
      <c r="M54" s="5" t="inlineStr">
        <is>
          <t>是</t>
        </is>
      </c>
      <c r="N54" s="5" t="inlineStr">
        <is>
          <t>是</t>
        </is>
      </c>
      <c r="O54" s="5" t="inlineStr">
        <is>
          <t>是</t>
        </is>
      </c>
      <c r="S54" s="5" t="inlineStr">
        <is>
          <t>否</t>
        </is>
      </c>
      <c r="T54" s="5" t="inlineStr">
        <is>
          <t>否</t>
        </is>
      </c>
      <c r="W54" s="5" t="inlineStr">
        <is>
          <t>否</t>
        </is>
      </c>
      <c r="X54" s="5" t="inlineStr">
        <is>
          <t>999</t>
        </is>
      </c>
    </row>
    <row r="55" s="83">
      <c r="A55" s="5" t="inlineStr">
        <is>
          <t>2184633338038845445</t>
        </is>
      </c>
      <c r="B55" s="5" t="inlineStr">
        <is>
          <t>企业账号级</t>
        </is>
      </c>
      <c r="C55" s="5" t="inlineStr">
        <is>
          <t>Q2704</t>
        </is>
      </c>
      <c r="D55" s="5" t="inlineStr">
        <is>
          <t>合肥办公室租金</t>
        </is>
      </c>
      <c r="G55" s="5" t="inlineStr">
        <is>
          <t>Q27</t>
        </is>
      </c>
      <c r="H55" s="5" t="inlineStr">
        <is>
          <t>办公场地使用费</t>
        </is>
      </c>
      <c r="I55" s="5" t="inlineStr"/>
      <c r="J55" s="5" t="inlineStr">
        <is>
          <t>启用</t>
        </is>
      </c>
      <c r="K55" s="5" t="inlineStr">
        <is>
          <t>是</t>
        </is>
      </c>
      <c r="L55" s="5" t="inlineStr">
        <is>
          <t>是</t>
        </is>
      </c>
      <c r="M55" s="5" t="inlineStr">
        <is>
          <t>是</t>
        </is>
      </c>
      <c r="N55" s="5" t="inlineStr">
        <is>
          <t>是</t>
        </is>
      </c>
      <c r="O55" s="5" t="inlineStr">
        <is>
          <t>是</t>
        </is>
      </c>
      <c r="S55" s="5" t="inlineStr">
        <is>
          <t>否</t>
        </is>
      </c>
      <c r="T55" s="5" t="inlineStr">
        <is>
          <t>否</t>
        </is>
      </c>
      <c r="W55" s="5" t="inlineStr">
        <is>
          <t>否</t>
        </is>
      </c>
      <c r="X55" s="5" t="inlineStr">
        <is>
          <t>999</t>
        </is>
      </c>
    </row>
    <row r="56" s="83">
      <c r="A56" s="5" t="inlineStr">
        <is>
          <t>2184633338038845444</t>
        </is>
      </c>
      <c r="B56" s="5" t="inlineStr">
        <is>
          <t>企业账号级</t>
        </is>
      </c>
      <c r="C56" s="5" t="inlineStr">
        <is>
          <t>Q2703</t>
        </is>
      </c>
      <c r="D56" s="5" t="inlineStr">
        <is>
          <t>西溪首座办公室物业水电费</t>
        </is>
      </c>
      <c r="G56" s="5" t="inlineStr">
        <is>
          <t>Q27</t>
        </is>
      </c>
      <c r="H56" s="5" t="inlineStr">
        <is>
          <t>办公场地使用费</t>
        </is>
      </c>
      <c r="I56" s="5" t="inlineStr"/>
      <c r="J56" s="5" t="inlineStr">
        <is>
          <t>启用</t>
        </is>
      </c>
      <c r="K56" s="5" t="inlineStr">
        <is>
          <t>是</t>
        </is>
      </c>
      <c r="L56" s="5" t="inlineStr">
        <is>
          <t>是</t>
        </is>
      </c>
      <c r="M56" s="5" t="inlineStr">
        <is>
          <t>是</t>
        </is>
      </c>
      <c r="N56" s="5" t="inlineStr">
        <is>
          <t>是</t>
        </is>
      </c>
      <c r="O56" s="5" t="inlineStr">
        <is>
          <t>是</t>
        </is>
      </c>
      <c r="S56" s="5" t="inlineStr">
        <is>
          <t>否</t>
        </is>
      </c>
      <c r="T56" s="5" t="inlineStr">
        <is>
          <t>否</t>
        </is>
      </c>
      <c r="W56" s="5" t="inlineStr">
        <is>
          <t>否</t>
        </is>
      </c>
      <c r="X56" s="5" t="inlineStr">
        <is>
          <t>999</t>
        </is>
      </c>
    </row>
    <row r="57" s="83">
      <c r="A57" s="5" t="inlineStr">
        <is>
          <t>2184633338038845443</t>
        </is>
      </c>
      <c r="B57" s="5" t="inlineStr">
        <is>
          <t>企业账号级</t>
        </is>
      </c>
      <c r="C57" s="5" t="inlineStr">
        <is>
          <t>Q2702</t>
        </is>
      </c>
      <c r="D57" s="5" t="inlineStr">
        <is>
          <t>西溪首座办公场地租金</t>
        </is>
      </c>
      <c r="G57" s="5" t="inlineStr">
        <is>
          <t>Q27</t>
        </is>
      </c>
      <c r="H57" s="5" t="inlineStr">
        <is>
          <t>办公场地使用费</t>
        </is>
      </c>
      <c r="I57" s="5" t="inlineStr"/>
      <c r="J57" s="5" t="inlineStr">
        <is>
          <t>启用</t>
        </is>
      </c>
      <c r="K57" s="5" t="inlineStr">
        <is>
          <t>是</t>
        </is>
      </c>
      <c r="L57" s="5" t="inlineStr">
        <is>
          <t>是</t>
        </is>
      </c>
      <c r="M57" s="5" t="inlineStr">
        <is>
          <t>是</t>
        </is>
      </c>
      <c r="N57" s="5" t="inlineStr">
        <is>
          <t>是</t>
        </is>
      </c>
      <c r="O57" s="5" t="inlineStr">
        <is>
          <t>是</t>
        </is>
      </c>
      <c r="S57" s="5" t="inlineStr">
        <is>
          <t>否</t>
        </is>
      </c>
      <c r="T57" s="5" t="inlineStr">
        <is>
          <t>否</t>
        </is>
      </c>
      <c r="W57" s="5" t="inlineStr">
        <is>
          <t>否</t>
        </is>
      </c>
      <c r="X57" s="5" t="inlineStr">
        <is>
          <t>999</t>
        </is>
      </c>
    </row>
    <row r="58" s="83">
      <c r="A58" s="5" t="inlineStr">
        <is>
          <t>2184633338038845442</t>
        </is>
      </c>
      <c r="B58" s="5" t="inlineStr">
        <is>
          <t>企业账号级</t>
        </is>
      </c>
      <c r="C58" s="5" t="inlineStr">
        <is>
          <t>Q2701</t>
        </is>
      </c>
      <c r="D58" s="5" t="inlineStr">
        <is>
          <t>西溪首座办公场地装修费</t>
        </is>
      </c>
      <c r="G58" s="5" t="inlineStr">
        <is>
          <t>Q27</t>
        </is>
      </c>
      <c r="H58" s="5" t="inlineStr">
        <is>
          <t>办公场地使用费</t>
        </is>
      </c>
      <c r="I58" s="5" t="inlineStr"/>
      <c r="J58" s="5" t="inlineStr">
        <is>
          <t>启用</t>
        </is>
      </c>
      <c r="K58" s="5" t="inlineStr">
        <is>
          <t>是</t>
        </is>
      </c>
      <c r="L58" s="5" t="inlineStr">
        <is>
          <t>是</t>
        </is>
      </c>
      <c r="M58" s="5" t="inlineStr">
        <is>
          <t>是</t>
        </is>
      </c>
      <c r="N58" s="5" t="inlineStr">
        <is>
          <t>是</t>
        </is>
      </c>
      <c r="O58" s="5" t="inlineStr">
        <is>
          <t>是</t>
        </is>
      </c>
      <c r="S58" s="5" t="inlineStr">
        <is>
          <t>否</t>
        </is>
      </c>
      <c r="T58" s="5" t="inlineStr">
        <is>
          <t>否</t>
        </is>
      </c>
      <c r="W58" s="5" t="inlineStr">
        <is>
          <t>否</t>
        </is>
      </c>
      <c r="X58" s="5" t="inlineStr">
        <is>
          <t>999</t>
        </is>
      </c>
    </row>
    <row r="59" s="83">
      <c r="A59" s="5" t="inlineStr">
        <is>
          <t>2184633338038845440</t>
        </is>
      </c>
      <c r="B59" s="5" t="inlineStr">
        <is>
          <t>企业账号级</t>
        </is>
      </c>
      <c r="C59" s="5" t="inlineStr">
        <is>
          <t>Q2601</t>
        </is>
      </c>
      <c r="D59" s="5" t="inlineStr">
        <is>
          <t>品销员工报销</t>
        </is>
      </c>
      <c r="G59" s="5" t="inlineStr">
        <is>
          <t>Q26</t>
        </is>
      </c>
      <c r="H59" s="5" t="inlineStr">
        <is>
          <t>品销-费用报销</t>
        </is>
      </c>
      <c r="I59" s="5" t="inlineStr"/>
      <c r="J59" s="5" t="inlineStr">
        <is>
          <t>启用</t>
        </is>
      </c>
      <c r="K59" s="5" t="inlineStr">
        <is>
          <t>是</t>
        </is>
      </c>
      <c r="L59" s="5" t="inlineStr">
        <is>
          <t>是</t>
        </is>
      </c>
      <c r="M59" s="5" t="inlineStr">
        <is>
          <t>是</t>
        </is>
      </c>
      <c r="N59" s="5" t="inlineStr">
        <is>
          <t>是</t>
        </is>
      </c>
      <c r="O59" s="5" t="inlineStr">
        <is>
          <t>是</t>
        </is>
      </c>
      <c r="S59" s="5" t="inlineStr">
        <is>
          <t>否</t>
        </is>
      </c>
      <c r="T59" s="5" t="inlineStr">
        <is>
          <t>否</t>
        </is>
      </c>
      <c r="W59" s="5" t="inlineStr">
        <is>
          <t>否</t>
        </is>
      </c>
      <c r="X59" s="5" t="inlineStr">
        <is>
          <t>999</t>
        </is>
      </c>
    </row>
    <row r="60" s="83">
      <c r="A60" s="5" t="inlineStr">
        <is>
          <t>2184633329448910859</t>
        </is>
      </c>
      <c r="B60" s="5" t="inlineStr">
        <is>
          <t>企业账号级</t>
        </is>
      </c>
      <c r="C60" s="5" t="inlineStr">
        <is>
          <t>Q2502</t>
        </is>
      </c>
      <c r="D60" s="5" t="inlineStr">
        <is>
          <t>云仓租金</t>
        </is>
      </c>
      <c r="G60" s="5" t="inlineStr">
        <is>
          <t>Q25</t>
        </is>
      </c>
      <c r="H60" s="5" t="inlineStr">
        <is>
          <t>发货成本</t>
        </is>
      </c>
      <c r="I60" s="5" t="inlineStr"/>
      <c r="J60" s="5" t="inlineStr">
        <is>
          <t>启用</t>
        </is>
      </c>
      <c r="K60" s="5" t="inlineStr">
        <is>
          <t>是</t>
        </is>
      </c>
      <c r="L60" s="5" t="inlineStr">
        <is>
          <t>是</t>
        </is>
      </c>
      <c r="M60" s="5" t="inlineStr">
        <is>
          <t>是</t>
        </is>
      </c>
      <c r="N60" s="5" t="inlineStr">
        <is>
          <t>是</t>
        </is>
      </c>
      <c r="O60" s="5" t="inlineStr">
        <is>
          <t>是</t>
        </is>
      </c>
      <c r="S60" s="5" t="inlineStr">
        <is>
          <t>否</t>
        </is>
      </c>
      <c r="T60" s="5" t="inlineStr">
        <is>
          <t>否</t>
        </is>
      </c>
      <c r="W60" s="5" t="inlineStr">
        <is>
          <t>否</t>
        </is>
      </c>
      <c r="X60" s="5" t="inlineStr">
        <is>
          <t>999</t>
        </is>
      </c>
    </row>
    <row r="61" s="83">
      <c r="A61" s="5" t="inlineStr">
        <is>
          <t>2184633329448910858</t>
        </is>
      </c>
      <c r="B61" s="5" t="inlineStr">
        <is>
          <t>企业账号级</t>
        </is>
      </c>
      <c r="C61" s="5" t="inlineStr">
        <is>
          <t>Q2501</t>
        </is>
      </c>
      <c r="D61" s="5" t="inlineStr">
        <is>
          <t>快递费</t>
        </is>
      </c>
      <c r="G61" s="5" t="inlineStr">
        <is>
          <t>Q25</t>
        </is>
      </c>
      <c r="H61" s="5" t="inlineStr">
        <is>
          <t>发货成本</t>
        </is>
      </c>
      <c r="I61" s="5" t="inlineStr"/>
      <c r="J61" s="5" t="inlineStr">
        <is>
          <t>启用</t>
        </is>
      </c>
      <c r="K61" s="5" t="inlineStr">
        <is>
          <t>是</t>
        </is>
      </c>
      <c r="L61" s="5" t="inlineStr">
        <is>
          <t>是</t>
        </is>
      </c>
      <c r="M61" s="5" t="inlineStr">
        <is>
          <t>是</t>
        </is>
      </c>
      <c r="N61" s="5" t="inlineStr">
        <is>
          <t>是</t>
        </is>
      </c>
      <c r="O61" s="5" t="inlineStr">
        <is>
          <t>是</t>
        </is>
      </c>
      <c r="S61" s="5" t="inlineStr">
        <is>
          <t>否</t>
        </is>
      </c>
      <c r="T61" s="5" t="inlineStr">
        <is>
          <t>否</t>
        </is>
      </c>
      <c r="W61" s="5" t="inlineStr">
        <is>
          <t>否</t>
        </is>
      </c>
      <c r="X61" s="5" t="inlineStr">
        <is>
          <t>999</t>
        </is>
      </c>
    </row>
    <row r="62" s="83">
      <c r="A62" s="5" t="inlineStr">
        <is>
          <t>2184633329448910857</t>
        </is>
      </c>
      <c r="B62" s="5" t="inlineStr">
        <is>
          <t>企业账号级</t>
        </is>
      </c>
      <c r="C62" s="5" t="inlineStr">
        <is>
          <t>Q2403</t>
        </is>
      </c>
      <c r="D62" s="5" t="inlineStr">
        <is>
          <t>助播费用</t>
        </is>
      </c>
      <c r="G62" s="5" t="inlineStr">
        <is>
          <t>Q24</t>
        </is>
      </c>
      <c r="H62" s="5" t="inlineStr">
        <is>
          <t>达人带货</t>
        </is>
      </c>
      <c r="I62" s="5" t="inlineStr"/>
      <c r="J62" s="5" t="inlineStr">
        <is>
          <t>启用</t>
        </is>
      </c>
      <c r="K62" s="5" t="inlineStr">
        <is>
          <t>是</t>
        </is>
      </c>
      <c r="L62" s="5" t="inlineStr">
        <is>
          <t>是</t>
        </is>
      </c>
      <c r="M62" s="5" t="inlineStr">
        <is>
          <t>是</t>
        </is>
      </c>
      <c r="N62" s="5" t="inlineStr">
        <is>
          <t>是</t>
        </is>
      </c>
      <c r="O62" s="5" t="inlineStr">
        <is>
          <t>是</t>
        </is>
      </c>
      <c r="S62" s="5" t="inlineStr">
        <is>
          <t>否</t>
        </is>
      </c>
      <c r="T62" s="5" t="inlineStr">
        <is>
          <t>否</t>
        </is>
      </c>
      <c r="W62" s="5" t="inlineStr">
        <is>
          <t>否</t>
        </is>
      </c>
      <c r="X62" s="5" t="inlineStr">
        <is>
          <t>999</t>
        </is>
      </c>
    </row>
    <row r="63" s="83">
      <c r="A63" s="5" t="inlineStr">
        <is>
          <t>2184633329448910856</t>
        </is>
      </c>
      <c r="B63" s="5" t="inlineStr">
        <is>
          <t>企业账号级</t>
        </is>
      </c>
      <c r="C63" s="5" t="inlineStr">
        <is>
          <t>Q2402</t>
        </is>
      </c>
      <c r="D63" s="5" t="inlineStr">
        <is>
          <t>佣金</t>
        </is>
      </c>
      <c r="G63" s="5" t="inlineStr">
        <is>
          <t>Q24</t>
        </is>
      </c>
      <c r="H63" s="5" t="inlineStr">
        <is>
          <t>达人带货</t>
        </is>
      </c>
      <c r="I63" s="5" t="inlineStr"/>
      <c r="J63" s="5" t="inlineStr">
        <is>
          <t>启用</t>
        </is>
      </c>
      <c r="K63" s="5" t="inlineStr">
        <is>
          <t>是</t>
        </is>
      </c>
      <c r="L63" s="5" t="inlineStr">
        <is>
          <t>是</t>
        </is>
      </c>
      <c r="M63" s="5" t="inlineStr">
        <is>
          <t>是</t>
        </is>
      </c>
      <c r="N63" s="5" t="inlineStr">
        <is>
          <t>是</t>
        </is>
      </c>
      <c r="O63" s="5" t="inlineStr">
        <is>
          <t>是</t>
        </is>
      </c>
      <c r="S63" s="5" t="inlineStr">
        <is>
          <t>否</t>
        </is>
      </c>
      <c r="T63" s="5" t="inlineStr">
        <is>
          <t>否</t>
        </is>
      </c>
      <c r="W63" s="5" t="inlineStr">
        <is>
          <t>否</t>
        </is>
      </c>
      <c r="X63" s="5" t="inlineStr">
        <is>
          <t>999</t>
        </is>
      </c>
    </row>
    <row r="64" s="83">
      <c r="A64" s="5" t="inlineStr">
        <is>
          <t>2184633329448910855</t>
        </is>
      </c>
      <c r="B64" s="5" t="inlineStr">
        <is>
          <t>企业账号级</t>
        </is>
      </c>
      <c r="C64" s="5" t="inlineStr">
        <is>
          <t>Q2401</t>
        </is>
      </c>
      <c r="D64" s="5" t="inlineStr">
        <is>
          <t>坑位费</t>
        </is>
      </c>
      <c r="G64" s="5" t="inlineStr">
        <is>
          <t>Q24</t>
        </is>
      </c>
      <c r="H64" s="5" t="inlineStr">
        <is>
          <t>达人带货</t>
        </is>
      </c>
      <c r="I64" s="5" t="inlineStr"/>
      <c r="J64" s="5" t="inlineStr">
        <is>
          <t>启用</t>
        </is>
      </c>
      <c r="K64" s="5" t="inlineStr">
        <is>
          <t>是</t>
        </is>
      </c>
      <c r="L64" s="5" t="inlineStr">
        <is>
          <t>是</t>
        </is>
      </c>
      <c r="M64" s="5" t="inlineStr">
        <is>
          <t>是</t>
        </is>
      </c>
      <c r="N64" s="5" t="inlineStr">
        <is>
          <t>是</t>
        </is>
      </c>
      <c r="O64" s="5" t="inlineStr">
        <is>
          <t>是</t>
        </is>
      </c>
      <c r="S64" s="5" t="inlineStr">
        <is>
          <t>否</t>
        </is>
      </c>
      <c r="T64" s="5" t="inlineStr">
        <is>
          <t>否</t>
        </is>
      </c>
      <c r="W64" s="5" t="inlineStr">
        <is>
          <t>否</t>
        </is>
      </c>
      <c r="X64" s="5" t="inlineStr">
        <is>
          <t>999</t>
        </is>
      </c>
    </row>
    <row r="65" s="83">
      <c r="A65" s="5" t="inlineStr">
        <is>
          <t>2184633329448910854</t>
        </is>
      </c>
      <c r="B65" s="5" t="inlineStr">
        <is>
          <t>企业账号级</t>
        </is>
      </c>
      <c r="C65" s="5" t="inlineStr">
        <is>
          <t>Q2301</t>
        </is>
      </c>
      <c r="D65" s="5" t="inlineStr">
        <is>
          <t>返现活动</t>
        </is>
      </c>
      <c r="G65" s="5" t="inlineStr">
        <is>
          <t>Q23</t>
        </is>
      </c>
      <c r="H65" s="5" t="inlineStr">
        <is>
          <t>私域运营</t>
        </is>
      </c>
      <c r="I65" s="5" t="inlineStr"/>
      <c r="J65" s="5" t="inlineStr">
        <is>
          <t>启用</t>
        </is>
      </c>
      <c r="K65" s="5" t="inlineStr">
        <is>
          <t>是</t>
        </is>
      </c>
      <c r="L65" s="5" t="inlineStr">
        <is>
          <t>是</t>
        </is>
      </c>
      <c r="M65" s="5" t="inlineStr">
        <is>
          <t>是</t>
        </is>
      </c>
      <c r="N65" s="5" t="inlineStr">
        <is>
          <t>是</t>
        </is>
      </c>
      <c r="O65" s="5" t="inlineStr">
        <is>
          <t>是</t>
        </is>
      </c>
      <c r="S65" s="5" t="inlineStr">
        <is>
          <t>否</t>
        </is>
      </c>
      <c r="T65" s="5" t="inlineStr">
        <is>
          <t>否</t>
        </is>
      </c>
      <c r="W65" s="5" t="inlineStr">
        <is>
          <t>否</t>
        </is>
      </c>
      <c r="X65" s="5" t="inlineStr">
        <is>
          <t>999</t>
        </is>
      </c>
    </row>
    <row r="66" s="83">
      <c r="A66" s="5" t="inlineStr">
        <is>
          <t>2184633320858976263</t>
        </is>
      </c>
      <c r="B66" s="5" t="inlineStr">
        <is>
          <t>企业账号级</t>
        </is>
      </c>
      <c r="C66" s="5" t="inlineStr">
        <is>
          <t>Q2203</t>
        </is>
      </c>
      <c r="D66" s="5" t="inlineStr">
        <is>
          <t>品专支出</t>
        </is>
      </c>
      <c r="G66" s="5" t="inlineStr">
        <is>
          <t>Q22</t>
        </is>
      </c>
      <c r="H66" s="5" t="inlineStr">
        <is>
          <t>平台运营</t>
        </is>
      </c>
      <c r="I66" s="5" t="inlineStr"/>
      <c r="J66" s="5" t="inlineStr">
        <is>
          <t>启用</t>
        </is>
      </c>
      <c r="K66" s="5" t="inlineStr">
        <is>
          <t>是</t>
        </is>
      </c>
      <c r="L66" s="5" t="inlineStr">
        <is>
          <t>是</t>
        </is>
      </c>
      <c r="M66" s="5" t="inlineStr">
        <is>
          <t>是</t>
        </is>
      </c>
      <c r="N66" s="5" t="inlineStr">
        <is>
          <t>是</t>
        </is>
      </c>
      <c r="O66" s="5" t="inlineStr">
        <is>
          <t>是</t>
        </is>
      </c>
      <c r="S66" s="5" t="inlineStr">
        <is>
          <t>否</t>
        </is>
      </c>
      <c r="T66" s="5" t="inlineStr">
        <is>
          <t>否</t>
        </is>
      </c>
      <c r="W66" s="5" t="inlineStr">
        <is>
          <t>否</t>
        </is>
      </c>
      <c r="X66" s="5" t="inlineStr">
        <is>
          <t>999</t>
        </is>
      </c>
    </row>
    <row r="67" s="83">
      <c r="A67" s="5" t="inlineStr">
        <is>
          <t>2184633320858976262</t>
        </is>
      </c>
      <c r="B67" s="5" t="inlineStr">
        <is>
          <t>企业账号级</t>
        </is>
      </c>
      <c r="C67" s="5" t="inlineStr">
        <is>
          <t>Q2202</t>
        </is>
      </c>
      <c r="D67" s="5" t="inlineStr">
        <is>
          <t>保证金及认证费用</t>
        </is>
      </c>
      <c r="G67" s="5" t="inlineStr">
        <is>
          <t>Q22</t>
        </is>
      </c>
      <c r="H67" s="5" t="inlineStr">
        <is>
          <t>平台运营</t>
        </is>
      </c>
      <c r="I67" s="5" t="inlineStr"/>
      <c r="J67" s="5" t="inlineStr">
        <is>
          <t>启用</t>
        </is>
      </c>
      <c r="K67" s="5" t="inlineStr">
        <is>
          <t>是</t>
        </is>
      </c>
      <c r="L67" s="5" t="inlineStr">
        <is>
          <t>是</t>
        </is>
      </c>
      <c r="M67" s="5" t="inlineStr">
        <is>
          <t>是</t>
        </is>
      </c>
      <c r="N67" s="5" t="inlineStr">
        <is>
          <t>是</t>
        </is>
      </c>
      <c r="O67" s="5" t="inlineStr">
        <is>
          <t>是</t>
        </is>
      </c>
      <c r="S67" s="5" t="inlineStr">
        <is>
          <t>否</t>
        </is>
      </c>
      <c r="T67" s="5" t="inlineStr">
        <is>
          <t>否</t>
        </is>
      </c>
      <c r="W67" s="5" t="inlineStr">
        <is>
          <t>否</t>
        </is>
      </c>
      <c r="X67" s="5" t="inlineStr">
        <is>
          <t>999</t>
        </is>
      </c>
    </row>
    <row r="68" s="83">
      <c r="A68" s="5" t="inlineStr">
        <is>
          <t>2184633320858976261</t>
        </is>
      </c>
      <c r="B68" s="5" t="inlineStr">
        <is>
          <t>企业账号级</t>
        </is>
      </c>
      <c r="C68" s="5" t="inlineStr">
        <is>
          <t>Q2201</t>
        </is>
      </c>
      <c r="D68" s="5" t="inlineStr">
        <is>
          <t>平台服务费</t>
        </is>
      </c>
      <c r="G68" s="5" t="inlineStr">
        <is>
          <t>Q22</t>
        </is>
      </c>
      <c r="H68" s="5" t="inlineStr">
        <is>
          <t>平台运营</t>
        </is>
      </c>
      <c r="I68" s="5" t="inlineStr"/>
      <c r="J68" s="5" t="inlineStr">
        <is>
          <t>启用</t>
        </is>
      </c>
      <c r="K68" s="5" t="inlineStr">
        <is>
          <t>是</t>
        </is>
      </c>
      <c r="L68" s="5" t="inlineStr">
        <is>
          <t>是</t>
        </is>
      </c>
      <c r="M68" s="5" t="inlineStr">
        <is>
          <t>是</t>
        </is>
      </c>
      <c r="N68" s="5" t="inlineStr">
        <is>
          <t>是</t>
        </is>
      </c>
      <c r="O68" s="5" t="inlineStr">
        <is>
          <t>是</t>
        </is>
      </c>
      <c r="S68" s="5" t="inlineStr">
        <is>
          <t>否</t>
        </is>
      </c>
      <c r="T68" s="5" t="inlineStr">
        <is>
          <t>否</t>
        </is>
      </c>
      <c r="W68" s="5" t="inlineStr">
        <is>
          <t>否</t>
        </is>
      </c>
      <c r="X68" s="5" t="inlineStr">
        <is>
          <t>999</t>
        </is>
      </c>
    </row>
    <row r="69" s="83">
      <c r="A69" s="5" t="inlineStr">
        <is>
          <t>2184633320858976260</t>
        </is>
      </c>
      <c r="B69" s="5" t="inlineStr">
        <is>
          <t>企业账号级</t>
        </is>
      </c>
      <c r="C69" s="5" t="inlineStr">
        <is>
          <t>Q2104</t>
        </is>
      </c>
      <c r="D69" s="5" t="inlineStr">
        <is>
          <t>直播间搭建费用</t>
        </is>
      </c>
      <c r="G69" s="5" t="inlineStr">
        <is>
          <t>Q21</t>
        </is>
      </c>
      <c r="H69" s="5" t="inlineStr">
        <is>
          <t>直播间运营</t>
        </is>
      </c>
      <c r="I69" s="5" t="inlineStr"/>
      <c r="J69" s="5" t="inlineStr">
        <is>
          <t>启用</t>
        </is>
      </c>
      <c r="K69" s="5" t="inlineStr">
        <is>
          <t>是</t>
        </is>
      </c>
      <c r="L69" s="5" t="inlineStr">
        <is>
          <t>是</t>
        </is>
      </c>
      <c r="M69" s="5" t="inlineStr">
        <is>
          <t>是</t>
        </is>
      </c>
      <c r="N69" s="5" t="inlineStr">
        <is>
          <t>是</t>
        </is>
      </c>
      <c r="O69" s="5" t="inlineStr">
        <is>
          <t>是</t>
        </is>
      </c>
      <c r="S69" s="5" t="inlineStr">
        <is>
          <t>否</t>
        </is>
      </c>
      <c r="T69" s="5" t="inlineStr">
        <is>
          <t>否</t>
        </is>
      </c>
      <c r="W69" s="5" t="inlineStr">
        <is>
          <t>否</t>
        </is>
      </c>
      <c r="X69" s="5" t="inlineStr">
        <is>
          <t>999</t>
        </is>
      </c>
    </row>
    <row r="70" s="83">
      <c r="A70" s="5" t="inlineStr">
        <is>
          <t>2184633320858976259</t>
        </is>
      </c>
      <c r="B70" s="5" t="inlineStr">
        <is>
          <t>企业账号级</t>
        </is>
      </c>
      <c r="C70" s="5" t="inlineStr">
        <is>
          <t>Q2103</t>
        </is>
      </c>
      <c r="D70" s="5" t="inlineStr">
        <is>
          <t>DP-小太阳团队服务费</t>
        </is>
      </c>
      <c r="G70" s="5" t="inlineStr">
        <is>
          <t>Q21</t>
        </is>
      </c>
      <c r="H70" s="5" t="inlineStr">
        <is>
          <t>直播间运营</t>
        </is>
      </c>
      <c r="I70" s="5" t="inlineStr"/>
      <c r="J70" s="5" t="inlineStr">
        <is>
          <t>启用</t>
        </is>
      </c>
      <c r="K70" s="5" t="inlineStr">
        <is>
          <t>是</t>
        </is>
      </c>
      <c r="L70" s="5" t="inlineStr">
        <is>
          <t>是</t>
        </is>
      </c>
      <c r="M70" s="5" t="inlineStr">
        <is>
          <t>是</t>
        </is>
      </c>
      <c r="N70" s="5" t="inlineStr">
        <is>
          <t>是</t>
        </is>
      </c>
      <c r="O70" s="5" t="inlineStr">
        <is>
          <t>是</t>
        </is>
      </c>
      <c r="S70" s="5" t="inlineStr">
        <is>
          <t>否</t>
        </is>
      </c>
      <c r="T70" s="5" t="inlineStr">
        <is>
          <t>否</t>
        </is>
      </c>
      <c r="W70" s="5" t="inlineStr">
        <is>
          <t>否</t>
        </is>
      </c>
      <c r="X70" s="5" t="inlineStr">
        <is>
          <t>999</t>
        </is>
      </c>
    </row>
    <row r="71" s="83">
      <c r="A71" s="5" t="inlineStr">
        <is>
          <t>2184633320858976258</t>
        </is>
      </c>
      <c r="B71" s="5" t="inlineStr">
        <is>
          <t>企业账号级</t>
        </is>
      </c>
      <c r="C71" s="5" t="inlineStr">
        <is>
          <t>Q2102</t>
        </is>
      </c>
      <c r="D71" s="5" t="inlineStr">
        <is>
          <t>DP-黑哥团队服务费</t>
        </is>
      </c>
      <c r="G71" s="5" t="inlineStr">
        <is>
          <t>Q21</t>
        </is>
      </c>
      <c r="H71" s="5" t="inlineStr">
        <is>
          <t>直播间运营</t>
        </is>
      </c>
      <c r="I71" s="5" t="inlineStr"/>
      <c r="J71" s="5" t="inlineStr">
        <is>
          <t>启用</t>
        </is>
      </c>
      <c r="K71" s="5" t="inlineStr">
        <is>
          <t>是</t>
        </is>
      </c>
      <c r="L71" s="5" t="inlineStr">
        <is>
          <t>是</t>
        </is>
      </c>
      <c r="M71" s="5" t="inlineStr">
        <is>
          <t>是</t>
        </is>
      </c>
      <c r="N71" s="5" t="inlineStr">
        <is>
          <t>是</t>
        </is>
      </c>
      <c r="O71" s="5" t="inlineStr">
        <is>
          <t>是</t>
        </is>
      </c>
      <c r="S71" s="5" t="inlineStr">
        <is>
          <t>否</t>
        </is>
      </c>
      <c r="T71" s="5" t="inlineStr">
        <is>
          <t>否</t>
        </is>
      </c>
      <c r="W71" s="5" t="inlineStr">
        <is>
          <t>否</t>
        </is>
      </c>
      <c r="X71" s="5" t="inlineStr">
        <is>
          <t>999</t>
        </is>
      </c>
    </row>
    <row r="72" s="83">
      <c r="A72" s="5" t="inlineStr">
        <is>
          <t>2184633312269041674</t>
        </is>
      </c>
      <c r="B72" s="5" t="inlineStr">
        <is>
          <t>企业账号级</t>
        </is>
      </c>
      <c r="C72" s="5" t="inlineStr">
        <is>
          <t>Q2101</t>
        </is>
      </c>
      <c r="D72" s="5" t="inlineStr">
        <is>
          <t>DP-有熊团队服务费</t>
        </is>
      </c>
      <c r="G72" s="5" t="inlineStr">
        <is>
          <t>Q21</t>
        </is>
      </c>
      <c r="H72" s="5" t="inlineStr">
        <is>
          <t>直播间运营</t>
        </is>
      </c>
      <c r="I72" s="5" t="inlineStr"/>
      <c r="J72" s="5" t="inlineStr">
        <is>
          <t>启用</t>
        </is>
      </c>
      <c r="K72" s="5" t="inlineStr">
        <is>
          <t>是</t>
        </is>
      </c>
      <c r="L72" s="5" t="inlineStr">
        <is>
          <t>是</t>
        </is>
      </c>
      <c r="M72" s="5" t="inlineStr">
        <is>
          <t>是</t>
        </is>
      </c>
      <c r="N72" s="5" t="inlineStr">
        <is>
          <t>是</t>
        </is>
      </c>
      <c r="O72" s="5" t="inlineStr">
        <is>
          <t>是</t>
        </is>
      </c>
      <c r="S72" s="5" t="inlineStr">
        <is>
          <t>否</t>
        </is>
      </c>
      <c r="T72" s="5" t="inlineStr">
        <is>
          <t>否</t>
        </is>
      </c>
      <c r="W72" s="5" t="inlineStr">
        <is>
          <t>否</t>
        </is>
      </c>
      <c r="X72" s="5" t="inlineStr">
        <is>
          <t>999</t>
        </is>
      </c>
    </row>
    <row r="73" s="83">
      <c r="A73" s="5" t="inlineStr">
        <is>
          <t>2184633312269041673</t>
        </is>
      </c>
      <c r="B73" s="5" t="inlineStr">
        <is>
          <t>企业账号级</t>
        </is>
      </c>
      <c r="C73" s="5" t="inlineStr">
        <is>
          <t>Q2005</t>
        </is>
      </c>
      <c r="D73" s="5" t="inlineStr">
        <is>
          <t>天猫平台投放充值</t>
        </is>
      </c>
      <c r="G73" s="5" t="inlineStr">
        <is>
          <t>Q20</t>
        </is>
      </c>
      <c r="H73" s="5" t="inlineStr">
        <is>
          <t>投放转化</t>
        </is>
      </c>
      <c r="I73" s="5" t="inlineStr"/>
      <c r="J73" s="5" t="inlineStr">
        <is>
          <t>启用</t>
        </is>
      </c>
      <c r="K73" s="5" t="inlineStr">
        <is>
          <t>是</t>
        </is>
      </c>
      <c r="L73" s="5" t="inlineStr">
        <is>
          <t>是</t>
        </is>
      </c>
      <c r="M73" s="5" t="inlineStr">
        <is>
          <t>是</t>
        </is>
      </c>
      <c r="N73" s="5" t="inlineStr">
        <is>
          <t>是</t>
        </is>
      </c>
      <c r="O73" s="5" t="inlineStr">
        <is>
          <t>是</t>
        </is>
      </c>
      <c r="S73" s="5" t="inlineStr">
        <is>
          <t>否</t>
        </is>
      </c>
      <c r="T73" s="5" t="inlineStr">
        <is>
          <t>否</t>
        </is>
      </c>
      <c r="W73" s="5" t="inlineStr">
        <is>
          <t>否</t>
        </is>
      </c>
      <c r="X73" s="5" t="inlineStr">
        <is>
          <t>999</t>
        </is>
      </c>
    </row>
    <row r="74" s="83">
      <c r="A74" s="5" t="inlineStr">
        <is>
          <t>2184633312269041672</t>
        </is>
      </c>
      <c r="B74" s="5" t="inlineStr">
        <is>
          <t>企业账号级</t>
        </is>
      </c>
      <c r="C74" s="5" t="inlineStr">
        <is>
          <t>Q2004</t>
        </is>
      </c>
      <c r="D74" s="5" t="inlineStr">
        <is>
          <t>视频号投放充值</t>
        </is>
      </c>
      <c r="G74" s="5" t="inlineStr">
        <is>
          <t>Q20</t>
        </is>
      </c>
      <c r="H74" s="5" t="inlineStr">
        <is>
          <t>投放转化</t>
        </is>
      </c>
      <c r="I74" s="5" t="inlineStr"/>
      <c r="J74" s="5" t="inlineStr">
        <is>
          <t>启用</t>
        </is>
      </c>
      <c r="K74" s="5" t="inlineStr">
        <is>
          <t>是</t>
        </is>
      </c>
      <c r="L74" s="5" t="inlineStr">
        <is>
          <t>是</t>
        </is>
      </c>
      <c r="M74" s="5" t="inlineStr">
        <is>
          <t>是</t>
        </is>
      </c>
      <c r="N74" s="5" t="inlineStr">
        <is>
          <t>是</t>
        </is>
      </c>
      <c r="O74" s="5" t="inlineStr">
        <is>
          <t>是</t>
        </is>
      </c>
      <c r="S74" s="5" t="inlineStr">
        <is>
          <t>否</t>
        </is>
      </c>
      <c r="T74" s="5" t="inlineStr">
        <is>
          <t>否</t>
        </is>
      </c>
      <c r="W74" s="5" t="inlineStr">
        <is>
          <t>否</t>
        </is>
      </c>
      <c r="X74" s="5" t="inlineStr">
        <is>
          <t>999</t>
        </is>
      </c>
    </row>
    <row r="75" s="83">
      <c r="A75" s="5" t="inlineStr">
        <is>
          <t>2184633312269041671</t>
        </is>
      </c>
      <c r="B75" s="5" t="inlineStr">
        <is>
          <t>企业账号级</t>
        </is>
      </c>
      <c r="C75" s="5" t="inlineStr">
        <is>
          <t>Q2003</t>
        </is>
      </c>
      <c r="D75" s="5" t="inlineStr">
        <is>
          <t>京东平台投放充值</t>
        </is>
      </c>
      <c r="G75" s="5" t="inlineStr">
        <is>
          <t>Q20</t>
        </is>
      </c>
      <c r="H75" s="5" t="inlineStr">
        <is>
          <t>投放转化</t>
        </is>
      </c>
      <c r="I75" s="5" t="inlineStr"/>
      <c r="J75" s="5" t="inlineStr">
        <is>
          <t>启用</t>
        </is>
      </c>
      <c r="K75" s="5" t="inlineStr">
        <is>
          <t>是</t>
        </is>
      </c>
      <c r="L75" s="5" t="inlineStr">
        <is>
          <t>是</t>
        </is>
      </c>
      <c r="M75" s="5" t="inlineStr">
        <is>
          <t>是</t>
        </is>
      </c>
      <c r="N75" s="5" t="inlineStr">
        <is>
          <t>是</t>
        </is>
      </c>
      <c r="O75" s="5" t="inlineStr">
        <is>
          <t>是</t>
        </is>
      </c>
      <c r="S75" s="5" t="inlineStr">
        <is>
          <t>否</t>
        </is>
      </c>
      <c r="T75" s="5" t="inlineStr">
        <is>
          <t>否</t>
        </is>
      </c>
      <c r="W75" s="5" t="inlineStr">
        <is>
          <t>否</t>
        </is>
      </c>
      <c r="X75" s="5" t="inlineStr">
        <is>
          <t>999</t>
        </is>
      </c>
    </row>
    <row r="76" s="83">
      <c r="A76" s="5" t="inlineStr">
        <is>
          <t>2184633312269041670</t>
        </is>
      </c>
      <c r="B76" s="5" t="inlineStr">
        <is>
          <t>企业账号级</t>
        </is>
      </c>
      <c r="C76" s="5" t="inlineStr">
        <is>
          <t>Q2002</t>
        </is>
      </c>
      <c r="D76" s="5" t="inlineStr">
        <is>
          <t>抖音投放充值</t>
        </is>
      </c>
      <c r="G76" s="5" t="inlineStr">
        <is>
          <t>Q20</t>
        </is>
      </c>
      <c r="H76" s="5" t="inlineStr">
        <is>
          <t>投放转化</t>
        </is>
      </c>
      <c r="I76" s="5" t="inlineStr"/>
      <c r="J76" s="5" t="inlineStr">
        <is>
          <t>启用</t>
        </is>
      </c>
      <c r="K76" s="5" t="inlineStr">
        <is>
          <t>是</t>
        </is>
      </c>
      <c r="L76" s="5" t="inlineStr">
        <is>
          <t>是</t>
        </is>
      </c>
      <c r="M76" s="5" t="inlineStr">
        <is>
          <t>是</t>
        </is>
      </c>
      <c r="N76" s="5" t="inlineStr">
        <is>
          <t>是</t>
        </is>
      </c>
      <c r="O76" s="5" t="inlineStr">
        <is>
          <t>是</t>
        </is>
      </c>
      <c r="S76" s="5" t="inlineStr">
        <is>
          <t>否</t>
        </is>
      </c>
      <c r="T76" s="5" t="inlineStr">
        <is>
          <t>否</t>
        </is>
      </c>
      <c r="W76" s="5" t="inlineStr">
        <is>
          <t>否</t>
        </is>
      </c>
      <c r="X76" s="5" t="inlineStr">
        <is>
          <t>999</t>
        </is>
      </c>
    </row>
    <row r="77" s="83">
      <c r="A77" s="5" t="inlineStr">
        <is>
          <t>2184633312269041669</t>
        </is>
      </c>
      <c r="B77" s="5" t="inlineStr">
        <is>
          <t>企业账号级</t>
        </is>
      </c>
      <c r="C77" s="5" t="inlineStr">
        <is>
          <t>Q2001</t>
        </is>
      </c>
      <c r="D77" s="5" t="inlineStr">
        <is>
          <t>信息流视频制作</t>
        </is>
      </c>
      <c r="G77" s="5" t="inlineStr">
        <is>
          <t>Q20</t>
        </is>
      </c>
      <c r="H77" s="5" t="inlineStr">
        <is>
          <t>投放转化</t>
        </is>
      </c>
      <c r="I77" s="5" t="inlineStr"/>
      <c r="J77" s="5" t="inlineStr">
        <is>
          <t>启用</t>
        </is>
      </c>
      <c r="K77" s="5" t="inlineStr">
        <is>
          <t>是</t>
        </is>
      </c>
      <c r="L77" s="5" t="inlineStr">
        <is>
          <t>是</t>
        </is>
      </c>
      <c r="M77" s="5" t="inlineStr">
        <is>
          <t>是</t>
        </is>
      </c>
      <c r="N77" s="5" t="inlineStr">
        <is>
          <t>是</t>
        </is>
      </c>
      <c r="O77" s="5" t="inlineStr">
        <is>
          <t>是</t>
        </is>
      </c>
      <c r="S77" s="5" t="inlineStr">
        <is>
          <t>否</t>
        </is>
      </c>
      <c r="T77" s="5" t="inlineStr">
        <is>
          <t>否</t>
        </is>
      </c>
      <c r="W77" s="5" t="inlineStr">
        <is>
          <t>否</t>
        </is>
      </c>
      <c r="X77" s="5" t="inlineStr">
        <is>
          <t>999</t>
        </is>
      </c>
    </row>
    <row r="78" s="83">
      <c r="A78" s="5" t="inlineStr">
        <is>
          <t>2184633303679107084</t>
        </is>
      </c>
      <c r="B78" s="5" t="inlineStr">
        <is>
          <t>企业账号级</t>
        </is>
      </c>
      <c r="C78" s="5" t="inlineStr">
        <is>
          <t>Q1906</t>
        </is>
      </c>
      <c r="D78" s="5" t="inlineStr">
        <is>
          <t>小红书种草充值</t>
        </is>
      </c>
      <c r="G78" s="5" t="inlineStr">
        <is>
          <t>Q19</t>
        </is>
      </c>
      <c r="H78" s="5" t="inlineStr">
        <is>
          <t>内容种草</t>
        </is>
      </c>
      <c r="I78" s="5" t="inlineStr"/>
      <c r="J78" s="5" t="inlineStr">
        <is>
          <t>启用</t>
        </is>
      </c>
      <c r="K78" s="5" t="inlineStr">
        <is>
          <t>是</t>
        </is>
      </c>
      <c r="L78" s="5" t="inlineStr">
        <is>
          <t>是</t>
        </is>
      </c>
      <c r="M78" s="5" t="inlineStr">
        <is>
          <t>是</t>
        </is>
      </c>
      <c r="N78" s="5" t="inlineStr">
        <is>
          <t>是</t>
        </is>
      </c>
      <c r="O78" s="5" t="inlineStr">
        <is>
          <t>是</t>
        </is>
      </c>
      <c r="S78" s="5" t="inlineStr">
        <is>
          <t>否</t>
        </is>
      </c>
      <c r="T78" s="5" t="inlineStr">
        <is>
          <t>否</t>
        </is>
      </c>
      <c r="W78" s="5" t="inlineStr">
        <is>
          <t>否</t>
        </is>
      </c>
      <c r="X78" s="5" t="inlineStr">
        <is>
          <t>999</t>
        </is>
      </c>
    </row>
    <row r="79" s="83">
      <c r="A79" s="5" t="inlineStr">
        <is>
          <t>2184633303679107083</t>
        </is>
      </c>
      <c r="B79" s="5" t="inlineStr">
        <is>
          <t>企业账号级</t>
        </is>
      </c>
      <c r="C79" s="5" t="inlineStr">
        <is>
          <t>Q1905</t>
        </is>
      </c>
      <c r="D79" s="5" t="inlineStr">
        <is>
          <t>全平台种草-达人合作</t>
        </is>
      </c>
      <c r="G79" s="5" t="inlineStr">
        <is>
          <t>Q19</t>
        </is>
      </c>
      <c r="H79" s="5" t="inlineStr">
        <is>
          <t>内容种草</t>
        </is>
      </c>
      <c r="I79" s="5" t="inlineStr"/>
      <c r="J79" s="5" t="inlineStr">
        <is>
          <t>启用</t>
        </is>
      </c>
      <c r="K79" s="5" t="inlineStr">
        <is>
          <t>是</t>
        </is>
      </c>
      <c r="L79" s="5" t="inlineStr">
        <is>
          <t>是</t>
        </is>
      </c>
      <c r="M79" s="5" t="inlineStr">
        <is>
          <t>是</t>
        </is>
      </c>
      <c r="N79" s="5" t="inlineStr">
        <is>
          <t>是</t>
        </is>
      </c>
      <c r="O79" s="5" t="inlineStr">
        <is>
          <t>是</t>
        </is>
      </c>
      <c r="S79" s="5" t="inlineStr">
        <is>
          <t>否</t>
        </is>
      </c>
      <c r="T79" s="5" t="inlineStr">
        <is>
          <t>否</t>
        </is>
      </c>
      <c r="W79" s="5" t="inlineStr">
        <is>
          <t>否</t>
        </is>
      </c>
      <c r="X79" s="5" t="inlineStr">
        <is>
          <t>999</t>
        </is>
      </c>
    </row>
    <row r="80" s="83">
      <c r="A80" s="5" t="inlineStr">
        <is>
          <t>2184633303679107082</t>
        </is>
      </c>
      <c r="B80" s="5" t="inlineStr">
        <is>
          <t>企业账号级</t>
        </is>
      </c>
      <c r="C80" s="5" t="inlineStr">
        <is>
          <t>Q1904</t>
        </is>
      </c>
      <c r="D80" s="5" t="inlineStr">
        <is>
          <t>小红书平台种草-达人合作</t>
        </is>
      </c>
      <c r="G80" s="5" t="inlineStr">
        <is>
          <t>Q19</t>
        </is>
      </c>
      <c r="H80" s="5" t="inlineStr">
        <is>
          <t>内容种草</t>
        </is>
      </c>
      <c r="I80" s="5" t="inlineStr"/>
      <c r="J80" s="5" t="inlineStr">
        <is>
          <t>启用</t>
        </is>
      </c>
      <c r="K80" s="5" t="inlineStr">
        <is>
          <t>是</t>
        </is>
      </c>
      <c r="L80" s="5" t="inlineStr">
        <is>
          <t>是</t>
        </is>
      </c>
      <c r="M80" s="5" t="inlineStr">
        <is>
          <t>是</t>
        </is>
      </c>
      <c r="N80" s="5" t="inlineStr">
        <is>
          <t>是</t>
        </is>
      </c>
      <c r="O80" s="5" t="inlineStr">
        <is>
          <t>是</t>
        </is>
      </c>
      <c r="S80" s="5" t="inlineStr">
        <is>
          <t>否</t>
        </is>
      </c>
      <c r="T80" s="5" t="inlineStr">
        <is>
          <t>否</t>
        </is>
      </c>
      <c r="W80" s="5" t="inlineStr">
        <is>
          <t>否</t>
        </is>
      </c>
      <c r="X80" s="5" t="inlineStr">
        <is>
          <t>999</t>
        </is>
      </c>
    </row>
    <row r="81" s="83">
      <c r="A81" s="5" t="inlineStr">
        <is>
          <t>2184633303679107081</t>
        </is>
      </c>
      <c r="B81" s="5" t="inlineStr">
        <is>
          <t>企业账号级</t>
        </is>
      </c>
      <c r="C81" s="5" t="inlineStr">
        <is>
          <t>Q1903</t>
        </is>
      </c>
      <c r="D81" s="5" t="inlineStr">
        <is>
          <t>抖音平台种草-达人合作</t>
        </is>
      </c>
      <c r="G81" s="5" t="inlineStr">
        <is>
          <t>Q19</t>
        </is>
      </c>
      <c r="H81" s="5" t="inlineStr">
        <is>
          <t>内容种草</t>
        </is>
      </c>
      <c r="I81" s="5" t="inlineStr"/>
      <c r="J81" s="5" t="inlineStr">
        <is>
          <t>启用</t>
        </is>
      </c>
      <c r="K81" s="5" t="inlineStr">
        <is>
          <t>是</t>
        </is>
      </c>
      <c r="L81" s="5" t="inlineStr">
        <is>
          <t>是</t>
        </is>
      </c>
      <c r="M81" s="5" t="inlineStr">
        <is>
          <t>是</t>
        </is>
      </c>
      <c r="N81" s="5" t="inlineStr">
        <is>
          <t>是</t>
        </is>
      </c>
      <c r="O81" s="5" t="inlineStr">
        <is>
          <t>是</t>
        </is>
      </c>
      <c r="S81" s="5" t="inlineStr">
        <is>
          <t>否</t>
        </is>
      </c>
      <c r="T81" s="5" t="inlineStr">
        <is>
          <t>否</t>
        </is>
      </c>
      <c r="W81" s="5" t="inlineStr">
        <is>
          <t>否</t>
        </is>
      </c>
      <c r="X81" s="5" t="inlineStr">
        <is>
          <t>999</t>
        </is>
      </c>
    </row>
    <row r="82" s="83">
      <c r="A82" s="5" t="inlineStr">
        <is>
          <t>2184633303679107080</t>
        </is>
      </c>
      <c r="B82" s="5" t="inlineStr">
        <is>
          <t>企业账号级</t>
        </is>
      </c>
      <c r="C82" s="5" t="inlineStr">
        <is>
          <t>Q1902</t>
        </is>
      </c>
      <c r="D82" s="5" t="inlineStr">
        <is>
          <t>抖音平台种草-种草通</t>
        </is>
      </c>
      <c r="G82" s="5" t="inlineStr">
        <is>
          <t>Q19</t>
        </is>
      </c>
      <c r="H82" s="5" t="inlineStr">
        <is>
          <t>内容种草</t>
        </is>
      </c>
      <c r="I82" s="5" t="inlineStr"/>
      <c r="J82" s="5" t="inlineStr">
        <is>
          <t>启用</t>
        </is>
      </c>
      <c r="K82" s="5" t="inlineStr">
        <is>
          <t>是</t>
        </is>
      </c>
      <c r="L82" s="5" t="inlineStr">
        <is>
          <t>是</t>
        </is>
      </c>
      <c r="M82" s="5" t="inlineStr">
        <is>
          <t>是</t>
        </is>
      </c>
      <c r="N82" s="5" t="inlineStr">
        <is>
          <t>是</t>
        </is>
      </c>
      <c r="O82" s="5" t="inlineStr">
        <is>
          <t>是</t>
        </is>
      </c>
      <c r="S82" s="5" t="inlineStr">
        <is>
          <t>否</t>
        </is>
      </c>
      <c r="T82" s="5" t="inlineStr">
        <is>
          <t>否</t>
        </is>
      </c>
      <c r="W82" s="5" t="inlineStr">
        <is>
          <t>否</t>
        </is>
      </c>
      <c r="X82" s="5" t="inlineStr">
        <is>
          <t>999</t>
        </is>
      </c>
    </row>
    <row r="83" s="83">
      <c r="A83" s="5" t="inlineStr">
        <is>
          <t>2184633303679107079</t>
        </is>
      </c>
      <c r="B83" s="5" t="inlineStr">
        <is>
          <t>企业账号级</t>
        </is>
      </c>
      <c r="C83" s="5" t="inlineStr">
        <is>
          <t>Q1901</t>
        </is>
      </c>
      <c r="D83" s="5" t="inlineStr">
        <is>
          <t>抖音平台种草-GD广告</t>
        </is>
      </c>
      <c r="G83" s="5" t="inlineStr">
        <is>
          <t>Q19</t>
        </is>
      </c>
      <c r="H83" s="5" t="inlineStr">
        <is>
          <t>内容种草</t>
        </is>
      </c>
      <c r="I83" s="5" t="inlineStr"/>
      <c r="J83" s="5" t="inlineStr">
        <is>
          <t>启用</t>
        </is>
      </c>
      <c r="K83" s="5" t="inlineStr">
        <is>
          <t>是</t>
        </is>
      </c>
      <c r="L83" s="5" t="inlineStr">
        <is>
          <t>是</t>
        </is>
      </c>
      <c r="M83" s="5" t="inlineStr">
        <is>
          <t>是</t>
        </is>
      </c>
      <c r="N83" s="5" t="inlineStr">
        <is>
          <t>是</t>
        </is>
      </c>
      <c r="O83" s="5" t="inlineStr">
        <is>
          <t>是</t>
        </is>
      </c>
      <c r="S83" s="5" t="inlineStr">
        <is>
          <t>否</t>
        </is>
      </c>
      <c r="T83" s="5" t="inlineStr">
        <is>
          <t>否</t>
        </is>
      </c>
      <c r="W83" s="5" t="inlineStr">
        <is>
          <t>否</t>
        </is>
      </c>
      <c r="X83" s="5" t="inlineStr">
        <is>
          <t>999</t>
        </is>
      </c>
    </row>
    <row r="84" s="83">
      <c r="A84" s="5" t="inlineStr">
        <is>
          <t>2184633295089172490</t>
        </is>
      </c>
      <c r="B84" s="5" t="inlineStr">
        <is>
          <t>企业账号级</t>
        </is>
      </c>
      <c r="C84" s="5" t="inlineStr">
        <is>
          <t>Q1806</t>
        </is>
      </c>
      <c r="D84" s="5" t="inlineStr">
        <is>
          <t>背书合作费用</t>
        </is>
      </c>
      <c r="G84" s="5" t="inlineStr">
        <is>
          <t>Q18</t>
        </is>
      </c>
      <c r="H84" s="5" t="inlineStr">
        <is>
          <t>品牌建设</t>
        </is>
      </c>
      <c r="I84" s="5" t="inlineStr"/>
      <c r="J84" s="5" t="inlineStr">
        <is>
          <t>启用</t>
        </is>
      </c>
      <c r="K84" s="5" t="inlineStr">
        <is>
          <t>是</t>
        </is>
      </c>
      <c r="L84" s="5" t="inlineStr">
        <is>
          <t>是</t>
        </is>
      </c>
      <c r="M84" s="5" t="inlineStr">
        <is>
          <t>是</t>
        </is>
      </c>
      <c r="N84" s="5" t="inlineStr">
        <is>
          <t>是</t>
        </is>
      </c>
      <c r="O84" s="5" t="inlineStr">
        <is>
          <t>是</t>
        </is>
      </c>
      <c r="S84" s="5" t="inlineStr">
        <is>
          <t>否</t>
        </is>
      </c>
      <c r="T84" s="5" t="inlineStr">
        <is>
          <t>否</t>
        </is>
      </c>
      <c r="W84" s="5" t="inlineStr">
        <is>
          <t>否</t>
        </is>
      </c>
      <c r="X84" s="5" t="inlineStr">
        <is>
          <t>999</t>
        </is>
      </c>
    </row>
    <row r="85" s="83">
      <c r="A85" s="5" t="inlineStr">
        <is>
          <t>2184633295089172489</t>
        </is>
      </c>
      <c r="B85" s="5" t="inlineStr">
        <is>
          <t>企业账号级</t>
        </is>
      </c>
      <c r="C85" s="5" t="inlineStr">
        <is>
          <t>Q1805</t>
        </is>
      </c>
      <c r="D85" s="5" t="inlineStr">
        <is>
          <t>素材拍摄</t>
        </is>
      </c>
      <c r="G85" s="5" t="inlineStr">
        <is>
          <t>Q18</t>
        </is>
      </c>
      <c r="H85" s="5" t="inlineStr">
        <is>
          <t>品牌建设</t>
        </is>
      </c>
      <c r="I85" s="5" t="inlineStr"/>
      <c r="J85" s="5" t="inlineStr">
        <is>
          <t>启用</t>
        </is>
      </c>
      <c r="K85" s="5" t="inlineStr">
        <is>
          <t>是</t>
        </is>
      </c>
      <c r="L85" s="5" t="inlineStr">
        <is>
          <t>是</t>
        </is>
      </c>
      <c r="M85" s="5" t="inlineStr">
        <is>
          <t>是</t>
        </is>
      </c>
      <c r="N85" s="5" t="inlineStr">
        <is>
          <t>是</t>
        </is>
      </c>
      <c r="O85" s="5" t="inlineStr">
        <is>
          <t>是</t>
        </is>
      </c>
      <c r="S85" s="5" t="inlineStr">
        <is>
          <t>否</t>
        </is>
      </c>
      <c r="T85" s="5" t="inlineStr">
        <is>
          <t>否</t>
        </is>
      </c>
      <c r="W85" s="5" t="inlineStr">
        <is>
          <t>否</t>
        </is>
      </c>
      <c r="X85" s="5" t="inlineStr">
        <is>
          <t>999</t>
        </is>
      </c>
    </row>
    <row r="86" s="83">
      <c r="A86" s="5" t="inlineStr">
        <is>
          <t>2184633295089172488</t>
        </is>
      </c>
      <c r="B86" s="5" t="inlineStr">
        <is>
          <t>企业账号级</t>
        </is>
      </c>
      <c r="C86" s="5" t="inlineStr">
        <is>
          <t>Q1804</t>
        </is>
      </c>
      <c r="D86" s="5" t="inlineStr">
        <is>
          <t>场地搭建</t>
        </is>
      </c>
      <c r="G86" s="5" t="inlineStr">
        <is>
          <t>Q18</t>
        </is>
      </c>
      <c r="H86" s="5" t="inlineStr">
        <is>
          <t>品牌建设</t>
        </is>
      </c>
      <c r="I86" s="5" t="inlineStr"/>
      <c r="J86" s="5" t="inlineStr">
        <is>
          <t>启用</t>
        </is>
      </c>
      <c r="K86" s="5" t="inlineStr">
        <is>
          <t>是</t>
        </is>
      </c>
      <c r="L86" s="5" t="inlineStr">
        <is>
          <t>是</t>
        </is>
      </c>
      <c r="M86" s="5" t="inlineStr">
        <is>
          <t>是</t>
        </is>
      </c>
      <c r="N86" s="5" t="inlineStr">
        <is>
          <t>是</t>
        </is>
      </c>
      <c r="O86" s="5" t="inlineStr">
        <is>
          <t>是</t>
        </is>
      </c>
      <c r="S86" s="5" t="inlineStr">
        <is>
          <t>否</t>
        </is>
      </c>
      <c r="T86" s="5" t="inlineStr">
        <is>
          <t>否</t>
        </is>
      </c>
      <c r="W86" s="5" t="inlineStr">
        <is>
          <t>否</t>
        </is>
      </c>
      <c r="X86" s="5" t="inlineStr">
        <is>
          <t>999</t>
        </is>
      </c>
    </row>
    <row r="87" s="83">
      <c r="A87" s="5" t="inlineStr">
        <is>
          <t>2184633295089172487</t>
        </is>
      </c>
      <c r="B87" s="5" t="inlineStr">
        <is>
          <t>企业账号级</t>
        </is>
      </c>
      <c r="C87" s="5" t="inlineStr">
        <is>
          <t>Q1803</t>
        </is>
      </c>
      <c r="D87" s="5" t="inlineStr">
        <is>
          <t>会务服务</t>
        </is>
      </c>
      <c r="G87" s="5" t="inlineStr">
        <is>
          <t>Q18</t>
        </is>
      </c>
      <c r="H87" s="5" t="inlineStr">
        <is>
          <t>品牌建设</t>
        </is>
      </c>
      <c r="I87" s="5" t="inlineStr"/>
      <c r="J87" s="5" t="inlineStr">
        <is>
          <t>启用</t>
        </is>
      </c>
      <c r="K87" s="5" t="inlineStr">
        <is>
          <t>是</t>
        </is>
      </c>
      <c r="L87" s="5" t="inlineStr">
        <is>
          <t>是</t>
        </is>
      </c>
      <c r="M87" s="5" t="inlineStr">
        <is>
          <t>是</t>
        </is>
      </c>
      <c r="N87" s="5" t="inlineStr">
        <is>
          <t>是</t>
        </is>
      </c>
      <c r="O87" s="5" t="inlineStr">
        <is>
          <t>是</t>
        </is>
      </c>
      <c r="S87" s="5" t="inlineStr">
        <is>
          <t>否</t>
        </is>
      </c>
      <c r="T87" s="5" t="inlineStr">
        <is>
          <t>否</t>
        </is>
      </c>
      <c r="W87" s="5" t="inlineStr">
        <is>
          <t>否</t>
        </is>
      </c>
      <c r="X87" s="5" t="inlineStr">
        <is>
          <t>999</t>
        </is>
      </c>
    </row>
    <row r="88" s="83">
      <c r="A88" s="5" t="inlineStr">
        <is>
          <t>2184633295089172486</t>
        </is>
      </c>
      <c r="B88" s="5" t="inlineStr">
        <is>
          <t>企业账号级</t>
        </is>
      </c>
      <c r="C88" s="5" t="inlineStr">
        <is>
          <t>Q1802</t>
        </is>
      </c>
      <c r="D88" s="5" t="inlineStr">
        <is>
          <t>舆情服务</t>
        </is>
      </c>
      <c r="G88" s="5" t="inlineStr">
        <is>
          <t>Q18</t>
        </is>
      </c>
      <c r="H88" s="5" t="inlineStr">
        <is>
          <t>品牌建设</t>
        </is>
      </c>
      <c r="I88" s="5" t="inlineStr"/>
      <c r="J88" s="5" t="inlineStr">
        <is>
          <t>启用</t>
        </is>
      </c>
      <c r="K88" s="5" t="inlineStr">
        <is>
          <t>是</t>
        </is>
      </c>
      <c r="L88" s="5" t="inlineStr">
        <is>
          <t>是</t>
        </is>
      </c>
      <c r="M88" s="5" t="inlineStr">
        <is>
          <t>是</t>
        </is>
      </c>
      <c r="N88" s="5" t="inlineStr">
        <is>
          <t>是</t>
        </is>
      </c>
      <c r="O88" s="5" t="inlineStr">
        <is>
          <t>是</t>
        </is>
      </c>
      <c r="S88" s="5" t="inlineStr">
        <is>
          <t>否</t>
        </is>
      </c>
      <c r="T88" s="5" t="inlineStr">
        <is>
          <t>否</t>
        </is>
      </c>
      <c r="W88" s="5" t="inlineStr">
        <is>
          <t>否</t>
        </is>
      </c>
      <c r="X88" s="5" t="inlineStr">
        <is>
          <t>999</t>
        </is>
      </c>
    </row>
    <row r="89" s="83">
      <c r="A89" s="5" t="inlineStr">
        <is>
          <t>2184633295089172485</t>
        </is>
      </c>
      <c r="B89" s="5" t="inlineStr">
        <is>
          <t>企业账号级</t>
        </is>
      </c>
      <c r="C89" s="5" t="inlineStr">
        <is>
          <t>Q1801</t>
        </is>
      </c>
      <c r="D89" s="5" t="inlineStr">
        <is>
          <t>媒体采购</t>
        </is>
      </c>
      <c r="G89" s="5" t="inlineStr">
        <is>
          <t>Q18</t>
        </is>
      </c>
      <c r="H89" s="5" t="inlineStr">
        <is>
          <t>品牌建设</t>
        </is>
      </c>
      <c r="I89" s="5" t="inlineStr"/>
      <c r="J89" s="5" t="inlineStr">
        <is>
          <t>启用</t>
        </is>
      </c>
      <c r="K89" s="5" t="inlineStr">
        <is>
          <t>是</t>
        </is>
      </c>
      <c r="L89" s="5" t="inlineStr">
        <is>
          <t>是</t>
        </is>
      </c>
      <c r="M89" s="5" t="inlineStr">
        <is>
          <t>是</t>
        </is>
      </c>
      <c r="N89" s="5" t="inlineStr">
        <is>
          <t>是</t>
        </is>
      </c>
      <c r="O89" s="5" t="inlineStr">
        <is>
          <t>是</t>
        </is>
      </c>
      <c r="S89" s="5" t="inlineStr">
        <is>
          <t>否</t>
        </is>
      </c>
      <c r="T89" s="5" t="inlineStr">
        <is>
          <t>否</t>
        </is>
      </c>
      <c r="W89" s="5" t="inlineStr">
        <is>
          <t>否</t>
        </is>
      </c>
      <c r="X89" s="5" t="inlineStr">
        <is>
          <t>999</t>
        </is>
      </c>
    </row>
    <row r="90" s="83">
      <c r="A90" s="5" t="inlineStr">
        <is>
          <t>2184633286499237897</t>
        </is>
      </c>
      <c r="B90" s="5" t="inlineStr">
        <is>
          <t>企业账号级</t>
        </is>
      </c>
      <c r="C90" s="5" t="inlineStr">
        <is>
          <t>Q1701</t>
        </is>
      </c>
      <c r="D90" s="5" t="inlineStr">
        <is>
          <t>研发员工报销</t>
        </is>
      </c>
      <c r="G90" s="5" t="inlineStr">
        <is>
          <t>Q17</t>
        </is>
      </c>
      <c r="H90" s="5" t="inlineStr">
        <is>
          <t>研发-费用报销</t>
        </is>
      </c>
      <c r="I90" s="5" t="inlineStr"/>
      <c r="J90" s="5" t="inlineStr">
        <is>
          <t>启用</t>
        </is>
      </c>
      <c r="K90" s="5" t="inlineStr">
        <is>
          <t>是</t>
        </is>
      </c>
      <c r="L90" s="5" t="inlineStr">
        <is>
          <t>是</t>
        </is>
      </c>
      <c r="M90" s="5" t="inlineStr">
        <is>
          <t>是</t>
        </is>
      </c>
      <c r="N90" s="5" t="inlineStr">
        <is>
          <t>是</t>
        </is>
      </c>
      <c r="O90" s="5" t="inlineStr">
        <is>
          <t>是</t>
        </is>
      </c>
      <c r="S90" s="5" t="inlineStr">
        <is>
          <t>否</t>
        </is>
      </c>
      <c r="T90" s="5" t="inlineStr">
        <is>
          <t>否</t>
        </is>
      </c>
      <c r="W90" s="5" t="inlineStr">
        <is>
          <t>否</t>
        </is>
      </c>
      <c r="X90" s="5" t="inlineStr">
        <is>
          <t>999</t>
        </is>
      </c>
    </row>
    <row r="91" s="83">
      <c r="A91" s="5" t="inlineStr">
        <is>
          <t>2184633286499237896</t>
        </is>
      </c>
      <c r="B91" s="5" t="inlineStr">
        <is>
          <t>企业账号级</t>
        </is>
      </c>
      <c r="C91" s="5" t="inlineStr">
        <is>
          <t>Q1603</t>
        </is>
      </c>
      <c r="D91" s="5" t="inlineStr">
        <is>
          <t>知识产权服务费</t>
        </is>
      </c>
      <c r="G91" s="5" t="inlineStr">
        <is>
          <t>Q16</t>
        </is>
      </c>
      <c r="H91" s="5" t="inlineStr">
        <is>
          <t>研发-服务费</t>
        </is>
      </c>
      <c r="I91" s="5" t="inlineStr"/>
      <c r="J91" s="5" t="inlineStr">
        <is>
          <t>启用</t>
        </is>
      </c>
      <c r="K91" s="5" t="inlineStr">
        <is>
          <t>是</t>
        </is>
      </c>
      <c r="L91" s="5" t="inlineStr">
        <is>
          <t>是</t>
        </is>
      </c>
      <c r="M91" s="5" t="inlineStr">
        <is>
          <t>是</t>
        </is>
      </c>
      <c r="N91" s="5" t="inlineStr">
        <is>
          <t>是</t>
        </is>
      </c>
      <c r="O91" s="5" t="inlineStr">
        <is>
          <t>是</t>
        </is>
      </c>
      <c r="S91" s="5" t="inlineStr">
        <is>
          <t>否</t>
        </is>
      </c>
      <c r="T91" s="5" t="inlineStr">
        <is>
          <t>否</t>
        </is>
      </c>
      <c r="W91" s="5" t="inlineStr">
        <is>
          <t>否</t>
        </is>
      </c>
      <c r="X91" s="5" t="inlineStr">
        <is>
          <t>999</t>
        </is>
      </c>
    </row>
    <row r="92" s="83">
      <c r="A92" s="5" t="inlineStr">
        <is>
          <t>2184633286499237895</t>
        </is>
      </c>
      <c r="B92" s="5" t="inlineStr">
        <is>
          <t>企业账号级</t>
        </is>
      </c>
      <c r="C92" s="5" t="inlineStr">
        <is>
          <t>Q1602</t>
        </is>
      </c>
      <c r="D92" s="5" t="inlineStr">
        <is>
          <t>AI技术外包服务费</t>
        </is>
      </c>
      <c r="G92" s="5" t="inlineStr">
        <is>
          <t>Q16</t>
        </is>
      </c>
      <c r="H92" s="5" t="inlineStr">
        <is>
          <t>研发-服务费</t>
        </is>
      </c>
      <c r="I92" s="5" t="inlineStr"/>
      <c r="J92" s="5" t="inlineStr">
        <is>
          <t>启用</t>
        </is>
      </c>
      <c r="K92" s="5" t="inlineStr">
        <is>
          <t>是</t>
        </is>
      </c>
      <c r="L92" s="5" t="inlineStr">
        <is>
          <t>是</t>
        </is>
      </c>
      <c r="M92" s="5" t="inlineStr">
        <is>
          <t>是</t>
        </is>
      </c>
      <c r="N92" s="5" t="inlineStr">
        <is>
          <t>是</t>
        </is>
      </c>
      <c r="O92" s="5" t="inlineStr">
        <is>
          <t>是</t>
        </is>
      </c>
      <c r="S92" s="5" t="inlineStr">
        <is>
          <t>否</t>
        </is>
      </c>
      <c r="T92" s="5" t="inlineStr">
        <is>
          <t>否</t>
        </is>
      </c>
      <c r="W92" s="5" t="inlineStr">
        <is>
          <t>否</t>
        </is>
      </c>
      <c r="X92" s="5" t="inlineStr">
        <is>
          <t>999</t>
        </is>
      </c>
    </row>
    <row r="93" s="83">
      <c r="A93" s="5" t="inlineStr">
        <is>
          <t>2184633286499237894</t>
        </is>
      </c>
      <c r="B93" s="5" t="inlineStr">
        <is>
          <t>企业账号级</t>
        </is>
      </c>
      <c r="C93" s="5" t="inlineStr">
        <is>
          <t>Q1601</t>
        </is>
      </c>
      <c r="D93" s="5" t="inlineStr">
        <is>
          <t>设计外包服务费</t>
        </is>
      </c>
      <c r="G93" s="5" t="inlineStr">
        <is>
          <t>Q16</t>
        </is>
      </c>
      <c r="H93" s="5" t="inlineStr">
        <is>
          <t>研发-服务费</t>
        </is>
      </c>
      <c r="I93" s="5" t="inlineStr"/>
      <c r="J93" s="5" t="inlineStr">
        <is>
          <t>启用</t>
        </is>
      </c>
      <c r="K93" s="5" t="inlineStr">
        <is>
          <t>是</t>
        </is>
      </c>
      <c r="L93" s="5" t="inlineStr">
        <is>
          <t>是</t>
        </is>
      </c>
      <c r="M93" s="5" t="inlineStr">
        <is>
          <t>是</t>
        </is>
      </c>
      <c r="N93" s="5" t="inlineStr">
        <is>
          <t>是</t>
        </is>
      </c>
      <c r="O93" s="5" t="inlineStr">
        <is>
          <t>是</t>
        </is>
      </c>
      <c r="S93" s="5" t="inlineStr">
        <is>
          <t>否</t>
        </is>
      </c>
      <c r="T93" s="5" t="inlineStr">
        <is>
          <t>否</t>
        </is>
      </c>
      <c r="W93" s="5" t="inlineStr">
        <is>
          <t>否</t>
        </is>
      </c>
      <c r="X93" s="5" t="inlineStr">
        <is>
          <t>999</t>
        </is>
      </c>
    </row>
    <row r="94" s="83">
      <c r="A94" s="5" t="inlineStr">
        <is>
          <t>2184633286499237893</t>
        </is>
      </c>
      <c r="B94" s="5" t="inlineStr">
        <is>
          <t>企业账号级</t>
        </is>
      </c>
      <c r="C94" s="5" t="inlineStr">
        <is>
          <t>Q1505</t>
        </is>
      </c>
      <c r="D94" s="5" t="inlineStr">
        <is>
          <t>其他服务器算法充值</t>
        </is>
      </c>
      <c r="G94" s="5" t="inlineStr">
        <is>
          <t>Q15</t>
        </is>
      </c>
      <c r="H94" s="5" t="inlineStr">
        <is>
          <t>服务器算法充值</t>
        </is>
      </c>
      <c r="I94" s="5" t="inlineStr"/>
      <c r="J94" s="5" t="inlineStr">
        <is>
          <t>启用</t>
        </is>
      </c>
      <c r="K94" s="5" t="inlineStr">
        <is>
          <t>是</t>
        </is>
      </c>
      <c r="L94" s="5" t="inlineStr">
        <is>
          <t>是</t>
        </is>
      </c>
      <c r="M94" s="5" t="inlineStr">
        <is>
          <t>是</t>
        </is>
      </c>
      <c r="N94" s="5" t="inlineStr">
        <is>
          <t>是</t>
        </is>
      </c>
      <c r="O94" s="5" t="inlineStr">
        <is>
          <t>是</t>
        </is>
      </c>
      <c r="S94" s="5" t="inlineStr">
        <is>
          <t>否</t>
        </is>
      </c>
      <c r="T94" s="5" t="inlineStr">
        <is>
          <t>否</t>
        </is>
      </c>
      <c r="W94" s="5" t="inlineStr">
        <is>
          <t>否</t>
        </is>
      </c>
      <c r="X94" s="5" t="inlineStr">
        <is>
          <t>999</t>
        </is>
      </c>
    </row>
    <row r="95" s="83">
      <c r="A95" s="5" t="inlineStr">
        <is>
          <t>2184633277909303308</t>
        </is>
      </c>
      <c r="B95" s="5" t="inlineStr">
        <is>
          <t>企业账号级</t>
        </is>
      </c>
      <c r="C95" s="5" t="inlineStr">
        <is>
          <t>Q1504</t>
        </is>
      </c>
      <c r="D95" s="5" t="inlineStr">
        <is>
          <t>智普AI充值费用</t>
        </is>
      </c>
      <c r="G95" s="5" t="inlineStr">
        <is>
          <t>Q15</t>
        </is>
      </c>
      <c r="H95" s="5" t="inlineStr">
        <is>
          <t>服务器算法充值</t>
        </is>
      </c>
      <c r="I95" s="5" t="inlineStr"/>
      <c r="J95" s="5" t="inlineStr">
        <is>
          <t>启用</t>
        </is>
      </c>
      <c r="K95" s="5" t="inlineStr">
        <is>
          <t>是</t>
        </is>
      </c>
      <c r="L95" s="5" t="inlineStr">
        <is>
          <t>是</t>
        </is>
      </c>
      <c r="M95" s="5" t="inlineStr">
        <is>
          <t>是</t>
        </is>
      </c>
      <c r="N95" s="5" t="inlineStr">
        <is>
          <t>是</t>
        </is>
      </c>
      <c r="O95" s="5" t="inlineStr">
        <is>
          <t>是</t>
        </is>
      </c>
      <c r="S95" s="5" t="inlineStr">
        <is>
          <t>否</t>
        </is>
      </c>
      <c r="T95" s="5" t="inlineStr">
        <is>
          <t>否</t>
        </is>
      </c>
      <c r="W95" s="5" t="inlineStr">
        <is>
          <t>否</t>
        </is>
      </c>
      <c r="X95" s="5" t="inlineStr">
        <is>
          <t>999</t>
        </is>
      </c>
    </row>
    <row r="96" s="83">
      <c r="A96" s="5" t="inlineStr">
        <is>
          <t>2184633277909303307</t>
        </is>
      </c>
      <c r="B96" s="5" t="inlineStr">
        <is>
          <t>企业账号级</t>
        </is>
      </c>
      <c r="C96" s="5" t="inlineStr">
        <is>
          <t>Q1503</t>
        </is>
      </c>
      <c r="D96" s="5" t="inlineStr">
        <is>
          <t>kimi充值费用</t>
        </is>
      </c>
      <c r="G96" s="5" t="inlineStr">
        <is>
          <t>Q15</t>
        </is>
      </c>
      <c r="H96" s="5" t="inlineStr">
        <is>
          <t>服务器算法充值</t>
        </is>
      </c>
      <c r="I96" s="5" t="inlineStr"/>
      <c r="J96" s="5" t="inlineStr">
        <is>
          <t>启用</t>
        </is>
      </c>
      <c r="K96" s="5" t="inlineStr">
        <is>
          <t>是</t>
        </is>
      </c>
      <c r="L96" s="5" t="inlineStr">
        <is>
          <t>是</t>
        </is>
      </c>
      <c r="M96" s="5" t="inlineStr">
        <is>
          <t>是</t>
        </is>
      </c>
      <c r="N96" s="5" t="inlineStr">
        <is>
          <t>是</t>
        </is>
      </c>
      <c r="O96" s="5" t="inlineStr">
        <is>
          <t>是</t>
        </is>
      </c>
      <c r="S96" s="5" t="inlineStr">
        <is>
          <t>否</t>
        </is>
      </c>
      <c r="T96" s="5" t="inlineStr">
        <is>
          <t>否</t>
        </is>
      </c>
      <c r="W96" s="5" t="inlineStr">
        <is>
          <t>否</t>
        </is>
      </c>
      <c r="X96" s="5" t="inlineStr">
        <is>
          <t>999</t>
        </is>
      </c>
    </row>
    <row r="97" s="83">
      <c r="A97" s="5" t="inlineStr">
        <is>
          <t>2184633277909303306</t>
        </is>
      </c>
      <c r="B97" s="5" t="inlineStr">
        <is>
          <t>企业账号级</t>
        </is>
      </c>
      <c r="C97" s="5" t="inlineStr">
        <is>
          <t>Q1502</t>
        </is>
      </c>
      <c r="D97" s="5" t="inlineStr">
        <is>
          <t>微软充值费用</t>
        </is>
      </c>
      <c r="G97" s="5" t="inlineStr">
        <is>
          <t>Q15</t>
        </is>
      </c>
      <c r="H97" s="5" t="inlineStr">
        <is>
          <t>服务器算法充值</t>
        </is>
      </c>
      <c r="I97" s="5" t="inlineStr"/>
      <c r="J97" s="5" t="inlineStr">
        <is>
          <t>启用</t>
        </is>
      </c>
      <c r="K97" s="5" t="inlineStr">
        <is>
          <t>是</t>
        </is>
      </c>
      <c r="L97" s="5" t="inlineStr">
        <is>
          <t>是</t>
        </is>
      </c>
      <c r="M97" s="5" t="inlineStr">
        <is>
          <t>是</t>
        </is>
      </c>
      <c r="N97" s="5" t="inlineStr">
        <is>
          <t>是</t>
        </is>
      </c>
      <c r="O97" s="5" t="inlineStr">
        <is>
          <t>是</t>
        </is>
      </c>
      <c r="S97" s="5" t="inlineStr">
        <is>
          <t>否</t>
        </is>
      </c>
      <c r="T97" s="5" t="inlineStr">
        <is>
          <t>否</t>
        </is>
      </c>
      <c r="W97" s="5" t="inlineStr">
        <is>
          <t>否</t>
        </is>
      </c>
      <c r="X97" s="5" t="inlineStr">
        <is>
          <t>999</t>
        </is>
      </c>
    </row>
    <row r="98" s="83">
      <c r="A98" s="5" t="inlineStr">
        <is>
          <t>2184633277909303305</t>
        </is>
      </c>
      <c r="B98" s="5" t="inlineStr">
        <is>
          <t>企业账号级</t>
        </is>
      </c>
      <c r="C98" s="5" t="inlineStr">
        <is>
          <t>Q1501</t>
        </is>
      </c>
      <c r="D98" s="5" t="inlineStr">
        <is>
          <t>阿里云充值费用</t>
        </is>
      </c>
      <c r="G98" s="5" t="inlineStr">
        <is>
          <t>Q15</t>
        </is>
      </c>
      <c r="H98" s="5" t="inlineStr">
        <is>
          <t>服务器算法充值</t>
        </is>
      </c>
      <c r="I98" s="5" t="inlineStr"/>
      <c r="J98" s="5" t="inlineStr">
        <is>
          <t>启用</t>
        </is>
      </c>
      <c r="K98" s="5" t="inlineStr">
        <is>
          <t>是</t>
        </is>
      </c>
      <c r="L98" s="5" t="inlineStr">
        <is>
          <t>是</t>
        </is>
      </c>
      <c r="M98" s="5" t="inlineStr">
        <is>
          <t>是</t>
        </is>
      </c>
      <c r="N98" s="5" t="inlineStr">
        <is>
          <t>是</t>
        </is>
      </c>
      <c r="O98" s="5" t="inlineStr">
        <is>
          <t>是</t>
        </is>
      </c>
      <c r="S98" s="5" t="inlineStr">
        <is>
          <t>否</t>
        </is>
      </c>
      <c r="T98" s="5" t="inlineStr">
        <is>
          <t>否</t>
        </is>
      </c>
      <c r="W98" s="5" t="inlineStr">
        <is>
          <t>否</t>
        </is>
      </c>
      <c r="X98" s="5" t="inlineStr">
        <is>
          <t>999</t>
        </is>
      </c>
    </row>
    <row r="99" s="83">
      <c r="A99" s="5" t="inlineStr">
        <is>
          <t>2184633277909303304</t>
        </is>
      </c>
      <c r="B99" s="5" t="inlineStr">
        <is>
          <t>企业账号级</t>
        </is>
      </c>
      <c r="C99" s="5" t="inlineStr">
        <is>
          <t>Q1401</t>
        </is>
      </c>
      <c r="D99" s="5" t="inlineStr">
        <is>
          <t>软件使用费</t>
        </is>
      </c>
      <c r="G99" s="5" t="inlineStr">
        <is>
          <t>Q14</t>
        </is>
      </c>
      <c r="H99" s="5" t="inlineStr">
        <is>
          <t>其他产品开发</t>
        </is>
      </c>
      <c r="I99" s="5" t="inlineStr"/>
      <c r="J99" s="5" t="inlineStr">
        <is>
          <t>启用</t>
        </is>
      </c>
      <c r="K99" s="5" t="inlineStr">
        <is>
          <t>是</t>
        </is>
      </c>
      <c r="L99" s="5" t="inlineStr">
        <is>
          <t>是</t>
        </is>
      </c>
      <c r="M99" s="5" t="inlineStr">
        <is>
          <t>是</t>
        </is>
      </c>
      <c r="N99" s="5" t="inlineStr">
        <is>
          <t>是</t>
        </is>
      </c>
      <c r="O99" s="5" t="inlineStr">
        <is>
          <t>是</t>
        </is>
      </c>
      <c r="S99" s="5" t="inlineStr">
        <is>
          <t>否</t>
        </is>
      </c>
      <c r="T99" s="5" t="inlineStr">
        <is>
          <t>否</t>
        </is>
      </c>
      <c r="W99" s="5" t="inlineStr">
        <is>
          <t>否</t>
        </is>
      </c>
      <c r="X99" s="5" t="inlineStr">
        <is>
          <t>999</t>
        </is>
      </c>
    </row>
    <row r="100" s="83">
      <c r="A100" s="5" t="inlineStr">
        <is>
          <t>2184633269319368716</t>
        </is>
      </c>
      <c r="B100" s="5" t="inlineStr">
        <is>
          <t>企业账号级</t>
        </is>
      </c>
      <c r="C100" s="5" t="inlineStr">
        <is>
          <t>Q1307</t>
        </is>
      </c>
      <c r="D100" s="5" t="inlineStr">
        <is>
          <t>题库费</t>
        </is>
      </c>
      <c r="G100" s="5" t="inlineStr">
        <is>
          <t>Q13</t>
        </is>
      </c>
      <c r="H100" s="5" t="inlineStr">
        <is>
          <t>产品开发-PRO</t>
        </is>
      </c>
      <c r="I100" s="5" t="inlineStr"/>
      <c r="J100" s="5" t="inlineStr">
        <is>
          <t>启用</t>
        </is>
      </c>
      <c r="K100" s="5" t="inlineStr">
        <is>
          <t>是</t>
        </is>
      </c>
      <c r="L100" s="5" t="inlineStr">
        <is>
          <t>是</t>
        </is>
      </c>
      <c r="M100" s="5" t="inlineStr">
        <is>
          <t>是</t>
        </is>
      </c>
      <c r="N100" s="5" t="inlineStr">
        <is>
          <t>是</t>
        </is>
      </c>
      <c r="O100" s="5" t="inlineStr">
        <is>
          <t>是</t>
        </is>
      </c>
      <c r="S100" s="5" t="inlineStr">
        <is>
          <t>否</t>
        </is>
      </c>
      <c r="T100" s="5" t="inlineStr">
        <is>
          <t>否</t>
        </is>
      </c>
      <c r="W100" s="5" t="inlineStr">
        <is>
          <t>否</t>
        </is>
      </c>
      <c r="X100" s="5" t="inlineStr">
        <is>
          <t>999</t>
        </is>
      </c>
    </row>
    <row r="101" s="83">
      <c r="A101" s="5" t="inlineStr">
        <is>
          <t>2184633269319368715</t>
        </is>
      </c>
      <c r="B101" s="5" t="inlineStr">
        <is>
          <t>企业账号级</t>
        </is>
      </c>
      <c r="C101" s="5" t="inlineStr">
        <is>
          <t>Q1306</t>
        </is>
      </c>
      <c r="D101" s="5" t="inlineStr">
        <is>
          <t>BOE研发费</t>
        </is>
      </c>
      <c r="G101" s="5" t="inlineStr">
        <is>
          <t>Q13</t>
        </is>
      </c>
      <c r="H101" s="5" t="inlineStr">
        <is>
          <t>产品开发-PRO</t>
        </is>
      </c>
      <c r="I101" s="5" t="inlineStr"/>
      <c r="J101" s="5" t="inlineStr">
        <is>
          <t>启用</t>
        </is>
      </c>
      <c r="K101" s="5" t="inlineStr">
        <is>
          <t>是</t>
        </is>
      </c>
      <c r="L101" s="5" t="inlineStr">
        <is>
          <t>是</t>
        </is>
      </c>
      <c r="M101" s="5" t="inlineStr">
        <is>
          <t>是</t>
        </is>
      </c>
      <c r="N101" s="5" t="inlineStr">
        <is>
          <t>是</t>
        </is>
      </c>
      <c r="O101" s="5" t="inlineStr">
        <is>
          <t>是</t>
        </is>
      </c>
      <c r="S101" s="5" t="inlineStr">
        <is>
          <t>否</t>
        </is>
      </c>
      <c r="T101" s="5" t="inlineStr">
        <is>
          <t>否</t>
        </is>
      </c>
      <c r="W101" s="5" t="inlineStr">
        <is>
          <t>否</t>
        </is>
      </c>
      <c r="X101" s="5" t="inlineStr">
        <is>
          <t>999</t>
        </is>
      </c>
    </row>
    <row r="102" s="83">
      <c r="A102" s="5" t="inlineStr">
        <is>
          <t>2184633269319368714</t>
        </is>
      </c>
      <c r="B102" s="5" t="inlineStr">
        <is>
          <t>企业账号级</t>
        </is>
      </c>
      <c r="C102" s="5" t="inlineStr">
        <is>
          <t>Q1305</t>
        </is>
      </c>
      <c r="D102" s="5" t="inlineStr">
        <is>
          <t>模具费用</t>
        </is>
      </c>
      <c r="G102" s="5" t="inlineStr">
        <is>
          <t>Q13</t>
        </is>
      </c>
      <c r="H102" s="5" t="inlineStr">
        <is>
          <t>产品开发-PRO</t>
        </is>
      </c>
      <c r="I102" s="5" t="inlineStr"/>
      <c r="J102" s="5" t="inlineStr">
        <is>
          <t>启用</t>
        </is>
      </c>
      <c r="K102" s="5" t="inlineStr">
        <is>
          <t>是</t>
        </is>
      </c>
      <c r="L102" s="5" t="inlineStr">
        <is>
          <t>是</t>
        </is>
      </c>
      <c r="M102" s="5" t="inlineStr">
        <is>
          <t>是</t>
        </is>
      </c>
      <c r="N102" s="5" t="inlineStr">
        <is>
          <t>是</t>
        </is>
      </c>
      <c r="O102" s="5" t="inlineStr">
        <is>
          <t>是</t>
        </is>
      </c>
      <c r="S102" s="5" t="inlineStr">
        <is>
          <t>否</t>
        </is>
      </c>
      <c r="T102" s="5" t="inlineStr">
        <is>
          <t>否</t>
        </is>
      </c>
      <c r="W102" s="5" t="inlineStr">
        <is>
          <t>否</t>
        </is>
      </c>
      <c r="X102" s="5" t="inlineStr">
        <is>
          <t>999</t>
        </is>
      </c>
    </row>
    <row r="103" s="83">
      <c r="A103" s="5" t="inlineStr">
        <is>
          <t>2184633269319368713</t>
        </is>
      </c>
      <c r="B103" s="5" t="inlineStr">
        <is>
          <t>企业账号级</t>
        </is>
      </c>
      <c r="C103" s="5" t="inlineStr">
        <is>
          <t>Q1304</t>
        </is>
      </c>
      <c r="D103" s="5" t="inlineStr">
        <is>
          <t>OTA费用</t>
        </is>
      </c>
      <c r="G103" s="5" t="inlineStr">
        <is>
          <t>Q13</t>
        </is>
      </c>
      <c r="H103" s="5" t="inlineStr">
        <is>
          <t>产品开发-PRO</t>
        </is>
      </c>
      <c r="I103" s="5" t="inlineStr"/>
      <c r="J103" s="5" t="inlineStr">
        <is>
          <t>启用</t>
        </is>
      </c>
      <c r="K103" s="5" t="inlineStr">
        <is>
          <t>是</t>
        </is>
      </c>
      <c r="L103" s="5" t="inlineStr">
        <is>
          <t>是</t>
        </is>
      </c>
      <c r="M103" s="5" t="inlineStr">
        <is>
          <t>是</t>
        </is>
      </c>
      <c r="N103" s="5" t="inlineStr">
        <is>
          <t>是</t>
        </is>
      </c>
      <c r="O103" s="5" t="inlineStr">
        <is>
          <t>是</t>
        </is>
      </c>
      <c r="S103" s="5" t="inlineStr">
        <is>
          <t>否</t>
        </is>
      </c>
      <c r="T103" s="5" t="inlineStr">
        <is>
          <t>否</t>
        </is>
      </c>
      <c r="W103" s="5" t="inlineStr">
        <is>
          <t>否</t>
        </is>
      </c>
      <c r="X103" s="5" t="inlineStr">
        <is>
          <t>999</t>
        </is>
      </c>
    </row>
    <row r="104" s="83">
      <c r="A104" s="5" t="inlineStr">
        <is>
          <t>2184633269319368712</t>
        </is>
      </c>
      <c r="B104" s="5" t="inlineStr">
        <is>
          <t>企业账号级</t>
        </is>
      </c>
      <c r="C104" s="5" t="inlineStr">
        <is>
          <t>Q1303</t>
        </is>
      </c>
      <c r="D104" s="5" t="inlineStr">
        <is>
          <t>设计费</t>
        </is>
      </c>
      <c r="G104" s="5" t="inlineStr">
        <is>
          <t>Q13</t>
        </is>
      </c>
      <c r="H104" s="5" t="inlineStr">
        <is>
          <t>产品开发-PRO</t>
        </is>
      </c>
      <c r="I104" s="5" t="inlineStr"/>
      <c r="J104" s="5" t="inlineStr">
        <is>
          <t>启用</t>
        </is>
      </c>
      <c r="K104" s="5" t="inlineStr">
        <is>
          <t>是</t>
        </is>
      </c>
      <c r="L104" s="5" t="inlineStr">
        <is>
          <t>是</t>
        </is>
      </c>
      <c r="M104" s="5" t="inlineStr">
        <is>
          <t>是</t>
        </is>
      </c>
      <c r="N104" s="5" t="inlineStr">
        <is>
          <t>是</t>
        </is>
      </c>
      <c r="O104" s="5" t="inlineStr">
        <is>
          <t>是</t>
        </is>
      </c>
      <c r="S104" s="5" t="inlineStr">
        <is>
          <t>否</t>
        </is>
      </c>
      <c r="T104" s="5" t="inlineStr">
        <is>
          <t>否</t>
        </is>
      </c>
      <c r="W104" s="5" t="inlineStr">
        <is>
          <t>否</t>
        </is>
      </c>
      <c r="X104" s="5" t="inlineStr">
        <is>
          <t>999</t>
        </is>
      </c>
    </row>
    <row r="105" s="83">
      <c r="A105" s="5" t="inlineStr">
        <is>
          <t>2184633269319368711</t>
        </is>
      </c>
      <c r="B105" s="5" t="inlineStr">
        <is>
          <t>企业账号级</t>
        </is>
      </c>
      <c r="C105" s="5" t="inlineStr">
        <is>
          <t>Q1302</t>
        </is>
      </c>
      <c r="D105" s="5" t="inlineStr">
        <is>
          <t>认证费</t>
        </is>
      </c>
      <c r="G105" s="5" t="inlineStr">
        <is>
          <t>Q13</t>
        </is>
      </c>
      <c r="H105" s="5" t="inlineStr">
        <is>
          <t>产品开发-PRO</t>
        </is>
      </c>
      <c r="I105" s="5" t="inlineStr"/>
      <c r="J105" s="5" t="inlineStr">
        <is>
          <t>启用</t>
        </is>
      </c>
      <c r="K105" s="5" t="inlineStr">
        <is>
          <t>是</t>
        </is>
      </c>
      <c r="L105" s="5" t="inlineStr">
        <is>
          <t>是</t>
        </is>
      </c>
      <c r="M105" s="5" t="inlineStr">
        <is>
          <t>是</t>
        </is>
      </c>
      <c r="N105" s="5" t="inlineStr">
        <is>
          <t>是</t>
        </is>
      </c>
      <c r="O105" s="5" t="inlineStr">
        <is>
          <t>是</t>
        </is>
      </c>
      <c r="S105" s="5" t="inlineStr">
        <is>
          <t>否</t>
        </is>
      </c>
      <c r="T105" s="5" t="inlineStr">
        <is>
          <t>否</t>
        </is>
      </c>
      <c r="W105" s="5" t="inlineStr">
        <is>
          <t>否</t>
        </is>
      </c>
      <c r="X105" s="5" t="inlineStr">
        <is>
          <t>999</t>
        </is>
      </c>
    </row>
    <row r="106" s="83">
      <c r="A106" s="5" t="inlineStr">
        <is>
          <t>2184633260729434122</t>
        </is>
      </c>
      <c r="B106" s="5" t="inlineStr">
        <is>
          <t>企业账号级</t>
        </is>
      </c>
      <c r="C106" s="5" t="inlineStr">
        <is>
          <t>Q1301</t>
        </is>
      </c>
      <c r="D106" s="5" t="inlineStr">
        <is>
          <t>检测费</t>
        </is>
      </c>
      <c r="G106" s="5" t="inlineStr">
        <is>
          <t>Q13</t>
        </is>
      </c>
      <c r="H106" s="5" t="inlineStr">
        <is>
          <t>产品开发-PRO</t>
        </is>
      </c>
      <c r="I106" s="5" t="inlineStr"/>
      <c r="J106" s="5" t="inlineStr">
        <is>
          <t>启用</t>
        </is>
      </c>
      <c r="K106" s="5" t="inlineStr">
        <is>
          <t>是</t>
        </is>
      </c>
      <c r="L106" s="5" t="inlineStr">
        <is>
          <t>是</t>
        </is>
      </c>
      <c r="M106" s="5" t="inlineStr">
        <is>
          <t>是</t>
        </is>
      </c>
      <c r="N106" s="5" t="inlineStr">
        <is>
          <t>是</t>
        </is>
      </c>
      <c r="O106" s="5" t="inlineStr">
        <is>
          <t>是</t>
        </is>
      </c>
      <c r="S106" s="5" t="inlineStr">
        <is>
          <t>否</t>
        </is>
      </c>
      <c r="T106" s="5" t="inlineStr">
        <is>
          <t>否</t>
        </is>
      </c>
      <c r="W106" s="5" t="inlineStr">
        <is>
          <t>否</t>
        </is>
      </c>
      <c r="X106" s="5" t="inlineStr">
        <is>
          <t>999</t>
        </is>
      </c>
    </row>
    <row r="107" s="83">
      <c r="A107" s="5" t="inlineStr">
        <is>
          <t>2184633260729434120</t>
        </is>
      </c>
      <c r="B107" s="5" t="inlineStr">
        <is>
          <t>企业账号级</t>
        </is>
      </c>
      <c r="C107" s="5" t="inlineStr">
        <is>
          <t>Q1208</t>
        </is>
      </c>
      <c r="D107" s="5" t="inlineStr">
        <is>
          <t>题库费</t>
        </is>
      </c>
      <c r="G107" s="5" t="inlineStr">
        <is>
          <t>Q12</t>
        </is>
      </c>
      <c r="H107" s="5" t="inlineStr">
        <is>
          <t>产品开发-MAX</t>
        </is>
      </c>
      <c r="I107" s="5" t="inlineStr"/>
      <c r="J107" s="5" t="inlineStr">
        <is>
          <t>启用</t>
        </is>
      </c>
      <c r="K107" s="5" t="inlineStr">
        <is>
          <t>是</t>
        </is>
      </c>
      <c r="L107" s="5" t="inlineStr">
        <is>
          <t>是</t>
        </is>
      </c>
      <c r="M107" s="5" t="inlineStr">
        <is>
          <t>是</t>
        </is>
      </c>
      <c r="N107" s="5" t="inlineStr">
        <is>
          <t>是</t>
        </is>
      </c>
      <c r="O107" s="5" t="inlineStr">
        <is>
          <t>是</t>
        </is>
      </c>
      <c r="S107" s="5" t="inlineStr">
        <is>
          <t>否</t>
        </is>
      </c>
      <c r="T107" s="5" t="inlineStr">
        <is>
          <t>否</t>
        </is>
      </c>
      <c r="W107" s="5" t="inlineStr">
        <is>
          <t>否</t>
        </is>
      </c>
      <c r="X107" s="5" t="inlineStr">
        <is>
          <t>999</t>
        </is>
      </c>
    </row>
    <row r="108" s="83">
      <c r="A108" s="5" t="inlineStr">
        <is>
          <t>2184633260729434119</t>
        </is>
      </c>
      <c r="B108" s="5" t="inlineStr">
        <is>
          <t>企业账号级</t>
        </is>
      </c>
      <c r="C108" s="5" t="inlineStr">
        <is>
          <t>Q1207</t>
        </is>
      </c>
      <c r="D108" s="5" t="inlineStr">
        <is>
          <t>唤醒功能开发</t>
        </is>
      </c>
      <c r="G108" s="5" t="inlineStr">
        <is>
          <t>Q12</t>
        </is>
      </c>
      <c r="H108" s="5" t="inlineStr">
        <is>
          <t>产品开发-MAX</t>
        </is>
      </c>
      <c r="I108" s="5" t="inlineStr"/>
      <c r="J108" s="5" t="inlineStr">
        <is>
          <t>启用</t>
        </is>
      </c>
      <c r="K108" s="5" t="inlineStr">
        <is>
          <t>是</t>
        </is>
      </c>
      <c r="L108" s="5" t="inlineStr">
        <is>
          <t>是</t>
        </is>
      </c>
      <c r="M108" s="5" t="inlineStr">
        <is>
          <t>是</t>
        </is>
      </c>
      <c r="N108" s="5" t="inlineStr">
        <is>
          <t>是</t>
        </is>
      </c>
      <c r="O108" s="5" t="inlineStr">
        <is>
          <t>是</t>
        </is>
      </c>
      <c r="S108" s="5" t="inlineStr">
        <is>
          <t>否</t>
        </is>
      </c>
      <c r="T108" s="5" t="inlineStr">
        <is>
          <t>否</t>
        </is>
      </c>
      <c r="W108" s="5" t="inlineStr">
        <is>
          <t>否</t>
        </is>
      </c>
      <c r="X108" s="5" t="inlineStr">
        <is>
          <t>999</t>
        </is>
      </c>
    </row>
    <row r="109" s="83">
      <c r="A109" s="5" t="inlineStr">
        <is>
          <t>2184633260729434118</t>
        </is>
      </c>
      <c r="B109" s="5" t="inlineStr">
        <is>
          <t>企业账号级</t>
        </is>
      </c>
      <c r="C109" s="5" t="inlineStr">
        <is>
          <t>Q1206</t>
        </is>
      </c>
      <c r="D109" s="5" t="inlineStr">
        <is>
          <t>TCL研发费</t>
        </is>
      </c>
      <c r="G109" s="5" t="inlineStr">
        <is>
          <t>Q12</t>
        </is>
      </c>
      <c r="H109" s="5" t="inlineStr">
        <is>
          <t>产品开发-MAX</t>
        </is>
      </c>
      <c r="I109" s="5" t="inlineStr"/>
      <c r="J109" s="5" t="inlineStr">
        <is>
          <t>启用</t>
        </is>
      </c>
      <c r="K109" s="5" t="inlineStr">
        <is>
          <t>是</t>
        </is>
      </c>
      <c r="L109" s="5" t="inlineStr">
        <is>
          <t>是</t>
        </is>
      </c>
      <c r="M109" s="5" t="inlineStr">
        <is>
          <t>是</t>
        </is>
      </c>
      <c r="N109" s="5" t="inlineStr">
        <is>
          <t>是</t>
        </is>
      </c>
      <c r="O109" s="5" t="inlineStr">
        <is>
          <t>是</t>
        </is>
      </c>
      <c r="S109" s="5" t="inlineStr">
        <is>
          <t>否</t>
        </is>
      </c>
      <c r="T109" s="5" t="inlineStr">
        <is>
          <t>否</t>
        </is>
      </c>
      <c r="W109" s="5" t="inlineStr">
        <is>
          <t>否</t>
        </is>
      </c>
      <c r="X109" s="5" t="inlineStr">
        <is>
          <t>999</t>
        </is>
      </c>
    </row>
    <row r="110" s="83">
      <c r="A110" s="5" t="inlineStr">
        <is>
          <t>2184633260729434117</t>
        </is>
      </c>
      <c r="B110" s="5" t="inlineStr">
        <is>
          <t>企业账号级</t>
        </is>
      </c>
      <c r="C110" s="5" t="inlineStr">
        <is>
          <t>Q1205</t>
        </is>
      </c>
      <c r="D110" s="5" t="inlineStr">
        <is>
          <t>模具费用</t>
        </is>
      </c>
      <c r="G110" s="5" t="inlineStr">
        <is>
          <t>Q12</t>
        </is>
      </c>
      <c r="H110" s="5" t="inlineStr">
        <is>
          <t>产品开发-MAX</t>
        </is>
      </c>
      <c r="I110" s="5" t="inlineStr"/>
      <c r="J110" s="5" t="inlineStr">
        <is>
          <t>启用</t>
        </is>
      </c>
      <c r="K110" s="5" t="inlineStr">
        <is>
          <t>是</t>
        </is>
      </c>
      <c r="L110" s="5" t="inlineStr">
        <is>
          <t>是</t>
        </is>
      </c>
      <c r="M110" s="5" t="inlineStr">
        <is>
          <t>是</t>
        </is>
      </c>
      <c r="N110" s="5" t="inlineStr">
        <is>
          <t>是</t>
        </is>
      </c>
      <c r="O110" s="5" t="inlineStr">
        <is>
          <t>是</t>
        </is>
      </c>
      <c r="S110" s="5" t="inlineStr">
        <is>
          <t>否</t>
        </is>
      </c>
      <c r="T110" s="5" t="inlineStr">
        <is>
          <t>否</t>
        </is>
      </c>
      <c r="W110" s="5" t="inlineStr">
        <is>
          <t>否</t>
        </is>
      </c>
      <c r="X110" s="5" t="inlineStr">
        <is>
          <t>999</t>
        </is>
      </c>
    </row>
    <row r="111" s="83">
      <c r="A111" s="5" t="inlineStr">
        <is>
          <t>2184633260729434116</t>
        </is>
      </c>
      <c r="B111" s="5" t="inlineStr">
        <is>
          <t>企业账号级</t>
        </is>
      </c>
      <c r="C111" s="5" t="inlineStr">
        <is>
          <t>Q1204</t>
        </is>
      </c>
      <c r="D111" s="5" t="inlineStr">
        <is>
          <t>OTA费用</t>
        </is>
      </c>
      <c r="G111" s="5" t="inlineStr">
        <is>
          <t>Q12</t>
        </is>
      </c>
      <c r="H111" s="5" t="inlineStr">
        <is>
          <t>产品开发-MAX</t>
        </is>
      </c>
      <c r="I111" s="5" t="inlineStr"/>
      <c r="J111" s="5" t="inlineStr">
        <is>
          <t>启用</t>
        </is>
      </c>
      <c r="K111" s="5" t="inlineStr">
        <is>
          <t>是</t>
        </is>
      </c>
      <c r="L111" s="5" t="inlineStr">
        <is>
          <t>是</t>
        </is>
      </c>
      <c r="M111" s="5" t="inlineStr">
        <is>
          <t>是</t>
        </is>
      </c>
      <c r="N111" s="5" t="inlineStr">
        <is>
          <t>是</t>
        </is>
      </c>
      <c r="O111" s="5" t="inlineStr">
        <is>
          <t>是</t>
        </is>
      </c>
      <c r="S111" s="5" t="inlineStr">
        <is>
          <t>否</t>
        </is>
      </c>
      <c r="T111" s="5" t="inlineStr">
        <is>
          <t>否</t>
        </is>
      </c>
      <c r="W111" s="5" t="inlineStr">
        <is>
          <t>否</t>
        </is>
      </c>
      <c r="X111" s="5" t="inlineStr">
        <is>
          <t>999</t>
        </is>
      </c>
    </row>
    <row r="112" s="83">
      <c r="A112" s="5" t="inlineStr">
        <is>
          <t>2184633252139499533</t>
        </is>
      </c>
      <c r="B112" s="5" t="inlineStr">
        <is>
          <t>企业账号级</t>
        </is>
      </c>
      <c r="C112" s="5" t="inlineStr">
        <is>
          <t>Q1203</t>
        </is>
      </c>
      <c r="D112" s="5" t="inlineStr">
        <is>
          <t>设计费</t>
        </is>
      </c>
      <c r="G112" s="5" t="inlineStr">
        <is>
          <t>Q12</t>
        </is>
      </c>
      <c r="H112" s="5" t="inlineStr">
        <is>
          <t>产品开发-MAX</t>
        </is>
      </c>
      <c r="I112" s="5" t="inlineStr"/>
      <c r="J112" s="5" t="inlineStr">
        <is>
          <t>启用</t>
        </is>
      </c>
      <c r="K112" s="5" t="inlineStr">
        <is>
          <t>是</t>
        </is>
      </c>
      <c r="L112" s="5" t="inlineStr">
        <is>
          <t>是</t>
        </is>
      </c>
      <c r="M112" s="5" t="inlineStr">
        <is>
          <t>是</t>
        </is>
      </c>
      <c r="N112" s="5" t="inlineStr">
        <is>
          <t>是</t>
        </is>
      </c>
      <c r="O112" s="5" t="inlineStr">
        <is>
          <t>是</t>
        </is>
      </c>
      <c r="S112" s="5" t="inlineStr">
        <is>
          <t>否</t>
        </is>
      </c>
      <c r="T112" s="5" t="inlineStr">
        <is>
          <t>否</t>
        </is>
      </c>
      <c r="W112" s="5" t="inlineStr">
        <is>
          <t>否</t>
        </is>
      </c>
      <c r="X112" s="5" t="inlineStr">
        <is>
          <t>999</t>
        </is>
      </c>
    </row>
    <row r="113" s="83">
      <c r="A113" s="5" t="inlineStr">
        <is>
          <t>2184633252139499532</t>
        </is>
      </c>
      <c r="B113" s="5" t="inlineStr">
        <is>
          <t>企业账号级</t>
        </is>
      </c>
      <c r="C113" s="5" t="inlineStr">
        <is>
          <t>Q1202</t>
        </is>
      </c>
      <c r="D113" s="5" t="inlineStr">
        <is>
          <t>认证费</t>
        </is>
      </c>
      <c r="G113" s="5" t="inlineStr">
        <is>
          <t>Q12</t>
        </is>
      </c>
      <c r="H113" s="5" t="inlineStr">
        <is>
          <t>产品开发-MAX</t>
        </is>
      </c>
      <c r="I113" s="5" t="inlineStr"/>
      <c r="J113" s="5" t="inlineStr">
        <is>
          <t>启用</t>
        </is>
      </c>
      <c r="K113" s="5" t="inlineStr">
        <is>
          <t>是</t>
        </is>
      </c>
      <c r="L113" s="5" t="inlineStr">
        <is>
          <t>是</t>
        </is>
      </c>
      <c r="M113" s="5" t="inlineStr">
        <is>
          <t>是</t>
        </is>
      </c>
      <c r="N113" s="5" t="inlineStr">
        <is>
          <t>是</t>
        </is>
      </c>
      <c r="O113" s="5" t="inlineStr">
        <is>
          <t>是</t>
        </is>
      </c>
      <c r="S113" s="5" t="inlineStr">
        <is>
          <t>否</t>
        </is>
      </c>
      <c r="T113" s="5" t="inlineStr">
        <is>
          <t>否</t>
        </is>
      </c>
      <c r="W113" s="5" t="inlineStr">
        <is>
          <t>否</t>
        </is>
      </c>
      <c r="X113" s="5" t="inlineStr">
        <is>
          <t>999</t>
        </is>
      </c>
    </row>
    <row r="114" s="83">
      <c r="A114" s="5" t="inlineStr">
        <is>
          <t>2184633252139499531</t>
        </is>
      </c>
      <c r="B114" s="5" t="inlineStr">
        <is>
          <t>企业账号级</t>
        </is>
      </c>
      <c r="C114" s="5" t="inlineStr">
        <is>
          <t>Q1201</t>
        </is>
      </c>
      <c r="D114" s="5" t="inlineStr">
        <is>
          <t>检测费</t>
        </is>
      </c>
      <c r="G114" s="5" t="inlineStr">
        <is>
          <t>Q12</t>
        </is>
      </c>
      <c r="H114" s="5" t="inlineStr">
        <is>
          <t>产品开发-MAX</t>
        </is>
      </c>
      <c r="I114" s="5" t="inlineStr"/>
      <c r="J114" s="5" t="inlineStr">
        <is>
          <t>启用</t>
        </is>
      </c>
      <c r="K114" s="5" t="inlineStr">
        <is>
          <t>是</t>
        </is>
      </c>
      <c r="L114" s="5" t="inlineStr">
        <is>
          <t>是</t>
        </is>
      </c>
      <c r="M114" s="5" t="inlineStr">
        <is>
          <t>是</t>
        </is>
      </c>
      <c r="N114" s="5" t="inlineStr">
        <is>
          <t>是</t>
        </is>
      </c>
      <c r="O114" s="5" t="inlineStr">
        <is>
          <t>是</t>
        </is>
      </c>
      <c r="S114" s="5" t="inlineStr">
        <is>
          <t>否</t>
        </is>
      </c>
      <c r="T114" s="5" t="inlineStr">
        <is>
          <t>否</t>
        </is>
      </c>
      <c r="W114" s="5" t="inlineStr">
        <is>
          <t>否</t>
        </is>
      </c>
      <c r="X114" s="5" t="inlineStr">
        <is>
          <t>999</t>
        </is>
      </c>
    </row>
    <row r="115" s="83">
      <c r="A115" s="5" t="inlineStr">
        <is>
          <t>2184633252139499530</t>
        </is>
      </c>
      <c r="B115" s="5" t="inlineStr">
        <is>
          <t>企业账号级</t>
        </is>
      </c>
      <c r="C115" s="5" t="inlineStr">
        <is>
          <t>Q1102</t>
        </is>
      </c>
      <c r="D115" s="5" t="inlineStr">
        <is>
          <t>支架</t>
        </is>
      </c>
      <c r="G115" s="5" t="inlineStr">
        <is>
          <t>Q11</t>
        </is>
      </c>
      <c r="H115" s="5" t="inlineStr">
        <is>
          <t>其他硬件成本</t>
        </is>
      </c>
      <c r="I115" s="5" t="inlineStr"/>
      <c r="J115" s="5" t="inlineStr">
        <is>
          <t>启用</t>
        </is>
      </c>
      <c r="K115" s="5" t="inlineStr">
        <is>
          <t>是</t>
        </is>
      </c>
      <c r="L115" s="5" t="inlineStr">
        <is>
          <t>是</t>
        </is>
      </c>
      <c r="M115" s="5" t="inlineStr">
        <is>
          <t>是</t>
        </is>
      </c>
      <c r="N115" s="5" t="inlineStr">
        <is>
          <t>是</t>
        </is>
      </c>
      <c r="O115" s="5" t="inlineStr">
        <is>
          <t>是</t>
        </is>
      </c>
      <c r="S115" s="5" t="inlineStr">
        <is>
          <t>否</t>
        </is>
      </c>
      <c r="T115" s="5" t="inlineStr">
        <is>
          <t>否</t>
        </is>
      </c>
      <c r="W115" s="5" t="inlineStr">
        <is>
          <t>否</t>
        </is>
      </c>
      <c r="X115" s="5" t="inlineStr">
        <is>
          <t>999</t>
        </is>
      </c>
    </row>
    <row r="116" s="83">
      <c r="A116" s="5" t="inlineStr">
        <is>
          <t>2184633252139499529</t>
        </is>
      </c>
      <c r="B116" s="5" t="inlineStr">
        <is>
          <t>企业账号级</t>
        </is>
      </c>
      <c r="C116" s="5" t="inlineStr">
        <is>
          <t>Q1101</t>
        </is>
      </c>
      <c r="D116" s="5" t="inlineStr">
        <is>
          <t>电容笔</t>
        </is>
      </c>
      <c r="G116" s="5" t="inlineStr">
        <is>
          <t>Q11</t>
        </is>
      </c>
      <c r="H116" s="5" t="inlineStr">
        <is>
          <t>其他硬件成本</t>
        </is>
      </c>
      <c r="I116" s="5" t="inlineStr"/>
      <c r="J116" s="5" t="inlineStr">
        <is>
          <t>启用</t>
        </is>
      </c>
      <c r="K116" s="5" t="inlineStr">
        <is>
          <t>是</t>
        </is>
      </c>
      <c r="L116" s="5" t="inlineStr">
        <is>
          <t>是</t>
        </is>
      </c>
      <c r="M116" s="5" t="inlineStr">
        <is>
          <t>是</t>
        </is>
      </c>
      <c r="N116" s="5" t="inlineStr">
        <is>
          <t>是</t>
        </is>
      </c>
      <c r="O116" s="5" t="inlineStr">
        <is>
          <t>是</t>
        </is>
      </c>
      <c r="S116" s="5" t="inlineStr">
        <is>
          <t>否</t>
        </is>
      </c>
      <c r="T116" s="5" t="inlineStr">
        <is>
          <t>否</t>
        </is>
      </c>
      <c r="W116" s="5" t="inlineStr">
        <is>
          <t>否</t>
        </is>
      </c>
      <c r="X116" s="5" t="inlineStr">
        <is>
          <t>999</t>
        </is>
      </c>
    </row>
    <row r="117" s="83">
      <c r="A117" s="5" t="inlineStr">
        <is>
          <t>2184633243549564933</t>
        </is>
      </c>
      <c r="B117" s="5" t="inlineStr">
        <is>
          <t>企业账号级</t>
        </is>
      </c>
      <c r="C117" s="5" t="inlineStr">
        <is>
          <t>Q1006</t>
        </is>
      </c>
      <c r="D117" s="5" t="inlineStr">
        <is>
          <t>学习机系统授权费</t>
        </is>
      </c>
      <c r="G117" s="5" t="inlineStr">
        <is>
          <t>Q10</t>
        </is>
      </c>
      <c r="H117" s="5" t="inlineStr">
        <is>
          <t>BONG PRO</t>
        </is>
      </c>
      <c r="I117" s="5" t="inlineStr"/>
      <c r="J117" s="5" t="inlineStr">
        <is>
          <t>启用</t>
        </is>
      </c>
      <c r="K117" s="5" t="inlineStr">
        <is>
          <t>是</t>
        </is>
      </c>
      <c r="L117" s="5" t="inlineStr">
        <is>
          <t>是</t>
        </is>
      </c>
      <c r="M117" s="5" t="inlineStr">
        <is>
          <t>是</t>
        </is>
      </c>
      <c r="N117" s="5" t="inlineStr">
        <is>
          <t>是</t>
        </is>
      </c>
      <c r="O117" s="5" t="inlineStr">
        <is>
          <t>是</t>
        </is>
      </c>
      <c r="S117" s="5" t="inlineStr">
        <is>
          <t>否</t>
        </is>
      </c>
      <c r="T117" s="5" t="inlineStr">
        <is>
          <t>否</t>
        </is>
      </c>
      <c r="W117" s="5" t="inlineStr">
        <is>
          <t>否</t>
        </is>
      </c>
      <c r="X117" s="5" t="inlineStr">
        <is>
          <t>999</t>
        </is>
      </c>
    </row>
    <row r="118" s="83">
      <c r="A118" s="5" t="inlineStr">
        <is>
          <t>2184633243549564932</t>
        </is>
      </c>
      <c r="B118" s="5" t="inlineStr">
        <is>
          <t>企业账号级</t>
        </is>
      </c>
      <c r="C118" s="5" t="inlineStr">
        <is>
          <t>Q1005</t>
        </is>
      </c>
      <c r="D118" s="5" t="inlineStr">
        <is>
          <t>指学镜</t>
        </is>
      </c>
      <c r="G118" s="5" t="inlineStr">
        <is>
          <t>Q10</t>
        </is>
      </c>
      <c r="H118" s="5" t="inlineStr">
        <is>
          <t>BONG PRO</t>
        </is>
      </c>
      <c r="I118" s="5" t="inlineStr"/>
      <c r="J118" s="5" t="inlineStr">
        <is>
          <t>启用</t>
        </is>
      </c>
      <c r="K118" s="5" t="inlineStr">
        <is>
          <t>是</t>
        </is>
      </c>
      <c r="L118" s="5" t="inlineStr">
        <is>
          <t>是</t>
        </is>
      </c>
      <c r="M118" s="5" t="inlineStr">
        <is>
          <t>是</t>
        </is>
      </c>
      <c r="N118" s="5" t="inlineStr">
        <is>
          <t>是</t>
        </is>
      </c>
      <c r="O118" s="5" t="inlineStr">
        <is>
          <t>是</t>
        </is>
      </c>
      <c r="S118" s="5" t="inlineStr">
        <is>
          <t>否</t>
        </is>
      </c>
      <c r="T118" s="5" t="inlineStr">
        <is>
          <t>否</t>
        </is>
      </c>
      <c r="W118" s="5" t="inlineStr">
        <is>
          <t>否</t>
        </is>
      </c>
      <c r="X118" s="5" t="inlineStr">
        <is>
          <t>999</t>
        </is>
      </c>
    </row>
    <row r="119" s="83">
      <c r="A119" s="5" t="inlineStr">
        <is>
          <t>2184633243549564931</t>
        </is>
      </c>
      <c r="B119" s="5" t="inlineStr">
        <is>
          <t>企业账号级</t>
        </is>
      </c>
      <c r="C119" s="5" t="inlineStr">
        <is>
          <t>Q1004</t>
        </is>
      </c>
      <c r="D119" s="5" t="inlineStr">
        <is>
          <t>充电器</t>
        </is>
      </c>
      <c r="G119" s="5" t="inlineStr">
        <is>
          <t>Q10</t>
        </is>
      </c>
      <c r="H119" s="5" t="inlineStr">
        <is>
          <t>BONG PRO</t>
        </is>
      </c>
      <c r="I119" s="5" t="inlineStr"/>
      <c r="J119" s="5" t="inlineStr">
        <is>
          <t>启用</t>
        </is>
      </c>
      <c r="K119" s="5" t="inlineStr">
        <is>
          <t>是</t>
        </is>
      </c>
      <c r="L119" s="5" t="inlineStr">
        <is>
          <t>是</t>
        </is>
      </c>
      <c r="M119" s="5" t="inlineStr">
        <is>
          <t>是</t>
        </is>
      </c>
      <c r="N119" s="5" t="inlineStr">
        <is>
          <t>是</t>
        </is>
      </c>
      <c r="O119" s="5" t="inlineStr">
        <is>
          <t>是</t>
        </is>
      </c>
      <c r="S119" s="5" t="inlineStr">
        <is>
          <t>否</t>
        </is>
      </c>
      <c r="T119" s="5" t="inlineStr">
        <is>
          <t>否</t>
        </is>
      </c>
      <c r="W119" s="5" t="inlineStr">
        <is>
          <t>否</t>
        </is>
      </c>
      <c r="X119" s="5" t="inlineStr">
        <is>
          <t>999</t>
        </is>
      </c>
    </row>
    <row r="120" s="83">
      <c r="A120" s="5" t="inlineStr">
        <is>
          <t>2184633243549564930</t>
        </is>
      </c>
      <c r="B120" s="5" t="inlineStr">
        <is>
          <t>企业账号级</t>
        </is>
      </c>
      <c r="C120" s="5" t="inlineStr">
        <is>
          <t>Q1003</t>
        </is>
      </c>
      <c r="D120" s="5" t="inlineStr">
        <is>
          <t>包装盒</t>
        </is>
      </c>
      <c r="G120" s="5" t="inlineStr">
        <is>
          <t>Q10</t>
        </is>
      </c>
      <c r="H120" s="5" t="inlineStr">
        <is>
          <t>BONG PRO</t>
        </is>
      </c>
      <c r="I120" s="5" t="inlineStr"/>
      <c r="J120" s="5" t="inlineStr">
        <is>
          <t>启用</t>
        </is>
      </c>
      <c r="K120" s="5" t="inlineStr">
        <is>
          <t>是</t>
        </is>
      </c>
      <c r="L120" s="5" t="inlineStr">
        <is>
          <t>是</t>
        </is>
      </c>
      <c r="M120" s="5" t="inlineStr">
        <is>
          <t>是</t>
        </is>
      </c>
      <c r="N120" s="5" t="inlineStr">
        <is>
          <t>是</t>
        </is>
      </c>
      <c r="O120" s="5" t="inlineStr">
        <is>
          <t>是</t>
        </is>
      </c>
      <c r="S120" s="5" t="inlineStr">
        <is>
          <t>否</t>
        </is>
      </c>
      <c r="T120" s="5" t="inlineStr">
        <is>
          <t>否</t>
        </is>
      </c>
      <c r="W120" s="5" t="inlineStr">
        <is>
          <t>否</t>
        </is>
      </c>
      <c r="X120" s="5" t="inlineStr">
        <is>
          <t>999</t>
        </is>
      </c>
    </row>
    <row r="121" s="83">
      <c r="A121" s="5" t="inlineStr">
        <is>
          <t>2184633234959630345</t>
        </is>
      </c>
      <c r="B121" s="5" t="inlineStr">
        <is>
          <t>企业账号级</t>
        </is>
      </c>
      <c r="C121" s="5" t="inlineStr">
        <is>
          <t>Q1002</t>
        </is>
      </c>
      <c r="D121" s="5" t="inlineStr">
        <is>
          <t>保护套</t>
        </is>
      </c>
      <c r="G121" s="5" t="inlineStr">
        <is>
          <t>Q10</t>
        </is>
      </c>
      <c r="H121" s="5" t="inlineStr">
        <is>
          <t>BONG PRO</t>
        </is>
      </c>
      <c r="I121" s="5" t="inlineStr"/>
      <c r="J121" s="5" t="inlineStr">
        <is>
          <t>启用</t>
        </is>
      </c>
      <c r="K121" s="5" t="inlineStr">
        <is>
          <t>是</t>
        </is>
      </c>
      <c r="L121" s="5" t="inlineStr">
        <is>
          <t>是</t>
        </is>
      </c>
      <c r="M121" s="5" t="inlineStr">
        <is>
          <t>是</t>
        </is>
      </c>
      <c r="N121" s="5" t="inlineStr">
        <is>
          <t>是</t>
        </is>
      </c>
      <c r="O121" s="5" t="inlineStr">
        <is>
          <t>是</t>
        </is>
      </c>
      <c r="S121" s="5" t="inlineStr">
        <is>
          <t>否</t>
        </is>
      </c>
      <c r="T121" s="5" t="inlineStr">
        <is>
          <t>否</t>
        </is>
      </c>
      <c r="W121" s="5" t="inlineStr">
        <is>
          <t>否</t>
        </is>
      </c>
      <c r="X121" s="5" t="inlineStr">
        <is>
          <t>999</t>
        </is>
      </c>
    </row>
    <row r="122" s="83">
      <c r="A122" s="5" t="inlineStr">
        <is>
          <t>2184633234959630344</t>
        </is>
      </c>
      <c r="B122" s="5" t="inlineStr">
        <is>
          <t>企业账号级</t>
        </is>
      </c>
      <c r="C122" s="5" t="inlineStr">
        <is>
          <t>Q1001</t>
        </is>
      </c>
      <c r="D122" s="5" t="inlineStr">
        <is>
          <t>BOE平板电脑款项</t>
        </is>
      </c>
      <c r="G122" s="5" t="inlineStr">
        <is>
          <t>Q10</t>
        </is>
      </c>
      <c r="H122" s="5" t="inlineStr">
        <is>
          <t>BONG PRO</t>
        </is>
      </c>
      <c r="I122" s="5" t="inlineStr"/>
      <c r="J122" s="5" t="inlineStr">
        <is>
          <t>启用</t>
        </is>
      </c>
      <c r="K122" s="5" t="inlineStr">
        <is>
          <t>是</t>
        </is>
      </c>
      <c r="L122" s="5" t="inlineStr">
        <is>
          <t>是</t>
        </is>
      </c>
      <c r="M122" s="5" t="inlineStr">
        <is>
          <t>是</t>
        </is>
      </c>
      <c r="N122" s="5" t="inlineStr">
        <is>
          <t>是</t>
        </is>
      </c>
      <c r="O122" s="5" t="inlineStr">
        <is>
          <t>是</t>
        </is>
      </c>
      <c r="S122" s="5" t="inlineStr">
        <is>
          <t>否</t>
        </is>
      </c>
      <c r="T122" s="5" t="inlineStr">
        <is>
          <t>否</t>
        </is>
      </c>
      <c r="W122" s="5" t="inlineStr">
        <is>
          <t>否</t>
        </is>
      </c>
      <c r="X122" s="5" t="inlineStr">
        <is>
          <t>999</t>
        </is>
      </c>
    </row>
    <row r="123" s="83">
      <c r="A123" s="5" t="inlineStr">
        <is>
          <t>2184633234959630341</t>
        </is>
      </c>
      <c r="B123" s="5" t="inlineStr">
        <is>
          <t>企业账号级</t>
        </is>
      </c>
      <c r="C123" s="5" t="inlineStr">
        <is>
          <t>Q0906</t>
        </is>
      </c>
      <c r="D123" s="5" t="inlineStr">
        <is>
          <t>学习机系统授权费</t>
        </is>
      </c>
      <c r="G123" s="5" t="inlineStr">
        <is>
          <t>Q09</t>
        </is>
      </c>
      <c r="H123" s="5" t="inlineStr">
        <is>
          <t>BONG MAX</t>
        </is>
      </c>
      <c r="I123" s="5" t="inlineStr"/>
      <c r="J123" s="5" t="inlineStr">
        <is>
          <t>启用</t>
        </is>
      </c>
      <c r="K123" s="5" t="inlineStr">
        <is>
          <t>是</t>
        </is>
      </c>
      <c r="L123" s="5" t="inlineStr">
        <is>
          <t>是</t>
        </is>
      </c>
      <c r="M123" s="5" t="inlineStr">
        <is>
          <t>是</t>
        </is>
      </c>
      <c r="N123" s="5" t="inlineStr">
        <is>
          <t>是</t>
        </is>
      </c>
      <c r="O123" s="5" t="inlineStr">
        <is>
          <t>是</t>
        </is>
      </c>
      <c r="S123" s="5" t="inlineStr">
        <is>
          <t>否</t>
        </is>
      </c>
      <c r="T123" s="5" t="inlineStr">
        <is>
          <t>否</t>
        </is>
      </c>
      <c r="W123" s="5" t="inlineStr">
        <is>
          <t>否</t>
        </is>
      </c>
      <c r="X123" s="5" t="inlineStr">
        <is>
          <t>999</t>
        </is>
      </c>
    </row>
    <row r="124" s="83">
      <c r="A124" s="5" t="inlineStr">
        <is>
          <t>2184633234959630340</t>
        </is>
      </c>
      <c r="B124" s="5" t="inlineStr">
        <is>
          <t>企业账号级</t>
        </is>
      </c>
      <c r="C124" s="5" t="inlineStr">
        <is>
          <t>Q0905</t>
        </is>
      </c>
      <c r="D124" s="5" t="inlineStr">
        <is>
          <t>指学镜</t>
        </is>
      </c>
      <c r="G124" s="5" t="inlineStr">
        <is>
          <t>Q09</t>
        </is>
      </c>
      <c r="H124" s="5" t="inlineStr">
        <is>
          <t>BONG MAX</t>
        </is>
      </c>
      <c r="I124" s="5" t="inlineStr"/>
      <c r="J124" s="5" t="inlineStr">
        <is>
          <t>启用</t>
        </is>
      </c>
      <c r="K124" s="5" t="inlineStr">
        <is>
          <t>是</t>
        </is>
      </c>
      <c r="L124" s="5" t="inlineStr">
        <is>
          <t>是</t>
        </is>
      </c>
      <c r="M124" s="5" t="inlineStr">
        <is>
          <t>是</t>
        </is>
      </c>
      <c r="N124" s="5" t="inlineStr">
        <is>
          <t>是</t>
        </is>
      </c>
      <c r="O124" s="5" t="inlineStr">
        <is>
          <t>是</t>
        </is>
      </c>
      <c r="S124" s="5" t="inlineStr">
        <is>
          <t>否</t>
        </is>
      </c>
      <c r="T124" s="5" t="inlineStr">
        <is>
          <t>否</t>
        </is>
      </c>
      <c r="W124" s="5" t="inlineStr">
        <is>
          <t>否</t>
        </is>
      </c>
      <c r="X124" s="5" t="inlineStr">
        <is>
          <t>999</t>
        </is>
      </c>
    </row>
    <row r="125" s="83">
      <c r="A125" s="5" t="inlineStr">
        <is>
          <t>2184633234959630339</t>
        </is>
      </c>
      <c r="B125" s="5" t="inlineStr">
        <is>
          <t>企业账号级</t>
        </is>
      </c>
      <c r="C125" s="5" t="inlineStr">
        <is>
          <t>Q0904</t>
        </is>
      </c>
      <c r="D125" s="5" t="inlineStr">
        <is>
          <t>充电器</t>
        </is>
      </c>
      <c r="G125" s="5" t="inlineStr">
        <is>
          <t>Q09</t>
        </is>
      </c>
      <c r="H125" s="5" t="inlineStr">
        <is>
          <t>BONG MAX</t>
        </is>
      </c>
      <c r="I125" s="5" t="inlineStr"/>
      <c r="J125" s="5" t="inlineStr">
        <is>
          <t>启用</t>
        </is>
      </c>
      <c r="K125" s="5" t="inlineStr">
        <is>
          <t>是</t>
        </is>
      </c>
      <c r="L125" s="5" t="inlineStr">
        <is>
          <t>是</t>
        </is>
      </c>
      <c r="M125" s="5" t="inlineStr">
        <is>
          <t>是</t>
        </is>
      </c>
      <c r="N125" s="5" t="inlineStr">
        <is>
          <t>是</t>
        </is>
      </c>
      <c r="O125" s="5" t="inlineStr">
        <is>
          <t>是</t>
        </is>
      </c>
      <c r="S125" s="5" t="inlineStr">
        <is>
          <t>否</t>
        </is>
      </c>
      <c r="T125" s="5" t="inlineStr">
        <is>
          <t>否</t>
        </is>
      </c>
      <c r="W125" s="5" t="inlineStr">
        <is>
          <t>否</t>
        </is>
      </c>
      <c r="X125" s="5" t="inlineStr">
        <is>
          <t>999</t>
        </is>
      </c>
    </row>
    <row r="126" s="83">
      <c r="A126" s="5" t="inlineStr">
        <is>
          <t>2184633226369695754</t>
        </is>
      </c>
      <c r="B126" s="5" t="inlineStr">
        <is>
          <t>企业账号级</t>
        </is>
      </c>
      <c r="C126" s="5" t="inlineStr">
        <is>
          <t>Q0903</t>
        </is>
      </c>
      <c r="D126" s="5" t="inlineStr">
        <is>
          <t>包装盒</t>
        </is>
      </c>
      <c r="G126" s="5" t="inlineStr">
        <is>
          <t>Q09</t>
        </is>
      </c>
      <c r="H126" s="5" t="inlineStr">
        <is>
          <t>BONG MAX</t>
        </is>
      </c>
      <c r="I126" s="5" t="inlineStr"/>
      <c r="J126" s="5" t="inlineStr">
        <is>
          <t>启用</t>
        </is>
      </c>
      <c r="K126" s="5" t="inlineStr">
        <is>
          <t>是</t>
        </is>
      </c>
      <c r="L126" s="5" t="inlineStr">
        <is>
          <t>是</t>
        </is>
      </c>
      <c r="M126" s="5" t="inlineStr">
        <is>
          <t>是</t>
        </is>
      </c>
      <c r="N126" s="5" t="inlineStr">
        <is>
          <t>是</t>
        </is>
      </c>
      <c r="O126" s="5" t="inlineStr">
        <is>
          <t>是</t>
        </is>
      </c>
      <c r="S126" s="5" t="inlineStr">
        <is>
          <t>否</t>
        </is>
      </c>
      <c r="T126" s="5" t="inlineStr">
        <is>
          <t>否</t>
        </is>
      </c>
      <c r="W126" s="5" t="inlineStr">
        <is>
          <t>否</t>
        </is>
      </c>
      <c r="X126" s="5" t="inlineStr">
        <is>
          <t>999</t>
        </is>
      </c>
    </row>
    <row r="127" s="83">
      <c r="A127" s="5" t="inlineStr">
        <is>
          <t>2184633226369695753</t>
        </is>
      </c>
      <c r="B127" s="5" t="inlineStr">
        <is>
          <t>企业账号级</t>
        </is>
      </c>
      <c r="C127" s="5" t="inlineStr">
        <is>
          <t>Q0902</t>
        </is>
      </c>
      <c r="D127" s="5" t="inlineStr">
        <is>
          <t>保护套</t>
        </is>
      </c>
      <c r="G127" s="5" t="inlineStr">
        <is>
          <t>Q09</t>
        </is>
      </c>
      <c r="H127" s="5" t="inlineStr">
        <is>
          <t>BONG MAX</t>
        </is>
      </c>
      <c r="I127" s="5" t="inlineStr"/>
      <c r="J127" s="5" t="inlineStr">
        <is>
          <t>启用</t>
        </is>
      </c>
      <c r="K127" s="5" t="inlineStr">
        <is>
          <t>是</t>
        </is>
      </c>
      <c r="L127" s="5" t="inlineStr">
        <is>
          <t>是</t>
        </is>
      </c>
      <c r="M127" s="5" t="inlineStr">
        <is>
          <t>是</t>
        </is>
      </c>
      <c r="N127" s="5" t="inlineStr">
        <is>
          <t>是</t>
        </is>
      </c>
      <c r="O127" s="5" t="inlineStr">
        <is>
          <t>是</t>
        </is>
      </c>
      <c r="S127" s="5" t="inlineStr">
        <is>
          <t>否</t>
        </is>
      </c>
      <c r="T127" s="5" t="inlineStr">
        <is>
          <t>否</t>
        </is>
      </c>
      <c r="W127" s="5" t="inlineStr">
        <is>
          <t>否</t>
        </is>
      </c>
      <c r="X127" s="5" t="inlineStr">
        <is>
          <t>999</t>
        </is>
      </c>
    </row>
    <row r="128" s="83">
      <c r="A128" s="5" t="inlineStr">
        <is>
          <t>2184633226369695752</t>
        </is>
      </c>
      <c r="B128" s="5" t="inlineStr">
        <is>
          <t>企业账号级</t>
        </is>
      </c>
      <c r="C128" s="5" t="inlineStr">
        <is>
          <t>Q0901</t>
        </is>
      </c>
      <c r="D128" s="5" t="inlineStr">
        <is>
          <t>TCL平板电脑款项</t>
        </is>
      </c>
      <c r="G128" s="5" t="inlineStr">
        <is>
          <t>Q09</t>
        </is>
      </c>
      <c r="H128" s="5" t="inlineStr">
        <is>
          <t>BONG MAX</t>
        </is>
      </c>
      <c r="I128" s="5" t="inlineStr"/>
      <c r="J128" s="5" t="inlineStr">
        <is>
          <t>启用</t>
        </is>
      </c>
      <c r="K128" s="5" t="inlineStr">
        <is>
          <t>是</t>
        </is>
      </c>
      <c r="L128" s="5" t="inlineStr">
        <is>
          <t>是</t>
        </is>
      </c>
      <c r="M128" s="5" t="inlineStr">
        <is>
          <t>是</t>
        </is>
      </c>
      <c r="N128" s="5" t="inlineStr">
        <is>
          <t>是</t>
        </is>
      </c>
      <c r="O128" s="5" t="inlineStr">
        <is>
          <t>是</t>
        </is>
      </c>
      <c r="S128" s="5" t="inlineStr">
        <is>
          <t>否</t>
        </is>
      </c>
      <c r="T128" s="5" t="inlineStr">
        <is>
          <t>否</t>
        </is>
      </c>
      <c r="W128" s="5" t="inlineStr">
        <is>
          <t>否</t>
        </is>
      </c>
      <c r="X128" s="5" t="inlineStr">
        <is>
          <t>999</t>
        </is>
      </c>
    </row>
    <row r="129" s="83">
      <c r="A129" s="5" t="inlineStr">
        <is>
          <t>2184633226369695751</t>
        </is>
      </c>
      <c r="B129" s="5" t="inlineStr">
        <is>
          <t>企业账号级</t>
        </is>
      </c>
      <c r="C129" s="5" t="inlineStr">
        <is>
          <t>Q08010</t>
        </is>
      </c>
      <c r="D129" s="5" t="inlineStr">
        <is>
          <t>其他人工成本</t>
        </is>
      </c>
      <c r="G129" s="5" t="inlineStr">
        <is>
          <t>Q08</t>
        </is>
      </c>
      <c r="H129" s="5" t="inlineStr">
        <is>
          <t>人工成本</t>
        </is>
      </c>
      <c r="I129" s="5" t="inlineStr"/>
      <c r="J129" s="5" t="inlineStr">
        <is>
          <t>启用</t>
        </is>
      </c>
      <c r="K129" s="5" t="inlineStr">
        <is>
          <t>是</t>
        </is>
      </c>
      <c r="L129" s="5" t="inlineStr">
        <is>
          <t>是</t>
        </is>
      </c>
      <c r="M129" s="5" t="inlineStr">
        <is>
          <t>是</t>
        </is>
      </c>
      <c r="N129" s="5" t="inlineStr">
        <is>
          <t>是</t>
        </is>
      </c>
      <c r="O129" s="5" t="inlineStr">
        <is>
          <t>是</t>
        </is>
      </c>
      <c r="S129" s="5" t="inlineStr">
        <is>
          <t>否</t>
        </is>
      </c>
      <c r="T129" s="5" t="inlineStr">
        <is>
          <t>否</t>
        </is>
      </c>
      <c r="W129" s="5" t="inlineStr">
        <is>
          <t>否</t>
        </is>
      </c>
      <c r="X129" s="5" t="inlineStr">
        <is>
          <t>999</t>
        </is>
      </c>
    </row>
    <row r="130" s="83">
      <c r="A130" s="5" t="inlineStr">
        <is>
          <t>2184633226369695750</t>
        </is>
      </c>
      <c r="B130" s="5" t="inlineStr">
        <is>
          <t>企业账号级</t>
        </is>
      </c>
      <c r="C130" s="5" t="inlineStr">
        <is>
          <t>Q0809</t>
        </is>
      </c>
      <c r="D130" s="5" t="inlineStr">
        <is>
          <t>顾问费</t>
        </is>
      </c>
      <c r="G130" s="5" t="inlineStr">
        <is>
          <t>Q08</t>
        </is>
      </c>
      <c r="H130" s="5" t="inlineStr">
        <is>
          <t>人工成本</t>
        </is>
      </c>
      <c r="I130" s="5" t="inlineStr"/>
      <c r="J130" s="5" t="inlineStr">
        <is>
          <t>启用</t>
        </is>
      </c>
      <c r="K130" s="5" t="inlineStr">
        <is>
          <t>是</t>
        </is>
      </c>
      <c r="L130" s="5" t="inlineStr">
        <is>
          <t>是</t>
        </is>
      </c>
      <c r="M130" s="5" t="inlineStr">
        <is>
          <t>是</t>
        </is>
      </c>
      <c r="N130" s="5" t="inlineStr">
        <is>
          <t>是</t>
        </is>
      </c>
      <c r="O130" s="5" t="inlineStr">
        <is>
          <t>是</t>
        </is>
      </c>
      <c r="S130" s="5" t="inlineStr">
        <is>
          <t>否</t>
        </is>
      </c>
      <c r="T130" s="5" t="inlineStr">
        <is>
          <t>否</t>
        </is>
      </c>
      <c r="W130" s="5" t="inlineStr">
        <is>
          <t>否</t>
        </is>
      </c>
      <c r="X130" s="5" t="inlineStr">
        <is>
          <t>999</t>
        </is>
      </c>
    </row>
    <row r="131" s="83">
      <c r="A131" s="5" t="inlineStr">
        <is>
          <t>2184633226369695749</t>
        </is>
      </c>
      <c r="B131" s="5" t="inlineStr">
        <is>
          <t>企业账号级</t>
        </is>
      </c>
      <c r="C131" s="5" t="inlineStr">
        <is>
          <t>Q0808</t>
        </is>
      </c>
      <c r="D131" s="5" t="inlineStr">
        <is>
          <t>派遣费用</t>
        </is>
      </c>
      <c r="G131" s="5" t="inlineStr">
        <is>
          <t>Q08</t>
        </is>
      </c>
      <c r="H131" s="5" t="inlineStr">
        <is>
          <t>人工成本</t>
        </is>
      </c>
      <c r="I131" s="5" t="inlineStr"/>
      <c r="J131" s="5" t="inlineStr">
        <is>
          <t>启用</t>
        </is>
      </c>
      <c r="K131" s="5" t="inlineStr">
        <is>
          <t>是</t>
        </is>
      </c>
      <c r="L131" s="5" t="inlineStr">
        <is>
          <t>是</t>
        </is>
      </c>
      <c r="M131" s="5" t="inlineStr">
        <is>
          <t>是</t>
        </is>
      </c>
      <c r="N131" s="5" t="inlineStr">
        <is>
          <t>是</t>
        </is>
      </c>
      <c r="O131" s="5" t="inlineStr">
        <is>
          <t>是</t>
        </is>
      </c>
      <c r="S131" s="5" t="inlineStr">
        <is>
          <t>否</t>
        </is>
      </c>
      <c r="T131" s="5" t="inlineStr">
        <is>
          <t>否</t>
        </is>
      </c>
      <c r="W131" s="5" t="inlineStr">
        <is>
          <t>否</t>
        </is>
      </c>
      <c r="X131" s="5" t="inlineStr">
        <is>
          <t>999</t>
        </is>
      </c>
    </row>
    <row r="132" s="83">
      <c r="A132" s="5" t="inlineStr">
        <is>
          <t>2184633217779761162</t>
        </is>
      </c>
      <c r="B132" s="5" t="inlineStr">
        <is>
          <t>企业账号级</t>
        </is>
      </c>
      <c r="C132" s="5" t="inlineStr">
        <is>
          <t>Q0807</t>
        </is>
      </c>
      <c r="D132" s="5" t="inlineStr">
        <is>
          <t>补偿金</t>
        </is>
      </c>
      <c r="G132" s="5" t="inlineStr">
        <is>
          <t>Q08</t>
        </is>
      </c>
      <c r="H132" s="5" t="inlineStr">
        <is>
          <t>人工成本</t>
        </is>
      </c>
      <c r="I132" s="5" t="inlineStr"/>
      <c r="J132" s="5" t="inlineStr">
        <is>
          <t>启用</t>
        </is>
      </c>
      <c r="K132" s="5" t="inlineStr">
        <is>
          <t>是</t>
        </is>
      </c>
      <c r="L132" s="5" t="inlineStr">
        <is>
          <t>是</t>
        </is>
      </c>
      <c r="M132" s="5" t="inlineStr">
        <is>
          <t>是</t>
        </is>
      </c>
      <c r="N132" s="5" t="inlineStr">
        <is>
          <t>是</t>
        </is>
      </c>
      <c r="O132" s="5" t="inlineStr">
        <is>
          <t>是</t>
        </is>
      </c>
      <c r="S132" s="5" t="inlineStr">
        <is>
          <t>否</t>
        </is>
      </c>
      <c r="T132" s="5" t="inlineStr">
        <is>
          <t>否</t>
        </is>
      </c>
      <c r="W132" s="5" t="inlineStr">
        <is>
          <t>否</t>
        </is>
      </c>
      <c r="X132" s="5" t="inlineStr">
        <is>
          <t>999</t>
        </is>
      </c>
    </row>
    <row r="133" s="83">
      <c r="A133" s="5" t="inlineStr">
        <is>
          <t>2184633217779761161</t>
        </is>
      </c>
      <c r="B133" s="5" t="inlineStr">
        <is>
          <t>企业账号级</t>
        </is>
      </c>
      <c r="C133" s="5" t="inlineStr">
        <is>
          <t>Q0806</t>
        </is>
      </c>
      <c r="D133" s="5" t="inlineStr">
        <is>
          <t>福利费</t>
        </is>
      </c>
      <c r="G133" s="5" t="inlineStr">
        <is>
          <t>Q08</t>
        </is>
      </c>
      <c r="H133" s="5" t="inlineStr">
        <is>
          <t>人工成本</t>
        </is>
      </c>
      <c r="I133" s="5" t="inlineStr"/>
      <c r="J133" s="5" t="inlineStr">
        <is>
          <t>启用</t>
        </is>
      </c>
      <c r="K133" s="5" t="inlineStr">
        <is>
          <t>是</t>
        </is>
      </c>
      <c r="L133" s="5" t="inlineStr">
        <is>
          <t>是</t>
        </is>
      </c>
      <c r="M133" s="5" t="inlineStr">
        <is>
          <t>是</t>
        </is>
      </c>
      <c r="N133" s="5" t="inlineStr">
        <is>
          <t>是</t>
        </is>
      </c>
      <c r="O133" s="5" t="inlineStr">
        <is>
          <t>是</t>
        </is>
      </c>
      <c r="S133" s="5" t="inlineStr">
        <is>
          <t>否</t>
        </is>
      </c>
      <c r="T133" s="5" t="inlineStr">
        <is>
          <t>否</t>
        </is>
      </c>
      <c r="W133" s="5" t="inlineStr">
        <is>
          <t>否</t>
        </is>
      </c>
      <c r="X133" s="5" t="inlineStr">
        <is>
          <t>999</t>
        </is>
      </c>
    </row>
    <row r="134" s="83">
      <c r="A134" s="5" t="inlineStr">
        <is>
          <t>2184633217779761160</t>
        </is>
      </c>
      <c r="B134" s="5" t="inlineStr">
        <is>
          <t>企业账号级</t>
        </is>
      </c>
      <c r="C134" s="5" t="inlineStr">
        <is>
          <t>Q0805</t>
        </is>
      </c>
      <c r="D134" s="5" t="inlineStr">
        <is>
          <t>个税</t>
        </is>
      </c>
      <c r="G134" s="5" t="inlineStr">
        <is>
          <t>Q08</t>
        </is>
      </c>
      <c r="H134" s="5" t="inlineStr">
        <is>
          <t>人工成本</t>
        </is>
      </c>
      <c r="I134" s="5" t="inlineStr"/>
      <c r="J134" s="5" t="inlineStr">
        <is>
          <t>启用</t>
        </is>
      </c>
      <c r="K134" s="5" t="inlineStr">
        <is>
          <t>是</t>
        </is>
      </c>
      <c r="L134" s="5" t="inlineStr">
        <is>
          <t>是</t>
        </is>
      </c>
      <c r="M134" s="5" t="inlineStr">
        <is>
          <t>是</t>
        </is>
      </c>
      <c r="N134" s="5" t="inlineStr">
        <is>
          <t>是</t>
        </is>
      </c>
      <c r="O134" s="5" t="inlineStr">
        <is>
          <t>是</t>
        </is>
      </c>
      <c r="S134" s="5" t="inlineStr">
        <is>
          <t>否</t>
        </is>
      </c>
      <c r="T134" s="5" t="inlineStr">
        <is>
          <t>否</t>
        </is>
      </c>
      <c r="W134" s="5" t="inlineStr">
        <is>
          <t>否</t>
        </is>
      </c>
      <c r="X134" s="5" t="inlineStr">
        <is>
          <t>999</t>
        </is>
      </c>
    </row>
    <row r="135" s="83">
      <c r="A135" s="5" t="inlineStr">
        <is>
          <t>2184633217779761159</t>
        </is>
      </c>
      <c r="B135" s="5" t="inlineStr">
        <is>
          <t>企业账号级</t>
        </is>
      </c>
      <c r="C135" s="5" t="inlineStr">
        <is>
          <t>Q0804</t>
        </is>
      </c>
      <c r="D135" s="5" t="inlineStr">
        <is>
          <t>公积金（单位+个人）</t>
        </is>
      </c>
      <c r="G135" s="5" t="inlineStr">
        <is>
          <t>Q08</t>
        </is>
      </c>
      <c r="H135" s="5" t="inlineStr">
        <is>
          <t>人工成本</t>
        </is>
      </c>
      <c r="I135" s="5" t="inlineStr"/>
      <c r="J135" s="5" t="inlineStr">
        <is>
          <t>启用</t>
        </is>
      </c>
      <c r="K135" s="5" t="inlineStr">
        <is>
          <t>是</t>
        </is>
      </c>
      <c r="L135" s="5" t="inlineStr">
        <is>
          <t>是</t>
        </is>
      </c>
      <c r="M135" s="5" t="inlineStr">
        <is>
          <t>是</t>
        </is>
      </c>
      <c r="N135" s="5" t="inlineStr">
        <is>
          <t>是</t>
        </is>
      </c>
      <c r="O135" s="5" t="inlineStr">
        <is>
          <t>是</t>
        </is>
      </c>
      <c r="S135" s="5" t="inlineStr">
        <is>
          <t>否</t>
        </is>
      </c>
      <c r="T135" s="5" t="inlineStr">
        <is>
          <t>否</t>
        </is>
      </c>
      <c r="W135" s="5" t="inlineStr">
        <is>
          <t>否</t>
        </is>
      </c>
      <c r="X135" s="5" t="inlineStr">
        <is>
          <t>999</t>
        </is>
      </c>
    </row>
    <row r="136" s="83">
      <c r="A136" s="5" t="inlineStr">
        <is>
          <t>2184633217779761158</t>
        </is>
      </c>
      <c r="B136" s="5" t="inlineStr">
        <is>
          <t>企业账号级</t>
        </is>
      </c>
      <c r="C136" s="5" t="inlineStr">
        <is>
          <t>Q0803</t>
        </is>
      </c>
      <c r="D136" s="5" t="inlineStr">
        <is>
          <t>社保（单位+个人）</t>
        </is>
      </c>
      <c r="G136" s="5" t="inlineStr">
        <is>
          <t>Q08</t>
        </is>
      </c>
      <c r="H136" s="5" t="inlineStr">
        <is>
          <t>人工成本</t>
        </is>
      </c>
      <c r="I136" s="5" t="inlineStr"/>
      <c r="J136" s="5" t="inlineStr">
        <is>
          <t>启用</t>
        </is>
      </c>
      <c r="K136" s="5" t="inlineStr">
        <is>
          <t>是</t>
        </is>
      </c>
      <c r="L136" s="5" t="inlineStr">
        <is>
          <t>是</t>
        </is>
      </c>
      <c r="M136" s="5" t="inlineStr">
        <is>
          <t>是</t>
        </is>
      </c>
      <c r="N136" s="5" t="inlineStr">
        <is>
          <t>是</t>
        </is>
      </c>
      <c r="O136" s="5" t="inlineStr">
        <is>
          <t>是</t>
        </is>
      </c>
      <c r="S136" s="5" t="inlineStr">
        <is>
          <t>否</t>
        </is>
      </c>
      <c r="T136" s="5" t="inlineStr">
        <is>
          <t>否</t>
        </is>
      </c>
      <c r="W136" s="5" t="inlineStr">
        <is>
          <t>否</t>
        </is>
      </c>
      <c r="X136" s="5" t="inlineStr">
        <is>
          <t>999</t>
        </is>
      </c>
    </row>
    <row r="137" s="83">
      <c r="A137" s="5" t="inlineStr">
        <is>
          <t>2184633217779761157</t>
        </is>
      </c>
      <c r="B137" s="5" t="inlineStr">
        <is>
          <t>企业账号级</t>
        </is>
      </c>
      <c r="C137" s="5" t="inlineStr">
        <is>
          <t>Q0802</t>
        </is>
      </c>
      <c r="D137" s="5" t="inlineStr">
        <is>
          <t>奖金</t>
        </is>
      </c>
      <c r="G137" s="5" t="inlineStr">
        <is>
          <t>Q08</t>
        </is>
      </c>
      <c r="H137" s="5" t="inlineStr">
        <is>
          <t>人工成本</t>
        </is>
      </c>
      <c r="I137" s="5" t="inlineStr"/>
      <c r="J137" s="5" t="inlineStr">
        <is>
          <t>启用</t>
        </is>
      </c>
      <c r="K137" s="5" t="inlineStr">
        <is>
          <t>是</t>
        </is>
      </c>
      <c r="L137" s="5" t="inlineStr">
        <is>
          <t>是</t>
        </is>
      </c>
      <c r="M137" s="5" t="inlineStr">
        <is>
          <t>是</t>
        </is>
      </c>
      <c r="N137" s="5" t="inlineStr">
        <is>
          <t>是</t>
        </is>
      </c>
      <c r="O137" s="5" t="inlineStr">
        <is>
          <t>是</t>
        </is>
      </c>
      <c r="S137" s="5" t="inlineStr">
        <is>
          <t>否</t>
        </is>
      </c>
      <c r="T137" s="5" t="inlineStr">
        <is>
          <t>否</t>
        </is>
      </c>
      <c r="W137" s="5" t="inlineStr">
        <is>
          <t>否</t>
        </is>
      </c>
      <c r="X137" s="5" t="inlineStr">
        <is>
          <t>999</t>
        </is>
      </c>
    </row>
    <row r="138" s="83">
      <c r="A138" s="5" t="inlineStr">
        <is>
          <t>2184633209189826568</t>
        </is>
      </c>
      <c r="B138" s="5" t="inlineStr">
        <is>
          <t>企业账号级</t>
        </is>
      </c>
      <c r="C138" s="5" t="inlineStr">
        <is>
          <t>Q0801</t>
        </is>
      </c>
      <c r="D138" s="5" t="inlineStr">
        <is>
          <t>实发工资</t>
        </is>
      </c>
      <c r="G138" s="5" t="inlineStr">
        <is>
          <t>Q08</t>
        </is>
      </c>
      <c r="H138" s="5" t="inlineStr">
        <is>
          <t>人工成本</t>
        </is>
      </c>
      <c r="I138" s="5" t="inlineStr"/>
      <c r="J138" s="5" t="inlineStr">
        <is>
          <t>启用</t>
        </is>
      </c>
      <c r="K138" s="5" t="inlineStr">
        <is>
          <t>是</t>
        </is>
      </c>
      <c r="L138" s="5" t="inlineStr">
        <is>
          <t>是</t>
        </is>
      </c>
      <c r="M138" s="5" t="inlineStr">
        <is>
          <t>是</t>
        </is>
      </c>
      <c r="N138" s="5" t="inlineStr">
        <is>
          <t>是</t>
        </is>
      </c>
      <c r="O138" s="5" t="inlineStr">
        <is>
          <t>是</t>
        </is>
      </c>
      <c r="S138" s="5" t="inlineStr">
        <is>
          <t>否</t>
        </is>
      </c>
      <c r="T138" s="5" t="inlineStr">
        <is>
          <t>否</t>
        </is>
      </c>
      <c r="W138" s="5" t="inlineStr">
        <is>
          <t>否</t>
        </is>
      </c>
      <c r="X138" s="5" t="inlineStr">
        <is>
          <t>999</t>
        </is>
      </c>
    </row>
    <row r="139" s="83">
      <c r="A139" s="5" t="inlineStr">
        <is>
          <t>2184633209189826567</t>
        </is>
      </c>
      <c r="B139" s="5" t="inlineStr">
        <is>
          <t>企业账号级</t>
        </is>
      </c>
      <c r="C139" s="5" t="inlineStr">
        <is>
          <t>Q0701</t>
        </is>
      </c>
      <c r="D139" s="5" t="inlineStr">
        <is>
          <t>内部投资款支出</t>
        </is>
      </c>
      <c r="G139" s="5" t="inlineStr">
        <is>
          <t>Q07</t>
        </is>
      </c>
      <c r="H139" s="5" t="inlineStr">
        <is>
          <t>投资款支出</t>
        </is>
      </c>
      <c r="I139" s="5" t="inlineStr"/>
      <c r="J139" s="5" t="inlineStr">
        <is>
          <t>启用</t>
        </is>
      </c>
      <c r="K139" s="5" t="inlineStr">
        <is>
          <t>是</t>
        </is>
      </c>
      <c r="L139" s="5" t="inlineStr">
        <is>
          <t>是</t>
        </is>
      </c>
      <c r="M139" s="5" t="inlineStr">
        <is>
          <t>是</t>
        </is>
      </c>
      <c r="N139" s="5" t="inlineStr">
        <is>
          <t>是</t>
        </is>
      </c>
      <c r="O139" s="5" t="inlineStr">
        <is>
          <t>是</t>
        </is>
      </c>
      <c r="S139" s="5" t="inlineStr">
        <is>
          <t>否</t>
        </is>
      </c>
      <c r="T139" s="5" t="inlineStr">
        <is>
          <t>否</t>
        </is>
      </c>
      <c r="W139" s="5" t="inlineStr">
        <is>
          <t>否</t>
        </is>
      </c>
      <c r="X139" s="5" t="inlineStr">
        <is>
          <t>999</t>
        </is>
      </c>
    </row>
    <row r="140" s="83">
      <c r="A140" s="5" t="inlineStr">
        <is>
          <t>2184633209189826566</t>
        </is>
      </c>
      <c r="B140" s="5" t="inlineStr">
        <is>
          <t>企业账号级</t>
        </is>
      </c>
      <c r="C140" s="5" t="inlineStr">
        <is>
          <t>Q0602</t>
        </is>
      </c>
      <c r="D140" s="5" t="inlineStr">
        <is>
          <t>外部往来支出</t>
        </is>
      </c>
      <c r="G140" s="5" t="inlineStr">
        <is>
          <t>Q06</t>
        </is>
      </c>
      <c r="H140" s="5" t="inlineStr">
        <is>
          <t>往来款项支出</t>
        </is>
      </c>
      <c r="I140" s="5" t="inlineStr"/>
      <c r="J140" s="5" t="inlineStr">
        <is>
          <t>启用</t>
        </is>
      </c>
      <c r="K140" s="5" t="inlineStr">
        <is>
          <t>是</t>
        </is>
      </c>
      <c r="L140" s="5" t="inlineStr">
        <is>
          <t>是</t>
        </is>
      </c>
      <c r="M140" s="5" t="inlineStr">
        <is>
          <t>是</t>
        </is>
      </c>
      <c r="N140" s="5" t="inlineStr">
        <is>
          <t>是</t>
        </is>
      </c>
      <c r="O140" s="5" t="inlineStr">
        <is>
          <t>是</t>
        </is>
      </c>
      <c r="S140" s="5" t="inlineStr">
        <is>
          <t>否</t>
        </is>
      </c>
      <c r="T140" s="5" t="inlineStr">
        <is>
          <t>否</t>
        </is>
      </c>
      <c r="W140" s="5" t="inlineStr">
        <is>
          <t>否</t>
        </is>
      </c>
      <c r="X140" s="5" t="inlineStr">
        <is>
          <t>999</t>
        </is>
      </c>
    </row>
    <row r="141" s="83">
      <c r="A141" s="5" t="inlineStr">
        <is>
          <t>2184633209189826565</t>
        </is>
      </c>
      <c r="B141" s="5" t="inlineStr">
        <is>
          <t>企业账号级</t>
        </is>
      </c>
      <c r="C141" s="5" t="inlineStr">
        <is>
          <t>Q0601</t>
        </is>
      </c>
      <c r="D141" s="5" t="inlineStr">
        <is>
          <t>内部往来支出</t>
        </is>
      </c>
      <c r="G141" s="5" t="inlineStr">
        <is>
          <t>Q06</t>
        </is>
      </c>
      <c r="H141" s="5" t="inlineStr">
        <is>
          <t>往来款项支出</t>
        </is>
      </c>
      <c r="I141" s="5" t="inlineStr"/>
      <c r="J141" s="5" t="inlineStr">
        <is>
          <t>启用</t>
        </is>
      </c>
      <c r="K141" s="5" t="inlineStr">
        <is>
          <t>是</t>
        </is>
      </c>
      <c r="L141" s="5" t="inlineStr">
        <is>
          <t>是</t>
        </is>
      </c>
      <c r="M141" s="5" t="inlineStr">
        <is>
          <t>是</t>
        </is>
      </c>
      <c r="N141" s="5" t="inlineStr">
        <is>
          <t>是</t>
        </is>
      </c>
      <c r="O141" s="5" t="inlineStr">
        <is>
          <t>是</t>
        </is>
      </c>
      <c r="S141" s="5" t="inlineStr">
        <is>
          <t>否</t>
        </is>
      </c>
      <c r="T141" s="5" t="inlineStr">
        <is>
          <t>否</t>
        </is>
      </c>
      <c r="W141" s="5" t="inlineStr">
        <is>
          <t>否</t>
        </is>
      </c>
      <c r="X141" s="5" t="inlineStr">
        <is>
          <t>999</t>
        </is>
      </c>
    </row>
    <row r="142" s="83">
      <c r="A142" s="5" t="inlineStr">
        <is>
          <t>2184633209189826564</t>
        </is>
      </c>
      <c r="B142" s="5" t="inlineStr">
        <is>
          <t>企业账号级</t>
        </is>
      </c>
      <c r="C142" s="5" t="inlineStr">
        <is>
          <t>Q0502</t>
        </is>
      </c>
      <c r="D142" s="5" t="inlineStr">
        <is>
          <t>外部投资款收入</t>
        </is>
      </c>
      <c r="G142" s="5" t="inlineStr">
        <is>
          <t>Q05</t>
        </is>
      </c>
      <c r="H142" s="5" t="inlineStr">
        <is>
          <t>投资款收入</t>
        </is>
      </c>
      <c r="I142" s="5" t="inlineStr"/>
      <c r="J142" s="5" t="inlineStr">
        <is>
          <t>启用</t>
        </is>
      </c>
      <c r="K142" s="5" t="inlineStr">
        <is>
          <t>是</t>
        </is>
      </c>
      <c r="L142" s="5" t="inlineStr">
        <is>
          <t>是</t>
        </is>
      </c>
      <c r="M142" s="5" t="inlineStr">
        <is>
          <t>是</t>
        </is>
      </c>
      <c r="N142" s="5" t="inlineStr">
        <is>
          <t>是</t>
        </is>
      </c>
      <c r="O142" s="5" t="inlineStr">
        <is>
          <t>是</t>
        </is>
      </c>
      <c r="S142" s="5" t="inlineStr">
        <is>
          <t>否</t>
        </is>
      </c>
      <c r="T142" s="5" t="inlineStr">
        <is>
          <t>否</t>
        </is>
      </c>
      <c r="W142" s="5" t="inlineStr">
        <is>
          <t>否</t>
        </is>
      </c>
      <c r="X142" s="5" t="inlineStr">
        <is>
          <t>999</t>
        </is>
      </c>
    </row>
    <row r="143" s="83">
      <c r="A143" s="5" t="inlineStr">
        <is>
          <t>2184633209189826563</t>
        </is>
      </c>
      <c r="B143" s="5" t="inlineStr">
        <is>
          <t>企业账号级</t>
        </is>
      </c>
      <c r="C143" s="5" t="inlineStr">
        <is>
          <t>Q0501</t>
        </is>
      </c>
      <c r="D143" s="5" t="inlineStr">
        <is>
          <t>内部投资款收入</t>
        </is>
      </c>
      <c r="G143" s="5" t="inlineStr">
        <is>
          <t>Q05</t>
        </is>
      </c>
      <c r="H143" s="5" t="inlineStr">
        <is>
          <t>投资款收入</t>
        </is>
      </c>
      <c r="I143" s="5" t="inlineStr"/>
      <c r="J143" s="5" t="inlineStr">
        <is>
          <t>启用</t>
        </is>
      </c>
      <c r="K143" s="5" t="inlineStr">
        <is>
          <t>是</t>
        </is>
      </c>
      <c r="L143" s="5" t="inlineStr">
        <is>
          <t>是</t>
        </is>
      </c>
      <c r="M143" s="5" t="inlineStr">
        <is>
          <t>是</t>
        </is>
      </c>
      <c r="N143" s="5" t="inlineStr">
        <is>
          <t>是</t>
        </is>
      </c>
      <c r="O143" s="5" t="inlineStr">
        <is>
          <t>是</t>
        </is>
      </c>
      <c r="S143" s="5" t="inlineStr">
        <is>
          <t>否</t>
        </is>
      </c>
      <c r="T143" s="5" t="inlineStr">
        <is>
          <t>否</t>
        </is>
      </c>
      <c r="W143" s="5" t="inlineStr">
        <is>
          <t>否</t>
        </is>
      </c>
      <c r="X143" s="5" t="inlineStr">
        <is>
          <t>999</t>
        </is>
      </c>
    </row>
    <row r="144" s="83">
      <c r="A144" s="5" t="inlineStr">
        <is>
          <t>2184633200599891976</t>
        </is>
      </c>
      <c r="B144" s="5" t="inlineStr">
        <is>
          <t>企业账号级</t>
        </is>
      </c>
      <c r="C144" s="5" t="inlineStr">
        <is>
          <t>Q0402</t>
        </is>
      </c>
      <c r="D144" s="5" t="inlineStr">
        <is>
          <t>外部往来收入</t>
        </is>
      </c>
      <c r="G144" s="5" t="inlineStr">
        <is>
          <t>Q04</t>
        </is>
      </c>
      <c r="H144" s="5" t="inlineStr">
        <is>
          <t>往来款项收入</t>
        </is>
      </c>
      <c r="I144" s="5" t="inlineStr"/>
      <c r="J144" s="5" t="inlineStr">
        <is>
          <t>启用</t>
        </is>
      </c>
      <c r="K144" s="5" t="inlineStr">
        <is>
          <t>是</t>
        </is>
      </c>
      <c r="L144" s="5" t="inlineStr">
        <is>
          <t>是</t>
        </is>
      </c>
      <c r="M144" s="5" t="inlineStr">
        <is>
          <t>是</t>
        </is>
      </c>
      <c r="N144" s="5" t="inlineStr">
        <is>
          <t>是</t>
        </is>
      </c>
      <c r="O144" s="5" t="inlineStr">
        <is>
          <t>是</t>
        </is>
      </c>
      <c r="S144" s="5" t="inlineStr">
        <is>
          <t>否</t>
        </is>
      </c>
      <c r="T144" s="5" t="inlineStr">
        <is>
          <t>否</t>
        </is>
      </c>
      <c r="W144" s="5" t="inlineStr">
        <is>
          <t>否</t>
        </is>
      </c>
      <c r="X144" s="5" t="inlineStr">
        <is>
          <t>999</t>
        </is>
      </c>
    </row>
    <row r="145" s="83">
      <c r="A145" s="5" t="inlineStr">
        <is>
          <t>2184633200599891975</t>
        </is>
      </c>
      <c r="B145" s="5" t="inlineStr">
        <is>
          <t>企业账号级</t>
        </is>
      </c>
      <c r="C145" s="5" t="inlineStr">
        <is>
          <t>Q0401</t>
        </is>
      </c>
      <c r="D145" s="5" t="inlineStr">
        <is>
          <t>内部往来收入</t>
        </is>
      </c>
      <c r="G145" s="5" t="inlineStr">
        <is>
          <t>Q04</t>
        </is>
      </c>
      <c r="H145" s="5" t="inlineStr">
        <is>
          <t>往来款项收入</t>
        </is>
      </c>
      <c r="I145" s="5" t="inlineStr"/>
      <c r="J145" s="5" t="inlineStr">
        <is>
          <t>启用</t>
        </is>
      </c>
      <c r="K145" s="5" t="inlineStr">
        <is>
          <t>是</t>
        </is>
      </c>
      <c r="L145" s="5" t="inlineStr">
        <is>
          <t>是</t>
        </is>
      </c>
      <c r="M145" s="5" t="inlineStr">
        <is>
          <t>是</t>
        </is>
      </c>
      <c r="N145" s="5" t="inlineStr">
        <is>
          <t>是</t>
        </is>
      </c>
      <c r="O145" s="5" t="inlineStr">
        <is>
          <t>是</t>
        </is>
      </c>
      <c r="S145" s="5" t="inlineStr">
        <is>
          <t>否</t>
        </is>
      </c>
      <c r="T145" s="5" t="inlineStr">
        <is>
          <t>否</t>
        </is>
      </c>
      <c r="W145" s="5" t="inlineStr">
        <is>
          <t>否</t>
        </is>
      </c>
      <c r="X145" s="5" t="inlineStr">
        <is>
          <t>999</t>
        </is>
      </c>
    </row>
    <row r="146" s="83">
      <c r="A146" s="5" t="inlineStr">
        <is>
          <t>2184633200599891974</t>
        </is>
      </c>
      <c r="B146" s="5" t="inlineStr">
        <is>
          <t>企业账号级</t>
        </is>
      </c>
      <c r="C146" s="5" t="inlineStr">
        <is>
          <t>Q0303</t>
        </is>
      </c>
      <c r="D146" s="5" t="inlineStr">
        <is>
          <t>其他收入</t>
        </is>
      </c>
      <c r="G146" s="5" t="inlineStr">
        <is>
          <t>Q03</t>
        </is>
      </c>
      <c r="H146" s="5" t="inlineStr">
        <is>
          <t>营业外收入</t>
        </is>
      </c>
      <c r="I146" s="5" t="inlineStr"/>
      <c r="J146" s="5" t="inlineStr">
        <is>
          <t>启用</t>
        </is>
      </c>
      <c r="K146" s="5" t="inlineStr">
        <is>
          <t>是</t>
        </is>
      </c>
      <c r="L146" s="5" t="inlineStr">
        <is>
          <t>是</t>
        </is>
      </c>
      <c r="M146" s="5" t="inlineStr">
        <is>
          <t>是</t>
        </is>
      </c>
      <c r="N146" s="5" t="inlineStr">
        <is>
          <t>是</t>
        </is>
      </c>
      <c r="O146" s="5" t="inlineStr">
        <is>
          <t>是</t>
        </is>
      </c>
      <c r="S146" s="5" t="inlineStr">
        <is>
          <t>否</t>
        </is>
      </c>
      <c r="T146" s="5" t="inlineStr">
        <is>
          <t>否</t>
        </is>
      </c>
      <c r="W146" s="5" t="inlineStr">
        <is>
          <t>否</t>
        </is>
      </c>
      <c r="X146" s="5" t="inlineStr">
        <is>
          <t>999</t>
        </is>
      </c>
    </row>
    <row r="147" s="83">
      <c r="A147" s="5" t="inlineStr">
        <is>
          <t>2184633200599891973</t>
        </is>
      </c>
      <c r="B147" s="5" t="inlineStr">
        <is>
          <t>企业账号级</t>
        </is>
      </c>
      <c r="C147" s="5" t="inlineStr">
        <is>
          <t>Q0302</t>
        </is>
      </c>
      <c r="D147" s="5" t="inlineStr">
        <is>
          <t>利息收入</t>
        </is>
      </c>
      <c r="G147" s="5" t="inlineStr">
        <is>
          <t>Q03</t>
        </is>
      </c>
      <c r="H147" s="5" t="inlineStr">
        <is>
          <t>营业外收入</t>
        </is>
      </c>
      <c r="I147" s="5" t="inlineStr"/>
      <c r="J147" s="5" t="inlineStr">
        <is>
          <t>启用</t>
        </is>
      </c>
      <c r="K147" s="5" t="inlineStr">
        <is>
          <t>是</t>
        </is>
      </c>
      <c r="L147" s="5" t="inlineStr">
        <is>
          <t>是</t>
        </is>
      </c>
      <c r="M147" s="5" t="inlineStr">
        <is>
          <t>是</t>
        </is>
      </c>
      <c r="N147" s="5" t="inlineStr">
        <is>
          <t>是</t>
        </is>
      </c>
      <c r="O147" s="5" t="inlineStr">
        <is>
          <t>是</t>
        </is>
      </c>
      <c r="S147" s="5" t="inlineStr">
        <is>
          <t>否</t>
        </is>
      </c>
      <c r="T147" s="5" t="inlineStr">
        <is>
          <t>否</t>
        </is>
      </c>
      <c r="W147" s="5" t="inlineStr">
        <is>
          <t>否</t>
        </is>
      </c>
      <c r="X147" s="5" t="inlineStr">
        <is>
          <t>999</t>
        </is>
      </c>
    </row>
    <row r="148" s="83">
      <c r="A148" s="5" t="inlineStr">
        <is>
          <t>2184633200599891972</t>
        </is>
      </c>
      <c r="B148" s="5" t="inlineStr">
        <is>
          <t>企业账号级</t>
        </is>
      </c>
      <c r="C148" s="5" t="inlineStr">
        <is>
          <t>Q0301</t>
        </is>
      </c>
      <c r="D148" s="5" t="inlineStr">
        <is>
          <t>政府补贴收入</t>
        </is>
      </c>
      <c r="G148" s="5" t="inlineStr">
        <is>
          <t>Q03</t>
        </is>
      </c>
      <c r="H148" s="5" t="inlineStr">
        <is>
          <t>营业外收入</t>
        </is>
      </c>
      <c r="I148" s="5" t="inlineStr"/>
      <c r="J148" s="5" t="inlineStr">
        <is>
          <t>启用</t>
        </is>
      </c>
      <c r="K148" s="5" t="inlineStr">
        <is>
          <t>是</t>
        </is>
      </c>
      <c r="L148" s="5" t="inlineStr">
        <is>
          <t>是</t>
        </is>
      </c>
      <c r="M148" s="5" t="inlineStr">
        <is>
          <t>是</t>
        </is>
      </c>
      <c r="N148" s="5" t="inlineStr">
        <is>
          <t>是</t>
        </is>
      </c>
      <c r="O148" s="5" t="inlineStr">
        <is>
          <t>是</t>
        </is>
      </c>
      <c r="S148" s="5" t="inlineStr">
        <is>
          <t>否</t>
        </is>
      </c>
      <c r="T148" s="5" t="inlineStr">
        <is>
          <t>否</t>
        </is>
      </c>
      <c r="W148" s="5" t="inlineStr">
        <is>
          <t>否</t>
        </is>
      </c>
      <c r="X148" s="5" t="inlineStr">
        <is>
          <t>999</t>
        </is>
      </c>
    </row>
    <row r="149" s="83">
      <c r="A149" s="5" t="inlineStr">
        <is>
          <t>2184633200599891971</t>
        </is>
      </c>
      <c r="B149" s="5" t="inlineStr">
        <is>
          <t>企业账号级</t>
        </is>
      </c>
      <c r="C149" s="5" t="inlineStr">
        <is>
          <t>Q0202</t>
        </is>
      </c>
      <c r="D149" s="5" t="inlineStr">
        <is>
          <t>供应商赔偿款</t>
        </is>
      </c>
      <c r="G149" s="5" t="inlineStr">
        <is>
          <t>Q02</t>
        </is>
      </c>
      <c r="H149" s="5" t="inlineStr">
        <is>
          <t>售后收入</t>
        </is>
      </c>
      <c r="I149" s="5" t="inlineStr"/>
      <c r="J149" s="5" t="inlineStr">
        <is>
          <t>启用</t>
        </is>
      </c>
      <c r="K149" s="5" t="inlineStr">
        <is>
          <t>是</t>
        </is>
      </c>
      <c r="L149" s="5" t="inlineStr">
        <is>
          <t>是</t>
        </is>
      </c>
      <c r="M149" s="5" t="inlineStr">
        <is>
          <t>是</t>
        </is>
      </c>
      <c r="N149" s="5" t="inlineStr">
        <is>
          <t>是</t>
        </is>
      </c>
      <c r="O149" s="5" t="inlineStr">
        <is>
          <t>是</t>
        </is>
      </c>
      <c r="S149" s="5" t="inlineStr">
        <is>
          <t>否</t>
        </is>
      </c>
      <c r="T149" s="5" t="inlineStr">
        <is>
          <t>否</t>
        </is>
      </c>
      <c r="W149" s="5" t="inlineStr">
        <is>
          <t>否</t>
        </is>
      </c>
      <c r="X149" s="5" t="inlineStr">
        <is>
          <t>999</t>
        </is>
      </c>
    </row>
    <row r="150" s="83">
      <c r="A150" s="5" t="inlineStr">
        <is>
          <t>2184633192009957382</t>
        </is>
      </c>
      <c r="B150" s="5" t="inlineStr">
        <is>
          <t>企业账号级</t>
        </is>
      </c>
      <c r="C150" s="5" t="inlineStr">
        <is>
          <t>Q0201</t>
        </is>
      </c>
      <c r="D150" s="5" t="inlineStr">
        <is>
          <t>客户赔偿款</t>
        </is>
      </c>
      <c r="G150" s="5" t="inlineStr">
        <is>
          <t>Q02</t>
        </is>
      </c>
      <c r="H150" s="5" t="inlineStr">
        <is>
          <t>售后收入</t>
        </is>
      </c>
      <c r="I150" s="5" t="inlineStr"/>
      <c r="J150" s="5" t="inlineStr">
        <is>
          <t>启用</t>
        </is>
      </c>
      <c r="K150" s="5" t="inlineStr">
        <is>
          <t>是</t>
        </is>
      </c>
      <c r="L150" s="5" t="inlineStr">
        <is>
          <t>是</t>
        </is>
      </c>
      <c r="M150" s="5" t="inlineStr">
        <is>
          <t>是</t>
        </is>
      </c>
      <c r="N150" s="5" t="inlineStr">
        <is>
          <t>是</t>
        </is>
      </c>
      <c r="O150" s="5" t="inlineStr">
        <is>
          <t>是</t>
        </is>
      </c>
      <c r="S150" s="5" t="inlineStr">
        <is>
          <t>否</t>
        </is>
      </c>
      <c r="T150" s="5" t="inlineStr">
        <is>
          <t>否</t>
        </is>
      </c>
      <c r="W150" s="5" t="inlineStr">
        <is>
          <t>否</t>
        </is>
      </c>
      <c r="X150" s="5" t="inlineStr">
        <is>
          <t>999</t>
        </is>
      </c>
    </row>
    <row r="151" s="83">
      <c r="A151" s="5" t="inlineStr">
        <is>
          <t>2184633192009957381</t>
        </is>
      </c>
      <c r="B151" s="5" t="inlineStr">
        <is>
          <t>企业账号级</t>
        </is>
      </c>
      <c r="C151" s="5" t="inlineStr">
        <is>
          <t>Q0102</t>
        </is>
      </c>
      <c r="D151" s="5" t="inlineStr">
        <is>
          <t>服务收款</t>
        </is>
      </c>
      <c r="G151" s="5" t="inlineStr">
        <is>
          <t>Q01</t>
        </is>
      </c>
      <c r="H151" s="5" t="inlineStr">
        <is>
          <t>业务收入</t>
        </is>
      </c>
      <c r="I151" s="5" t="inlineStr"/>
      <c r="J151" s="5" t="inlineStr">
        <is>
          <t>启用</t>
        </is>
      </c>
      <c r="K151" s="5" t="inlineStr">
        <is>
          <t>是</t>
        </is>
      </c>
      <c r="L151" s="5" t="inlineStr">
        <is>
          <t>是</t>
        </is>
      </c>
      <c r="M151" s="5" t="inlineStr">
        <is>
          <t>是</t>
        </is>
      </c>
      <c r="N151" s="5" t="inlineStr">
        <is>
          <t>是</t>
        </is>
      </c>
      <c r="O151" s="5" t="inlineStr">
        <is>
          <t>是</t>
        </is>
      </c>
      <c r="S151" s="5" t="inlineStr">
        <is>
          <t>否</t>
        </is>
      </c>
      <c r="T151" s="5" t="inlineStr">
        <is>
          <t>否</t>
        </is>
      </c>
      <c r="W151" s="5" t="inlineStr">
        <is>
          <t>否</t>
        </is>
      </c>
      <c r="X151" s="5" t="inlineStr">
        <is>
          <t>999</t>
        </is>
      </c>
    </row>
    <row r="152" s="83">
      <c r="A152" s="5" t="inlineStr">
        <is>
          <t>2184633192009957380</t>
        </is>
      </c>
      <c r="B152" s="5" t="inlineStr">
        <is>
          <t>企业账号级</t>
        </is>
      </c>
      <c r="C152" s="5" t="inlineStr">
        <is>
          <t>Q0101</t>
        </is>
      </c>
      <c r="D152" s="5" t="inlineStr">
        <is>
          <t>平台硬件销售收入</t>
        </is>
      </c>
      <c r="G152" s="5" t="inlineStr">
        <is>
          <t>Q01</t>
        </is>
      </c>
      <c r="H152" s="5" t="inlineStr">
        <is>
          <t>业务收入</t>
        </is>
      </c>
      <c r="I152" s="5" t="inlineStr"/>
      <c r="J152" s="5" t="inlineStr">
        <is>
          <t>启用</t>
        </is>
      </c>
      <c r="K152" s="5" t="inlineStr">
        <is>
          <t>是</t>
        </is>
      </c>
      <c r="L152" s="5" t="inlineStr">
        <is>
          <t>是</t>
        </is>
      </c>
      <c r="M152" s="5" t="inlineStr">
        <is>
          <t>是</t>
        </is>
      </c>
      <c r="N152" s="5" t="inlineStr">
        <is>
          <t>是</t>
        </is>
      </c>
      <c r="O152" s="5" t="inlineStr">
        <is>
          <t>是</t>
        </is>
      </c>
      <c r="S152" s="5" t="inlineStr">
        <is>
          <t>否</t>
        </is>
      </c>
      <c r="T152" s="5" t="inlineStr">
        <is>
          <t>否</t>
        </is>
      </c>
      <c r="W152" s="5" t="inlineStr">
        <is>
          <t>否</t>
        </is>
      </c>
      <c r="X152" s="5" t="inlineStr">
        <is>
          <t>999</t>
        </is>
      </c>
    </row>
    <row r="153" s="83">
      <c r="A153" s="5" t="inlineStr">
        <is>
          <t>2184632444685647874</t>
        </is>
      </c>
      <c r="B153" s="5" t="inlineStr">
        <is>
          <t>企业账号级</t>
        </is>
      </c>
      <c r="C153" s="5" t="inlineStr">
        <is>
          <t>Q31</t>
        </is>
      </c>
      <c r="D153" s="5" t="inlineStr">
        <is>
          <t>营业外支出</t>
        </is>
      </c>
      <c r="I153" s="5" t="inlineStr"/>
      <c r="J153" s="5" t="inlineStr">
        <is>
          <t>启用</t>
        </is>
      </c>
      <c r="K153" s="5" t="inlineStr">
        <is>
          <t>是</t>
        </is>
      </c>
      <c r="L153" s="5" t="inlineStr">
        <is>
          <t>是</t>
        </is>
      </c>
      <c r="M153" s="5" t="inlineStr">
        <is>
          <t>是</t>
        </is>
      </c>
      <c r="N153" s="5" t="inlineStr">
        <is>
          <t>是</t>
        </is>
      </c>
      <c r="O153" s="5" t="inlineStr">
        <is>
          <t>是</t>
        </is>
      </c>
      <c r="S153" s="5" t="inlineStr">
        <is>
          <t>否</t>
        </is>
      </c>
      <c r="T153" s="5" t="inlineStr">
        <is>
          <t>否</t>
        </is>
      </c>
      <c r="W153" s="5" t="inlineStr">
        <is>
          <t>否</t>
        </is>
      </c>
      <c r="X153" s="5" t="inlineStr">
        <is>
          <t>999</t>
        </is>
      </c>
    </row>
    <row r="154" s="83">
      <c r="A154" s="5" t="inlineStr">
        <is>
          <t>2184632444685647873</t>
        </is>
      </c>
      <c r="B154" s="5" t="inlineStr">
        <is>
          <t>企业账号级</t>
        </is>
      </c>
      <c r="C154" s="5" t="inlineStr">
        <is>
          <t>Q30</t>
        </is>
      </c>
      <c r="D154" s="5" t="inlineStr">
        <is>
          <t>税费成本</t>
        </is>
      </c>
      <c r="I154" s="5" t="inlineStr"/>
      <c r="J154" s="5" t="inlineStr">
        <is>
          <t>启用</t>
        </is>
      </c>
      <c r="K154" s="5" t="inlineStr">
        <is>
          <t>是</t>
        </is>
      </c>
      <c r="L154" s="5" t="inlineStr">
        <is>
          <t>是</t>
        </is>
      </c>
      <c r="M154" s="5" t="inlineStr">
        <is>
          <t>是</t>
        </is>
      </c>
      <c r="N154" s="5" t="inlineStr">
        <is>
          <t>是</t>
        </is>
      </c>
      <c r="O154" s="5" t="inlineStr">
        <is>
          <t>是</t>
        </is>
      </c>
      <c r="S154" s="5" t="inlineStr">
        <is>
          <t>否</t>
        </is>
      </c>
      <c r="T154" s="5" t="inlineStr">
        <is>
          <t>否</t>
        </is>
      </c>
      <c r="W154" s="5" t="inlineStr">
        <is>
          <t>否</t>
        </is>
      </c>
      <c r="X154" s="5" t="inlineStr">
        <is>
          <t>999</t>
        </is>
      </c>
    </row>
    <row r="155" s="83">
      <c r="A155" s="5" t="inlineStr">
        <is>
          <t>2184632444685647872</t>
        </is>
      </c>
      <c r="B155" s="5" t="inlineStr">
        <is>
          <t>企业账号级</t>
        </is>
      </c>
      <c r="C155" s="5" t="inlineStr">
        <is>
          <t>Q27</t>
        </is>
      </c>
      <c r="D155" s="5" t="inlineStr">
        <is>
          <t>办公场地使用费</t>
        </is>
      </c>
      <c r="I155" s="5" t="inlineStr"/>
      <c r="J155" s="5" t="inlineStr">
        <is>
          <t>启用</t>
        </is>
      </c>
      <c r="K155" s="5" t="inlineStr">
        <is>
          <t>是</t>
        </is>
      </c>
      <c r="L155" s="5" t="inlineStr">
        <is>
          <t>是</t>
        </is>
      </c>
      <c r="M155" s="5" t="inlineStr">
        <is>
          <t>是</t>
        </is>
      </c>
      <c r="N155" s="5" t="inlineStr">
        <is>
          <t>是</t>
        </is>
      </c>
      <c r="O155" s="5" t="inlineStr">
        <is>
          <t>是</t>
        </is>
      </c>
      <c r="S155" s="5" t="inlineStr">
        <is>
          <t>否</t>
        </is>
      </c>
      <c r="T155" s="5" t="inlineStr">
        <is>
          <t>否</t>
        </is>
      </c>
      <c r="W155" s="5" t="inlineStr">
        <is>
          <t>否</t>
        </is>
      </c>
      <c r="X155" s="5" t="inlineStr">
        <is>
          <t>999</t>
        </is>
      </c>
    </row>
    <row r="156" s="83">
      <c r="A156" s="5" t="inlineStr">
        <is>
          <t>2184632436095713287</t>
        </is>
      </c>
      <c r="B156" s="5" t="inlineStr">
        <is>
          <t>企业账号级</t>
        </is>
      </c>
      <c r="C156" s="5" t="inlineStr">
        <is>
          <t>Q26</t>
        </is>
      </c>
      <c r="D156" s="5" t="inlineStr">
        <is>
          <t>品销-费用报销</t>
        </is>
      </c>
      <c r="I156" s="5" t="inlineStr"/>
      <c r="J156" s="5" t="inlineStr">
        <is>
          <t>启用</t>
        </is>
      </c>
      <c r="K156" s="5" t="inlineStr">
        <is>
          <t>是</t>
        </is>
      </c>
      <c r="L156" s="5" t="inlineStr">
        <is>
          <t>是</t>
        </is>
      </c>
      <c r="M156" s="5" t="inlineStr">
        <is>
          <t>是</t>
        </is>
      </c>
      <c r="N156" s="5" t="inlineStr">
        <is>
          <t>是</t>
        </is>
      </c>
      <c r="O156" s="5" t="inlineStr">
        <is>
          <t>是</t>
        </is>
      </c>
      <c r="S156" s="5" t="inlineStr">
        <is>
          <t>否</t>
        </is>
      </c>
      <c r="T156" s="5" t="inlineStr">
        <is>
          <t>否</t>
        </is>
      </c>
      <c r="W156" s="5" t="inlineStr">
        <is>
          <t>否</t>
        </is>
      </c>
      <c r="X156" s="5" t="inlineStr">
        <is>
          <t>999</t>
        </is>
      </c>
    </row>
    <row r="157" s="83">
      <c r="A157" s="5" t="inlineStr">
        <is>
          <t>2184632436095713286</t>
        </is>
      </c>
      <c r="B157" s="5" t="inlineStr">
        <is>
          <t>企业账号级</t>
        </is>
      </c>
      <c r="C157" s="5" t="inlineStr">
        <is>
          <t>Q25</t>
        </is>
      </c>
      <c r="D157" s="5" t="inlineStr">
        <is>
          <t>发货成本</t>
        </is>
      </c>
      <c r="I157" s="5" t="inlineStr"/>
      <c r="J157" s="5" t="inlineStr">
        <is>
          <t>启用</t>
        </is>
      </c>
      <c r="K157" s="5" t="inlineStr">
        <is>
          <t>是</t>
        </is>
      </c>
      <c r="L157" s="5" t="inlineStr">
        <is>
          <t>是</t>
        </is>
      </c>
      <c r="M157" s="5" t="inlineStr">
        <is>
          <t>是</t>
        </is>
      </c>
      <c r="N157" s="5" t="inlineStr">
        <is>
          <t>是</t>
        </is>
      </c>
      <c r="O157" s="5" t="inlineStr">
        <is>
          <t>是</t>
        </is>
      </c>
      <c r="S157" s="5" t="inlineStr">
        <is>
          <t>否</t>
        </is>
      </c>
      <c r="T157" s="5" t="inlineStr">
        <is>
          <t>否</t>
        </is>
      </c>
      <c r="W157" s="5" t="inlineStr">
        <is>
          <t>否</t>
        </is>
      </c>
      <c r="X157" s="5" t="inlineStr">
        <is>
          <t>999</t>
        </is>
      </c>
    </row>
    <row r="158" s="83">
      <c r="A158" s="5" t="inlineStr">
        <is>
          <t>2184632436095713285</t>
        </is>
      </c>
      <c r="B158" s="5" t="inlineStr">
        <is>
          <t>企业账号级</t>
        </is>
      </c>
      <c r="C158" s="5" t="inlineStr">
        <is>
          <t>Q24</t>
        </is>
      </c>
      <c r="D158" s="5" t="inlineStr">
        <is>
          <t>达人带货</t>
        </is>
      </c>
      <c r="I158" s="5" t="inlineStr"/>
      <c r="J158" s="5" t="inlineStr">
        <is>
          <t>启用</t>
        </is>
      </c>
      <c r="K158" s="5" t="inlineStr">
        <is>
          <t>是</t>
        </is>
      </c>
      <c r="L158" s="5" t="inlineStr">
        <is>
          <t>是</t>
        </is>
      </c>
      <c r="M158" s="5" t="inlineStr">
        <is>
          <t>是</t>
        </is>
      </c>
      <c r="N158" s="5" t="inlineStr">
        <is>
          <t>是</t>
        </is>
      </c>
      <c r="O158" s="5" t="inlineStr">
        <is>
          <t>是</t>
        </is>
      </c>
      <c r="S158" s="5" t="inlineStr">
        <is>
          <t>否</t>
        </is>
      </c>
      <c r="T158" s="5" t="inlineStr">
        <is>
          <t>否</t>
        </is>
      </c>
      <c r="W158" s="5" t="inlineStr">
        <is>
          <t>否</t>
        </is>
      </c>
      <c r="X158" s="5" t="inlineStr">
        <is>
          <t>999</t>
        </is>
      </c>
    </row>
    <row r="159" s="83">
      <c r="A159" s="5" t="inlineStr">
        <is>
          <t>2184632436095713284</t>
        </is>
      </c>
      <c r="B159" s="5" t="inlineStr">
        <is>
          <t>企业账号级</t>
        </is>
      </c>
      <c r="C159" s="5" t="inlineStr">
        <is>
          <t>Q23</t>
        </is>
      </c>
      <c r="D159" s="5" t="inlineStr">
        <is>
          <t>私域运营</t>
        </is>
      </c>
      <c r="I159" s="5" t="inlineStr"/>
      <c r="J159" s="5" t="inlineStr">
        <is>
          <t>启用</t>
        </is>
      </c>
      <c r="K159" s="5" t="inlineStr">
        <is>
          <t>是</t>
        </is>
      </c>
      <c r="L159" s="5" t="inlineStr">
        <is>
          <t>是</t>
        </is>
      </c>
      <c r="M159" s="5" t="inlineStr">
        <is>
          <t>是</t>
        </is>
      </c>
      <c r="N159" s="5" t="inlineStr">
        <is>
          <t>是</t>
        </is>
      </c>
      <c r="O159" s="5" t="inlineStr">
        <is>
          <t>是</t>
        </is>
      </c>
      <c r="S159" s="5" t="inlineStr">
        <is>
          <t>否</t>
        </is>
      </c>
      <c r="T159" s="5" t="inlineStr">
        <is>
          <t>否</t>
        </is>
      </c>
      <c r="W159" s="5" t="inlineStr">
        <is>
          <t>否</t>
        </is>
      </c>
      <c r="X159" s="5" t="inlineStr">
        <is>
          <t>999</t>
        </is>
      </c>
    </row>
    <row r="160" s="83">
      <c r="A160" s="5" t="inlineStr">
        <is>
          <t>2184632436095713283</t>
        </is>
      </c>
      <c r="B160" s="5" t="inlineStr">
        <is>
          <t>企业账号级</t>
        </is>
      </c>
      <c r="C160" s="5" t="inlineStr">
        <is>
          <t>Q22</t>
        </is>
      </c>
      <c r="D160" s="5" t="inlineStr">
        <is>
          <t>平台运营</t>
        </is>
      </c>
      <c r="I160" s="5" t="inlineStr"/>
      <c r="J160" s="5" t="inlineStr">
        <is>
          <t>启用</t>
        </is>
      </c>
      <c r="K160" s="5" t="inlineStr">
        <is>
          <t>是</t>
        </is>
      </c>
      <c r="L160" s="5" t="inlineStr">
        <is>
          <t>是</t>
        </is>
      </c>
      <c r="M160" s="5" t="inlineStr">
        <is>
          <t>是</t>
        </is>
      </c>
      <c r="N160" s="5" t="inlineStr">
        <is>
          <t>是</t>
        </is>
      </c>
      <c r="O160" s="5" t="inlineStr">
        <is>
          <t>是</t>
        </is>
      </c>
      <c r="S160" s="5" t="inlineStr">
        <is>
          <t>否</t>
        </is>
      </c>
      <c r="T160" s="5" t="inlineStr">
        <is>
          <t>否</t>
        </is>
      </c>
      <c r="W160" s="5" t="inlineStr">
        <is>
          <t>否</t>
        </is>
      </c>
      <c r="X160" s="5" t="inlineStr">
        <is>
          <t>999</t>
        </is>
      </c>
    </row>
    <row r="161" s="83">
      <c r="A161" s="5" t="inlineStr">
        <is>
          <t>2184632436095713282</t>
        </is>
      </c>
      <c r="B161" s="5" t="inlineStr">
        <is>
          <t>企业账号级</t>
        </is>
      </c>
      <c r="C161" s="5" t="inlineStr">
        <is>
          <t>Q21</t>
        </is>
      </c>
      <c r="D161" s="5" t="inlineStr">
        <is>
          <t>直播间运营</t>
        </is>
      </c>
      <c r="I161" s="5" t="inlineStr"/>
      <c r="J161" s="5" t="inlineStr">
        <is>
          <t>启用</t>
        </is>
      </c>
      <c r="K161" s="5" t="inlineStr">
        <is>
          <t>是</t>
        </is>
      </c>
      <c r="L161" s="5" t="inlineStr">
        <is>
          <t>是</t>
        </is>
      </c>
      <c r="M161" s="5" t="inlineStr">
        <is>
          <t>是</t>
        </is>
      </c>
      <c r="N161" s="5" t="inlineStr">
        <is>
          <t>是</t>
        </is>
      </c>
      <c r="O161" s="5" t="inlineStr">
        <is>
          <t>是</t>
        </is>
      </c>
      <c r="S161" s="5" t="inlineStr">
        <is>
          <t>否</t>
        </is>
      </c>
      <c r="T161" s="5" t="inlineStr">
        <is>
          <t>否</t>
        </is>
      </c>
      <c r="W161" s="5" t="inlineStr">
        <is>
          <t>否</t>
        </is>
      </c>
      <c r="X161" s="5" t="inlineStr">
        <is>
          <t>999</t>
        </is>
      </c>
    </row>
    <row r="162" s="83">
      <c r="A162" s="5" t="inlineStr">
        <is>
          <t>2184632436095713281</t>
        </is>
      </c>
      <c r="B162" s="5" t="inlineStr">
        <is>
          <t>企业账号级</t>
        </is>
      </c>
      <c r="C162" s="5" t="inlineStr">
        <is>
          <t>Q20</t>
        </is>
      </c>
      <c r="D162" s="5" t="inlineStr">
        <is>
          <t>投放转化</t>
        </is>
      </c>
      <c r="I162" s="5" t="inlineStr"/>
      <c r="J162" s="5" t="inlineStr">
        <is>
          <t>启用</t>
        </is>
      </c>
      <c r="K162" s="5" t="inlineStr">
        <is>
          <t>是</t>
        </is>
      </c>
      <c r="L162" s="5" t="inlineStr">
        <is>
          <t>是</t>
        </is>
      </c>
      <c r="M162" s="5" t="inlineStr">
        <is>
          <t>是</t>
        </is>
      </c>
      <c r="N162" s="5" t="inlineStr">
        <is>
          <t>是</t>
        </is>
      </c>
      <c r="O162" s="5" t="inlineStr">
        <is>
          <t>是</t>
        </is>
      </c>
      <c r="S162" s="5" t="inlineStr">
        <is>
          <t>否</t>
        </is>
      </c>
      <c r="T162" s="5" t="inlineStr">
        <is>
          <t>否</t>
        </is>
      </c>
      <c r="W162" s="5" t="inlineStr">
        <is>
          <t>否</t>
        </is>
      </c>
      <c r="X162" s="5" t="inlineStr">
        <is>
          <t>999</t>
        </is>
      </c>
    </row>
    <row r="163" s="83">
      <c r="A163" s="5" t="inlineStr">
        <is>
          <t>2184632427505778699</t>
        </is>
      </c>
      <c r="B163" s="5" t="inlineStr">
        <is>
          <t>企业账号级</t>
        </is>
      </c>
      <c r="C163" s="5" t="inlineStr">
        <is>
          <t>Q19</t>
        </is>
      </c>
      <c r="D163" s="5" t="inlineStr">
        <is>
          <t>内容种草</t>
        </is>
      </c>
      <c r="I163" s="5" t="inlineStr"/>
      <c r="J163" s="5" t="inlineStr">
        <is>
          <t>启用</t>
        </is>
      </c>
      <c r="K163" s="5" t="inlineStr">
        <is>
          <t>是</t>
        </is>
      </c>
      <c r="L163" s="5" t="inlineStr">
        <is>
          <t>是</t>
        </is>
      </c>
      <c r="M163" s="5" t="inlineStr">
        <is>
          <t>是</t>
        </is>
      </c>
      <c r="N163" s="5" t="inlineStr">
        <is>
          <t>是</t>
        </is>
      </c>
      <c r="O163" s="5" t="inlineStr">
        <is>
          <t>是</t>
        </is>
      </c>
      <c r="S163" s="5" t="inlineStr">
        <is>
          <t>否</t>
        </is>
      </c>
      <c r="T163" s="5" t="inlineStr">
        <is>
          <t>否</t>
        </is>
      </c>
      <c r="W163" s="5" t="inlineStr">
        <is>
          <t>否</t>
        </is>
      </c>
      <c r="X163" s="5" t="inlineStr">
        <is>
          <t>999</t>
        </is>
      </c>
    </row>
    <row r="164" s="83">
      <c r="A164" s="5" t="inlineStr">
        <is>
          <t>2184632427505778698</t>
        </is>
      </c>
      <c r="B164" s="5" t="inlineStr">
        <is>
          <t>企业账号级</t>
        </is>
      </c>
      <c r="C164" s="5" t="inlineStr">
        <is>
          <t>Q18</t>
        </is>
      </c>
      <c r="D164" s="5" t="inlineStr">
        <is>
          <t>品牌建设</t>
        </is>
      </c>
      <c r="I164" s="5" t="inlineStr"/>
      <c r="J164" s="5" t="inlineStr">
        <is>
          <t>启用</t>
        </is>
      </c>
      <c r="K164" s="5" t="inlineStr">
        <is>
          <t>是</t>
        </is>
      </c>
      <c r="L164" s="5" t="inlineStr">
        <is>
          <t>是</t>
        </is>
      </c>
      <c r="M164" s="5" t="inlineStr">
        <is>
          <t>是</t>
        </is>
      </c>
      <c r="N164" s="5" t="inlineStr">
        <is>
          <t>是</t>
        </is>
      </c>
      <c r="O164" s="5" t="inlineStr">
        <is>
          <t>是</t>
        </is>
      </c>
      <c r="S164" s="5" t="inlineStr">
        <is>
          <t>否</t>
        </is>
      </c>
      <c r="T164" s="5" t="inlineStr">
        <is>
          <t>否</t>
        </is>
      </c>
      <c r="W164" s="5" t="inlineStr">
        <is>
          <t>否</t>
        </is>
      </c>
      <c r="X164" s="5" t="inlineStr">
        <is>
          <t>999</t>
        </is>
      </c>
    </row>
    <row r="165" s="83">
      <c r="A165" s="5" t="inlineStr">
        <is>
          <t>2184632427505778697</t>
        </is>
      </c>
      <c r="B165" s="5" t="inlineStr">
        <is>
          <t>企业账号级</t>
        </is>
      </c>
      <c r="C165" s="5" t="inlineStr">
        <is>
          <t>Q17</t>
        </is>
      </c>
      <c r="D165" s="5" t="inlineStr">
        <is>
          <t>研发-费用报销</t>
        </is>
      </c>
      <c r="I165" s="5" t="inlineStr"/>
      <c r="J165" s="5" t="inlineStr">
        <is>
          <t>启用</t>
        </is>
      </c>
      <c r="K165" s="5" t="inlineStr">
        <is>
          <t>是</t>
        </is>
      </c>
      <c r="L165" s="5" t="inlineStr">
        <is>
          <t>是</t>
        </is>
      </c>
      <c r="M165" s="5" t="inlineStr">
        <is>
          <t>是</t>
        </is>
      </c>
      <c r="N165" s="5" t="inlineStr">
        <is>
          <t>是</t>
        </is>
      </c>
      <c r="O165" s="5" t="inlineStr">
        <is>
          <t>是</t>
        </is>
      </c>
      <c r="S165" s="5" t="inlineStr">
        <is>
          <t>否</t>
        </is>
      </c>
      <c r="T165" s="5" t="inlineStr">
        <is>
          <t>否</t>
        </is>
      </c>
      <c r="W165" s="5" t="inlineStr">
        <is>
          <t>否</t>
        </is>
      </c>
      <c r="X165" s="5" t="inlineStr">
        <is>
          <t>999</t>
        </is>
      </c>
    </row>
    <row r="166" s="83">
      <c r="A166" s="5" t="inlineStr">
        <is>
          <t>2184632427505778696</t>
        </is>
      </c>
      <c r="B166" s="5" t="inlineStr">
        <is>
          <t>企业账号级</t>
        </is>
      </c>
      <c r="C166" s="5" t="inlineStr">
        <is>
          <t>Q16</t>
        </is>
      </c>
      <c r="D166" s="5" t="inlineStr">
        <is>
          <t>研发-服务费</t>
        </is>
      </c>
      <c r="I166" s="5" t="inlineStr"/>
      <c r="J166" s="5" t="inlineStr">
        <is>
          <t>启用</t>
        </is>
      </c>
      <c r="K166" s="5" t="inlineStr">
        <is>
          <t>是</t>
        </is>
      </c>
      <c r="L166" s="5" t="inlineStr">
        <is>
          <t>是</t>
        </is>
      </c>
      <c r="M166" s="5" t="inlineStr">
        <is>
          <t>是</t>
        </is>
      </c>
      <c r="N166" s="5" t="inlineStr">
        <is>
          <t>是</t>
        </is>
      </c>
      <c r="O166" s="5" t="inlineStr">
        <is>
          <t>是</t>
        </is>
      </c>
      <c r="S166" s="5" t="inlineStr">
        <is>
          <t>否</t>
        </is>
      </c>
      <c r="T166" s="5" t="inlineStr">
        <is>
          <t>否</t>
        </is>
      </c>
      <c r="W166" s="5" t="inlineStr">
        <is>
          <t>否</t>
        </is>
      </c>
      <c r="X166" s="5" t="inlineStr">
        <is>
          <t>999</t>
        </is>
      </c>
    </row>
    <row r="167" s="83">
      <c r="A167" s="5" t="inlineStr">
        <is>
          <t>2184632427505778695</t>
        </is>
      </c>
      <c r="B167" s="5" t="inlineStr">
        <is>
          <t>企业账号级</t>
        </is>
      </c>
      <c r="C167" s="5" t="inlineStr">
        <is>
          <t>Q15</t>
        </is>
      </c>
      <c r="D167" s="5" t="inlineStr">
        <is>
          <t>服务器算法充值</t>
        </is>
      </c>
      <c r="I167" s="5" t="inlineStr"/>
      <c r="J167" s="5" t="inlineStr">
        <is>
          <t>启用</t>
        </is>
      </c>
      <c r="K167" s="5" t="inlineStr">
        <is>
          <t>是</t>
        </is>
      </c>
      <c r="L167" s="5" t="inlineStr">
        <is>
          <t>是</t>
        </is>
      </c>
      <c r="M167" s="5" t="inlineStr">
        <is>
          <t>是</t>
        </is>
      </c>
      <c r="N167" s="5" t="inlineStr">
        <is>
          <t>是</t>
        </is>
      </c>
      <c r="O167" s="5" t="inlineStr">
        <is>
          <t>是</t>
        </is>
      </c>
      <c r="S167" s="5" t="inlineStr">
        <is>
          <t>否</t>
        </is>
      </c>
      <c r="T167" s="5" t="inlineStr">
        <is>
          <t>否</t>
        </is>
      </c>
      <c r="W167" s="5" t="inlineStr">
        <is>
          <t>否</t>
        </is>
      </c>
      <c r="X167" s="5" t="inlineStr">
        <is>
          <t>999</t>
        </is>
      </c>
    </row>
    <row r="168" s="83">
      <c r="A168" s="5" t="inlineStr">
        <is>
          <t>2184632427505778694</t>
        </is>
      </c>
      <c r="B168" s="5" t="inlineStr">
        <is>
          <t>企业账号级</t>
        </is>
      </c>
      <c r="C168" s="5" t="inlineStr">
        <is>
          <t>Q14</t>
        </is>
      </c>
      <c r="D168" s="5" t="inlineStr">
        <is>
          <t>其他产品开发</t>
        </is>
      </c>
      <c r="I168" s="5" t="inlineStr"/>
      <c r="J168" s="5" t="inlineStr">
        <is>
          <t>启用</t>
        </is>
      </c>
      <c r="K168" s="5" t="inlineStr">
        <is>
          <t>是</t>
        </is>
      </c>
      <c r="L168" s="5" t="inlineStr">
        <is>
          <t>是</t>
        </is>
      </c>
      <c r="M168" s="5" t="inlineStr">
        <is>
          <t>是</t>
        </is>
      </c>
      <c r="N168" s="5" t="inlineStr">
        <is>
          <t>是</t>
        </is>
      </c>
      <c r="O168" s="5" t="inlineStr">
        <is>
          <t>是</t>
        </is>
      </c>
      <c r="S168" s="5" t="inlineStr">
        <is>
          <t>否</t>
        </is>
      </c>
      <c r="T168" s="5" t="inlineStr">
        <is>
          <t>否</t>
        </is>
      </c>
      <c r="W168" s="5" t="inlineStr">
        <is>
          <t>否</t>
        </is>
      </c>
      <c r="X168" s="5" t="inlineStr">
        <is>
          <t>999</t>
        </is>
      </c>
    </row>
    <row r="169" s="83">
      <c r="A169" s="5" t="inlineStr">
        <is>
          <t>2184632427505778693</t>
        </is>
      </c>
      <c r="B169" s="5" t="inlineStr">
        <is>
          <t>企业账号级</t>
        </is>
      </c>
      <c r="C169" s="5" t="inlineStr">
        <is>
          <t>Q13</t>
        </is>
      </c>
      <c r="D169" s="5" t="inlineStr">
        <is>
          <t>产品开发-PRO</t>
        </is>
      </c>
      <c r="I169" s="5" t="inlineStr"/>
      <c r="J169" s="5" t="inlineStr">
        <is>
          <t>启用</t>
        </is>
      </c>
      <c r="K169" s="5" t="inlineStr">
        <is>
          <t>是</t>
        </is>
      </c>
      <c r="L169" s="5" t="inlineStr">
        <is>
          <t>是</t>
        </is>
      </c>
      <c r="M169" s="5" t="inlineStr">
        <is>
          <t>是</t>
        </is>
      </c>
      <c r="N169" s="5" t="inlineStr">
        <is>
          <t>是</t>
        </is>
      </c>
      <c r="O169" s="5" t="inlineStr">
        <is>
          <t>是</t>
        </is>
      </c>
      <c r="S169" s="5" t="inlineStr">
        <is>
          <t>否</t>
        </is>
      </c>
      <c r="T169" s="5" t="inlineStr">
        <is>
          <t>否</t>
        </is>
      </c>
      <c r="W169" s="5" t="inlineStr">
        <is>
          <t>否</t>
        </is>
      </c>
      <c r="X169" s="5" t="inlineStr">
        <is>
          <t>999</t>
        </is>
      </c>
    </row>
    <row r="170" s="83">
      <c r="A170" s="5" t="inlineStr">
        <is>
          <t>2184632418915844108</t>
        </is>
      </c>
      <c r="B170" s="5" t="inlineStr">
        <is>
          <t>企业账号级</t>
        </is>
      </c>
      <c r="C170" s="5" t="inlineStr">
        <is>
          <t>Q12</t>
        </is>
      </c>
      <c r="D170" s="5" t="inlineStr">
        <is>
          <t>产品开发-MAX</t>
        </is>
      </c>
      <c r="I170" s="5" t="inlineStr"/>
      <c r="J170" s="5" t="inlineStr">
        <is>
          <t>启用</t>
        </is>
      </c>
      <c r="K170" s="5" t="inlineStr">
        <is>
          <t>是</t>
        </is>
      </c>
      <c r="L170" s="5" t="inlineStr">
        <is>
          <t>是</t>
        </is>
      </c>
      <c r="M170" s="5" t="inlineStr">
        <is>
          <t>是</t>
        </is>
      </c>
      <c r="N170" s="5" t="inlineStr">
        <is>
          <t>是</t>
        </is>
      </c>
      <c r="O170" s="5" t="inlineStr">
        <is>
          <t>是</t>
        </is>
      </c>
      <c r="S170" s="5" t="inlineStr">
        <is>
          <t>否</t>
        </is>
      </c>
      <c r="T170" s="5" t="inlineStr">
        <is>
          <t>否</t>
        </is>
      </c>
      <c r="W170" s="5" t="inlineStr">
        <is>
          <t>否</t>
        </is>
      </c>
      <c r="X170" s="5" t="inlineStr">
        <is>
          <t>999</t>
        </is>
      </c>
    </row>
    <row r="171" s="83">
      <c r="A171" s="5" t="inlineStr">
        <is>
          <t>2184632418915844107</t>
        </is>
      </c>
      <c r="B171" s="5" t="inlineStr">
        <is>
          <t>企业账号级</t>
        </is>
      </c>
      <c r="C171" s="5" t="inlineStr">
        <is>
          <t>Q11</t>
        </is>
      </c>
      <c r="D171" s="5" t="inlineStr">
        <is>
          <t>其他硬件成本</t>
        </is>
      </c>
      <c r="I171" s="5" t="inlineStr"/>
      <c r="J171" s="5" t="inlineStr">
        <is>
          <t>启用</t>
        </is>
      </c>
      <c r="K171" s="5" t="inlineStr">
        <is>
          <t>是</t>
        </is>
      </c>
      <c r="L171" s="5" t="inlineStr">
        <is>
          <t>是</t>
        </is>
      </c>
      <c r="M171" s="5" t="inlineStr">
        <is>
          <t>是</t>
        </is>
      </c>
      <c r="N171" s="5" t="inlineStr">
        <is>
          <t>是</t>
        </is>
      </c>
      <c r="O171" s="5" t="inlineStr">
        <is>
          <t>是</t>
        </is>
      </c>
      <c r="S171" s="5" t="inlineStr">
        <is>
          <t>否</t>
        </is>
      </c>
      <c r="T171" s="5" t="inlineStr">
        <is>
          <t>否</t>
        </is>
      </c>
      <c r="W171" s="5" t="inlineStr">
        <is>
          <t>否</t>
        </is>
      </c>
      <c r="X171" s="5" t="inlineStr">
        <is>
          <t>999</t>
        </is>
      </c>
    </row>
    <row r="172" s="83">
      <c r="A172" s="5" t="inlineStr">
        <is>
          <t>2184632418915844106</t>
        </is>
      </c>
      <c r="B172" s="5" t="inlineStr">
        <is>
          <t>企业账号级</t>
        </is>
      </c>
      <c r="C172" s="5" t="inlineStr">
        <is>
          <t>Q10</t>
        </is>
      </c>
      <c r="D172" s="5" t="inlineStr">
        <is>
          <t>BONG PRO</t>
        </is>
      </c>
      <c r="I172" s="5" t="inlineStr"/>
      <c r="J172" s="5" t="inlineStr">
        <is>
          <t>启用</t>
        </is>
      </c>
      <c r="K172" s="5" t="inlineStr">
        <is>
          <t>是</t>
        </is>
      </c>
      <c r="L172" s="5" t="inlineStr">
        <is>
          <t>是</t>
        </is>
      </c>
      <c r="M172" s="5" t="inlineStr">
        <is>
          <t>是</t>
        </is>
      </c>
      <c r="N172" s="5" t="inlineStr">
        <is>
          <t>是</t>
        </is>
      </c>
      <c r="O172" s="5" t="inlineStr">
        <is>
          <t>是</t>
        </is>
      </c>
      <c r="S172" s="5" t="inlineStr">
        <is>
          <t>否</t>
        </is>
      </c>
      <c r="T172" s="5" t="inlineStr">
        <is>
          <t>否</t>
        </is>
      </c>
      <c r="W172" s="5" t="inlineStr">
        <is>
          <t>否</t>
        </is>
      </c>
      <c r="X172" s="5" t="inlineStr">
        <is>
          <t>999</t>
        </is>
      </c>
    </row>
    <row r="173" s="83">
      <c r="A173" s="5" t="inlineStr">
        <is>
          <t>2184632418915844105</t>
        </is>
      </c>
      <c r="B173" s="5" t="inlineStr">
        <is>
          <t>企业账号级</t>
        </is>
      </c>
      <c r="C173" s="5" t="inlineStr">
        <is>
          <t>Q09</t>
        </is>
      </c>
      <c r="D173" s="5" t="inlineStr">
        <is>
          <t>BONG MAX</t>
        </is>
      </c>
      <c r="I173" s="5" t="inlineStr"/>
      <c r="J173" s="5" t="inlineStr">
        <is>
          <t>启用</t>
        </is>
      </c>
      <c r="K173" s="5" t="inlineStr">
        <is>
          <t>是</t>
        </is>
      </c>
      <c r="L173" s="5" t="inlineStr">
        <is>
          <t>是</t>
        </is>
      </c>
      <c r="M173" s="5" t="inlineStr">
        <is>
          <t>是</t>
        </is>
      </c>
      <c r="N173" s="5" t="inlineStr">
        <is>
          <t>是</t>
        </is>
      </c>
      <c r="O173" s="5" t="inlineStr">
        <is>
          <t>是</t>
        </is>
      </c>
      <c r="S173" s="5" t="inlineStr">
        <is>
          <t>否</t>
        </is>
      </c>
      <c r="T173" s="5" t="inlineStr">
        <is>
          <t>否</t>
        </is>
      </c>
      <c r="W173" s="5" t="inlineStr">
        <is>
          <t>否</t>
        </is>
      </c>
      <c r="X173" s="5" t="inlineStr">
        <is>
          <t>999</t>
        </is>
      </c>
    </row>
    <row r="174" s="83">
      <c r="A174" s="5" t="inlineStr">
        <is>
          <t>2184632418915844104</t>
        </is>
      </c>
      <c r="B174" s="5" t="inlineStr">
        <is>
          <t>企业账号级</t>
        </is>
      </c>
      <c r="C174" s="5" t="inlineStr">
        <is>
          <t>Q08</t>
        </is>
      </c>
      <c r="D174" s="5" t="inlineStr">
        <is>
          <t>人工成本</t>
        </is>
      </c>
      <c r="I174" s="5" t="inlineStr"/>
      <c r="J174" s="5" t="inlineStr">
        <is>
          <t>启用</t>
        </is>
      </c>
      <c r="K174" s="5" t="inlineStr">
        <is>
          <t>是</t>
        </is>
      </c>
      <c r="L174" s="5" t="inlineStr">
        <is>
          <t>是</t>
        </is>
      </c>
      <c r="M174" s="5" t="inlineStr">
        <is>
          <t>是</t>
        </is>
      </c>
      <c r="N174" s="5" t="inlineStr">
        <is>
          <t>是</t>
        </is>
      </c>
      <c r="O174" s="5" t="inlineStr">
        <is>
          <t>是</t>
        </is>
      </c>
      <c r="S174" s="5" t="inlineStr">
        <is>
          <t>否</t>
        </is>
      </c>
      <c r="T174" s="5" t="inlineStr">
        <is>
          <t>否</t>
        </is>
      </c>
      <c r="W174" s="5" t="inlineStr">
        <is>
          <t>否</t>
        </is>
      </c>
      <c r="X174" s="5" t="inlineStr">
        <is>
          <t>999</t>
        </is>
      </c>
    </row>
    <row r="175" s="83">
      <c r="A175" s="5" t="inlineStr">
        <is>
          <t>2184632418915844103</t>
        </is>
      </c>
      <c r="B175" s="5" t="inlineStr">
        <is>
          <t>企业账号级</t>
        </is>
      </c>
      <c r="C175" s="5" t="inlineStr">
        <is>
          <t>Q07</t>
        </is>
      </c>
      <c r="D175" s="5" t="inlineStr">
        <is>
          <t>投资款支出</t>
        </is>
      </c>
      <c r="I175" s="5" t="inlineStr"/>
      <c r="J175" s="5" t="inlineStr">
        <is>
          <t>启用</t>
        </is>
      </c>
      <c r="K175" s="5" t="inlineStr">
        <is>
          <t>是</t>
        </is>
      </c>
      <c r="L175" s="5" t="inlineStr">
        <is>
          <t>是</t>
        </is>
      </c>
      <c r="M175" s="5" t="inlineStr">
        <is>
          <t>是</t>
        </is>
      </c>
      <c r="N175" s="5" t="inlineStr">
        <is>
          <t>是</t>
        </is>
      </c>
      <c r="O175" s="5" t="inlineStr">
        <is>
          <t>是</t>
        </is>
      </c>
      <c r="S175" s="5" t="inlineStr">
        <is>
          <t>否</t>
        </is>
      </c>
      <c r="T175" s="5" t="inlineStr">
        <is>
          <t>否</t>
        </is>
      </c>
      <c r="W175" s="5" t="inlineStr">
        <is>
          <t>否</t>
        </is>
      </c>
      <c r="X175" s="5" t="inlineStr">
        <is>
          <t>999</t>
        </is>
      </c>
    </row>
    <row r="176" s="83">
      <c r="A176" s="5" t="inlineStr">
        <is>
          <t>2184632418915844102</t>
        </is>
      </c>
      <c r="B176" s="5" t="inlineStr">
        <is>
          <t>企业账号级</t>
        </is>
      </c>
      <c r="C176" s="5" t="inlineStr">
        <is>
          <t>Q06</t>
        </is>
      </c>
      <c r="D176" s="5" t="inlineStr">
        <is>
          <t>往来款项支出</t>
        </is>
      </c>
      <c r="I176" s="5" t="inlineStr"/>
      <c r="J176" s="5" t="inlineStr">
        <is>
          <t>启用</t>
        </is>
      </c>
      <c r="K176" s="5" t="inlineStr">
        <is>
          <t>是</t>
        </is>
      </c>
      <c r="L176" s="5" t="inlineStr">
        <is>
          <t>是</t>
        </is>
      </c>
      <c r="M176" s="5" t="inlineStr">
        <is>
          <t>是</t>
        </is>
      </c>
      <c r="N176" s="5" t="inlineStr">
        <is>
          <t>是</t>
        </is>
      </c>
      <c r="O176" s="5" t="inlineStr">
        <is>
          <t>是</t>
        </is>
      </c>
      <c r="S176" s="5" t="inlineStr">
        <is>
          <t>否</t>
        </is>
      </c>
      <c r="T176" s="5" t="inlineStr">
        <is>
          <t>否</t>
        </is>
      </c>
      <c r="W176" s="5" t="inlineStr">
        <is>
          <t>否</t>
        </is>
      </c>
      <c r="X176" s="5" t="inlineStr">
        <is>
          <t>999</t>
        </is>
      </c>
    </row>
    <row r="177" s="83">
      <c r="A177" s="5" t="inlineStr">
        <is>
          <t>2184632418915844101</t>
        </is>
      </c>
      <c r="B177" s="5" t="inlineStr">
        <is>
          <t>企业账号级</t>
        </is>
      </c>
      <c r="C177" s="5" t="inlineStr">
        <is>
          <t>Q05</t>
        </is>
      </c>
      <c r="D177" s="5" t="inlineStr">
        <is>
          <t>投资款收入</t>
        </is>
      </c>
      <c r="I177" s="5" t="inlineStr"/>
      <c r="J177" s="5" t="inlineStr">
        <is>
          <t>启用</t>
        </is>
      </c>
      <c r="K177" s="5" t="inlineStr">
        <is>
          <t>是</t>
        </is>
      </c>
      <c r="L177" s="5" t="inlineStr">
        <is>
          <t>是</t>
        </is>
      </c>
      <c r="M177" s="5" t="inlineStr">
        <is>
          <t>是</t>
        </is>
      </c>
      <c r="N177" s="5" t="inlineStr">
        <is>
          <t>是</t>
        </is>
      </c>
      <c r="O177" s="5" t="inlineStr">
        <is>
          <t>是</t>
        </is>
      </c>
      <c r="S177" s="5" t="inlineStr">
        <is>
          <t>否</t>
        </is>
      </c>
      <c r="T177" s="5" t="inlineStr">
        <is>
          <t>否</t>
        </is>
      </c>
      <c r="W177" s="5" t="inlineStr">
        <is>
          <t>否</t>
        </is>
      </c>
      <c r="X177" s="5" t="inlineStr">
        <is>
          <t>999</t>
        </is>
      </c>
    </row>
    <row r="178" s="83">
      <c r="A178" s="5" t="inlineStr">
        <is>
          <t>2184632410325909511</t>
        </is>
      </c>
      <c r="B178" s="5" t="inlineStr">
        <is>
          <t>企业账号级</t>
        </is>
      </c>
      <c r="C178" s="5" t="inlineStr">
        <is>
          <t>Q04</t>
        </is>
      </c>
      <c r="D178" s="5" t="inlineStr">
        <is>
          <t>往来款项收入</t>
        </is>
      </c>
      <c r="I178" s="5" t="inlineStr"/>
      <c r="J178" s="5" t="inlineStr">
        <is>
          <t>启用</t>
        </is>
      </c>
      <c r="K178" s="5" t="inlineStr">
        <is>
          <t>是</t>
        </is>
      </c>
      <c r="L178" s="5" t="inlineStr">
        <is>
          <t>是</t>
        </is>
      </c>
      <c r="M178" s="5" t="inlineStr">
        <is>
          <t>是</t>
        </is>
      </c>
      <c r="N178" s="5" t="inlineStr">
        <is>
          <t>是</t>
        </is>
      </c>
      <c r="O178" s="5" t="inlineStr">
        <is>
          <t>是</t>
        </is>
      </c>
      <c r="S178" s="5" t="inlineStr">
        <is>
          <t>否</t>
        </is>
      </c>
      <c r="T178" s="5" t="inlineStr">
        <is>
          <t>否</t>
        </is>
      </c>
      <c r="W178" s="5" t="inlineStr">
        <is>
          <t>否</t>
        </is>
      </c>
      <c r="X178" s="5" t="inlineStr">
        <is>
          <t>999</t>
        </is>
      </c>
    </row>
    <row r="179" s="83">
      <c r="A179" s="5" t="inlineStr">
        <is>
          <t>2184632410325909510</t>
        </is>
      </c>
      <c r="B179" s="5" t="inlineStr">
        <is>
          <t>企业账号级</t>
        </is>
      </c>
      <c r="C179" s="5" t="inlineStr">
        <is>
          <t>Q03</t>
        </is>
      </c>
      <c r="D179" s="5" t="inlineStr">
        <is>
          <t>营业外收入</t>
        </is>
      </c>
      <c r="I179" s="5" t="inlineStr"/>
      <c r="J179" s="5" t="inlineStr">
        <is>
          <t>启用</t>
        </is>
      </c>
      <c r="K179" s="5" t="inlineStr">
        <is>
          <t>是</t>
        </is>
      </c>
      <c r="L179" s="5" t="inlineStr">
        <is>
          <t>是</t>
        </is>
      </c>
      <c r="M179" s="5" t="inlineStr">
        <is>
          <t>是</t>
        </is>
      </c>
      <c r="N179" s="5" t="inlineStr">
        <is>
          <t>是</t>
        </is>
      </c>
      <c r="O179" s="5" t="inlineStr">
        <is>
          <t>是</t>
        </is>
      </c>
      <c r="S179" s="5" t="inlineStr">
        <is>
          <t>否</t>
        </is>
      </c>
      <c r="T179" s="5" t="inlineStr">
        <is>
          <t>否</t>
        </is>
      </c>
      <c r="W179" s="5" t="inlineStr">
        <is>
          <t>否</t>
        </is>
      </c>
      <c r="X179" s="5" t="inlineStr">
        <is>
          <t>999</t>
        </is>
      </c>
    </row>
    <row r="180" s="83">
      <c r="A180" s="5" t="inlineStr">
        <is>
          <t>2184632410325909509</t>
        </is>
      </c>
      <c r="B180" s="5" t="inlineStr">
        <is>
          <t>企业账号级</t>
        </is>
      </c>
      <c r="C180" s="5" t="inlineStr">
        <is>
          <t>Q02</t>
        </is>
      </c>
      <c r="D180" s="5" t="inlineStr">
        <is>
          <t>售后收入</t>
        </is>
      </c>
      <c r="I180" s="5" t="inlineStr"/>
      <c r="J180" s="5" t="inlineStr">
        <is>
          <t>启用</t>
        </is>
      </c>
      <c r="K180" s="5" t="inlineStr">
        <is>
          <t>是</t>
        </is>
      </c>
      <c r="L180" s="5" t="inlineStr">
        <is>
          <t>是</t>
        </is>
      </c>
      <c r="M180" s="5" t="inlineStr">
        <is>
          <t>是</t>
        </is>
      </c>
      <c r="N180" s="5" t="inlineStr">
        <is>
          <t>是</t>
        </is>
      </c>
      <c r="O180" s="5" t="inlineStr">
        <is>
          <t>是</t>
        </is>
      </c>
      <c r="S180" s="5" t="inlineStr">
        <is>
          <t>否</t>
        </is>
      </c>
      <c r="T180" s="5" t="inlineStr">
        <is>
          <t>否</t>
        </is>
      </c>
      <c r="W180" s="5" t="inlineStr">
        <is>
          <t>否</t>
        </is>
      </c>
      <c r="X180" s="5" t="inlineStr">
        <is>
          <t>999</t>
        </is>
      </c>
    </row>
    <row r="181" s="83">
      <c r="A181" s="5" t="inlineStr">
        <is>
          <t>2184632410325909508</t>
        </is>
      </c>
      <c r="B181" s="5" t="inlineStr">
        <is>
          <t>企业账号级</t>
        </is>
      </c>
      <c r="C181" s="5" t="inlineStr">
        <is>
          <t>Q01</t>
        </is>
      </c>
      <c r="D181" s="5" t="inlineStr">
        <is>
          <t>业务收入</t>
        </is>
      </c>
      <c r="I181" s="5" t="inlineStr"/>
      <c r="J181" s="5" t="inlineStr">
        <is>
          <t>启用</t>
        </is>
      </c>
      <c r="K181" s="5" t="inlineStr">
        <is>
          <t>是</t>
        </is>
      </c>
      <c r="L181" s="5" t="inlineStr">
        <is>
          <t>是</t>
        </is>
      </c>
      <c r="M181" s="5" t="inlineStr">
        <is>
          <t>是</t>
        </is>
      </c>
      <c r="N181" s="5" t="inlineStr">
        <is>
          <t>是</t>
        </is>
      </c>
      <c r="O181" s="5" t="inlineStr">
        <is>
          <t>是</t>
        </is>
      </c>
      <c r="S181" s="5" t="inlineStr">
        <is>
          <t>否</t>
        </is>
      </c>
      <c r="T181" s="5" t="inlineStr">
        <is>
          <t>否</t>
        </is>
      </c>
      <c r="W181" s="5" t="inlineStr">
        <is>
          <t>否</t>
        </is>
      </c>
      <c r="X181" s="5" t="inlineStr">
        <is>
          <t>999</t>
        </is>
      </c>
    </row>
    <row r="182" s="83">
      <c r="A182" s="5" t="inlineStr">
        <is>
          <t>2184014424687247372</t>
        </is>
      </c>
      <c r="B182" s="5" t="inlineStr">
        <is>
          <t>企业账号级</t>
        </is>
      </c>
      <c r="C182" s="5" t="inlineStr">
        <is>
          <t>Q29</t>
        </is>
      </c>
      <c r="D182" s="5" t="inlineStr">
        <is>
          <t>办公费用</t>
        </is>
      </c>
      <c r="I182" s="5" t="inlineStr"/>
      <c r="J182" s="5" t="inlineStr">
        <is>
          <t>启用</t>
        </is>
      </c>
      <c r="K182" s="5" t="inlineStr">
        <is>
          <t>是</t>
        </is>
      </c>
      <c r="L182" s="5" t="inlineStr">
        <is>
          <t>是</t>
        </is>
      </c>
      <c r="M182" s="5" t="inlineStr">
        <is>
          <t>是</t>
        </is>
      </c>
      <c r="N182" s="5" t="inlineStr">
        <is>
          <t>是</t>
        </is>
      </c>
      <c r="O182" s="5" t="inlineStr">
        <is>
          <t>是</t>
        </is>
      </c>
      <c r="S182" s="5" t="inlineStr">
        <is>
          <t>否</t>
        </is>
      </c>
      <c r="T182" s="5" t="inlineStr">
        <is>
          <t>否</t>
        </is>
      </c>
      <c r="W182" s="5" t="inlineStr">
        <is>
          <t>否</t>
        </is>
      </c>
      <c r="X182" s="5" t="inlineStr">
        <is>
          <t>999</t>
        </is>
      </c>
    </row>
    <row r="183" s="83">
      <c r="A183" s="5" t="inlineStr">
        <is>
          <t>2184014424687247371</t>
        </is>
      </c>
      <c r="B183" s="5" t="inlineStr">
        <is>
          <t>企业账号级</t>
        </is>
      </c>
      <c r="C183" s="5" t="inlineStr">
        <is>
          <t>Q28</t>
        </is>
      </c>
      <c r="D183" s="5" t="inlineStr">
        <is>
          <t>服务费</t>
        </is>
      </c>
      <c r="I183" s="5" t="inlineStr"/>
      <c r="J183" s="5" t="inlineStr">
        <is>
          <t>启用</t>
        </is>
      </c>
      <c r="K183" s="5" t="inlineStr">
        <is>
          <t>是</t>
        </is>
      </c>
      <c r="L183" s="5" t="inlineStr">
        <is>
          <t>是</t>
        </is>
      </c>
      <c r="M183" s="5" t="inlineStr">
        <is>
          <t>是</t>
        </is>
      </c>
      <c r="N183" s="5" t="inlineStr">
        <is>
          <t>是</t>
        </is>
      </c>
      <c r="O183" s="5" t="inlineStr">
        <is>
          <t>是</t>
        </is>
      </c>
      <c r="S183" s="5" t="inlineStr">
        <is>
          <t>否</t>
        </is>
      </c>
      <c r="T183" s="5" t="inlineStr">
        <is>
          <t>否</t>
        </is>
      </c>
      <c r="W183" s="5" t="inlineStr">
        <is>
          <t>否</t>
        </is>
      </c>
      <c r="X183" s="5" t="inlineStr">
        <is>
          <t>999</t>
        </is>
      </c>
    </row>
    <row r="184" s="83">
      <c r="A184" s="5" t="inlineStr">
        <is>
          <t>2180202014143152464</t>
        </is>
      </c>
      <c r="B184" s="5" t="inlineStr">
        <is>
          <t>企业账号级</t>
        </is>
      </c>
      <c r="C184" s="5" t="inlineStr">
        <is>
          <t>Cost_PU</t>
        </is>
      </c>
      <c r="D184" s="5" t="inlineStr">
        <is>
          <t>入库费用</t>
        </is>
      </c>
      <c r="I184" s="5" t="inlineStr">
        <is>
          <t>入库时发生的运费、关税等各项费用</t>
        </is>
      </c>
      <c r="J184" s="5" t="inlineStr">
        <is>
          <t>停用</t>
        </is>
      </c>
      <c r="K184" s="5" t="inlineStr">
        <is>
          <t>否</t>
        </is>
      </c>
      <c r="L184" s="5" t="inlineStr">
        <is>
          <t>否</t>
        </is>
      </c>
      <c r="M184" s="5" t="inlineStr">
        <is>
          <t>否</t>
        </is>
      </c>
      <c r="N184" s="5" t="inlineStr">
        <is>
          <t>否</t>
        </is>
      </c>
      <c r="O184" s="5" t="inlineStr">
        <is>
          <t>否</t>
        </is>
      </c>
      <c r="S184" s="5" t="inlineStr">
        <is>
          <t>否</t>
        </is>
      </c>
      <c r="T184" s="5" t="inlineStr">
        <is>
          <t>否</t>
        </is>
      </c>
      <c r="W184" s="5" t="inlineStr">
        <is>
          <t>否</t>
        </is>
      </c>
      <c r="X184" s="5" t="inlineStr">
        <is>
          <t>999</t>
        </is>
      </c>
    </row>
    <row r="185" s="83">
      <c r="A185" s="5" t="inlineStr">
        <is>
          <t>2180202014143152463</t>
        </is>
      </c>
      <c r="B185" s="5" t="inlineStr">
        <is>
          <t>企业账号级</t>
        </is>
      </c>
      <c r="C185" s="5" t="inlineStr">
        <is>
          <t>Fee_PU</t>
        </is>
      </c>
      <c r="D185" s="5" t="inlineStr">
        <is>
          <t>采购成本</t>
        </is>
      </c>
      <c r="I185" s="5" t="inlineStr">
        <is>
          <t>采购材料成本</t>
        </is>
      </c>
      <c r="J185" s="5" t="inlineStr">
        <is>
          <t>停用</t>
        </is>
      </c>
      <c r="K185" s="5" t="inlineStr">
        <is>
          <t>否</t>
        </is>
      </c>
      <c r="L185" s="5" t="inlineStr">
        <is>
          <t>是</t>
        </is>
      </c>
      <c r="M185" s="5" t="inlineStr">
        <is>
          <t>否</t>
        </is>
      </c>
      <c r="N185" s="5" t="inlineStr">
        <is>
          <t>否</t>
        </is>
      </c>
      <c r="O185" s="5" t="inlineStr">
        <is>
          <t>否</t>
        </is>
      </c>
      <c r="S185" s="5" t="inlineStr">
        <is>
          <t>否</t>
        </is>
      </c>
      <c r="T185" s="5" t="inlineStr">
        <is>
          <t>是</t>
        </is>
      </c>
      <c r="W185" s="5" t="inlineStr">
        <is>
          <t>否</t>
        </is>
      </c>
      <c r="X185" s="5" t="inlineStr">
        <is>
          <t>999</t>
        </is>
      </c>
    </row>
    <row r="186" s="83">
      <c r="A186" s="5" t="inlineStr">
        <is>
          <t>2180202014143152462</t>
        </is>
      </c>
      <c r="B186" s="5" t="inlineStr">
        <is>
          <t>企业账号级</t>
        </is>
      </c>
      <c r="C186" s="5" t="inlineStr">
        <is>
          <t>Fee_OS</t>
        </is>
      </c>
      <c r="D186" s="5" t="inlineStr">
        <is>
          <t>委外加工费</t>
        </is>
      </c>
      <c r="I186" s="5" t="inlineStr">
        <is>
          <t>委外生产的结算加工费</t>
        </is>
      </c>
      <c r="J186" s="5" t="inlineStr">
        <is>
          <t>停用</t>
        </is>
      </c>
      <c r="K186" s="5" t="inlineStr">
        <is>
          <t>否</t>
        </is>
      </c>
      <c r="L186" s="5" t="inlineStr">
        <is>
          <t>是</t>
        </is>
      </c>
      <c r="M186" s="5" t="inlineStr">
        <is>
          <t>否</t>
        </is>
      </c>
      <c r="N186" s="5" t="inlineStr">
        <is>
          <t>否</t>
        </is>
      </c>
      <c r="O186" s="5" t="inlineStr">
        <is>
          <t>否</t>
        </is>
      </c>
      <c r="S186" s="5" t="inlineStr">
        <is>
          <t>否</t>
        </is>
      </c>
      <c r="T186" s="5" t="inlineStr">
        <is>
          <t>是</t>
        </is>
      </c>
      <c r="W186" s="5" t="inlineStr">
        <is>
          <t>否</t>
        </is>
      </c>
      <c r="X186" s="5" t="inlineStr">
        <is>
          <t>999</t>
        </is>
      </c>
    </row>
    <row r="187" s="83">
      <c r="C187" s="5" t="inlineStr">
        <is>
          <t>Q3105</t>
        </is>
      </c>
      <c r="D187" s="5" t="inlineStr">
        <is>
          <t>汇兑损益</t>
        </is>
      </c>
      <c r="G187" s="5" t="inlineStr">
        <is>
          <t>Q31</t>
        </is>
      </c>
      <c r="H187" s="5" t="inlineStr">
        <is>
          <t>营业外支出</t>
        </is>
      </c>
    </row>
  </sheetData>
  <autoFilter ref="A1:X187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R91"/>
  <sheetViews>
    <sheetView workbookViewId="0">
      <selection activeCell="A1" sqref="A1"/>
    </sheetView>
  </sheetViews>
  <sheetFormatPr baseColWidth="8" defaultColWidth="8.838461538461541" defaultRowHeight="18" customHeight="1"/>
  <cols>
    <col width="12.5" customWidth="1" style="22" min="2" max="2"/>
    <col width="9.5" customWidth="1" style="22" min="14" max="15"/>
  </cols>
  <sheetData>
    <row r="1" s="83">
      <c r="A1" s="22" t="inlineStr">
        <is>
          <t>1、</t>
        </is>
      </c>
      <c r="B1" s="70" t="inlineStr">
        <is>
          <t>理财的利息收入，目前费用项目放在利息收入里，王妍的表里是单独在最后加了一行理财收支，这个费用项目只包括本金部分</t>
        </is>
      </c>
    </row>
    <row r="2" s="83">
      <c r="A2" s="22" t="inlineStr">
        <is>
          <t>2、</t>
        </is>
      </c>
      <c r="B2" s="21" t="inlineStr">
        <is>
          <t>汇兑损益的费用项目修改为手续费</t>
        </is>
      </c>
    </row>
    <row r="4" s="83">
      <c r="P4" s="21" t="inlineStr">
        <is>
          <t>统一修改为汇兑损益</t>
        </is>
      </c>
    </row>
    <row r="8" s="83">
      <c r="P8" s="21" t="inlineStr">
        <is>
          <t>统一修改为汇兑损益</t>
        </is>
      </c>
    </row>
    <row r="11" s="83">
      <c r="A11" s="22" t="inlineStr">
        <is>
          <t>3、</t>
        </is>
      </c>
      <c r="B11" s="70" t="inlineStr">
        <is>
          <t>这两个应该是外部往来支出？</t>
        </is>
      </c>
    </row>
    <row r="17" s="83">
      <c r="A17" s="22" t="inlineStr">
        <is>
          <t>4、</t>
        </is>
      </c>
      <c r="B17" s="70" t="inlineStr">
        <is>
          <t>理财收支是否要分开</t>
        </is>
      </c>
    </row>
    <row r="23" s="83">
      <c r="A23" s="22" t="inlineStr">
        <is>
          <t>5、</t>
        </is>
      </c>
      <c r="B23" s="22" t="inlineStr">
        <is>
          <t>这样会导致该项目支出金额为负数，是否要紧</t>
        </is>
      </c>
    </row>
    <row r="24" s="83">
      <c r="B24" s="5" t="n"/>
    </row>
    <row r="32" s="83">
      <c r="A32" s="22" t="inlineStr">
        <is>
          <t>6、</t>
        </is>
      </c>
      <c r="B32" s="70" t="inlineStr">
        <is>
          <t>合并抵消的要单独标注</t>
        </is>
      </c>
    </row>
    <row r="34" s="83">
      <c r="A34" s="22" t="inlineStr">
        <is>
          <t>7、</t>
        </is>
      </c>
      <c r="B34" s="70" t="inlineStr">
        <is>
          <t>这个业务是啥</t>
        </is>
      </c>
    </row>
    <row r="40" s="83">
      <c r="A40" s="22" t="inlineStr">
        <is>
          <t>8、</t>
        </is>
      </c>
      <c r="B40" s="22" t="inlineStr">
        <is>
          <t>其他还有一些费用项目会存在退款导致资金流出为负数的情况，比方物业费退款、抖音投放退款</t>
        </is>
      </c>
    </row>
    <row r="42" s="83">
      <c r="A42" s="22" t="inlineStr">
        <is>
          <t>9、</t>
        </is>
      </c>
      <c r="B42" s="21" t="inlineStr">
        <is>
          <t>费用项目应该是社保（单位+个人）</t>
        </is>
      </c>
    </row>
    <row r="45" s="83">
      <c r="R45" s="22" t="inlineStr">
        <is>
          <t>已修改</t>
        </is>
      </c>
    </row>
    <row r="49" s="83">
      <c r="A49" s="22" t="inlineStr">
        <is>
          <t>10、</t>
        </is>
      </c>
      <c r="B49" s="21" t="inlineStr">
        <is>
          <t>2楼的费用项目应该是生产成本下面的Q3201，现在Q2702是归在管理费用里了</t>
        </is>
      </c>
    </row>
    <row r="56" s="83">
      <c r="A56" s="22" t="inlineStr">
        <is>
          <t>11、</t>
        </is>
      </c>
      <c r="B56" s="21" t="inlineStr">
        <is>
          <t>2楼应该是制造费用</t>
        </is>
      </c>
    </row>
    <row r="73" s="83">
      <c r="A73" s="22" t="inlineStr">
        <is>
          <t>12、</t>
        </is>
      </c>
      <c r="B73" s="21" t="inlineStr">
        <is>
          <t>公司内部不同账户之间划款费用名称应改为内部往来收入</t>
        </is>
      </c>
    </row>
    <row r="91" s="83">
      <c r="B91" s="8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98"/>
  <sheetViews>
    <sheetView tabSelected="1" workbookViewId="0">
      <pane ySplit="1" topLeftCell="A2" activePane="bottomLeft" state="frozen"/>
      <selection activeCell="A1" sqref="A1"/>
      <selection pane="bottomLeft" activeCell="M11" sqref="M11"/>
    </sheetView>
  </sheetViews>
  <sheetFormatPr baseColWidth="8" defaultColWidth="8.838461538461541" defaultRowHeight="16.05" customHeight="1"/>
  <cols>
    <col width="15" customWidth="1" style="66" min="1" max="1"/>
    <col width="15" customWidth="1" style="66" min="2" max="2"/>
    <col width="15" customWidth="1" style="66" min="3" max="3"/>
    <col width="15" customWidth="1" style="66" min="4" max="4"/>
    <col width="15" customWidth="1" style="66" min="5" max="5"/>
    <col width="15" customWidth="1" style="66" min="6" max="6"/>
    <col width="15" customWidth="1" style="66" min="7" max="7"/>
    <col width="15" customWidth="1" style="67" min="8" max="8"/>
    <col width="15" customWidth="1" style="67" min="9" max="9"/>
    <col width="15" customWidth="1" style="85" min="10" max="11"/>
    <col width="15" customWidth="1" style="83" min="11" max="11"/>
    <col width="8.838461538461541" customWidth="1" style="66" min="12" max="36"/>
  </cols>
  <sheetData>
    <row r="1" s="83">
      <c r="A1" s="108" t="inlineStr">
        <is>
          <t>月份</t>
        </is>
      </c>
      <c r="B1" s="109" t="inlineStr">
        <is>
          <t>科目编码</t>
        </is>
      </c>
      <c r="C1" s="109" t="inlineStr">
        <is>
          <t>科目名称</t>
        </is>
      </c>
      <c r="D1" s="109" t="inlineStr">
        <is>
          <t>日期</t>
        </is>
      </c>
      <c r="E1" s="109" t="inlineStr">
        <is>
          <t>费用项目编码</t>
        </is>
      </c>
      <c r="F1" s="109" t="inlineStr">
        <is>
          <t>费用项目名称</t>
        </is>
      </c>
      <c r="G1" s="109" t="inlineStr">
        <is>
          <t>核算账簿</t>
        </is>
      </c>
      <c r="H1" s="109" t="inlineStr">
        <is>
          <t>凭证号</t>
        </is>
      </c>
      <c r="I1" s="109" t="inlineStr">
        <is>
          <t>摘要</t>
        </is>
      </c>
      <c r="J1" s="110" t="inlineStr">
        <is>
          <t>借方本币</t>
        </is>
      </c>
      <c r="K1" s="110" t="inlineStr">
        <is>
          <t>贷方本币</t>
        </is>
      </c>
    </row>
    <row r="2" s="83">
      <c r="A2" s="111" t="inlineStr">
        <is>
          <t>1月</t>
        </is>
      </c>
      <c r="B2" s="112" t="n">
        <v>100201</v>
      </c>
      <c r="C2" s="112" t="inlineStr"/>
      <c r="D2" s="112" t="inlineStr">
        <is>
          <t>2025-01-21</t>
        </is>
      </c>
      <c r="E2" s="112" t="inlineStr">
        <is>
          <t>Q0401</t>
        </is>
      </c>
      <c r="F2" s="112" t="inlineStr"/>
      <c r="G2" s="112" t="inlineStr"/>
      <c r="H2" s="112" t="inlineStr">
        <is>
          <t>记-1</t>
        </is>
      </c>
      <c r="I2" s="112" t="inlineStr"/>
      <c r="J2" s="113" t="inlineStr"/>
      <c r="K2" s="113" t="inlineStr"/>
    </row>
    <row r="3" s="83">
      <c r="A3" s="111" t="inlineStr">
        <is>
          <t>1月</t>
        </is>
      </c>
      <c r="B3" s="112" t="n">
        <v>100201</v>
      </c>
      <c r="C3" s="112" t="inlineStr"/>
      <c r="D3" s="112" t="inlineStr">
        <is>
          <t>2025-01-23</t>
        </is>
      </c>
      <c r="E3" s="112" t="inlineStr">
        <is>
          <t>Q0401</t>
        </is>
      </c>
      <c r="F3" s="112" t="inlineStr"/>
      <c r="G3" s="112" t="inlineStr"/>
      <c r="H3" s="112" t="inlineStr">
        <is>
          <t>记-33</t>
        </is>
      </c>
      <c r="I3" s="112" t="inlineStr"/>
      <c r="J3" s="113" t="inlineStr"/>
      <c r="K3" s="113" t="inlineStr"/>
    </row>
    <row r="4" s="83">
      <c r="A4" s="111" t="inlineStr">
        <is>
          <t>1月</t>
        </is>
      </c>
      <c r="B4" s="114" t="n">
        <v>100201</v>
      </c>
      <c r="C4" s="114" t="inlineStr"/>
      <c r="D4" s="114" t="inlineStr">
        <is>
          <t>2025-01-21</t>
        </is>
      </c>
      <c r="E4" s="114" t="inlineStr">
        <is>
          <t>Q0601</t>
        </is>
      </c>
      <c r="F4" s="114" t="inlineStr"/>
      <c r="G4" s="114" t="inlineStr"/>
      <c r="H4" s="114" t="inlineStr">
        <is>
          <t>记-81</t>
        </is>
      </c>
      <c r="I4" s="114" t="inlineStr"/>
      <c r="J4" s="115" t="inlineStr"/>
      <c r="K4" s="115" t="inlineStr"/>
    </row>
    <row r="5" s="83">
      <c r="A5" s="111" t="inlineStr">
        <is>
          <t>1月</t>
        </is>
      </c>
      <c r="B5" s="112" t="n">
        <v>100201</v>
      </c>
      <c r="C5" s="112" t="inlineStr"/>
      <c r="D5" s="112" t="inlineStr">
        <is>
          <t>2025-01-23</t>
        </is>
      </c>
      <c r="E5" s="112" t="inlineStr">
        <is>
          <t>Q0601</t>
        </is>
      </c>
      <c r="F5" s="112" t="inlineStr"/>
      <c r="G5" s="112" t="inlineStr"/>
      <c r="H5" s="112" t="inlineStr">
        <is>
          <t>记-117</t>
        </is>
      </c>
      <c r="I5" s="112" t="inlineStr"/>
      <c r="J5" s="113" t="inlineStr"/>
      <c r="K5" s="115" t="inlineStr"/>
    </row>
    <row r="6" s="83">
      <c r="A6" s="111" t="inlineStr">
        <is>
          <t>2月</t>
        </is>
      </c>
      <c r="B6" s="114" t="n">
        <v>100201</v>
      </c>
      <c r="C6" s="114" t="inlineStr"/>
      <c r="D6" s="114" t="inlineStr">
        <is>
          <t>2025-02-28</t>
        </is>
      </c>
      <c r="E6" s="114" t="inlineStr">
        <is>
          <t>Q0401</t>
        </is>
      </c>
      <c r="F6" s="114" t="inlineStr"/>
      <c r="G6" s="114" t="inlineStr"/>
      <c r="H6" s="114" t="inlineStr">
        <is>
          <t>记-98</t>
        </is>
      </c>
      <c r="I6" s="114" t="inlineStr"/>
      <c r="J6" s="115" t="inlineStr"/>
      <c r="K6" s="115" t="inlineStr"/>
    </row>
    <row r="7" s="83">
      <c r="A7" s="111" t="inlineStr">
        <is>
          <t>2月</t>
        </is>
      </c>
      <c r="B7" s="114" t="n">
        <v>100201</v>
      </c>
      <c r="C7" s="114" t="inlineStr"/>
      <c r="D7" s="114" t="inlineStr">
        <is>
          <t>2025-02-27</t>
        </is>
      </c>
      <c r="E7" s="114" t="inlineStr">
        <is>
          <t>Q0401</t>
        </is>
      </c>
      <c r="F7" s="114" t="inlineStr"/>
      <c r="G7" s="114" t="inlineStr"/>
      <c r="H7" s="114" t="inlineStr">
        <is>
          <t>记-84</t>
        </is>
      </c>
      <c r="I7" s="114" t="inlineStr"/>
      <c r="J7" s="115" t="inlineStr"/>
      <c r="K7" s="115" t="inlineStr"/>
    </row>
    <row r="8" s="83">
      <c r="A8" s="111" t="inlineStr">
        <is>
          <t>2月</t>
        </is>
      </c>
      <c r="B8" s="112" t="n">
        <v>100201</v>
      </c>
      <c r="C8" s="112" t="inlineStr"/>
      <c r="D8" s="112" t="inlineStr">
        <is>
          <t>2025-02-26</t>
        </is>
      </c>
      <c r="E8" s="112" t="inlineStr">
        <is>
          <t>Q0401</t>
        </is>
      </c>
      <c r="F8" s="112" t="inlineStr"/>
      <c r="G8" s="112" t="inlineStr"/>
      <c r="H8" s="112" t="inlineStr">
        <is>
          <t>记-77</t>
        </is>
      </c>
      <c r="I8" s="112" t="inlineStr"/>
      <c r="J8" s="115" t="inlineStr"/>
      <c r="K8" s="113" t="inlineStr"/>
    </row>
    <row r="9" s="83">
      <c r="A9" s="111" t="inlineStr">
        <is>
          <t>2月</t>
        </is>
      </c>
      <c r="B9" s="114" t="n">
        <v>100201</v>
      </c>
      <c r="C9" s="114" t="inlineStr"/>
      <c r="D9" s="114" t="inlineStr">
        <is>
          <t>2025-02-14</t>
        </is>
      </c>
      <c r="E9" s="114" t="inlineStr">
        <is>
          <t>Q0401</t>
        </is>
      </c>
      <c r="F9" s="114" t="inlineStr"/>
      <c r="G9" s="114" t="inlineStr"/>
      <c r="H9" s="114" t="inlineStr">
        <is>
          <t>记-41</t>
        </is>
      </c>
      <c r="I9" s="114" t="inlineStr"/>
      <c r="J9" s="115" t="inlineStr"/>
      <c r="K9" s="115" t="inlineStr"/>
    </row>
    <row r="10" s="83">
      <c r="A10" s="111" t="inlineStr">
        <is>
          <t>2月</t>
        </is>
      </c>
      <c r="B10" s="112" t="n">
        <v>100201</v>
      </c>
      <c r="C10" s="112" t="inlineStr"/>
      <c r="D10" s="112" t="inlineStr">
        <is>
          <t>2025-02-28</t>
        </is>
      </c>
      <c r="E10" s="112" t="inlineStr">
        <is>
          <t>Q0601</t>
        </is>
      </c>
      <c r="F10" s="112" t="inlineStr"/>
      <c r="G10" s="112" t="inlineStr"/>
      <c r="H10" s="112" t="inlineStr">
        <is>
          <t>记-35</t>
        </is>
      </c>
      <c r="I10" s="112" t="inlineStr"/>
      <c r="J10" s="113" t="inlineStr"/>
      <c r="K10" s="115" t="inlineStr"/>
    </row>
    <row r="11" s="83">
      <c r="A11" s="111" t="inlineStr">
        <is>
          <t>2月</t>
        </is>
      </c>
      <c r="B11" s="114" t="n">
        <v>100201</v>
      </c>
      <c r="C11" s="114" t="inlineStr"/>
      <c r="D11" s="114" t="inlineStr">
        <is>
          <t>2025-02-26</t>
        </is>
      </c>
      <c r="E11" s="114" t="inlineStr">
        <is>
          <t>Q0601</t>
        </is>
      </c>
      <c r="F11" s="114" t="inlineStr"/>
      <c r="G11" s="114" t="inlineStr"/>
      <c r="H11" s="114" t="inlineStr">
        <is>
          <t>记-25</t>
        </is>
      </c>
      <c r="I11" s="114" t="inlineStr"/>
      <c r="J11" s="115" t="inlineStr"/>
      <c r="K11" s="115" t="inlineStr"/>
    </row>
    <row r="12" s="83">
      <c r="A12" s="111" t="inlineStr">
        <is>
          <t>2月</t>
        </is>
      </c>
      <c r="B12" s="112" t="n">
        <v>100201</v>
      </c>
      <c r="C12" s="112" t="inlineStr"/>
      <c r="D12" s="112" t="inlineStr">
        <is>
          <t>2025-02-28</t>
        </is>
      </c>
      <c r="E12" s="112" t="inlineStr">
        <is>
          <t>Q0601</t>
        </is>
      </c>
      <c r="F12" s="112" t="inlineStr"/>
      <c r="G12" s="112" t="inlineStr"/>
      <c r="H12" s="112" t="inlineStr">
        <is>
          <t>记-99</t>
        </is>
      </c>
      <c r="I12" s="112" t="inlineStr"/>
      <c r="J12" s="113" t="inlineStr"/>
      <c r="K12" s="115" t="inlineStr"/>
    </row>
    <row r="13" s="83">
      <c r="A13" s="111" t="inlineStr">
        <is>
          <t>2月</t>
        </is>
      </c>
      <c r="B13" s="112" t="n">
        <v>100201</v>
      </c>
      <c r="C13" s="112" t="inlineStr"/>
      <c r="D13" s="112" t="inlineStr">
        <is>
          <t>2025-02-14</t>
        </is>
      </c>
      <c r="E13" s="112" t="inlineStr">
        <is>
          <t>Q0601</t>
        </is>
      </c>
      <c r="F13" s="112" t="inlineStr"/>
      <c r="G13" s="112" t="inlineStr"/>
      <c r="H13" s="112" t="inlineStr">
        <is>
          <t>记-10</t>
        </is>
      </c>
      <c r="I13" s="112" t="inlineStr"/>
      <c r="J13" s="115" t="inlineStr"/>
      <c r="K13" s="113" t="inlineStr"/>
    </row>
    <row r="14" s="83">
      <c r="A14" s="111" t="inlineStr">
        <is>
          <t>2月</t>
        </is>
      </c>
      <c r="B14" s="114" t="n">
        <v>100201</v>
      </c>
      <c r="C14" s="114" t="inlineStr"/>
      <c r="D14" s="114" t="inlineStr">
        <is>
          <t>2025-02-28</t>
        </is>
      </c>
      <c r="E14" s="114" t="inlineStr">
        <is>
          <t>Q0401</t>
        </is>
      </c>
      <c r="F14" s="114" t="inlineStr"/>
      <c r="G14" s="114" t="inlineStr"/>
      <c r="H14" s="114" t="inlineStr">
        <is>
          <t>记-34</t>
        </is>
      </c>
      <c r="I14" s="114" t="inlineStr"/>
      <c r="J14" s="115" t="inlineStr"/>
      <c r="K14" s="115" t="inlineStr"/>
    </row>
    <row r="15" s="83">
      <c r="A15" s="111" t="inlineStr">
        <is>
          <t>2月</t>
        </is>
      </c>
      <c r="B15" s="112" t="n">
        <v>100201</v>
      </c>
      <c r="C15" s="112" t="inlineStr"/>
      <c r="D15" s="112" t="inlineStr">
        <is>
          <t>2025-02-28</t>
        </is>
      </c>
      <c r="E15" s="112" t="inlineStr">
        <is>
          <t>Q0401</t>
        </is>
      </c>
      <c r="F15" s="112" t="inlineStr"/>
      <c r="G15" s="112" t="inlineStr"/>
      <c r="H15" s="112" t="inlineStr">
        <is>
          <t>记-33</t>
        </is>
      </c>
      <c r="I15" s="112" t="inlineStr"/>
      <c r="J15" s="115" t="inlineStr"/>
      <c r="K15" s="113" t="inlineStr"/>
    </row>
    <row r="16" s="83">
      <c r="A16" s="111" t="inlineStr">
        <is>
          <t>2月</t>
        </is>
      </c>
      <c r="B16" s="112" t="n">
        <v>100201</v>
      </c>
      <c r="C16" s="112" t="inlineStr"/>
      <c r="D16" s="112" t="inlineStr">
        <is>
          <t>2025-02-28</t>
        </is>
      </c>
      <c r="E16" s="112" t="inlineStr">
        <is>
          <t>Q0601</t>
        </is>
      </c>
      <c r="F16" s="112" t="inlineStr"/>
      <c r="G16" s="112" t="inlineStr"/>
      <c r="H16" s="112" t="inlineStr">
        <is>
          <t>记-4</t>
        </is>
      </c>
      <c r="I16" s="112" t="inlineStr"/>
      <c r="J16" s="115" t="inlineStr"/>
      <c r="K16" s="113" t="inlineStr"/>
    </row>
    <row r="17" s="83">
      <c r="A17" s="111" t="inlineStr">
        <is>
          <t>2月</t>
        </is>
      </c>
      <c r="B17" s="114" t="n">
        <v>100201</v>
      </c>
      <c r="C17" s="114" t="inlineStr"/>
      <c r="D17" s="114" t="inlineStr">
        <is>
          <t>2025-02-27</t>
        </is>
      </c>
      <c r="E17" s="114" t="inlineStr">
        <is>
          <t>Q0601</t>
        </is>
      </c>
      <c r="F17" s="114" t="inlineStr"/>
      <c r="G17" s="114" t="inlineStr"/>
      <c r="H17" s="114" t="inlineStr">
        <is>
          <t>记-27</t>
        </is>
      </c>
      <c r="I17" s="114" t="inlineStr"/>
      <c r="J17" s="115" t="inlineStr"/>
      <c r="K17" s="115" t="inlineStr"/>
    </row>
    <row r="18" s="83">
      <c r="A18" s="111" t="inlineStr">
        <is>
          <t>3月</t>
        </is>
      </c>
      <c r="B18" s="114" t="n">
        <v>100201</v>
      </c>
      <c r="C18" s="114" t="inlineStr"/>
      <c r="D18" s="114" t="inlineStr">
        <is>
          <t>2025-03-31</t>
        </is>
      </c>
      <c r="E18" s="114" t="inlineStr">
        <is>
          <t>Q0401</t>
        </is>
      </c>
      <c r="F18" s="114" t="inlineStr"/>
      <c r="G18" s="114" t="inlineStr"/>
      <c r="H18" s="114" t="inlineStr">
        <is>
          <t>记-145</t>
        </is>
      </c>
      <c r="I18" s="114" t="inlineStr"/>
      <c r="J18" s="115" t="inlineStr"/>
      <c r="K18" s="115" t="inlineStr"/>
    </row>
    <row r="19" s="83">
      <c r="A19" s="111" t="inlineStr">
        <is>
          <t>3月</t>
        </is>
      </c>
      <c r="B19" s="112" t="n">
        <v>100201</v>
      </c>
      <c r="C19" s="112" t="inlineStr"/>
      <c r="D19" s="112" t="inlineStr">
        <is>
          <t>2025-03-14</t>
        </is>
      </c>
      <c r="E19" s="112" t="inlineStr">
        <is>
          <t>Q0401</t>
        </is>
      </c>
      <c r="F19" s="112" t="inlineStr"/>
      <c r="G19" s="112" t="inlineStr"/>
      <c r="H19" s="112" t="inlineStr">
        <is>
          <t>记-48</t>
        </is>
      </c>
      <c r="I19" s="112" t="inlineStr"/>
      <c r="J19" s="113" t="inlineStr"/>
      <c r="K19" s="115" t="inlineStr"/>
    </row>
    <row r="20" s="83">
      <c r="A20" s="111" t="inlineStr">
        <is>
          <t>3月</t>
        </is>
      </c>
      <c r="B20" s="114" t="n">
        <v>100201</v>
      </c>
      <c r="C20" s="114" t="inlineStr"/>
      <c r="D20" s="114" t="inlineStr">
        <is>
          <t>2025-03-14</t>
        </is>
      </c>
      <c r="E20" s="114" t="inlineStr">
        <is>
          <t>Q0601</t>
        </is>
      </c>
      <c r="F20" s="114" t="inlineStr"/>
      <c r="G20" s="114" t="inlineStr"/>
      <c r="H20" s="114" t="inlineStr">
        <is>
          <t>记-20</t>
        </is>
      </c>
      <c r="I20" s="114" t="inlineStr"/>
      <c r="J20" s="115" t="inlineStr"/>
      <c r="K20" s="115" t="inlineStr"/>
    </row>
    <row r="21" s="83">
      <c r="A21" s="111" t="inlineStr">
        <is>
          <t>3月</t>
        </is>
      </c>
      <c r="B21" s="112" t="n">
        <v>100201</v>
      </c>
      <c r="C21" s="112" t="inlineStr"/>
      <c r="D21" s="112" t="inlineStr">
        <is>
          <t>2025-03-31</t>
        </is>
      </c>
      <c r="E21" s="112" t="inlineStr">
        <is>
          <t>Q0601</t>
        </is>
      </c>
      <c r="F21" s="112" t="inlineStr"/>
      <c r="G21" s="112" t="inlineStr"/>
      <c r="H21" s="112" t="inlineStr">
        <is>
          <t>记-51</t>
        </is>
      </c>
      <c r="I21" s="112" t="inlineStr"/>
      <c r="J21" s="115" t="inlineStr"/>
      <c r="K21" s="113" t="inlineStr"/>
    </row>
    <row r="22" s="83">
      <c r="A22" s="111" t="inlineStr">
        <is>
          <t>4月</t>
        </is>
      </c>
      <c r="B22" s="114" t="n">
        <v>100202</v>
      </c>
      <c r="C22" s="114" t="inlineStr"/>
      <c r="D22" s="114" t="inlineStr">
        <is>
          <t>2025-04-08</t>
        </is>
      </c>
      <c r="E22" s="114" t="inlineStr">
        <is>
          <t>Q0701</t>
        </is>
      </c>
      <c r="F22" s="114" t="inlineStr"/>
      <c r="G22" s="114" t="inlineStr"/>
      <c r="H22" s="114" t="inlineStr">
        <is>
          <t>记-2</t>
        </is>
      </c>
      <c r="I22" s="114" t="inlineStr"/>
      <c r="J22" s="115" t="inlineStr"/>
      <c r="K22" s="115" t="inlineStr"/>
    </row>
    <row r="23" s="83">
      <c r="A23" s="111" t="inlineStr">
        <is>
          <t>4月</t>
        </is>
      </c>
      <c r="B23" s="114" t="n">
        <v>100201</v>
      </c>
      <c r="C23" s="114" t="inlineStr"/>
      <c r="D23" s="114" t="inlineStr">
        <is>
          <t>2025-04-18</t>
        </is>
      </c>
      <c r="E23" s="114" t="inlineStr">
        <is>
          <t>Q0601</t>
        </is>
      </c>
      <c r="F23" s="114" t="inlineStr"/>
      <c r="G23" s="114" t="inlineStr"/>
      <c r="H23" s="114" t="inlineStr">
        <is>
          <t>记-51</t>
        </is>
      </c>
      <c r="I23" s="114" t="inlineStr"/>
      <c r="J23" s="115" t="inlineStr"/>
      <c r="K23" s="115" t="inlineStr"/>
    </row>
    <row r="24" s="83">
      <c r="A24" s="111" t="inlineStr">
        <is>
          <t>4月</t>
        </is>
      </c>
      <c r="B24" s="114" t="n">
        <v>100201</v>
      </c>
      <c r="C24" s="114" t="inlineStr"/>
      <c r="D24" s="114" t="inlineStr">
        <is>
          <t>2025-04-18</t>
        </is>
      </c>
      <c r="E24" s="114" t="inlineStr">
        <is>
          <t>Q0401</t>
        </is>
      </c>
      <c r="F24" s="114" t="inlineStr"/>
      <c r="G24" s="114" t="inlineStr"/>
      <c r="H24" s="114" t="inlineStr">
        <is>
          <t>记-152</t>
        </is>
      </c>
      <c r="I24" s="114" t="inlineStr"/>
      <c r="J24" s="115" t="inlineStr"/>
      <c r="K24" s="115" t="inlineStr"/>
    </row>
    <row r="25" s="83">
      <c r="A25" s="111" t="inlineStr">
        <is>
          <t>4月</t>
        </is>
      </c>
      <c r="B25" s="114" t="n">
        <v>100202</v>
      </c>
      <c r="C25" s="114" t="inlineStr"/>
      <c r="D25" s="114" t="inlineStr">
        <is>
          <t>2025-04-09</t>
        </is>
      </c>
      <c r="E25" s="114" t="inlineStr">
        <is>
          <t>Q0501</t>
        </is>
      </c>
      <c r="F25" s="114" t="inlineStr"/>
      <c r="G25" s="114" t="inlineStr"/>
      <c r="H25" s="114" t="inlineStr">
        <is>
          <t>记-75</t>
        </is>
      </c>
      <c r="I25" s="114" t="inlineStr"/>
      <c r="J25" s="115" t="inlineStr"/>
      <c r="K25" s="115" t="inlineStr"/>
    </row>
    <row r="26" s="83">
      <c r="A26" s="111" t="inlineStr">
        <is>
          <t>4月</t>
        </is>
      </c>
      <c r="B26" s="112" t="n">
        <v>100202</v>
      </c>
      <c r="C26" s="112" t="inlineStr"/>
      <c r="D26" s="112" t="inlineStr">
        <is>
          <t>2025-04-09</t>
        </is>
      </c>
      <c r="E26" s="112" t="inlineStr">
        <is>
          <t>Q0501</t>
        </is>
      </c>
      <c r="F26" s="112" t="inlineStr"/>
      <c r="G26" s="112" t="inlineStr"/>
      <c r="H26" s="112" t="inlineStr">
        <is>
          <t>记-1</t>
        </is>
      </c>
      <c r="I26" s="112" t="inlineStr"/>
      <c r="J26" s="113" t="inlineStr"/>
      <c r="K26" s="115" t="inlineStr"/>
    </row>
    <row r="27" s="83">
      <c r="A27" s="111" t="inlineStr">
        <is>
          <t>4月</t>
        </is>
      </c>
      <c r="B27" s="114" t="n">
        <v>100202</v>
      </c>
      <c r="C27" s="114" t="inlineStr"/>
      <c r="D27" s="114" t="inlineStr">
        <is>
          <t>2025-04-09</t>
        </is>
      </c>
      <c r="E27" s="114" t="inlineStr">
        <is>
          <t>Q0701</t>
        </is>
      </c>
      <c r="F27" s="114" t="inlineStr"/>
      <c r="G27" s="114" t="inlineStr"/>
      <c r="H27" s="114" t="inlineStr">
        <is>
          <t>记-2</t>
        </is>
      </c>
      <c r="I27" s="114" t="inlineStr"/>
      <c r="J27" s="115" t="inlineStr"/>
      <c r="K27" s="115" t="inlineStr"/>
    </row>
    <row r="28" s="83">
      <c r="A28" s="111" t="inlineStr">
        <is>
          <t>4月</t>
        </is>
      </c>
      <c r="B28" s="112" t="n">
        <v>100202</v>
      </c>
      <c r="C28" s="112" t="inlineStr"/>
      <c r="D28" s="112" t="inlineStr">
        <is>
          <t>2025-04-09</t>
        </is>
      </c>
      <c r="E28" s="112" t="inlineStr">
        <is>
          <t>Q0501</t>
        </is>
      </c>
      <c r="F28" s="112" t="inlineStr"/>
      <c r="G28" s="112" t="inlineStr"/>
      <c r="H28" s="112" t="inlineStr">
        <is>
          <t>记-1</t>
        </is>
      </c>
      <c r="I28" s="112" t="inlineStr"/>
      <c r="J28" s="113" t="inlineStr"/>
      <c r="K28" s="115" t="inlineStr"/>
    </row>
    <row r="29" s="83">
      <c r="A29" s="111" t="inlineStr">
        <is>
          <t>4月</t>
        </is>
      </c>
      <c r="B29" s="112" t="n">
        <v>100202</v>
      </c>
      <c r="C29" s="112" t="inlineStr"/>
      <c r="D29" s="112" t="inlineStr">
        <is>
          <t>2025-04-09</t>
        </is>
      </c>
      <c r="E29" s="112" t="inlineStr">
        <is>
          <t>Q0701</t>
        </is>
      </c>
      <c r="F29" s="112" t="inlineStr"/>
      <c r="G29" s="112" t="inlineStr"/>
      <c r="H29" s="112" t="inlineStr">
        <is>
          <t>记-2</t>
        </is>
      </c>
      <c r="I29" s="112" t="inlineStr"/>
      <c r="J29" s="113" t="inlineStr"/>
      <c r="K29" s="115" t="inlineStr"/>
    </row>
    <row r="30" s="83">
      <c r="A30" s="111" t="inlineStr">
        <is>
          <t>5月</t>
        </is>
      </c>
      <c r="B30" s="112" t="n">
        <v>100202</v>
      </c>
      <c r="C30" s="112" t="inlineStr"/>
      <c r="D30" s="112" t="inlineStr">
        <is>
          <t>2025-05-13</t>
        </is>
      </c>
      <c r="E30" s="112" t="inlineStr">
        <is>
          <t>Q0501</t>
        </is>
      </c>
      <c r="F30" s="112" t="inlineStr"/>
      <c r="G30" s="112" t="inlineStr"/>
      <c r="H30" s="112" t="inlineStr">
        <is>
          <t>记-2</t>
        </is>
      </c>
      <c r="I30" s="112" t="inlineStr"/>
      <c r="J30" s="113" t="inlineStr"/>
      <c r="K30" s="115" t="inlineStr"/>
    </row>
    <row r="31" s="83">
      <c r="A31" s="111" t="inlineStr">
        <is>
          <t>5月</t>
        </is>
      </c>
      <c r="B31" s="112" t="n">
        <v>100202</v>
      </c>
      <c r="C31" s="112" t="inlineStr"/>
      <c r="D31" s="112" t="inlineStr">
        <is>
          <t>2025-05-26</t>
        </is>
      </c>
      <c r="E31" s="112" t="inlineStr">
        <is>
          <t>Q0501</t>
        </is>
      </c>
      <c r="F31" s="112" t="inlineStr"/>
      <c r="G31" s="112" t="inlineStr"/>
      <c r="H31" s="112" t="inlineStr">
        <is>
          <t>记-3</t>
        </is>
      </c>
      <c r="I31" s="112" t="inlineStr"/>
      <c r="J31" s="113" t="inlineStr"/>
      <c r="K31" s="115" t="inlineStr"/>
    </row>
    <row r="32" s="83">
      <c r="A32" s="111" t="inlineStr">
        <is>
          <t>5月</t>
        </is>
      </c>
      <c r="B32" s="112" t="n">
        <v>100202</v>
      </c>
      <c r="C32" s="112" t="inlineStr"/>
      <c r="D32" s="112" t="inlineStr">
        <is>
          <t>2025-05-13</t>
        </is>
      </c>
      <c r="E32" s="112" t="inlineStr">
        <is>
          <t>Q0701</t>
        </is>
      </c>
      <c r="F32" s="112" t="inlineStr"/>
      <c r="G32" s="112" t="inlineStr"/>
      <c r="H32" s="112" t="inlineStr">
        <is>
          <t>记-4</t>
        </is>
      </c>
      <c r="I32" s="112" t="inlineStr"/>
      <c r="J32" s="115" t="inlineStr"/>
      <c r="K32" s="113" t="inlineStr"/>
    </row>
    <row r="33" s="83">
      <c r="A33" s="111" t="inlineStr">
        <is>
          <t>5月</t>
        </is>
      </c>
      <c r="B33" s="114" t="n">
        <v>100202</v>
      </c>
      <c r="C33" s="114" t="inlineStr"/>
      <c r="D33" s="114" t="inlineStr">
        <is>
          <t>2025-05-26</t>
        </is>
      </c>
      <c r="E33" s="114" t="inlineStr">
        <is>
          <t>Q0701</t>
        </is>
      </c>
      <c r="F33" s="114" t="inlineStr"/>
      <c r="G33" s="114" t="inlineStr"/>
      <c r="H33" s="114" t="inlineStr">
        <is>
          <t>记-5</t>
        </is>
      </c>
      <c r="I33" s="114" t="inlineStr"/>
      <c r="J33" s="115" t="inlineStr"/>
      <c r="K33" s="115" t="inlineStr"/>
    </row>
    <row r="34" s="83">
      <c r="A34" s="111" t="inlineStr">
        <is>
          <t>5月</t>
        </is>
      </c>
      <c r="B34" s="112" t="n">
        <v>100202</v>
      </c>
      <c r="C34" s="112" t="inlineStr"/>
      <c r="D34" s="112" t="inlineStr">
        <is>
          <t>2025-05-26</t>
        </is>
      </c>
      <c r="E34" s="112" t="inlineStr">
        <is>
          <t>Q0701</t>
        </is>
      </c>
      <c r="F34" s="112" t="inlineStr"/>
      <c r="G34" s="112" t="inlineStr"/>
      <c r="H34" s="112" t="inlineStr">
        <is>
          <t>记-10</t>
        </is>
      </c>
      <c r="I34" s="112" t="inlineStr"/>
      <c r="J34" s="115" t="inlineStr"/>
      <c r="K34" s="113" t="inlineStr"/>
    </row>
    <row r="35" s="83">
      <c r="A35" s="111" t="inlineStr">
        <is>
          <t>5月</t>
        </is>
      </c>
      <c r="B35" s="112" t="n">
        <v>100202</v>
      </c>
      <c r="C35" s="112" t="inlineStr"/>
      <c r="D35" s="112" t="inlineStr">
        <is>
          <t>2025-05-13</t>
        </is>
      </c>
      <c r="E35" s="112" t="inlineStr">
        <is>
          <t>Q0601</t>
        </is>
      </c>
      <c r="F35" s="112" t="inlineStr"/>
      <c r="G35" s="112" t="inlineStr"/>
      <c r="H35" s="112" t="inlineStr">
        <is>
          <t>记-8</t>
        </is>
      </c>
      <c r="I35" s="112" t="inlineStr"/>
      <c r="J35" s="115" t="inlineStr"/>
      <c r="K35" s="113" t="inlineStr"/>
    </row>
    <row r="36" s="83">
      <c r="A36" s="111" t="inlineStr">
        <is>
          <t>5月</t>
        </is>
      </c>
      <c r="B36" s="114" t="n">
        <v>100202</v>
      </c>
      <c r="C36" s="114" t="inlineStr"/>
      <c r="D36" s="114" t="inlineStr">
        <is>
          <t>2025-05-09</t>
        </is>
      </c>
      <c r="E36" s="114" t="inlineStr">
        <is>
          <t>Q0601</t>
        </is>
      </c>
      <c r="F36" s="114" t="inlineStr"/>
      <c r="G36" s="114" t="inlineStr"/>
      <c r="H36" s="114" t="inlineStr">
        <is>
          <t>记-5</t>
        </is>
      </c>
      <c r="I36" s="114" t="inlineStr"/>
      <c r="J36" s="115" t="inlineStr"/>
      <c r="K36" s="115" t="inlineStr"/>
    </row>
    <row r="37" s="83">
      <c r="A37" s="111" t="inlineStr">
        <is>
          <t>5月</t>
        </is>
      </c>
      <c r="B37" s="112" t="n">
        <v>100202</v>
      </c>
      <c r="C37" s="112" t="inlineStr"/>
      <c r="D37" s="112" t="inlineStr">
        <is>
          <t>2025-05-26</t>
        </is>
      </c>
      <c r="E37" s="112" t="inlineStr">
        <is>
          <t>Q0701</t>
        </is>
      </c>
      <c r="F37" s="112" t="inlineStr"/>
      <c r="G37" s="112" t="inlineStr"/>
      <c r="H37" s="112" t="inlineStr">
        <is>
          <t>记-7</t>
        </is>
      </c>
      <c r="I37" s="112" t="inlineStr"/>
      <c r="J37" s="115" t="inlineStr"/>
      <c r="K37" s="113" t="inlineStr"/>
    </row>
    <row r="38" s="83">
      <c r="A38" s="111" t="inlineStr">
        <is>
          <t>5月</t>
        </is>
      </c>
      <c r="B38" s="112" t="n">
        <v>100202</v>
      </c>
      <c r="C38" s="112" t="inlineStr"/>
      <c r="D38" s="112" t="inlineStr">
        <is>
          <t>2025-05-09</t>
        </is>
      </c>
      <c r="E38" s="112" t="inlineStr">
        <is>
          <t>Q0401</t>
        </is>
      </c>
      <c r="F38" s="112" t="inlineStr"/>
      <c r="G38" s="112" t="inlineStr"/>
      <c r="H38" s="112" t="inlineStr">
        <is>
          <t>记-5</t>
        </is>
      </c>
      <c r="I38" s="112" t="inlineStr"/>
      <c r="J38" s="115" t="inlineStr"/>
      <c r="K38" s="113" t="inlineStr"/>
    </row>
    <row r="39" s="83">
      <c r="A39" s="111" t="inlineStr">
        <is>
          <t>5月</t>
        </is>
      </c>
      <c r="B39" s="114" t="n">
        <v>100202</v>
      </c>
      <c r="C39" s="114" t="inlineStr"/>
      <c r="D39" s="114" t="inlineStr">
        <is>
          <t>2025-05-13</t>
        </is>
      </c>
      <c r="E39" s="114" t="inlineStr">
        <is>
          <t>Q0701</t>
        </is>
      </c>
      <c r="F39" s="114" t="inlineStr"/>
      <c r="G39" s="114" t="inlineStr"/>
      <c r="H39" s="114" t="inlineStr">
        <is>
          <t>记-5</t>
        </is>
      </c>
      <c r="I39" s="114" t="inlineStr"/>
      <c r="J39" s="115" t="inlineStr"/>
      <c r="K39" s="115" t="inlineStr"/>
    </row>
    <row r="40" s="83">
      <c r="A40" s="111" t="inlineStr">
        <is>
          <t>5月</t>
        </is>
      </c>
      <c r="B40" s="112" t="n">
        <v>100202</v>
      </c>
      <c r="C40" s="112" t="inlineStr"/>
      <c r="D40" s="112" t="inlineStr">
        <is>
          <t>2025-05-13</t>
        </is>
      </c>
      <c r="E40" s="112" t="inlineStr">
        <is>
          <t>Q0701</t>
        </is>
      </c>
      <c r="F40" s="112" t="inlineStr"/>
      <c r="G40" s="112" t="inlineStr"/>
      <c r="H40" s="112" t="inlineStr">
        <is>
          <t>记-6</t>
        </is>
      </c>
      <c r="I40" s="112" t="inlineStr"/>
      <c r="J40" s="113" t="inlineStr"/>
      <c r="K40" s="115" t="inlineStr"/>
    </row>
    <row r="41" s="83">
      <c r="A41" s="111" t="inlineStr">
        <is>
          <t>5月</t>
        </is>
      </c>
      <c r="B41" s="112" t="n">
        <v>100202</v>
      </c>
      <c r="C41" s="112" t="inlineStr"/>
      <c r="D41" s="112" t="inlineStr">
        <is>
          <t>2025-05-26</t>
        </is>
      </c>
      <c r="E41" s="112" t="inlineStr">
        <is>
          <t>Q0501</t>
        </is>
      </c>
      <c r="F41" s="112" t="inlineStr"/>
      <c r="G41" s="112" t="inlineStr"/>
      <c r="H41" s="112" t="inlineStr">
        <is>
          <t>记-8</t>
        </is>
      </c>
      <c r="I41" s="112" t="inlineStr"/>
      <c r="J41" s="113" t="inlineStr"/>
      <c r="K41" s="115" t="inlineStr"/>
    </row>
    <row r="42" s="83">
      <c r="A42" s="111" t="inlineStr">
        <is>
          <t>5月</t>
        </is>
      </c>
      <c r="B42" s="114" t="n">
        <v>100201</v>
      </c>
      <c r="C42" s="114" t="inlineStr"/>
      <c r="D42" s="114" t="inlineStr">
        <is>
          <t>2025-05-23</t>
        </is>
      </c>
      <c r="E42" s="114" t="inlineStr">
        <is>
          <t>Q0601</t>
        </is>
      </c>
      <c r="F42" s="114" t="inlineStr"/>
      <c r="G42" s="114" t="inlineStr"/>
      <c r="H42" s="114" t="inlineStr">
        <is>
          <t>记-38</t>
        </is>
      </c>
      <c r="I42" s="114" t="inlineStr"/>
      <c r="J42" s="115" t="inlineStr"/>
      <c r="K42" s="115" t="inlineStr"/>
    </row>
    <row r="43" s="83">
      <c r="A43" s="111" t="inlineStr">
        <is>
          <t>5月</t>
        </is>
      </c>
      <c r="B43" s="112" t="n">
        <v>100202</v>
      </c>
      <c r="C43" s="112" t="inlineStr"/>
      <c r="D43" s="112" t="inlineStr">
        <is>
          <t>2025-05-09</t>
        </is>
      </c>
      <c r="E43" s="112" t="inlineStr">
        <is>
          <t>Q0601</t>
        </is>
      </c>
      <c r="F43" s="112" t="inlineStr"/>
      <c r="G43" s="112" t="inlineStr"/>
      <c r="H43" s="112" t="inlineStr">
        <is>
          <t>记-3</t>
        </is>
      </c>
      <c r="I43" s="112" t="inlineStr"/>
      <c r="J43" s="115" t="inlineStr"/>
      <c r="K43" s="113" t="inlineStr"/>
    </row>
    <row r="44" s="83">
      <c r="A44" s="111" t="inlineStr">
        <is>
          <t>5月</t>
        </is>
      </c>
      <c r="B44" s="114" t="n">
        <v>100201</v>
      </c>
      <c r="C44" s="114" t="inlineStr"/>
      <c r="D44" s="114" t="inlineStr">
        <is>
          <t>2025-05-23</t>
        </is>
      </c>
      <c r="E44" s="114" t="inlineStr">
        <is>
          <t>Q0401</t>
        </is>
      </c>
      <c r="F44" s="114" t="inlineStr"/>
      <c r="G44" s="114" t="inlineStr"/>
      <c r="H44" s="114" t="inlineStr">
        <is>
          <t>记-168</t>
        </is>
      </c>
      <c r="I44" s="114" t="inlineStr"/>
      <c r="J44" s="115" t="inlineStr"/>
      <c r="K44" s="115" t="inlineStr"/>
    </row>
    <row r="45" s="83">
      <c r="A45" s="111" t="inlineStr">
        <is>
          <t>5月</t>
        </is>
      </c>
      <c r="B45" s="114" t="n">
        <v>100202</v>
      </c>
      <c r="C45" s="114" t="inlineStr"/>
      <c r="D45" s="114" t="inlineStr">
        <is>
          <t>2025-05-13</t>
        </is>
      </c>
      <c r="E45" s="114" t="inlineStr">
        <is>
          <t>Q0501</t>
        </is>
      </c>
      <c r="F45" s="114" t="inlineStr"/>
      <c r="G45" s="114" t="inlineStr"/>
      <c r="H45" s="114" t="inlineStr">
        <is>
          <t>记-67</t>
        </is>
      </c>
      <c r="I45" s="114" t="inlineStr"/>
      <c r="J45" s="115" t="inlineStr"/>
      <c r="K45" s="115" t="inlineStr"/>
    </row>
    <row r="46" s="83">
      <c r="A46" s="111" t="inlineStr">
        <is>
          <t>5月</t>
        </is>
      </c>
      <c r="B46" s="112" t="n">
        <v>101203</v>
      </c>
      <c r="C46" s="112" t="inlineStr"/>
      <c r="D46" s="112" t="inlineStr">
        <is>
          <t>2025-05-31</t>
        </is>
      </c>
      <c r="E46" s="112" t="inlineStr">
        <is>
          <t>Q0601</t>
        </is>
      </c>
      <c r="F46" s="112" t="inlineStr"/>
      <c r="G46" s="112" t="inlineStr"/>
      <c r="H46" s="112" t="inlineStr">
        <is>
          <t>记-45</t>
        </is>
      </c>
      <c r="I46" s="112" t="inlineStr"/>
      <c r="J46" s="113" t="inlineStr"/>
      <c r="K46" s="115" t="inlineStr"/>
    </row>
    <row r="47" s="83">
      <c r="A47" s="111" t="inlineStr">
        <is>
          <t>5月</t>
        </is>
      </c>
      <c r="B47" s="112" t="n">
        <v>101203</v>
      </c>
      <c r="C47" s="112" t="inlineStr"/>
      <c r="D47" s="112" t="inlineStr">
        <is>
          <t>2025-05-31</t>
        </is>
      </c>
      <c r="E47" s="112" t="inlineStr">
        <is>
          <t>Q0401</t>
        </is>
      </c>
      <c r="F47" s="112" t="inlineStr"/>
      <c r="G47" s="112" t="inlineStr"/>
      <c r="H47" s="112" t="inlineStr">
        <is>
          <t>记-244</t>
        </is>
      </c>
      <c r="I47" s="112" t="inlineStr"/>
      <c r="J47" s="115" t="inlineStr"/>
      <c r="K47" s="113" t="inlineStr"/>
    </row>
    <row r="48" s="83">
      <c r="A48" s="111" t="inlineStr">
        <is>
          <t>5月</t>
        </is>
      </c>
      <c r="B48" s="112" t="n">
        <v>100202</v>
      </c>
      <c r="C48" s="112" t="inlineStr"/>
      <c r="D48" s="112" t="inlineStr">
        <is>
          <t>2025-05-09</t>
        </is>
      </c>
      <c r="E48" s="116" t="inlineStr">
        <is>
          <t>Q0401</t>
        </is>
      </c>
      <c r="F48" s="116" t="inlineStr"/>
      <c r="G48" s="112" t="inlineStr"/>
      <c r="H48" s="112" t="inlineStr">
        <is>
          <t>记-3</t>
        </is>
      </c>
      <c r="I48" s="112" t="inlineStr"/>
      <c r="J48" s="113" t="inlineStr"/>
      <c r="K48" s="115" t="inlineStr"/>
    </row>
    <row r="49" s="83">
      <c r="A49" s="111" t="inlineStr">
        <is>
          <t>5月</t>
        </is>
      </c>
      <c r="B49" s="112" t="n">
        <v>100202</v>
      </c>
      <c r="C49" s="112" t="inlineStr"/>
      <c r="D49" s="112" t="inlineStr">
        <is>
          <t>2025-05-13</t>
        </is>
      </c>
      <c r="E49" s="112" t="inlineStr">
        <is>
          <t>Q0401</t>
        </is>
      </c>
      <c r="F49" s="112" t="inlineStr"/>
      <c r="G49" s="112" t="inlineStr"/>
      <c r="H49" s="112" t="inlineStr">
        <is>
          <t>记-6</t>
        </is>
      </c>
      <c r="I49" s="112" t="inlineStr"/>
      <c r="J49" s="113" t="inlineStr"/>
      <c r="K49" s="115" t="inlineStr"/>
    </row>
    <row r="50" s="83">
      <c r="A50" s="111" t="inlineStr">
        <is>
          <t>5月</t>
        </is>
      </c>
      <c r="B50" s="112" t="n">
        <v>100202</v>
      </c>
      <c r="C50" s="112" t="inlineStr"/>
      <c r="D50" s="112" t="inlineStr">
        <is>
          <t>2025-05-13</t>
        </is>
      </c>
      <c r="E50" s="112" t="inlineStr">
        <is>
          <t>Q0501</t>
        </is>
      </c>
      <c r="F50" s="112" t="inlineStr"/>
      <c r="G50" s="112" t="inlineStr"/>
      <c r="H50" s="112" t="inlineStr">
        <is>
          <t>记-4</t>
        </is>
      </c>
      <c r="I50" s="112" t="inlineStr"/>
      <c r="J50" s="113" t="inlineStr"/>
      <c r="K50" s="115" t="inlineStr"/>
    </row>
    <row r="51" s="83">
      <c r="A51" s="111" t="inlineStr">
        <is>
          <t>5月</t>
        </is>
      </c>
      <c r="B51" s="114" t="n">
        <v>100202</v>
      </c>
      <c r="C51" s="114" t="inlineStr"/>
      <c r="D51" s="114" t="inlineStr">
        <is>
          <t>2025-05-26</t>
        </is>
      </c>
      <c r="E51" s="114" t="inlineStr">
        <is>
          <t>Q0501</t>
        </is>
      </c>
      <c r="F51" s="114" t="inlineStr"/>
      <c r="G51" s="114" t="inlineStr"/>
      <c r="H51" s="114" t="inlineStr">
        <is>
          <t>记-192</t>
        </is>
      </c>
      <c r="I51" s="114" t="inlineStr"/>
      <c r="J51" s="115" t="inlineStr"/>
      <c r="K51" s="115" t="inlineStr"/>
    </row>
    <row r="52" s="83">
      <c r="A52" s="111" t="inlineStr">
        <is>
          <t>6月</t>
        </is>
      </c>
      <c r="B52" s="112" t="n">
        <v>100201</v>
      </c>
      <c r="C52" s="112" t="inlineStr"/>
      <c r="D52" s="112" t="inlineStr">
        <is>
          <t>2025-06-30</t>
        </is>
      </c>
      <c r="E52" s="112" t="inlineStr">
        <is>
          <t>Q2806</t>
        </is>
      </c>
      <c r="F52" s="112" t="inlineStr"/>
      <c r="G52" s="112" t="inlineStr"/>
      <c r="H52" s="112" t="inlineStr">
        <is>
          <t>记-18</t>
        </is>
      </c>
      <c r="I52" s="112" t="inlineStr"/>
      <c r="J52" s="113" t="inlineStr"/>
      <c r="K52" s="113" t="inlineStr"/>
    </row>
    <row r="53" s="83">
      <c r="A53" s="111" t="inlineStr">
        <is>
          <t>6月</t>
        </is>
      </c>
      <c r="B53" s="114" t="n">
        <v>100202</v>
      </c>
      <c r="C53" s="114" t="inlineStr"/>
      <c r="D53" s="114" t="inlineStr">
        <is>
          <t>2025-06-19</t>
        </is>
      </c>
      <c r="E53" s="114" t="inlineStr">
        <is>
          <t>Q0501</t>
        </is>
      </c>
      <c r="F53" s="114" t="inlineStr"/>
      <c r="G53" s="114" t="inlineStr"/>
      <c r="H53" s="114" t="inlineStr">
        <is>
          <t>记-5</t>
        </is>
      </c>
      <c r="I53" s="114" t="inlineStr"/>
      <c r="J53" s="113" t="inlineStr"/>
      <c r="K53" s="115" t="inlineStr"/>
    </row>
    <row r="54" s="83">
      <c r="A54" s="111" t="inlineStr">
        <is>
          <t>6月</t>
        </is>
      </c>
      <c r="B54" s="112" t="n">
        <v>100202</v>
      </c>
      <c r="C54" s="112" t="inlineStr"/>
      <c r="D54" s="112" t="inlineStr">
        <is>
          <t>2025-06-12</t>
        </is>
      </c>
      <c r="E54" s="112" t="inlineStr">
        <is>
          <t>Q0701</t>
        </is>
      </c>
      <c r="F54" s="112" t="inlineStr"/>
      <c r="G54" s="112" t="inlineStr"/>
      <c r="H54" s="112" t="inlineStr">
        <is>
          <t>记-6</t>
        </is>
      </c>
      <c r="I54" s="112" t="inlineStr"/>
      <c r="J54" s="113" t="inlineStr"/>
      <c r="K54" s="113" t="inlineStr"/>
    </row>
    <row r="55" s="83">
      <c r="A55" s="111" t="inlineStr">
        <is>
          <t>6月</t>
        </is>
      </c>
      <c r="B55" s="114" t="n">
        <v>100201</v>
      </c>
      <c r="C55" s="114" t="inlineStr"/>
      <c r="D55" s="114" t="inlineStr">
        <is>
          <t>2025-06-30</t>
        </is>
      </c>
      <c r="E55" s="114" t="inlineStr">
        <is>
          <t>Q2806</t>
        </is>
      </c>
      <c r="F55" s="114" t="inlineStr"/>
      <c r="G55" s="114" t="inlineStr"/>
      <c r="H55" s="114" t="inlineStr">
        <is>
          <t>记-14</t>
        </is>
      </c>
      <c r="I55" s="114" t="inlineStr"/>
      <c r="J55" s="113" t="inlineStr"/>
      <c r="K55" s="115" t="inlineStr"/>
    </row>
    <row r="56" s="83">
      <c r="A56" s="111" t="inlineStr">
        <is>
          <t>6月</t>
        </is>
      </c>
      <c r="B56" s="114" t="n">
        <v>100201</v>
      </c>
      <c r="C56" s="114" t="inlineStr"/>
      <c r="D56" s="114" t="inlineStr">
        <is>
          <t>2025-06-30</t>
        </is>
      </c>
      <c r="E56" s="114" t="inlineStr">
        <is>
          <t>Q2806</t>
        </is>
      </c>
      <c r="F56" s="114" t="inlineStr"/>
      <c r="G56" s="114" t="inlineStr"/>
      <c r="H56" s="114" t="inlineStr">
        <is>
          <t>记-17</t>
        </is>
      </c>
      <c r="I56" s="114" t="inlineStr"/>
      <c r="J56" s="113" t="inlineStr"/>
      <c r="K56" s="115" t="inlineStr"/>
    </row>
    <row r="57" s="83">
      <c r="A57" s="111" t="inlineStr">
        <is>
          <t>6月</t>
        </is>
      </c>
      <c r="B57" s="114" t="n">
        <v>100201</v>
      </c>
      <c r="C57" s="114" t="inlineStr"/>
      <c r="D57" s="114" t="inlineStr">
        <is>
          <t>2025-06-30</t>
        </is>
      </c>
      <c r="E57" s="114" t="inlineStr">
        <is>
          <t>Q0102</t>
        </is>
      </c>
      <c r="F57" s="114" t="inlineStr"/>
      <c r="G57" s="114" t="inlineStr"/>
      <c r="H57" s="114" t="inlineStr">
        <is>
          <t>记-30</t>
        </is>
      </c>
      <c r="I57" s="114" t="inlineStr"/>
      <c r="J57" s="115" t="inlineStr"/>
      <c r="K57" s="113" t="inlineStr"/>
    </row>
    <row r="58" s="83">
      <c r="A58" s="111" t="inlineStr">
        <is>
          <t>6月</t>
        </is>
      </c>
      <c r="B58" s="112" t="n">
        <v>100201</v>
      </c>
      <c r="C58" s="112" t="inlineStr"/>
      <c r="D58" s="112" t="inlineStr">
        <is>
          <t>2025-06-30</t>
        </is>
      </c>
      <c r="E58" s="112" t="inlineStr">
        <is>
          <t>Q0101</t>
        </is>
      </c>
      <c r="F58" s="112" t="inlineStr"/>
      <c r="G58" s="112" t="inlineStr"/>
      <c r="H58" s="112" t="inlineStr">
        <is>
          <t>记-28</t>
        </is>
      </c>
      <c r="I58" s="112" t="inlineStr"/>
      <c r="J58" s="113" t="inlineStr"/>
      <c r="K58" s="113" t="inlineStr"/>
    </row>
    <row r="59" s="83">
      <c r="A59" s="111" t="inlineStr">
        <is>
          <t>6月</t>
        </is>
      </c>
      <c r="B59" s="114" t="n">
        <v>100201</v>
      </c>
      <c r="C59" s="114" t="inlineStr"/>
      <c r="D59" s="114" t="inlineStr">
        <is>
          <t>2025-06-30</t>
        </is>
      </c>
      <c r="E59" s="114" t="inlineStr">
        <is>
          <t>Q0102</t>
        </is>
      </c>
      <c r="F59" s="114" t="inlineStr"/>
      <c r="G59" s="114" t="inlineStr"/>
      <c r="H59" s="114" t="inlineStr">
        <is>
          <t>记-228</t>
        </is>
      </c>
      <c r="I59" s="114" t="inlineStr"/>
      <c r="J59" s="115" t="inlineStr"/>
      <c r="K59" s="113" t="inlineStr"/>
    </row>
    <row r="60" s="83">
      <c r="A60" s="111" t="inlineStr">
        <is>
          <t>6月</t>
        </is>
      </c>
      <c r="B60" s="112" t="n">
        <v>100201</v>
      </c>
      <c r="C60" s="112" t="inlineStr"/>
      <c r="D60" s="112" t="inlineStr">
        <is>
          <t>2025-06-30</t>
        </is>
      </c>
      <c r="E60" s="112" t="inlineStr">
        <is>
          <t>Q0901</t>
        </is>
      </c>
      <c r="F60" s="112" t="inlineStr"/>
      <c r="G60" s="112" t="inlineStr"/>
      <c r="H60" s="112" t="inlineStr">
        <is>
          <t>记-12</t>
        </is>
      </c>
      <c r="I60" s="112" t="inlineStr"/>
      <c r="J60" s="113" t="inlineStr"/>
      <c r="K60" s="113" t="inlineStr"/>
    </row>
    <row r="61" s="83">
      <c r="A61" s="111" t="inlineStr">
        <is>
          <t>6月</t>
        </is>
      </c>
      <c r="B61" s="114" t="n">
        <v>100201</v>
      </c>
      <c r="C61" s="114" t="inlineStr"/>
      <c r="D61" s="114" t="inlineStr">
        <is>
          <t>2025-06-30</t>
        </is>
      </c>
      <c r="E61" s="114" t="inlineStr">
        <is>
          <t>Q0101</t>
        </is>
      </c>
      <c r="F61" s="114" t="inlineStr"/>
      <c r="G61" s="114" t="inlineStr"/>
      <c r="H61" s="114" t="inlineStr">
        <is>
          <t>记-27</t>
        </is>
      </c>
      <c r="I61" s="114" t="inlineStr"/>
      <c r="J61" s="115" t="inlineStr"/>
      <c r="K61" s="113" t="inlineStr"/>
    </row>
    <row r="62" s="83">
      <c r="A62" s="111" t="inlineStr">
        <is>
          <t>6月</t>
        </is>
      </c>
      <c r="B62" s="112" t="n">
        <v>100202</v>
      </c>
      <c r="C62" s="112" t="inlineStr"/>
      <c r="D62" s="112" t="inlineStr">
        <is>
          <t>2025-06-30</t>
        </is>
      </c>
      <c r="E62" s="112" t="inlineStr">
        <is>
          <t>Q0701</t>
        </is>
      </c>
      <c r="F62" s="112" t="inlineStr"/>
      <c r="G62" s="112" t="inlineStr"/>
      <c r="H62" s="112" t="inlineStr">
        <is>
          <t>记-3</t>
        </is>
      </c>
      <c r="I62" s="112" t="inlineStr"/>
      <c r="J62" s="113" t="inlineStr"/>
      <c r="K62" s="113" t="inlineStr"/>
    </row>
    <row r="63" s="83">
      <c r="A63" s="111" t="inlineStr">
        <is>
          <t>6月</t>
        </is>
      </c>
      <c r="B63" s="114" t="n">
        <v>100201</v>
      </c>
      <c r="C63" s="114" t="inlineStr"/>
      <c r="D63" s="114" t="inlineStr">
        <is>
          <t>2025-06-30</t>
        </is>
      </c>
      <c r="E63" s="114" t="inlineStr">
        <is>
          <t>Q0901</t>
        </is>
      </c>
      <c r="F63" s="114" t="inlineStr"/>
      <c r="G63" s="114" t="inlineStr"/>
      <c r="H63" s="114" t="inlineStr">
        <is>
          <t>记-232</t>
        </is>
      </c>
      <c r="I63" s="114" t="inlineStr"/>
      <c r="J63" s="115" t="inlineStr"/>
      <c r="K63" s="113" t="inlineStr"/>
    </row>
    <row r="64" s="83">
      <c r="A64" s="111" t="inlineStr">
        <is>
          <t>6月</t>
        </is>
      </c>
      <c r="B64" s="112" t="n">
        <v>100201</v>
      </c>
      <c r="C64" s="112" t="inlineStr"/>
      <c r="D64" s="112" t="inlineStr">
        <is>
          <t>2025-06-30</t>
        </is>
      </c>
      <c r="E64" s="112" t="inlineStr">
        <is>
          <t>Q1102</t>
        </is>
      </c>
      <c r="F64" s="112" t="inlineStr"/>
      <c r="G64" s="112" t="inlineStr"/>
      <c r="H64" s="112" t="inlineStr">
        <is>
          <t>记-232</t>
        </is>
      </c>
      <c r="I64" s="112" t="inlineStr"/>
      <c r="J64" s="113" t="inlineStr"/>
      <c r="K64" s="113" t="inlineStr"/>
    </row>
    <row r="65" s="83">
      <c r="A65" s="111" t="inlineStr">
        <is>
          <t>6月</t>
        </is>
      </c>
      <c r="B65" s="112" t="n">
        <v>100201</v>
      </c>
      <c r="C65" s="112" t="inlineStr"/>
      <c r="D65" s="112" t="inlineStr">
        <is>
          <t>2025-06-30</t>
        </is>
      </c>
      <c r="E65" s="112" t="inlineStr">
        <is>
          <t>Q0102</t>
        </is>
      </c>
      <c r="F65" s="112" t="inlineStr"/>
      <c r="G65" s="112" t="inlineStr"/>
      <c r="H65" s="112" t="inlineStr">
        <is>
          <t>记-227</t>
        </is>
      </c>
      <c r="I65" s="112" t="inlineStr"/>
      <c r="J65" s="113" t="inlineStr"/>
      <c r="K65" s="113" t="inlineStr"/>
    </row>
    <row r="66" s="83">
      <c r="A66" s="111" t="inlineStr">
        <is>
          <t>6月</t>
        </is>
      </c>
      <c r="B66" s="114" t="n">
        <v>100202</v>
      </c>
      <c r="C66" s="114" t="inlineStr"/>
      <c r="D66" s="114" t="inlineStr">
        <is>
          <t>2025-06-19</t>
        </is>
      </c>
      <c r="E66" s="114" t="inlineStr">
        <is>
          <t>Q0701</t>
        </is>
      </c>
      <c r="F66" s="114" t="inlineStr"/>
      <c r="G66" s="114" t="inlineStr"/>
      <c r="H66" s="114" t="inlineStr">
        <is>
          <t>记-6</t>
        </is>
      </c>
      <c r="I66" s="114" t="inlineStr"/>
      <c r="J66" s="113" t="inlineStr"/>
      <c r="K66" s="115" t="inlineStr"/>
    </row>
    <row r="67" s="83">
      <c r="A67" s="111" t="inlineStr">
        <is>
          <t>6月</t>
        </is>
      </c>
      <c r="B67" s="114" t="n">
        <v>100202</v>
      </c>
      <c r="C67" s="114" t="inlineStr"/>
      <c r="D67" s="114" t="inlineStr">
        <is>
          <t>2025-06-12</t>
        </is>
      </c>
      <c r="E67" s="114" t="inlineStr">
        <is>
          <t>Q0501</t>
        </is>
      </c>
      <c r="F67" s="114" t="inlineStr"/>
      <c r="G67" s="114" t="inlineStr"/>
      <c r="H67" s="114" t="inlineStr">
        <is>
          <t>记-4</t>
        </is>
      </c>
      <c r="I67" s="114" t="inlineStr"/>
      <c r="J67" s="115" t="inlineStr"/>
      <c r="K67" s="113" t="inlineStr"/>
    </row>
    <row r="68" s="83">
      <c r="A68" s="111" t="inlineStr">
        <is>
          <t>6月</t>
        </is>
      </c>
      <c r="B68" s="112" t="n">
        <v>100202</v>
      </c>
      <c r="C68" s="112" t="inlineStr"/>
      <c r="D68" s="112" t="inlineStr">
        <is>
          <t>2025-06-12</t>
        </is>
      </c>
      <c r="E68" s="112" t="inlineStr">
        <is>
          <t>Q0501</t>
        </is>
      </c>
      <c r="F68" s="112" t="inlineStr"/>
      <c r="G68" s="112" t="inlineStr"/>
      <c r="H68" s="112" t="inlineStr">
        <is>
          <t>记-4</t>
        </is>
      </c>
      <c r="I68" s="112" t="inlineStr"/>
      <c r="J68" s="113" t="inlineStr"/>
      <c r="K68" s="113" t="inlineStr"/>
    </row>
    <row r="69" s="83">
      <c r="A69" s="111" t="inlineStr">
        <is>
          <t>6月</t>
        </is>
      </c>
      <c r="B69" s="112" t="n">
        <v>100202</v>
      </c>
      <c r="C69" s="112" t="inlineStr"/>
      <c r="D69" s="112" t="inlineStr">
        <is>
          <t>2025-06-20</t>
        </is>
      </c>
      <c r="E69" s="112" t="inlineStr">
        <is>
          <t>Q0501</t>
        </is>
      </c>
      <c r="F69" s="112" t="inlineStr"/>
      <c r="G69" s="112" t="inlineStr"/>
      <c r="H69" s="112" t="inlineStr">
        <is>
          <t>记-5</t>
        </is>
      </c>
      <c r="I69" s="112" t="inlineStr"/>
      <c r="J69" s="113" t="inlineStr"/>
      <c r="K69" s="113" t="inlineStr"/>
    </row>
    <row r="70" s="83">
      <c r="A70" s="111" t="inlineStr">
        <is>
          <t>6月</t>
        </is>
      </c>
      <c r="B70" s="114" t="n">
        <v>100201</v>
      </c>
      <c r="C70" s="114" t="inlineStr"/>
      <c r="D70" s="114" t="inlineStr">
        <is>
          <t>2025-06-30</t>
        </is>
      </c>
      <c r="E70" s="114" t="inlineStr">
        <is>
          <t>Q1001</t>
        </is>
      </c>
      <c r="F70" s="114" t="inlineStr"/>
      <c r="G70" s="114" t="inlineStr"/>
      <c r="H70" s="114" t="inlineStr">
        <is>
          <t>记-13</t>
        </is>
      </c>
      <c r="I70" s="114" t="inlineStr"/>
      <c r="J70" s="113" t="inlineStr"/>
      <c r="K70" s="115" t="inlineStr"/>
    </row>
    <row r="71" s="83">
      <c r="A71" s="111" t="inlineStr">
        <is>
          <t>6月</t>
        </is>
      </c>
      <c r="B71" s="112" t="n">
        <v>100201</v>
      </c>
      <c r="C71" s="112" t="inlineStr"/>
      <c r="D71" s="112" t="inlineStr">
        <is>
          <t>2025-06-30</t>
        </is>
      </c>
      <c r="E71" s="112" t="inlineStr">
        <is>
          <t>Q0401</t>
        </is>
      </c>
      <c r="F71" s="112" t="inlineStr"/>
      <c r="G71" s="112" t="inlineStr"/>
      <c r="H71" s="112" t="inlineStr">
        <is>
          <t>记-16</t>
        </is>
      </c>
      <c r="I71" s="112" t="inlineStr"/>
      <c r="J71" s="113" t="inlineStr"/>
      <c r="K71" s="113" t="inlineStr"/>
    </row>
    <row r="72" s="83">
      <c r="A72" s="111" t="inlineStr">
        <is>
          <t>6月</t>
        </is>
      </c>
      <c r="B72" s="111" t="n">
        <v>100201</v>
      </c>
      <c r="C72" s="111" t="inlineStr"/>
      <c r="D72" s="111" t="inlineStr">
        <is>
          <t>2025-06-10</t>
        </is>
      </c>
      <c r="E72" s="111" t="inlineStr">
        <is>
          <t>Q0401</t>
        </is>
      </c>
      <c r="F72" s="111" t="inlineStr"/>
      <c r="G72" s="111" t="inlineStr"/>
      <c r="H72" s="117" t="inlineStr">
        <is>
          <t>记-6</t>
        </is>
      </c>
      <c r="I72" s="111" t="inlineStr"/>
      <c r="J72" s="118" t="inlineStr"/>
      <c r="K72" s="113" t="inlineStr"/>
    </row>
    <row r="73" s="83">
      <c r="A73" s="111" t="inlineStr">
        <is>
          <t>6月</t>
        </is>
      </c>
      <c r="B73" s="111" t="n">
        <v>100201</v>
      </c>
      <c r="C73" s="111" t="inlineStr"/>
      <c r="D73" s="111" t="inlineStr">
        <is>
          <t>2025-06-30</t>
        </is>
      </c>
      <c r="E73" s="111" t="inlineStr">
        <is>
          <t>Q0401</t>
        </is>
      </c>
      <c r="F73" s="111" t="inlineStr"/>
      <c r="G73" s="111" t="inlineStr"/>
      <c r="H73" s="117" t="inlineStr">
        <is>
          <t>记-31</t>
        </is>
      </c>
      <c r="I73" s="111" t="inlineStr"/>
      <c r="J73" s="118" t="inlineStr"/>
      <c r="K73" s="113" t="inlineStr"/>
    </row>
    <row r="74" s="83">
      <c r="A74" s="111" t="inlineStr">
        <is>
          <t>6月</t>
        </is>
      </c>
      <c r="B74" s="111" t="n">
        <v>100201</v>
      </c>
      <c r="C74" s="111" t="inlineStr"/>
      <c r="D74" s="111" t="inlineStr">
        <is>
          <t>2025-06-30</t>
        </is>
      </c>
      <c r="E74" s="111" t="inlineStr">
        <is>
          <t>Q0601</t>
        </is>
      </c>
      <c r="F74" s="111" t="inlineStr"/>
      <c r="G74" s="111" t="inlineStr"/>
      <c r="H74" s="117" t="inlineStr">
        <is>
          <t>记-29</t>
        </is>
      </c>
      <c r="I74" s="111" t="inlineStr"/>
      <c r="J74" s="118" t="inlineStr"/>
      <c r="K74" s="113" t="inlineStr"/>
    </row>
    <row r="75" s="83">
      <c r="A75" s="111" t="inlineStr">
        <is>
          <t>6月</t>
        </is>
      </c>
      <c r="B75" s="111" t="n">
        <v>100201</v>
      </c>
      <c r="C75" s="111" t="inlineStr"/>
      <c r="D75" s="111" t="inlineStr">
        <is>
          <t>2025-06-12</t>
        </is>
      </c>
      <c r="E75" s="111" t="inlineStr">
        <is>
          <t>Q0401</t>
        </is>
      </c>
      <c r="F75" s="111" t="inlineStr"/>
      <c r="G75" s="111" t="inlineStr"/>
      <c r="H75" s="117" t="inlineStr">
        <is>
          <t>记-9</t>
        </is>
      </c>
      <c r="I75" s="111" t="inlineStr"/>
      <c r="J75" s="113" t="inlineStr"/>
      <c r="K75" s="118" t="inlineStr"/>
    </row>
    <row r="76" s="83">
      <c r="A76" s="111" t="inlineStr">
        <is>
          <t>6月</t>
        </is>
      </c>
      <c r="B76" s="111" t="n">
        <v>100201</v>
      </c>
      <c r="C76" s="111" t="inlineStr"/>
      <c r="D76" s="111" t="inlineStr">
        <is>
          <t>2025-06-10</t>
        </is>
      </c>
      <c r="E76" s="111" t="inlineStr">
        <is>
          <t>Q0601</t>
        </is>
      </c>
      <c r="F76" s="111" t="inlineStr"/>
      <c r="G76" s="111" t="inlineStr"/>
      <c r="H76" s="117" t="inlineStr">
        <is>
          <t>记-52</t>
        </is>
      </c>
      <c r="I76" s="111" t="inlineStr"/>
      <c r="J76" s="113" t="inlineStr"/>
      <c r="K76" s="118" t="inlineStr"/>
    </row>
    <row r="77" s="83">
      <c r="A77" s="111" t="inlineStr">
        <is>
          <t>6月</t>
        </is>
      </c>
      <c r="B77" s="111" t="n">
        <v>100201</v>
      </c>
      <c r="C77" s="111" t="inlineStr"/>
      <c r="D77" s="111" t="inlineStr">
        <is>
          <t>2025-06-12</t>
        </is>
      </c>
      <c r="E77" s="111" t="inlineStr">
        <is>
          <t>Q0601</t>
        </is>
      </c>
      <c r="F77" s="111" t="inlineStr"/>
      <c r="G77" s="111" t="inlineStr"/>
      <c r="H77" s="117" t="inlineStr">
        <is>
          <t>记-74</t>
        </is>
      </c>
      <c r="I77" s="111" t="inlineStr"/>
      <c r="J77" s="113" t="inlineStr"/>
      <c r="K77" s="118" t="inlineStr"/>
    </row>
    <row r="78" s="83">
      <c r="A78" s="111" t="inlineStr">
        <is>
          <t>6月</t>
        </is>
      </c>
      <c r="B78" s="114" t="n">
        <v>100201</v>
      </c>
      <c r="C78" s="114" t="inlineStr"/>
      <c r="D78" s="114" t="inlineStr">
        <is>
          <t>2025-06-30</t>
        </is>
      </c>
      <c r="E78" s="114" t="inlineStr">
        <is>
          <t>Q0601</t>
        </is>
      </c>
      <c r="F78" s="114" t="inlineStr"/>
      <c r="G78" s="114" t="inlineStr"/>
      <c r="H78" s="114" t="inlineStr">
        <is>
          <t>记-229</t>
        </is>
      </c>
      <c r="I78" s="111" t="inlineStr"/>
      <c r="J78" s="118" t="inlineStr"/>
      <c r="K78" s="113" t="inlineStr"/>
    </row>
    <row r="79" s="83">
      <c r="A79" s="111" t="inlineStr">
        <is>
          <t>6月</t>
        </is>
      </c>
      <c r="B79" s="112" t="n">
        <v>100202</v>
      </c>
      <c r="C79" s="112" t="inlineStr"/>
      <c r="D79" s="112" t="inlineStr">
        <is>
          <t>2025-06-12</t>
        </is>
      </c>
      <c r="E79" s="112" t="inlineStr">
        <is>
          <t>Q0501</t>
        </is>
      </c>
      <c r="F79" s="112" t="inlineStr"/>
      <c r="G79" s="112" t="inlineStr"/>
      <c r="H79" s="112" t="inlineStr">
        <is>
          <t>记-85</t>
        </is>
      </c>
      <c r="I79" s="111" t="inlineStr"/>
      <c r="J79" s="113" t="inlineStr"/>
      <c r="K79" s="118" t="inlineStr"/>
    </row>
    <row r="80" s="83">
      <c r="A80" s="111" t="inlineStr">
        <is>
          <t>6月</t>
        </is>
      </c>
      <c r="B80" s="114" t="n">
        <v>100202</v>
      </c>
      <c r="C80" s="114" t="inlineStr"/>
      <c r="D80" s="114" t="inlineStr">
        <is>
          <t>2025-06-19</t>
        </is>
      </c>
      <c r="E80" s="114" t="inlineStr">
        <is>
          <t>Q0701</t>
        </is>
      </c>
      <c r="F80" s="114" t="inlineStr"/>
      <c r="G80" s="114" t="inlineStr"/>
      <c r="H80" s="114" t="inlineStr">
        <is>
          <t>记-8</t>
        </is>
      </c>
      <c r="I80" s="111" t="inlineStr"/>
      <c r="J80" s="113" t="inlineStr"/>
      <c r="K80" s="118" t="inlineStr"/>
    </row>
    <row r="81" s="83">
      <c r="A81" s="111" t="inlineStr">
        <is>
          <t>6月</t>
        </is>
      </c>
      <c r="B81" s="112" t="n">
        <v>100202</v>
      </c>
      <c r="C81" s="112" t="inlineStr"/>
      <c r="D81" s="112" t="inlineStr">
        <is>
          <t>2025-06-30</t>
        </is>
      </c>
      <c r="E81" s="112" t="inlineStr">
        <is>
          <t>Q0701</t>
        </is>
      </c>
      <c r="F81" s="112" t="inlineStr"/>
      <c r="G81" s="112" t="inlineStr"/>
      <c r="H81" s="112" t="inlineStr">
        <is>
          <t>记-9</t>
        </is>
      </c>
      <c r="I81" s="111" t="inlineStr"/>
      <c r="J81" s="118" t="inlineStr"/>
      <c r="K81" s="113" t="inlineStr"/>
    </row>
    <row r="82" s="83">
      <c r="A82" s="111" t="inlineStr">
        <is>
          <t>6月</t>
        </is>
      </c>
      <c r="B82" s="112" t="n">
        <v>100201</v>
      </c>
      <c r="C82" s="112" t="inlineStr"/>
      <c r="D82" s="112" t="inlineStr">
        <is>
          <t>2025-06-30</t>
        </is>
      </c>
      <c r="E82" s="112" t="inlineStr">
        <is>
          <t>Q0101</t>
        </is>
      </c>
      <c r="F82" s="112" t="inlineStr"/>
      <c r="G82" s="112" t="inlineStr"/>
      <c r="H82" s="112" t="inlineStr">
        <is>
          <t>记-153</t>
        </is>
      </c>
      <c r="I82" s="111" t="inlineStr"/>
      <c r="J82" s="118" t="inlineStr"/>
      <c r="K82" s="113" t="inlineStr"/>
    </row>
    <row r="83" s="83">
      <c r="A83" s="111" t="inlineStr">
        <is>
          <t>7月</t>
        </is>
      </c>
      <c r="B83" s="114" t="n">
        <v>100201</v>
      </c>
      <c r="C83" s="114" t="inlineStr"/>
      <c r="D83" s="114" t="inlineStr">
        <is>
          <t>2025-07-14</t>
        </is>
      </c>
      <c r="E83" s="114" t="inlineStr">
        <is>
          <t>Q0601</t>
        </is>
      </c>
      <c r="F83" s="114" t="inlineStr"/>
      <c r="G83" s="114" t="inlineStr"/>
      <c r="H83" s="114" t="inlineStr">
        <is>
          <t>记-117</t>
        </is>
      </c>
      <c r="I83" s="114" t="inlineStr"/>
      <c r="J83" s="115" t="inlineStr"/>
      <c r="K83" s="115" t="inlineStr"/>
    </row>
    <row r="84" s="83">
      <c r="A84" s="111" t="inlineStr">
        <is>
          <t>7月</t>
        </is>
      </c>
      <c r="B84" s="114" t="n">
        <v>100201</v>
      </c>
      <c r="C84" s="114" t="inlineStr"/>
      <c r="D84" s="114" t="inlineStr">
        <is>
          <t>2025-07-15</t>
        </is>
      </c>
      <c r="E84" s="114" t="inlineStr">
        <is>
          <t>Q0901</t>
        </is>
      </c>
      <c r="F84" s="114" t="inlineStr"/>
      <c r="G84" s="114" t="inlineStr"/>
      <c r="H84" s="114" t="inlineStr">
        <is>
          <t>记-130</t>
        </is>
      </c>
      <c r="I84" s="114" t="inlineStr"/>
      <c r="J84" s="115" t="inlineStr"/>
      <c r="K84" s="115" t="inlineStr"/>
    </row>
    <row r="85" s="83">
      <c r="A85" s="111" t="inlineStr">
        <is>
          <t>7月</t>
        </is>
      </c>
      <c r="B85" s="114" t="n">
        <v>100201</v>
      </c>
      <c r="C85" s="114" t="inlineStr"/>
      <c r="D85" s="114" t="inlineStr">
        <is>
          <t>2025-07-15</t>
        </is>
      </c>
      <c r="E85" s="114" t="inlineStr">
        <is>
          <t>Q0101</t>
        </is>
      </c>
      <c r="F85" s="114" t="inlineStr"/>
      <c r="G85" s="114" t="inlineStr"/>
      <c r="H85" s="114" t="inlineStr">
        <is>
          <t>记-27</t>
        </is>
      </c>
      <c r="I85" s="114" t="inlineStr"/>
      <c r="J85" s="115" t="inlineStr"/>
      <c r="K85" s="115" t="inlineStr"/>
    </row>
    <row r="86" s="83">
      <c r="A86" s="111" t="inlineStr">
        <is>
          <t>7月</t>
        </is>
      </c>
      <c r="B86" s="114" t="n">
        <v>100201</v>
      </c>
      <c r="C86" s="114" t="inlineStr"/>
      <c r="D86" s="114" t="inlineStr">
        <is>
          <t>2025-07-31</t>
        </is>
      </c>
      <c r="E86" s="114" t="inlineStr">
        <is>
          <t>Q0601</t>
        </is>
      </c>
      <c r="F86" s="114" t="inlineStr"/>
      <c r="G86" s="114" t="inlineStr"/>
      <c r="H86" s="114" t="inlineStr">
        <is>
          <t>记-5</t>
        </is>
      </c>
      <c r="I86" s="114" t="inlineStr"/>
      <c r="J86" s="115" t="inlineStr"/>
      <c r="K86" s="115" t="inlineStr"/>
    </row>
    <row r="87" s="83">
      <c r="A87" s="111" t="inlineStr">
        <is>
          <t>7月</t>
        </is>
      </c>
      <c r="B87" s="114" t="n">
        <v>100202</v>
      </c>
      <c r="C87" s="114" t="inlineStr"/>
      <c r="D87" s="114" t="inlineStr">
        <is>
          <t>2025-07-09</t>
        </is>
      </c>
      <c r="E87" s="114" t="inlineStr">
        <is>
          <t>Q0701</t>
        </is>
      </c>
      <c r="F87" s="114" t="inlineStr"/>
      <c r="G87" s="114" t="inlineStr"/>
      <c r="H87" s="114" t="inlineStr">
        <is>
          <t>记-3</t>
        </is>
      </c>
      <c r="I87" s="114" t="inlineStr"/>
      <c r="J87" s="115" t="inlineStr"/>
      <c r="K87" s="115" t="inlineStr"/>
    </row>
    <row r="88" s="83">
      <c r="A88" s="111" t="inlineStr">
        <is>
          <t>7月</t>
        </is>
      </c>
      <c r="B88" s="114" t="n">
        <v>100201</v>
      </c>
      <c r="C88" s="114" t="inlineStr"/>
      <c r="D88" s="114" t="inlineStr">
        <is>
          <t>2025-07-31</t>
        </is>
      </c>
      <c r="E88" s="114" t="inlineStr">
        <is>
          <t>Q0601</t>
        </is>
      </c>
      <c r="F88" s="114" t="inlineStr"/>
      <c r="G88" s="114" t="inlineStr"/>
      <c r="H88" s="114" t="inlineStr">
        <is>
          <t>记-263</t>
        </is>
      </c>
      <c r="I88" s="114" t="inlineStr"/>
      <c r="J88" s="115" t="inlineStr"/>
      <c r="K88" s="115" t="inlineStr"/>
    </row>
    <row r="89" s="83">
      <c r="A89" s="111" t="inlineStr">
        <is>
          <t>7月</t>
        </is>
      </c>
      <c r="B89" s="114" t="n">
        <v>100201</v>
      </c>
      <c r="C89" s="114" t="inlineStr"/>
      <c r="D89" s="114" t="inlineStr">
        <is>
          <t>2025-07-10</t>
        </is>
      </c>
      <c r="E89" s="114" t="inlineStr">
        <is>
          <t>Q0601</t>
        </is>
      </c>
      <c r="F89" s="114" t="inlineStr"/>
      <c r="G89" s="114" t="inlineStr"/>
      <c r="H89" s="114" t="inlineStr">
        <is>
          <t>记-95</t>
        </is>
      </c>
      <c r="I89" s="114" t="inlineStr"/>
      <c r="J89" s="115" t="inlineStr"/>
      <c r="K89" s="115" t="inlineStr"/>
    </row>
    <row r="90" s="83">
      <c r="A90" s="111" t="inlineStr">
        <is>
          <t>7月</t>
        </is>
      </c>
      <c r="B90" s="114" t="n">
        <v>100201</v>
      </c>
      <c r="C90" s="114" t="inlineStr"/>
      <c r="D90" s="114" t="inlineStr">
        <is>
          <t>2025-07-10</t>
        </is>
      </c>
      <c r="E90" s="114" t="inlineStr">
        <is>
          <t>Q0401</t>
        </is>
      </c>
      <c r="F90" s="114" t="inlineStr"/>
      <c r="G90" s="114" t="inlineStr"/>
      <c r="H90" s="114" t="inlineStr">
        <is>
          <t>记-17</t>
        </is>
      </c>
      <c r="I90" s="114" t="inlineStr"/>
      <c r="J90" s="115" t="inlineStr"/>
      <c r="K90" s="115" t="inlineStr"/>
    </row>
    <row r="91" s="83">
      <c r="A91" s="111" t="inlineStr">
        <is>
          <t>7月</t>
        </is>
      </c>
      <c r="B91" s="114" t="n">
        <v>100201</v>
      </c>
      <c r="C91" s="114" t="inlineStr"/>
      <c r="D91" s="114" t="inlineStr">
        <is>
          <t>2025-07-31</t>
        </is>
      </c>
      <c r="E91" s="114" t="inlineStr">
        <is>
          <t>Q0401</t>
        </is>
      </c>
      <c r="F91" s="114" t="inlineStr"/>
      <c r="G91" s="114" t="inlineStr"/>
      <c r="H91" s="114" t="inlineStr">
        <is>
          <t>记-266</t>
        </is>
      </c>
      <c r="I91" s="114" t="inlineStr"/>
      <c r="J91" s="115" t="inlineStr"/>
      <c r="K91" s="115" t="inlineStr"/>
    </row>
    <row r="92" s="83">
      <c r="A92" s="111" t="inlineStr">
        <is>
          <t>7月</t>
        </is>
      </c>
      <c r="B92" s="114" t="n">
        <v>100201</v>
      </c>
      <c r="C92" s="114" t="inlineStr"/>
      <c r="D92" s="114" t="inlineStr">
        <is>
          <t>2025-07-15</t>
        </is>
      </c>
      <c r="E92" s="114" t="inlineStr">
        <is>
          <t>Q0401</t>
        </is>
      </c>
      <c r="F92" s="114" t="inlineStr"/>
      <c r="G92" s="114" t="inlineStr"/>
      <c r="H92" s="114" t="inlineStr">
        <is>
          <t>记-131</t>
        </is>
      </c>
      <c r="I92" s="114" t="inlineStr"/>
      <c r="J92" s="115" t="inlineStr"/>
      <c r="K92" s="115" t="inlineStr"/>
    </row>
    <row r="93" s="83">
      <c r="A93" s="111" t="inlineStr">
        <is>
          <t>7月</t>
        </is>
      </c>
      <c r="B93" s="114" t="n">
        <v>100201</v>
      </c>
      <c r="C93" s="114" t="inlineStr"/>
      <c r="D93" s="114" t="inlineStr">
        <is>
          <t>2025-07-15</t>
        </is>
      </c>
      <c r="E93" s="114" t="inlineStr">
        <is>
          <t>Q0601</t>
        </is>
      </c>
      <c r="F93" s="114" t="inlineStr"/>
      <c r="G93" s="114" t="inlineStr"/>
      <c r="H93" s="114" t="inlineStr">
        <is>
          <t>记-28</t>
        </is>
      </c>
      <c r="I93" s="114" t="inlineStr"/>
      <c r="J93" s="115" t="inlineStr"/>
      <c r="K93" s="115" t="inlineStr"/>
    </row>
    <row r="94" s="83">
      <c r="A94" s="111" t="inlineStr">
        <is>
          <t>7月</t>
        </is>
      </c>
      <c r="B94" s="114" t="n">
        <v>100201</v>
      </c>
      <c r="C94" s="114" t="inlineStr"/>
      <c r="D94" s="114" t="inlineStr">
        <is>
          <t>2025-07-31</t>
        </is>
      </c>
      <c r="E94" s="114" t="inlineStr">
        <is>
          <t>Q0401</t>
        </is>
      </c>
      <c r="F94" s="114" t="inlineStr"/>
      <c r="G94" s="114" t="inlineStr"/>
      <c r="H94" s="114" t="inlineStr">
        <is>
          <t>记-39</t>
        </is>
      </c>
      <c r="I94" s="114" t="inlineStr"/>
      <c r="J94" s="115" t="inlineStr"/>
      <c r="K94" s="115" t="inlineStr"/>
    </row>
    <row r="95" s="83">
      <c r="A95" s="111" t="inlineStr">
        <is>
          <t>7月</t>
        </is>
      </c>
      <c r="B95" s="114" t="n">
        <v>100201</v>
      </c>
      <c r="C95" s="114" t="inlineStr"/>
      <c r="D95" s="114" t="inlineStr">
        <is>
          <t>2025-07-14</t>
        </is>
      </c>
      <c r="E95" s="114" t="inlineStr">
        <is>
          <t>Q0401</t>
        </is>
      </c>
      <c r="F95" s="114" t="inlineStr"/>
      <c r="G95" s="114" t="inlineStr"/>
      <c r="H95" s="114" t="inlineStr">
        <is>
          <t>记-23</t>
        </is>
      </c>
      <c r="I95" s="114" t="inlineStr"/>
      <c r="J95" s="115" t="inlineStr"/>
      <c r="K95" s="115" t="inlineStr"/>
    </row>
    <row r="96" s="83">
      <c r="A96" s="111" t="inlineStr">
        <is>
          <t>7月</t>
        </is>
      </c>
      <c r="B96" s="114" t="n">
        <v>100201</v>
      </c>
      <c r="C96" s="114" t="inlineStr"/>
      <c r="D96" s="114" t="inlineStr">
        <is>
          <t>2025-07-15</t>
        </is>
      </c>
      <c r="E96" s="114" t="inlineStr">
        <is>
          <t>Q1102</t>
        </is>
      </c>
      <c r="F96" s="114" t="inlineStr"/>
      <c r="G96" s="114" t="inlineStr"/>
      <c r="H96" s="114" t="inlineStr">
        <is>
          <t>记-130</t>
        </is>
      </c>
      <c r="I96" s="114" t="inlineStr"/>
      <c r="J96" s="115" t="inlineStr"/>
      <c r="K96" s="115" t="inlineStr"/>
    </row>
    <row r="97" s="83">
      <c r="A97" s="111" t="inlineStr">
        <is>
          <t>7月</t>
        </is>
      </c>
      <c r="B97" s="114" t="n">
        <v>100202</v>
      </c>
      <c r="C97" s="114" t="inlineStr"/>
      <c r="D97" s="114" t="inlineStr">
        <is>
          <t>2025-07-09</t>
        </is>
      </c>
      <c r="E97" s="114" t="inlineStr">
        <is>
          <t>Q0501</t>
        </is>
      </c>
      <c r="F97" s="114" t="inlineStr"/>
      <c r="G97" s="114" t="inlineStr"/>
      <c r="H97" s="114" t="inlineStr">
        <is>
          <t>记-82</t>
        </is>
      </c>
      <c r="I97" s="114" t="inlineStr"/>
      <c r="J97" s="115" t="inlineStr"/>
      <c r="K97" s="115" t="inlineStr"/>
    </row>
    <row r="98">
      <c r="A98" s="111" t="inlineStr">
        <is>
          <t>9月</t>
        </is>
      </c>
      <c r="B98" s="111" t="inlineStr">
        <is>
          <t>100201</t>
        </is>
      </c>
      <c r="C98" s="111" t="inlineStr">
        <is>
          <t>银行存款_人民币户</t>
        </is>
      </c>
      <c r="D98" s="111" t="inlineStr">
        <is>
          <t>2025-09-24</t>
        </is>
      </c>
      <c r="E98" s="111" t="inlineStr">
        <is>
          <t>Q0401</t>
        </is>
      </c>
      <c r="F98" s="111" t="inlineStr">
        <is>
          <t>内部往来收入</t>
        </is>
      </c>
      <c r="G98" s="111" t="inlineStr">
        <is>
          <t>浙江精准学科技有限公司</t>
        </is>
      </c>
      <c r="H98" s="111" t="inlineStr">
        <is>
          <t>记-2</t>
        </is>
      </c>
      <c r="I98" s="111" t="inlineStr">
        <is>
          <t>关联交易-123456</t>
        </is>
      </c>
      <c r="J98" s="118" t="n">
        <v>19999</v>
      </c>
      <c r="K98" s="118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S250"/>
  <sheetViews>
    <sheetView zoomScale="70" zoomScaleNormal="70" workbookViewId="0">
      <pane xSplit="5" ySplit="2" topLeftCell="J141" activePane="bottomRight" state="frozen"/>
      <selection activeCell="A1" sqref="A1"/>
      <selection pane="topRight" activeCell="A1" sqref="A1"/>
      <selection pane="bottomLeft" activeCell="A1" sqref="A1"/>
      <selection pane="bottomRight" activeCell="V155" sqref="V155"/>
    </sheetView>
  </sheetViews>
  <sheetFormatPr baseColWidth="8" defaultColWidth="8.838461538461541" defaultRowHeight="16.05" customHeight="1"/>
  <cols>
    <col width="9.53846153846154" customWidth="1" style="5" min="1" max="1"/>
    <col width="9.61538461538461" customWidth="1" style="6" min="2" max="2"/>
    <col width="10.5923076923077" customWidth="1" style="6" min="3" max="3"/>
    <col width="12.6461538461538" customWidth="1" style="5" min="4" max="4"/>
    <col width="11" customWidth="1" style="5" min="5" max="5"/>
    <col width="18.3307692307692" customWidth="1" style="89" min="6" max="6"/>
    <col width="17.3384615384615" customWidth="1" style="5" min="7" max="7"/>
    <col width="16.8307692307692" customWidth="1" style="5" min="8" max="11"/>
    <col width="15.8384615384615" customWidth="1" style="5" min="12" max="12"/>
    <col width="15.5" customWidth="1" style="89" min="13" max="13"/>
    <col width="13.6615384615385" customWidth="1" style="89" min="14" max="14"/>
    <col width="16.3384615384615" customWidth="1" style="5" min="15" max="17"/>
    <col width="14.8384615384615" customWidth="1" style="5" min="18" max="18"/>
    <col width="16" customWidth="1" style="5" min="19" max="19"/>
    <col width="11.6615384615385" customWidth="1" style="5" min="20" max="20"/>
    <col width="8.838461538461541" customWidth="1" style="5" min="21" max="40"/>
  </cols>
  <sheetData>
    <row r="1" s="83">
      <c r="A1" s="6" t="inlineStr">
        <is>
          <t>公司：集团合并</t>
        </is>
      </c>
      <c r="D1" s="89" t="n"/>
      <c r="E1" s="57" t="n"/>
      <c r="G1" s="89" t="n"/>
      <c r="H1" s="89" t="n"/>
      <c r="I1" s="89" t="n"/>
      <c r="J1" s="89" t="n"/>
      <c r="K1" s="89" t="n"/>
      <c r="L1" s="89" t="n"/>
    </row>
    <row r="2" customFormat="1" s="34">
      <c r="A2" s="58" t="inlineStr">
        <is>
          <t>一级</t>
        </is>
      </c>
      <c r="B2" s="58" t="inlineStr">
        <is>
          <t>辅助列</t>
        </is>
      </c>
      <c r="C2" s="58" t="inlineStr">
        <is>
          <t>二级</t>
        </is>
      </c>
      <c r="D2" s="58" t="inlineStr">
        <is>
          <t>三级</t>
        </is>
      </c>
      <c r="E2" s="59" t="inlineStr">
        <is>
          <t>三级科目对应编码</t>
        </is>
      </c>
      <c r="F2" s="90" t="inlineStr">
        <is>
          <t>1月</t>
        </is>
      </c>
      <c r="G2" s="58" t="inlineStr">
        <is>
          <t>2月</t>
        </is>
      </c>
      <c r="H2" s="58" t="inlineStr">
        <is>
          <t>3月</t>
        </is>
      </c>
      <c r="I2" s="58" t="inlineStr">
        <is>
          <t>4月</t>
        </is>
      </c>
      <c r="J2" s="58" t="inlineStr">
        <is>
          <t>5月</t>
        </is>
      </c>
      <c r="K2" s="58" t="inlineStr">
        <is>
          <t>6月</t>
        </is>
      </c>
      <c r="L2" s="58" t="inlineStr">
        <is>
          <t>7月</t>
        </is>
      </c>
      <c r="M2" s="90" t="inlineStr">
        <is>
          <t>8月</t>
        </is>
      </c>
      <c r="N2" s="90" t="inlineStr">
        <is>
          <t>9月</t>
        </is>
      </c>
      <c r="O2" s="58" t="inlineStr">
        <is>
          <t>10月</t>
        </is>
      </c>
      <c r="P2" s="58" t="inlineStr">
        <is>
          <t>11月</t>
        </is>
      </c>
      <c r="Q2" s="58" t="inlineStr">
        <is>
          <t>12月</t>
        </is>
      </c>
      <c r="R2" s="58" t="inlineStr">
        <is>
          <t>本年合计</t>
        </is>
      </c>
    </row>
    <row r="3" s="83">
      <c r="A3" s="5" t="inlineStr">
        <is>
          <t>收入</t>
        </is>
      </c>
      <c r="B3" s="6" t="inlineStr">
        <is>
          <t>学习机销售收入</t>
        </is>
      </c>
      <c r="C3" s="6" t="inlineStr">
        <is>
          <t>业务收入</t>
        </is>
      </c>
      <c r="D3" s="6" t="inlineStr">
        <is>
          <t>平台硬件销售收入</t>
        </is>
      </c>
      <c r="E3" s="6" t="inlineStr">
        <is>
          <t>Q0101</t>
        </is>
      </c>
      <c r="F3" s="89">
        <f>浙江精准学!F3+知识跳跳!F3+海南精准学!F3+实时查!F3+目标准!F3+'SMART LEARNING HOLDING'!F3+'SMART AI LIMITED'!F3+'HK01'!F3-(SUMIFS(合并抵消!$J:$J,合并抵消!$E:$E,$E3,合并抵消!$A:$A,F$2)-SUMIFS(合并抵消!$K:$K,合并抵消!$E:$E,$E3,合并抵消!$A:$A,F$2))</f>
        <v/>
      </c>
      <c r="G3" s="89">
        <f>浙江精准学!G3+知识跳跳!G3+海南精准学!G3+实时查!G3+目标准!G3+'SMART LEARNING HOLDING'!G3+'SMART AI LIMITED'!G3+'HK01'!G3-(SUMIFS(合并抵消!$J:$J,合并抵消!$E:$E,$E3,合并抵消!$A:$A,G$2)-SUMIFS(合并抵消!$K:$K,合并抵消!$E:$E,$E3,合并抵消!$A:$A,G$2))</f>
        <v/>
      </c>
      <c r="H3" s="89">
        <f>浙江精准学!H3+知识跳跳!H3+海南精准学!H3+实时查!H3+目标准!H3+'SMART LEARNING HOLDING'!H3+'SMART AI LIMITED'!H3+'HK01'!H3-(SUMIFS(合并抵消!$J:$J,合并抵消!$E:$E,$E3,合并抵消!$A:$A,H$2)-SUMIFS(合并抵消!$K:$K,合并抵消!$E:$E,$E3,合并抵消!$A:$A,H$2))</f>
        <v/>
      </c>
      <c r="I3" s="89">
        <f>浙江精准学!I3+知识跳跳!I3+海南精准学!I3+实时查!I3+目标准!I3+'SMART LEARNING HOLDING'!I3+'SMART AI LIMITED'!I3+'HK01'!I3-(SUMIFS(合并抵消!$J:$J,合并抵消!$E:$E,$E3,合并抵消!$A:$A,I$2)-SUMIFS(合并抵消!$K:$K,合并抵消!$E:$E,$E3,合并抵消!$A:$A,I$2))</f>
        <v/>
      </c>
      <c r="J3" s="89">
        <f>浙江精准学!J3+知识跳跳!J3+海南精准学!J3+实时查!J3+目标准!J3+'SMART LEARNING HOLDING'!J3+'SMART AI LIMITED'!J3+'HK01'!J3-(SUMIFS(合并抵消!$J:$J,合并抵消!$E:$E,$E3,合并抵消!$A:$A,J$2)-SUMIFS(合并抵消!$K:$K,合并抵消!$E:$E,$E3,合并抵消!$A:$A,J$2))</f>
        <v/>
      </c>
      <c r="K3" s="89">
        <f>浙江精准学!K3+知识跳跳!K3+海南精准学!K3+实时查!K3+目标准!K3+'SMART LEARNING HOLDING'!K3+'SMART AI LIMITED'!K3+'HK01'!K3-(SUMIFS(合并抵消!$J:$J,合并抵消!$E:$E,$E3,合并抵消!$A:$A,K$2)-SUMIFS(合并抵消!$K:$K,合并抵消!$E:$E,$E3,合并抵消!$A:$A,K$2))</f>
        <v/>
      </c>
      <c r="L3" s="89">
        <f>浙江精准学!L3+知识跳跳!L3+海南精准学!L3+实时查!L3+目标准!L3+'SMART LEARNING HOLDING'!L3+'SMART AI LIMITED'!L3+'HK01'!L3-(SUMIFS(合并抵消!$J:$J,合并抵消!$E:$E,$E3,合并抵消!$A:$A,L$2)-SUMIFS(合并抵消!$K:$K,合并抵消!$E:$E,$E3,合并抵消!$A:$A,L$2))</f>
        <v/>
      </c>
      <c r="M3" s="89">
        <f>浙江精准学!M3+知识跳跳!M3+海南精准学!M3+实时查!M3+目标准!M3+'SMART LEARNING HOLDING'!M3+'SMART AI LIMITED'!M3+'HK01'!M3-(SUMIFS(合并抵消!$J:$J,合并抵消!$E:$E,$E3,合并抵消!$A:$A,M$2)-SUMIFS(合并抵消!$K:$K,合并抵消!$E:$E,$E3,合并抵消!$A:$A,M$2))</f>
        <v/>
      </c>
      <c r="N3" s="89">
        <f>浙江精准学!N3+知识跳跳!N3+海南精准学!N3+实时查!N3+目标准!N3+'SMART LEARNING HOLDING'!N3+'SMART AI LIMITED'!N3+'HK01'!N3-(SUMIFS(合并抵消!$J:$J,合并抵消!$E:$E,$E3,合并抵消!$A:$A,N$2)-SUMIFS(合并抵消!$K:$K,合并抵消!$E:$E,$E3,合并抵消!$A:$A,N$2))</f>
        <v/>
      </c>
      <c r="O3" s="89">
        <f>浙江精准学!O3+知识跳跳!O3+海南精准学!O3+实时查!O3+目标准!O3+'SMART LEARNING HOLDING'!O3+'SMART AI LIMITED'!O3+'HK01'!O3-(SUMIFS(合并抵消!$J:$J,合并抵消!$E:$E,$E3,合并抵消!$A:$A,O$2)-SUMIFS(合并抵消!$K:$K,合并抵消!$E:$E,$E3,合并抵消!$A:$A,O$2))</f>
        <v/>
      </c>
      <c r="P3" s="89">
        <f>浙江精准学!P3+知识跳跳!P3+海南精准学!P3+实时查!P3+目标准!P3+'SMART LEARNING HOLDING'!P3+'SMART AI LIMITED'!P3+'HK01'!P3-(SUMIFS(合并抵消!$J:$J,合并抵消!$E:$E,$E3,合并抵消!$A:$A,P$2)-SUMIFS(合并抵消!$K:$K,合并抵消!$E:$E,$E3,合并抵消!$A:$A,P$2))</f>
        <v/>
      </c>
      <c r="Q3" s="89">
        <f>浙江精准学!Q3+知识跳跳!Q3+海南精准学!Q3+实时查!Q3+目标准!Q3+'SMART LEARNING HOLDING'!Q3+'SMART AI LIMITED'!Q3+'HK01'!Q3-(SUMIFS(合并抵消!$J:$J,合并抵消!$E:$E,$E3,合并抵消!$A:$A,Q$2)-SUMIFS(合并抵消!$K:$K,合并抵消!$E:$E,$E3,合并抵消!$A:$A,Q$2))</f>
        <v/>
      </c>
      <c r="R3" s="89">
        <f>SUM(F3:Q3)</f>
        <v/>
      </c>
    </row>
    <row r="4" s="83">
      <c r="A4" s="5" t="inlineStr">
        <is>
          <t>收入</t>
        </is>
      </c>
      <c r="B4" s="6" t="inlineStr">
        <is>
          <t>学习机销售收入</t>
        </is>
      </c>
      <c r="D4" s="6" t="inlineStr">
        <is>
          <t>服务收款</t>
        </is>
      </c>
      <c r="E4" s="6" t="inlineStr">
        <is>
          <t>Q0102</t>
        </is>
      </c>
      <c r="F4" s="89">
        <f>浙江精准学!F4+知识跳跳!F4+海南精准学!F4+实时查!F4+目标准!F4+'SMART LEARNING HOLDING'!F4+'SMART AI LIMITED'!F4+'HK01'!F4-(SUMIFS(合并抵消!$J:$J,合并抵消!$E:$E,$E4,合并抵消!$A:$A,F$2)-SUMIFS(合并抵消!$K:$K,合并抵消!$E:$E,$E4,合并抵消!$A:$A,F$2))</f>
        <v/>
      </c>
      <c r="G4" s="89">
        <f>浙江精准学!G4+知识跳跳!G4+海南精准学!G4+实时查!G4+目标准!G4+'SMART LEARNING HOLDING'!G4+'SMART AI LIMITED'!G4+'HK01'!G4-(SUMIFS(合并抵消!$J:$J,合并抵消!$E:$E,$E4,合并抵消!$A:$A,G$2)-SUMIFS(合并抵消!$K:$K,合并抵消!$E:$E,$E4,合并抵消!$A:$A,G$2))</f>
        <v/>
      </c>
      <c r="H4" s="89">
        <f>浙江精准学!H4+知识跳跳!H4+海南精准学!H4+实时查!H4+目标准!H4+'SMART LEARNING HOLDING'!H4+'SMART AI LIMITED'!H4+'HK01'!H4-(SUMIFS(合并抵消!$J:$J,合并抵消!$E:$E,$E4,合并抵消!$A:$A,H$2)-SUMIFS(合并抵消!$K:$K,合并抵消!$E:$E,$E4,合并抵消!$A:$A,H$2))</f>
        <v/>
      </c>
      <c r="I4" s="89">
        <f>浙江精准学!I4+知识跳跳!I4+海南精准学!I4+实时查!I4+目标准!I4+'SMART LEARNING HOLDING'!I4+'SMART AI LIMITED'!I4+'HK01'!I4-(SUMIFS(合并抵消!$J:$J,合并抵消!$E:$E,$E4,合并抵消!$A:$A,I$2)-SUMIFS(合并抵消!$K:$K,合并抵消!$E:$E,$E4,合并抵消!$A:$A,I$2))</f>
        <v/>
      </c>
      <c r="J4" s="89">
        <f>浙江精准学!J4+知识跳跳!J4+海南精准学!J4+实时查!J4+目标准!J4+'SMART LEARNING HOLDING'!J4+'SMART AI LIMITED'!J4+'HK01'!J4-(SUMIFS(合并抵消!$J:$J,合并抵消!$E:$E,$E4,合并抵消!$A:$A,J$2)-SUMIFS(合并抵消!$K:$K,合并抵消!$E:$E,$E4,合并抵消!$A:$A,J$2))</f>
        <v/>
      </c>
      <c r="K4" s="89">
        <f>浙江精准学!K4+知识跳跳!K4+海南精准学!K4+实时查!K4+目标准!K4+'SMART LEARNING HOLDING'!K4+'SMART AI LIMITED'!K4+'HK01'!K4-(SUMIFS(合并抵消!$J:$J,合并抵消!$E:$E,$E4,合并抵消!$A:$A,K$2)-SUMIFS(合并抵消!$K:$K,合并抵消!$E:$E,$E4,合并抵消!$A:$A,K$2))</f>
        <v/>
      </c>
      <c r="L4" s="89">
        <f>浙江精准学!L4+知识跳跳!L4+海南精准学!L4+实时查!L4+目标准!L4+'SMART LEARNING HOLDING'!L4+'SMART AI LIMITED'!L4+'HK01'!L4-(SUMIFS(合并抵消!$J:$J,合并抵消!$E:$E,$E4,合并抵消!$A:$A,L$2)-SUMIFS(合并抵消!$K:$K,合并抵消!$E:$E,$E4,合并抵消!$A:$A,L$2))</f>
        <v/>
      </c>
      <c r="M4" s="89">
        <f>浙江精准学!M4+知识跳跳!M4+海南精准学!M4+实时查!M4+目标准!M4+'SMART LEARNING HOLDING'!M4+'SMART AI LIMITED'!M4+'HK01'!M4-(SUMIFS(合并抵消!$J:$J,合并抵消!$E:$E,$E4,合并抵消!$A:$A,M$2)-SUMIFS(合并抵消!$K:$K,合并抵消!$E:$E,$E4,合并抵消!$A:$A,M$2))</f>
        <v/>
      </c>
      <c r="N4" s="89">
        <f>浙江精准学!N4+知识跳跳!N4+海南精准学!N4+实时查!N4+目标准!N4+'SMART LEARNING HOLDING'!N4+'SMART AI LIMITED'!N4+'HK01'!N4-(SUMIFS(合并抵消!$J:$J,合并抵消!$E:$E,$E4,合并抵消!$A:$A,N$2)-SUMIFS(合并抵消!$K:$K,合并抵消!$E:$E,$E4,合并抵消!$A:$A,N$2))</f>
        <v/>
      </c>
      <c r="O4" s="89">
        <f>浙江精准学!O4+知识跳跳!O4+海南精准学!O4+实时查!O4+目标准!O4+'SMART LEARNING HOLDING'!O4+'SMART AI LIMITED'!O4+'HK01'!O4-(SUMIFS(合并抵消!$J:$J,合并抵消!$E:$E,$E4,合并抵消!$A:$A,O$2)-SUMIFS(合并抵消!$K:$K,合并抵消!$E:$E,$E4,合并抵消!$A:$A,O$2))</f>
        <v/>
      </c>
      <c r="P4" s="89">
        <f>浙江精准学!P4+知识跳跳!P4+海南精准学!P4+实时查!P4+目标准!P4+'SMART LEARNING HOLDING'!P4+'SMART AI LIMITED'!P4+'HK01'!P4-(SUMIFS(合并抵消!$J:$J,合并抵消!$E:$E,$E4,合并抵消!$A:$A,P$2)-SUMIFS(合并抵消!$K:$K,合并抵消!$E:$E,$E4,合并抵消!$A:$A,P$2))</f>
        <v/>
      </c>
      <c r="Q4" s="89">
        <f>浙江精准学!Q4+知识跳跳!Q4+海南精准学!Q4+实时查!Q4+目标准!Q4+'SMART LEARNING HOLDING'!Q4+'SMART AI LIMITED'!Q4+'HK01'!Q4-(SUMIFS(合并抵消!$J:$J,合并抵消!$E:$E,$E4,合并抵消!$A:$A,Q$2)-SUMIFS(合并抵消!$K:$K,合并抵消!$E:$E,$E4,合并抵消!$A:$A,Q$2))</f>
        <v/>
      </c>
      <c r="R4" s="89">
        <f>SUM(F4:Q4)</f>
        <v/>
      </c>
    </row>
    <row r="5" s="83">
      <c r="A5" s="5" t="inlineStr">
        <is>
          <t>收入</t>
        </is>
      </c>
      <c r="B5" s="6" t="inlineStr">
        <is>
          <t>学习机销售收入</t>
        </is>
      </c>
      <c r="D5" s="6" t="inlineStr">
        <is>
          <t>平台补贴收入</t>
        </is>
      </c>
      <c r="E5" s="6" t="inlineStr">
        <is>
          <t>Q0103</t>
        </is>
      </c>
      <c r="F5" s="89">
        <f>浙江精准学!F5+知识跳跳!F5+海南精准学!F5+实时查!F5+目标准!F5+'SMART LEARNING HOLDING'!F5+'SMART AI LIMITED'!F5+'HK01'!F5-(SUMIFS(合并抵消!$J:$J,合并抵消!$E:$E,$E5,合并抵消!$A:$A,F$2)-SUMIFS(合并抵消!$K:$K,合并抵消!$E:$E,$E5,合并抵消!$A:$A,F$2))</f>
        <v/>
      </c>
      <c r="G5" s="89">
        <f>浙江精准学!G5+知识跳跳!G5+海南精准学!G5+实时查!G5+目标准!G5+'SMART LEARNING HOLDING'!G5+'SMART AI LIMITED'!G5+'HK01'!G5-(SUMIFS(合并抵消!$J:$J,合并抵消!$E:$E,$E5,合并抵消!$A:$A,G$2)-SUMIFS(合并抵消!$K:$K,合并抵消!$E:$E,$E5,合并抵消!$A:$A,G$2))</f>
        <v/>
      </c>
      <c r="H5" s="89">
        <f>浙江精准学!H5+知识跳跳!H5+海南精准学!H5+实时查!H5+目标准!H5+'SMART LEARNING HOLDING'!H5+'SMART AI LIMITED'!H5+'HK01'!H5-(SUMIFS(合并抵消!$J:$J,合并抵消!$E:$E,$E5,合并抵消!$A:$A,H$2)-SUMIFS(合并抵消!$K:$K,合并抵消!$E:$E,$E5,合并抵消!$A:$A,H$2))</f>
        <v/>
      </c>
      <c r="I5" s="89">
        <f>浙江精准学!I5+知识跳跳!I5+海南精准学!I5+实时查!I5+目标准!I5+'SMART LEARNING HOLDING'!I5+'SMART AI LIMITED'!I5+'HK01'!I5-(SUMIFS(合并抵消!$J:$J,合并抵消!$E:$E,$E5,合并抵消!$A:$A,I$2)-SUMIFS(合并抵消!$K:$K,合并抵消!$E:$E,$E5,合并抵消!$A:$A,I$2))</f>
        <v/>
      </c>
      <c r="J5" s="89">
        <f>浙江精准学!J5+知识跳跳!J5+海南精准学!J5+实时查!J5+目标准!J5+'SMART LEARNING HOLDING'!J5+'SMART AI LIMITED'!J5+'HK01'!J5-(SUMIFS(合并抵消!$J:$J,合并抵消!$E:$E,$E5,合并抵消!$A:$A,J$2)-SUMIFS(合并抵消!$K:$K,合并抵消!$E:$E,$E5,合并抵消!$A:$A,J$2))</f>
        <v/>
      </c>
      <c r="K5" s="89">
        <f>浙江精准学!K5+知识跳跳!K5+海南精准学!K5+实时查!K5+目标准!K5+'SMART LEARNING HOLDING'!K5+'SMART AI LIMITED'!K5+'HK01'!K5-(SUMIFS(合并抵消!$J:$J,合并抵消!$E:$E,$E5,合并抵消!$A:$A,K$2)-SUMIFS(合并抵消!$K:$K,合并抵消!$E:$E,$E5,合并抵消!$A:$A,K$2))</f>
        <v/>
      </c>
      <c r="L5" s="89">
        <f>浙江精准学!L5+知识跳跳!L5+海南精准学!L5+实时查!L5+目标准!L5+'SMART LEARNING HOLDING'!L5+'SMART AI LIMITED'!L5+'HK01'!L5-(SUMIFS(合并抵消!$J:$J,合并抵消!$E:$E,$E5,合并抵消!$A:$A,L$2)-SUMIFS(合并抵消!$K:$K,合并抵消!$E:$E,$E5,合并抵消!$A:$A,L$2))</f>
        <v/>
      </c>
      <c r="M5" s="89">
        <f>浙江精准学!M5+知识跳跳!M5+海南精准学!M5+实时查!M5+目标准!M5+'SMART LEARNING HOLDING'!M5+'SMART AI LIMITED'!M5+'HK01'!M5-(SUMIFS(合并抵消!$J:$J,合并抵消!$E:$E,$E5,合并抵消!$A:$A,M$2)-SUMIFS(合并抵消!$K:$K,合并抵消!$E:$E,$E5,合并抵消!$A:$A,M$2))</f>
        <v/>
      </c>
      <c r="N5" s="89">
        <f>浙江精准学!N5+知识跳跳!N5+海南精准学!N5+实时查!N5+目标准!N5+'SMART LEARNING HOLDING'!N5+'SMART AI LIMITED'!N5+'HK01'!N5-(SUMIFS(合并抵消!$J:$J,合并抵消!$E:$E,$E5,合并抵消!$A:$A,N$2)-SUMIFS(合并抵消!$K:$K,合并抵消!$E:$E,$E5,合并抵消!$A:$A,N$2))</f>
        <v/>
      </c>
      <c r="O5" s="89">
        <f>浙江精准学!O5+知识跳跳!O5+海南精准学!O5+实时查!O5+目标准!O5+'SMART LEARNING HOLDING'!O5+'SMART AI LIMITED'!O5+'HK01'!O5-(SUMIFS(合并抵消!$J:$J,合并抵消!$E:$E,$E5,合并抵消!$A:$A,O$2)-SUMIFS(合并抵消!$K:$K,合并抵消!$E:$E,$E5,合并抵消!$A:$A,O$2))</f>
        <v/>
      </c>
      <c r="P5" s="89">
        <f>浙江精准学!P5+知识跳跳!P5+海南精准学!P5+实时查!P5+目标准!P5+'SMART LEARNING HOLDING'!P5+'SMART AI LIMITED'!P5+'HK01'!P5-(SUMIFS(合并抵消!$J:$J,合并抵消!$E:$E,$E5,合并抵消!$A:$A,P$2)-SUMIFS(合并抵消!$K:$K,合并抵消!$E:$E,$E5,合并抵消!$A:$A,P$2))</f>
        <v/>
      </c>
      <c r="Q5" s="89">
        <f>浙江精准学!Q5+知识跳跳!Q5+海南精准学!Q5+实时查!Q5+目标准!Q5+'SMART LEARNING HOLDING'!Q5+'SMART AI LIMITED'!Q5+'HK01'!Q5-(SUMIFS(合并抵消!$J:$J,合并抵消!$E:$E,$E5,合并抵消!$A:$A,Q$2)-SUMIFS(合并抵消!$K:$K,合并抵消!$E:$E,$E5,合并抵消!$A:$A,Q$2))</f>
        <v/>
      </c>
      <c r="R5" s="89">
        <f>SUM(F5:Q5)</f>
        <v/>
      </c>
    </row>
    <row r="6" s="83">
      <c r="A6" s="5" t="inlineStr">
        <is>
          <t>收入</t>
        </is>
      </c>
      <c r="B6" s="6" t="inlineStr">
        <is>
          <t>自习室收入</t>
        </is>
      </c>
      <c r="D6" s="6" t="inlineStr">
        <is>
          <t>自习室收入</t>
        </is>
      </c>
      <c r="E6" s="6" t="inlineStr">
        <is>
          <t>Q0104</t>
        </is>
      </c>
      <c r="F6" s="89">
        <f>浙江精准学!F6+知识跳跳!F6+海南精准学!F6+实时查!F6+目标准!F6+'SMART LEARNING HOLDING'!F6+'SMART AI LIMITED'!F6+'HK01'!F6-(SUMIFS(合并抵消!$J:$J,合并抵消!$E:$E,$E6,合并抵消!$A:$A,F$2)-SUMIFS(合并抵消!$K:$K,合并抵消!$E:$E,$E6,合并抵消!$A:$A,F$2))</f>
        <v/>
      </c>
      <c r="G6" s="89">
        <f>浙江精准学!G6+知识跳跳!G6+海南精准学!G6+实时查!G6+目标准!G6+'SMART LEARNING HOLDING'!G6+'SMART AI LIMITED'!G6+'HK01'!G6-(SUMIFS(合并抵消!$J:$J,合并抵消!$E:$E,$E6,合并抵消!$A:$A,G$2)-SUMIFS(合并抵消!$K:$K,合并抵消!$E:$E,$E6,合并抵消!$A:$A,G$2))</f>
        <v/>
      </c>
      <c r="H6" s="89">
        <f>浙江精准学!H6+知识跳跳!H6+海南精准学!H6+实时查!H6+目标准!H6+'SMART LEARNING HOLDING'!H6+'SMART AI LIMITED'!H6+'HK01'!H6-(SUMIFS(合并抵消!$J:$J,合并抵消!$E:$E,$E6,合并抵消!$A:$A,H$2)-SUMIFS(合并抵消!$K:$K,合并抵消!$E:$E,$E6,合并抵消!$A:$A,H$2))</f>
        <v/>
      </c>
      <c r="I6" s="89">
        <f>浙江精准学!I6+知识跳跳!I6+海南精准学!I6+实时查!I6+目标准!I6+'SMART LEARNING HOLDING'!I6+'SMART AI LIMITED'!I6+'HK01'!I6-(SUMIFS(合并抵消!$J:$J,合并抵消!$E:$E,$E6,合并抵消!$A:$A,I$2)-SUMIFS(合并抵消!$K:$K,合并抵消!$E:$E,$E6,合并抵消!$A:$A,I$2))</f>
        <v/>
      </c>
      <c r="J6" s="89">
        <f>浙江精准学!J6+知识跳跳!J6+海南精准学!J6+实时查!J6+目标准!J6+'SMART LEARNING HOLDING'!J6+'SMART AI LIMITED'!J6+'HK01'!J6-(SUMIFS(合并抵消!$J:$J,合并抵消!$E:$E,$E6,合并抵消!$A:$A,J$2)-SUMIFS(合并抵消!$K:$K,合并抵消!$E:$E,$E6,合并抵消!$A:$A,J$2))</f>
        <v/>
      </c>
      <c r="K6" s="89">
        <f>浙江精准学!K6+知识跳跳!K6+海南精准学!K6+实时查!K6+目标准!K6+'SMART LEARNING HOLDING'!K6+'SMART AI LIMITED'!K6+'HK01'!K6-(SUMIFS(合并抵消!$J:$J,合并抵消!$E:$E,$E6,合并抵消!$A:$A,K$2)-SUMIFS(合并抵消!$K:$K,合并抵消!$E:$E,$E6,合并抵消!$A:$A,K$2))</f>
        <v/>
      </c>
      <c r="L6" s="89">
        <f>浙江精准学!L6+知识跳跳!L6+海南精准学!L6+实时查!L6+目标准!L6+'SMART LEARNING HOLDING'!L6+'SMART AI LIMITED'!L6+'HK01'!L6-(SUMIFS(合并抵消!$J:$J,合并抵消!$E:$E,$E6,合并抵消!$A:$A,L$2)-SUMIFS(合并抵消!$K:$K,合并抵消!$E:$E,$E6,合并抵消!$A:$A,L$2))</f>
        <v/>
      </c>
      <c r="M6" s="89">
        <f>浙江精准学!M6+知识跳跳!M6+海南精准学!M6+实时查!M6+目标准!M6+'SMART LEARNING HOLDING'!M6+'SMART AI LIMITED'!M6+'HK01'!M6-(SUMIFS(合并抵消!$J:$J,合并抵消!$E:$E,$E6,合并抵消!$A:$A,M$2)-SUMIFS(合并抵消!$K:$K,合并抵消!$E:$E,$E6,合并抵消!$A:$A,M$2))</f>
        <v/>
      </c>
      <c r="N6" s="89">
        <f>浙江精准学!N6+知识跳跳!N6+海南精准学!N6+实时查!N6+目标准!N6+'SMART LEARNING HOLDING'!N6+'SMART AI LIMITED'!N6+'HK01'!N6-(SUMIFS(合并抵消!$J:$J,合并抵消!$E:$E,$E6,合并抵消!$A:$A,N$2)-SUMIFS(合并抵消!$K:$K,合并抵消!$E:$E,$E6,合并抵消!$A:$A,N$2))</f>
        <v/>
      </c>
      <c r="O6" s="89">
        <f>浙江精准学!O6+知识跳跳!O6+海南精准学!O6+实时查!O6+目标准!O6+'SMART LEARNING HOLDING'!O6+'SMART AI LIMITED'!O6+'HK01'!O6-(SUMIFS(合并抵消!$J:$J,合并抵消!$E:$E,$E6,合并抵消!$A:$A,O$2)-SUMIFS(合并抵消!$K:$K,合并抵消!$E:$E,$E6,合并抵消!$A:$A,O$2))</f>
        <v/>
      </c>
      <c r="P6" s="89">
        <f>浙江精准学!P6+知识跳跳!P6+海南精准学!P6+实时查!P6+目标准!P6+'SMART LEARNING HOLDING'!P6+'SMART AI LIMITED'!P6+'HK01'!P6-(SUMIFS(合并抵消!$J:$J,合并抵消!$E:$E,$E6,合并抵消!$A:$A,P$2)-SUMIFS(合并抵消!$K:$K,合并抵消!$E:$E,$E6,合并抵消!$A:$A,P$2))</f>
        <v/>
      </c>
      <c r="Q6" s="89">
        <f>浙江精准学!Q6+知识跳跳!Q6+海南精准学!Q6+实时查!Q6+目标准!Q6+'SMART LEARNING HOLDING'!Q6+'SMART AI LIMITED'!Q6+'HK01'!Q6-(SUMIFS(合并抵消!$J:$J,合并抵消!$E:$E,$E6,合并抵消!$A:$A,Q$2)-SUMIFS(合并抵消!$K:$K,合并抵消!$E:$E,$E6,合并抵消!$A:$A,Q$2))</f>
        <v/>
      </c>
      <c r="R6" s="89" t="n"/>
    </row>
    <row r="7" s="83">
      <c r="A7" s="5" t="inlineStr">
        <is>
          <t>收入</t>
        </is>
      </c>
      <c r="B7" s="6" t="inlineStr">
        <is>
          <t>售后收入</t>
        </is>
      </c>
      <c r="C7" s="6" t="inlineStr">
        <is>
          <t>售后收入</t>
        </is>
      </c>
      <c r="D7" s="6" t="inlineStr">
        <is>
          <t>客户赔偿款</t>
        </is>
      </c>
      <c r="E7" s="6" t="inlineStr">
        <is>
          <t>Q0201</t>
        </is>
      </c>
      <c r="F7" s="89">
        <f>浙江精准学!F7+知识跳跳!F7+海南精准学!F7+实时查!F7+目标准!F7+'SMART LEARNING HOLDING'!F7+'SMART AI LIMITED'!F7+'HK01'!F7-(SUMIFS(合并抵消!$J:$J,合并抵消!$E:$E,$E7,合并抵消!$A:$A,F$2)-SUMIFS(合并抵消!$K:$K,合并抵消!$E:$E,$E7,合并抵消!$A:$A,F$2))</f>
        <v/>
      </c>
      <c r="G7" s="89">
        <f>浙江精准学!G7+知识跳跳!G7+海南精准学!G7+实时查!G7+目标准!G7+'SMART LEARNING HOLDING'!G7+'SMART AI LIMITED'!G7+'HK01'!G7-(SUMIFS(合并抵消!$J:$J,合并抵消!$E:$E,$E7,合并抵消!$A:$A,G$2)-SUMIFS(合并抵消!$K:$K,合并抵消!$E:$E,$E7,合并抵消!$A:$A,G$2))</f>
        <v/>
      </c>
      <c r="H7" s="89">
        <f>浙江精准学!H7+知识跳跳!H7+海南精准学!H7+实时查!H7+目标准!H7+'SMART LEARNING HOLDING'!H7+'SMART AI LIMITED'!H7+'HK01'!H7-(SUMIFS(合并抵消!$J:$J,合并抵消!$E:$E,$E7,合并抵消!$A:$A,H$2)-SUMIFS(合并抵消!$K:$K,合并抵消!$E:$E,$E7,合并抵消!$A:$A,H$2))</f>
        <v/>
      </c>
      <c r="I7" s="89">
        <f>浙江精准学!I7+知识跳跳!I7+海南精准学!I7+实时查!I7+目标准!I7+'SMART LEARNING HOLDING'!I7+'SMART AI LIMITED'!I7+'HK01'!I7-(SUMIFS(合并抵消!$J:$J,合并抵消!$E:$E,$E7,合并抵消!$A:$A,I$2)-SUMIFS(合并抵消!$K:$K,合并抵消!$E:$E,$E7,合并抵消!$A:$A,I$2))</f>
        <v/>
      </c>
      <c r="J7" s="89">
        <f>浙江精准学!J7+知识跳跳!J7+海南精准学!J7+实时查!J7+目标准!J7+'SMART LEARNING HOLDING'!J7+'SMART AI LIMITED'!J7+'HK01'!J7-(SUMIFS(合并抵消!$J:$J,合并抵消!$E:$E,$E7,合并抵消!$A:$A,J$2)-SUMIFS(合并抵消!$K:$K,合并抵消!$E:$E,$E7,合并抵消!$A:$A,J$2))</f>
        <v/>
      </c>
      <c r="K7" s="89">
        <f>浙江精准学!K7+知识跳跳!K7+海南精准学!K7+实时查!K7+目标准!K7+'SMART LEARNING HOLDING'!K7+'SMART AI LIMITED'!K7+'HK01'!K7-(SUMIFS(合并抵消!$J:$J,合并抵消!$E:$E,$E7,合并抵消!$A:$A,K$2)-SUMIFS(合并抵消!$K:$K,合并抵消!$E:$E,$E7,合并抵消!$A:$A,K$2))</f>
        <v/>
      </c>
      <c r="L7" s="89">
        <f>浙江精准学!L7+知识跳跳!L7+海南精准学!L7+实时查!L7+目标准!L7+'SMART LEARNING HOLDING'!L7+'SMART AI LIMITED'!L7+'HK01'!L7-(SUMIFS(合并抵消!$J:$J,合并抵消!$E:$E,$E7,合并抵消!$A:$A,L$2)-SUMIFS(合并抵消!$K:$K,合并抵消!$E:$E,$E7,合并抵消!$A:$A,L$2))</f>
        <v/>
      </c>
      <c r="M7" s="89">
        <f>浙江精准学!M7+知识跳跳!M7+海南精准学!M7+实时查!M7+目标准!M7+'SMART LEARNING HOLDING'!M7+'SMART AI LIMITED'!M7+'HK01'!M7-(SUMIFS(合并抵消!$J:$J,合并抵消!$E:$E,$E7,合并抵消!$A:$A,M$2)-SUMIFS(合并抵消!$K:$K,合并抵消!$E:$E,$E7,合并抵消!$A:$A,M$2))</f>
        <v/>
      </c>
      <c r="N7" s="89">
        <f>浙江精准学!N7+知识跳跳!N7+海南精准学!N7+实时查!N7+目标准!N7+'SMART LEARNING HOLDING'!N7+'SMART AI LIMITED'!N7+'HK01'!N7-(SUMIFS(合并抵消!$J:$J,合并抵消!$E:$E,$E7,合并抵消!$A:$A,N$2)-SUMIFS(合并抵消!$K:$K,合并抵消!$E:$E,$E7,合并抵消!$A:$A,N$2))</f>
        <v/>
      </c>
      <c r="O7" s="89">
        <f>浙江精准学!O7+知识跳跳!O7+海南精准学!O7+实时查!O7+目标准!O7+'SMART LEARNING HOLDING'!O7+'SMART AI LIMITED'!O7+'HK01'!O7-(SUMIFS(合并抵消!$J:$J,合并抵消!$E:$E,$E7,合并抵消!$A:$A,O$2)-SUMIFS(合并抵消!$K:$K,合并抵消!$E:$E,$E7,合并抵消!$A:$A,O$2))</f>
        <v/>
      </c>
      <c r="P7" s="89">
        <f>浙江精准学!P7+知识跳跳!P7+海南精准学!P7+实时查!P7+目标准!P7+'SMART LEARNING HOLDING'!P7+'SMART AI LIMITED'!P7+'HK01'!P7-(SUMIFS(合并抵消!$J:$J,合并抵消!$E:$E,$E7,合并抵消!$A:$A,P$2)-SUMIFS(合并抵消!$K:$K,合并抵消!$E:$E,$E7,合并抵消!$A:$A,P$2))</f>
        <v/>
      </c>
      <c r="Q7" s="89">
        <f>浙江精准学!Q7+知识跳跳!Q7+海南精准学!Q7+实时查!Q7+目标准!Q7+'SMART LEARNING HOLDING'!Q7+'SMART AI LIMITED'!Q7+'HK01'!Q7-(SUMIFS(合并抵消!$J:$J,合并抵消!$E:$E,$E7,合并抵消!$A:$A,Q$2)-SUMIFS(合并抵消!$K:$K,合并抵消!$E:$E,$E7,合并抵消!$A:$A,Q$2))</f>
        <v/>
      </c>
      <c r="R7" s="89">
        <f>SUM(F7:Q7)</f>
        <v/>
      </c>
    </row>
    <row r="8" s="83">
      <c r="A8" s="5" t="inlineStr">
        <is>
          <t>收入</t>
        </is>
      </c>
      <c r="B8" s="6" t="inlineStr">
        <is>
          <t>售后收入</t>
        </is>
      </c>
      <c r="D8" s="6" t="inlineStr">
        <is>
          <t>供应商赔偿款</t>
        </is>
      </c>
      <c r="E8" s="6" t="inlineStr">
        <is>
          <t>Q0202</t>
        </is>
      </c>
      <c r="F8" s="89">
        <f>浙江精准学!F8+知识跳跳!F8+海南精准学!F8+实时查!F8+目标准!F8+'SMART LEARNING HOLDING'!F8+'SMART AI LIMITED'!F8+'HK01'!F8-(SUMIFS(合并抵消!$J:$J,合并抵消!$E:$E,$E8,合并抵消!$A:$A,F$2)-SUMIFS(合并抵消!$K:$K,合并抵消!$E:$E,$E8,合并抵消!$A:$A,F$2))</f>
        <v/>
      </c>
      <c r="G8" s="89">
        <f>浙江精准学!G8+知识跳跳!G8+海南精准学!G8+实时查!G8+目标准!G8+'SMART LEARNING HOLDING'!G8+'SMART AI LIMITED'!G8+'HK01'!G8-(SUMIFS(合并抵消!$J:$J,合并抵消!$E:$E,$E8,合并抵消!$A:$A,G$2)-SUMIFS(合并抵消!$K:$K,合并抵消!$E:$E,$E8,合并抵消!$A:$A,G$2))</f>
        <v/>
      </c>
      <c r="H8" s="89">
        <f>浙江精准学!H8+知识跳跳!H8+海南精准学!H8+实时查!H8+目标准!H8+'SMART LEARNING HOLDING'!H8+'SMART AI LIMITED'!H8+'HK01'!H8-(SUMIFS(合并抵消!$J:$J,合并抵消!$E:$E,$E8,合并抵消!$A:$A,H$2)-SUMIFS(合并抵消!$K:$K,合并抵消!$E:$E,$E8,合并抵消!$A:$A,H$2))</f>
        <v/>
      </c>
      <c r="I8" s="89">
        <f>浙江精准学!I8+知识跳跳!I8+海南精准学!I8+实时查!I8+目标准!I8+'SMART LEARNING HOLDING'!I8+'SMART AI LIMITED'!I8+'HK01'!I8-(SUMIFS(合并抵消!$J:$J,合并抵消!$E:$E,$E8,合并抵消!$A:$A,I$2)-SUMIFS(合并抵消!$K:$K,合并抵消!$E:$E,$E8,合并抵消!$A:$A,I$2))</f>
        <v/>
      </c>
      <c r="J8" s="89">
        <f>浙江精准学!J8+知识跳跳!J8+海南精准学!J8+实时查!J8+目标准!J8+'SMART LEARNING HOLDING'!J8+'SMART AI LIMITED'!J8+'HK01'!J8-(SUMIFS(合并抵消!$J:$J,合并抵消!$E:$E,$E8,合并抵消!$A:$A,J$2)-SUMIFS(合并抵消!$K:$K,合并抵消!$E:$E,$E8,合并抵消!$A:$A,J$2))</f>
        <v/>
      </c>
      <c r="K8" s="89">
        <f>浙江精准学!K8+知识跳跳!K8+海南精准学!K8+实时查!K8+目标准!K8+'SMART LEARNING HOLDING'!K8+'SMART AI LIMITED'!K8+'HK01'!K8-(SUMIFS(合并抵消!$J:$J,合并抵消!$E:$E,$E8,合并抵消!$A:$A,K$2)-SUMIFS(合并抵消!$K:$K,合并抵消!$E:$E,$E8,合并抵消!$A:$A,K$2))</f>
        <v/>
      </c>
      <c r="L8" s="89">
        <f>浙江精准学!L8+知识跳跳!L8+海南精准学!L8+实时查!L8+目标准!L8+'SMART LEARNING HOLDING'!L8+'SMART AI LIMITED'!L8+'HK01'!L8-(SUMIFS(合并抵消!$J:$J,合并抵消!$E:$E,$E8,合并抵消!$A:$A,L$2)-SUMIFS(合并抵消!$K:$K,合并抵消!$E:$E,$E8,合并抵消!$A:$A,L$2))</f>
        <v/>
      </c>
      <c r="M8" s="89">
        <f>浙江精准学!M8+知识跳跳!M8+海南精准学!M8+实时查!M8+目标准!M8+'SMART LEARNING HOLDING'!M8+'SMART AI LIMITED'!M8+'HK01'!M8-(SUMIFS(合并抵消!$J:$J,合并抵消!$E:$E,$E8,合并抵消!$A:$A,M$2)-SUMIFS(合并抵消!$K:$K,合并抵消!$E:$E,$E8,合并抵消!$A:$A,M$2))</f>
        <v/>
      </c>
      <c r="N8" s="89">
        <f>浙江精准学!N8+知识跳跳!N8+海南精准学!N8+实时查!N8+目标准!N8+'SMART LEARNING HOLDING'!N8+'SMART AI LIMITED'!N8+'HK01'!N8-(SUMIFS(合并抵消!$J:$J,合并抵消!$E:$E,$E8,合并抵消!$A:$A,N$2)-SUMIFS(合并抵消!$K:$K,合并抵消!$E:$E,$E8,合并抵消!$A:$A,N$2))</f>
        <v/>
      </c>
      <c r="O8" s="89">
        <f>浙江精准学!O8+知识跳跳!O8+海南精准学!O8+实时查!O8+目标准!O8+'SMART LEARNING HOLDING'!O8+'SMART AI LIMITED'!O8+'HK01'!O8-(SUMIFS(合并抵消!$J:$J,合并抵消!$E:$E,$E8,合并抵消!$A:$A,O$2)-SUMIFS(合并抵消!$K:$K,合并抵消!$E:$E,$E8,合并抵消!$A:$A,O$2))</f>
        <v/>
      </c>
      <c r="P8" s="89">
        <f>浙江精准学!P8+知识跳跳!P8+海南精准学!P8+实时查!P8+目标准!P8+'SMART LEARNING HOLDING'!P8+'SMART AI LIMITED'!P8+'HK01'!P8-(SUMIFS(合并抵消!$J:$J,合并抵消!$E:$E,$E8,合并抵消!$A:$A,P$2)-SUMIFS(合并抵消!$K:$K,合并抵消!$E:$E,$E8,合并抵消!$A:$A,P$2))</f>
        <v/>
      </c>
      <c r="Q8" s="89">
        <f>浙江精准学!Q8+知识跳跳!Q8+海南精准学!Q8+实时查!Q8+目标准!Q8+'SMART LEARNING HOLDING'!Q8+'SMART AI LIMITED'!Q8+'HK01'!Q8-(SUMIFS(合并抵消!$J:$J,合并抵消!$E:$E,$E8,合并抵消!$A:$A,Q$2)-SUMIFS(合并抵消!$K:$K,合并抵消!$E:$E,$E8,合并抵消!$A:$A,Q$2))</f>
        <v/>
      </c>
      <c r="R8" s="89">
        <f>SUM(F8:Q8)</f>
        <v/>
      </c>
    </row>
    <row r="9" s="83">
      <c r="A9" s="5" t="inlineStr">
        <is>
          <t>收入</t>
        </is>
      </c>
      <c r="B9" s="6" t="inlineStr">
        <is>
          <t>政府补贴收入</t>
        </is>
      </c>
      <c r="C9" s="6" t="inlineStr">
        <is>
          <t>营业外收入</t>
        </is>
      </c>
      <c r="D9" s="6" t="inlineStr">
        <is>
          <t>政府补贴收入</t>
        </is>
      </c>
      <c r="E9" s="6" t="inlineStr">
        <is>
          <t>Q0301</t>
        </is>
      </c>
      <c r="F9" s="89">
        <f>浙江精准学!F9+知识跳跳!F9+海南精准学!F9+实时查!F9+目标准!F9+'SMART LEARNING HOLDING'!F9+'SMART AI LIMITED'!F9+'HK01'!F9-(SUMIFS(合并抵消!$J:$J,合并抵消!$E:$E,$E9,合并抵消!$A:$A,F$2)-SUMIFS(合并抵消!$K:$K,合并抵消!$E:$E,$E9,合并抵消!$A:$A,F$2))</f>
        <v/>
      </c>
      <c r="G9" s="89">
        <f>浙江精准学!G9+知识跳跳!G9+海南精准学!G9+实时查!G9+目标准!G9+'SMART LEARNING HOLDING'!G9+'SMART AI LIMITED'!G9+'HK01'!G9-(SUMIFS(合并抵消!$J:$J,合并抵消!$E:$E,$E9,合并抵消!$A:$A,G$2)-SUMIFS(合并抵消!$K:$K,合并抵消!$E:$E,$E9,合并抵消!$A:$A,G$2))</f>
        <v/>
      </c>
      <c r="H9" s="89">
        <f>浙江精准学!H9+知识跳跳!H9+海南精准学!H9+实时查!H9+目标准!H9+'SMART LEARNING HOLDING'!H9+'SMART AI LIMITED'!H9+'HK01'!H9-(SUMIFS(合并抵消!$J:$J,合并抵消!$E:$E,$E9,合并抵消!$A:$A,H$2)-SUMIFS(合并抵消!$K:$K,合并抵消!$E:$E,$E9,合并抵消!$A:$A,H$2))</f>
        <v/>
      </c>
      <c r="I9" s="89">
        <f>浙江精准学!I9+知识跳跳!I9+海南精准学!I9+实时查!I9+目标准!I9+'SMART LEARNING HOLDING'!I9+'SMART AI LIMITED'!I9+'HK01'!I9-(SUMIFS(合并抵消!$J:$J,合并抵消!$E:$E,$E9,合并抵消!$A:$A,I$2)-SUMIFS(合并抵消!$K:$K,合并抵消!$E:$E,$E9,合并抵消!$A:$A,I$2))</f>
        <v/>
      </c>
      <c r="J9" s="89">
        <f>浙江精准学!J9+知识跳跳!J9+海南精准学!J9+实时查!J9+目标准!J9+'SMART LEARNING HOLDING'!J9+'SMART AI LIMITED'!J9+'HK01'!J9-(SUMIFS(合并抵消!$J:$J,合并抵消!$E:$E,$E9,合并抵消!$A:$A,J$2)-SUMIFS(合并抵消!$K:$K,合并抵消!$E:$E,$E9,合并抵消!$A:$A,J$2))</f>
        <v/>
      </c>
      <c r="K9" s="89">
        <f>浙江精准学!K9+知识跳跳!K9+海南精准学!K9+实时查!K9+目标准!K9+'SMART LEARNING HOLDING'!K9+'SMART AI LIMITED'!K9+'HK01'!K9-(SUMIFS(合并抵消!$J:$J,合并抵消!$E:$E,$E9,合并抵消!$A:$A,K$2)-SUMIFS(合并抵消!$K:$K,合并抵消!$E:$E,$E9,合并抵消!$A:$A,K$2))</f>
        <v/>
      </c>
      <c r="L9" s="89">
        <f>浙江精准学!L9+知识跳跳!L9+海南精准学!L9+实时查!L9+目标准!L9+'SMART LEARNING HOLDING'!L9+'SMART AI LIMITED'!L9+'HK01'!L9-(SUMIFS(合并抵消!$J:$J,合并抵消!$E:$E,$E9,合并抵消!$A:$A,L$2)-SUMIFS(合并抵消!$K:$K,合并抵消!$E:$E,$E9,合并抵消!$A:$A,L$2))</f>
        <v/>
      </c>
      <c r="M9" s="89">
        <f>浙江精准学!M9+知识跳跳!M9+海南精准学!M9+实时查!M9+目标准!M9+'SMART LEARNING HOLDING'!M9+'SMART AI LIMITED'!M9+'HK01'!M9-(SUMIFS(合并抵消!$J:$J,合并抵消!$E:$E,$E9,合并抵消!$A:$A,M$2)-SUMIFS(合并抵消!$K:$K,合并抵消!$E:$E,$E9,合并抵消!$A:$A,M$2))</f>
        <v/>
      </c>
      <c r="N9" s="89">
        <f>浙江精准学!N9+知识跳跳!N9+海南精准学!N9+实时查!N9+目标准!N9+'SMART LEARNING HOLDING'!N9+'SMART AI LIMITED'!N9+'HK01'!N9-(SUMIFS(合并抵消!$J:$J,合并抵消!$E:$E,$E9,合并抵消!$A:$A,N$2)-SUMIFS(合并抵消!$K:$K,合并抵消!$E:$E,$E9,合并抵消!$A:$A,N$2))</f>
        <v/>
      </c>
      <c r="O9" s="89">
        <f>浙江精准学!O9+知识跳跳!O9+海南精准学!O9+实时查!O9+目标准!O9+'SMART LEARNING HOLDING'!O9+'SMART AI LIMITED'!O9+'HK01'!O9-(SUMIFS(合并抵消!$J:$J,合并抵消!$E:$E,$E9,合并抵消!$A:$A,O$2)-SUMIFS(合并抵消!$K:$K,合并抵消!$E:$E,$E9,合并抵消!$A:$A,O$2))</f>
        <v/>
      </c>
      <c r="P9" s="89">
        <f>浙江精准学!P9+知识跳跳!P9+海南精准学!P9+实时查!P9+目标准!P9+'SMART LEARNING HOLDING'!P9+'SMART AI LIMITED'!P9+'HK01'!P9-(SUMIFS(合并抵消!$J:$J,合并抵消!$E:$E,$E9,合并抵消!$A:$A,P$2)-SUMIFS(合并抵消!$K:$K,合并抵消!$E:$E,$E9,合并抵消!$A:$A,P$2))</f>
        <v/>
      </c>
      <c r="Q9" s="89">
        <f>浙江精准学!Q9+知识跳跳!Q9+海南精准学!Q9+实时查!Q9+目标准!Q9+'SMART LEARNING HOLDING'!Q9+'SMART AI LIMITED'!Q9+'HK01'!Q9-(SUMIFS(合并抵消!$J:$J,合并抵消!$E:$E,$E9,合并抵消!$A:$A,Q$2)-SUMIFS(合并抵消!$K:$K,合并抵消!$E:$E,$E9,合并抵消!$A:$A,Q$2))</f>
        <v/>
      </c>
      <c r="R9" s="89">
        <f>SUM(F9:Q9)</f>
        <v/>
      </c>
    </row>
    <row r="10" s="83">
      <c r="A10" s="5" t="inlineStr">
        <is>
          <t>收入</t>
        </is>
      </c>
      <c r="B10" s="6" t="inlineStr">
        <is>
          <t>利息收入</t>
        </is>
      </c>
      <c r="D10" s="6" t="inlineStr">
        <is>
          <t>利息收入</t>
        </is>
      </c>
      <c r="E10" s="6" t="inlineStr">
        <is>
          <t>Q0302</t>
        </is>
      </c>
      <c r="F10" s="89">
        <f>浙江精准学!F10+知识跳跳!F10+海南精准学!F10+实时查!F10+目标准!F10+'SMART LEARNING HOLDING'!F10+'SMART AI LIMITED'!F10+'HK01'!F10-(SUMIFS(合并抵消!$J:$J,合并抵消!$E:$E,$E10,合并抵消!$A:$A,F$2)-SUMIFS(合并抵消!$K:$K,合并抵消!$E:$E,$E10,合并抵消!$A:$A,F$2))</f>
        <v/>
      </c>
      <c r="G10" s="89">
        <f>浙江精准学!G10+知识跳跳!G10+海南精准学!G10+实时查!G10+目标准!G10+'SMART LEARNING HOLDING'!G10+'SMART AI LIMITED'!G10+'HK01'!G10-(SUMIFS(合并抵消!$J:$J,合并抵消!$E:$E,$E10,合并抵消!$A:$A,G$2)-SUMIFS(合并抵消!$K:$K,合并抵消!$E:$E,$E10,合并抵消!$A:$A,G$2))</f>
        <v/>
      </c>
      <c r="H10" s="89">
        <f>浙江精准学!H10+知识跳跳!H10+海南精准学!H10+实时查!H10+目标准!H10+'SMART LEARNING HOLDING'!H10+'SMART AI LIMITED'!H10+'HK01'!H10-(SUMIFS(合并抵消!$J:$J,合并抵消!$E:$E,$E10,合并抵消!$A:$A,H$2)-SUMIFS(合并抵消!$K:$K,合并抵消!$E:$E,$E10,合并抵消!$A:$A,H$2))</f>
        <v/>
      </c>
      <c r="I10" s="89">
        <f>浙江精准学!I10+知识跳跳!I10+海南精准学!I10+实时查!I10+目标准!I10+'SMART LEARNING HOLDING'!I10+'SMART AI LIMITED'!I10+'HK01'!I10-(SUMIFS(合并抵消!$J:$J,合并抵消!$E:$E,$E10,合并抵消!$A:$A,I$2)-SUMIFS(合并抵消!$K:$K,合并抵消!$E:$E,$E10,合并抵消!$A:$A,I$2))</f>
        <v/>
      </c>
      <c r="J10" s="89">
        <f>浙江精准学!J10+知识跳跳!J10+海南精准学!J10+实时查!J10+目标准!J10+'SMART LEARNING HOLDING'!J10+'SMART AI LIMITED'!J10+'HK01'!J10-(SUMIFS(合并抵消!$J:$J,合并抵消!$E:$E,$E10,合并抵消!$A:$A,J$2)-SUMIFS(合并抵消!$K:$K,合并抵消!$E:$E,$E10,合并抵消!$A:$A,J$2))</f>
        <v/>
      </c>
      <c r="K10" s="89">
        <f>浙江精准学!K10+知识跳跳!K10+海南精准学!K10+实时查!K10+目标准!K10+'SMART LEARNING HOLDING'!K10+'SMART AI LIMITED'!K10+'HK01'!K10-(SUMIFS(合并抵消!$J:$J,合并抵消!$E:$E,$E10,合并抵消!$A:$A,K$2)-SUMIFS(合并抵消!$K:$K,合并抵消!$E:$E,$E10,合并抵消!$A:$A,K$2))</f>
        <v/>
      </c>
      <c r="L10" s="89">
        <f>浙江精准学!L10+知识跳跳!L10+海南精准学!L10+实时查!L10+目标准!L10+'SMART LEARNING HOLDING'!L10+'SMART AI LIMITED'!L10+'HK01'!L10-(SUMIFS(合并抵消!$J:$J,合并抵消!$E:$E,$E10,合并抵消!$A:$A,L$2)-SUMIFS(合并抵消!$K:$K,合并抵消!$E:$E,$E10,合并抵消!$A:$A,L$2))</f>
        <v/>
      </c>
      <c r="M10" s="89">
        <f>浙江精准学!M10+知识跳跳!M10+海南精准学!M10+实时查!M10+目标准!M10+'SMART LEARNING HOLDING'!M10+'SMART AI LIMITED'!M10+'HK01'!M10-(SUMIFS(合并抵消!$J:$J,合并抵消!$E:$E,$E10,合并抵消!$A:$A,M$2)-SUMIFS(合并抵消!$K:$K,合并抵消!$E:$E,$E10,合并抵消!$A:$A,M$2))</f>
        <v/>
      </c>
      <c r="N10" s="89">
        <f>浙江精准学!N10+知识跳跳!N10+海南精准学!N10+实时查!N10+目标准!N10+'SMART LEARNING HOLDING'!N10+'SMART AI LIMITED'!N10+'HK01'!N10-(SUMIFS(合并抵消!$J:$J,合并抵消!$E:$E,$E10,合并抵消!$A:$A,N$2)-SUMIFS(合并抵消!$K:$K,合并抵消!$E:$E,$E10,合并抵消!$A:$A,N$2))</f>
        <v/>
      </c>
      <c r="O10" s="89">
        <f>浙江精准学!O10+知识跳跳!O10+海南精准学!O10+实时查!O10+目标准!O10+'SMART LEARNING HOLDING'!O10+'SMART AI LIMITED'!O10+'HK01'!O10-(SUMIFS(合并抵消!$J:$J,合并抵消!$E:$E,$E10,合并抵消!$A:$A,O$2)-SUMIFS(合并抵消!$K:$K,合并抵消!$E:$E,$E10,合并抵消!$A:$A,O$2))</f>
        <v/>
      </c>
      <c r="P10" s="89">
        <f>浙江精准学!P10+知识跳跳!P10+海南精准学!P10+实时查!P10+目标准!P10+'SMART LEARNING HOLDING'!P10+'SMART AI LIMITED'!P10+'HK01'!P10-(SUMIFS(合并抵消!$J:$J,合并抵消!$E:$E,$E10,合并抵消!$A:$A,P$2)-SUMIFS(合并抵消!$K:$K,合并抵消!$E:$E,$E10,合并抵消!$A:$A,P$2))</f>
        <v/>
      </c>
      <c r="Q10" s="89">
        <f>浙江精准学!Q10+知识跳跳!Q10+海南精准学!Q10+实时查!Q10+目标准!Q10+'SMART LEARNING HOLDING'!Q10+'SMART AI LIMITED'!Q10+'HK01'!Q10-(SUMIFS(合并抵消!$J:$J,合并抵消!$E:$E,$E10,合并抵消!$A:$A,Q$2)-SUMIFS(合并抵消!$K:$K,合并抵消!$E:$E,$E10,合并抵消!$A:$A,Q$2))</f>
        <v/>
      </c>
      <c r="R10" s="89">
        <f>SUM(F10:Q10)</f>
        <v/>
      </c>
    </row>
    <row r="11" s="83">
      <c r="A11" s="5" t="inlineStr">
        <is>
          <t>收入</t>
        </is>
      </c>
      <c r="B11" s="6" t="inlineStr">
        <is>
          <t>营业外收入</t>
        </is>
      </c>
      <c r="D11" s="6" t="inlineStr">
        <is>
          <t>其他收入</t>
        </is>
      </c>
      <c r="E11" s="6" t="inlineStr">
        <is>
          <t>Q0303</t>
        </is>
      </c>
      <c r="F11" s="89">
        <f>浙江精准学!F11+知识跳跳!F11+海南精准学!F11+实时查!F11+目标准!F11+'SMART LEARNING HOLDING'!F11+'SMART AI LIMITED'!F11+'HK01'!F11-(SUMIFS(合并抵消!$J:$J,合并抵消!$E:$E,$E11,合并抵消!$A:$A,F$2)-SUMIFS(合并抵消!$K:$K,合并抵消!$E:$E,$E11,合并抵消!$A:$A,F$2))</f>
        <v/>
      </c>
      <c r="G11" s="89">
        <f>浙江精准学!G11+知识跳跳!G11+海南精准学!G11+实时查!G11+目标准!G11+'SMART LEARNING HOLDING'!G11+'SMART AI LIMITED'!G11+'HK01'!G11-(SUMIFS(合并抵消!$J:$J,合并抵消!$E:$E,$E11,合并抵消!$A:$A,G$2)-SUMIFS(合并抵消!$K:$K,合并抵消!$E:$E,$E11,合并抵消!$A:$A,G$2))</f>
        <v/>
      </c>
      <c r="H11" s="89">
        <f>浙江精准学!H11+知识跳跳!H11+海南精准学!H11+实时查!H11+目标准!H11+'SMART LEARNING HOLDING'!H11+'SMART AI LIMITED'!H11+'HK01'!H11-(SUMIFS(合并抵消!$J:$J,合并抵消!$E:$E,$E11,合并抵消!$A:$A,H$2)-SUMIFS(合并抵消!$K:$K,合并抵消!$E:$E,$E11,合并抵消!$A:$A,H$2))</f>
        <v/>
      </c>
      <c r="I11" s="89">
        <f>浙江精准学!I11+知识跳跳!I11+海南精准学!I11+实时查!I11+目标准!I11+'SMART LEARNING HOLDING'!I11+'SMART AI LIMITED'!I11+'HK01'!I11-(SUMIFS(合并抵消!$J:$J,合并抵消!$E:$E,$E11,合并抵消!$A:$A,I$2)-SUMIFS(合并抵消!$K:$K,合并抵消!$E:$E,$E11,合并抵消!$A:$A,I$2))</f>
        <v/>
      </c>
      <c r="J11" s="89">
        <f>浙江精准学!J11+知识跳跳!J11+海南精准学!J11+实时查!J11+目标准!J11+'SMART LEARNING HOLDING'!J11+'SMART AI LIMITED'!J11+'HK01'!J11-(SUMIFS(合并抵消!$J:$J,合并抵消!$E:$E,$E11,合并抵消!$A:$A,J$2)-SUMIFS(合并抵消!$K:$K,合并抵消!$E:$E,$E11,合并抵消!$A:$A,J$2))</f>
        <v/>
      </c>
      <c r="K11" s="89">
        <f>浙江精准学!K11+知识跳跳!K11+海南精准学!K11+实时查!K11+目标准!K11+'SMART LEARNING HOLDING'!K11+'SMART AI LIMITED'!K11+'HK01'!K11-(SUMIFS(合并抵消!$J:$J,合并抵消!$E:$E,$E11,合并抵消!$A:$A,K$2)-SUMIFS(合并抵消!$K:$K,合并抵消!$E:$E,$E11,合并抵消!$A:$A,K$2))</f>
        <v/>
      </c>
      <c r="L11" s="89">
        <f>浙江精准学!L11+知识跳跳!L11+海南精准学!L11+实时查!L11+目标准!L11+'SMART LEARNING HOLDING'!L11+'SMART AI LIMITED'!L11+'HK01'!L11-(SUMIFS(合并抵消!$J:$J,合并抵消!$E:$E,$E11,合并抵消!$A:$A,L$2)-SUMIFS(合并抵消!$K:$K,合并抵消!$E:$E,$E11,合并抵消!$A:$A,L$2))</f>
        <v/>
      </c>
      <c r="M11" s="89">
        <f>浙江精准学!M11+知识跳跳!M11+海南精准学!M11+实时查!M11+目标准!M11+'SMART LEARNING HOLDING'!M11+'SMART AI LIMITED'!M11+'HK01'!M11-(SUMIFS(合并抵消!$J:$J,合并抵消!$E:$E,$E11,合并抵消!$A:$A,M$2)-SUMIFS(合并抵消!$K:$K,合并抵消!$E:$E,$E11,合并抵消!$A:$A,M$2))</f>
        <v/>
      </c>
      <c r="N11" s="89">
        <f>浙江精准学!N11+知识跳跳!N11+海南精准学!N11+实时查!N11+目标准!N11+'SMART LEARNING HOLDING'!N11+'SMART AI LIMITED'!N11+'HK01'!N11-(SUMIFS(合并抵消!$J:$J,合并抵消!$E:$E,$E11,合并抵消!$A:$A,N$2)-SUMIFS(合并抵消!$K:$K,合并抵消!$E:$E,$E11,合并抵消!$A:$A,N$2))</f>
        <v/>
      </c>
      <c r="O11" s="89">
        <f>浙江精准学!O11+知识跳跳!O11+海南精准学!O11+实时查!O11+目标准!O11+'SMART LEARNING HOLDING'!O11+'SMART AI LIMITED'!O11+'HK01'!O11-(SUMIFS(合并抵消!$J:$J,合并抵消!$E:$E,$E11,合并抵消!$A:$A,O$2)-SUMIFS(合并抵消!$K:$K,合并抵消!$E:$E,$E11,合并抵消!$A:$A,O$2))</f>
        <v/>
      </c>
      <c r="P11" s="89">
        <f>浙江精准学!P11+知识跳跳!P11+海南精准学!P11+实时查!P11+目标准!P11+'SMART LEARNING HOLDING'!P11+'SMART AI LIMITED'!P11+'HK01'!P11-(SUMIFS(合并抵消!$J:$J,合并抵消!$E:$E,$E11,合并抵消!$A:$A,P$2)-SUMIFS(合并抵消!$K:$K,合并抵消!$E:$E,$E11,合并抵消!$A:$A,P$2))</f>
        <v/>
      </c>
      <c r="Q11" s="89">
        <f>浙江精准学!Q11+知识跳跳!Q11+海南精准学!Q11+实时查!Q11+目标准!Q11+'SMART LEARNING HOLDING'!Q11+'SMART AI LIMITED'!Q11+'HK01'!Q11-(SUMIFS(合并抵消!$J:$J,合并抵消!$E:$E,$E11,合并抵消!$A:$A,Q$2)-SUMIFS(合并抵消!$K:$K,合并抵消!$E:$E,$E11,合并抵消!$A:$A,Q$2))</f>
        <v/>
      </c>
      <c r="R11" s="89">
        <f>SUM(F11:Q11)</f>
        <v/>
      </c>
    </row>
    <row r="12" s="83">
      <c r="A12" s="49" t="inlineStr">
        <is>
          <t>收入合计</t>
        </is>
      </c>
      <c r="B12" s="50" t="n"/>
      <c r="C12" s="50" t="n"/>
      <c r="D12" s="49" t="n"/>
      <c r="E12" s="49" t="n"/>
      <c r="F12" s="89">
        <f>SUM(F3:F11)</f>
        <v/>
      </c>
      <c r="G12" s="89">
        <f>SUM(G3:G11)</f>
        <v/>
      </c>
      <c r="H12" s="89">
        <f>SUM(H3:H11)</f>
        <v/>
      </c>
      <c r="I12" s="89">
        <f>SUM(I3:I11)</f>
        <v/>
      </c>
      <c r="J12" s="89">
        <f>SUM(J3:J11)</f>
        <v/>
      </c>
      <c r="K12" s="89">
        <f>SUM(K3:K11)</f>
        <v/>
      </c>
      <c r="L12" s="89">
        <f>SUM(L3:L11)</f>
        <v/>
      </c>
      <c r="M12" s="89">
        <f>SUM(M3:M11)</f>
        <v/>
      </c>
      <c r="N12" s="89">
        <f>SUM(N3:N11)</f>
        <v/>
      </c>
      <c r="O12" s="89">
        <f>SUM(O3:O11)</f>
        <v/>
      </c>
      <c r="P12" s="89">
        <f>SUM(P3:P11)</f>
        <v/>
      </c>
      <c r="Q12" s="89">
        <f>SUM(Q3:Q11)</f>
        <v/>
      </c>
      <c r="R12" s="89">
        <f>SUM(F12:Q12)</f>
        <v/>
      </c>
    </row>
    <row r="13" s="83">
      <c r="A13" s="5" t="inlineStr">
        <is>
          <t>往来款项收入</t>
        </is>
      </c>
      <c r="B13" s="6" t="inlineStr">
        <is>
          <t>往来款项收入</t>
        </is>
      </c>
      <c r="C13" s="6" t="inlineStr">
        <is>
          <t>往来款项收入</t>
        </is>
      </c>
      <c r="D13" s="5" t="inlineStr">
        <is>
          <t>内部往来收入</t>
        </is>
      </c>
      <c r="E13" s="61" t="inlineStr">
        <is>
          <t>Q0401</t>
        </is>
      </c>
      <c r="F13" s="89">
        <f>浙江精准学!F13+知识跳跳!F13+海南精准学!F13+实时查!F13+目标准!F13+'SMART LEARNING HOLDING'!F13+'SMART AI LIMITED'!F13+'HK01'!F13-(SUMIFS(合并抵消!$J:$J,合并抵消!$E:$E,$E13,合并抵消!$A:$A,F$2)-SUMIFS(合并抵消!$K:$K,合并抵消!$E:$E,$E13,合并抵消!$A:$A,F$2))</f>
        <v/>
      </c>
      <c r="G13" s="89">
        <f>浙江精准学!G13+知识跳跳!G13+海南精准学!G13+实时查!G13+目标准!G13+'SMART LEARNING HOLDING'!G13+'SMART AI LIMITED'!G13+'HK01'!G13-(SUMIFS(合并抵消!$J:$J,合并抵消!$E:$E,$E13,合并抵消!$A:$A,G$2)-SUMIFS(合并抵消!$K:$K,合并抵消!$E:$E,$E13,合并抵消!$A:$A,G$2))</f>
        <v/>
      </c>
      <c r="H13" s="89">
        <f>浙江精准学!H13+知识跳跳!H13+海南精准学!H13+实时查!H13+目标准!H13+'SMART LEARNING HOLDING'!H13+'SMART AI LIMITED'!H13+'HK01'!H13-(SUMIFS(合并抵消!$J:$J,合并抵消!$E:$E,$E13,合并抵消!$A:$A,H$2)-SUMIFS(合并抵消!$K:$K,合并抵消!$E:$E,$E13,合并抵消!$A:$A,H$2))</f>
        <v/>
      </c>
      <c r="I13" s="89">
        <f>浙江精准学!I13+知识跳跳!I13+海南精准学!I13+实时查!I13+目标准!I13+'SMART LEARNING HOLDING'!I13+'SMART AI LIMITED'!I13+'HK01'!I13-(SUMIFS(合并抵消!$J:$J,合并抵消!$E:$E,$E13,合并抵消!$A:$A,I$2)-SUMIFS(合并抵消!$K:$K,合并抵消!$E:$E,$E13,合并抵消!$A:$A,I$2))</f>
        <v/>
      </c>
      <c r="J13" s="89">
        <f>浙江精准学!J13+知识跳跳!J13+海南精准学!J13+实时查!J13+目标准!J13+'SMART LEARNING HOLDING'!J13+'SMART AI LIMITED'!J13+'HK01'!J13-(SUMIFS(合并抵消!$J:$J,合并抵消!$E:$E,$E13,合并抵消!$A:$A,J$2)-SUMIFS(合并抵消!$K:$K,合并抵消!$E:$E,$E13,合并抵消!$A:$A,J$2))</f>
        <v/>
      </c>
      <c r="K13" s="89">
        <f>浙江精准学!K13+知识跳跳!K13+海南精准学!K13+实时查!K13+目标准!K13+'SMART LEARNING HOLDING'!K13+'SMART AI LIMITED'!K13+'HK01'!K13-(SUMIFS(合并抵消!$J:$J,合并抵消!$E:$E,$E13,合并抵消!$A:$A,K$2)-SUMIFS(合并抵消!$K:$K,合并抵消!$E:$E,$E13,合并抵消!$A:$A,K$2))</f>
        <v/>
      </c>
      <c r="L13" s="89">
        <f>浙江精准学!L13+知识跳跳!L13+海南精准学!L13+实时查!L13+目标准!L13+'SMART LEARNING HOLDING'!L13+'SMART AI LIMITED'!L13+'HK01'!L13-(SUMIFS(合并抵消!$J:$J,合并抵消!$E:$E,$E13,合并抵消!$A:$A,L$2)-SUMIFS(合并抵消!$K:$K,合并抵消!$E:$E,$E13,合并抵消!$A:$A,L$2))</f>
        <v/>
      </c>
      <c r="M13" s="89">
        <f>浙江精准学!M13+知识跳跳!M13+海南精准学!M13+实时查!M13+目标准!M13+'SMART LEARNING HOLDING'!M13+'SMART AI LIMITED'!M13+'HK01'!M13-(SUMIFS(合并抵消!$J:$J,合并抵消!$E:$E,$E13,合并抵消!$A:$A,M$2)-SUMIFS(合并抵消!$K:$K,合并抵消!$E:$E,$E13,合并抵消!$A:$A,M$2))</f>
        <v/>
      </c>
      <c r="N13" s="89">
        <f>浙江精准学!N13+知识跳跳!N13+海南精准学!N13+实时查!N13+目标准!N13+'SMART LEARNING HOLDING'!N13+'SMART AI LIMITED'!N13+'HK01'!N13-(SUMIFS(合并抵消!$J:$J,合并抵消!$E:$E,$E13,合并抵消!$A:$A,N$2)-SUMIFS(合并抵消!$K:$K,合并抵消!$E:$E,$E13,合并抵消!$A:$A,N$2))</f>
        <v/>
      </c>
      <c r="O13" s="89">
        <f>浙江精准学!O13+知识跳跳!O13+海南精准学!O13+实时查!O13+目标准!O13+'SMART LEARNING HOLDING'!O13+'SMART AI LIMITED'!O13+'HK01'!O13-(SUMIFS(合并抵消!$J:$J,合并抵消!$E:$E,$E13,合并抵消!$A:$A,O$2)-SUMIFS(合并抵消!$K:$K,合并抵消!$E:$E,$E13,合并抵消!$A:$A,O$2))</f>
        <v/>
      </c>
      <c r="P13" s="89">
        <f>浙江精准学!P13+知识跳跳!P13+海南精准学!P13+实时查!P13+目标准!P13+'SMART LEARNING HOLDING'!P13+'SMART AI LIMITED'!P13+'HK01'!P13-(SUMIFS(合并抵消!$J:$J,合并抵消!$E:$E,$E13,合并抵消!$A:$A,P$2)-SUMIFS(合并抵消!$K:$K,合并抵消!$E:$E,$E13,合并抵消!$A:$A,P$2))</f>
        <v/>
      </c>
      <c r="Q13" s="89">
        <f>浙江精准学!Q13+知识跳跳!Q13+海南精准学!Q13+实时查!Q13+目标准!Q13+'SMART LEARNING HOLDING'!Q13+'SMART AI LIMITED'!Q13+'HK01'!Q13-(SUMIFS(合并抵消!$J:$J,合并抵消!$E:$E,$E13,合并抵消!$A:$A,Q$2)-SUMIFS(合并抵消!$K:$K,合并抵消!$E:$E,$E13,合并抵消!$A:$A,Q$2))</f>
        <v/>
      </c>
      <c r="R13" s="89">
        <f>SUM(F13:Q13)</f>
        <v/>
      </c>
    </row>
    <row r="14" s="83">
      <c r="A14" s="5" t="inlineStr">
        <is>
          <t>往来款项收入</t>
        </is>
      </c>
      <c r="B14" s="6" t="inlineStr">
        <is>
          <t>往来款项收入</t>
        </is>
      </c>
      <c r="D14" s="5" t="inlineStr">
        <is>
          <t>外部往来收入</t>
        </is>
      </c>
      <c r="E14" s="6" t="inlineStr">
        <is>
          <t>Q0402</t>
        </is>
      </c>
      <c r="F14" s="89">
        <f>浙江精准学!F14+知识跳跳!F14+海南精准学!F14+实时查!F14+目标准!F14+'SMART LEARNING HOLDING'!F14+'SMART AI LIMITED'!F14+'HK01'!F14-(SUMIFS(合并抵消!$J:$J,合并抵消!$E:$E,$E14,合并抵消!$A:$A,F$2)-SUMIFS(合并抵消!$K:$K,合并抵消!$E:$E,$E14,合并抵消!$A:$A,F$2))</f>
        <v/>
      </c>
      <c r="G14" s="89">
        <f>浙江精准学!G14+知识跳跳!G14+海南精准学!G14+实时查!G14+目标准!G14+'SMART LEARNING HOLDING'!G14+'SMART AI LIMITED'!G14+'HK01'!G14-(SUMIFS(合并抵消!$J:$J,合并抵消!$E:$E,$E14,合并抵消!$A:$A,G$2)-SUMIFS(合并抵消!$K:$K,合并抵消!$E:$E,$E14,合并抵消!$A:$A,G$2))</f>
        <v/>
      </c>
      <c r="H14" s="89">
        <f>浙江精准学!H14+知识跳跳!H14+海南精准学!H14+实时查!H14+目标准!H14+'SMART LEARNING HOLDING'!H14+'SMART AI LIMITED'!H14+'HK01'!H14-(SUMIFS(合并抵消!$J:$J,合并抵消!$E:$E,$E14,合并抵消!$A:$A,H$2)-SUMIFS(合并抵消!$K:$K,合并抵消!$E:$E,$E14,合并抵消!$A:$A,H$2))</f>
        <v/>
      </c>
      <c r="I14" s="89">
        <f>浙江精准学!I14+知识跳跳!I14+海南精准学!I14+实时查!I14+目标准!I14+'SMART LEARNING HOLDING'!I14+'SMART AI LIMITED'!I14+'HK01'!I14-(SUMIFS(合并抵消!$J:$J,合并抵消!$E:$E,$E14,合并抵消!$A:$A,I$2)-SUMIFS(合并抵消!$K:$K,合并抵消!$E:$E,$E14,合并抵消!$A:$A,I$2))</f>
        <v/>
      </c>
      <c r="J14" s="89">
        <f>浙江精准学!J14+知识跳跳!J14+海南精准学!J14+实时查!J14+目标准!J14+'SMART LEARNING HOLDING'!J14+'SMART AI LIMITED'!J14+'HK01'!J14-(SUMIFS(合并抵消!$J:$J,合并抵消!$E:$E,$E14,合并抵消!$A:$A,J$2)-SUMIFS(合并抵消!$K:$K,合并抵消!$E:$E,$E14,合并抵消!$A:$A,J$2))</f>
        <v/>
      </c>
      <c r="K14" s="89">
        <f>浙江精准学!K14+知识跳跳!K14+海南精准学!K14+实时查!K14+目标准!K14+'SMART LEARNING HOLDING'!K14+'SMART AI LIMITED'!K14+'HK01'!K14-(SUMIFS(合并抵消!$J:$J,合并抵消!$E:$E,$E14,合并抵消!$A:$A,K$2)-SUMIFS(合并抵消!$K:$K,合并抵消!$E:$E,$E14,合并抵消!$A:$A,K$2))</f>
        <v/>
      </c>
      <c r="L14" s="89">
        <f>浙江精准学!L14+知识跳跳!L14+海南精准学!L14+实时查!L14+目标准!L14+'SMART LEARNING HOLDING'!L14+'SMART AI LIMITED'!L14+'HK01'!L14-(SUMIFS(合并抵消!$J:$J,合并抵消!$E:$E,$E14,合并抵消!$A:$A,L$2)-SUMIFS(合并抵消!$K:$K,合并抵消!$E:$E,$E14,合并抵消!$A:$A,L$2))</f>
        <v/>
      </c>
      <c r="M14" s="89">
        <f>浙江精准学!M14+知识跳跳!M14+海南精准学!M14+实时查!M14+目标准!M14+'SMART LEARNING HOLDING'!M14+'SMART AI LIMITED'!M14+'HK01'!M14-(SUMIFS(合并抵消!$J:$J,合并抵消!$E:$E,$E14,合并抵消!$A:$A,M$2)-SUMIFS(合并抵消!$K:$K,合并抵消!$E:$E,$E14,合并抵消!$A:$A,M$2))</f>
        <v/>
      </c>
      <c r="N14" s="89">
        <f>浙江精准学!N14+知识跳跳!N14+海南精准学!N14+实时查!N14+目标准!N14+'SMART LEARNING HOLDING'!N14+'SMART AI LIMITED'!N14+'HK01'!N14-(SUMIFS(合并抵消!$J:$J,合并抵消!$E:$E,$E14,合并抵消!$A:$A,N$2)-SUMIFS(合并抵消!$K:$K,合并抵消!$E:$E,$E14,合并抵消!$A:$A,N$2))</f>
        <v/>
      </c>
      <c r="O14" s="89">
        <f>浙江精准学!O14+知识跳跳!O14+海南精准学!O14+实时查!O14+目标准!O14+'SMART LEARNING HOLDING'!O14+'SMART AI LIMITED'!O14+'HK01'!O14-(SUMIFS(合并抵消!$J:$J,合并抵消!$E:$E,$E14,合并抵消!$A:$A,O$2)-SUMIFS(合并抵消!$K:$K,合并抵消!$E:$E,$E14,合并抵消!$A:$A,O$2))</f>
        <v/>
      </c>
      <c r="P14" s="89">
        <f>浙江精准学!P14+知识跳跳!P14+海南精准学!P14+实时查!P14+目标准!P14+'SMART LEARNING HOLDING'!P14+'SMART AI LIMITED'!P14+'HK01'!P14-(SUMIFS(合并抵消!$J:$J,合并抵消!$E:$E,$E14,合并抵消!$A:$A,P$2)-SUMIFS(合并抵消!$K:$K,合并抵消!$E:$E,$E14,合并抵消!$A:$A,P$2))</f>
        <v/>
      </c>
      <c r="Q14" s="89">
        <f>浙江精准学!Q14+知识跳跳!Q14+海南精准学!Q14+实时查!Q14+目标准!Q14+'SMART LEARNING HOLDING'!Q14+'SMART AI LIMITED'!Q14+'HK01'!Q14-(SUMIFS(合并抵消!$J:$J,合并抵消!$E:$E,$E14,合并抵消!$A:$A,Q$2)-SUMIFS(合并抵消!$K:$K,合并抵消!$E:$E,$E14,合并抵消!$A:$A,Q$2))</f>
        <v/>
      </c>
      <c r="R14" s="89">
        <f>SUM(F14:Q14)</f>
        <v/>
      </c>
    </row>
    <row r="15" s="83">
      <c r="A15" s="49" t="inlineStr">
        <is>
          <t>往来款项收入合计</t>
        </is>
      </c>
      <c r="B15" s="50" t="n"/>
      <c r="C15" s="50" t="n"/>
      <c r="D15" s="49" t="n"/>
      <c r="E15" s="49" t="n"/>
      <c r="F15" s="89">
        <f>SUM(F13:F14)</f>
        <v/>
      </c>
      <c r="G15" s="89">
        <f>SUM(G13:G14)</f>
        <v/>
      </c>
      <c r="H15" s="89">
        <f>SUM(H13:H14)</f>
        <v/>
      </c>
      <c r="I15" s="89">
        <f>SUM(I13:I14)</f>
        <v/>
      </c>
      <c r="J15" s="89">
        <f>SUM(J13:J14)</f>
        <v/>
      </c>
      <c r="K15" s="89">
        <f>SUM(K13:K14)</f>
        <v/>
      </c>
      <c r="L15" s="89">
        <f>SUM(L13:L14)</f>
        <v/>
      </c>
      <c r="M15" s="89">
        <f>SUM(M13:M14)</f>
        <v/>
      </c>
      <c r="N15" s="89">
        <f>SUM(N13:N14)</f>
        <v/>
      </c>
      <c r="O15" s="89">
        <f>SUM(O13:O14)</f>
        <v/>
      </c>
      <c r="P15" s="89">
        <f>SUM(P13:P14)</f>
        <v/>
      </c>
      <c r="Q15" s="89">
        <f>SUM(Q13:Q14)</f>
        <v/>
      </c>
      <c r="R15" s="89">
        <f>SUM(F15:Q15)</f>
        <v/>
      </c>
    </row>
    <row r="16" s="83">
      <c r="A16" s="5" t="inlineStr">
        <is>
          <t>投资款收入</t>
        </is>
      </c>
      <c r="B16" s="6" t="inlineStr">
        <is>
          <t>投资款收入</t>
        </is>
      </c>
      <c r="C16" s="6" t="inlineStr">
        <is>
          <t>投资款收入</t>
        </is>
      </c>
      <c r="D16" s="5" t="inlineStr">
        <is>
          <t>内部投资款收入</t>
        </is>
      </c>
      <c r="E16" s="61" t="inlineStr">
        <is>
          <t>Q0501</t>
        </is>
      </c>
      <c r="F16" s="89">
        <f>浙江精准学!F16+知识跳跳!F16+海南精准学!F16+实时查!F16+目标准!F16+'SMART LEARNING HOLDING'!F16+'SMART AI LIMITED'!F16+'HK01'!F16-(SUMIFS(合并抵消!$J:$J,合并抵消!$E:$E,$E16,合并抵消!$A:$A,F$2)-SUMIFS(合并抵消!$K:$K,合并抵消!$E:$E,$E16,合并抵消!$A:$A,F$2))</f>
        <v/>
      </c>
      <c r="G16" s="89">
        <f>浙江精准学!G16+知识跳跳!G16+海南精准学!G16+实时查!G16+目标准!G16+'SMART LEARNING HOLDING'!G16+'SMART AI LIMITED'!G16+'HK01'!G16-(SUMIFS(合并抵消!$J:$J,合并抵消!$E:$E,$E16,合并抵消!$A:$A,G$2)-SUMIFS(合并抵消!$K:$K,合并抵消!$E:$E,$E16,合并抵消!$A:$A,G$2))</f>
        <v/>
      </c>
      <c r="H16" s="89">
        <f>浙江精准学!H16+知识跳跳!H16+海南精准学!H16+实时查!H16+目标准!H16+'SMART LEARNING HOLDING'!H16+'SMART AI LIMITED'!H16+'HK01'!H16-(SUMIFS(合并抵消!$J:$J,合并抵消!$E:$E,$E16,合并抵消!$A:$A,H$2)-SUMIFS(合并抵消!$K:$K,合并抵消!$E:$E,$E16,合并抵消!$A:$A,H$2))</f>
        <v/>
      </c>
      <c r="I16" s="89">
        <f>浙江精准学!I16+知识跳跳!I16+海南精准学!I16+实时查!I16+目标准!I16+'SMART LEARNING HOLDING'!I16+'SMART AI LIMITED'!I16+'HK01'!I16-(SUMIFS(合并抵消!$J:$J,合并抵消!$E:$E,$E16,合并抵消!$A:$A,I$2)-SUMIFS(合并抵消!$K:$K,合并抵消!$E:$E,$E16,合并抵消!$A:$A,I$2))</f>
        <v/>
      </c>
      <c r="J16" s="89">
        <f>浙江精准学!J16+知识跳跳!J16+海南精准学!J16+实时查!J16+目标准!J16+'SMART LEARNING HOLDING'!J16+'SMART AI LIMITED'!J16+'HK01'!J16-(SUMIFS(合并抵消!$J:$J,合并抵消!$E:$E,$E16,合并抵消!$A:$A,J$2)-SUMIFS(合并抵消!$K:$K,合并抵消!$E:$E,$E16,合并抵消!$A:$A,J$2))</f>
        <v/>
      </c>
      <c r="K16" s="89">
        <f>浙江精准学!K16+知识跳跳!K16+海南精准学!K16+实时查!K16+目标准!K16+'SMART LEARNING HOLDING'!K16+'SMART AI LIMITED'!K16+'HK01'!K16-(SUMIFS(合并抵消!$J:$J,合并抵消!$E:$E,$E16,合并抵消!$A:$A,K$2)-SUMIFS(合并抵消!$K:$K,合并抵消!$E:$E,$E16,合并抵消!$A:$A,K$2))</f>
        <v/>
      </c>
      <c r="L16" s="89">
        <f>浙江精准学!L16+知识跳跳!L16+海南精准学!L16+实时查!L16+目标准!L16+'SMART LEARNING HOLDING'!L16+'SMART AI LIMITED'!L16+'HK01'!L16-(SUMIFS(合并抵消!$J:$J,合并抵消!$E:$E,$E16,合并抵消!$A:$A,L$2)-SUMIFS(合并抵消!$K:$K,合并抵消!$E:$E,$E16,合并抵消!$A:$A,L$2))</f>
        <v/>
      </c>
      <c r="M16" s="89">
        <f>浙江精准学!M16+知识跳跳!M16+海南精准学!M16+实时查!M16+目标准!M16+'SMART LEARNING HOLDING'!M16+'SMART AI LIMITED'!M16+'HK01'!M16-(SUMIFS(合并抵消!$J:$J,合并抵消!$E:$E,$E16,合并抵消!$A:$A,M$2)-SUMIFS(合并抵消!$K:$K,合并抵消!$E:$E,$E16,合并抵消!$A:$A,M$2))</f>
        <v/>
      </c>
      <c r="N16" s="89">
        <f>浙江精准学!N16+知识跳跳!N16+海南精准学!N16+实时查!N16+目标准!N16+'SMART LEARNING HOLDING'!N16+'SMART AI LIMITED'!N16+'HK01'!N16-(SUMIFS(合并抵消!$J:$J,合并抵消!$E:$E,$E16,合并抵消!$A:$A,N$2)-SUMIFS(合并抵消!$K:$K,合并抵消!$E:$E,$E16,合并抵消!$A:$A,N$2))</f>
        <v/>
      </c>
      <c r="O16" s="89">
        <f>浙江精准学!O16+知识跳跳!O16+海南精准学!O16+实时查!O16+目标准!O16+'SMART LEARNING HOLDING'!O16+'SMART AI LIMITED'!O16+'HK01'!O16-(SUMIFS(合并抵消!$J:$J,合并抵消!$E:$E,$E16,合并抵消!$A:$A,O$2)-SUMIFS(合并抵消!$K:$K,合并抵消!$E:$E,$E16,合并抵消!$A:$A,O$2))</f>
        <v/>
      </c>
      <c r="P16" s="89">
        <f>浙江精准学!P16+知识跳跳!P16+海南精准学!P16+实时查!P16+目标准!P16+'SMART LEARNING HOLDING'!P16+'SMART AI LIMITED'!P16+'HK01'!P16-(SUMIFS(合并抵消!$J:$J,合并抵消!$E:$E,$E16,合并抵消!$A:$A,P$2)-SUMIFS(合并抵消!$K:$K,合并抵消!$E:$E,$E16,合并抵消!$A:$A,P$2))</f>
        <v/>
      </c>
      <c r="Q16" s="89">
        <f>浙江精准学!Q16+知识跳跳!Q16+海南精准学!Q16+实时查!Q16+目标准!Q16+'SMART LEARNING HOLDING'!Q16+'SMART AI LIMITED'!Q16+'HK01'!Q16-(SUMIFS(合并抵消!$J:$J,合并抵消!$E:$E,$E16,合并抵消!$A:$A,Q$2)-SUMIFS(合并抵消!$K:$K,合并抵消!$E:$E,$E16,合并抵消!$A:$A,Q$2))</f>
        <v/>
      </c>
      <c r="R16" s="89">
        <f>SUM(F16:Q16)</f>
        <v/>
      </c>
    </row>
    <row r="17" s="83">
      <c r="A17" s="5" t="inlineStr">
        <is>
          <t>投资款收入</t>
        </is>
      </c>
      <c r="B17" s="6" t="inlineStr">
        <is>
          <t>投资款收入</t>
        </is>
      </c>
      <c r="D17" s="5" t="inlineStr">
        <is>
          <t>外部投资款收入</t>
        </is>
      </c>
      <c r="E17" s="6" t="inlineStr">
        <is>
          <t>Q0502</t>
        </is>
      </c>
      <c r="F17" s="89">
        <f>浙江精准学!F17+知识跳跳!F17+海南精准学!F17+实时查!F17+目标准!F17+'SMART LEARNING HOLDING'!F17+'SMART AI LIMITED'!F17+'HK01'!F17-(SUMIFS(合并抵消!$J:$J,合并抵消!$E:$E,$E17,合并抵消!$A:$A,F$2)-SUMIFS(合并抵消!$K:$K,合并抵消!$E:$E,$E17,合并抵消!$A:$A,F$2))</f>
        <v/>
      </c>
      <c r="G17" s="89">
        <f>浙江精准学!G17+知识跳跳!G17+海南精准学!G17+实时查!G17+目标准!G17+'SMART LEARNING HOLDING'!G17+'SMART AI LIMITED'!G17+'HK01'!G17-(SUMIFS(合并抵消!$J:$J,合并抵消!$E:$E,$E17,合并抵消!$A:$A,G$2)-SUMIFS(合并抵消!$K:$K,合并抵消!$E:$E,$E17,合并抵消!$A:$A,G$2))</f>
        <v/>
      </c>
      <c r="H17" s="89">
        <f>浙江精准学!H17+知识跳跳!H17+海南精准学!H17+实时查!H17+目标准!H17+'SMART LEARNING HOLDING'!H17+'SMART AI LIMITED'!H17+'HK01'!H17-(SUMIFS(合并抵消!$J:$J,合并抵消!$E:$E,$E17,合并抵消!$A:$A,H$2)-SUMIFS(合并抵消!$K:$K,合并抵消!$E:$E,$E17,合并抵消!$A:$A,H$2))</f>
        <v/>
      </c>
      <c r="I17" s="89">
        <f>浙江精准学!I17+知识跳跳!I17+海南精准学!I17+实时查!I17+目标准!I17+'SMART LEARNING HOLDING'!I17+'SMART AI LIMITED'!I17+'HK01'!I17-(SUMIFS(合并抵消!$J:$J,合并抵消!$E:$E,$E17,合并抵消!$A:$A,I$2)-SUMIFS(合并抵消!$K:$K,合并抵消!$E:$E,$E17,合并抵消!$A:$A,I$2))</f>
        <v/>
      </c>
      <c r="J17" s="89">
        <f>浙江精准学!J17+知识跳跳!J17+海南精准学!J17+实时查!J17+目标准!J17+'SMART LEARNING HOLDING'!J17+'SMART AI LIMITED'!J17+'HK01'!J17-(SUMIFS(合并抵消!$J:$J,合并抵消!$E:$E,$E17,合并抵消!$A:$A,J$2)-SUMIFS(合并抵消!$K:$K,合并抵消!$E:$E,$E17,合并抵消!$A:$A,J$2))</f>
        <v/>
      </c>
      <c r="K17" s="89">
        <f>浙江精准学!K17+知识跳跳!K17+海南精准学!K17+实时查!K17+目标准!K17+'SMART LEARNING HOLDING'!K17+'SMART AI LIMITED'!K17+'HK01'!K17-(SUMIFS(合并抵消!$J:$J,合并抵消!$E:$E,$E17,合并抵消!$A:$A,K$2)-SUMIFS(合并抵消!$K:$K,合并抵消!$E:$E,$E17,合并抵消!$A:$A,K$2))</f>
        <v/>
      </c>
      <c r="L17" s="89">
        <f>浙江精准学!L17+知识跳跳!L17+海南精准学!L17+实时查!L17+目标准!L17+'SMART LEARNING HOLDING'!L17+'SMART AI LIMITED'!L17+'HK01'!L17-(SUMIFS(合并抵消!$J:$J,合并抵消!$E:$E,$E17,合并抵消!$A:$A,L$2)-SUMIFS(合并抵消!$K:$K,合并抵消!$E:$E,$E17,合并抵消!$A:$A,L$2))</f>
        <v/>
      </c>
      <c r="M17" s="89">
        <f>浙江精准学!M17+知识跳跳!M17+海南精准学!M17+实时查!M17+目标准!M17+'SMART LEARNING HOLDING'!M17+'SMART AI LIMITED'!M17+'HK01'!M17-(SUMIFS(合并抵消!$J:$J,合并抵消!$E:$E,$E17,合并抵消!$A:$A,M$2)-SUMIFS(合并抵消!$K:$K,合并抵消!$E:$E,$E17,合并抵消!$A:$A,M$2))</f>
        <v/>
      </c>
      <c r="N17" s="89">
        <f>浙江精准学!N17+知识跳跳!N17+海南精准学!N17+实时查!N17+目标准!N17+'SMART LEARNING HOLDING'!N17+'SMART AI LIMITED'!N17+'HK01'!N17-(SUMIFS(合并抵消!$J:$J,合并抵消!$E:$E,$E17,合并抵消!$A:$A,N$2)-SUMIFS(合并抵消!$K:$K,合并抵消!$E:$E,$E17,合并抵消!$A:$A,N$2))</f>
        <v/>
      </c>
      <c r="O17" s="89">
        <f>浙江精准学!O17+知识跳跳!O17+海南精准学!O17+实时查!O17+目标准!O17+'SMART LEARNING HOLDING'!O17+'SMART AI LIMITED'!O17+'HK01'!O17-(SUMIFS(合并抵消!$J:$J,合并抵消!$E:$E,$E17,合并抵消!$A:$A,O$2)-SUMIFS(合并抵消!$K:$K,合并抵消!$E:$E,$E17,合并抵消!$A:$A,O$2))</f>
        <v/>
      </c>
      <c r="P17" s="89">
        <f>浙江精准学!P17+知识跳跳!P17+海南精准学!P17+实时查!P17+目标准!P17+'SMART LEARNING HOLDING'!P17+'SMART AI LIMITED'!P17+'HK01'!P17-(SUMIFS(合并抵消!$J:$J,合并抵消!$E:$E,$E17,合并抵消!$A:$A,P$2)-SUMIFS(合并抵消!$K:$K,合并抵消!$E:$E,$E17,合并抵消!$A:$A,P$2))</f>
        <v/>
      </c>
      <c r="Q17" s="89">
        <f>浙江精准学!Q17+知识跳跳!Q17+海南精准学!Q17+实时查!Q17+目标准!Q17+'SMART LEARNING HOLDING'!Q17+'SMART AI LIMITED'!Q17+'HK01'!Q17-(SUMIFS(合并抵消!$J:$J,合并抵消!$E:$E,$E17,合并抵消!$A:$A,Q$2)-SUMIFS(合并抵消!$K:$K,合并抵消!$E:$E,$E17,合并抵消!$A:$A,Q$2))</f>
        <v/>
      </c>
      <c r="R17" s="89">
        <f>SUM(F17:Q17)</f>
        <v/>
      </c>
    </row>
    <row r="18" s="83">
      <c r="A18" s="49" t="inlineStr">
        <is>
          <t>投资款收入合计</t>
        </is>
      </c>
      <c r="B18" s="50" t="n"/>
      <c r="C18" s="50" t="n"/>
      <c r="D18" s="49" t="n"/>
      <c r="E18" s="49" t="n"/>
      <c r="F18" s="89">
        <f>SUM(F16:F17)</f>
        <v/>
      </c>
      <c r="G18" s="89">
        <f>SUM(G16:G17)</f>
        <v/>
      </c>
      <c r="H18" s="89">
        <f>SUM(H16:H17)</f>
        <v/>
      </c>
      <c r="I18" s="89">
        <f>SUM(I16:I17)</f>
        <v/>
      </c>
      <c r="J18" s="89">
        <f>SUM(J16:J17)</f>
        <v/>
      </c>
      <c r="K18" s="89">
        <f>SUM(K16:K17)</f>
        <v/>
      </c>
      <c r="L18" s="89">
        <f>SUM(L16:L17)</f>
        <v/>
      </c>
      <c r="M18" s="89">
        <f>SUM(M16:M17)</f>
        <v/>
      </c>
      <c r="N18" s="89">
        <f>SUM(N16:N17)</f>
        <v/>
      </c>
      <c r="O18" s="89">
        <f>SUM(O16:O17)</f>
        <v/>
      </c>
      <c r="P18" s="89">
        <f>SUM(P16:P17)</f>
        <v/>
      </c>
      <c r="Q18" s="89">
        <f>SUM(Q16:Q17)</f>
        <v/>
      </c>
      <c r="R18" s="89">
        <f>SUM(F18:Q18)</f>
        <v/>
      </c>
    </row>
    <row r="19" s="83">
      <c r="A19" s="51" t="inlineStr">
        <is>
          <t>收款合计</t>
        </is>
      </c>
      <c r="B19" s="52" t="n"/>
      <c r="C19" s="52" t="n"/>
      <c r="D19" s="51" t="n"/>
      <c r="E19" s="51" t="n"/>
      <c r="F19" s="89">
        <f>ROUND(F12+F15+F18,2)</f>
        <v/>
      </c>
      <c r="G19" s="89">
        <f>ROUND(G12+G15+G18,2)</f>
        <v/>
      </c>
      <c r="H19" s="89">
        <f>ROUND(H12+H15+H18,2)</f>
        <v/>
      </c>
      <c r="I19" s="89">
        <f>ROUND(I12+I15+I18,2)</f>
        <v/>
      </c>
      <c r="J19" s="89">
        <f>ROUND(J12+J15+J18,2)</f>
        <v/>
      </c>
      <c r="K19" s="89">
        <f>ROUND(K12+K15+K18,2)</f>
        <v/>
      </c>
      <c r="L19" s="89">
        <f>ROUND(L12+L15+L18,2)</f>
        <v/>
      </c>
      <c r="M19" s="89">
        <f>ROUND(M12+M15+M18,2)</f>
        <v/>
      </c>
      <c r="N19" s="89">
        <f>ROUND(N12+N15+N18,2)</f>
        <v/>
      </c>
      <c r="O19" s="89">
        <f>ROUND(O12+O15+O18,2)</f>
        <v/>
      </c>
      <c r="P19" s="89">
        <f>ROUND(P12+P15+P18,2)</f>
        <v/>
      </c>
      <c r="Q19" s="89">
        <f>ROUND(Q12+Q15+Q18,2)</f>
        <v/>
      </c>
      <c r="R19" s="89">
        <f>SUM(F19:Q19)</f>
        <v/>
      </c>
    </row>
    <row r="20" s="83">
      <c r="A20" s="5" t="inlineStr">
        <is>
          <t>往来款项支出</t>
        </is>
      </c>
      <c r="B20" s="6" t="inlineStr">
        <is>
          <t>往来款项支出</t>
        </is>
      </c>
      <c r="C20" s="6" t="inlineStr">
        <is>
          <t>往来款项支出</t>
        </is>
      </c>
      <c r="D20" s="5" t="inlineStr">
        <is>
          <t>内部往来支出</t>
        </is>
      </c>
      <c r="E20" s="61" t="inlineStr">
        <is>
          <t>Q0601</t>
        </is>
      </c>
      <c r="F20" s="89">
        <f>浙江精准学!F20+知识跳跳!F20+海南精准学!F20+实时查!F20+目标准!F20+'SMART LEARNING HOLDING'!F20+'SMART AI LIMITED'!F20+'HK01'!F20-(-SUMIFS(合并抵消!$J:$J,合并抵消!$E:$E,$E20,合并抵消!$A:$A,F$2)+SUMIFS(合并抵消!$K:$K,合并抵消!$E:$E,$E20,合并抵消!$A:$A,F$2))</f>
        <v/>
      </c>
      <c r="G20" s="89">
        <f>浙江精准学!G20+知识跳跳!G20+海南精准学!G20+实时查!G20+目标准!G20+'SMART LEARNING HOLDING'!G20+'SMART AI LIMITED'!G20+'HK01'!G20-(-SUMIFS(合并抵消!$J:$J,合并抵消!$E:$E,$E20,合并抵消!$A:$A,G$2)+SUMIFS(合并抵消!$K:$K,合并抵消!$E:$E,$E20,合并抵消!$A:$A,G$2))</f>
        <v/>
      </c>
      <c r="H20" s="89">
        <f>浙江精准学!H20+知识跳跳!H20+海南精准学!H20+实时查!H20+目标准!H20+'SMART LEARNING HOLDING'!H20+'SMART AI LIMITED'!H20+'HK01'!H20-(-SUMIFS(合并抵消!$J:$J,合并抵消!$E:$E,$E20,合并抵消!$A:$A,H$2)+SUMIFS(合并抵消!$K:$K,合并抵消!$E:$E,$E20,合并抵消!$A:$A,H$2))</f>
        <v/>
      </c>
      <c r="I20" s="89">
        <f>浙江精准学!I20+知识跳跳!I20+海南精准学!I20+实时查!I20+目标准!I20+'SMART LEARNING HOLDING'!I20+'SMART AI LIMITED'!I20+'HK01'!I20-(-SUMIFS(合并抵消!$J:$J,合并抵消!$E:$E,$E20,合并抵消!$A:$A,I$2)+SUMIFS(合并抵消!$K:$K,合并抵消!$E:$E,$E20,合并抵消!$A:$A,I$2))</f>
        <v/>
      </c>
      <c r="J20" s="89">
        <f>浙江精准学!J20+知识跳跳!J20+海南精准学!J20+实时查!J20+目标准!J20+'SMART LEARNING HOLDING'!J20+'SMART AI LIMITED'!J20+'HK01'!J20-(-SUMIFS(合并抵消!$J:$J,合并抵消!$E:$E,$E20,合并抵消!$A:$A,J$2)+SUMIFS(合并抵消!$K:$K,合并抵消!$E:$E,$E20,合并抵消!$A:$A,J$2))</f>
        <v/>
      </c>
      <c r="K20" s="89">
        <f>浙江精准学!K20+知识跳跳!K20+海南精准学!K20+实时查!K20+目标准!K20+'SMART LEARNING HOLDING'!K20+'SMART AI LIMITED'!K20+'HK01'!K20-(-SUMIFS(合并抵消!$J:$J,合并抵消!$E:$E,$E20,合并抵消!$A:$A,K$2)+SUMIFS(合并抵消!$K:$K,合并抵消!$E:$E,$E20,合并抵消!$A:$A,K$2))</f>
        <v/>
      </c>
      <c r="L20" s="89">
        <f>浙江精准学!L20+知识跳跳!L20+海南精准学!L20+实时查!L20+目标准!L20+'SMART LEARNING HOLDING'!L20+'SMART AI LIMITED'!L20+'HK01'!L20-(-SUMIFS(合并抵消!$J:$J,合并抵消!$E:$E,$E20,合并抵消!$A:$A,L$2)+SUMIFS(合并抵消!$K:$K,合并抵消!$E:$E,$E20,合并抵消!$A:$A,L$2))</f>
        <v/>
      </c>
      <c r="M20" s="89">
        <f>浙江精准学!M20+知识跳跳!M20+海南精准学!M20+实时查!M20+目标准!M20+'SMART LEARNING HOLDING'!M20+'SMART AI LIMITED'!M20+'HK01'!M20-(-SUMIFS(合并抵消!$J:$J,合并抵消!$E:$E,$E20,合并抵消!$A:$A,M$2)+SUMIFS(合并抵消!$K:$K,合并抵消!$E:$E,$E20,合并抵消!$A:$A,M$2))</f>
        <v/>
      </c>
      <c r="N20" s="89">
        <f>浙江精准学!N20+知识跳跳!N20+海南精准学!N20+实时查!N20+目标准!N20+'SMART LEARNING HOLDING'!N20+'SMART AI LIMITED'!N20+'HK01'!N20-(-SUMIFS(合并抵消!$J:$J,合并抵消!$E:$E,$E20,合并抵消!$A:$A,N$2)+SUMIFS(合并抵消!$K:$K,合并抵消!$E:$E,$E20,合并抵消!$A:$A,N$2))</f>
        <v/>
      </c>
      <c r="O20" s="89">
        <f>浙江精准学!O20+知识跳跳!O20+海南精准学!O20+实时查!O20+目标准!O20+'SMART LEARNING HOLDING'!O20+'SMART AI LIMITED'!O20+'HK01'!O20-(-SUMIFS(合并抵消!$J:$J,合并抵消!$E:$E,$E20,合并抵消!$A:$A,O$2)+SUMIFS(合并抵消!$K:$K,合并抵消!$E:$E,$E20,合并抵消!$A:$A,O$2))</f>
        <v/>
      </c>
      <c r="P20" s="89">
        <f>浙江精准学!P20+知识跳跳!P20+海南精准学!P20+实时查!P20+目标准!P20+'SMART LEARNING HOLDING'!P20+'SMART AI LIMITED'!P20+'HK01'!P20-(-SUMIFS(合并抵消!$J:$J,合并抵消!$E:$E,$E20,合并抵消!$A:$A,P$2)+SUMIFS(合并抵消!$K:$K,合并抵消!$E:$E,$E20,合并抵消!$A:$A,P$2))</f>
        <v/>
      </c>
      <c r="Q20" s="89">
        <f>浙江精准学!Q20+知识跳跳!Q20+海南精准学!Q20+实时查!Q20+目标准!Q20+'SMART LEARNING HOLDING'!Q20+'SMART AI LIMITED'!Q20+'HK01'!Q20-(-SUMIFS(合并抵消!$J:$J,合并抵消!$E:$E,$E20,合并抵消!$A:$A,Q$2)+SUMIFS(合并抵消!$K:$K,合并抵消!$E:$E,$E20,合并抵消!$A:$A,Q$2))</f>
        <v/>
      </c>
      <c r="R20" s="89">
        <f>SUM(F20:Q20)</f>
        <v/>
      </c>
    </row>
    <row r="21" s="83">
      <c r="A21" s="5" t="inlineStr">
        <is>
          <t>往来款项支出</t>
        </is>
      </c>
      <c r="B21" s="6" t="inlineStr">
        <is>
          <t>往来款项支出</t>
        </is>
      </c>
      <c r="D21" s="5" t="inlineStr">
        <is>
          <t>外部往来支出</t>
        </is>
      </c>
      <c r="E21" s="6" t="inlineStr">
        <is>
          <t>Q0602</t>
        </is>
      </c>
      <c r="F21" s="89">
        <f>浙江精准学!F21+知识跳跳!F21+海南精准学!F21+实时查!F21+目标准!F21+'SMART LEARNING HOLDING'!F21+'SMART AI LIMITED'!F21+'HK01'!F21-(-SUMIFS(合并抵消!$J:$J,合并抵消!$E:$E,$E21,合并抵消!$A:$A,F$2)+SUMIFS(合并抵消!$K:$K,合并抵消!$E:$E,$E21,合并抵消!$A:$A,F$2))</f>
        <v/>
      </c>
      <c r="G21" s="89">
        <f>浙江精准学!G21+知识跳跳!G21+海南精准学!G21+实时查!G21+目标准!G21+'SMART LEARNING HOLDING'!G21+'SMART AI LIMITED'!G21+'HK01'!G21-(-SUMIFS(合并抵消!$J:$J,合并抵消!$E:$E,$E21,合并抵消!$A:$A,G$2)+SUMIFS(合并抵消!$K:$K,合并抵消!$E:$E,$E21,合并抵消!$A:$A,G$2))</f>
        <v/>
      </c>
      <c r="H21" s="89">
        <f>浙江精准学!H21+知识跳跳!H21+海南精准学!H21+实时查!H21+目标准!H21+'SMART LEARNING HOLDING'!H21+'SMART AI LIMITED'!H21+'HK01'!H21-(-SUMIFS(合并抵消!$J:$J,合并抵消!$E:$E,$E21,合并抵消!$A:$A,H$2)+SUMIFS(合并抵消!$K:$K,合并抵消!$E:$E,$E21,合并抵消!$A:$A,H$2))</f>
        <v/>
      </c>
      <c r="I21" s="89">
        <f>浙江精准学!I21+知识跳跳!I21+海南精准学!I21+实时查!I21+目标准!I21+'SMART LEARNING HOLDING'!I21+'SMART AI LIMITED'!I21+'HK01'!I21-(-SUMIFS(合并抵消!$J:$J,合并抵消!$E:$E,$E21,合并抵消!$A:$A,I$2)+SUMIFS(合并抵消!$K:$K,合并抵消!$E:$E,$E21,合并抵消!$A:$A,I$2))</f>
        <v/>
      </c>
      <c r="J21" s="89">
        <f>浙江精准学!J21+知识跳跳!J21+海南精准学!J21+实时查!J21+目标准!J21+'SMART LEARNING HOLDING'!J21+'SMART AI LIMITED'!J21+'HK01'!J21-(-SUMIFS(合并抵消!$J:$J,合并抵消!$E:$E,$E21,合并抵消!$A:$A,J$2)+SUMIFS(合并抵消!$K:$K,合并抵消!$E:$E,$E21,合并抵消!$A:$A,J$2))</f>
        <v/>
      </c>
      <c r="K21" s="89">
        <f>浙江精准学!K21+知识跳跳!K21+海南精准学!K21+实时查!K21+目标准!K21+'SMART LEARNING HOLDING'!K21+'SMART AI LIMITED'!K21+'HK01'!K21-(-SUMIFS(合并抵消!$J:$J,合并抵消!$E:$E,$E21,合并抵消!$A:$A,K$2)+SUMIFS(合并抵消!$K:$K,合并抵消!$E:$E,$E21,合并抵消!$A:$A,K$2))</f>
        <v/>
      </c>
      <c r="L21" s="89">
        <f>浙江精准学!L21+知识跳跳!L21+海南精准学!L21+实时查!L21+目标准!L21+'SMART LEARNING HOLDING'!L21+'SMART AI LIMITED'!L21+'HK01'!L21-(-SUMIFS(合并抵消!$J:$J,合并抵消!$E:$E,$E21,合并抵消!$A:$A,L$2)+SUMIFS(合并抵消!$K:$K,合并抵消!$E:$E,$E21,合并抵消!$A:$A,L$2))</f>
        <v/>
      </c>
      <c r="M21" s="89">
        <f>浙江精准学!M21+知识跳跳!M21+海南精准学!M21+实时查!M21+目标准!M21+'SMART LEARNING HOLDING'!M21+'SMART AI LIMITED'!M21+'HK01'!M21-(-SUMIFS(合并抵消!$J:$J,合并抵消!$E:$E,$E21,合并抵消!$A:$A,M$2)+SUMIFS(合并抵消!$K:$K,合并抵消!$E:$E,$E21,合并抵消!$A:$A,M$2))</f>
        <v/>
      </c>
      <c r="N21" s="89">
        <f>浙江精准学!N21+知识跳跳!N21+海南精准学!N21+实时查!N21+目标准!N21+'SMART LEARNING HOLDING'!N21+'SMART AI LIMITED'!N21+'HK01'!N21-(-SUMIFS(合并抵消!$J:$J,合并抵消!$E:$E,$E21,合并抵消!$A:$A,N$2)+SUMIFS(合并抵消!$K:$K,合并抵消!$E:$E,$E21,合并抵消!$A:$A,N$2))</f>
        <v/>
      </c>
      <c r="O21" s="89">
        <f>浙江精准学!O21+知识跳跳!O21+海南精准学!O21+实时查!O21+目标准!O21+'SMART LEARNING HOLDING'!O21+'SMART AI LIMITED'!O21+'HK01'!O21-(-SUMIFS(合并抵消!$J:$J,合并抵消!$E:$E,$E21,合并抵消!$A:$A,O$2)+SUMIFS(合并抵消!$K:$K,合并抵消!$E:$E,$E21,合并抵消!$A:$A,O$2))</f>
        <v/>
      </c>
      <c r="P21" s="89">
        <f>浙江精准学!P21+知识跳跳!P21+海南精准学!P21+实时查!P21+目标准!P21+'SMART LEARNING HOLDING'!P21+'SMART AI LIMITED'!P21+'HK01'!P21-(-SUMIFS(合并抵消!$J:$J,合并抵消!$E:$E,$E21,合并抵消!$A:$A,P$2)+SUMIFS(合并抵消!$K:$K,合并抵消!$E:$E,$E21,合并抵消!$A:$A,P$2))</f>
        <v/>
      </c>
      <c r="Q21" s="89">
        <f>浙江精准学!Q21+知识跳跳!Q21+海南精准学!Q21+实时查!Q21+目标准!Q21+'SMART LEARNING HOLDING'!Q21+'SMART AI LIMITED'!Q21+'HK01'!Q21-(-SUMIFS(合并抵消!$J:$J,合并抵消!$E:$E,$E21,合并抵消!$A:$A,Q$2)+SUMIFS(合并抵消!$K:$K,合并抵消!$E:$E,$E21,合并抵消!$A:$A,Q$2))</f>
        <v/>
      </c>
      <c r="R21" s="89">
        <f>SUM(F21:Q21)</f>
        <v/>
      </c>
    </row>
    <row r="22" s="83">
      <c r="A22" s="49" t="inlineStr">
        <is>
          <t>往来款项支出合计</t>
        </is>
      </c>
      <c r="B22" s="50" t="n"/>
      <c r="C22" s="50" t="n"/>
      <c r="D22" s="49" t="n"/>
      <c r="E22" s="49" t="n"/>
      <c r="F22" s="89">
        <f>SUM(F20:F21)</f>
        <v/>
      </c>
      <c r="G22" s="89">
        <f>SUM(G20:G21)</f>
        <v/>
      </c>
      <c r="H22" s="89">
        <f>SUM(H20:H21)</f>
        <v/>
      </c>
      <c r="I22" s="89">
        <f>SUM(I20:I21)</f>
        <v/>
      </c>
      <c r="J22" s="89">
        <f>SUM(J20:J21)</f>
        <v/>
      </c>
      <c r="K22" s="89">
        <f>SUM(K20:K21)</f>
        <v/>
      </c>
      <c r="L22" s="89">
        <f>SUM(L20:L21)</f>
        <v/>
      </c>
      <c r="M22" s="89">
        <f>SUM(M20:M21)</f>
        <v/>
      </c>
      <c r="N22" s="89">
        <f>SUM(N20:N21)</f>
        <v/>
      </c>
      <c r="O22" s="89">
        <f>SUM(O20:O21)</f>
        <v/>
      </c>
      <c r="P22" s="89">
        <f>SUM(P20:P21)</f>
        <v/>
      </c>
      <c r="Q22" s="89">
        <f>SUM(Q20:Q21)</f>
        <v/>
      </c>
      <c r="R22" s="89">
        <f>SUM(F22:Q22)</f>
        <v/>
      </c>
    </row>
    <row r="23" s="83">
      <c r="A23" s="5" t="inlineStr">
        <is>
          <t>投资款支出</t>
        </is>
      </c>
      <c r="B23" s="6" t="inlineStr">
        <is>
          <t>投资款支出</t>
        </is>
      </c>
      <c r="C23" s="6" t="inlineStr">
        <is>
          <t>投资款支出</t>
        </is>
      </c>
      <c r="D23" s="5" t="inlineStr">
        <is>
          <t>内部投资款支出</t>
        </is>
      </c>
      <c r="E23" s="61" t="inlineStr">
        <is>
          <t>Q0701</t>
        </is>
      </c>
      <c r="F23" s="89">
        <f>浙江精准学!F23+知识跳跳!F23+海南精准学!F23+实时查!F23+目标准!F23+'SMART LEARNING HOLDING'!F23+'SMART AI LIMITED'!F23+'HK01'!F23-(-SUMIFS(合并抵消!$J:$J,合并抵消!$E:$E,$E23,合并抵消!$A:$A,F$2)+SUMIFS(合并抵消!$K:$K,合并抵消!$E:$E,$E23,合并抵消!$A:$A,F$2))</f>
        <v/>
      </c>
      <c r="G23" s="89">
        <f>浙江精准学!G23+知识跳跳!G23+海南精准学!G23+实时查!G23+目标准!G23+'SMART LEARNING HOLDING'!G23+'SMART AI LIMITED'!G23+'HK01'!G23-(-SUMIFS(合并抵消!$J:$J,合并抵消!$E:$E,$E23,合并抵消!$A:$A,G$2)+SUMIFS(合并抵消!$K:$K,合并抵消!$E:$E,$E23,合并抵消!$A:$A,G$2))</f>
        <v/>
      </c>
      <c r="H23" s="89">
        <f>浙江精准学!H23+知识跳跳!H23+海南精准学!H23+实时查!H23+目标准!H23+'SMART LEARNING HOLDING'!H23+'SMART AI LIMITED'!H23+'HK01'!H23-(-SUMIFS(合并抵消!$J:$J,合并抵消!$E:$E,$E23,合并抵消!$A:$A,H$2)+SUMIFS(合并抵消!$K:$K,合并抵消!$E:$E,$E23,合并抵消!$A:$A,H$2))</f>
        <v/>
      </c>
      <c r="I23" s="89">
        <f>浙江精准学!I23+知识跳跳!I23+海南精准学!I23+实时查!I23+目标准!I23+'SMART LEARNING HOLDING'!I23+'SMART AI LIMITED'!I23+'HK01'!I23-(-SUMIFS(合并抵消!$J:$J,合并抵消!$E:$E,$E23,合并抵消!$A:$A,I$2)+SUMIFS(合并抵消!$K:$K,合并抵消!$E:$E,$E23,合并抵消!$A:$A,I$2))</f>
        <v/>
      </c>
      <c r="J23" s="89">
        <f>浙江精准学!J23+知识跳跳!J23+海南精准学!J23+实时查!J23+目标准!J23+'SMART LEARNING HOLDING'!J23+'SMART AI LIMITED'!J23+'HK01'!J23-(-SUMIFS(合并抵消!$J:$J,合并抵消!$E:$E,$E23,合并抵消!$A:$A,J$2)+SUMIFS(合并抵消!$K:$K,合并抵消!$E:$E,$E23,合并抵消!$A:$A,J$2))</f>
        <v/>
      </c>
      <c r="K23" s="89">
        <f>浙江精准学!K23+知识跳跳!K23+海南精准学!K23+实时查!K23+目标准!K23+'SMART LEARNING HOLDING'!K23+'SMART AI LIMITED'!K23+'HK01'!K23-(-SUMIFS(合并抵消!$J:$J,合并抵消!$E:$E,$E23,合并抵消!$A:$A,K$2)+SUMIFS(合并抵消!$K:$K,合并抵消!$E:$E,$E23,合并抵消!$A:$A,K$2))</f>
        <v/>
      </c>
      <c r="L23" s="89">
        <f>浙江精准学!L23+知识跳跳!L23+海南精准学!L23+实时查!L23+目标准!L23+'SMART LEARNING HOLDING'!L23+'SMART AI LIMITED'!L23+'HK01'!L23-(-SUMIFS(合并抵消!$J:$J,合并抵消!$E:$E,$E23,合并抵消!$A:$A,L$2)+SUMIFS(合并抵消!$K:$K,合并抵消!$E:$E,$E23,合并抵消!$A:$A,L$2))</f>
        <v/>
      </c>
      <c r="M23" s="89">
        <f>浙江精准学!M23+知识跳跳!M23+海南精准学!M23+实时查!M23+目标准!M23+'SMART LEARNING HOLDING'!M23+'SMART AI LIMITED'!M23+'HK01'!M23-(-SUMIFS(合并抵消!$J:$J,合并抵消!$E:$E,$E23,合并抵消!$A:$A,M$2)+SUMIFS(合并抵消!$K:$K,合并抵消!$E:$E,$E23,合并抵消!$A:$A,M$2))</f>
        <v/>
      </c>
      <c r="N23" s="89">
        <f>浙江精准学!N23+知识跳跳!N23+海南精准学!N23+实时查!N23+目标准!N23+'SMART LEARNING HOLDING'!N23+'SMART AI LIMITED'!N23+'HK01'!N23-(-SUMIFS(合并抵消!$J:$J,合并抵消!$E:$E,$E23,合并抵消!$A:$A,N$2)+SUMIFS(合并抵消!$K:$K,合并抵消!$E:$E,$E23,合并抵消!$A:$A,N$2))</f>
        <v/>
      </c>
      <c r="O23" s="89">
        <f>浙江精准学!O23+知识跳跳!O23+海南精准学!O23+实时查!O23+目标准!O23+'SMART LEARNING HOLDING'!O23+'SMART AI LIMITED'!O23+'HK01'!O23-(-SUMIFS(合并抵消!$J:$J,合并抵消!$E:$E,$E23,合并抵消!$A:$A,O$2)+SUMIFS(合并抵消!$K:$K,合并抵消!$E:$E,$E23,合并抵消!$A:$A,O$2))</f>
        <v/>
      </c>
      <c r="P23" s="89">
        <f>浙江精准学!P23+知识跳跳!P23+海南精准学!P23+实时查!P23+目标准!P23+'SMART LEARNING HOLDING'!P23+'SMART AI LIMITED'!P23+'HK01'!P23-(-SUMIFS(合并抵消!$J:$J,合并抵消!$E:$E,$E23,合并抵消!$A:$A,P$2)+SUMIFS(合并抵消!$K:$K,合并抵消!$E:$E,$E23,合并抵消!$A:$A,P$2))</f>
        <v/>
      </c>
      <c r="Q23" s="89">
        <f>浙江精准学!Q23+知识跳跳!Q23+海南精准学!Q23+实时查!Q23+目标准!Q23+'SMART LEARNING HOLDING'!Q23+'SMART AI LIMITED'!Q23+'HK01'!Q23-(-SUMIFS(合并抵消!$J:$J,合并抵消!$E:$E,$E23,合并抵消!$A:$A,Q$2)+SUMIFS(合并抵消!$K:$K,合并抵消!$E:$E,$E23,合并抵消!$A:$A,Q$2))</f>
        <v/>
      </c>
      <c r="R23" s="89">
        <f>SUM(F23:Q23)</f>
        <v/>
      </c>
    </row>
    <row r="24" s="83">
      <c r="A24" s="49" t="inlineStr">
        <is>
          <t>投资款支出合计</t>
        </is>
      </c>
      <c r="B24" s="50" t="n"/>
      <c r="C24" s="50" t="n"/>
      <c r="D24" s="49" t="n"/>
      <c r="E24" s="49" t="n"/>
      <c r="F24" s="89">
        <f>SUM(F23:F23)</f>
        <v/>
      </c>
      <c r="G24" s="89">
        <f>SUM(G23:G23)</f>
        <v/>
      </c>
      <c r="H24" s="89">
        <f>SUM(H23:H23)</f>
        <v/>
      </c>
      <c r="I24" s="89">
        <f>SUM(I23:I23)</f>
        <v/>
      </c>
      <c r="J24" s="89">
        <f>SUM(J23:J23)</f>
        <v/>
      </c>
      <c r="K24" s="89">
        <f>SUM(K23:K23)</f>
        <v/>
      </c>
      <c r="L24" s="89">
        <f>SUM(L23:L23)</f>
        <v/>
      </c>
      <c r="M24" s="89">
        <f>SUM(M23:M23)</f>
        <v/>
      </c>
      <c r="N24" s="89">
        <f>SUM(N23:N23)</f>
        <v/>
      </c>
      <c r="O24" s="89">
        <f>SUM(O23:O23)</f>
        <v/>
      </c>
      <c r="P24" s="89">
        <f>SUM(P23:P23)</f>
        <v/>
      </c>
      <c r="Q24" s="89">
        <f>SUM(Q23:Q23)</f>
        <v/>
      </c>
      <c r="R24" s="89">
        <f>SUM(F24:Q24)</f>
        <v/>
      </c>
    </row>
    <row r="25" s="83">
      <c r="A25" s="5" t="inlineStr">
        <is>
          <t>人工成本</t>
        </is>
      </c>
      <c r="B25" s="6" t="inlineStr">
        <is>
          <t>人工成本</t>
        </is>
      </c>
      <c r="C25" s="6" t="inlineStr">
        <is>
          <t>人工成本</t>
        </is>
      </c>
      <c r="D25" s="5" t="inlineStr">
        <is>
          <t>实发工资</t>
        </is>
      </c>
      <c r="E25" s="6" t="inlineStr">
        <is>
          <t>Q0801</t>
        </is>
      </c>
      <c r="F25" s="89">
        <f>浙江精准学!F25+知识跳跳!F25+海南精准学!F25+实时查!F25+目标准!F25+'SMART LEARNING HOLDING'!F25+'SMART AI LIMITED'!F25+'HK01'!F25-(-SUMIFS(合并抵消!$J:$J,合并抵消!$E:$E,$E25,合并抵消!$A:$A,F$2)+SUMIFS(合并抵消!$K:$K,合并抵消!$E:$E,$E25,合并抵消!$A:$A,F$2))</f>
        <v/>
      </c>
      <c r="G25" s="89">
        <f>浙江精准学!G25+知识跳跳!G25+海南精准学!G25+实时查!G25+目标准!G25+'SMART LEARNING HOLDING'!G25+'SMART AI LIMITED'!G25+'HK01'!G25-(-SUMIFS(合并抵消!$J:$J,合并抵消!$E:$E,$E25,合并抵消!$A:$A,G$2)+SUMIFS(合并抵消!$K:$K,合并抵消!$E:$E,$E25,合并抵消!$A:$A,G$2))</f>
        <v/>
      </c>
      <c r="H25" s="89">
        <f>浙江精准学!H25+知识跳跳!H25+海南精准学!H25+实时查!H25+目标准!H25+'SMART LEARNING HOLDING'!H25+'SMART AI LIMITED'!H25+'HK01'!H25-(-SUMIFS(合并抵消!$J:$J,合并抵消!$E:$E,$E25,合并抵消!$A:$A,H$2)+SUMIFS(合并抵消!$K:$K,合并抵消!$E:$E,$E25,合并抵消!$A:$A,H$2))</f>
        <v/>
      </c>
      <c r="I25" s="89">
        <f>浙江精准学!I25+知识跳跳!I25+海南精准学!I25+实时查!I25+目标准!I25+'SMART LEARNING HOLDING'!I25+'SMART AI LIMITED'!I25+'HK01'!I25-(-SUMIFS(合并抵消!$J:$J,合并抵消!$E:$E,$E25,合并抵消!$A:$A,I$2)+SUMIFS(合并抵消!$K:$K,合并抵消!$E:$E,$E25,合并抵消!$A:$A,I$2))</f>
        <v/>
      </c>
      <c r="J25" s="89">
        <f>浙江精准学!J25+知识跳跳!J25+海南精准学!J25+实时查!J25+目标准!J25+'SMART LEARNING HOLDING'!J25+'SMART AI LIMITED'!J25+'HK01'!J25-(-SUMIFS(合并抵消!$J:$J,合并抵消!$E:$E,$E25,合并抵消!$A:$A,J$2)+SUMIFS(合并抵消!$K:$K,合并抵消!$E:$E,$E25,合并抵消!$A:$A,J$2))</f>
        <v/>
      </c>
      <c r="K25" s="89">
        <f>浙江精准学!K25+知识跳跳!K25+海南精准学!K25+实时查!K25+目标准!K25+'SMART LEARNING HOLDING'!K25+'SMART AI LIMITED'!K25+'HK01'!K25-(-SUMIFS(合并抵消!$J:$J,合并抵消!$E:$E,$E25,合并抵消!$A:$A,K$2)+SUMIFS(合并抵消!$K:$K,合并抵消!$E:$E,$E25,合并抵消!$A:$A,K$2))</f>
        <v/>
      </c>
      <c r="L25" s="89">
        <f>浙江精准学!L25+知识跳跳!L25+海南精准学!L25+实时查!L25+目标准!L25+'SMART LEARNING HOLDING'!L25+'SMART AI LIMITED'!L25+'HK01'!L25-(-SUMIFS(合并抵消!$J:$J,合并抵消!$E:$E,$E25,合并抵消!$A:$A,L$2)+SUMIFS(合并抵消!$K:$K,合并抵消!$E:$E,$E25,合并抵消!$A:$A,L$2))</f>
        <v/>
      </c>
      <c r="M25" s="89">
        <f>浙江精准学!M25+知识跳跳!M25+海南精准学!M25+实时查!M25+目标准!M25+'SMART LEARNING HOLDING'!M25+'SMART AI LIMITED'!M25+'HK01'!M25-(-SUMIFS(合并抵消!$J:$J,合并抵消!$E:$E,$E25,合并抵消!$A:$A,M$2)+SUMIFS(合并抵消!$K:$K,合并抵消!$E:$E,$E25,合并抵消!$A:$A,M$2))</f>
        <v/>
      </c>
      <c r="N25" s="89">
        <f>浙江精准学!N25+知识跳跳!N25+海南精准学!N25+实时查!N25+目标准!N25+'SMART LEARNING HOLDING'!N25+'SMART AI LIMITED'!N25+'HK01'!N25-(-SUMIFS(合并抵消!$J:$J,合并抵消!$E:$E,$E25,合并抵消!$A:$A,N$2)+SUMIFS(合并抵消!$K:$K,合并抵消!$E:$E,$E25,合并抵消!$A:$A,N$2))</f>
        <v/>
      </c>
      <c r="O25" s="89">
        <f>浙江精准学!O25+知识跳跳!O25+海南精准学!O25+实时查!O25+目标准!O25+'SMART LEARNING HOLDING'!O25+'SMART AI LIMITED'!O25+'HK01'!O25-(-SUMIFS(合并抵消!$J:$J,合并抵消!$E:$E,$E25,合并抵消!$A:$A,O$2)+SUMIFS(合并抵消!$K:$K,合并抵消!$E:$E,$E25,合并抵消!$A:$A,O$2))</f>
        <v/>
      </c>
      <c r="P25" s="89">
        <f>浙江精准学!P25+知识跳跳!P25+海南精准学!P25+实时查!P25+目标准!P25+'SMART LEARNING HOLDING'!P25+'SMART AI LIMITED'!P25+'HK01'!P25-(-SUMIFS(合并抵消!$J:$J,合并抵消!$E:$E,$E25,合并抵消!$A:$A,P$2)+SUMIFS(合并抵消!$K:$K,合并抵消!$E:$E,$E25,合并抵消!$A:$A,P$2))</f>
        <v/>
      </c>
      <c r="Q25" s="89">
        <f>浙江精准学!Q25+知识跳跳!Q25+海南精准学!Q25+实时查!Q25+目标准!Q25+'SMART LEARNING HOLDING'!Q25+'SMART AI LIMITED'!Q25+'HK01'!Q25-(-SUMIFS(合并抵消!$J:$J,合并抵消!$E:$E,$E25,合并抵消!$A:$A,Q$2)+SUMIFS(合并抵消!$K:$K,合并抵消!$E:$E,$E25,合并抵消!$A:$A,Q$2))</f>
        <v/>
      </c>
      <c r="R25" s="89">
        <f>SUM(F25:Q25)</f>
        <v/>
      </c>
    </row>
    <row r="26" s="83">
      <c r="A26" s="5" t="inlineStr">
        <is>
          <t>人工成本</t>
        </is>
      </c>
      <c r="B26" s="6" t="inlineStr">
        <is>
          <t>人工成本</t>
        </is>
      </c>
      <c r="D26" s="5" t="inlineStr">
        <is>
          <t>奖金</t>
        </is>
      </c>
      <c r="E26" s="6" t="inlineStr">
        <is>
          <t>Q0802</t>
        </is>
      </c>
      <c r="F26" s="89">
        <f>浙江精准学!F26+知识跳跳!F26+海南精准学!F26+实时查!F26+目标准!F26+'SMART LEARNING HOLDING'!F26+'SMART AI LIMITED'!F26+'HK01'!F26-(-SUMIFS(合并抵消!$J:$J,合并抵消!$E:$E,$E26,合并抵消!$A:$A,F$2)+SUMIFS(合并抵消!$K:$K,合并抵消!$E:$E,$E26,合并抵消!$A:$A,F$2))</f>
        <v/>
      </c>
      <c r="G26" s="89">
        <f>浙江精准学!G26+知识跳跳!G26+海南精准学!G26+实时查!G26+目标准!G26+'SMART LEARNING HOLDING'!G26+'SMART AI LIMITED'!G26+'HK01'!G26-(-SUMIFS(合并抵消!$J:$J,合并抵消!$E:$E,$E26,合并抵消!$A:$A,G$2)+SUMIFS(合并抵消!$K:$K,合并抵消!$E:$E,$E26,合并抵消!$A:$A,G$2))</f>
        <v/>
      </c>
      <c r="H26" s="89">
        <f>浙江精准学!H26+知识跳跳!H26+海南精准学!H26+实时查!H26+目标准!H26+'SMART LEARNING HOLDING'!H26+'SMART AI LIMITED'!H26+'HK01'!H26-(-SUMIFS(合并抵消!$J:$J,合并抵消!$E:$E,$E26,合并抵消!$A:$A,H$2)+SUMIFS(合并抵消!$K:$K,合并抵消!$E:$E,$E26,合并抵消!$A:$A,H$2))</f>
        <v/>
      </c>
      <c r="I26" s="89">
        <f>浙江精准学!I26+知识跳跳!I26+海南精准学!I26+实时查!I26+目标准!I26+'SMART LEARNING HOLDING'!I26+'SMART AI LIMITED'!I26+'HK01'!I26-(-SUMIFS(合并抵消!$J:$J,合并抵消!$E:$E,$E26,合并抵消!$A:$A,I$2)+SUMIFS(合并抵消!$K:$K,合并抵消!$E:$E,$E26,合并抵消!$A:$A,I$2))</f>
        <v/>
      </c>
      <c r="J26" s="89">
        <f>浙江精准学!J26+知识跳跳!J26+海南精准学!J26+实时查!J26+目标准!J26+'SMART LEARNING HOLDING'!J26+'SMART AI LIMITED'!J26+'HK01'!J26-(-SUMIFS(合并抵消!$J:$J,合并抵消!$E:$E,$E26,合并抵消!$A:$A,J$2)+SUMIFS(合并抵消!$K:$K,合并抵消!$E:$E,$E26,合并抵消!$A:$A,J$2))</f>
        <v/>
      </c>
      <c r="K26" s="89">
        <f>浙江精准学!K26+知识跳跳!K26+海南精准学!K26+实时查!K26+目标准!K26+'SMART LEARNING HOLDING'!K26+'SMART AI LIMITED'!K26+'HK01'!K26-(-SUMIFS(合并抵消!$J:$J,合并抵消!$E:$E,$E26,合并抵消!$A:$A,K$2)+SUMIFS(合并抵消!$K:$K,合并抵消!$E:$E,$E26,合并抵消!$A:$A,K$2))</f>
        <v/>
      </c>
      <c r="L26" s="89">
        <f>浙江精准学!L26+知识跳跳!L26+海南精准学!L26+实时查!L26+目标准!L26+'SMART LEARNING HOLDING'!L26+'SMART AI LIMITED'!L26+'HK01'!L26-(-SUMIFS(合并抵消!$J:$J,合并抵消!$E:$E,$E26,合并抵消!$A:$A,L$2)+SUMIFS(合并抵消!$K:$K,合并抵消!$E:$E,$E26,合并抵消!$A:$A,L$2))</f>
        <v/>
      </c>
      <c r="M26" s="89">
        <f>浙江精准学!M26+知识跳跳!M26+海南精准学!M26+实时查!M26+目标准!M26+'SMART LEARNING HOLDING'!M26+'SMART AI LIMITED'!M26+'HK01'!M26-(-SUMIFS(合并抵消!$J:$J,合并抵消!$E:$E,$E26,合并抵消!$A:$A,M$2)+SUMIFS(合并抵消!$K:$K,合并抵消!$E:$E,$E26,合并抵消!$A:$A,M$2))</f>
        <v/>
      </c>
      <c r="N26" s="89">
        <f>浙江精准学!N26+知识跳跳!N26+海南精准学!N26+实时查!N26+目标准!N26+'SMART LEARNING HOLDING'!N26+'SMART AI LIMITED'!N26+'HK01'!N26-(-SUMIFS(合并抵消!$J:$J,合并抵消!$E:$E,$E26,合并抵消!$A:$A,N$2)+SUMIFS(合并抵消!$K:$K,合并抵消!$E:$E,$E26,合并抵消!$A:$A,N$2))</f>
        <v/>
      </c>
      <c r="O26" s="89">
        <f>浙江精准学!O26+知识跳跳!O26+海南精准学!O26+实时查!O26+目标准!O26+'SMART LEARNING HOLDING'!O26+'SMART AI LIMITED'!O26+'HK01'!O26-(-SUMIFS(合并抵消!$J:$J,合并抵消!$E:$E,$E26,合并抵消!$A:$A,O$2)+SUMIFS(合并抵消!$K:$K,合并抵消!$E:$E,$E26,合并抵消!$A:$A,O$2))</f>
        <v/>
      </c>
      <c r="P26" s="89">
        <f>浙江精准学!P26+知识跳跳!P26+海南精准学!P26+实时查!P26+目标准!P26+'SMART LEARNING HOLDING'!P26+'SMART AI LIMITED'!P26+'HK01'!P26-(-SUMIFS(合并抵消!$J:$J,合并抵消!$E:$E,$E26,合并抵消!$A:$A,P$2)+SUMIFS(合并抵消!$K:$K,合并抵消!$E:$E,$E26,合并抵消!$A:$A,P$2))</f>
        <v/>
      </c>
      <c r="Q26" s="89">
        <f>浙江精准学!Q26+知识跳跳!Q26+海南精准学!Q26+实时查!Q26+目标准!Q26+'SMART LEARNING HOLDING'!Q26+'SMART AI LIMITED'!Q26+'HK01'!Q26-(-SUMIFS(合并抵消!$J:$J,合并抵消!$E:$E,$E26,合并抵消!$A:$A,Q$2)+SUMIFS(合并抵消!$K:$K,合并抵消!$E:$E,$E26,合并抵消!$A:$A,Q$2))</f>
        <v/>
      </c>
      <c r="R26" s="89">
        <f>SUM(F26:Q26)</f>
        <v/>
      </c>
    </row>
    <row r="27" s="83">
      <c r="A27" s="5" t="inlineStr">
        <is>
          <t>人工成本</t>
        </is>
      </c>
      <c r="B27" s="6" t="inlineStr">
        <is>
          <t>人工成本</t>
        </is>
      </c>
      <c r="D27" s="5" t="inlineStr">
        <is>
          <t>社保（单位+个人）</t>
        </is>
      </c>
      <c r="E27" s="6" t="inlineStr">
        <is>
          <t>Q0803</t>
        </is>
      </c>
      <c r="F27" s="89">
        <f>浙江精准学!F27+知识跳跳!F27+海南精准学!F27+实时查!F27+目标准!F27+'SMART LEARNING HOLDING'!F27+'SMART AI LIMITED'!F27+'HK01'!F27-(-SUMIFS(合并抵消!$J:$J,合并抵消!$E:$E,$E27,合并抵消!$A:$A,F$2)+SUMIFS(合并抵消!$K:$K,合并抵消!$E:$E,$E27,合并抵消!$A:$A,F$2))</f>
        <v/>
      </c>
      <c r="G27" s="89">
        <f>浙江精准学!G27+知识跳跳!G27+海南精准学!G27+实时查!G27+目标准!G27+'SMART LEARNING HOLDING'!G27+'SMART AI LIMITED'!G27+'HK01'!G27-(-SUMIFS(合并抵消!$J:$J,合并抵消!$E:$E,$E27,合并抵消!$A:$A,G$2)+SUMIFS(合并抵消!$K:$K,合并抵消!$E:$E,$E27,合并抵消!$A:$A,G$2))</f>
        <v/>
      </c>
      <c r="H27" s="89">
        <f>浙江精准学!H27+知识跳跳!H27+海南精准学!H27+实时查!H27+目标准!H27+'SMART LEARNING HOLDING'!H27+'SMART AI LIMITED'!H27+'HK01'!H27-(-SUMIFS(合并抵消!$J:$J,合并抵消!$E:$E,$E27,合并抵消!$A:$A,H$2)+SUMIFS(合并抵消!$K:$K,合并抵消!$E:$E,$E27,合并抵消!$A:$A,H$2))</f>
        <v/>
      </c>
      <c r="I27" s="89">
        <f>浙江精准学!I27+知识跳跳!I27+海南精准学!I27+实时查!I27+目标准!I27+'SMART LEARNING HOLDING'!I27+'SMART AI LIMITED'!I27+'HK01'!I27-(-SUMIFS(合并抵消!$J:$J,合并抵消!$E:$E,$E27,合并抵消!$A:$A,I$2)+SUMIFS(合并抵消!$K:$K,合并抵消!$E:$E,$E27,合并抵消!$A:$A,I$2))</f>
        <v/>
      </c>
      <c r="J27" s="89">
        <f>浙江精准学!J27+知识跳跳!J27+海南精准学!J27+实时查!J27+目标准!J27+'SMART LEARNING HOLDING'!J27+'SMART AI LIMITED'!J27+'HK01'!J27-(-SUMIFS(合并抵消!$J:$J,合并抵消!$E:$E,$E27,合并抵消!$A:$A,J$2)+SUMIFS(合并抵消!$K:$K,合并抵消!$E:$E,$E27,合并抵消!$A:$A,J$2))</f>
        <v/>
      </c>
      <c r="K27" s="89">
        <f>浙江精准学!K27+知识跳跳!K27+海南精准学!K27+实时查!K27+目标准!K27+'SMART LEARNING HOLDING'!K27+'SMART AI LIMITED'!K27+'HK01'!K27-(-SUMIFS(合并抵消!$J:$J,合并抵消!$E:$E,$E27,合并抵消!$A:$A,K$2)+SUMIFS(合并抵消!$K:$K,合并抵消!$E:$E,$E27,合并抵消!$A:$A,K$2))</f>
        <v/>
      </c>
      <c r="L27" s="89">
        <f>浙江精准学!L27+知识跳跳!L27+海南精准学!L27+实时查!L27+目标准!L27+'SMART LEARNING HOLDING'!L27+'SMART AI LIMITED'!L27+'HK01'!L27-(-SUMIFS(合并抵消!$J:$J,合并抵消!$E:$E,$E27,合并抵消!$A:$A,L$2)+SUMIFS(合并抵消!$K:$K,合并抵消!$E:$E,$E27,合并抵消!$A:$A,L$2))</f>
        <v/>
      </c>
      <c r="M27" s="89">
        <f>浙江精准学!M27+知识跳跳!M27+海南精准学!M27+实时查!M27+目标准!M27+'SMART LEARNING HOLDING'!M27+'SMART AI LIMITED'!M27+'HK01'!M27-(-SUMIFS(合并抵消!$J:$J,合并抵消!$E:$E,$E27,合并抵消!$A:$A,M$2)+SUMIFS(合并抵消!$K:$K,合并抵消!$E:$E,$E27,合并抵消!$A:$A,M$2))</f>
        <v/>
      </c>
      <c r="N27" s="89">
        <f>浙江精准学!N27+知识跳跳!N27+海南精准学!N27+实时查!N27+目标准!N27+'SMART LEARNING HOLDING'!N27+'SMART AI LIMITED'!N27+'HK01'!N27-(-SUMIFS(合并抵消!$J:$J,合并抵消!$E:$E,$E27,合并抵消!$A:$A,N$2)+SUMIFS(合并抵消!$K:$K,合并抵消!$E:$E,$E27,合并抵消!$A:$A,N$2))</f>
        <v/>
      </c>
      <c r="O27" s="89">
        <f>浙江精准学!O27+知识跳跳!O27+海南精准学!O27+实时查!O27+目标准!O27+'SMART LEARNING HOLDING'!O27+'SMART AI LIMITED'!O27+'HK01'!O27-(-SUMIFS(合并抵消!$J:$J,合并抵消!$E:$E,$E27,合并抵消!$A:$A,O$2)+SUMIFS(合并抵消!$K:$K,合并抵消!$E:$E,$E27,合并抵消!$A:$A,O$2))</f>
        <v/>
      </c>
      <c r="P27" s="89">
        <f>浙江精准学!P27+知识跳跳!P27+海南精准学!P27+实时查!P27+目标准!P27+'SMART LEARNING HOLDING'!P27+'SMART AI LIMITED'!P27+'HK01'!P27-(-SUMIFS(合并抵消!$J:$J,合并抵消!$E:$E,$E27,合并抵消!$A:$A,P$2)+SUMIFS(合并抵消!$K:$K,合并抵消!$E:$E,$E27,合并抵消!$A:$A,P$2))</f>
        <v/>
      </c>
      <c r="Q27" s="89">
        <f>浙江精准学!Q27+知识跳跳!Q27+海南精准学!Q27+实时查!Q27+目标准!Q27+'SMART LEARNING HOLDING'!Q27+'SMART AI LIMITED'!Q27+'HK01'!Q27-(-SUMIFS(合并抵消!$J:$J,合并抵消!$E:$E,$E27,合并抵消!$A:$A,Q$2)+SUMIFS(合并抵消!$K:$K,合并抵消!$E:$E,$E27,合并抵消!$A:$A,Q$2))</f>
        <v/>
      </c>
      <c r="R27" s="89">
        <f>SUM(F27:Q27)</f>
        <v/>
      </c>
    </row>
    <row r="28" s="83">
      <c r="A28" s="5" t="inlineStr">
        <is>
          <t>人工成本</t>
        </is>
      </c>
      <c r="B28" s="6" t="inlineStr">
        <is>
          <t>人工成本</t>
        </is>
      </c>
      <c r="D28" s="5" t="inlineStr">
        <is>
          <t>公积金（单位+个人）</t>
        </is>
      </c>
      <c r="E28" s="6" t="inlineStr">
        <is>
          <t>Q0804</t>
        </is>
      </c>
      <c r="F28" s="89">
        <f>浙江精准学!F28+知识跳跳!F28+海南精准学!F28+实时查!F28+目标准!F28+'SMART LEARNING HOLDING'!F28+'SMART AI LIMITED'!F28+'HK01'!F28-(-SUMIFS(合并抵消!$J:$J,合并抵消!$E:$E,$E28,合并抵消!$A:$A,F$2)+SUMIFS(合并抵消!$K:$K,合并抵消!$E:$E,$E28,合并抵消!$A:$A,F$2))</f>
        <v/>
      </c>
      <c r="G28" s="89">
        <f>浙江精准学!G28+知识跳跳!G28+海南精准学!G28+实时查!G28+目标准!G28+'SMART LEARNING HOLDING'!G28+'SMART AI LIMITED'!G28+'HK01'!G28-(-SUMIFS(合并抵消!$J:$J,合并抵消!$E:$E,$E28,合并抵消!$A:$A,G$2)+SUMIFS(合并抵消!$K:$K,合并抵消!$E:$E,$E28,合并抵消!$A:$A,G$2))</f>
        <v/>
      </c>
      <c r="H28" s="89">
        <f>浙江精准学!H28+知识跳跳!H28+海南精准学!H28+实时查!H28+目标准!H28+'SMART LEARNING HOLDING'!H28+'SMART AI LIMITED'!H28+'HK01'!H28-(-SUMIFS(合并抵消!$J:$J,合并抵消!$E:$E,$E28,合并抵消!$A:$A,H$2)+SUMIFS(合并抵消!$K:$K,合并抵消!$E:$E,$E28,合并抵消!$A:$A,H$2))</f>
        <v/>
      </c>
      <c r="I28" s="89">
        <f>浙江精准学!I28+知识跳跳!I28+海南精准学!I28+实时查!I28+目标准!I28+'SMART LEARNING HOLDING'!I28+'SMART AI LIMITED'!I28+'HK01'!I28-(-SUMIFS(合并抵消!$J:$J,合并抵消!$E:$E,$E28,合并抵消!$A:$A,I$2)+SUMIFS(合并抵消!$K:$K,合并抵消!$E:$E,$E28,合并抵消!$A:$A,I$2))</f>
        <v/>
      </c>
      <c r="J28" s="89">
        <f>浙江精准学!J28+知识跳跳!J28+海南精准学!J28+实时查!J28+目标准!J28+'SMART LEARNING HOLDING'!J28+'SMART AI LIMITED'!J28+'HK01'!J28-(-SUMIFS(合并抵消!$J:$J,合并抵消!$E:$E,$E28,合并抵消!$A:$A,J$2)+SUMIFS(合并抵消!$K:$K,合并抵消!$E:$E,$E28,合并抵消!$A:$A,J$2))</f>
        <v/>
      </c>
      <c r="K28" s="89">
        <f>浙江精准学!K28+知识跳跳!K28+海南精准学!K28+实时查!K28+目标准!K28+'SMART LEARNING HOLDING'!K28+'SMART AI LIMITED'!K28+'HK01'!K28-(-SUMIFS(合并抵消!$J:$J,合并抵消!$E:$E,$E28,合并抵消!$A:$A,K$2)+SUMIFS(合并抵消!$K:$K,合并抵消!$E:$E,$E28,合并抵消!$A:$A,K$2))</f>
        <v/>
      </c>
      <c r="L28" s="89">
        <f>浙江精准学!L28+知识跳跳!L28+海南精准学!L28+实时查!L28+目标准!L28+'SMART LEARNING HOLDING'!L28+'SMART AI LIMITED'!L28+'HK01'!L28-(-SUMIFS(合并抵消!$J:$J,合并抵消!$E:$E,$E28,合并抵消!$A:$A,L$2)+SUMIFS(合并抵消!$K:$K,合并抵消!$E:$E,$E28,合并抵消!$A:$A,L$2))</f>
        <v/>
      </c>
      <c r="M28" s="89">
        <f>浙江精准学!M28+知识跳跳!M28+海南精准学!M28+实时查!M28+目标准!M28+'SMART LEARNING HOLDING'!M28+'SMART AI LIMITED'!M28+'HK01'!M28-(-SUMIFS(合并抵消!$J:$J,合并抵消!$E:$E,$E28,合并抵消!$A:$A,M$2)+SUMIFS(合并抵消!$K:$K,合并抵消!$E:$E,$E28,合并抵消!$A:$A,M$2))</f>
        <v/>
      </c>
      <c r="N28" s="89">
        <f>浙江精准学!N28+知识跳跳!N28+海南精准学!N28+实时查!N28+目标准!N28+'SMART LEARNING HOLDING'!N28+'SMART AI LIMITED'!N28+'HK01'!N28-(-SUMIFS(合并抵消!$J:$J,合并抵消!$E:$E,$E28,合并抵消!$A:$A,N$2)+SUMIFS(合并抵消!$K:$K,合并抵消!$E:$E,$E28,合并抵消!$A:$A,N$2))</f>
        <v/>
      </c>
      <c r="O28" s="89">
        <f>浙江精准学!O28+知识跳跳!O28+海南精准学!O28+实时查!O28+目标准!O28+'SMART LEARNING HOLDING'!O28+'SMART AI LIMITED'!O28+'HK01'!O28-(-SUMIFS(合并抵消!$J:$J,合并抵消!$E:$E,$E28,合并抵消!$A:$A,O$2)+SUMIFS(合并抵消!$K:$K,合并抵消!$E:$E,$E28,合并抵消!$A:$A,O$2))</f>
        <v/>
      </c>
      <c r="P28" s="89">
        <f>浙江精准学!P28+知识跳跳!P28+海南精准学!P28+实时查!P28+目标准!P28+'SMART LEARNING HOLDING'!P28+'SMART AI LIMITED'!P28+'HK01'!P28-(-SUMIFS(合并抵消!$J:$J,合并抵消!$E:$E,$E28,合并抵消!$A:$A,P$2)+SUMIFS(合并抵消!$K:$K,合并抵消!$E:$E,$E28,合并抵消!$A:$A,P$2))</f>
        <v/>
      </c>
      <c r="Q28" s="89">
        <f>浙江精准学!Q28+知识跳跳!Q28+海南精准学!Q28+实时查!Q28+目标准!Q28+'SMART LEARNING HOLDING'!Q28+'SMART AI LIMITED'!Q28+'HK01'!Q28-(-SUMIFS(合并抵消!$J:$J,合并抵消!$E:$E,$E28,合并抵消!$A:$A,Q$2)+SUMIFS(合并抵消!$K:$K,合并抵消!$E:$E,$E28,合并抵消!$A:$A,Q$2))</f>
        <v/>
      </c>
      <c r="R28" s="89">
        <f>SUM(F28:Q28)</f>
        <v/>
      </c>
    </row>
    <row r="29" s="83">
      <c r="A29" s="5" t="inlineStr">
        <is>
          <t>人工成本</t>
        </is>
      </c>
      <c r="B29" s="6" t="inlineStr">
        <is>
          <t>人工成本</t>
        </is>
      </c>
      <c r="D29" s="5" t="inlineStr">
        <is>
          <t>个税</t>
        </is>
      </c>
      <c r="E29" s="6" t="inlineStr">
        <is>
          <t>Q0805</t>
        </is>
      </c>
      <c r="F29" s="89">
        <f>浙江精准学!F29+知识跳跳!F29+海南精准学!F29+实时查!F29+目标准!F29+'SMART LEARNING HOLDING'!F29+'SMART AI LIMITED'!F29+'HK01'!F29-(-SUMIFS(合并抵消!$J:$J,合并抵消!$E:$E,$E29,合并抵消!$A:$A,F$2)+SUMIFS(合并抵消!$K:$K,合并抵消!$E:$E,$E29,合并抵消!$A:$A,F$2))</f>
        <v/>
      </c>
      <c r="G29" s="89">
        <f>浙江精准学!G29+知识跳跳!G29+海南精准学!G29+实时查!G29+目标准!G29+'SMART LEARNING HOLDING'!G29+'SMART AI LIMITED'!G29+'HK01'!G29-(-SUMIFS(合并抵消!$J:$J,合并抵消!$E:$E,$E29,合并抵消!$A:$A,G$2)+SUMIFS(合并抵消!$K:$K,合并抵消!$E:$E,$E29,合并抵消!$A:$A,G$2))</f>
        <v/>
      </c>
      <c r="H29" s="89">
        <f>浙江精准学!H29+知识跳跳!H29+海南精准学!H29+实时查!H29+目标准!H29+'SMART LEARNING HOLDING'!H29+'SMART AI LIMITED'!H29+'HK01'!H29-(-SUMIFS(合并抵消!$J:$J,合并抵消!$E:$E,$E29,合并抵消!$A:$A,H$2)+SUMIFS(合并抵消!$K:$K,合并抵消!$E:$E,$E29,合并抵消!$A:$A,H$2))</f>
        <v/>
      </c>
      <c r="I29" s="89">
        <f>浙江精准学!I29+知识跳跳!I29+海南精准学!I29+实时查!I29+目标准!I29+'SMART LEARNING HOLDING'!I29+'SMART AI LIMITED'!I29+'HK01'!I29-(-SUMIFS(合并抵消!$J:$J,合并抵消!$E:$E,$E29,合并抵消!$A:$A,I$2)+SUMIFS(合并抵消!$K:$K,合并抵消!$E:$E,$E29,合并抵消!$A:$A,I$2))</f>
        <v/>
      </c>
      <c r="J29" s="89">
        <f>浙江精准学!J29+知识跳跳!J29+海南精准学!J29+实时查!J29+目标准!J29+'SMART LEARNING HOLDING'!J29+'SMART AI LIMITED'!J29+'HK01'!J29-(-SUMIFS(合并抵消!$J:$J,合并抵消!$E:$E,$E29,合并抵消!$A:$A,J$2)+SUMIFS(合并抵消!$K:$K,合并抵消!$E:$E,$E29,合并抵消!$A:$A,J$2))</f>
        <v/>
      </c>
      <c r="K29" s="89">
        <f>浙江精准学!K29+知识跳跳!K29+海南精准学!K29+实时查!K29+目标准!K29+'SMART LEARNING HOLDING'!K29+'SMART AI LIMITED'!K29+'HK01'!K29-(-SUMIFS(合并抵消!$J:$J,合并抵消!$E:$E,$E29,合并抵消!$A:$A,K$2)+SUMIFS(合并抵消!$K:$K,合并抵消!$E:$E,$E29,合并抵消!$A:$A,K$2))</f>
        <v/>
      </c>
      <c r="L29" s="89">
        <f>浙江精准学!L29+知识跳跳!L29+海南精准学!L29+实时查!L29+目标准!L29+'SMART LEARNING HOLDING'!L29+'SMART AI LIMITED'!L29+'HK01'!L29-(-SUMIFS(合并抵消!$J:$J,合并抵消!$E:$E,$E29,合并抵消!$A:$A,L$2)+SUMIFS(合并抵消!$K:$K,合并抵消!$E:$E,$E29,合并抵消!$A:$A,L$2))</f>
        <v/>
      </c>
      <c r="M29" s="89">
        <f>浙江精准学!M29+知识跳跳!M29+海南精准学!M29+实时查!M29+目标准!M29+'SMART LEARNING HOLDING'!M29+'SMART AI LIMITED'!M29+'HK01'!M29-(-SUMIFS(合并抵消!$J:$J,合并抵消!$E:$E,$E29,合并抵消!$A:$A,M$2)+SUMIFS(合并抵消!$K:$K,合并抵消!$E:$E,$E29,合并抵消!$A:$A,M$2))</f>
        <v/>
      </c>
      <c r="N29" s="89">
        <f>浙江精准学!N29+知识跳跳!N29+海南精准学!N29+实时查!N29+目标准!N29+'SMART LEARNING HOLDING'!N29+'SMART AI LIMITED'!N29+'HK01'!N29-(-SUMIFS(合并抵消!$J:$J,合并抵消!$E:$E,$E29,合并抵消!$A:$A,N$2)+SUMIFS(合并抵消!$K:$K,合并抵消!$E:$E,$E29,合并抵消!$A:$A,N$2))</f>
        <v/>
      </c>
      <c r="O29" s="89">
        <f>浙江精准学!O29+知识跳跳!O29+海南精准学!O29+实时查!O29+目标准!O29+'SMART LEARNING HOLDING'!O29+'SMART AI LIMITED'!O29+'HK01'!O29-(-SUMIFS(合并抵消!$J:$J,合并抵消!$E:$E,$E29,合并抵消!$A:$A,O$2)+SUMIFS(合并抵消!$K:$K,合并抵消!$E:$E,$E29,合并抵消!$A:$A,O$2))</f>
        <v/>
      </c>
      <c r="P29" s="89">
        <f>浙江精准学!P29+知识跳跳!P29+海南精准学!P29+实时查!P29+目标准!P29+'SMART LEARNING HOLDING'!P29+'SMART AI LIMITED'!P29+'HK01'!P29-(-SUMIFS(合并抵消!$J:$J,合并抵消!$E:$E,$E29,合并抵消!$A:$A,P$2)+SUMIFS(合并抵消!$K:$K,合并抵消!$E:$E,$E29,合并抵消!$A:$A,P$2))</f>
        <v/>
      </c>
      <c r="Q29" s="89">
        <f>浙江精准学!Q29+知识跳跳!Q29+海南精准学!Q29+实时查!Q29+目标准!Q29+'SMART LEARNING HOLDING'!Q29+'SMART AI LIMITED'!Q29+'HK01'!Q29-(-SUMIFS(合并抵消!$J:$J,合并抵消!$E:$E,$E29,合并抵消!$A:$A,Q$2)+SUMIFS(合并抵消!$K:$K,合并抵消!$E:$E,$E29,合并抵消!$A:$A,Q$2))</f>
        <v/>
      </c>
      <c r="R29" s="89">
        <f>SUM(F29:Q29)</f>
        <v/>
      </c>
    </row>
    <row r="30" s="83">
      <c r="A30" s="5" t="inlineStr">
        <is>
          <t>人工成本</t>
        </is>
      </c>
      <c r="B30" s="6" t="inlineStr">
        <is>
          <t>人工成本</t>
        </is>
      </c>
      <c r="D30" s="5" t="inlineStr">
        <is>
          <t>福利费</t>
        </is>
      </c>
      <c r="E30" s="6" t="inlineStr">
        <is>
          <t>Q0806</t>
        </is>
      </c>
      <c r="F30" s="89">
        <f>浙江精准学!F30+知识跳跳!F30+海南精准学!F30+实时查!F30+目标准!F30+'SMART LEARNING HOLDING'!F30+'SMART AI LIMITED'!F30+'HK01'!F30-(-SUMIFS(合并抵消!$J:$J,合并抵消!$E:$E,$E30,合并抵消!$A:$A,F$2)+SUMIFS(合并抵消!$K:$K,合并抵消!$E:$E,$E30,合并抵消!$A:$A,F$2))</f>
        <v/>
      </c>
      <c r="G30" s="89">
        <f>浙江精准学!G30+知识跳跳!G30+海南精准学!G30+实时查!G30+目标准!G30+'SMART LEARNING HOLDING'!G30+'SMART AI LIMITED'!G30+'HK01'!G30-(-SUMIFS(合并抵消!$J:$J,合并抵消!$E:$E,$E30,合并抵消!$A:$A,G$2)+SUMIFS(合并抵消!$K:$K,合并抵消!$E:$E,$E30,合并抵消!$A:$A,G$2))</f>
        <v/>
      </c>
      <c r="H30" s="89">
        <f>浙江精准学!H30+知识跳跳!H30+海南精准学!H30+实时查!H30+目标准!H30+'SMART LEARNING HOLDING'!H30+'SMART AI LIMITED'!H30+'HK01'!H30-(-SUMIFS(合并抵消!$J:$J,合并抵消!$E:$E,$E30,合并抵消!$A:$A,H$2)+SUMIFS(合并抵消!$K:$K,合并抵消!$E:$E,$E30,合并抵消!$A:$A,H$2))</f>
        <v/>
      </c>
      <c r="I30" s="89">
        <f>浙江精准学!I30+知识跳跳!I30+海南精准学!I30+实时查!I30+目标准!I30+'SMART LEARNING HOLDING'!I30+'SMART AI LIMITED'!I30+'HK01'!I30-(-SUMIFS(合并抵消!$J:$J,合并抵消!$E:$E,$E30,合并抵消!$A:$A,I$2)+SUMIFS(合并抵消!$K:$K,合并抵消!$E:$E,$E30,合并抵消!$A:$A,I$2))</f>
        <v/>
      </c>
      <c r="J30" s="89">
        <f>浙江精准学!J30+知识跳跳!J30+海南精准学!J30+实时查!J30+目标准!J30+'SMART LEARNING HOLDING'!J30+'SMART AI LIMITED'!J30+'HK01'!J30-(-SUMIFS(合并抵消!$J:$J,合并抵消!$E:$E,$E30,合并抵消!$A:$A,J$2)+SUMIFS(合并抵消!$K:$K,合并抵消!$E:$E,$E30,合并抵消!$A:$A,J$2))</f>
        <v/>
      </c>
      <c r="K30" s="89">
        <f>浙江精准学!K30+知识跳跳!K30+海南精准学!K30+实时查!K30+目标准!K30+'SMART LEARNING HOLDING'!K30+'SMART AI LIMITED'!K30+'HK01'!K30-(-SUMIFS(合并抵消!$J:$J,合并抵消!$E:$E,$E30,合并抵消!$A:$A,K$2)+SUMIFS(合并抵消!$K:$K,合并抵消!$E:$E,$E30,合并抵消!$A:$A,K$2))</f>
        <v/>
      </c>
      <c r="L30" s="89">
        <f>浙江精准学!L30+知识跳跳!L30+海南精准学!L30+实时查!L30+目标准!L30+'SMART LEARNING HOLDING'!L30+'SMART AI LIMITED'!L30+'HK01'!L30-(-SUMIFS(合并抵消!$J:$J,合并抵消!$E:$E,$E30,合并抵消!$A:$A,L$2)+SUMIFS(合并抵消!$K:$K,合并抵消!$E:$E,$E30,合并抵消!$A:$A,L$2))</f>
        <v/>
      </c>
      <c r="M30" s="89">
        <f>浙江精准学!M30+知识跳跳!M30+海南精准学!M30+实时查!M30+目标准!M30+'SMART LEARNING HOLDING'!M30+'SMART AI LIMITED'!M30+'HK01'!M30-(-SUMIFS(合并抵消!$J:$J,合并抵消!$E:$E,$E30,合并抵消!$A:$A,M$2)+SUMIFS(合并抵消!$K:$K,合并抵消!$E:$E,$E30,合并抵消!$A:$A,M$2))</f>
        <v/>
      </c>
      <c r="N30" s="89">
        <f>浙江精准学!N30+知识跳跳!N30+海南精准学!N30+实时查!N30+目标准!N30+'SMART LEARNING HOLDING'!N30+'SMART AI LIMITED'!N30+'HK01'!N30-(-SUMIFS(合并抵消!$J:$J,合并抵消!$E:$E,$E30,合并抵消!$A:$A,N$2)+SUMIFS(合并抵消!$K:$K,合并抵消!$E:$E,$E30,合并抵消!$A:$A,N$2))</f>
        <v/>
      </c>
      <c r="O30" s="89">
        <f>浙江精准学!O30+知识跳跳!O30+海南精准学!O30+实时查!O30+目标准!O30+'SMART LEARNING HOLDING'!O30+'SMART AI LIMITED'!O30+'HK01'!O30-(-SUMIFS(合并抵消!$J:$J,合并抵消!$E:$E,$E30,合并抵消!$A:$A,O$2)+SUMIFS(合并抵消!$K:$K,合并抵消!$E:$E,$E30,合并抵消!$A:$A,O$2))</f>
        <v/>
      </c>
      <c r="P30" s="89">
        <f>浙江精准学!P30+知识跳跳!P30+海南精准学!P30+实时查!P30+目标准!P30+'SMART LEARNING HOLDING'!P30+'SMART AI LIMITED'!P30+'HK01'!P30-(-SUMIFS(合并抵消!$J:$J,合并抵消!$E:$E,$E30,合并抵消!$A:$A,P$2)+SUMIFS(合并抵消!$K:$K,合并抵消!$E:$E,$E30,合并抵消!$A:$A,P$2))</f>
        <v/>
      </c>
      <c r="Q30" s="89">
        <f>浙江精准学!Q30+知识跳跳!Q30+海南精准学!Q30+实时查!Q30+目标准!Q30+'SMART LEARNING HOLDING'!Q30+'SMART AI LIMITED'!Q30+'HK01'!Q30-(-SUMIFS(合并抵消!$J:$J,合并抵消!$E:$E,$E30,合并抵消!$A:$A,Q$2)+SUMIFS(合并抵消!$K:$K,合并抵消!$E:$E,$E30,合并抵消!$A:$A,Q$2))</f>
        <v/>
      </c>
      <c r="R30" s="89">
        <f>SUM(F30:Q30)</f>
        <v/>
      </c>
    </row>
    <row r="31" s="83">
      <c r="A31" s="5" t="inlineStr">
        <is>
          <t>人工成本</t>
        </is>
      </c>
      <c r="B31" s="6" t="inlineStr">
        <is>
          <t>人工成本</t>
        </is>
      </c>
      <c r="D31" s="5" t="inlineStr">
        <is>
          <t>补偿金</t>
        </is>
      </c>
      <c r="E31" s="6" t="inlineStr">
        <is>
          <t>Q0807</t>
        </is>
      </c>
      <c r="F31" s="89">
        <f>浙江精准学!F31+知识跳跳!F31+海南精准学!F31+实时查!F31+目标准!F31+'SMART LEARNING HOLDING'!F31+'SMART AI LIMITED'!F31+'HK01'!F31-(-SUMIFS(合并抵消!$J:$J,合并抵消!$E:$E,$E31,合并抵消!$A:$A,F$2)+SUMIFS(合并抵消!$K:$K,合并抵消!$E:$E,$E31,合并抵消!$A:$A,F$2))</f>
        <v/>
      </c>
      <c r="G31" s="89">
        <f>浙江精准学!G31+知识跳跳!G31+海南精准学!G31+实时查!G31+目标准!G31+'SMART LEARNING HOLDING'!G31+'SMART AI LIMITED'!G31+'HK01'!G31-(-SUMIFS(合并抵消!$J:$J,合并抵消!$E:$E,$E31,合并抵消!$A:$A,G$2)+SUMIFS(合并抵消!$K:$K,合并抵消!$E:$E,$E31,合并抵消!$A:$A,G$2))</f>
        <v/>
      </c>
      <c r="H31" s="89">
        <f>浙江精准学!H31+知识跳跳!H31+海南精准学!H31+实时查!H31+目标准!H31+'SMART LEARNING HOLDING'!H31+'SMART AI LIMITED'!H31+'HK01'!H31-(-SUMIFS(合并抵消!$J:$J,合并抵消!$E:$E,$E31,合并抵消!$A:$A,H$2)+SUMIFS(合并抵消!$K:$K,合并抵消!$E:$E,$E31,合并抵消!$A:$A,H$2))</f>
        <v/>
      </c>
      <c r="I31" s="89">
        <f>浙江精准学!I31+知识跳跳!I31+海南精准学!I31+实时查!I31+目标准!I31+'SMART LEARNING HOLDING'!I31+'SMART AI LIMITED'!I31+'HK01'!I31-(-SUMIFS(合并抵消!$J:$J,合并抵消!$E:$E,$E31,合并抵消!$A:$A,I$2)+SUMIFS(合并抵消!$K:$K,合并抵消!$E:$E,$E31,合并抵消!$A:$A,I$2))</f>
        <v/>
      </c>
      <c r="J31" s="89">
        <f>浙江精准学!J31+知识跳跳!J31+海南精准学!J31+实时查!J31+目标准!J31+'SMART LEARNING HOLDING'!J31+'SMART AI LIMITED'!J31+'HK01'!J31-(-SUMIFS(合并抵消!$J:$J,合并抵消!$E:$E,$E31,合并抵消!$A:$A,J$2)+SUMIFS(合并抵消!$K:$K,合并抵消!$E:$E,$E31,合并抵消!$A:$A,J$2))</f>
        <v/>
      </c>
      <c r="K31" s="89">
        <f>浙江精准学!K31+知识跳跳!K31+海南精准学!K31+实时查!K31+目标准!K31+'SMART LEARNING HOLDING'!K31+'SMART AI LIMITED'!K31+'HK01'!K31-(-SUMIFS(合并抵消!$J:$J,合并抵消!$E:$E,$E31,合并抵消!$A:$A,K$2)+SUMIFS(合并抵消!$K:$K,合并抵消!$E:$E,$E31,合并抵消!$A:$A,K$2))</f>
        <v/>
      </c>
      <c r="L31" s="89">
        <f>浙江精准学!L31+知识跳跳!L31+海南精准学!L31+实时查!L31+目标准!L31+'SMART LEARNING HOLDING'!L31+'SMART AI LIMITED'!L31+'HK01'!L31-(-SUMIFS(合并抵消!$J:$J,合并抵消!$E:$E,$E31,合并抵消!$A:$A,L$2)+SUMIFS(合并抵消!$K:$K,合并抵消!$E:$E,$E31,合并抵消!$A:$A,L$2))</f>
        <v/>
      </c>
      <c r="M31" s="89">
        <f>浙江精准学!M31+知识跳跳!M31+海南精准学!M31+实时查!M31+目标准!M31+'SMART LEARNING HOLDING'!M31+'SMART AI LIMITED'!M31+'HK01'!M31-(-SUMIFS(合并抵消!$J:$J,合并抵消!$E:$E,$E31,合并抵消!$A:$A,M$2)+SUMIFS(合并抵消!$K:$K,合并抵消!$E:$E,$E31,合并抵消!$A:$A,M$2))</f>
        <v/>
      </c>
      <c r="N31" s="89">
        <f>浙江精准学!N31+知识跳跳!N31+海南精准学!N31+实时查!N31+目标准!N31+'SMART LEARNING HOLDING'!N31+'SMART AI LIMITED'!N31+'HK01'!N31-(-SUMIFS(合并抵消!$J:$J,合并抵消!$E:$E,$E31,合并抵消!$A:$A,N$2)+SUMIFS(合并抵消!$K:$K,合并抵消!$E:$E,$E31,合并抵消!$A:$A,N$2))</f>
        <v/>
      </c>
      <c r="O31" s="89">
        <f>浙江精准学!O31+知识跳跳!O31+海南精准学!O31+实时查!O31+目标准!O31+'SMART LEARNING HOLDING'!O31+'SMART AI LIMITED'!O31+'HK01'!O31-(-SUMIFS(合并抵消!$J:$J,合并抵消!$E:$E,$E31,合并抵消!$A:$A,O$2)+SUMIFS(合并抵消!$K:$K,合并抵消!$E:$E,$E31,合并抵消!$A:$A,O$2))</f>
        <v/>
      </c>
      <c r="P31" s="89">
        <f>浙江精准学!P31+知识跳跳!P31+海南精准学!P31+实时查!P31+目标准!P31+'SMART LEARNING HOLDING'!P31+'SMART AI LIMITED'!P31+'HK01'!P31-(-SUMIFS(合并抵消!$J:$J,合并抵消!$E:$E,$E31,合并抵消!$A:$A,P$2)+SUMIFS(合并抵消!$K:$K,合并抵消!$E:$E,$E31,合并抵消!$A:$A,P$2))</f>
        <v/>
      </c>
      <c r="Q31" s="89">
        <f>浙江精准学!Q31+知识跳跳!Q31+海南精准学!Q31+实时查!Q31+目标准!Q31+'SMART LEARNING HOLDING'!Q31+'SMART AI LIMITED'!Q31+'HK01'!Q31-(-SUMIFS(合并抵消!$J:$J,合并抵消!$E:$E,$E31,合并抵消!$A:$A,Q$2)+SUMIFS(合并抵消!$K:$K,合并抵消!$E:$E,$E31,合并抵消!$A:$A,Q$2))</f>
        <v/>
      </c>
      <c r="R31" s="89">
        <f>SUM(F31:Q31)</f>
        <v/>
      </c>
    </row>
    <row r="32" s="83">
      <c r="A32" s="5" t="inlineStr">
        <is>
          <t>人工成本</t>
        </is>
      </c>
      <c r="B32" s="6" t="inlineStr">
        <is>
          <t>人工成本</t>
        </is>
      </c>
      <c r="D32" s="5" t="inlineStr">
        <is>
          <t>派遣费用</t>
        </is>
      </c>
      <c r="E32" s="6" t="inlineStr">
        <is>
          <t>Q0808</t>
        </is>
      </c>
      <c r="F32" s="89">
        <f>浙江精准学!F32+知识跳跳!F32+海南精准学!F32+实时查!F32+目标准!F32+'SMART LEARNING HOLDING'!F32+'SMART AI LIMITED'!F32+'HK01'!F32-(-SUMIFS(合并抵消!$J:$J,合并抵消!$E:$E,$E32,合并抵消!$A:$A,F$2)+SUMIFS(合并抵消!$K:$K,合并抵消!$E:$E,$E32,合并抵消!$A:$A,F$2))</f>
        <v/>
      </c>
      <c r="G32" s="89">
        <f>浙江精准学!G32+知识跳跳!G32+海南精准学!G32+实时查!G32+目标准!G32+'SMART LEARNING HOLDING'!G32+'SMART AI LIMITED'!G32+'HK01'!G32-(-SUMIFS(合并抵消!$J:$J,合并抵消!$E:$E,$E32,合并抵消!$A:$A,G$2)+SUMIFS(合并抵消!$K:$K,合并抵消!$E:$E,$E32,合并抵消!$A:$A,G$2))</f>
        <v/>
      </c>
      <c r="H32" s="89">
        <f>浙江精准学!H32+知识跳跳!H32+海南精准学!H32+实时查!H32+目标准!H32+'SMART LEARNING HOLDING'!H32+'SMART AI LIMITED'!H32+'HK01'!H32-(-SUMIFS(合并抵消!$J:$J,合并抵消!$E:$E,$E32,合并抵消!$A:$A,H$2)+SUMIFS(合并抵消!$K:$K,合并抵消!$E:$E,$E32,合并抵消!$A:$A,H$2))</f>
        <v/>
      </c>
      <c r="I32" s="89">
        <f>浙江精准学!I32+知识跳跳!I32+海南精准学!I32+实时查!I32+目标准!I32+'SMART LEARNING HOLDING'!I32+'SMART AI LIMITED'!I32+'HK01'!I32-(-SUMIFS(合并抵消!$J:$J,合并抵消!$E:$E,$E32,合并抵消!$A:$A,I$2)+SUMIFS(合并抵消!$K:$K,合并抵消!$E:$E,$E32,合并抵消!$A:$A,I$2))</f>
        <v/>
      </c>
      <c r="J32" s="89">
        <f>浙江精准学!J32+知识跳跳!J32+海南精准学!J32+实时查!J32+目标准!J32+'SMART LEARNING HOLDING'!J32+'SMART AI LIMITED'!J32+'HK01'!J32-(-SUMIFS(合并抵消!$J:$J,合并抵消!$E:$E,$E32,合并抵消!$A:$A,J$2)+SUMIFS(合并抵消!$K:$K,合并抵消!$E:$E,$E32,合并抵消!$A:$A,J$2))</f>
        <v/>
      </c>
      <c r="K32" s="89">
        <f>浙江精准学!K32+知识跳跳!K32+海南精准学!K32+实时查!K32+目标准!K32+'SMART LEARNING HOLDING'!K32+'SMART AI LIMITED'!K32+'HK01'!K32-(-SUMIFS(合并抵消!$J:$J,合并抵消!$E:$E,$E32,合并抵消!$A:$A,K$2)+SUMIFS(合并抵消!$K:$K,合并抵消!$E:$E,$E32,合并抵消!$A:$A,K$2))</f>
        <v/>
      </c>
      <c r="L32" s="89">
        <f>浙江精准学!L32+知识跳跳!L32+海南精准学!L32+实时查!L32+目标准!L32+'SMART LEARNING HOLDING'!L32+'SMART AI LIMITED'!L32+'HK01'!L32-(-SUMIFS(合并抵消!$J:$J,合并抵消!$E:$E,$E32,合并抵消!$A:$A,L$2)+SUMIFS(合并抵消!$K:$K,合并抵消!$E:$E,$E32,合并抵消!$A:$A,L$2))</f>
        <v/>
      </c>
      <c r="M32" s="89">
        <f>浙江精准学!M32+知识跳跳!M32+海南精准学!M32+实时查!M32+目标准!M32+'SMART LEARNING HOLDING'!M32+'SMART AI LIMITED'!M32+'HK01'!M32-(-SUMIFS(合并抵消!$J:$J,合并抵消!$E:$E,$E32,合并抵消!$A:$A,M$2)+SUMIFS(合并抵消!$K:$K,合并抵消!$E:$E,$E32,合并抵消!$A:$A,M$2))</f>
        <v/>
      </c>
      <c r="N32" s="89">
        <f>浙江精准学!N32+知识跳跳!N32+海南精准学!N32+实时查!N32+目标准!N32+'SMART LEARNING HOLDING'!N32+'SMART AI LIMITED'!N32+'HK01'!N32-(-SUMIFS(合并抵消!$J:$J,合并抵消!$E:$E,$E32,合并抵消!$A:$A,N$2)+SUMIFS(合并抵消!$K:$K,合并抵消!$E:$E,$E32,合并抵消!$A:$A,N$2))</f>
        <v/>
      </c>
      <c r="O32" s="89">
        <f>浙江精准学!O32+知识跳跳!O32+海南精准学!O32+实时查!O32+目标准!O32+'SMART LEARNING HOLDING'!O32+'SMART AI LIMITED'!O32+'HK01'!O32-(-SUMIFS(合并抵消!$J:$J,合并抵消!$E:$E,$E32,合并抵消!$A:$A,O$2)+SUMIFS(合并抵消!$K:$K,合并抵消!$E:$E,$E32,合并抵消!$A:$A,O$2))</f>
        <v/>
      </c>
      <c r="P32" s="89">
        <f>浙江精准学!P32+知识跳跳!P32+海南精准学!P32+实时查!P32+目标准!P32+'SMART LEARNING HOLDING'!P32+'SMART AI LIMITED'!P32+'HK01'!P32-(-SUMIFS(合并抵消!$J:$J,合并抵消!$E:$E,$E32,合并抵消!$A:$A,P$2)+SUMIFS(合并抵消!$K:$K,合并抵消!$E:$E,$E32,合并抵消!$A:$A,P$2))</f>
        <v/>
      </c>
      <c r="Q32" s="89">
        <f>浙江精准学!Q32+知识跳跳!Q32+海南精准学!Q32+实时查!Q32+目标准!Q32+'SMART LEARNING HOLDING'!Q32+'SMART AI LIMITED'!Q32+'HK01'!Q32-(-SUMIFS(合并抵消!$J:$J,合并抵消!$E:$E,$E32,合并抵消!$A:$A,Q$2)+SUMIFS(合并抵消!$K:$K,合并抵消!$E:$E,$E32,合并抵消!$A:$A,Q$2))</f>
        <v/>
      </c>
      <c r="R32" s="89">
        <f>SUM(F32:Q32)</f>
        <v/>
      </c>
    </row>
    <row r="33" s="83">
      <c r="A33" s="5" t="inlineStr">
        <is>
          <t>人工成本</t>
        </is>
      </c>
      <c r="B33" s="6" t="inlineStr">
        <is>
          <t>人工成本</t>
        </is>
      </c>
      <c r="D33" s="5" t="inlineStr">
        <is>
          <t>顾问费</t>
        </is>
      </c>
      <c r="E33" s="6" t="inlineStr">
        <is>
          <t>Q0809</t>
        </is>
      </c>
      <c r="F33" s="89">
        <f>浙江精准学!F33+知识跳跳!F33+海南精准学!F33+实时查!F33+目标准!F33+'SMART LEARNING HOLDING'!F33+'SMART AI LIMITED'!F33+'HK01'!F33-(-SUMIFS(合并抵消!$J:$J,合并抵消!$E:$E,$E33,合并抵消!$A:$A,F$2)+SUMIFS(合并抵消!$K:$K,合并抵消!$E:$E,$E33,合并抵消!$A:$A,F$2))</f>
        <v/>
      </c>
      <c r="G33" s="89">
        <f>浙江精准学!G33+知识跳跳!G33+海南精准学!G33+实时查!G33+目标准!G33+'SMART LEARNING HOLDING'!G33+'SMART AI LIMITED'!G33+'HK01'!G33-(-SUMIFS(合并抵消!$J:$J,合并抵消!$E:$E,$E33,合并抵消!$A:$A,G$2)+SUMIFS(合并抵消!$K:$K,合并抵消!$E:$E,$E33,合并抵消!$A:$A,G$2))</f>
        <v/>
      </c>
      <c r="H33" s="89">
        <f>浙江精准学!H33+知识跳跳!H33+海南精准学!H33+实时查!H33+目标准!H33+'SMART LEARNING HOLDING'!H33+'SMART AI LIMITED'!H33+'HK01'!H33-(-SUMIFS(合并抵消!$J:$J,合并抵消!$E:$E,$E33,合并抵消!$A:$A,H$2)+SUMIFS(合并抵消!$K:$K,合并抵消!$E:$E,$E33,合并抵消!$A:$A,H$2))</f>
        <v/>
      </c>
      <c r="I33" s="89">
        <f>浙江精准学!I33+知识跳跳!I33+海南精准学!I33+实时查!I33+目标准!I33+'SMART LEARNING HOLDING'!I33+'SMART AI LIMITED'!I33+'HK01'!I33-(-SUMIFS(合并抵消!$J:$J,合并抵消!$E:$E,$E33,合并抵消!$A:$A,I$2)+SUMIFS(合并抵消!$K:$K,合并抵消!$E:$E,$E33,合并抵消!$A:$A,I$2))</f>
        <v/>
      </c>
      <c r="J33" s="89">
        <f>浙江精准学!J33+知识跳跳!J33+海南精准学!J33+实时查!J33+目标准!J33+'SMART LEARNING HOLDING'!J33+'SMART AI LIMITED'!J33+'HK01'!J33-(-SUMIFS(合并抵消!$J:$J,合并抵消!$E:$E,$E33,合并抵消!$A:$A,J$2)+SUMIFS(合并抵消!$K:$K,合并抵消!$E:$E,$E33,合并抵消!$A:$A,J$2))</f>
        <v/>
      </c>
      <c r="K33" s="89">
        <f>浙江精准学!K33+知识跳跳!K33+海南精准学!K33+实时查!K33+目标准!K33+'SMART LEARNING HOLDING'!K33+'SMART AI LIMITED'!K33+'HK01'!K33-(-SUMIFS(合并抵消!$J:$J,合并抵消!$E:$E,$E33,合并抵消!$A:$A,K$2)+SUMIFS(合并抵消!$K:$K,合并抵消!$E:$E,$E33,合并抵消!$A:$A,K$2))</f>
        <v/>
      </c>
      <c r="L33" s="89">
        <f>浙江精准学!L33+知识跳跳!L33+海南精准学!L33+实时查!L33+目标准!L33+'SMART LEARNING HOLDING'!L33+'SMART AI LIMITED'!L33+'HK01'!L33-(-SUMIFS(合并抵消!$J:$J,合并抵消!$E:$E,$E33,合并抵消!$A:$A,L$2)+SUMIFS(合并抵消!$K:$K,合并抵消!$E:$E,$E33,合并抵消!$A:$A,L$2))</f>
        <v/>
      </c>
      <c r="M33" s="89">
        <f>浙江精准学!M33+知识跳跳!M33+海南精准学!M33+实时查!M33+目标准!M33+'SMART LEARNING HOLDING'!M33+'SMART AI LIMITED'!M33+'HK01'!M33-(-SUMIFS(合并抵消!$J:$J,合并抵消!$E:$E,$E33,合并抵消!$A:$A,M$2)+SUMIFS(合并抵消!$K:$K,合并抵消!$E:$E,$E33,合并抵消!$A:$A,M$2))</f>
        <v/>
      </c>
      <c r="N33" s="89">
        <f>浙江精准学!N33+知识跳跳!N33+海南精准学!N33+实时查!N33+目标准!N33+'SMART LEARNING HOLDING'!N33+'SMART AI LIMITED'!N33+'HK01'!N33-(-SUMIFS(合并抵消!$J:$J,合并抵消!$E:$E,$E33,合并抵消!$A:$A,N$2)+SUMIFS(合并抵消!$K:$K,合并抵消!$E:$E,$E33,合并抵消!$A:$A,N$2))</f>
        <v/>
      </c>
      <c r="O33" s="89">
        <f>浙江精准学!O33+知识跳跳!O33+海南精准学!O33+实时查!O33+目标准!O33+'SMART LEARNING HOLDING'!O33+'SMART AI LIMITED'!O33+'HK01'!O33-(-SUMIFS(合并抵消!$J:$J,合并抵消!$E:$E,$E33,合并抵消!$A:$A,O$2)+SUMIFS(合并抵消!$K:$K,合并抵消!$E:$E,$E33,合并抵消!$A:$A,O$2))</f>
        <v/>
      </c>
      <c r="P33" s="89">
        <f>浙江精准学!P33+知识跳跳!P33+海南精准学!P33+实时查!P33+目标准!P33+'SMART LEARNING HOLDING'!P33+'SMART AI LIMITED'!P33+'HK01'!P33-(-SUMIFS(合并抵消!$J:$J,合并抵消!$E:$E,$E33,合并抵消!$A:$A,P$2)+SUMIFS(合并抵消!$K:$K,合并抵消!$E:$E,$E33,合并抵消!$A:$A,P$2))</f>
        <v/>
      </c>
      <c r="Q33" s="89">
        <f>浙江精准学!Q33+知识跳跳!Q33+海南精准学!Q33+实时查!Q33+目标准!Q33+'SMART LEARNING HOLDING'!Q33+'SMART AI LIMITED'!Q33+'HK01'!Q33-(-SUMIFS(合并抵消!$J:$J,合并抵消!$E:$E,$E33,合并抵消!$A:$A,Q$2)+SUMIFS(合并抵消!$K:$K,合并抵消!$E:$E,$E33,合并抵消!$A:$A,Q$2))</f>
        <v/>
      </c>
      <c r="R33" s="89">
        <f>SUM(F33:Q33)</f>
        <v/>
      </c>
    </row>
    <row r="34" s="83">
      <c r="A34" s="5" t="inlineStr">
        <is>
          <t>人工成本</t>
        </is>
      </c>
      <c r="B34" s="6" t="inlineStr">
        <is>
          <t>人工成本</t>
        </is>
      </c>
      <c r="D34" s="5" t="inlineStr">
        <is>
          <t>其他人工成本</t>
        </is>
      </c>
      <c r="E34" s="6" t="inlineStr">
        <is>
          <t>Q08010</t>
        </is>
      </c>
      <c r="F34" s="89">
        <f>浙江精准学!F34+知识跳跳!F34+海南精准学!F34+实时查!F34+目标准!F34+'SMART LEARNING HOLDING'!F34+'SMART AI LIMITED'!F34+'HK01'!F34-(-SUMIFS(合并抵消!$J:$J,合并抵消!$E:$E,$E34,合并抵消!$A:$A,F$2)+SUMIFS(合并抵消!$K:$K,合并抵消!$E:$E,$E34,合并抵消!$A:$A,F$2))</f>
        <v/>
      </c>
      <c r="G34" s="89">
        <f>浙江精准学!G34+知识跳跳!G34+海南精准学!G34+实时查!G34+目标准!G34+'SMART LEARNING HOLDING'!G34+'SMART AI LIMITED'!G34+'HK01'!G34-(-SUMIFS(合并抵消!$J:$J,合并抵消!$E:$E,$E34,合并抵消!$A:$A,G$2)+SUMIFS(合并抵消!$K:$K,合并抵消!$E:$E,$E34,合并抵消!$A:$A,G$2))</f>
        <v/>
      </c>
      <c r="H34" s="89">
        <f>浙江精准学!H34+知识跳跳!H34+海南精准学!H34+实时查!H34+目标准!H34+'SMART LEARNING HOLDING'!H34+'SMART AI LIMITED'!H34+'HK01'!H34-(-SUMIFS(合并抵消!$J:$J,合并抵消!$E:$E,$E34,合并抵消!$A:$A,H$2)+SUMIFS(合并抵消!$K:$K,合并抵消!$E:$E,$E34,合并抵消!$A:$A,H$2))</f>
        <v/>
      </c>
      <c r="I34" s="89">
        <f>浙江精准学!I34+知识跳跳!I34+海南精准学!I34+实时查!I34+目标准!I34+'SMART LEARNING HOLDING'!I34+'SMART AI LIMITED'!I34+'HK01'!I34-(-SUMIFS(合并抵消!$J:$J,合并抵消!$E:$E,$E34,合并抵消!$A:$A,I$2)+SUMIFS(合并抵消!$K:$K,合并抵消!$E:$E,$E34,合并抵消!$A:$A,I$2))</f>
        <v/>
      </c>
      <c r="J34" s="89">
        <f>浙江精准学!J34+知识跳跳!J34+海南精准学!J34+实时查!J34+目标准!J34+'SMART LEARNING HOLDING'!J34+'SMART AI LIMITED'!J34+'HK01'!J34-(-SUMIFS(合并抵消!$J:$J,合并抵消!$E:$E,$E34,合并抵消!$A:$A,J$2)+SUMIFS(合并抵消!$K:$K,合并抵消!$E:$E,$E34,合并抵消!$A:$A,J$2))</f>
        <v/>
      </c>
      <c r="K34" s="89">
        <f>浙江精准学!K34+知识跳跳!K34+海南精准学!K34+实时查!K34+目标准!K34+'SMART LEARNING HOLDING'!K34+'SMART AI LIMITED'!K34+'HK01'!K34-(-SUMIFS(合并抵消!$J:$J,合并抵消!$E:$E,$E34,合并抵消!$A:$A,K$2)+SUMIFS(合并抵消!$K:$K,合并抵消!$E:$E,$E34,合并抵消!$A:$A,K$2))</f>
        <v/>
      </c>
      <c r="L34" s="89">
        <f>浙江精准学!L34+知识跳跳!L34+海南精准学!L34+实时查!L34+目标准!L34+'SMART LEARNING HOLDING'!L34+'SMART AI LIMITED'!L34+'HK01'!L34-(-SUMIFS(合并抵消!$J:$J,合并抵消!$E:$E,$E34,合并抵消!$A:$A,L$2)+SUMIFS(合并抵消!$K:$K,合并抵消!$E:$E,$E34,合并抵消!$A:$A,L$2))</f>
        <v/>
      </c>
      <c r="M34" s="89">
        <f>浙江精准学!M34+知识跳跳!M34+海南精准学!M34+实时查!M34+目标准!M34+'SMART LEARNING HOLDING'!M34+'SMART AI LIMITED'!M34+'HK01'!M34-(-SUMIFS(合并抵消!$J:$J,合并抵消!$E:$E,$E34,合并抵消!$A:$A,M$2)+SUMIFS(合并抵消!$K:$K,合并抵消!$E:$E,$E34,合并抵消!$A:$A,M$2))</f>
        <v/>
      </c>
      <c r="N34" s="89">
        <f>浙江精准学!N34+知识跳跳!N34+海南精准学!N34+实时查!N34+目标准!N34+'SMART LEARNING HOLDING'!N34+'SMART AI LIMITED'!N34+'HK01'!N34-(-SUMIFS(合并抵消!$J:$J,合并抵消!$E:$E,$E34,合并抵消!$A:$A,N$2)+SUMIFS(合并抵消!$K:$K,合并抵消!$E:$E,$E34,合并抵消!$A:$A,N$2))</f>
        <v/>
      </c>
      <c r="O34" s="89">
        <f>浙江精准学!O34+知识跳跳!O34+海南精准学!O34+实时查!O34+目标准!O34+'SMART LEARNING HOLDING'!O34+'SMART AI LIMITED'!O34+'HK01'!O34-(-SUMIFS(合并抵消!$J:$J,合并抵消!$E:$E,$E34,合并抵消!$A:$A,O$2)+SUMIFS(合并抵消!$K:$K,合并抵消!$E:$E,$E34,合并抵消!$A:$A,O$2))</f>
        <v/>
      </c>
      <c r="P34" s="89">
        <f>浙江精准学!P34+知识跳跳!P34+海南精准学!P34+实时查!P34+目标准!P34+'SMART LEARNING HOLDING'!P34+'SMART AI LIMITED'!P34+'HK01'!P34-(-SUMIFS(合并抵消!$J:$J,合并抵消!$E:$E,$E34,合并抵消!$A:$A,P$2)+SUMIFS(合并抵消!$K:$K,合并抵消!$E:$E,$E34,合并抵消!$A:$A,P$2))</f>
        <v/>
      </c>
      <c r="Q34" s="89">
        <f>浙江精准学!Q34+知识跳跳!Q34+海南精准学!Q34+实时查!Q34+目标准!Q34+'SMART LEARNING HOLDING'!Q34+'SMART AI LIMITED'!Q34+'HK01'!Q34-(-SUMIFS(合并抵消!$J:$J,合并抵消!$E:$E,$E34,合并抵消!$A:$A,Q$2)+SUMIFS(合并抵消!$K:$K,合并抵消!$E:$E,$E34,合并抵消!$A:$A,Q$2))</f>
        <v/>
      </c>
      <c r="R34" s="89">
        <f>SUM(F34:Q34)</f>
        <v/>
      </c>
    </row>
    <row r="35" s="83">
      <c r="A35" s="49" t="inlineStr">
        <is>
          <t>人工成本合计</t>
        </is>
      </c>
      <c r="B35" s="50" t="n"/>
      <c r="C35" s="50" t="n"/>
      <c r="D35" s="49" t="n"/>
      <c r="E35" s="49" t="n"/>
      <c r="F35" s="89">
        <f>SUM(F25:F34)</f>
        <v/>
      </c>
      <c r="G35" s="89">
        <f>SUM(G25:G34)</f>
        <v/>
      </c>
      <c r="H35" s="89">
        <f>SUM(H25:H34)</f>
        <v/>
      </c>
      <c r="I35" s="89">
        <f>SUM(I25:I34)</f>
        <v/>
      </c>
      <c r="J35" s="89">
        <f>SUM(J25:J34)</f>
        <v/>
      </c>
      <c r="K35" s="89">
        <f>SUM(K25:K34)</f>
        <v/>
      </c>
      <c r="L35" s="89">
        <f>SUM(L25:L34)</f>
        <v/>
      </c>
      <c r="M35" s="89">
        <f>SUM(M25:M34)</f>
        <v/>
      </c>
      <c r="N35" s="89">
        <f>SUM(N25:N34)</f>
        <v/>
      </c>
      <c r="O35" s="89">
        <f>SUM(O25:O34)</f>
        <v/>
      </c>
      <c r="P35" s="89">
        <f>SUM(P25:P34)</f>
        <v/>
      </c>
      <c r="Q35" s="89">
        <f>SUM(Q25:Q34)</f>
        <v/>
      </c>
      <c r="R35" s="89">
        <f>SUM(F35:Q35)</f>
        <v/>
      </c>
    </row>
    <row r="36" s="83">
      <c r="A36" s="5" t="inlineStr">
        <is>
          <t>硬件支出</t>
        </is>
      </c>
      <c r="B36" s="6" t="inlineStr">
        <is>
          <t>BONG MAX</t>
        </is>
      </c>
      <c r="C36" s="6" t="inlineStr">
        <is>
          <t>BONG MAX</t>
        </is>
      </c>
      <c r="D36" s="5" t="inlineStr">
        <is>
          <t>TCL平板电脑款项</t>
        </is>
      </c>
      <c r="E36" s="6" t="inlineStr">
        <is>
          <t>Q0901</t>
        </is>
      </c>
      <c r="F36" s="89">
        <f>浙江精准学!F36+知识跳跳!F36+海南精准学!F36+实时查!F36+目标准!F36+'SMART LEARNING HOLDING'!F36+'SMART AI LIMITED'!F36+'HK01'!F36-(-SUMIFS(合并抵消!$J:$J,合并抵消!$E:$E,$E36,合并抵消!$A:$A,F$2)+SUMIFS(合并抵消!$K:$K,合并抵消!$E:$E,$E36,合并抵消!$A:$A,F$2))</f>
        <v/>
      </c>
      <c r="G36" s="89">
        <f>浙江精准学!G36+知识跳跳!G36+海南精准学!G36+实时查!G36+目标准!G36+'SMART LEARNING HOLDING'!G36+'SMART AI LIMITED'!G36+'HK01'!G36-(-SUMIFS(合并抵消!$J:$J,合并抵消!$E:$E,$E36,合并抵消!$A:$A,G$2)+SUMIFS(合并抵消!$K:$K,合并抵消!$E:$E,$E36,合并抵消!$A:$A,G$2))</f>
        <v/>
      </c>
      <c r="H36" s="89">
        <f>浙江精准学!H36+知识跳跳!H36+海南精准学!H36+实时查!H36+目标准!H36+'SMART LEARNING HOLDING'!H36+'SMART AI LIMITED'!H36+'HK01'!H36-(-SUMIFS(合并抵消!$J:$J,合并抵消!$E:$E,$E36,合并抵消!$A:$A,H$2)+SUMIFS(合并抵消!$K:$K,合并抵消!$E:$E,$E36,合并抵消!$A:$A,H$2))</f>
        <v/>
      </c>
      <c r="I36" s="89">
        <f>浙江精准学!I36+知识跳跳!I36+海南精准学!I36+实时查!I36+目标准!I36+'SMART LEARNING HOLDING'!I36+'SMART AI LIMITED'!I36+'HK01'!I36-(-SUMIFS(合并抵消!$J:$J,合并抵消!$E:$E,$E36,合并抵消!$A:$A,I$2)+SUMIFS(合并抵消!$K:$K,合并抵消!$E:$E,$E36,合并抵消!$A:$A,I$2))</f>
        <v/>
      </c>
      <c r="J36" s="89">
        <f>浙江精准学!J36+知识跳跳!J36+海南精准学!J36+实时查!J36+目标准!J36+'SMART LEARNING HOLDING'!J36+'SMART AI LIMITED'!J36+'HK01'!J36-(-SUMIFS(合并抵消!$J:$J,合并抵消!$E:$E,$E36,合并抵消!$A:$A,J$2)+SUMIFS(合并抵消!$K:$K,合并抵消!$E:$E,$E36,合并抵消!$A:$A,J$2))</f>
        <v/>
      </c>
      <c r="K36" s="89">
        <f>浙江精准学!K36+知识跳跳!K36+海南精准学!K36+实时查!K36+目标准!K36+'SMART LEARNING HOLDING'!K36+'SMART AI LIMITED'!K36+'HK01'!K36-(-SUMIFS(合并抵消!$J:$J,合并抵消!$E:$E,$E36,合并抵消!$A:$A,K$2)+SUMIFS(合并抵消!$K:$K,合并抵消!$E:$E,$E36,合并抵消!$A:$A,K$2))</f>
        <v/>
      </c>
      <c r="L36" s="89">
        <f>浙江精准学!L36+知识跳跳!L36+海南精准学!L36+实时查!L36+目标准!L36+'SMART LEARNING HOLDING'!L36+'SMART AI LIMITED'!L36+'HK01'!L36-(-SUMIFS(合并抵消!$J:$J,合并抵消!$E:$E,$E36,合并抵消!$A:$A,L$2)+SUMIFS(合并抵消!$K:$K,合并抵消!$E:$E,$E36,合并抵消!$A:$A,L$2))</f>
        <v/>
      </c>
      <c r="M36" s="89">
        <f>浙江精准学!M36+知识跳跳!M36+海南精准学!M36+实时查!M36+目标准!M36+'SMART LEARNING HOLDING'!M36+'SMART AI LIMITED'!M36+'HK01'!M36-(-SUMIFS(合并抵消!$J:$J,合并抵消!$E:$E,$E36,合并抵消!$A:$A,M$2)+SUMIFS(合并抵消!$K:$K,合并抵消!$E:$E,$E36,合并抵消!$A:$A,M$2))</f>
        <v/>
      </c>
      <c r="N36" s="89">
        <f>浙江精准学!N36+知识跳跳!N36+海南精准学!N36+实时查!N36+目标准!N36+'SMART LEARNING HOLDING'!N36+'SMART AI LIMITED'!N36+'HK01'!N36-(-SUMIFS(合并抵消!$J:$J,合并抵消!$E:$E,$E36,合并抵消!$A:$A,N$2)+SUMIFS(合并抵消!$K:$K,合并抵消!$E:$E,$E36,合并抵消!$A:$A,N$2))</f>
        <v/>
      </c>
      <c r="O36" s="89">
        <f>浙江精准学!O36+知识跳跳!O36+海南精准学!O36+实时查!O36+目标准!O36+'SMART LEARNING HOLDING'!O36+'SMART AI LIMITED'!O36+'HK01'!O36-(-SUMIFS(合并抵消!$J:$J,合并抵消!$E:$E,$E36,合并抵消!$A:$A,O$2)+SUMIFS(合并抵消!$K:$K,合并抵消!$E:$E,$E36,合并抵消!$A:$A,O$2))</f>
        <v/>
      </c>
      <c r="P36" s="89">
        <f>浙江精准学!P36+知识跳跳!P36+海南精准学!P36+实时查!P36+目标准!P36+'SMART LEARNING HOLDING'!P36+'SMART AI LIMITED'!P36+'HK01'!P36-(-SUMIFS(合并抵消!$J:$J,合并抵消!$E:$E,$E36,合并抵消!$A:$A,P$2)+SUMIFS(合并抵消!$K:$K,合并抵消!$E:$E,$E36,合并抵消!$A:$A,P$2))</f>
        <v/>
      </c>
      <c r="Q36" s="89">
        <f>浙江精准学!Q36+知识跳跳!Q36+海南精准学!Q36+实时查!Q36+目标准!Q36+'SMART LEARNING HOLDING'!Q36+'SMART AI LIMITED'!Q36+'HK01'!Q36-(-SUMIFS(合并抵消!$J:$J,合并抵消!$E:$E,$E36,合并抵消!$A:$A,Q$2)+SUMIFS(合并抵消!$K:$K,合并抵消!$E:$E,$E36,合并抵消!$A:$A,Q$2))</f>
        <v/>
      </c>
      <c r="R36" s="89">
        <f>SUM(F36:Q36)</f>
        <v/>
      </c>
    </row>
    <row r="37" s="83">
      <c r="A37" s="5" t="inlineStr">
        <is>
          <t>硬件支出</t>
        </is>
      </c>
      <c r="B37" s="6" t="inlineStr">
        <is>
          <t>BONG MAX</t>
        </is>
      </c>
      <c r="D37" s="5" t="inlineStr">
        <is>
          <t>保护套</t>
        </is>
      </c>
      <c r="E37" s="6" t="inlineStr">
        <is>
          <t>Q0902</t>
        </is>
      </c>
      <c r="F37" s="89">
        <f>浙江精准学!F37+知识跳跳!F37+海南精准学!F37+实时查!F37+目标准!F37+'SMART LEARNING HOLDING'!F37+'SMART AI LIMITED'!F37+'HK01'!F37-(-SUMIFS(合并抵消!$J:$J,合并抵消!$E:$E,$E37,合并抵消!$A:$A,F$2)+SUMIFS(合并抵消!$K:$K,合并抵消!$E:$E,$E37,合并抵消!$A:$A,F$2))</f>
        <v/>
      </c>
      <c r="G37" s="89">
        <f>浙江精准学!G37+知识跳跳!G37+海南精准学!G37+实时查!G37+目标准!G37+'SMART LEARNING HOLDING'!G37+'SMART AI LIMITED'!G37+'HK01'!G37-(-SUMIFS(合并抵消!$J:$J,合并抵消!$E:$E,$E37,合并抵消!$A:$A,G$2)+SUMIFS(合并抵消!$K:$K,合并抵消!$E:$E,$E37,合并抵消!$A:$A,G$2))</f>
        <v/>
      </c>
      <c r="H37" s="89">
        <f>浙江精准学!H37+知识跳跳!H37+海南精准学!H37+实时查!H37+目标准!H37+'SMART LEARNING HOLDING'!H37+'SMART AI LIMITED'!H37+'HK01'!H37-(-SUMIFS(合并抵消!$J:$J,合并抵消!$E:$E,$E37,合并抵消!$A:$A,H$2)+SUMIFS(合并抵消!$K:$K,合并抵消!$E:$E,$E37,合并抵消!$A:$A,H$2))</f>
        <v/>
      </c>
      <c r="I37" s="89">
        <f>浙江精准学!I37+知识跳跳!I37+海南精准学!I37+实时查!I37+目标准!I37+'SMART LEARNING HOLDING'!I37+'SMART AI LIMITED'!I37+'HK01'!I37-(-SUMIFS(合并抵消!$J:$J,合并抵消!$E:$E,$E37,合并抵消!$A:$A,I$2)+SUMIFS(合并抵消!$K:$K,合并抵消!$E:$E,$E37,合并抵消!$A:$A,I$2))</f>
        <v/>
      </c>
      <c r="J37" s="89">
        <f>浙江精准学!J37+知识跳跳!J37+海南精准学!J37+实时查!J37+目标准!J37+'SMART LEARNING HOLDING'!J37+'SMART AI LIMITED'!J37+'HK01'!J37-(-SUMIFS(合并抵消!$J:$J,合并抵消!$E:$E,$E37,合并抵消!$A:$A,J$2)+SUMIFS(合并抵消!$K:$K,合并抵消!$E:$E,$E37,合并抵消!$A:$A,J$2))</f>
        <v/>
      </c>
      <c r="K37" s="89">
        <f>浙江精准学!K37+知识跳跳!K37+海南精准学!K37+实时查!K37+目标准!K37+'SMART LEARNING HOLDING'!K37+'SMART AI LIMITED'!K37+'HK01'!K37-(-SUMIFS(合并抵消!$J:$J,合并抵消!$E:$E,$E37,合并抵消!$A:$A,K$2)+SUMIFS(合并抵消!$K:$K,合并抵消!$E:$E,$E37,合并抵消!$A:$A,K$2))</f>
        <v/>
      </c>
      <c r="L37" s="89">
        <f>浙江精准学!L37+知识跳跳!L37+海南精准学!L37+实时查!L37+目标准!L37+'SMART LEARNING HOLDING'!L37+'SMART AI LIMITED'!L37+'HK01'!L37-(-SUMIFS(合并抵消!$J:$J,合并抵消!$E:$E,$E37,合并抵消!$A:$A,L$2)+SUMIFS(合并抵消!$K:$K,合并抵消!$E:$E,$E37,合并抵消!$A:$A,L$2))</f>
        <v/>
      </c>
      <c r="M37" s="89">
        <f>浙江精准学!M37+知识跳跳!M37+海南精准学!M37+实时查!M37+目标准!M37+'SMART LEARNING HOLDING'!M37+'SMART AI LIMITED'!M37+'HK01'!M37-(-SUMIFS(合并抵消!$J:$J,合并抵消!$E:$E,$E37,合并抵消!$A:$A,M$2)+SUMIFS(合并抵消!$K:$K,合并抵消!$E:$E,$E37,合并抵消!$A:$A,M$2))</f>
        <v/>
      </c>
      <c r="N37" s="89">
        <f>浙江精准学!N37+知识跳跳!N37+海南精准学!N37+实时查!N37+目标准!N37+'SMART LEARNING HOLDING'!N37+'SMART AI LIMITED'!N37+'HK01'!N37-(-SUMIFS(合并抵消!$J:$J,合并抵消!$E:$E,$E37,合并抵消!$A:$A,N$2)+SUMIFS(合并抵消!$K:$K,合并抵消!$E:$E,$E37,合并抵消!$A:$A,N$2))</f>
        <v/>
      </c>
      <c r="O37" s="89">
        <f>浙江精准学!O37+知识跳跳!O37+海南精准学!O37+实时查!O37+目标准!O37+'SMART LEARNING HOLDING'!O37+'SMART AI LIMITED'!O37+'HK01'!O37-(-SUMIFS(合并抵消!$J:$J,合并抵消!$E:$E,$E37,合并抵消!$A:$A,O$2)+SUMIFS(合并抵消!$K:$K,合并抵消!$E:$E,$E37,合并抵消!$A:$A,O$2))</f>
        <v/>
      </c>
      <c r="P37" s="89">
        <f>浙江精准学!P37+知识跳跳!P37+海南精准学!P37+实时查!P37+目标准!P37+'SMART LEARNING HOLDING'!P37+'SMART AI LIMITED'!P37+'HK01'!P37-(-SUMIFS(合并抵消!$J:$J,合并抵消!$E:$E,$E37,合并抵消!$A:$A,P$2)+SUMIFS(合并抵消!$K:$K,合并抵消!$E:$E,$E37,合并抵消!$A:$A,P$2))</f>
        <v/>
      </c>
      <c r="Q37" s="89">
        <f>浙江精准学!Q37+知识跳跳!Q37+海南精准学!Q37+实时查!Q37+目标准!Q37+'SMART LEARNING HOLDING'!Q37+'SMART AI LIMITED'!Q37+'HK01'!Q37-(-SUMIFS(合并抵消!$J:$J,合并抵消!$E:$E,$E37,合并抵消!$A:$A,Q$2)+SUMIFS(合并抵消!$K:$K,合并抵消!$E:$E,$E37,合并抵消!$A:$A,Q$2))</f>
        <v/>
      </c>
      <c r="R37" s="89">
        <f>SUM(F37:Q37)</f>
        <v/>
      </c>
    </row>
    <row r="38" s="83">
      <c r="A38" s="5" t="inlineStr">
        <is>
          <t>硬件支出</t>
        </is>
      </c>
      <c r="B38" s="6" t="inlineStr">
        <is>
          <t>BONG MAX</t>
        </is>
      </c>
      <c r="D38" s="5" t="inlineStr">
        <is>
          <t>包装盒</t>
        </is>
      </c>
      <c r="E38" s="6" t="inlineStr">
        <is>
          <t>Q0903</t>
        </is>
      </c>
      <c r="F38" s="89">
        <f>浙江精准学!F38+知识跳跳!F38+海南精准学!F38+实时查!F38+目标准!F38+'SMART LEARNING HOLDING'!F38+'SMART AI LIMITED'!F38+'HK01'!F38-(-SUMIFS(合并抵消!$J:$J,合并抵消!$E:$E,$E38,合并抵消!$A:$A,F$2)+SUMIFS(合并抵消!$K:$K,合并抵消!$E:$E,$E38,合并抵消!$A:$A,F$2))</f>
        <v/>
      </c>
      <c r="G38" s="89">
        <f>浙江精准学!G38+知识跳跳!G38+海南精准学!G38+实时查!G38+目标准!G38+'SMART LEARNING HOLDING'!G38+'SMART AI LIMITED'!G38+'HK01'!G38-(-SUMIFS(合并抵消!$J:$J,合并抵消!$E:$E,$E38,合并抵消!$A:$A,G$2)+SUMIFS(合并抵消!$K:$K,合并抵消!$E:$E,$E38,合并抵消!$A:$A,G$2))</f>
        <v/>
      </c>
      <c r="H38" s="89">
        <f>浙江精准学!H38+知识跳跳!H38+海南精准学!H38+实时查!H38+目标准!H38+'SMART LEARNING HOLDING'!H38+'SMART AI LIMITED'!H38+'HK01'!H38-(-SUMIFS(合并抵消!$J:$J,合并抵消!$E:$E,$E38,合并抵消!$A:$A,H$2)+SUMIFS(合并抵消!$K:$K,合并抵消!$E:$E,$E38,合并抵消!$A:$A,H$2))</f>
        <v/>
      </c>
      <c r="I38" s="89">
        <f>浙江精准学!I38+知识跳跳!I38+海南精准学!I38+实时查!I38+目标准!I38+'SMART LEARNING HOLDING'!I38+'SMART AI LIMITED'!I38+'HK01'!I38-(-SUMIFS(合并抵消!$J:$J,合并抵消!$E:$E,$E38,合并抵消!$A:$A,I$2)+SUMIFS(合并抵消!$K:$K,合并抵消!$E:$E,$E38,合并抵消!$A:$A,I$2))</f>
        <v/>
      </c>
      <c r="J38" s="89">
        <f>浙江精准学!J38+知识跳跳!J38+海南精准学!J38+实时查!J38+目标准!J38+'SMART LEARNING HOLDING'!J38+'SMART AI LIMITED'!J38+'HK01'!J38-(-SUMIFS(合并抵消!$J:$J,合并抵消!$E:$E,$E38,合并抵消!$A:$A,J$2)+SUMIFS(合并抵消!$K:$K,合并抵消!$E:$E,$E38,合并抵消!$A:$A,J$2))</f>
        <v/>
      </c>
      <c r="K38" s="89">
        <f>浙江精准学!K38+知识跳跳!K38+海南精准学!K38+实时查!K38+目标准!K38+'SMART LEARNING HOLDING'!K38+'SMART AI LIMITED'!K38+'HK01'!K38-(-SUMIFS(合并抵消!$J:$J,合并抵消!$E:$E,$E38,合并抵消!$A:$A,K$2)+SUMIFS(合并抵消!$K:$K,合并抵消!$E:$E,$E38,合并抵消!$A:$A,K$2))</f>
        <v/>
      </c>
      <c r="L38" s="89">
        <f>浙江精准学!L38+知识跳跳!L38+海南精准学!L38+实时查!L38+目标准!L38+'SMART LEARNING HOLDING'!L38+'SMART AI LIMITED'!L38+'HK01'!L38-(-SUMIFS(合并抵消!$J:$J,合并抵消!$E:$E,$E38,合并抵消!$A:$A,L$2)+SUMIFS(合并抵消!$K:$K,合并抵消!$E:$E,$E38,合并抵消!$A:$A,L$2))</f>
        <v/>
      </c>
      <c r="M38" s="89">
        <f>浙江精准学!M38+知识跳跳!M38+海南精准学!M38+实时查!M38+目标准!M38+'SMART LEARNING HOLDING'!M38+'SMART AI LIMITED'!M38+'HK01'!M38-(-SUMIFS(合并抵消!$J:$J,合并抵消!$E:$E,$E38,合并抵消!$A:$A,M$2)+SUMIFS(合并抵消!$K:$K,合并抵消!$E:$E,$E38,合并抵消!$A:$A,M$2))</f>
        <v/>
      </c>
      <c r="N38" s="89">
        <f>浙江精准学!N38+知识跳跳!N38+海南精准学!N38+实时查!N38+目标准!N38+'SMART LEARNING HOLDING'!N38+'SMART AI LIMITED'!N38+'HK01'!N38-(-SUMIFS(合并抵消!$J:$J,合并抵消!$E:$E,$E38,合并抵消!$A:$A,N$2)+SUMIFS(合并抵消!$K:$K,合并抵消!$E:$E,$E38,合并抵消!$A:$A,N$2))</f>
        <v/>
      </c>
      <c r="O38" s="89">
        <f>浙江精准学!O38+知识跳跳!O38+海南精准学!O38+实时查!O38+目标准!O38+'SMART LEARNING HOLDING'!O38+'SMART AI LIMITED'!O38+'HK01'!O38-(-SUMIFS(合并抵消!$J:$J,合并抵消!$E:$E,$E38,合并抵消!$A:$A,O$2)+SUMIFS(合并抵消!$K:$K,合并抵消!$E:$E,$E38,合并抵消!$A:$A,O$2))</f>
        <v/>
      </c>
      <c r="P38" s="89">
        <f>浙江精准学!P38+知识跳跳!P38+海南精准学!P38+实时查!P38+目标准!P38+'SMART LEARNING HOLDING'!P38+'SMART AI LIMITED'!P38+'HK01'!P38-(-SUMIFS(合并抵消!$J:$J,合并抵消!$E:$E,$E38,合并抵消!$A:$A,P$2)+SUMIFS(合并抵消!$K:$K,合并抵消!$E:$E,$E38,合并抵消!$A:$A,P$2))</f>
        <v/>
      </c>
      <c r="Q38" s="89">
        <f>浙江精准学!Q38+知识跳跳!Q38+海南精准学!Q38+实时查!Q38+目标准!Q38+'SMART LEARNING HOLDING'!Q38+'SMART AI LIMITED'!Q38+'HK01'!Q38-(-SUMIFS(合并抵消!$J:$J,合并抵消!$E:$E,$E38,合并抵消!$A:$A,Q$2)+SUMIFS(合并抵消!$K:$K,合并抵消!$E:$E,$E38,合并抵消!$A:$A,Q$2))</f>
        <v/>
      </c>
      <c r="R38" s="89">
        <f>SUM(F38:Q38)</f>
        <v/>
      </c>
    </row>
    <row r="39" s="83">
      <c r="A39" s="5" t="inlineStr">
        <is>
          <t>硬件支出</t>
        </is>
      </c>
      <c r="B39" s="6" t="inlineStr">
        <is>
          <t>BONG MAX</t>
        </is>
      </c>
      <c r="D39" s="5" t="inlineStr">
        <is>
          <t>充电器</t>
        </is>
      </c>
      <c r="E39" s="6" t="inlineStr">
        <is>
          <t>Q0904</t>
        </is>
      </c>
      <c r="F39" s="89">
        <f>浙江精准学!F39+知识跳跳!F39+海南精准学!F39+实时查!F39+目标准!F39+'SMART LEARNING HOLDING'!F39+'SMART AI LIMITED'!F39+'HK01'!F39-(-SUMIFS(合并抵消!$J:$J,合并抵消!$E:$E,$E39,合并抵消!$A:$A,F$2)+SUMIFS(合并抵消!$K:$K,合并抵消!$E:$E,$E39,合并抵消!$A:$A,F$2))</f>
        <v/>
      </c>
      <c r="G39" s="89">
        <f>浙江精准学!G39+知识跳跳!G39+海南精准学!G39+实时查!G39+目标准!G39+'SMART LEARNING HOLDING'!G39+'SMART AI LIMITED'!G39+'HK01'!G39-(-SUMIFS(合并抵消!$J:$J,合并抵消!$E:$E,$E39,合并抵消!$A:$A,G$2)+SUMIFS(合并抵消!$K:$K,合并抵消!$E:$E,$E39,合并抵消!$A:$A,G$2))</f>
        <v/>
      </c>
      <c r="H39" s="89">
        <f>浙江精准学!H39+知识跳跳!H39+海南精准学!H39+实时查!H39+目标准!H39+'SMART LEARNING HOLDING'!H39+'SMART AI LIMITED'!H39+'HK01'!H39-(-SUMIFS(合并抵消!$J:$J,合并抵消!$E:$E,$E39,合并抵消!$A:$A,H$2)+SUMIFS(合并抵消!$K:$K,合并抵消!$E:$E,$E39,合并抵消!$A:$A,H$2))</f>
        <v/>
      </c>
      <c r="I39" s="89">
        <f>浙江精准学!I39+知识跳跳!I39+海南精准学!I39+实时查!I39+目标准!I39+'SMART LEARNING HOLDING'!I39+'SMART AI LIMITED'!I39+'HK01'!I39-(-SUMIFS(合并抵消!$J:$J,合并抵消!$E:$E,$E39,合并抵消!$A:$A,I$2)+SUMIFS(合并抵消!$K:$K,合并抵消!$E:$E,$E39,合并抵消!$A:$A,I$2))</f>
        <v/>
      </c>
      <c r="J39" s="89">
        <f>浙江精准学!J39+知识跳跳!J39+海南精准学!J39+实时查!J39+目标准!J39+'SMART LEARNING HOLDING'!J39+'SMART AI LIMITED'!J39+'HK01'!J39-(-SUMIFS(合并抵消!$J:$J,合并抵消!$E:$E,$E39,合并抵消!$A:$A,J$2)+SUMIFS(合并抵消!$K:$K,合并抵消!$E:$E,$E39,合并抵消!$A:$A,J$2))</f>
        <v/>
      </c>
      <c r="K39" s="89">
        <f>浙江精准学!K39+知识跳跳!K39+海南精准学!K39+实时查!K39+目标准!K39+'SMART LEARNING HOLDING'!K39+'SMART AI LIMITED'!K39+'HK01'!K39-(-SUMIFS(合并抵消!$J:$J,合并抵消!$E:$E,$E39,合并抵消!$A:$A,K$2)+SUMIFS(合并抵消!$K:$K,合并抵消!$E:$E,$E39,合并抵消!$A:$A,K$2))</f>
        <v/>
      </c>
      <c r="L39" s="89">
        <f>浙江精准学!L39+知识跳跳!L39+海南精准学!L39+实时查!L39+目标准!L39+'SMART LEARNING HOLDING'!L39+'SMART AI LIMITED'!L39+'HK01'!L39-(-SUMIFS(合并抵消!$J:$J,合并抵消!$E:$E,$E39,合并抵消!$A:$A,L$2)+SUMIFS(合并抵消!$K:$K,合并抵消!$E:$E,$E39,合并抵消!$A:$A,L$2))</f>
        <v/>
      </c>
      <c r="M39" s="89">
        <f>浙江精准学!M39+知识跳跳!M39+海南精准学!M39+实时查!M39+目标准!M39+'SMART LEARNING HOLDING'!M39+'SMART AI LIMITED'!M39+'HK01'!M39-(-SUMIFS(合并抵消!$J:$J,合并抵消!$E:$E,$E39,合并抵消!$A:$A,M$2)+SUMIFS(合并抵消!$K:$K,合并抵消!$E:$E,$E39,合并抵消!$A:$A,M$2))</f>
        <v/>
      </c>
      <c r="N39" s="89">
        <f>浙江精准学!N39+知识跳跳!N39+海南精准学!N39+实时查!N39+目标准!N39+'SMART LEARNING HOLDING'!N39+'SMART AI LIMITED'!N39+'HK01'!N39-(-SUMIFS(合并抵消!$J:$J,合并抵消!$E:$E,$E39,合并抵消!$A:$A,N$2)+SUMIFS(合并抵消!$K:$K,合并抵消!$E:$E,$E39,合并抵消!$A:$A,N$2))</f>
        <v/>
      </c>
      <c r="O39" s="89">
        <f>浙江精准学!O39+知识跳跳!O39+海南精准学!O39+实时查!O39+目标准!O39+'SMART LEARNING HOLDING'!O39+'SMART AI LIMITED'!O39+'HK01'!O39-(-SUMIFS(合并抵消!$J:$J,合并抵消!$E:$E,$E39,合并抵消!$A:$A,O$2)+SUMIFS(合并抵消!$K:$K,合并抵消!$E:$E,$E39,合并抵消!$A:$A,O$2))</f>
        <v/>
      </c>
      <c r="P39" s="89">
        <f>浙江精准学!P39+知识跳跳!P39+海南精准学!P39+实时查!P39+目标准!P39+'SMART LEARNING HOLDING'!P39+'SMART AI LIMITED'!P39+'HK01'!P39-(-SUMIFS(合并抵消!$J:$J,合并抵消!$E:$E,$E39,合并抵消!$A:$A,P$2)+SUMIFS(合并抵消!$K:$K,合并抵消!$E:$E,$E39,合并抵消!$A:$A,P$2))</f>
        <v/>
      </c>
      <c r="Q39" s="89">
        <f>浙江精准学!Q39+知识跳跳!Q39+海南精准学!Q39+实时查!Q39+目标准!Q39+'SMART LEARNING HOLDING'!Q39+'SMART AI LIMITED'!Q39+'HK01'!Q39-(-SUMIFS(合并抵消!$J:$J,合并抵消!$E:$E,$E39,合并抵消!$A:$A,Q$2)+SUMIFS(合并抵消!$K:$K,合并抵消!$E:$E,$E39,合并抵消!$A:$A,Q$2))</f>
        <v/>
      </c>
      <c r="R39" s="89">
        <f>SUM(F39:Q39)</f>
        <v/>
      </c>
    </row>
    <row r="40" s="83">
      <c r="A40" s="5" t="inlineStr">
        <is>
          <t>硬件支出</t>
        </is>
      </c>
      <c r="B40" s="6" t="inlineStr">
        <is>
          <t>BONG MAX</t>
        </is>
      </c>
      <c r="D40" s="5" t="inlineStr">
        <is>
          <t>指学镜</t>
        </is>
      </c>
      <c r="E40" s="6" t="inlineStr">
        <is>
          <t>Q0905</t>
        </is>
      </c>
      <c r="F40" s="89">
        <f>浙江精准学!F40+知识跳跳!F40+海南精准学!F40+实时查!F40+目标准!F40+'SMART LEARNING HOLDING'!F40+'SMART AI LIMITED'!F40+'HK01'!F40-(-SUMIFS(合并抵消!$J:$J,合并抵消!$E:$E,$E40,合并抵消!$A:$A,F$2)+SUMIFS(合并抵消!$K:$K,合并抵消!$E:$E,$E40,合并抵消!$A:$A,F$2))</f>
        <v/>
      </c>
      <c r="G40" s="89">
        <f>浙江精准学!G40+知识跳跳!G40+海南精准学!G40+实时查!G40+目标准!G40+'SMART LEARNING HOLDING'!G40+'SMART AI LIMITED'!G40+'HK01'!G40-(-SUMIFS(合并抵消!$J:$J,合并抵消!$E:$E,$E40,合并抵消!$A:$A,G$2)+SUMIFS(合并抵消!$K:$K,合并抵消!$E:$E,$E40,合并抵消!$A:$A,G$2))</f>
        <v/>
      </c>
      <c r="H40" s="89">
        <f>浙江精准学!H40+知识跳跳!H40+海南精准学!H40+实时查!H40+目标准!H40+'SMART LEARNING HOLDING'!H40+'SMART AI LIMITED'!H40+'HK01'!H40-(-SUMIFS(合并抵消!$J:$J,合并抵消!$E:$E,$E40,合并抵消!$A:$A,H$2)+SUMIFS(合并抵消!$K:$K,合并抵消!$E:$E,$E40,合并抵消!$A:$A,H$2))</f>
        <v/>
      </c>
      <c r="I40" s="89">
        <f>浙江精准学!I40+知识跳跳!I40+海南精准学!I40+实时查!I40+目标准!I40+'SMART LEARNING HOLDING'!I40+'SMART AI LIMITED'!I40+'HK01'!I40-(-SUMIFS(合并抵消!$J:$J,合并抵消!$E:$E,$E40,合并抵消!$A:$A,I$2)+SUMIFS(合并抵消!$K:$K,合并抵消!$E:$E,$E40,合并抵消!$A:$A,I$2))</f>
        <v/>
      </c>
      <c r="J40" s="89">
        <f>浙江精准学!J40+知识跳跳!J40+海南精准学!J40+实时查!J40+目标准!J40+'SMART LEARNING HOLDING'!J40+'SMART AI LIMITED'!J40+'HK01'!J40-(-SUMIFS(合并抵消!$J:$J,合并抵消!$E:$E,$E40,合并抵消!$A:$A,J$2)+SUMIFS(合并抵消!$K:$K,合并抵消!$E:$E,$E40,合并抵消!$A:$A,J$2))</f>
        <v/>
      </c>
      <c r="K40" s="89">
        <f>浙江精准学!K40+知识跳跳!K40+海南精准学!K40+实时查!K40+目标准!K40+'SMART LEARNING HOLDING'!K40+'SMART AI LIMITED'!K40+'HK01'!K40-(-SUMIFS(合并抵消!$J:$J,合并抵消!$E:$E,$E40,合并抵消!$A:$A,K$2)+SUMIFS(合并抵消!$K:$K,合并抵消!$E:$E,$E40,合并抵消!$A:$A,K$2))</f>
        <v/>
      </c>
      <c r="L40" s="89">
        <f>浙江精准学!L40+知识跳跳!L40+海南精准学!L40+实时查!L40+目标准!L40+'SMART LEARNING HOLDING'!L40+'SMART AI LIMITED'!L40+'HK01'!L40-(-SUMIFS(合并抵消!$J:$J,合并抵消!$E:$E,$E40,合并抵消!$A:$A,L$2)+SUMIFS(合并抵消!$K:$K,合并抵消!$E:$E,$E40,合并抵消!$A:$A,L$2))</f>
        <v/>
      </c>
      <c r="M40" s="89">
        <f>浙江精准学!M40+知识跳跳!M40+海南精准学!M40+实时查!M40+目标准!M40+'SMART LEARNING HOLDING'!M40+'SMART AI LIMITED'!M40+'HK01'!M40-(-SUMIFS(合并抵消!$J:$J,合并抵消!$E:$E,$E40,合并抵消!$A:$A,M$2)+SUMIFS(合并抵消!$K:$K,合并抵消!$E:$E,$E40,合并抵消!$A:$A,M$2))</f>
        <v/>
      </c>
      <c r="N40" s="89">
        <f>浙江精准学!N40+知识跳跳!N40+海南精准学!N40+实时查!N40+目标准!N40+'SMART LEARNING HOLDING'!N40+'SMART AI LIMITED'!N40+'HK01'!N40-(-SUMIFS(合并抵消!$J:$J,合并抵消!$E:$E,$E40,合并抵消!$A:$A,N$2)+SUMIFS(合并抵消!$K:$K,合并抵消!$E:$E,$E40,合并抵消!$A:$A,N$2))</f>
        <v/>
      </c>
      <c r="O40" s="89">
        <f>浙江精准学!O40+知识跳跳!O40+海南精准学!O40+实时查!O40+目标准!O40+'SMART LEARNING HOLDING'!O40+'SMART AI LIMITED'!O40+'HK01'!O40-(-SUMIFS(合并抵消!$J:$J,合并抵消!$E:$E,$E40,合并抵消!$A:$A,O$2)+SUMIFS(合并抵消!$K:$K,合并抵消!$E:$E,$E40,合并抵消!$A:$A,O$2))</f>
        <v/>
      </c>
      <c r="P40" s="89">
        <f>浙江精准学!P40+知识跳跳!P40+海南精准学!P40+实时查!P40+目标准!P40+'SMART LEARNING HOLDING'!P40+'SMART AI LIMITED'!P40+'HK01'!P40-(-SUMIFS(合并抵消!$J:$J,合并抵消!$E:$E,$E40,合并抵消!$A:$A,P$2)+SUMIFS(合并抵消!$K:$K,合并抵消!$E:$E,$E40,合并抵消!$A:$A,P$2))</f>
        <v/>
      </c>
      <c r="Q40" s="89">
        <f>浙江精准学!Q40+知识跳跳!Q40+海南精准学!Q40+实时查!Q40+目标准!Q40+'SMART LEARNING HOLDING'!Q40+'SMART AI LIMITED'!Q40+'HK01'!Q40-(-SUMIFS(合并抵消!$J:$J,合并抵消!$E:$E,$E40,合并抵消!$A:$A,Q$2)+SUMIFS(合并抵消!$K:$K,合并抵消!$E:$E,$E40,合并抵消!$A:$A,Q$2))</f>
        <v/>
      </c>
      <c r="R40" s="89">
        <f>SUM(F40:Q40)</f>
        <v/>
      </c>
    </row>
    <row r="41" s="83">
      <c r="A41" s="5" t="inlineStr">
        <is>
          <t>硬件支出</t>
        </is>
      </c>
      <c r="B41" s="6" t="inlineStr">
        <is>
          <t>BONG MAX</t>
        </is>
      </c>
      <c r="D41" s="5" t="inlineStr">
        <is>
          <t>学习机系统授权费</t>
        </is>
      </c>
      <c r="E41" s="6" t="inlineStr">
        <is>
          <t>Q0906</t>
        </is>
      </c>
      <c r="F41" s="89">
        <f>浙江精准学!F41+知识跳跳!F41+海南精准学!F41+实时查!F41+目标准!F41+'SMART LEARNING HOLDING'!F41+'SMART AI LIMITED'!F41+'HK01'!F41-(-SUMIFS(合并抵消!$J:$J,合并抵消!$E:$E,$E41,合并抵消!$A:$A,F$2)+SUMIFS(合并抵消!$K:$K,合并抵消!$E:$E,$E41,合并抵消!$A:$A,F$2))</f>
        <v/>
      </c>
      <c r="G41" s="89">
        <f>浙江精准学!G41+知识跳跳!G41+海南精准学!G41+实时查!G41+目标准!G41+'SMART LEARNING HOLDING'!G41+'SMART AI LIMITED'!G41+'HK01'!G41-(-SUMIFS(合并抵消!$J:$J,合并抵消!$E:$E,$E41,合并抵消!$A:$A,G$2)+SUMIFS(合并抵消!$K:$K,合并抵消!$E:$E,$E41,合并抵消!$A:$A,G$2))</f>
        <v/>
      </c>
      <c r="H41" s="89">
        <f>浙江精准学!H41+知识跳跳!H41+海南精准学!H41+实时查!H41+目标准!H41+'SMART LEARNING HOLDING'!H41+'SMART AI LIMITED'!H41+'HK01'!H41-(-SUMIFS(合并抵消!$J:$J,合并抵消!$E:$E,$E41,合并抵消!$A:$A,H$2)+SUMIFS(合并抵消!$K:$K,合并抵消!$E:$E,$E41,合并抵消!$A:$A,H$2))</f>
        <v/>
      </c>
      <c r="I41" s="89">
        <f>浙江精准学!I41+知识跳跳!I41+海南精准学!I41+实时查!I41+目标准!I41+'SMART LEARNING HOLDING'!I41+'SMART AI LIMITED'!I41+'HK01'!I41-(-SUMIFS(合并抵消!$J:$J,合并抵消!$E:$E,$E41,合并抵消!$A:$A,I$2)+SUMIFS(合并抵消!$K:$K,合并抵消!$E:$E,$E41,合并抵消!$A:$A,I$2))</f>
        <v/>
      </c>
      <c r="J41" s="89">
        <f>浙江精准学!J41+知识跳跳!J41+海南精准学!J41+实时查!J41+目标准!J41+'SMART LEARNING HOLDING'!J41+'SMART AI LIMITED'!J41+'HK01'!J41-(-SUMIFS(合并抵消!$J:$J,合并抵消!$E:$E,$E41,合并抵消!$A:$A,J$2)+SUMIFS(合并抵消!$K:$K,合并抵消!$E:$E,$E41,合并抵消!$A:$A,J$2))</f>
        <v/>
      </c>
      <c r="K41" s="89">
        <f>浙江精准学!K41+知识跳跳!K41+海南精准学!K41+实时查!K41+目标准!K41+'SMART LEARNING HOLDING'!K41+'SMART AI LIMITED'!K41+'HK01'!K41-(-SUMIFS(合并抵消!$J:$J,合并抵消!$E:$E,$E41,合并抵消!$A:$A,K$2)+SUMIFS(合并抵消!$K:$K,合并抵消!$E:$E,$E41,合并抵消!$A:$A,K$2))</f>
        <v/>
      </c>
      <c r="L41" s="89">
        <f>浙江精准学!L41+知识跳跳!L41+海南精准学!L41+实时查!L41+目标准!L41+'SMART LEARNING HOLDING'!L41+'SMART AI LIMITED'!L41+'HK01'!L41-(-SUMIFS(合并抵消!$J:$J,合并抵消!$E:$E,$E41,合并抵消!$A:$A,L$2)+SUMIFS(合并抵消!$K:$K,合并抵消!$E:$E,$E41,合并抵消!$A:$A,L$2))</f>
        <v/>
      </c>
      <c r="M41" s="89">
        <f>浙江精准学!M41+知识跳跳!M41+海南精准学!M41+实时查!M41+目标准!M41+'SMART LEARNING HOLDING'!M41+'SMART AI LIMITED'!M41+'HK01'!M41-(-SUMIFS(合并抵消!$J:$J,合并抵消!$E:$E,$E41,合并抵消!$A:$A,M$2)+SUMIFS(合并抵消!$K:$K,合并抵消!$E:$E,$E41,合并抵消!$A:$A,M$2))</f>
        <v/>
      </c>
      <c r="N41" s="89">
        <f>浙江精准学!N41+知识跳跳!N41+海南精准学!N41+实时查!N41+目标准!N41+'SMART LEARNING HOLDING'!N41+'SMART AI LIMITED'!N41+'HK01'!N41-(-SUMIFS(合并抵消!$J:$J,合并抵消!$E:$E,$E41,合并抵消!$A:$A,N$2)+SUMIFS(合并抵消!$K:$K,合并抵消!$E:$E,$E41,合并抵消!$A:$A,N$2))</f>
        <v/>
      </c>
      <c r="O41" s="89">
        <f>浙江精准学!O41+知识跳跳!O41+海南精准学!O41+实时查!O41+目标准!O41+'SMART LEARNING HOLDING'!O41+'SMART AI LIMITED'!O41+'HK01'!O41-(-SUMIFS(合并抵消!$J:$J,合并抵消!$E:$E,$E41,合并抵消!$A:$A,O$2)+SUMIFS(合并抵消!$K:$K,合并抵消!$E:$E,$E41,合并抵消!$A:$A,O$2))</f>
        <v/>
      </c>
      <c r="P41" s="89">
        <f>浙江精准学!P41+知识跳跳!P41+海南精准学!P41+实时查!P41+目标准!P41+'SMART LEARNING HOLDING'!P41+'SMART AI LIMITED'!P41+'HK01'!P41-(-SUMIFS(合并抵消!$J:$J,合并抵消!$E:$E,$E41,合并抵消!$A:$A,P$2)+SUMIFS(合并抵消!$K:$K,合并抵消!$E:$E,$E41,合并抵消!$A:$A,P$2))</f>
        <v/>
      </c>
      <c r="Q41" s="89">
        <f>浙江精准学!Q41+知识跳跳!Q41+海南精准学!Q41+实时查!Q41+目标准!Q41+'SMART LEARNING HOLDING'!Q41+'SMART AI LIMITED'!Q41+'HK01'!Q41-(-SUMIFS(合并抵消!$J:$J,合并抵消!$E:$E,$E41,合并抵消!$A:$A,Q$2)+SUMIFS(合并抵消!$K:$K,合并抵消!$E:$E,$E41,合并抵消!$A:$A,Q$2))</f>
        <v/>
      </c>
      <c r="R41" s="89">
        <f>SUM(F41:Q41)</f>
        <v/>
      </c>
    </row>
    <row r="42" s="83">
      <c r="A42" s="5" t="inlineStr">
        <is>
          <t>硬件支出</t>
        </is>
      </c>
      <c r="B42" s="6" t="inlineStr">
        <is>
          <t>BONG PRO</t>
        </is>
      </c>
      <c r="C42" s="6" t="inlineStr">
        <is>
          <t>BONG PRO</t>
        </is>
      </c>
      <c r="D42" s="5" t="inlineStr">
        <is>
          <t>BOE平板电脑款项</t>
        </is>
      </c>
      <c r="E42" s="6" t="inlineStr">
        <is>
          <t>Q1001</t>
        </is>
      </c>
      <c r="F42" s="89">
        <f>浙江精准学!F42+知识跳跳!F42+海南精准学!F42+实时查!F42+目标准!F42+'SMART LEARNING HOLDING'!F42+'SMART AI LIMITED'!F42+'HK01'!F42-(-SUMIFS(合并抵消!$J:$J,合并抵消!$E:$E,$E42,合并抵消!$A:$A,F$2)+SUMIFS(合并抵消!$K:$K,合并抵消!$E:$E,$E42,合并抵消!$A:$A,F$2))</f>
        <v/>
      </c>
      <c r="G42" s="89">
        <f>浙江精准学!G42+知识跳跳!G42+海南精准学!G42+实时查!G42+目标准!G42+'SMART LEARNING HOLDING'!G42+'SMART AI LIMITED'!G42+'HK01'!G42-(-SUMIFS(合并抵消!$J:$J,合并抵消!$E:$E,$E42,合并抵消!$A:$A,G$2)+SUMIFS(合并抵消!$K:$K,合并抵消!$E:$E,$E42,合并抵消!$A:$A,G$2))</f>
        <v/>
      </c>
      <c r="H42" s="89">
        <f>浙江精准学!H42+知识跳跳!H42+海南精准学!H42+实时查!H42+目标准!H42+'SMART LEARNING HOLDING'!H42+'SMART AI LIMITED'!H42+'HK01'!H42-(-SUMIFS(合并抵消!$J:$J,合并抵消!$E:$E,$E42,合并抵消!$A:$A,H$2)+SUMIFS(合并抵消!$K:$K,合并抵消!$E:$E,$E42,合并抵消!$A:$A,H$2))</f>
        <v/>
      </c>
      <c r="I42" s="89">
        <f>浙江精准学!I42+知识跳跳!I42+海南精准学!I42+实时查!I42+目标准!I42+'SMART LEARNING HOLDING'!I42+'SMART AI LIMITED'!I42+'HK01'!I42-(-SUMIFS(合并抵消!$J:$J,合并抵消!$E:$E,$E42,合并抵消!$A:$A,I$2)+SUMIFS(合并抵消!$K:$K,合并抵消!$E:$E,$E42,合并抵消!$A:$A,I$2))</f>
        <v/>
      </c>
      <c r="J42" s="89">
        <f>浙江精准学!J42+知识跳跳!J42+海南精准学!J42+实时查!J42+目标准!J42+'SMART LEARNING HOLDING'!J42+'SMART AI LIMITED'!J42+'HK01'!J42-(-SUMIFS(合并抵消!$J:$J,合并抵消!$E:$E,$E42,合并抵消!$A:$A,J$2)+SUMIFS(合并抵消!$K:$K,合并抵消!$E:$E,$E42,合并抵消!$A:$A,J$2))</f>
        <v/>
      </c>
      <c r="K42" s="89">
        <f>浙江精准学!K42+知识跳跳!K42+海南精准学!K42+实时查!K42+目标准!K42+'SMART LEARNING HOLDING'!K42+'SMART AI LIMITED'!K42+'HK01'!K42-(-SUMIFS(合并抵消!$J:$J,合并抵消!$E:$E,$E42,合并抵消!$A:$A,K$2)+SUMIFS(合并抵消!$K:$K,合并抵消!$E:$E,$E42,合并抵消!$A:$A,K$2))</f>
        <v/>
      </c>
      <c r="L42" s="89">
        <f>浙江精准学!L42+知识跳跳!L42+海南精准学!L42+实时查!L42+目标准!L42+'SMART LEARNING HOLDING'!L42+'SMART AI LIMITED'!L42+'HK01'!L42-(-SUMIFS(合并抵消!$J:$J,合并抵消!$E:$E,$E42,合并抵消!$A:$A,L$2)+SUMIFS(合并抵消!$K:$K,合并抵消!$E:$E,$E42,合并抵消!$A:$A,L$2))</f>
        <v/>
      </c>
      <c r="M42" s="89">
        <f>浙江精准学!M42+知识跳跳!M42+海南精准学!M42+实时查!M42+目标准!M42+'SMART LEARNING HOLDING'!M42+'SMART AI LIMITED'!M42+'HK01'!M42-(-SUMIFS(合并抵消!$J:$J,合并抵消!$E:$E,$E42,合并抵消!$A:$A,M$2)+SUMIFS(合并抵消!$K:$K,合并抵消!$E:$E,$E42,合并抵消!$A:$A,M$2))</f>
        <v/>
      </c>
      <c r="N42" s="89">
        <f>浙江精准学!N42+知识跳跳!N42+海南精准学!N42+实时查!N42+目标准!N42+'SMART LEARNING HOLDING'!N42+'SMART AI LIMITED'!N42+'HK01'!N42-(-SUMIFS(合并抵消!$J:$J,合并抵消!$E:$E,$E42,合并抵消!$A:$A,N$2)+SUMIFS(合并抵消!$K:$K,合并抵消!$E:$E,$E42,合并抵消!$A:$A,N$2))</f>
        <v/>
      </c>
      <c r="O42" s="89">
        <f>浙江精准学!O42+知识跳跳!O42+海南精准学!O42+实时查!O42+目标准!O42+'SMART LEARNING HOLDING'!O42+'SMART AI LIMITED'!O42+'HK01'!O42-(-SUMIFS(合并抵消!$J:$J,合并抵消!$E:$E,$E42,合并抵消!$A:$A,O$2)+SUMIFS(合并抵消!$K:$K,合并抵消!$E:$E,$E42,合并抵消!$A:$A,O$2))</f>
        <v/>
      </c>
      <c r="P42" s="89">
        <f>浙江精准学!P42+知识跳跳!P42+海南精准学!P42+实时查!P42+目标准!P42+'SMART LEARNING HOLDING'!P42+'SMART AI LIMITED'!P42+'HK01'!P42-(-SUMIFS(合并抵消!$J:$J,合并抵消!$E:$E,$E42,合并抵消!$A:$A,P$2)+SUMIFS(合并抵消!$K:$K,合并抵消!$E:$E,$E42,合并抵消!$A:$A,P$2))</f>
        <v/>
      </c>
      <c r="Q42" s="89">
        <f>浙江精准学!Q42+知识跳跳!Q42+海南精准学!Q42+实时查!Q42+目标准!Q42+'SMART LEARNING HOLDING'!Q42+'SMART AI LIMITED'!Q42+'HK01'!Q42-(-SUMIFS(合并抵消!$J:$J,合并抵消!$E:$E,$E42,合并抵消!$A:$A,Q$2)+SUMIFS(合并抵消!$K:$K,合并抵消!$E:$E,$E42,合并抵消!$A:$A,Q$2))</f>
        <v/>
      </c>
      <c r="R42" s="89">
        <f>SUM(F42:Q42)</f>
        <v/>
      </c>
    </row>
    <row r="43" s="83">
      <c r="A43" s="5" t="inlineStr">
        <is>
          <t>硬件支出</t>
        </is>
      </c>
      <c r="B43" s="6" t="inlineStr">
        <is>
          <t>BONG PRO</t>
        </is>
      </c>
      <c r="D43" s="5" t="inlineStr">
        <is>
          <t>保护套</t>
        </is>
      </c>
      <c r="E43" s="6" t="inlineStr">
        <is>
          <t>Q1002</t>
        </is>
      </c>
      <c r="F43" s="89">
        <f>浙江精准学!F43+知识跳跳!F43+海南精准学!F43+实时查!F43+目标准!F43+'SMART LEARNING HOLDING'!F43+'SMART AI LIMITED'!F43+'HK01'!F43-(-SUMIFS(合并抵消!$J:$J,合并抵消!$E:$E,$E43,合并抵消!$A:$A,F$2)+SUMIFS(合并抵消!$K:$K,合并抵消!$E:$E,$E43,合并抵消!$A:$A,F$2))</f>
        <v/>
      </c>
      <c r="G43" s="89">
        <f>浙江精准学!G43+知识跳跳!G43+海南精准学!G43+实时查!G43+目标准!G43+'SMART LEARNING HOLDING'!G43+'SMART AI LIMITED'!G43+'HK01'!G43-(-SUMIFS(合并抵消!$J:$J,合并抵消!$E:$E,$E43,合并抵消!$A:$A,G$2)+SUMIFS(合并抵消!$K:$K,合并抵消!$E:$E,$E43,合并抵消!$A:$A,G$2))</f>
        <v/>
      </c>
      <c r="H43" s="89">
        <f>浙江精准学!H43+知识跳跳!H43+海南精准学!H43+实时查!H43+目标准!H43+'SMART LEARNING HOLDING'!H43+'SMART AI LIMITED'!H43+'HK01'!H43-(-SUMIFS(合并抵消!$J:$J,合并抵消!$E:$E,$E43,合并抵消!$A:$A,H$2)+SUMIFS(合并抵消!$K:$K,合并抵消!$E:$E,$E43,合并抵消!$A:$A,H$2))</f>
        <v/>
      </c>
      <c r="I43" s="89">
        <f>浙江精准学!I43+知识跳跳!I43+海南精准学!I43+实时查!I43+目标准!I43+'SMART LEARNING HOLDING'!I43+'SMART AI LIMITED'!I43+'HK01'!I43-(-SUMIFS(合并抵消!$J:$J,合并抵消!$E:$E,$E43,合并抵消!$A:$A,I$2)+SUMIFS(合并抵消!$K:$K,合并抵消!$E:$E,$E43,合并抵消!$A:$A,I$2))</f>
        <v/>
      </c>
      <c r="J43" s="89">
        <f>浙江精准学!J43+知识跳跳!J43+海南精准学!J43+实时查!J43+目标准!J43+'SMART LEARNING HOLDING'!J43+'SMART AI LIMITED'!J43+'HK01'!J43-(-SUMIFS(合并抵消!$J:$J,合并抵消!$E:$E,$E43,合并抵消!$A:$A,J$2)+SUMIFS(合并抵消!$K:$K,合并抵消!$E:$E,$E43,合并抵消!$A:$A,J$2))</f>
        <v/>
      </c>
      <c r="K43" s="89">
        <f>浙江精准学!K43+知识跳跳!K43+海南精准学!K43+实时查!K43+目标准!K43+'SMART LEARNING HOLDING'!K43+'SMART AI LIMITED'!K43+'HK01'!K43-(-SUMIFS(合并抵消!$J:$J,合并抵消!$E:$E,$E43,合并抵消!$A:$A,K$2)+SUMIFS(合并抵消!$K:$K,合并抵消!$E:$E,$E43,合并抵消!$A:$A,K$2))</f>
        <v/>
      </c>
      <c r="L43" s="89">
        <f>浙江精准学!L43+知识跳跳!L43+海南精准学!L43+实时查!L43+目标准!L43+'SMART LEARNING HOLDING'!L43+'SMART AI LIMITED'!L43+'HK01'!L43-(-SUMIFS(合并抵消!$J:$J,合并抵消!$E:$E,$E43,合并抵消!$A:$A,L$2)+SUMIFS(合并抵消!$K:$K,合并抵消!$E:$E,$E43,合并抵消!$A:$A,L$2))</f>
        <v/>
      </c>
      <c r="M43" s="89">
        <f>浙江精准学!M43+知识跳跳!M43+海南精准学!M43+实时查!M43+目标准!M43+'SMART LEARNING HOLDING'!M43+'SMART AI LIMITED'!M43+'HK01'!M43-(-SUMIFS(合并抵消!$J:$J,合并抵消!$E:$E,$E43,合并抵消!$A:$A,M$2)+SUMIFS(合并抵消!$K:$K,合并抵消!$E:$E,$E43,合并抵消!$A:$A,M$2))</f>
        <v/>
      </c>
      <c r="N43" s="89">
        <f>浙江精准学!N43+知识跳跳!N43+海南精准学!N43+实时查!N43+目标准!N43+'SMART LEARNING HOLDING'!N43+'SMART AI LIMITED'!N43+'HK01'!N43-(-SUMIFS(合并抵消!$J:$J,合并抵消!$E:$E,$E43,合并抵消!$A:$A,N$2)+SUMIFS(合并抵消!$K:$K,合并抵消!$E:$E,$E43,合并抵消!$A:$A,N$2))</f>
        <v/>
      </c>
      <c r="O43" s="89">
        <f>浙江精准学!O43+知识跳跳!O43+海南精准学!O43+实时查!O43+目标准!O43+'SMART LEARNING HOLDING'!O43+'SMART AI LIMITED'!O43+'HK01'!O43-(-SUMIFS(合并抵消!$J:$J,合并抵消!$E:$E,$E43,合并抵消!$A:$A,O$2)+SUMIFS(合并抵消!$K:$K,合并抵消!$E:$E,$E43,合并抵消!$A:$A,O$2))</f>
        <v/>
      </c>
      <c r="P43" s="89">
        <f>浙江精准学!P43+知识跳跳!P43+海南精准学!P43+实时查!P43+目标准!P43+'SMART LEARNING HOLDING'!P43+'SMART AI LIMITED'!P43+'HK01'!P43-(-SUMIFS(合并抵消!$J:$J,合并抵消!$E:$E,$E43,合并抵消!$A:$A,P$2)+SUMIFS(合并抵消!$K:$K,合并抵消!$E:$E,$E43,合并抵消!$A:$A,P$2))</f>
        <v/>
      </c>
      <c r="Q43" s="89">
        <f>浙江精准学!Q43+知识跳跳!Q43+海南精准学!Q43+实时查!Q43+目标准!Q43+'SMART LEARNING HOLDING'!Q43+'SMART AI LIMITED'!Q43+'HK01'!Q43-(-SUMIFS(合并抵消!$J:$J,合并抵消!$E:$E,$E43,合并抵消!$A:$A,Q$2)+SUMIFS(合并抵消!$K:$K,合并抵消!$E:$E,$E43,合并抵消!$A:$A,Q$2))</f>
        <v/>
      </c>
      <c r="R43" s="89">
        <f>SUM(F43:Q43)</f>
        <v/>
      </c>
    </row>
    <row r="44" s="83">
      <c r="A44" s="5" t="inlineStr">
        <is>
          <t>硬件支出</t>
        </is>
      </c>
      <c r="B44" s="6" t="inlineStr">
        <is>
          <t>BONG PRO</t>
        </is>
      </c>
      <c r="D44" s="5" t="inlineStr">
        <is>
          <t>包装盒</t>
        </is>
      </c>
      <c r="E44" s="6" t="inlineStr">
        <is>
          <t>Q1003</t>
        </is>
      </c>
      <c r="F44" s="89">
        <f>浙江精准学!F44+知识跳跳!F44+海南精准学!F44+实时查!F44+目标准!F44+'SMART LEARNING HOLDING'!F44+'SMART AI LIMITED'!F44+'HK01'!F44-(-SUMIFS(合并抵消!$J:$J,合并抵消!$E:$E,$E44,合并抵消!$A:$A,F$2)+SUMIFS(合并抵消!$K:$K,合并抵消!$E:$E,$E44,合并抵消!$A:$A,F$2))</f>
        <v/>
      </c>
      <c r="G44" s="89">
        <f>浙江精准学!G44+知识跳跳!G44+海南精准学!G44+实时查!G44+目标准!G44+'SMART LEARNING HOLDING'!G44+'SMART AI LIMITED'!G44+'HK01'!G44-(-SUMIFS(合并抵消!$J:$J,合并抵消!$E:$E,$E44,合并抵消!$A:$A,G$2)+SUMIFS(合并抵消!$K:$K,合并抵消!$E:$E,$E44,合并抵消!$A:$A,G$2))</f>
        <v/>
      </c>
      <c r="H44" s="89">
        <f>浙江精准学!H44+知识跳跳!H44+海南精准学!H44+实时查!H44+目标准!H44+'SMART LEARNING HOLDING'!H44+'SMART AI LIMITED'!H44+'HK01'!H44-(-SUMIFS(合并抵消!$J:$J,合并抵消!$E:$E,$E44,合并抵消!$A:$A,H$2)+SUMIFS(合并抵消!$K:$K,合并抵消!$E:$E,$E44,合并抵消!$A:$A,H$2))</f>
        <v/>
      </c>
      <c r="I44" s="89">
        <f>浙江精准学!I44+知识跳跳!I44+海南精准学!I44+实时查!I44+目标准!I44+'SMART LEARNING HOLDING'!I44+'SMART AI LIMITED'!I44+'HK01'!I44-(-SUMIFS(合并抵消!$J:$J,合并抵消!$E:$E,$E44,合并抵消!$A:$A,I$2)+SUMIFS(合并抵消!$K:$K,合并抵消!$E:$E,$E44,合并抵消!$A:$A,I$2))</f>
        <v/>
      </c>
      <c r="J44" s="89">
        <f>浙江精准学!J44+知识跳跳!J44+海南精准学!J44+实时查!J44+目标准!J44+'SMART LEARNING HOLDING'!J44+'SMART AI LIMITED'!J44+'HK01'!J44-(-SUMIFS(合并抵消!$J:$J,合并抵消!$E:$E,$E44,合并抵消!$A:$A,J$2)+SUMIFS(合并抵消!$K:$K,合并抵消!$E:$E,$E44,合并抵消!$A:$A,J$2))</f>
        <v/>
      </c>
      <c r="K44" s="89">
        <f>浙江精准学!K44+知识跳跳!K44+海南精准学!K44+实时查!K44+目标准!K44+'SMART LEARNING HOLDING'!K44+'SMART AI LIMITED'!K44+'HK01'!K44-(-SUMIFS(合并抵消!$J:$J,合并抵消!$E:$E,$E44,合并抵消!$A:$A,K$2)+SUMIFS(合并抵消!$K:$K,合并抵消!$E:$E,$E44,合并抵消!$A:$A,K$2))</f>
        <v/>
      </c>
      <c r="L44" s="89">
        <f>浙江精准学!L44+知识跳跳!L44+海南精准学!L44+实时查!L44+目标准!L44+'SMART LEARNING HOLDING'!L44+'SMART AI LIMITED'!L44+'HK01'!L44-(-SUMIFS(合并抵消!$J:$J,合并抵消!$E:$E,$E44,合并抵消!$A:$A,L$2)+SUMIFS(合并抵消!$K:$K,合并抵消!$E:$E,$E44,合并抵消!$A:$A,L$2))</f>
        <v/>
      </c>
      <c r="M44" s="89">
        <f>浙江精准学!M44+知识跳跳!M44+海南精准学!M44+实时查!M44+目标准!M44+'SMART LEARNING HOLDING'!M44+'SMART AI LIMITED'!M44+'HK01'!M44-(-SUMIFS(合并抵消!$J:$J,合并抵消!$E:$E,$E44,合并抵消!$A:$A,M$2)+SUMIFS(合并抵消!$K:$K,合并抵消!$E:$E,$E44,合并抵消!$A:$A,M$2))</f>
        <v/>
      </c>
      <c r="N44" s="89">
        <f>浙江精准学!N44+知识跳跳!N44+海南精准学!N44+实时查!N44+目标准!N44+'SMART LEARNING HOLDING'!N44+'SMART AI LIMITED'!N44+'HK01'!N44-(-SUMIFS(合并抵消!$J:$J,合并抵消!$E:$E,$E44,合并抵消!$A:$A,N$2)+SUMIFS(合并抵消!$K:$K,合并抵消!$E:$E,$E44,合并抵消!$A:$A,N$2))</f>
        <v/>
      </c>
      <c r="O44" s="89">
        <f>浙江精准学!O44+知识跳跳!O44+海南精准学!O44+实时查!O44+目标准!O44+'SMART LEARNING HOLDING'!O44+'SMART AI LIMITED'!O44+'HK01'!O44-(-SUMIFS(合并抵消!$J:$J,合并抵消!$E:$E,$E44,合并抵消!$A:$A,O$2)+SUMIFS(合并抵消!$K:$K,合并抵消!$E:$E,$E44,合并抵消!$A:$A,O$2))</f>
        <v/>
      </c>
      <c r="P44" s="89">
        <f>浙江精准学!P44+知识跳跳!P44+海南精准学!P44+实时查!P44+目标准!P44+'SMART LEARNING HOLDING'!P44+'SMART AI LIMITED'!P44+'HK01'!P44-(-SUMIFS(合并抵消!$J:$J,合并抵消!$E:$E,$E44,合并抵消!$A:$A,P$2)+SUMIFS(合并抵消!$K:$K,合并抵消!$E:$E,$E44,合并抵消!$A:$A,P$2))</f>
        <v/>
      </c>
      <c r="Q44" s="89">
        <f>浙江精准学!Q44+知识跳跳!Q44+海南精准学!Q44+实时查!Q44+目标准!Q44+'SMART LEARNING HOLDING'!Q44+'SMART AI LIMITED'!Q44+'HK01'!Q44-(-SUMIFS(合并抵消!$J:$J,合并抵消!$E:$E,$E44,合并抵消!$A:$A,Q$2)+SUMIFS(合并抵消!$K:$K,合并抵消!$E:$E,$E44,合并抵消!$A:$A,Q$2))</f>
        <v/>
      </c>
      <c r="R44" s="89">
        <f>SUM(F44:Q44)</f>
        <v/>
      </c>
    </row>
    <row r="45" s="83">
      <c r="A45" s="5" t="inlineStr">
        <is>
          <t>硬件支出</t>
        </is>
      </c>
      <c r="B45" s="6" t="inlineStr">
        <is>
          <t>BONG PRO</t>
        </is>
      </c>
      <c r="D45" s="5" t="inlineStr">
        <is>
          <t>充电器</t>
        </is>
      </c>
      <c r="E45" s="6" t="inlineStr">
        <is>
          <t>Q1004</t>
        </is>
      </c>
      <c r="F45" s="89">
        <f>浙江精准学!F45+知识跳跳!F45+海南精准学!F45+实时查!F45+目标准!F45+'SMART LEARNING HOLDING'!F45+'SMART AI LIMITED'!F45+'HK01'!F45-(-SUMIFS(合并抵消!$J:$J,合并抵消!$E:$E,$E45,合并抵消!$A:$A,F$2)+SUMIFS(合并抵消!$K:$K,合并抵消!$E:$E,$E45,合并抵消!$A:$A,F$2))</f>
        <v/>
      </c>
      <c r="G45" s="89">
        <f>浙江精准学!G45+知识跳跳!G45+海南精准学!G45+实时查!G45+目标准!G45+'SMART LEARNING HOLDING'!G45+'SMART AI LIMITED'!G45+'HK01'!G45-(-SUMIFS(合并抵消!$J:$J,合并抵消!$E:$E,$E45,合并抵消!$A:$A,G$2)+SUMIFS(合并抵消!$K:$K,合并抵消!$E:$E,$E45,合并抵消!$A:$A,G$2))</f>
        <v/>
      </c>
      <c r="H45" s="89">
        <f>浙江精准学!H45+知识跳跳!H45+海南精准学!H45+实时查!H45+目标准!H45+'SMART LEARNING HOLDING'!H45+'SMART AI LIMITED'!H45+'HK01'!H45-(-SUMIFS(合并抵消!$J:$J,合并抵消!$E:$E,$E45,合并抵消!$A:$A,H$2)+SUMIFS(合并抵消!$K:$K,合并抵消!$E:$E,$E45,合并抵消!$A:$A,H$2))</f>
        <v/>
      </c>
      <c r="I45" s="89">
        <f>浙江精准学!I45+知识跳跳!I45+海南精准学!I45+实时查!I45+目标准!I45+'SMART LEARNING HOLDING'!I45+'SMART AI LIMITED'!I45+'HK01'!I45-(-SUMIFS(合并抵消!$J:$J,合并抵消!$E:$E,$E45,合并抵消!$A:$A,I$2)+SUMIFS(合并抵消!$K:$K,合并抵消!$E:$E,$E45,合并抵消!$A:$A,I$2))</f>
        <v/>
      </c>
      <c r="J45" s="89">
        <f>浙江精准学!J45+知识跳跳!J45+海南精准学!J45+实时查!J45+目标准!J45+'SMART LEARNING HOLDING'!J45+'SMART AI LIMITED'!J45+'HK01'!J45-(-SUMIFS(合并抵消!$J:$J,合并抵消!$E:$E,$E45,合并抵消!$A:$A,J$2)+SUMIFS(合并抵消!$K:$K,合并抵消!$E:$E,$E45,合并抵消!$A:$A,J$2))</f>
        <v/>
      </c>
      <c r="K45" s="89">
        <f>浙江精准学!K45+知识跳跳!K45+海南精准学!K45+实时查!K45+目标准!K45+'SMART LEARNING HOLDING'!K45+'SMART AI LIMITED'!K45+'HK01'!K45-(-SUMIFS(合并抵消!$J:$J,合并抵消!$E:$E,$E45,合并抵消!$A:$A,K$2)+SUMIFS(合并抵消!$K:$K,合并抵消!$E:$E,$E45,合并抵消!$A:$A,K$2))</f>
        <v/>
      </c>
      <c r="L45" s="89">
        <f>浙江精准学!L45+知识跳跳!L45+海南精准学!L45+实时查!L45+目标准!L45+'SMART LEARNING HOLDING'!L45+'SMART AI LIMITED'!L45+'HK01'!L45-(-SUMIFS(合并抵消!$J:$J,合并抵消!$E:$E,$E45,合并抵消!$A:$A,L$2)+SUMIFS(合并抵消!$K:$K,合并抵消!$E:$E,$E45,合并抵消!$A:$A,L$2))</f>
        <v/>
      </c>
      <c r="M45" s="89">
        <f>浙江精准学!M45+知识跳跳!M45+海南精准学!M45+实时查!M45+目标准!M45+'SMART LEARNING HOLDING'!M45+'SMART AI LIMITED'!M45+'HK01'!M45-(-SUMIFS(合并抵消!$J:$J,合并抵消!$E:$E,$E45,合并抵消!$A:$A,M$2)+SUMIFS(合并抵消!$K:$K,合并抵消!$E:$E,$E45,合并抵消!$A:$A,M$2))</f>
        <v/>
      </c>
      <c r="N45" s="89">
        <f>浙江精准学!N45+知识跳跳!N45+海南精准学!N45+实时查!N45+目标准!N45+'SMART LEARNING HOLDING'!N45+'SMART AI LIMITED'!N45+'HK01'!N45-(-SUMIFS(合并抵消!$J:$J,合并抵消!$E:$E,$E45,合并抵消!$A:$A,N$2)+SUMIFS(合并抵消!$K:$K,合并抵消!$E:$E,$E45,合并抵消!$A:$A,N$2))</f>
        <v/>
      </c>
      <c r="O45" s="89">
        <f>浙江精准学!O45+知识跳跳!O45+海南精准学!O45+实时查!O45+目标准!O45+'SMART LEARNING HOLDING'!O45+'SMART AI LIMITED'!O45+'HK01'!O45-(-SUMIFS(合并抵消!$J:$J,合并抵消!$E:$E,$E45,合并抵消!$A:$A,O$2)+SUMIFS(合并抵消!$K:$K,合并抵消!$E:$E,$E45,合并抵消!$A:$A,O$2))</f>
        <v/>
      </c>
      <c r="P45" s="89">
        <f>浙江精准学!P45+知识跳跳!P45+海南精准学!P45+实时查!P45+目标准!P45+'SMART LEARNING HOLDING'!P45+'SMART AI LIMITED'!P45+'HK01'!P45-(-SUMIFS(合并抵消!$J:$J,合并抵消!$E:$E,$E45,合并抵消!$A:$A,P$2)+SUMIFS(合并抵消!$K:$K,合并抵消!$E:$E,$E45,合并抵消!$A:$A,P$2))</f>
        <v/>
      </c>
      <c r="Q45" s="89">
        <f>浙江精准学!Q45+知识跳跳!Q45+海南精准学!Q45+实时查!Q45+目标准!Q45+'SMART LEARNING HOLDING'!Q45+'SMART AI LIMITED'!Q45+'HK01'!Q45-(-SUMIFS(合并抵消!$J:$J,合并抵消!$E:$E,$E45,合并抵消!$A:$A,Q$2)+SUMIFS(合并抵消!$K:$K,合并抵消!$E:$E,$E45,合并抵消!$A:$A,Q$2))</f>
        <v/>
      </c>
      <c r="R45" s="89">
        <f>SUM(F45:Q45)</f>
        <v/>
      </c>
    </row>
    <row r="46" s="83">
      <c r="A46" s="5" t="inlineStr">
        <is>
          <t>硬件支出</t>
        </is>
      </c>
      <c r="B46" s="6" t="inlineStr">
        <is>
          <t>BONG PRO</t>
        </is>
      </c>
      <c r="D46" s="5" t="inlineStr">
        <is>
          <t>指学镜</t>
        </is>
      </c>
      <c r="E46" s="6" t="inlineStr">
        <is>
          <t>Q1005</t>
        </is>
      </c>
      <c r="F46" s="89">
        <f>浙江精准学!F46+知识跳跳!F46+海南精准学!F46+实时查!F46+目标准!F46+'SMART LEARNING HOLDING'!F46+'SMART AI LIMITED'!F46+'HK01'!F46-(-SUMIFS(合并抵消!$J:$J,合并抵消!$E:$E,$E46,合并抵消!$A:$A,F$2)+SUMIFS(合并抵消!$K:$K,合并抵消!$E:$E,$E46,合并抵消!$A:$A,F$2))</f>
        <v/>
      </c>
      <c r="G46" s="89">
        <f>浙江精准学!G46+知识跳跳!G46+海南精准学!G46+实时查!G46+目标准!G46+'SMART LEARNING HOLDING'!G46+'SMART AI LIMITED'!G46+'HK01'!G46-(-SUMIFS(合并抵消!$J:$J,合并抵消!$E:$E,$E46,合并抵消!$A:$A,G$2)+SUMIFS(合并抵消!$K:$K,合并抵消!$E:$E,$E46,合并抵消!$A:$A,G$2))</f>
        <v/>
      </c>
      <c r="H46" s="89">
        <f>浙江精准学!H46+知识跳跳!H46+海南精准学!H46+实时查!H46+目标准!H46+'SMART LEARNING HOLDING'!H46+'SMART AI LIMITED'!H46+'HK01'!H46-(-SUMIFS(合并抵消!$J:$J,合并抵消!$E:$E,$E46,合并抵消!$A:$A,H$2)+SUMIFS(合并抵消!$K:$K,合并抵消!$E:$E,$E46,合并抵消!$A:$A,H$2))</f>
        <v/>
      </c>
      <c r="I46" s="89">
        <f>浙江精准学!I46+知识跳跳!I46+海南精准学!I46+实时查!I46+目标准!I46+'SMART LEARNING HOLDING'!I46+'SMART AI LIMITED'!I46+'HK01'!I46-(-SUMIFS(合并抵消!$J:$J,合并抵消!$E:$E,$E46,合并抵消!$A:$A,I$2)+SUMIFS(合并抵消!$K:$K,合并抵消!$E:$E,$E46,合并抵消!$A:$A,I$2))</f>
        <v/>
      </c>
      <c r="J46" s="89">
        <f>浙江精准学!J46+知识跳跳!J46+海南精准学!J46+实时查!J46+目标准!J46+'SMART LEARNING HOLDING'!J46+'SMART AI LIMITED'!J46+'HK01'!J46-(-SUMIFS(合并抵消!$J:$J,合并抵消!$E:$E,$E46,合并抵消!$A:$A,J$2)+SUMIFS(合并抵消!$K:$K,合并抵消!$E:$E,$E46,合并抵消!$A:$A,J$2))</f>
        <v/>
      </c>
      <c r="K46" s="89">
        <f>浙江精准学!K46+知识跳跳!K46+海南精准学!K46+实时查!K46+目标准!K46+'SMART LEARNING HOLDING'!K46+'SMART AI LIMITED'!K46+'HK01'!K46-(-SUMIFS(合并抵消!$J:$J,合并抵消!$E:$E,$E46,合并抵消!$A:$A,K$2)+SUMIFS(合并抵消!$K:$K,合并抵消!$E:$E,$E46,合并抵消!$A:$A,K$2))</f>
        <v/>
      </c>
      <c r="L46" s="89">
        <f>浙江精准学!L46+知识跳跳!L46+海南精准学!L46+实时查!L46+目标准!L46+'SMART LEARNING HOLDING'!L46+'SMART AI LIMITED'!L46+'HK01'!L46-(-SUMIFS(合并抵消!$J:$J,合并抵消!$E:$E,$E46,合并抵消!$A:$A,L$2)+SUMIFS(合并抵消!$K:$K,合并抵消!$E:$E,$E46,合并抵消!$A:$A,L$2))</f>
        <v/>
      </c>
      <c r="M46" s="89">
        <f>浙江精准学!M46+知识跳跳!M46+海南精准学!M46+实时查!M46+目标准!M46+'SMART LEARNING HOLDING'!M46+'SMART AI LIMITED'!M46+'HK01'!M46-(-SUMIFS(合并抵消!$J:$J,合并抵消!$E:$E,$E46,合并抵消!$A:$A,M$2)+SUMIFS(合并抵消!$K:$K,合并抵消!$E:$E,$E46,合并抵消!$A:$A,M$2))</f>
        <v/>
      </c>
      <c r="N46" s="89">
        <f>浙江精准学!N46+知识跳跳!N46+海南精准学!N46+实时查!N46+目标准!N46+'SMART LEARNING HOLDING'!N46+'SMART AI LIMITED'!N46+'HK01'!N46-(-SUMIFS(合并抵消!$J:$J,合并抵消!$E:$E,$E46,合并抵消!$A:$A,N$2)+SUMIFS(合并抵消!$K:$K,合并抵消!$E:$E,$E46,合并抵消!$A:$A,N$2))</f>
        <v/>
      </c>
      <c r="O46" s="89">
        <f>浙江精准学!O46+知识跳跳!O46+海南精准学!O46+实时查!O46+目标准!O46+'SMART LEARNING HOLDING'!O46+'SMART AI LIMITED'!O46+'HK01'!O46-(-SUMIFS(合并抵消!$J:$J,合并抵消!$E:$E,$E46,合并抵消!$A:$A,O$2)+SUMIFS(合并抵消!$K:$K,合并抵消!$E:$E,$E46,合并抵消!$A:$A,O$2))</f>
        <v/>
      </c>
      <c r="P46" s="89">
        <f>浙江精准学!P46+知识跳跳!P46+海南精准学!P46+实时查!P46+目标准!P46+'SMART LEARNING HOLDING'!P46+'SMART AI LIMITED'!P46+'HK01'!P46-(-SUMIFS(合并抵消!$J:$J,合并抵消!$E:$E,$E46,合并抵消!$A:$A,P$2)+SUMIFS(合并抵消!$K:$K,合并抵消!$E:$E,$E46,合并抵消!$A:$A,P$2))</f>
        <v/>
      </c>
      <c r="Q46" s="89">
        <f>浙江精准学!Q46+知识跳跳!Q46+海南精准学!Q46+实时查!Q46+目标准!Q46+'SMART LEARNING HOLDING'!Q46+'SMART AI LIMITED'!Q46+'HK01'!Q46-(-SUMIFS(合并抵消!$J:$J,合并抵消!$E:$E,$E46,合并抵消!$A:$A,Q$2)+SUMIFS(合并抵消!$K:$K,合并抵消!$E:$E,$E46,合并抵消!$A:$A,Q$2))</f>
        <v/>
      </c>
      <c r="R46" s="89">
        <f>SUM(F46:Q46)</f>
        <v/>
      </c>
    </row>
    <row r="47" s="83">
      <c r="A47" s="5" t="inlineStr">
        <is>
          <t>硬件支出</t>
        </is>
      </c>
      <c r="B47" s="6" t="inlineStr">
        <is>
          <t>BONG PRO</t>
        </is>
      </c>
      <c r="D47" s="5" t="inlineStr">
        <is>
          <t>学习机系统授权费</t>
        </is>
      </c>
      <c r="E47" s="6" t="inlineStr">
        <is>
          <t>Q1006</t>
        </is>
      </c>
      <c r="F47" s="89">
        <f>浙江精准学!F47+知识跳跳!F47+海南精准学!F47+实时查!F47+目标准!F47+'SMART LEARNING HOLDING'!F47+'SMART AI LIMITED'!F47+'HK01'!F47-(-SUMIFS(合并抵消!$J:$J,合并抵消!$E:$E,$E47,合并抵消!$A:$A,F$2)+SUMIFS(合并抵消!$K:$K,合并抵消!$E:$E,$E47,合并抵消!$A:$A,F$2))</f>
        <v/>
      </c>
      <c r="G47" s="89">
        <f>浙江精准学!G47+知识跳跳!G47+海南精准学!G47+实时查!G47+目标准!G47+'SMART LEARNING HOLDING'!G47+'SMART AI LIMITED'!G47+'HK01'!G47-(-SUMIFS(合并抵消!$J:$J,合并抵消!$E:$E,$E47,合并抵消!$A:$A,G$2)+SUMIFS(合并抵消!$K:$K,合并抵消!$E:$E,$E47,合并抵消!$A:$A,G$2))</f>
        <v/>
      </c>
      <c r="H47" s="89">
        <f>浙江精准学!H47+知识跳跳!H47+海南精准学!H47+实时查!H47+目标准!H47+'SMART LEARNING HOLDING'!H47+'SMART AI LIMITED'!H47+'HK01'!H47-(-SUMIFS(合并抵消!$J:$J,合并抵消!$E:$E,$E47,合并抵消!$A:$A,H$2)+SUMIFS(合并抵消!$K:$K,合并抵消!$E:$E,$E47,合并抵消!$A:$A,H$2))</f>
        <v/>
      </c>
      <c r="I47" s="89">
        <f>浙江精准学!I47+知识跳跳!I47+海南精准学!I47+实时查!I47+目标准!I47+'SMART LEARNING HOLDING'!I47+'SMART AI LIMITED'!I47+'HK01'!I47-(-SUMIFS(合并抵消!$J:$J,合并抵消!$E:$E,$E47,合并抵消!$A:$A,I$2)+SUMIFS(合并抵消!$K:$K,合并抵消!$E:$E,$E47,合并抵消!$A:$A,I$2))</f>
        <v/>
      </c>
      <c r="J47" s="89">
        <f>浙江精准学!J47+知识跳跳!J47+海南精准学!J47+实时查!J47+目标准!J47+'SMART LEARNING HOLDING'!J47+'SMART AI LIMITED'!J47+'HK01'!J47-(-SUMIFS(合并抵消!$J:$J,合并抵消!$E:$E,$E47,合并抵消!$A:$A,J$2)+SUMIFS(合并抵消!$K:$K,合并抵消!$E:$E,$E47,合并抵消!$A:$A,J$2))</f>
        <v/>
      </c>
      <c r="K47" s="89">
        <f>浙江精准学!K47+知识跳跳!K47+海南精准学!K47+实时查!K47+目标准!K47+'SMART LEARNING HOLDING'!K47+'SMART AI LIMITED'!K47+'HK01'!K47-(-SUMIFS(合并抵消!$J:$J,合并抵消!$E:$E,$E47,合并抵消!$A:$A,K$2)+SUMIFS(合并抵消!$K:$K,合并抵消!$E:$E,$E47,合并抵消!$A:$A,K$2))</f>
        <v/>
      </c>
      <c r="L47" s="89">
        <f>浙江精准学!L47+知识跳跳!L47+海南精准学!L47+实时查!L47+目标准!L47+'SMART LEARNING HOLDING'!L47+'SMART AI LIMITED'!L47+'HK01'!L47-(-SUMIFS(合并抵消!$J:$J,合并抵消!$E:$E,$E47,合并抵消!$A:$A,L$2)+SUMIFS(合并抵消!$K:$K,合并抵消!$E:$E,$E47,合并抵消!$A:$A,L$2))</f>
        <v/>
      </c>
      <c r="M47" s="89">
        <f>浙江精准学!M47+知识跳跳!M47+海南精准学!M47+实时查!M47+目标准!M47+'SMART LEARNING HOLDING'!M47+'SMART AI LIMITED'!M47+'HK01'!M47-(-SUMIFS(合并抵消!$J:$J,合并抵消!$E:$E,$E47,合并抵消!$A:$A,M$2)+SUMIFS(合并抵消!$K:$K,合并抵消!$E:$E,$E47,合并抵消!$A:$A,M$2))</f>
        <v/>
      </c>
      <c r="N47" s="89">
        <f>浙江精准学!N47+知识跳跳!N47+海南精准学!N47+实时查!N47+目标准!N47+'SMART LEARNING HOLDING'!N47+'SMART AI LIMITED'!N47+'HK01'!N47-(-SUMIFS(合并抵消!$J:$J,合并抵消!$E:$E,$E47,合并抵消!$A:$A,N$2)+SUMIFS(合并抵消!$K:$K,合并抵消!$E:$E,$E47,合并抵消!$A:$A,N$2))</f>
        <v/>
      </c>
      <c r="O47" s="89">
        <f>浙江精准学!O47+知识跳跳!O47+海南精准学!O47+实时查!O47+目标准!O47+'SMART LEARNING HOLDING'!O47+'SMART AI LIMITED'!O47+'HK01'!O47-(-SUMIFS(合并抵消!$J:$J,合并抵消!$E:$E,$E47,合并抵消!$A:$A,O$2)+SUMIFS(合并抵消!$K:$K,合并抵消!$E:$E,$E47,合并抵消!$A:$A,O$2))</f>
        <v/>
      </c>
      <c r="P47" s="89">
        <f>浙江精准学!P47+知识跳跳!P47+海南精准学!P47+实时查!P47+目标准!P47+'SMART LEARNING HOLDING'!P47+'SMART AI LIMITED'!P47+'HK01'!P47-(-SUMIFS(合并抵消!$J:$J,合并抵消!$E:$E,$E47,合并抵消!$A:$A,P$2)+SUMIFS(合并抵消!$K:$K,合并抵消!$E:$E,$E47,合并抵消!$A:$A,P$2))</f>
        <v/>
      </c>
      <c r="Q47" s="89">
        <f>浙江精准学!Q47+知识跳跳!Q47+海南精准学!Q47+实时查!Q47+目标准!Q47+'SMART LEARNING HOLDING'!Q47+'SMART AI LIMITED'!Q47+'HK01'!Q47-(-SUMIFS(合并抵消!$J:$J,合并抵消!$E:$E,$E47,合并抵消!$A:$A,Q$2)+SUMIFS(合并抵消!$K:$K,合并抵消!$E:$E,$E47,合并抵消!$A:$A,Q$2))</f>
        <v/>
      </c>
      <c r="R47" s="89">
        <f>SUM(F47:Q47)</f>
        <v/>
      </c>
    </row>
    <row r="48" s="83">
      <c r="A48" s="5" t="inlineStr">
        <is>
          <t>硬件支出</t>
        </is>
      </c>
      <c r="B48" s="6" t="inlineStr">
        <is>
          <t>其他硬件成本</t>
        </is>
      </c>
      <c r="C48" s="6" t="inlineStr">
        <is>
          <t>其他硬件成本</t>
        </is>
      </c>
      <c r="D48" s="5" t="inlineStr">
        <is>
          <t>电容笔</t>
        </is>
      </c>
      <c r="E48" s="6" t="inlineStr">
        <is>
          <t>Q1101</t>
        </is>
      </c>
      <c r="F48" s="89">
        <f>浙江精准学!F48+知识跳跳!F48+海南精准学!F48+实时查!F48+目标准!F48+'SMART LEARNING HOLDING'!F48+'SMART AI LIMITED'!F48+'HK01'!F48-(-SUMIFS(合并抵消!$J:$J,合并抵消!$E:$E,$E48,合并抵消!$A:$A,F$2)+SUMIFS(合并抵消!$K:$K,合并抵消!$E:$E,$E48,合并抵消!$A:$A,F$2))</f>
        <v/>
      </c>
      <c r="G48" s="89">
        <f>浙江精准学!G48+知识跳跳!G48+海南精准学!G48+实时查!G48+目标准!G48+'SMART LEARNING HOLDING'!G48+'SMART AI LIMITED'!G48+'HK01'!G48-(-SUMIFS(合并抵消!$J:$J,合并抵消!$E:$E,$E48,合并抵消!$A:$A,G$2)+SUMIFS(合并抵消!$K:$K,合并抵消!$E:$E,$E48,合并抵消!$A:$A,G$2))</f>
        <v/>
      </c>
      <c r="H48" s="89">
        <f>浙江精准学!H48+知识跳跳!H48+海南精准学!H48+实时查!H48+目标准!H48+'SMART LEARNING HOLDING'!H48+'SMART AI LIMITED'!H48+'HK01'!H48-(-SUMIFS(合并抵消!$J:$J,合并抵消!$E:$E,$E48,合并抵消!$A:$A,H$2)+SUMIFS(合并抵消!$K:$K,合并抵消!$E:$E,$E48,合并抵消!$A:$A,H$2))</f>
        <v/>
      </c>
      <c r="I48" s="89">
        <f>浙江精准学!I48+知识跳跳!I48+海南精准学!I48+实时查!I48+目标准!I48+'SMART LEARNING HOLDING'!I48+'SMART AI LIMITED'!I48+'HK01'!I48-(-SUMIFS(合并抵消!$J:$J,合并抵消!$E:$E,$E48,合并抵消!$A:$A,I$2)+SUMIFS(合并抵消!$K:$K,合并抵消!$E:$E,$E48,合并抵消!$A:$A,I$2))</f>
        <v/>
      </c>
      <c r="J48" s="89">
        <f>浙江精准学!J48+知识跳跳!J48+海南精准学!J48+实时查!J48+目标准!J48+'SMART LEARNING HOLDING'!J48+'SMART AI LIMITED'!J48+'HK01'!J48-(-SUMIFS(合并抵消!$J:$J,合并抵消!$E:$E,$E48,合并抵消!$A:$A,J$2)+SUMIFS(合并抵消!$K:$K,合并抵消!$E:$E,$E48,合并抵消!$A:$A,J$2))</f>
        <v/>
      </c>
      <c r="K48" s="89">
        <f>浙江精准学!K48+知识跳跳!K48+海南精准学!K48+实时查!K48+目标准!K48+'SMART LEARNING HOLDING'!K48+'SMART AI LIMITED'!K48+'HK01'!K48-(-SUMIFS(合并抵消!$J:$J,合并抵消!$E:$E,$E48,合并抵消!$A:$A,K$2)+SUMIFS(合并抵消!$K:$K,合并抵消!$E:$E,$E48,合并抵消!$A:$A,K$2))</f>
        <v/>
      </c>
      <c r="L48" s="89">
        <f>浙江精准学!L48+知识跳跳!L48+海南精准学!L48+实时查!L48+目标准!L48+'SMART LEARNING HOLDING'!L48+'SMART AI LIMITED'!L48+'HK01'!L48-(-SUMIFS(合并抵消!$J:$J,合并抵消!$E:$E,$E48,合并抵消!$A:$A,L$2)+SUMIFS(合并抵消!$K:$K,合并抵消!$E:$E,$E48,合并抵消!$A:$A,L$2))</f>
        <v/>
      </c>
      <c r="M48" s="89">
        <f>浙江精准学!M48+知识跳跳!M48+海南精准学!M48+实时查!M48+目标准!M48+'SMART LEARNING HOLDING'!M48+'SMART AI LIMITED'!M48+'HK01'!M48-(-SUMIFS(合并抵消!$J:$J,合并抵消!$E:$E,$E48,合并抵消!$A:$A,M$2)+SUMIFS(合并抵消!$K:$K,合并抵消!$E:$E,$E48,合并抵消!$A:$A,M$2))</f>
        <v/>
      </c>
      <c r="N48" s="89">
        <f>浙江精准学!N48+知识跳跳!N48+海南精准学!N48+实时查!N48+目标准!N48+'SMART LEARNING HOLDING'!N48+'SMART AI LIMITED'!N48+'HK01'!N48-(-SUMIFS(合并抵消!$J:$J,合并抵消!$E:$E,$E48,合并抵消!$A:$A,N$2)+SUMIFS(合并抵消!$K:$K,合并抵消!$E:$E,$E48,合并抵消!$A:$A,N$2))</f>
        <v/>
      </c>
      <c r="O48" s="89">
        <f>浙江精准学!O48+知识跳跳!O48+海南精准学!O48+实时查!O48+目标准!O48+'SMART LEARNING HOLDING'!O48+'SMART AI LIMITED'!O48+'HK01'!O48-(-SUMIFS(合并抵消!$J:$J,合并抵消!$E:$E,$E48,合并抵消!$A:$A,O$2)+SUMIFS(合并抵消!$K:$K,合并抵消!$E:$E,$E48,合并抵消!$A:$A,O$2))</f>
        <v/>
      </c>
      <c r="P48" s="89">
        <f>浙江精准学!P48+知识跳跳!P48+海南精准学!P48+实时查!P48+目标准!P48+'SMART LEARNING HOLDING'!P48+'SMART AI LIMITED'!P48+'HK01'!P48-(-SUMIFS(合并抵消!$J:$J,合并抵消!$E:$E,$E48,合并抵消!$A:$A,P$2)+SUMIFS(合并抵消!$K:$K,合并抵消!$E:$E,$E48,合并抵消!$A:$A,P$2))</f>
        <v/>
      </c>
      <c r="Q48" s="89">
        <f>浙江精准学!Q48+知识跳跳!Q48+海南精准学!Q48+实时查!Q48+目标准!Q48+'SMART LEARNING HOLDING'!Q48+'SMART AI LIMITED'!Q48+'HK01'!Q48-(-SUMIFS(合并抵消!$J:$J,合并抵消!$E:$E,$E48,合并抵消!$A:$A,Q$2)+SUMIFS(合并抵消!$K:$K,合并抵消!$E:$E,$E48,合并抵消!$A:$A,Q$2))</f>
        <v/>
      </c>
      <c r="R48" s="89">
        <f>SUM(F48:Q48)</f>
        <v/>
      </c>
    </row>
    <row r="49" s="83">
      <c r="A49" s="5" t="inlineStr">
        <is>
          <t>硬件支出</t>
        </is>
      </c>
      <c r="B49" s="6" t="inlineStr">
        <is>
          <t>其他硬件成本</t>
        </is>
      </c>
      <c r="D49" s="5" t="inlineStr">
        <is>
          <t>支架</t>
        </is>
      </c>
      <c r="E49" s="6" t="inlineStr">
        <is>
          <t>Q1102</t>
        </is>
      </c>
      <c r="F49" s="89">
        <f>浙江精准学!F49+知识跳跳!F49+海南精准学!F49+实时查!F49+目标准!F49+'SMART LEARNING HOLDING'!F49+'SMART AI LIMITED'!F49+'HK01'!F49-(-SUMIFS(合并抵消!$J:$J,合并抵消!$E:$E,$E49,合并抵消!$A:$A,F$2)+SUMIFS(合并抵消!$K:$K,合并抵消!$E:$E,$E49,合并抵消!$A:$A,F$2))</f>
        <v/>
      </c>
      <c r="G49" s="89">
        <f>浙江精准学!G49+知识跳跳!G49+海南精准学!G49+实时查!G49+目标准!G49+'SMART LEARNING HOLDING'!G49+'SMART AI LIMITED'!G49+'HK01'!G49-(-SUMIFS(合并抵消!$J:$J,合并抵消!$E:$E,$E49,合并抵消!$A:$A,G$2)+SUMIFS(合并抵消!$K:$K,合并抵消!$E:$E,$E49,合并抵消!$A:$A,G$2))</f>
        <v/>
      </c>
      <c r="H49" s="89">
        <f>浙江精准学!H49+知识跳跳!H49+海南精准学!H49+实时查!H49+目标准!H49+'SMART LEARNING HOLDING'!H49+'SMART AI LIMITED'!H49+'HK01'!H49-(-SUMIFS(合并抵消!$J:$J,合并抵消!$E:$E,$E49,合并抵消!$A:$A,H$2)+SUMIFS(合并抵消!$K:$K,合并抵消!$E:$E,$E49,合并抵消!$A:$A,H$2))</f>
        <v/>
      </c>
      <c r="I49" s="89">
        <f>浙江精准学!I49+知识跳跳!I49+海南精准学!I49+实时查!I49+目标准!I49+'SMART LEARNING HOLDING'!I49+'SMART AI LIMITED'!I49+'HK01'!I49-(-SUMIFS(合并抵消!$J:$J,合并抵消!$E:$E,$E49,合并抵消!$A:$A,I$2)+SUMIFS(合并抵消!$K:$K,合并抵消!$E:$E,$E49,合并抵消!$A:$A,I$2))</f>
        <v/>
      </c>
      <c r="J49" s="89">
        <f>浙江精准学!J49+知识跳跳!J49+海南精准学!J49+实时查!J49+目标准!J49+'SMART LEARNING HOLDING'!J49+'SMART AI LIMITED'!J49+'HK01'!J49-(-SUMIFS(合并抵消!$J:$J,合并抵消!$E:$E,$E49,合并抵消!$A:$A,J$2)+SUMIFS(合并抵消!$K:$K,合并抵消!$E:$E,$E49,合并抵消!$A:$A,J$2))</f>
        <v/>
      </c>
      <c r="K49" s="89">
        <f>浙江精准学!K49+知识跳跳!K49+海南精准学!K49+实时查!K49+目标准!K49+'SMART LEARNING HOLDING'!K49+'SMART AI LIMITED'!K49+'HK01'!K49-(-SUMIFS(合并抵消!$J:$J,合并抵消!$E:$E,$E49,合并抵消!$A:$A,K$2)+SUMIFS(合并抵消!$K:$K,合并抵消!$E:$E,$E49,合并抵消!$A:$A,K$2))</f>
        <v/>
      </c>
      <c r="L49" s="89">
        <f>浙江精准学!L49+知识跳跳!L49+海南精准学!L49+实时查!L49+目标准!L49+'SMART LEARNING HOLDING'!L49+'SMART AI LIMITED'!L49+'HK01'!L49-(-SUMIFS(合并抵消!$J:$J,合并抵消!$E:$E,$E49,合并抵消!$A:$A,L$2)+SUMIFS(合并抵消!$K:$K,合并抵消!$E:$E,$E49,合并抵消!$A:$A,L$2))</f>
        <v/>
      </c>
      <c r="M49" s="89">
        <f>浙江精准学!M49+知识跳跳!M49+海南精准学!M49+实时查!M49+目标准!M49+'SMART LEARNING HOLDING'!M49+'SMART AI LIMITED'!M49+'HK01'!M49-(-SUMIFS(合并抵消!$J:$J,合并抵消!$E:$E,$E49,合并抵消!$A:$A,M$2)+SUMIFS(合并抵消!$K:$K,合并抵消!$E:$E,$E49,合并抵消!$A:$A,M$2))</f>
        <v/>
      </c>
      <c r="N49" s="89">
        <f>浙江精准学!N49+知识跳跳!N49+海南精准学!N49+实时查!N49+目标准!N49+'SMART LEARNING HOLDING'!N49+'SMART AI LIMITED'!N49+'HK01'!N49-(-SUMIFS(合并抵消!$J:$J,合并抵消!$E:$E,$E49,合并抵消!$A:$A,N$2)+SUMIFS(合并抵消!$K:$K,合并抵消!$E:$E,$E49,合并抵消!$A:$A,N$2))</f>
        <v/>
      </c>
      <c r="O49" s="89">
        <f>浙江精准学!O49+知识跳跳!O49+海南精准学!O49+实时查!O49+目标准!O49+'SMART LEARNING HOLDING'!O49+'SMART AI LIMITED'!O49+'HK01'!O49-(-SUMIFS(合并抵消!$J:$J,合并抵消!$E:$E,$E49,合并抵消!$A:$A,O$2)+SUMIFS(合并抵消!$K:$K,合并抵消!$E:$E,$E49,合并抵消!$A:$A,O$2))</f>
        <v/>
      </c>
      <c r="P49" s="89">
        <f>浙江精准学!P49+知识跳跳!P49+海南精准学!P49+实时查!P49+目标准!P49+'SMART LEARNING HOLDING'!P49+'SMART AI LIMITED'!P49+'HK01'!P49-(-SUMIFS(合并抵消!$J:$J,合并抵消!$E:$E,$E49,合并抵消!$A:$A,P$2)+SUMIFS(合并抵消!$K:$K,合并抵消!$E:$E,$E49,合并抵消!$A:$A,P$2))</f>
        <v/>
      </c>
      <c r="Q49" s="89">
        <f>浙江精准学!Q49+知识跳跳!Q49+海南精准学!Q49+实时查!Q49+目标准!Q49+'SMART LEARNING HOLDING'!Q49+'SMART AI LIMITED'!Q49+'HK01'!Q49-(-SUMIFS(合并抵消!$J:$J,合并抵消!$E:$E,$E49,合并抵消!$A:$A,Q$2)+SUMIFS(合并抵消!$K:$K,合并抵消!$E:$E,$E49,合并抵消!$A:$A,Q$2))</f>
        <v/>
      </c>
      <c r="R49" s="89">
        <f>SUM(F49:Q49)</f>
        <v/>
      </c>
    </row>
    <row r="50" s="83">
      <c r="A50" s="49" t="inlineStr">
        <is>
          <t>硬件支出合计</t>
        </is>
      </c>
      <c r="B50" s="50" t="n"/>
      <c r="C50" s="50" t="n"/>
      <c r="D50" s="49" t="n"/>
      <c r="E50" s="49" t="n"/>
      <c r="F50" s="89">
        <f>SUM(F36:F49)</f>
        <v/>
      </c>
      <c r="G50" s="89">
        <f>SUM(G36:G49)</f>
        <v/>
      </c>
      <c r="H50" s="89">
        <f>SUM(H36:H49)</f>
        <v/>
      </c>
      <c r="I50" s="89">
        <f>SUM(I36:I49)</f>
        <v/>
      </c>
      <c r="J50" s="89">
        <f>SUM(J36:J49)</f>
        <v/>
      </c>
      <c r="K50" s="89">
        <f>SUM(K36:K49)</f>
        <v/>
      </c>
      <c r="L50" s="89">
        <f>SUM(L36:L49)</f>
        <v/>
      </c>
      <c r="M50" s="89">
        <f>SUM(M36:M49)</f>
        <v/>
      </c>
      <c r="N50" s="89">
        <f>SUM(N36:N49)</f>
        <v/>
      </c>
      <c r="O50" s="89">
        <f>SUM(O36:O49)</f>
        <v/>
      </c>
      <c r="P50" s="89">
        <f>SUM(P36:P49)</f>
        <v/>
      </c>
      <c r="Q50" s="89">
        <f>SUM(Q36:Q49)</f>
        <v/>
      </c>
      <c r="R50" s="89">
        <f>SUM(F50:Q50)</f>
        <v/>
      </c>
    </row>
    <row r="51" s="83">
      <c r="A51" s="5" t="inlineStr">
        <is>
          <t>制造费用</t>
        </is>
      </c>
      <c r="B51" s="62" t="inlineStr">
        <is>
          <t>制造费用</t>
        </is>
      </c>
      <c r="C51" s="6" t="inlineStr">
        <is>
          <t>制造费用</t>
        </is>
      </c>
      <c r="D51" s="5" t="inlineStr">
        <is>
          <t>西溪首座仓库租金</t>
        </is>
      </c>
      <c r="E51" s="6" t="inlineStr">
        <is>
          <t>Q3201</t>
        </is>
      </c>
      <c r="F51" s="89">
        <f>浙江精准学!F51+知识跳跳!F51+海南精准学!F51+实时查!F51+目标准!F51+'SMART LEARNING HOLDING'!F51+'SMART AI LIMITED'!F51+'HK01'!F51-(-SUMIFS(合并抵消!$J:$J,合并抵消!$E:$E,$E51,合并抵消!$A:$A,F$2)+SUMIFS(合并抵消!$K:$K,合并抵消!$E:$E,$E51,合并抵消!$A:$A,F$2))</f>
        <v/>
      </c>
      <c r="G51" s="89">
        <f>浙江精准学!G51+知识跳跳!G51+海南精准学!G51+实时查!G51+目标准!G51+'SMART LEARNING HOLDING'!G51+'SMART AI LIMITED'!G51+'HK01'!G51-(-SUMIFS(合并抵消!$J:$J,合并抵消!$E:$E,$E51,合并抵消!$A:$A,G$2)+SUMIFS(合并抵消!$K:$K,合并抵消!$E:$E,$E51,合并抵消!$A:$A,G$2))</f>
        <v/>
      </c>
      <c r="H51" s="89">
        <f>浙江精准学!H51+知识跳跳!H51+海南精准学!H51+实时查!H51+目标准!H51+'SMART LEARNING HOLDING'!H51+'SMART AI LIMITED'!H51+'HK01'!H51-(-SUMIFS(合并抵消!$J:$J,合并抵消!$E:$E,$E51,合并抵消!$A:$A,H$2)+SUMIFS(合并抵消!$K:$K,合并抵消!$E:$E,$E51,合并抵消!$A:$A,H$2))</f>
        <v/>
      </c>
      <c r="I51" s="89">
        <f>浙江精准学!I51+知识跳跳!I51+海南精准学!I51+实时查!I51+目标准!I51+'SMART LEARNING HOLDING'!I51+'SMART AI LIMITED'!I51+'HK01'!I51-(-SUMIFS(合并抵消!$J:$J,合并抵消!$E:$E,$E51,合并抵消!$A:$A,I$2)+SUMIFS(合并抵消!$K:$K,合并抵消!$E:$E,$E51,合并抵消!$A:$A,I$2))</f>
        <v/>
      </c>
      <c r="J51" s="89">
        <f>浙江精准学!J51+知识跳跳!J51+海南精准学!J51+实时查!J51+目标准!J51+'SMART LEARNING HOLDING'!J51+'SMART AI LIMITED'!J51+'HK01'!J51-(-SUMIFS(合并抵消!$J:$J,合并抵消!$E:$E,$E51,合并抵消!$A:$A,J$2)+SUMIFS(合并抵消!$K:$K,合并抵消!$E:$E,$E51,合并抵消!$A:$A,J$2))</f>
        <v/>
      </c>
      <c r="K51" s="89">
        <f>浙江精准学!K51+知识跳跳!K51+海南精准学!K51+实时查!K51+目标准!K51+'SMART LEARNING HOLDING'!K51+'SMART AI LIMITED'!K51+'HK01'!K51-(-SUMIFS(合并抵消!$J:$J,合并抵消!$E:$E,$E51,合并抵消!$A:$A,K$2)+SUMIFS(合并抵消!$K:$K,合并抵消!$E:$E,$E51,合并抵消!$A:$A,K$2))</f>
        <v/>
      </c>
      <c r="L51" s="89">
        <f>浙江精准学!L51+知识跳跳!L51+海南精准学!L51+实时查!L51+目标准!L51+'SMART LEARNING HOLDING'!L51+'SMART AI LIMITED'!L51+'HK01'!L51-(-SUMIFS(合并抵消!$J:$J,合并抵消!$E:$E,$E51,合并抵消!$A:$A,L$2)+SUMIFS(合并抵消!$K:$K,合并抵消!$E:$E,$E51,合并抵消!$A:$A,L$2))</f>
        <v/>
      </c>
      <c r="M51" s="89">
        <f>浙江精准学!M51+知识跳跳!M51+海南精准学!M51+实时查!M51+目标准!M51+'SMART LEARNING HOLDING'!M51+'SMART AI LIMITED'!M51+'HK01'!M51-(-SUMIFS(合并抵消!$J:$J,合并抵消!$E:$E,$E51,合并抵消!$A:$A,M$2)+SUMIFS(合并抵消!$K:$K,合并抵消!$E:$E,$E51,合并抵消!$A:$A,M$2))</f>
        <v/>
      </c>
      <c r="N51" s="89">
        <f>浙江精准学!N51+知识跳跳!N51+海南精准学!N51+实时查!N51+目标准!N51+'SMART LEARNING HOLDING'!N51+'SMART AI LIMITED'!N51+'HK01'!N51-(-SUMIFS(合并抵消!$J:$J,合并抵消!$E:$E,$E51,合并抵消!$A:$A,N$2)+SUMIFS(合并抵消!$K:$K,合并抵消!$E:$E,$E51,合并抵消!$A:$A,N$2))</f>
        <v/>
      </c>
      <c r="O51" s="89">
        <f>浙江精准学!O51+知识跳跳!O51+海南精准学!O51+实时查!O51+目标准!O51+'SMART LEARNING HOLDING'!O51+'SMART AI LIMITED'!O51+'HK01'!O51-(-SUMIFS(合并抵消!$J:$J,合并抵消!$E:$E,$E51,合并抵消!$A:$A,O$2)+SUMIFS(合并抵消!$K:$K,合并抵消!$E:$E,$E51,合并抵消!$A:$A,O$2))</f>
        <v/>
      </c>
      <c r="P51" s="89">
        <f>浙江精准学!P51+知识跳跳!P51+海南精准学!P51+实时查!P51+目标准!P51+'SMART LEARNING HOLDING'!P51+'SMART AI LIMITED'!P51+'HK01'!P51-(-SUMIFS(合并抵消!$J:$J,合并抵消!$E:$E,$E51,合并抵消!$A:$A,P$2)+SUMIFS(合并抵消!$K:$K,合并抵消!$E:$E,$E51,合并抵消!$A:$A,P$2))</f>
        <v/>
      </c>
      <c r="Q51" s="89">
        <f>浙江精准学!Q51+知识跳跳!Q51+海南精准学!Q51+实时查!Q51+目标准!Q51+'SMART LEARNING HOLDING'!Q51+'SMART AI LIMITED'!Q51+'HK01'!Q51-(-SUMIFS(合并抵消!$J:$J,合并抵消!$E:$E,$E51,合并抵消!$A:$A,Q$2)+SUMIFS(合并抵消!$K:$K,合并抵消!$E:$E,$E51,合并抵消!$A:$A,Q$2))</f>
        <v/>
      </c>
      <c r="R51" s="89">
        <f>SUM(F51:Q51)</f>
        <v/>
      </c>
    </row>
    <row r="52" s="83">
      <c r="A52" s="5" t="inlineStr">
        <is>
          <t>制造费用</t>
        </is>
      </c>
      <c r="B52" s="62" t="inlineStr">
        <is>
          <t>制造费用</t>
        </is>
      </c>
      <c r="D52" s="5" t="inlineStr">
        <is>
          <t>西溪首座仓库物业水电费</t>
        </is>
      </c>
      <c r="E52" s="6" t="inlineStr">
        <is>
          <t>Q3202</t>
        </is>
      </c>
      <c r="F52" s="89">
        <f>浙江精准学!F52+知识跳跳!F52+海南精准学!F52+实时查!F52+目标准!F52+'SMART LEARNING HOLDING'!F52+'SMART AI LIMITED'!F52+'HK01'!F52-(-SUMIFS(合并抵消!$J:$J,合并抵消!$E:$E,$E52,合并抵消!$A:$A,F$2)+SUMIFS(合并抵消!$K:$K,合并抵消!$E:$E,$E52,合并抵消!$A:$A,F$2))</f>
        <v/>
      </c>
      <c r="G52" s="89">
        <f>浙江精准学!G52+知识跳跳!G52+海南精准学!G52+实时查!G52+目标准!G52+'SMART LEARNING HOLDING'!G52+'SMART AI LIMITED'!G52+'HK01'!G52-(-SUMIFS(合并抵消!$J:$J,合并抵消!$E:$E,$E52,合并抵消!$A:$A,G$2)+SUMIFS(合并抵消!$K:$K,合并抵消!$E:$E,$E52,合并抵消!$A:$A,G$2))</f>
        <v/>
      </c>
      <c r="H52" s="89">
        <f>浙江精准学!H52+知识跳跳!H52+海南精准学!H52+实时查!H52+目标准!H52+'SMART LEARNING HOLDING'!H52+'SMART AI LIMITED'!H52+'HK01'!H52-(-SUMIFS(合并抵消!$J:$J,合并抵消!$E:$E,$E52,合并抵消!$A:$A,H$2)+SUMIFS(合并抵消!$K:$K,合并抵消!$E:$E,$E52,合并抵消!$A:$A,H$2))</f>
        <v/>
      </c>
      <c r="I52" s="89">
        <f>浙江精准学!I52+知识跳跳!I52+海南精准学!I52+实时查!I52+目标准!I52+'SMART LEARNING HOLDING'!I52+'SMART AI LIMITED'!I52+'HK01'!I52-(-SUMIFS(合并抵消!$J:$J,合并抵消!$E:$E,$E52,合并抵消!$A:$A,I$2)+SUMIFS(合并抵消!$K:$K,合并抵消!$E:$E,$E52,合并抵消!$A:$A,I$2))</f>
        <v/>
      </c>
      <c r="J52" s="89">
        <f>浙江精准学!J52+知识跳跳!J52+海南精准学!J52+实时查!J52+目标准!J52+'SMART LEARNING HOLDING'!J52+'SMART AI LIMITED'!J52+'HK01'!J52-(-SUMIFS(合并抵消!$J:$J,合并抵消!$E:$E,$E52,合并抵消!$A:$A,J$2)+SUMIFS(合并抵消!$K:$K,合并抵消!$E:$E,$E52,合并抵消!$A:$A,J$2))</f>
        <v/>
      </c>
      <c r="K52" s="89">
        <f>浙江精准学!K52+知识跳跳!K52+海南精准学!K52+实时查!K52+目标准!K52+'SMART LEARNING HOLDING'!K52+'SMART AI LIMITED'!K52+'HK01'!K52-(-SUMIFS(合并抵消!$J:$J,合并抵消!$E:$E,$E52,合并抵消!$A:$A,K$2)+SUMIFS(合并抵消!$K:$K,合并抵消!$E:$E,$E52,合并抵消!$A:$A,K$2))</f>
        <v/>
      </c>
      <c r="L52" s="89">
        <f>浙江精准学!L52+知识跳跳!L52+海南精准学!L52+实时查!L52+目标准!L52+'SMART LEARNING HOLDING'!L52+'SMART AI LIMITED'!L52+'HK01'!L52-(-SUMIFS(合并抵消!$J:$J,合并抵消!$E:$E,$E52,合并抵消!$A:$A,L$2)+SUMIFS(合并抵消!$K:$K,合并抵消!$E:$E,$E52,合并抵消!$A:$A,L$2))</f>
        <v/>
      </c>
      <c r="M52" s="89">
        <f>浙江精准学!M52+知识跳跳!M52+海南精准学!M52+实时查!M52+目标准!M52+'SMART LEARNING HOLDING'!M52+'SMART AI LIMITED'!M52+'HK01'!M52-(-SUMIFS(合并抵消!$J:$J,合并抵消!$E:$E,$E52,合并抵消!$A:$A,M$2)+SUMIFS(合并抵消!$K:$K,合并抵消!$E:$E,$E52,合并抵消!$A:$A,M$2))</f>
        <v/>
      </c>
      <c r="N52" s="89">
        <f>浙江精准学!N52+知识跳跳!N52+海南精准学!N52+实时查!N52+目标准!N52+'SMART LEARNING HOLDING'!N52+'SMART AI LIMITED'!N52+'HK01'!N52-(-SUMIFS(合并抵消!$J:$J,合并抵消!$E:$E,$E52,合并抵消!$A:$A,N$2)+SUMIFS(合并抵消!$K:$K,合并抵消!$E:$E,$E52,合并抵消!$A:$A,N$2))</f>
        <v/>
      </c>
      <c r="O52" s="89">
        <f>浙江精准学!O52+知识跳跳!O52+海南精准学!O52+实时查!O52+目标准!O52+'SMART LEARNING HOLDING'!O52+'SMART AI LIMITED'!O52+'HK01'!O52-(-SUMIFS(合并抵消!$J:$J,合并抵消!$E:$E,$E52,合并抵消!$A:$A,O$2)+SUMIFS(合并抵消!$K:$K,合并抵消!$E:$E,$E52,合并抵消!$A:$A,O$2))</f>
        <v/>
      </c>
      <c r="P52" s="89">
        <f>浙江精准学!P52+知识跳跳!P52+海南精准学!P52+实时查!P52+目标准!P52+'SMART LEARNING HOLDING'!P52+'SMART AI LIMITED'!P52+'HK01'!P52-(-SUMIFS(合并抵消!$J:$J,合并抵消!$E:$E,$E52,合并抵消!$A:$A,P$2)+SUMIFS(合并抵消!$K:$K,合并抵消!$E:$E,$E52,合并抵消!$A:$A,P$2))</f>
        <v/>
      </c>
      <c r="Q52" s="89">
        <f>浙江精准学!Q52+知识跳跳!Q52+海南精准学!Q52+实时查!Q52+目标准!Q52+'SMART LEARNING HOLDING'!Q52+'SMART AI LIMITED'!Q52+'HK01'!Q52-(-SUMIFS(合并抵消!$J:$J,合并抵消!$E:$E,$E52,合并抵消!$A:$A,Q$2)+SUMIFS(合并抵消!$K:$K,合并抵消!$E:$E,$E52,合并抵消!$A:$A,Q$2))</f>
        <v/>
      </c>
      <c r="R52" s="89">
        <f>SUM(F52:Q52)</f>
        <v/>
      </c>
    </row>
    <row r="53" s="83">
      <c r="A53" s="5" t="inlineStr">
        <is>
          <t>制造费用</t>
        </is>
      </c>
      <c r="B53" s="62" t="inlineStr">
        <is>
          <t>制造费用</t>
        </is>
      </c>
      <c r="D53" s="5" t="inlineStr">
        <is>
          <t>西溪首座仓库装修费</t>
        </is>
      </c>
      <c r="E53" s="6" t="inlineStr">
        <is>
          <t>Q3203</t>
        </is>
      </c>
      <c r="F53" s="89">
        <f>浙江精准学!F53+知识跳跳!F53+海南精准学!F53+实时查!F53+目标准!F53+'SMART LEARNING HOLDING'!F53+'SMART AI LIMITED'!F53+'HK01'!F53-(-SUMIFS(合并抵消!$J:$J,合并抵消!$E:$E,$E53,合并抵消!$A:$A,F$2)+SUMIFS(合并抵消!$K:$K,合并抵消!$E:$E,$E53,合并抵消!$A:$A,F$2))</f>
        <v/>
      </c>
      <c r="G53" s="89">
        <f>浙江精准学!G53+知识跳跳!G53+海南精准学!G53+实时查!G53+目标准!G53+'SMART LEARNING HOLDING'!G53+'SMART AI LIMITED'!G53+'HK01'!G53-(-SUMIFS(合并抵消!$J:$J,合并抵消!$E:$E,$E53,合并抵消!$A:$A,G$2)+SUMIFS(合并抵消!$K:$K,合并抵消!$E:$E,$E53,合并抵消!$A:$A,G$2))</f>
        <v/>
      </c>
      <c r="H53" s="89">
        <f>浙江精准学!H53+知识跳跳!H53+海南精准学!H53+实时查!H53+目标准!H53+'SMART LEARNING HOLDING'!H53+'SMART AI LIMITED'!H53+'HK01'!H53-(-SUMIFS(合并抵消!$J:$J,合并抵消!$E:$E,$E53,合并抵消!$A:$A,H$2)+SUMIFS(合并抵消!$K:$K,合并抵消!$E:$E,$E53,合并抵消!$A:$A,H$2))</f>
        <v/>
      </c>
      <c r="I53" s="89">
        <f>浙江精准学!I53+知识跳跳!I53+海南精准学!I53+实时查!I53+目标准!I53+'SMART LEARNING HOLDING'!I53+'SMART AI LIMITED'!I53+'HK01'!I53-(-SUMIFS(合并抵消!$J:$J,合并抵消!$E:$E,$E53,合并抵消!$A:$A,I$2)+SUMIFS(合并抵消!$K:$K,合并抵消!$E:$E,$E53,合并抵消!$A:$A,I$2))</f>
        <v/>
      </c>
      <c r="J53" s="89">
        <f>浙江精准学!J53+知识跳跳!J53+海南精准学!J53+实时查!J53+目标准!J53+'SMART LEARNING HOLDING'!J53+'SMART AI LIMITED'!J53+'HK01'!J53-(-SUMIFS(合并抵消!$J:$J,合并抵消!$E:$E,$E53,合并抵消!$A:$A,J$2)+SUMIFS(合并抵消!$K:$K,合并抵消!$E:$E,$E53,合并抵消!$A:$A,J$2))</f>
        <v/>
      </c>
      <c r="K53" s="89">
        <f>浙江精准学!K53+知识跳跳!K53+海南精准学!K53+实时查!K53+目标准!K53+'SMART LEARNING HOLDING'!K53+'SMART AI LIMITED'!K53+'HK01'!K53-(-SUMIFS(合并抵消!$J:$J,合并抵消!$E:$E,$E53,合并抵消!$A:$A,K$2)+SUMIFS(合并抵消!$K:$K,合并抵消!$E:$E,$E53,合并抵消!$A:$A,K$2))</f>
        <v/>
      </c>
      <c r="L53" s="89">
        <f>浙江精准学!L53+知识跳跳!L53+海南精准学!L53+实时查!L53+目标准!L53+'SMART LEARNING HOLDING'!L53+'SMART AI LIMITED'!L53+'HK01'!L53-(-SUMIFS(合并抵消!$J:$J,合并抵消!$E:$E,$E53,合并抵消!$A:$A,L$2)+SUMIFS(合并抵消!$K:$K,合并抵消!$E:$E,$E53,合并抵消!$A:$A,L$2))</f>
        <v/>
      </c>
      <c r="M53" s="89">
        <f>浙江精准学!M53+知识跳跳!M53+海南精准学!M53+实时查!M53+目标准!M53+'SMART LEARNING HOLDING'!M53+'SMART AI LIMITED'!M53+'HK01'!M53-(-SUMIFS(合并抵消!$J:$J,合并抵消!$E:$E,$E53,合并抵消!$A:$A,M$2)+SUMIFS(合并抵消!$K:$K,合并抵消!$E:$E,$E53,合并抵消!$A:$A,M$2))</f>
        <v/>
      </c>
      <c r="N53" s="89">
        <f>浙江精准学!N53+知识跳跳!N53+海南精准学!N53+实时查!N53+目标准!N53+'SMART LEARNING HOLDING'!N53+'SMART AI LIMITED'!N53+'HK01'!N53-(-SUMIFS(合并抵消!$J:$J,合并抵消!$E:$E,$E53,合并抵消!$A:$A,N$2)+SUMIFS(合并抵消!$K:$K,合并抵消!$E:$E,$E53,合并抵消!$A:$A,N$2))</f>
        <v/>
      </c>
      <c r="O53" s="89">
        <f>浙江精准学!O53+知识跳跳!O53+海南精准学!O53+实时查!O53+目标准!O53+'SMART LEARNING HOLDING'!O53+'SMART AI LIMITED'!O53+'HK01'!O53-(-SUMIFS(合并抵消!$J:$J,合并抵消!$E:$E,$E53,合并抵消!$A:$A,O$2)+SUMIFS(合并抵消!$K:$K,合并抵消!$E:$E,$E53,合并抵消!$A:$A,O$2))</f>
        <v/>
      </c>
      <c r="P53" s="89">
        <f>浙江精准学!P53+知识跳跳!P53+海南精准学!P53+实时查!P53+目标准!P53+'SMART LEARNING HOLDING'!P53+'SMART AI LIMITED'!P53+'HK01'!P53-(-SUMIFS(合并抵消!$J:$J,合并抵消!$E:$E,$E53,合并抵消!$A:$A,P$2)+SUMIFS(合并抵消!$K:$K,合并抵消!$E:$E,$E53,合并抵消!$A:$A,P$2))</f>
        <v/>
      </c>
      <c r="Q53" s="89">
        <f>浙江精准学!Q53+知识跳跳!Q53+海南精准学!Q53+实时查!Q53+目标准!Q53+'SMART LEARNING HOLDING'!Q53+'SMART AI LIMITED'!Q53+'HK01'!Q53-(-SUMIFS(合并抵消!$J:$J,合并抵消!$E:$E,$E53,合并抵消!$A:$A,Q$2)+SUMIFS(合并抵消!$K:$K,合并抵消!$E:$E,$E53,合并抵消!$A:$A,Q$2))</f>
        <v/>
      </c>
      <c r="R53" s="89">
        <f>SUM(F53:Q53)</f>
        <v/>
      </c>
    </row>
    <row r="54" s="83">
      <c r="A54" s="5" t="inlineStr">
        <is>
          <t>制造费用</t>
        </is>
      </c>
      <c r="B54" s="62" t="inlineStr">
        <is>
          <t>制造费用</t>
        </is>
      </c>
      <c r="D54" s="5" t="inlineStr">
        <is>
          <t>运输费</t>
        </is>
      </c>
      <c r="E54" s="6" t="inlineStr">
        <is>
          <t>Q3204</t>
        </is>
      </c>
      <c r="F54" s="89">
        <f>浙江精准学!F54+知识跳跳!F54+海南精准学!F54+实时查!F54+目标准!F54+'SMART LEARNING HOLDING'!F54+'SMART AI LIMITED'!F54+'HK01'!F54-(-SUMIFS(合并抵消!$J:$J,合并抵消!$E:$E,$E54,合并抵消!$A:$A,F$2)+SUMIFS(合并抵消!$K:$K,合并抵消!$E:$E,$E54,合并抵消!$A:$A,F$2))</f>
        <v/>
      </c>
      <c r="G54" s="89">
        <f>浙江精准学!G54+知识跳跳!G54+海南精准学!G54+实时查!G54+目标准!G54+'SMART LEARNING HOLDING'!G54+'SMART AI LIMITED'!G54+'HK01'!G54-(-SUMIFS(合并抵消!$J:$J,合并抵消!$E:$E,$E54,合并抵消!$A:$A,G$2)+SUMIFS(合并抵消!$K:$K,合并抵消!$E:$E,$E54,合并抵消!$A:$A,G$2))</f>
        <v/>
      </c>
      <c r="H54" s="89">
        <f>浙江精准学!H54+知识跳跳!H54+海南精准学!H54+实时查!H54+目标准!H54+'SMART LEARNING HOLDING'!H54+'SMART AI LIMITED'!H54+'HK01'!H54-(-SUMIFS(合并抵消!$J:$J,合并抵消!$E:$E,$E54,合并抵消!$A:$A,H$2)+SUMIFS(合并抵消!$K:$K,合并抵消!$E:$E,$E54,合并抵消!$A:$A,H$2))</f>
        <v/>
      </c>
      <c r="I54" s="89">
        <f>浙江精准学!I54+知识跳跳!I54+海南精准学!I54+实时查!I54+目标准!I54+'SMART LEARNING HOLDING'!I54+'SMART AI LIMITED'!I54+'HK01'!I54-(-SUMIFS(合并抵消!$J:$J,合并抵消!$E:$E,$E54,合并抵消!$A:$A,I$2)+SUMIFS(合并抵消!$K:$K,合并抵消!$E:$E,$E54,合并抵消!$A:$A,I$2))</f>
        <v/>
      </c>
      <c r="J54" s="89">
        <f>浙江精准学!J54+知识跳跳!J54+海南精准学!J54+实时查!J54+目标准!J54+'SMART LEARNING HOLDING'!J54+'SMART AI LIMITED'!J54+'HK01'!J54-(-SUMIFS(合并抵消!$J:$J,合并抵消!$E:$E,$E54,合并抵消!$A:$A,J$2)+SUMIFS(合并抵消!$K:$K,合并抵消!$E:$E,$E54,合并抵消!$A:$A,J$2))</f>
        <v/>
      </c>
      <c r="K54" s="89">
        <f>浙江精准学!K54+知识跳跳!K54+海南精准学!K54+实时查!K54+目标准!K54+'SMART LEARNING HOLDING'!K54+'SMART AI LIMITED'!K54+'HK01'!K54-(-SUMIFS(合并抵消!$J:$J,合并抵消!$E:$E,$E54,合并抵消!$A:$A,K$2)+SUMIFS(合并抵消!$K:$K,合并抵消!$E:$E,$E54,合并抵消!$A:$A,K$2))</f>
        <v/>
      </c>
      <c r="L54" s="89">
        <f>浙江精准学!L54+知识跳跳!L54+海南精准学!L54+实时查!L54+目标准!L54+'SMART LEARNING HOLDING'!L54+'SMART AI LIMITED'!L54+'HK01'!L54-(-SUMIFS(合并抵消!$J:$J,合并抵消!$E:$E,$E54,合并抵消!$A:$A,L$2)+SUMIFS(合并抵消!$K:$K,合并抵消!$E:$E,$E54,合并抵消!$A:$A,L$2))</f>
        <v/>
      </c>
      <c r="M54" s="89">
        <f>浙江精准学!M54+知识跳跳!M54+海南精准学!M54+实时查!M54+目标准!M54+'SMART LEARNING HOLDING'!M54+'SMART AI LIMITED'!M54+'HK01'!M54-(-SUMIFS(合并抵消!$J:$J,合并抵消!$E:$E,$E54,合并抵消!$A:$A,M$2)+SUMIFS(合并抵消!$K:$K,合并抵消!$E:$E,$E54,合并抵消!$A:$A,M$2))</f>
        <v/>
      </c>
      <c r="N54" s="89">
        <f>浙江精准学!N54+知识跳跳!N54+海南精准学!N54+实时查!N54+目标准!N54+'SMART LEARNING HOLDING'!N54+'SMART AI LIMITED'!N54+'HK01'!N54-(-SUMIFS(合并抵消!$J:$J,合并抵消!$E:$E,$E54,合并抵消!$A:$A,N$2)+SUMIFS(合并抵消!$K:$K,合并抵消!$E:$E,$E54,合并抵消!$A:$A,N$2))</f>
        <v/>
      </c>
      <c r="O54" s="89">
        <f>浙江精准学!O54+知识跳跳!O54+海南精准学!O54+实时查!O54+目标准!O54+'SMART LEARNING HOLDING'!O54+'SMART AI LIMITED'!O54+'HK01'!O54-(-SUMIFS(合并抵消!$J:$J,合并抵消!$E:$E,$E54,合并抵消!$A:$A,O$2)+SUMIFS(合并抵消!$K:$K,合并抵消!$E:$E,$E54,合并抵消!$A:$A,O$2))</f>
        <v/>
      </c>
      <c r="P54" s="89">
        <f>浙江精准学!P54+知识跳跳!P54+海南精准学!P54+实时查!P54+目标准!P54+'SMART LEARNING HOLDING'!P54+'SMART AI LIMITED'!P54+'HK01'!P54-(-SUMIFS(合并抵消!$J:$J,合并抵消!$E:$E,$E54,合并抵消!$A:$A,P$2)+SUMIFS(合并抵消!$K:$K,合并抵消!$E:$E,$E54,合并抵消!$A:$A,P$2))</f>
        <v/>
      </c>
      <c r="Q54" s="89">
        <f>浙江精准学!Q54+知识跳跳!Q54+海南精准学!Q54+实时查!Q54+目标准!Q54+'SMART LEARNING HOLDING'!Q54+'SMART AI LIMITED'!Q54+'HK01'!Q54-(-SUMIFS(合并抵消!$J:$J,合并抵消!$E:$E,$E54,合并抵消!$A:$A,Q$2)+SUMIFS(合并抵消!$K:$K,合并抵消!$E:$E,$E54,合并抵消!$A:$A,Q$2))</f>
        <v/>
      </c>
      <c r="R54" s="89">
        <f>SUM(F54:Q54)</f>
        <v/>
      </c>
    </row>
    <row r="55" s="83">
      <c r="A55" s="5" t="inlineStr">
        <is>
          <t>制造费用</t>
        </is>
      </c>
      <c r="B55" s="62" t="inlineStr">
        <is>
          <t>制造费用</t>
        </is>
      </c>
      <c r="D55" s="5" t="inlineStr">
        <is>
          <t>低值易耗品采购</t>
        </is>
      </c>
      <c r="E55" s="6" t="inlineStr">
        <is>
          <t>Q3205</t>
        </is>
      </c>
      <c r="F55" s="89">
        <f>浙江精准学!F55+知识跳跳!F55+海南精准学!F55+实时查!F55+目标准!F55+'SMART LEARNING HOLDING'!F55+'SMART AI LIMITED'!F55+'HK01'!F55-(-SUMIFS(合并抵消!$J:$J,合并抵消!$E:$E,$E55,合并抵消!$A:$A,F$2)+SUMIFS(合并抵消!$K:$K,合并抵消!$E:$E,$E55,合并抵消!$A:$A,F$2))</f>
        <v/>
      </c>
      <c r="G55" s="89">
        <f>浙江精准学!G55+知识跳跳!G55+海南精准学!G55+实时查!G55+目标准!G55+'SMART LEARNING HOLDING'!G55+'SMART AI LIMITED'!G55+'HK01'!G55-(-SUMIFS(合并抵消!$J:$J,合并抵消!$E:$E,$E55,合并抵消!$A:$A,G$2)+SUMIFS(合并抵消!$K:$K,合并抵消!$E:$E,$E55,合并抵消!$A:$A,G$2))</f>
        <v/>
      </c>
      <c r="H55" s="89">
        <f>浙江精准学!H55+知识跳跳!H55+海南精准学!H55+实时查!H55+目标准!H55+'SMART LEARNING HOLDING'!H55+'SMART AI LIMITED'!H55+'HK01'!H55-(-SUMIFS(合并抵消!$J:$J,合并抵消!$E:$E,$E55,合并抵消!$A:$A,H$2)+SUMIFS(合并抵消!$K:$K,合并抵消!$E:$E,$E55,合并抵消!$A:$A,H$2))</f>
        <v/>
      </c>
      <c r="I55" s="89">
        <f>浙江精准学!I55+知识跳跳!I55+海南精准学!I55+实时查!I55+目标准!I55+'SMART LEARNING HOLDING'!I55+'SMART AI LIMITED'!I55+'HK01'!I55-(-SUMIFS(合并抵消!$J:$J,合并抵消!$E:$E,$E55,合并抵消!$A:$A,I$2)+SUMIFS(合并抵消!$K:$K,合并抵消!$E:$E,$E55,合并抵消!$A:$A,I$2))</f>
        <v/>
      </c>
      <c r="J55" s="89">
        <f>浙江精准学!J55+知识跳跳!J55+海南精准学!J55+实时查!J55+目标准!J55+'SMART LEARNING HOLDING'!J55+'SMART AI LIMITED'!J55+'HK01'!J55-(-SUMIFS(合并抵消!$J:$J,合并抵消!$E:$E,$E55,合并抵消!$A:$A,J$2)+SUMIFS(合并抵消!$K:$K,合并抵消!$E:$E,$E55,合并抵消!$A:$A,J$2))</f>
        <v/>
      </c>
      <c r="K55" s="89">
        <f>浙江精准学!K55+知识跳跳!K55+海南精准学!K55+实时查!K55+目标准!K55+'SMART LEARNING HOLDING'!K55+'SMART AI LIMITED'!K55+'HK01'!K55-(-SUMIFS(合并抵消!$J:$J,合并抵消!$E:$E,$E55,合并抵消!$A:$A,K$2)+SUMIFS(合并抵消!$K:$K,合并抵消!$E:$E,$E55,合并抵消!$A:$A,K$2))</f>
        <v/>
      </c>
      <c r="L55" s="89">
        <f>浙江精准学!L55+知识跳跳!L55+海南精准学!L55+实时查!L55+目标准!L55+'SMART LEARNING HOLDING'!L55+'SMART AI LIMITED'!L55+'HK01'!L55-(-SUMIFS(合并抵消!$J:$J,合并抵消!$E:$E,$E55,合并抵消!$A:$A,L$2)+SUMIFS(合并抵消!$K:$K,合并抵消!$E:$E,$E55,合并抵消!$A:$A,L$2))</f>
        <v/>
      </c>
      <c r="M55" s="89">
        <f>浙江精准学!M55+知识跳跳!M55+海南精准学!M55+实时查!M55+目标准!M55+'SMART LEARNING HOLDING'!M55+'SMART AI LIMITED'!M55+'HK01'!M55-(-SUMIFS(合并抵消!$J:$J,合并抵消!$E:$E,$E55,合并抵消!$A:$A,M$2)+SUMIFS(合并抵消!$K:$K,合并抵消!$E:$E,$E55,合并抵消!$A:$A,M$2))</f>
        <v/>
      </c>
      <c r="N55" s="89">
        <f>浙江精准学!N55+知识跳跳!N55+海南精准学!N55+实时查!N55+目标准!N55+'SMART LEARNING HOLDING'!N55+'SMART AI LIMITED'!N55+'HK01'!N55-(-SUMIFS(合并抵消!$J:$J,合并抵消!$E:$E,$E55,合并抵消!$A:$A,N$2)+SUMIFS(合并抵消!$K:$K,合并抵消!$E:$E,$E55,合并抵消!$A:$A,N$2))</f>
        <v/>
      </c>
      <c r="O55" s="89">
        <f>浙江精准学!O55+知识跳跳!O55+海南精准学!O55+实时查!O55+目标准!O55+'SMART LEARNING HOLDING'!O55+'SMART AI LIMITED'!O55+'HK01'!O55-(-SUMIFS(合并抵消!$J:$J,合并抵消!$E:$E,$E55,合并抵消!$A:$A,O$2)+SUMIFS(合并抵消!$K:$K,合并抵消!$E:$E,$E55,合并抵消!$A:$A,O$2))</f>
        <v/>
      </c>
      <c r="P55" s="89">
        <f>浙江精准学!P55+知识跳跳!P55+海南精准学!P55+实时查!P55+目标准!P55+'SMART LEARNING HOLDING'!P55+'SMART AI LIMITED'!P55+'HK01'!P55-(-SUMIFS(合并抵消!$J:$J,合并抵消!$E:$E,$E55,合并抵消!$A:$A,P$2)+SUMIFS(合并抵消!$K:$K,合并抵消!$E:$E,$E55,合并抵消!$A:$A,P$2))</f>
        <v/>
      </c>
      <c r="Q55" s="89">
        <f>浙江精准学!Q55+知识跳跳!Q55+海南精准学!Q55+实时查!Q55+目标准!Q55+'SMART LEARNING HOLDING'!Q55+'SMART AI LIMITED'!Q55+'HK01'!Q55-(-SUMIFS(合并抵消!$J:$J,合并抵消!$E:$E,$E55,合并抵消!$A:$A,Q$2)+SUMIFS(合并抵消!$K:$K,合并抵消!$E:$E,$E55,合并抵消!$A:$A,Q$2))</f>
        <v/>
      </c>
      <c r="R55" s="89">
        <f>SUM(F55:Q55)</f>
        <v/>
      </c>
    </row>
    <row r="56" s="83">
      <c r="A56" s="5" t="inlineStr">
        <is>
          <t>制造费用</t>
        </is>
      </c>
      <c r="B56" s="62" t="inlineStr">
        <is>
          <t>制造费用</t>
        </is>
      </c>
      <c r="D56" s="5" t="inlineStr">
        <is>
          <t>生产成本-员工报销</t>
        </is>
      </c>
      <c r="E56" s="6" t="inlineStr">
        <is>
          <t>Q3206</t>
        </is>
      </c>
      <c r="F56" s="89">
        <f>浙江精准学!F56+知识跳跳!F56+海南精准学!F56+实时查!F56+目标准!F56+'SMART LEARNING HOLDING'!F56+'SMART AI LIMITED'!F56+'HK01'!F56-(-SUMIFS(合并抵消!$J:$J,合并抵消!$E:$E,$E56,合并抵消!$A:$A,F$2)+SUMIFS(合并抵消!$K:$K,合并抵消!$E:$E,$E56,合并抵消!$A:$A,F$2))</f>
        <v/>
      </c>
      <c r="G56" s="89">
        <f>浙江精准学!G56+知识跳跳!G56+海南精准学!G56+实时查!G56+目标准!G56+'SMART LEARNING HOLDING'!G56+'SMART AI LIMITED'!G56+'HK01'!G56-(-SUMIFS(合并抵消!$J:$J,合并抵消!$E:$E,$E56,合并抵消!$A:$A,G$2)+SUMIFS(合并抵消!$K:$K,合并抵消!$E:$E,$E56,合并抵消!$A:$A,G$2))</f>
        <v/>
      </c>
      <c r="H56" s="89">
        <f>浙江精准学!H56+知识跳跳!H56+海南精准学!H56+实时查!H56+目标准!H56+'SMART LEARNING HOLDING'!H56+'SMART AI LIMITED'!H56+'HK01'!H56-(-SUMIFS(合并抵消!$J:$J,合并抵消!$E:$E,$E56,合并抵消!$A:$A,H$2)+SUMIFS(合并抵消!$K:$K,合并抵消!$E:$E,$E56,合并抵消!$A:$A,H$2))</f>
        <v/>
      </c>
      <c r="I56" s="89">
        <f>浙江精准学!I56+知识跳跳!I56+海南精准学!I56+实时查!I56+目标准!I56+'SMART LEARNING HOLDING'!I56+'SMART AI LIMITED'!I56+'HK01'!I56-(-SUMIFS(合并抵消!$J:$J,合并抵消!$E:$E,$E56,合并抵消!$A:$A,I$2)+SUMIFS(合并抵消!$K:$K,合并抵消!$E:$E,$E56,合并抵消!$A:$A,I$2))</f>
        <v/>
      </c>
      <c r="J56" s="89">
        <f>浙江精准学!J56+知识跳跳!J56+海南精准学!J56+实时查!J56+目标准!J56+'SMART LEARNING HOLDING'!J56+'SMART AI LIMITED'!J56+'HK01'!J56-(-SUMIFS(合并抵消!$J:$J,合并抵消!$E:$E,$E56,合并抵消!$A:$A,J$2)+SUMIFS(合并抵消!$K:$K,合并抵消!$E:$E,$E56,合并抵消!$A:$A,J$2))</f>
        <v/>
      </c>
      <c r="K56" s="89">
        <f>浙江精准学!K56+知识跳跳!K56+海南精准学!K56+实时查!K56+目标准!K56+'SMART LEARNING HOLDING'!K56+'SMART AI LIMITED'!K56+'HK01'!K56-(-SUMIFS(合并抵消!$J:$J,合并抵消!$E:$E,$E56,合并抵消!$A:$A,K$2)+SUMIFS(合并抵消!$K:$K,合并抵消!$E:$E,$E56,合并抵消!$A:$A,K$2))</f>
        <v/>
      </c>
      <c r="L56" s="89">
        <f>浙江精准学!L56+知识跳跳!L56+海南精准学!L56+实时查!L56+目标准!L56+'SMART LEARNING HOLDING'!L56+'SMART AI LIMITED'!L56+'HK01'!L56-(-SUMIFS(合并抵消!$J:$J,合并抵消!$E:$E,$E56,合并抵消!$A:$A,L$2)+SUMIFS(合并抵消!$K:$K,合并抵消!$E:$E,$E56,合并抵消!$A:$A,L$2))</f>
        <v/>
      </c>
      <c r="M56" s="89">
        <f>浙江精准学!M56+知识跳跳!M56+海南精准学!M56+实时查!M56+目标准!M56+'SMART LEARNING HOLDING'!M56+'SMART AI LIMITED'!M56+'HK01'!M56-(-SUMIFS(合并抵消!$J:$J,合并抵消!$E:$E,$E56,合并抵消!$A:$A,M$2)+SUMIFS(合并抵消!$K:$K,合并抵消!$E:$E,$E56,合并抵消!$A:$A,M$2))</f>
        <v/>
      </c>
      <c r="N56" s="89">
        <f>浙江精准学!N56+知识跳跳!N56+海南精准学!N56+实时查!N56+目标准!N56+'SMART LEARNING HOLDING'!N56+'SMART AI LIMITED'!N56+'HK01'!N56-(-SUMIFS(合并抵消!$J:$J,合并抵消!$E:$E,$E56,合并抵消!$A:$A,N$2)+SUMIFS(合并抵消!$K:$K,合并抵消!$E:$E,$E56,合并抵消!$A:$A,N$2))</f>
        <v/>
      </c>
      <c r="O56" s="89">
        <f>浙江精准学!O56+知识跳跳!O56+海南精准学!O56+实时查!O56+目标准!O56+'SMART LEARNING HOLDING'!O56+'SMART AI LIMITED'!O56+'HK01'!O56-(-SUMIFS(合并抵消!$J:$J,合并抵消!$E:$E,$E56,合并抵消!$A:$A,O$2)+SUMIFS(合并抵消!$K:$K,合并抵消!$E:$E,$E56,合并抵消!$A:$A,O$2))</f>
        <v/>
      </c>
      <c r="P56" s="89">
        <f>浙江精准学!P56+知识跳跳!P56+海南精准学!P56+实时查!P56+目标准!P56+'SMART LEARNING HOLDING'!P56+'SMART AI LIMITED'!P56+'HK01'!P56-(-SUMIFS(合并抵消!$J:$J,合并抵消!$E:$E,$E56,合并抵消!$A:$A,P$2)+SUMIFS(合并抵消!$K:$K,合并抵消!$E:$E,$E56,合并抵消!$A:$A,P$2))</f>
        <v/>
      </c>
      <c r="Q56" s="89">
        <f>浙江精准学!Q56+知识跳跳!Q56+海南精准学!Q56+实时查!Q56+目标准!Q56+'SMART LEARNING HOLDING'!Q56+'SMART AI LIMITED'!Q56+'HK01'!Q56-(-SUMIFS(合并抵消!$J:$J,合并抵消!$E:$E,$E56,合并抵消!$A:$A,Q$2)+SUMIFS(合并抵消!$K:$K,合并抵消!$E:$E,$E56,合并抵消!$A:$A,Q$2))</f>
        <v/>
      </c>
      <c r="R56" s="89">
        <f>SUM(F56:Q56)</f>
        <v/>
      </c>
    </row>
    <row r="57" s="83">
      <c r="A57" s="5" t="inlineStr">
        <is>
          <t>制造费用</t>
        </is>
      </c>
      <c r="B57" s="62" t="inlineStr">
        <is>
          <t>制造费用</t>
        </is>
      </c>
      <c r="D57" s="5" t="inlineStr">
        <is>
          <t>包机膜</t>
        </is>
      </c>
      <c r="E57" s="6" t="inlineStr">
        <is>
          <t>Q3207</t>
        </is>
      </c>
      <c r="F57" s="89">
        <f>浙江精准学!F57+知识跳跳!F57+海南精准学!F57+实时查!F57+目标准!F57+'SMART LEARNING HOLDING'!F57+'SMART AI LIMITED'!F57+'HK01'!F57-(-SUMIFS(合并抵消!$J:$J,合并抵消!$E:$E,$E57,合并抵消!$A:$A,F$2)+SUMIFS(合并抵消!$K:$K,合并抵消!$E:$E,$E57,合并抵消!$A:$A,F$2))</f>
        <v/>
      </c>
      <c r="G57" s="89">
        <f>浙江精准学!G57+知识跳跳!G57+海南精准学!G57+实时查!G57+目标准!G57+'SMART LEARNING HOLDING'!G57+'SMART AI LIMITED'!G57+'HK01'!G57-(-SUMIFS(合并抵消!$J:$J,合并抵消!$E:$E,$E57,合并抵消!$A:$A,G$2)+SUMIFS(合并抵消!$K:$K,合并抵消!$E:$E,$E57,合并抵消!$A:$A,G$2))</f>
        <v/>
      </c>
      <c r="H57" s="89">
        <f>浙江精准学!H57+知识跳跳!H57+海南精准学!H57+实时查!H57+目标准!H57+'SMART LEARNING HOLDING'!H57+'SMART AI LIMITED'!H57+'HK01'!H57-(-SUMIFS(合并抵消!$J:$J,合并抵消!$E:$E,$E57,合并抵消!$A:$A,H$2)+SUMIFS(合并抵消!$K:$K,合并抵消!$E:$E,$E57,合并抵消!$A:$A,H$2))</f>
        <v/>
      </c>
      <c r="I57" s="89">
        <f>浙江精准学!I57+知识跳跳!I57+海南精准学!I57+实时查!I57+目标准!I57+'SMART LEARNING HOLDING'!I57+'SMART AI LIMITED'!I57+'HK01'!I57-(-SUMIFS(合并抵消!$J:$J,合并抵消!$E:$E,$E57,合并抵消!$A:$A,I$2)+SUMIFS(合并抵消!$K:$K,合并抵消!$E:$E,$E57,合并抵消!$A:$A,I$2))</f>
        <v/>
      </c>
      <c r="J57" s="89">
        <f>浙江精准学!J57+知识跳跳!J57+海南精准学!J57+实时查!J57+目标准!J57+'SMART LEARNING HOLDING'!J57+'SMART AI LIMITED'!J57+'HK01'!J57-(-SUMIFS(合并抵消!$J:$J,合并抵消!$E:$E,$E57,合并抵消!$A:$A,J$2)+SUMIFS(合并抵消!$K:$K,合并抵消!$E:$E,$E57,合并抵消!$A:$A,J$2))</f>
        <v/>
      </c>
      <c r="K57" s="89">
        <f>浙江精准学!K57+知识跳跳!K57+海南精准学!K57+实时查!K57+目标准!K57+'SMART LEARNING HOLDING'!K57+'SMART AI LIMITED'!K57+'HK01'!K57-(-SUMIFS(合并抵消!$J:$J,合并抵消!$E:$E,$E57,合并抵消!$A:$A,K$2)+SUMIFS(合并抵消!$K:$K,合并抵消!$E:$E,$E57,合并抵消!$A:$A,K$2))</f>
        <v/>
      </c>
      <c r="L57" s="89">
        <f>浙江精准学!L57+知识跳跳!L57+海南精准学!L57+实时查!L57+目标准!L57+'SMART LEARNING HOLDING'!L57+'SMART AI LIMITED'!L57+'HK01'!L57-(-SUMIFS(合并抵消!$J:$J,合并抵消!$E:$E,$E57,合并抵消!$A:$A,L$2)+SUMIFS(合并抵消!$K:$K,合并抵消!$E:$E,$E57,合并抵消!$A:$A,L$2))</f>
        <v/>
      </c>
      <c r="M57" s="89">
        <f>浙江精准学!M57+知识跳跳!M57+海南精准学!M57+实时查!M57+目标准!M57+'SMART LEARNING HOLDING'!M57+'SMART AI LIMITED'!M57+'HK01'!M57-(-SUMIFS(合并抵消!$J:$J,合并抵消!$E:$E,$E57,合并抵消!$A:$A,M$2)+SUMIFS(合并抵消!$K:$K,合并抵消!$E:$E,$E57,合并抵消!$A:$A,M$2))</f>
        <v/>
      </c>
      <c r="N57" s="89">
        <f>浙江精准学!N57+知识跳跳!N57+海南精准学!N57+实时查!N57+目标准!N57+'SMART LEARNING HOLDING'!N57+'SMART AI LIMITED'!N57+'HK01'!N57-(-SUMIFS(合并抵消!$J:$J,合并抵消!$E:$E,$E57,合并抵消!$A:$A,N$2)+SUMIFS(合并抵消!$K:$K,合并抵消!$E:$E,$E57,合并抵消!$A:$A,N$2))</f>
        <v/>
      </c>
      <c r="O57" s="89">
        <f>浙江精准学!O57+知识跳跳!O57+海南精准学!O57+实时查!O57+目标准!O57+'SMART LEARNING HOLDING'!O57+'SMART AI LIMITED'!O57+'HK01'!O57-(-SUMIFS(合并抵消!$J:$J,合并抵消!$E:$E,$E57,合并抵消!$A:$A,O$2)+SUMIFS(合并抵消!$K:$K,合并抵消!$E:$E,$E57,合并抵消!$A:$A,O$2))</f>
        <v/>
      </c>
      <c r="P57" s="89">
        <f>浙江精准学!P57+知识跳跳!P57+海南精准学!P57+实时查!P57+目标准!P57+'SMART LEARNING HOLDING'!P57+'SMART AI LIMITED'!P57+'HK01'!P57-(-SUMIFS(合并抵消!$J:$J,合并抵消!$E:$E,$E57,合并抵消!$A:$A,P$2)+SUMIFS(合并抵消!$K:$K,合并抵消!$E:$E,$E57,合并抵消!$A:$A,P$2))</f>
        <v/>
      </c>
      <c r="Q57" s="89">
        <f>浙江精准学!Q57+知识跳跳!Q57+海南精准学!Q57+实时查!Q57+目标准!Q57+'SMART LEARNING HOLDING'!Q57+'SMART AI LIMITED'!Q57+'HK01'!Q57-(-SUMIFS(合并抵消!$J:$J,合并抵消!$E:$E,$E57,合并抵消!$A:$A,Q$2)+SUMIFS(合并抵消!$K:$K,合并抵消!$E:$E,$E57,合并抵消!$A:$A,Q$2))</f>
        <v/>
      </c>
      <c r="R57" s="89">
        <f>SUM(F57:Q57)</f>
        <v/>
      </c>
    </row>
    <row r="58" s="83">
      <c r="A58" s="5" t="inlineStr">
        <is>
          <t>制造费用</t>
        </is>
      </c>
      <c r="B58" s="62" t="inlineStr">
        <is>
          <t>制造费用</t>
        </is>
      </c>
      <c r="D58" s="5" t="inlineStr">
        <is>
          <t>贴纸/说明书</t>
        </is>
      </c>
      <c r="E58" s="6" t="inlineStr">
        <is>
          <t>Q3208</t>
        </is>
      </c>
      <c r="F58" s="89">
        <f>浙江精准学!F58+知识跳跳!F58+海南精准学!F58+实时查!F58+目标准!F58+'SMART LEARNING HOLDING'!F58+'SMART AI LIMITED'!F58+'HK01'!F58-(-SUMIFS(合并抵消!$J:$J,合并抵消!$E:$E,$E58,合并抵消!$A:$A,F$2)+SUMIFS(合并抵消!$K:$K,合并抵消!$E:$E,$E58,合并抵消!$A:$A,F$2))</f>
        <v/>
      </c>
      <c r="G58" s="89">
        <f>浙江精准学!G58+知识跳跳!G58+海南精准学!G58+实时查!G58+目标准!G58+'SMART LEARNING HOLDING'!G58+'SMART AI LIMITED'!G58+'HK01'!G58-(-SUMIFS(合并抵消!$J:$J,合并抵消!$E:$E,$E58,合并抵消!$A:$A,G$2)+SUMIFS(合并抵消!$K:$K,合并抵消!$E:$E,$E58,合并抵消!$A:$A,G$2))</f>
        <v/>
      </c>
      <c r="H58" s="89">
        <f>浙江精准学!H58+知识跳跳!H58+海南精准学!H58+实时查!H58+目标准!H58+'SMART LEARNING HOLDING'!H58+'SMART AI LIMITED'!H58+'HK01'!H58-(-SUMIFS(合并抵消!$J:$J,合并抵消!$E:$E,$E58,合并抵消!$A:$A,H$2)+SUMIFS(合并抵消!$K:$K,合并抵消!$E:$E,$E58,合并抵消!$A:$A,H$2))</f>
        <v/>
      </c>
      <c r="I58" s="89">
        <f>浙江精准学!I58+知识跳跳!I58+海南精准学!I58+实时查!I58+目标准!I58+'SMART LEARNING HOLDING'!I58+'SMART AI LIMITED'!I58+'HK01'!I58-(-SUMIFS(合并抵消!$J:$J,合并抵消!$E:$E,$E58,合并抵消!$A:$A,I$2)+SUMIFS(合并抵消!$K:$K,合并抵消!$E:$E,$E58,合并抵消!$A:$A,I$2))</f>
        <v/>
      </c>
      <c r="J58" s="89">
        <f>浙江精准学!J58+知识跳跳!J58+海南精准学!J58+实时查!J58+目标准!J58+'SMART LEARNING HOLDING'!J58+'SMART AI LIMITED'!J58+'HK01'!J58-(-SUMIFS(合并抵消!$J:$J,合并抵消!$E:$E,$E58,合并抵消!$A:$A,J$2)+SUMIFS(合并抵消!$K:$K,合并抵消!$E:$E,$E58,合并抵消!$A:$A,J$2))</f>
        <v/>
      </c>
      <c r="K58" s="89">
        <f>浙江精准学!K58+知识跳跳!K58+海南精准学!K58+实时查!K58+目标准!K58+'SMART LEARNING HOLDING'!K58+'SMART AI LIMITED'!K58+'HK01'!K58-(-SUMIFS(合并抵消!$J:$J,合并抵消!$E:$E,$E58,合并抵消!$A:$A,K$2)+SUMIFS(合并抵消!$K:$K,合并抵消!$E:$E,$E58,合并抵消!$A:$A,K$2))</f>
        <v/>
      </c>
      <c r="L58" s="89">
        <f>浙江精准学!L58+知识跳跳!L58+海南精准学!L58+实时查!L58+目标准!L58+'SMART LEARNING HOLDING'!L58+'SMART AI LIMITED'!L58+'HK01'!L58-(-SUMIFS(合并抵消!$J:$J,合并抵消!$E:$E,$E58,合并抵消!$A:$A,L$2)+SUMIFS(合并抵消!$K:$K,合并抵消!$E:$E,$E58,合并抵消!$A:$A,L$2))</f>
        <v/>
      </c>
      <c r="M58" s="89">
        <f>浙江精准学!M58+知识跳跳!M58+海南精准学!M58+实时查!M58+目标准!M58+'SMART LEARNING HOLDING'!M58+'SMART AI LIMITED'!M58+'HK01'!M58-(-SUMIFS(合并抵消!$J:$J,合并抵消!$E:$E,$E58,合并抵消!$A:$A,M$2)+SUMIFS(合并抵消!$K:$K,合并抵消!$E:$E,$E58,合并抵消!$A:$A,M$2))</f>
        <v/>
      </c>
      <c r="N58" s="89">
        <f>浙江精准学!N58+知识跳跳!N58+海南精准学!N58+实时查!N58+目标准!N58+'SMART LEARNING HOLDING'!N58+'SMART AI LIMITED'!N58+'HK01'!N58-(-SUMIFS(合并抵消!$J:$J,合并抵消!$E:$E,$E58,合并抵消!$A:$A,N$2)+SUMIFS(合并抵消!$K:$K,合并抵消!$E:$E,$E58,合并抵消!$A:$A,N$2))</f>
        <v/>
      </c>
      <c r="O58" s="89">
        <f>浙江精准学!O58+知识跳跳!O58+海南精准学!O58+实时查!O58+目标准!O58+'SMART LEARNING HOLDING'!O58+'SMART AI LIMITED'!O58+'HK01'!O58-(-SUMIFS(合并抵消!$J:$J,合并抵消!$E:$E,$E58,合并抵消!$A:$A,O$2)+SUMIFS(合并抵消!$K:$K,合并抵消!$E:$E,$E58,合并抵消!$A:$A,O$2))</f>
        <v/>
      </c>
      <c r="P58" s="89">
        <f>浙江精准学!P58+知识跳跳!P58+海南精准学!P58+实时查!P58+目标准!P58+'SMART LEARNING HOLDING'!P58+'SMART AI LIMITED'!P58+'HK01'!P58-(-SUMIFS(合并抵消!$J:$J,合并抵消!$E:$E,$E58,合并抵消!$A:$A,P$2)+SUMIFS(合并抵消!$K:$K,合并抵消!$E:$E,$E58,合并抵消!$A:$A,P$2))</f>
        <v/>
      </c>
      <c r="Q58" s="89">
        <f>浙江精准学!Q58+知识跳跳!Q58+海南精准学!Q58+实时查!Q58+目标准!Q58+'SMART LEARNING HOLDING'!Q58+'SMART AI LIMITED'!Q58+'HK01'!Q58-(-SUMIFS(合并抵消!$J:$J,合并抵消!$E:$E,$E58,合并抵消!$A:$A,Q$2)+SUMIFS(合并抵消!$K:$K,合并抵消!$E:$E,$E58,合并抵消!$A:$A,Q$2))</f>
        <v/>
      </c>
      <c r="R58" s="89">
        <f>SUM(F58:Q58)</f>
        <v/>
      </c>
    </row>
    <row r="59" s="83">
      <c r="A59" s="5" t="inlineStr">
        <is>
          <t>制造费用</t>
        </is>
      </c>
      <c r="B59" s="62" t="inlineStr">
        <is>
          <t>制造费用</t>
        </is>
      </c>
      <c r="D59" s="5" t="inlineStr">
        <is>
          <t>笔尖</t>
        </is>
      </c>
      <c r="E59" s="6" t="inlineStr">
        <is>
          <t>Q3209</t>
        </is>
      </c>
      <c r="F59" s="89">
        <f>浙江精准学!F59+知识跳跳!F59+海南精准学!F59+实时查!F59+目标准!F59+'SMART LEARNING HOLDING'!F59+'SMART AI LIMITED'!F59+'HK01'!F59-(-SUMIFS(合并抵消!$J:$J,合并抵消!$E:$E,$E59,合并抵消!$A:$A,F$2)+SUMIFS(合并抵消!$K:$K,合并抵消!$E:$E,$E59,合并抵消!$A:$A,F$2))</f>
        <v/>
      </c>
      <c r="G59" s="89">
        <f>浙江精准学!G59+知识跳跳!G59+海南精准学!G59+实时查!G59+目标准!G59+'SMART LEARNING HOLDING'!G59+'SMART AI LIMITED'!G59+'HK01'!G59-(-SUMIFS(合并抵消!$J:$J,合并抵消!$E:$E,$E59,合并抵消!$A:$A,G$2)+SUMIFS(合并抵消!$K:$K,合并抵消!$E:$E,$E59,合并抵消!$A:$A,G$2))</f>
        <v/>
      </c>
      <c r="H59" s="89">
        <f>浙江精准学!H59+知识跳跳!H59+海南精准学!H59+实时查!H59+目标准!H59+'SMART LEARNING HOLDING'!H59+'SMART AI LIMITED'!H59+'HK01'!H59-(-SUMIFS(合并抵消!$J:$J,合并抵消!$E:$E,$E59,合并抵消!$A:$A,H$2)+SUMIFS(合并抵消!$K:$K,合并抵消!$E:$E,$E59,合并抵消!$A:$A,H$2))</f>
        <v/>
      </c>
      <c r="I59" s="89">
        <f>浙江精准学!I59+知识跳跳!I59+海南精准学!I59+实时查!I59+目标准!I59+'SMART LEARNING HOLDING'!I59+'SMART AI LIMITED'!I59+'HK01'!I59-(-SUMIFS(合并抵消!$J:$J,合并抵消!$E:$E,$E59,合并抵消!$A:$A,I$2)+SUMIFS(合并抵消!$K:$K,合并抵消!$E:$E,$E59,合并抵消!$A:$A,I$2))</f>
        <v/>
      </c>
      <c r="J59" s="89">
        <f>浙江精准学!J59+知识跳跳!J59+海南精准学!J59+实时查!J59+目标准!J59+'SMART LEARNING HOLDING'!J59+'SMART AI LIMITED'!J59+'HK01'!J59-(-SUMIFS(合并抵消!$J:$J,合并抵消!$E:$E,$E59,合并抵消!$A:$A,J$2)+SUMIFS(合并抵消!$K:$K,合并抵消!$E:$E,$E59,合并抵消!$A:$A,J$2))</f>
        <v/>
      </c>
      <c r="K59" s="89">
        <f>浙江精准学!K59+知识跳跳!K59+海南精准学!K59+实时查!K59+目标准!K59+'SMART LEARNING HOLDING'!K59+'SMART AI LIMITED'!K59+'HK01'!K59-(-SUMIFS(合并抵消!$J:$J,合并抵消!$E:$E,$E59,合并抵消!$A:$A,K$2)+SUMIFS(合并抵消!$K:$K,合并抵消!$E:$E,$E59,合并抵消!$A:$A,K$2))</f>
        <v/>
      </c>
      <c r="L59" s="89">
        <f>浙江精准学!L59+知识跳跳!L59+海南精准学!L59+实时查!L59+目标准!L59+'SMART LEARNING HOLDING'!L59+'SMART AI LIMITED'!L59+'HK01'!L59-(-SUMIFS(合并抵消!$J:$J,合并抵消!$E:$E,$E59,合并抵消!$A:$A,L$2)+SUMIFS(合并抵消!$K:$K,合并抵消!$E:$E,$E59,合并抵消!$A:$A,L$2))</f>
        <v/>
      </c>
      <c r="M59" s="89">
        <f>浙江精准学!M59+知识跳跳!M59+海南精准学!M59+实时查!M59+目标准!M59+'SMART LEARNING HOLDING'!M59+'SMART AI LIMITED'!M59+'HK01'!M59-(-SUMIFS(合并抵消!$J:$J,合并抵消!$E:$E,$E59,合并抵消!$A:$A,M$2)+SUMIFS(合并抵消!$K:$K,合并抵消!$E:$E,$E59,合并抵消!$A:$A,M$2))</f>
        <v/>
      </c>
      <c r="N59" s="89">
        <f>浙江精准学!N59+知识跳跳!N59+海南精准学!N59+实时查!N59+目标准!N59+'SMART LEARNING HOLDING'!N59+'SMART AI LIMITED'!N59+'HK01'!N59-(-SUMIFS(合并抵消!$J:$J,合并抵消!$E:$E,$E59,合并抵消!$A:$A,N$2)+SUMIFS(合并抵消!$K:$K,合并抵消!$E:$E,$E59,合并抵消!$A:$A,N$2))</f>
        <v/>
      </c>
      <c r="O59" s="89">
        <f>浙江精准学!O59+知识跳跳!O59+海南精准学!O59+实时查!O59+目标准!O59+'SMART LEARNING HOLDING'!O59+'SMART AI LIMITED'!O59+'HK01'!O59-(-SUMIFS(合并抵消!$J:$J,合并抵消!$E:$E,$E59,合并抵消!$A:$A,O$2)+SUMIFS(合并抵消!$K:$K,合并抵消!$E:$E,$E59,合并抵消!$A:$A,O$2))</f>
        <v/>
      </c>
      <c r="P59" s="89">
        <f>浙江精准学!P59+知识跳跳!P59+海南精准学!P59+实时查!P59+目标准!P59+'SMART LEARNING HOLDING'!P59+'SMART AI LIMITED'!P59+'HK01'!P59-(-SUMIFS(合并抵消!$J:$J,合并抵消!$E:$E,$E59,合并抵消!$A:$A,P$2)+SUMIFS(合并抵消!$K:$K,合并抵消!$E:$E,$E59,合并抵消!$A:$A,P$2))</f>
        <v/>
      </c>
      <c r="Q59" s="89">
        <f>浙江精准学!Q59+知识跳跳!Q59+海南精准学!Q59+实时查!Q59+目标准!Q59+'SMART LEARNING HOLDING'!Q59+'SMART AI LIMITED'!Q59+'HK01'!Q59-(-SUMIFS(合并抵消!$J:$J,合并抵消!$E:$E,$E59,合并抵消!$A:$A,Q$2)+SUMIFS(合并抵消!$K:$K,合并抵消!$E:$E,$E59,合并抵消!$A:$A,Q$2))</f>
        <v/>
      </c>
      <c r="R59" s="89">
        <f>SUM(F59:Q59)</f>
        <v/>
      </c>
    </row>
    <row r="60" s="83">
      <c r="A60" s="5" t="inlineStr">
        <is>
          <t>制造费用</t>
        </is>
      </c>
      <c r="B60" s="62" t="inlineStr">
        <is>
          <t>制造费用</t>
        </is>
      </c>
      <c r="D60" s="5" t="inlineStr">
        <is>
          <t>华泰租金</t>
        </is>
      </c>
      <c r="E60" s="6" t="inlineStr">
        <is>
          <t>Q3210</t>
        </is>
      </c>
      <c r="F60" s="89">
        <f>浙江精准学!F60+知识跳跳!F60+海南精准学!F60+实时查!F60+目标准!F60+'SMART LEARNING HOLDING'!F60+'SMART AI LIMITED'!F60+'HK01'!F60-(-SUMIFS(合并抵消!$J:$J,合并抵消!$E:$E,$E60,合并抵消!$A:$A,F$2)+SUMIFS(合并抵消!$K:$K,合并抵消!$E:$E,$E60,合并抵消!$A:$A,F$2))</f>
        <v/>
      </c>
      <c r="G60" s="89">
        <f>浙江精准学!G60+知识跳跳!G60+海南精准学!G60+实时查!G60+目标准!G60+'SMART LEARNING HOLDING'!G60+'SMART AI LIMITED'!G60+'HK01'!G60-(-SUMIFS(合并抵消!$J:$J,合并抵消!$E:$E,$E60,合并抵消!$A:$A,G$2)+SUMIFS(合并抵消!$K:$K,合并抵消!$E:$E,$E60,合并抵消!$A:$A,G$2))</f>
        <v/>
      </c>
      <c r="H60" s="89">
        <f>浙江精准学!H60+知识跳跳!H60+海南精准学!H60+实时查!H60+目标准!H60+'SMART LEARNING HOLDING'!H60+'SMART AI LIMITED'!H60+'HK01'!H60-(-SUMIFS(合并抵消!$J:$J,合并抵消!$E:$E,$E60,合并抵消!$A:$A,H$2)+SUMIFS(合并抵消!$K:$K,合并抵消!$E:$E,$E60,合并抵消!$A:$A,H$2))</f>
        <v/>
      </c>
      <c r="I60" s="89">
        <f>浙江精准学!I60+知识跳跳!I60+海南精准学!I60+实时查!I60+目标准!I60+'SMART LEARNING HOLDING'!I60+'SMART AI LIMITED'!I60+'HK01'!I60-(-SUMIFS(合并抵消!$J:$J,合并抵消!$E:$E,$E60,合并抵消!$A:$A,I$2)+SUMIFS(合并抵消!$K:$K,合并抵消!$E:$E,$E60,合并抵消!$A:$A,I$2))</f>
        <v/>
      </c>
      <c r="J60" s="89">
        <f>浙江精准学!J60+知识跳跳!J60+海南精准学!J60+实时查!J60+目标准!J60+'SMART LEARNING HOLDING'!J60+'SMART AI LIMITED'!J60+'HK01'!J60-(-SUMIFS(合并抵消!$J:$J,合并抵消!$E:$E,$E60,合并抵消!$A:$A,J$2)+SUMIFS(合并抵消!$K:$K,合并抵消!$E:$E,$E60,合并抵消!$A:$A,J$2))</f>
        <v/>
      </c>
      <c r="K60" s="89">
        <f>浙江精准学!K60+知识跳跳!K60+海南精准学!K60+实时查!K60+目标准!K60+'SMART LEARNING HOLDING'!K60+'SMART AI LIMITED'!K60+'HK01'!K60-(-SUMIFS(合并抵消!$J:$J,合并抵消!$E:$E,$E60,合并抵消!$A:$A,K$2)+SUMIFS(合并抵消!$K:$K,合并抵消!$E:$E,$E60,合并抵消!$A:$A,K$2))</f>
        <v/>
      </c>
      <c r="L60" s="89">
        <f>浙江精准学!L60+知识跳跳!L60+海南精准学!L60+实时查!L60+目标准!L60+'SMART LEARNING HOLDING'!L60+'SMART AI LIMITED'!L60+'HK01'!L60-(-SUMIFS(合并抵消!$J:$J,合并抵消!$E:$E,$E60,合并抵消!$A:$A,L$2)+SUMIFS(合并抵消!$K:$K,合并抵消!$E:$E,$E60,合并抵消!$A:$A,L$2))</f>
        <v/>
      </c>
      <c r="M60" s="89">
        <f>浙江精准学!M60+知识跳跳!M60+海南精准学!M60+实时查!M60+目标准!M60+'SMART LEARNING HOLDING'!M60+'SMART AI LIMITED'!M60+'HK01'!M60-(-SUMIFS(合并抵消!$J:$J,合并抵消!$E:$E,$E60,合并抵消!$A:$A,M$2)+SUMIFS(合并抵消!$K:$K,合并抵消!$E:$E,$E60,合并抵消!$A:$A,M$2))</f>
        <v/>
      </c>
      <c r="N60" s="89">
        <f>浙江精准学!N60+知识跳跳!N60+海南精准学!N60+实时查!N60+目标准!N60+'SMART LEARNING HOLDING'!N60+'SMART AI LIMITED'!N60+'HK01'!N60-(-SUMIFS(合并抵消!$J:$J,合并抵消!$E:$E,$E60,合并抵消!$A:$A,N$2)+SUMIFS(合并抵消!$K:$K,合并抵消!$E:$E,$E60,合并抵消!$A:$A,N$2))</f>
        <v/>
      </c>
      <c r="O60" s="89">
        <f>浙江精准学!O60+知识跳跳!O60+海南精准学!O60+实时查!O60+目标准!O60+'SMART LEARNING HOLDING'!O60+'SMART AI LIMITED'!O60+'HK01'!O60-(-SUMIFS(合并抵消!$J:$J,合并抵消!$E:$E,$E60,合并抵消!$A:$A,O$2)+SUMIFS(合并抵消!$K:$K,合并抵消!$E:$E,$E60,合并抵消!$A:$A,O$2))</f>
        <v/>
      </c>
      <c r="P60" s="89">
        <f>浙江精准学!P60+知识跳跳!P60+海南精准学!P60+实时查!P60+目标准!P60+'SMART LEARNING HOLDING'!P60+'SMART AI LIMITED'!P60+'HK01'!P60-(-SUMIFS(合并抵消!$J:$J,合并抵消!$E:$E,$E60,合并抵消!$A:$A,P$2)+SUMIFS(合并抵消!$K:$K,合并抵消!$E:$E,$E60,合并抵消!$A:$A,P$2))</f>
        <v/>
      </c>
      <c r="Q60" s="89">
        <f>浙江精准学!Q60+知识跳跳!Q60+海南精准学!Q60+实时查!Q60+目标准!Q60+'SMART LEARNING HOLDING'!Q60+'SMART AI LIMITED'!Q60+'HK01'!Q60-(-SUMIFS(合并抵消!$J:$J,合并抵消!$E:$E,$E60,合并抵消!$A:$A,Q$2)+SUMIFS(合并抵消!$K:$K,合并抵消!$E:$E,$E60,合并抵消!$A:$A,Q$2))</f>
        <v/>
      </c>
      <c r="R60" s="89">
        <f>SUM(F60:Q60)</f>
        <v/>
      </c>
    </row>
    <row r="61" s="83">
      <c r="A61" s="5" t="inlineStr">
        <is>
          <t>制造费用</t>
        </is>
      </c>
      <c r="B61" s="62" t="inlineStr">
        <is>
          <t>制造费用</t>
        </is>
      </c>
      <c r="D61" s="5" t="inlineStr">
        <is>
          <t>华泰水电费</t>
        </is>
      </c>
      <c r="E61" s="6" t="inlineStr">
        <is>
          <t>Q3211</t>
        </is>
      </c>
      <c r="F61" s="89">
        <f>浙江精准学!F61+知识跳跳!F61+海南精准学!F61+实时查!F61+目标准!F61+'SMART LEARNING HOLDING'!F61+'SMART AI LIMITED'!F61+'HK01'!F61-(-SUMIFS(合并抵消!$J:$J,合并抵消!$E:$E,$E61,合并抵消!$A:$A,F$2)+SUMIFS(合并抵消!$K:$K,合并抵消!$E:$E,$E61,合并抵消!$A:$A,F$2))</f>
        <v/>
      </c>
      <c r="G61" s="89">
        <f>浙江精准学!G61+知识跳跳!G61+海南精准学!G61+实时查!G61+目标准!G61+'SMART LEARNING HOLDING'!G61+'SMART AI LIMITED'!G61+'HK01'!G61-(-SUMIFS(合并抵消!$J:$J,合并抵消!$E:$E,$E61,合并抵消!$A:$A,G$2)+SUMIFS(合并抵消!$K:$K,合并抵消!$E:$E,$E61,合并抵消!$A:$A,G$2))</f>
        <v/>
      </c>
      <c r="H61" s="89">
        <f>浙江精准学!H61+知识跳跳!H61+海南精准学!H61+实时查!H61+目标准!H61+'SMART LEARNING HOLDING'!H61+'SMART AI LIMITED'!H61+'HK01'!H61-(-SUMIFS(合并抵消!$J:$J,合并抵消!$E:$E,$E61,合并抵消!$A:$A,H$2)+SUMIFS(合并抵消!$K:$K,合并抵消!$E:$E,$E61,合并抵消!$A:$A,H$2))</f>
        <v/>
      </c>
      <c r="I61" s="89">
        <f>浙江精准学!I61+知识跳跳!I61+海南精准学!I61+实时查!I61+目标准!I61+'SMART LEARNING HOLDING'!I61+'SMART AI LIMITED'!I61+'HK01'!I61-(-SUMIFS(合并抵消!$J:$J,合并抵消!$E:$E,$E61,合并抵消!$A:$A,I$2)+SUMIFS(合并抵消!$K:$K,合并抵消!$E:$E,$E61,合并抵消!$A:$A,I$2))</f>
        <v/>
      </c>
      <c r="J61" s="89">
        <f>浙江精准学!J61+知识跳跳!J61+海南精准学!J61+实时查!J61+目标准!J61+'SMART LEARNING HOLDING'!J61+'SMART AI LIMITED'!J61+'HK01'!J61-(-SUMIFS(合并抵消!$J:$J,合并抵消!$E:$E,$E61,合并抵消!$A:$A,J$2)+SUMIFS(合并抵消!$K:$K,合并抵消!$E:$E,$E61,合并抵消!$A:$A,J$2))</f>
        <v/>
      </c>
      <c r="K61" s="89">
        <f>浙江精准学!K61+知识跳跳!K61+海南精准学!K61+实时查!K61+目标准!K61+'SMART LEARNING HOLDING'!K61+'SMART AI LIMITED'!K61+'HK01'!K61-(-SUMIFS(合并抵消!$J:$J,合并抵消!$E:$E,$E61,合并抵消!$A:$A,K$2)+SUMIFS(合并抵消!$K:$K,合并抵消!$E:$E,$E61,合并抵消!$A:$A,K$2))</f>
        <v/>
      </c>
      <c r="L61" s="89">
        <f>浙江精准学!L61+知识跳跳!L61+海南精准学!L61+实时查!L61+目标准!L61+'SMART LEARNING HOLDING'!L61+'SMART AI LIMITED'!L61+'HK01'!L61-(-SUMIFS(合并抵消!$J:$J,合并抵消!$E:$E,$E61,合并抵消!$A:$A,L$2)+SUMIFS(合并抵消!$K:$K,合并抵消!$E:$E,$E61,合并抵消!$A:$A,L$2))</f>
        <v/>
      </c>
      <c r="M61" s="89">
        <f>浙江精准学!M61+知识跳跳!M61+海南精准学!M61+实时查!M61+目标准!M61+'SMART LEARNING HOLDING'!M61+'SMART AI LIMITED'!M61+'HK01'!M61-(-SUMIFS(合并抵消!$J:$J,合并抵消!$E:$E,$E61,合并抵消!$A:$A,M$2)+SUMIFS(合并抵消!$K:$K,合并抵消!$E:$E,$E61,合并抵消!$A:$A,M$2))</f>
        <v/>
      </c>
      <c r="N61" s="89">
        <f>浙江精准学!N61+知识跳跳!N61+海南精准学!N61+实时查!N61+目标准!N61+'SMART LEARNING HOLDING'!N61+'SMART AI LIMITED'!N61+'HK01'!N61-(-SUMIFS(合并抵消!$J:$J,合并抵消!$E:$E,$E61,合并抵消!$A:$A,N$2)+SUMIFS(合并抵消!$K:$K,合并抵消!$E:$E,$E61,合并抵消!$A:$A,N$2))</f>
        <v/>
      </c>
      <c r="O61" s="89">
        <f>浙江精准学!O61+知识跳跳!O61+海南精准学!O61+实时查!O61+目标准!O61+'SMART LEARNING HOLDING'!O61+'SMART AI LIMITED'!O61+'HK01'!O61-(-SUMIFS(合并抵消!$J:$J,合并抵消!$E:$E,$E61,合并抵消!$A:$A,O$2)+SUMIFS(合并抵消!$K:$K,合并抵消!$E:$E,$E61,合并抵消!$A:$A,O$2))</f>
        <v/>
      </c>
      <c r="P61" s="89">
        <f>浙江精准学!P61+知识跳跳!P61+海南精准学!P61+实时查!P61+目标准!P61+'SMART LEARNING HOLDING'!P61+'SMART AI LIMITED'!P61+'HK01'!P61-(-SUMIFS(合并抵消!$J:$J,合并抵消!$E:$E,$E61,合并抵消!$A:$A,P$2)+SUMIFS(合并抵消!$K:$K,合并抵消!$E:$E,$E61,合并抵消!$A:$A,P$2))</f>
        <v/>
      </c>
      <c r="Q61" s="89">
        <f>浙江精准学!Q61+知识跳跳!Q61+海南精准学!Q61+实时查!Q61+目标准!Q61+'SMART LEARNING HOLDING'!Q61+'SMART AI LIMITED'!Q61+'HK01'!Q61-(-SUMIFS(合并抵消!$J:$J,合并抵消!$E:$E,$E61,合并抵消!$A:$A,Q$2)+SUMIFS(合并抵消!$K:$K,合并抵消!$E:$E,$E61,合并抵消!$A:$A,Q$2))</f>
        <v/>
      </c>
      <c r="R61" s="89" t="n"/>
    </row>
    <row r="62" s="83">
      <c r="A62" s="5" t="inlineStr">
        <is>
          <t>制造费用</t>
        </is>
      </c>
      <c r="B62" s="62" t="inlineStr">
        <is>
          <t>制造费用</t>
        </is>
      </c>
      <c r="D62" s="5" t="inlineStr">
        <is>
          <t>华泰装修费</t>
        </is>
      </c>
      <c r="E62" s="6" t="inlineStr">
        <is>
          <t>Q3212</t>
        </is>
      </c>
      <c r="F62" s="89">
        <f>浙江精准学!F62+知识跳跳!F62+海南精准学!F62+实时查!F62+目标准!F62+'SMART LEARNING HOLDING'!F62+'SMART AI LIMITED'!F62+'HK01'!F62-(-SUMIFS(合并抵消!$J:$J,合并抵消!$E:$E,$E62,合并抵消!$A:$A,F$2)+SUMIFS(合并抵消!$K:$K,合并抵消!$E:$E,$E62,合并抵消!$A:$A,F$2))</f>
        <v/>
      </c>
      <c r="G62" s="89">
        <f>浙江精准学!G62+知识跳跳!G62+海南精准学!G62+实时查!G62+目标准!G62+'SMART LEARNING HOLDING'!G62+'SMART AI LIMITED'!G62+'HK01'!G62-(-SUMIFS(合并抵消!$J:$J,合并抵消!$E:$E,$E62,合并抵消!$A:$A,G$2)+SUMIFS(合并抵消!$K:$K,合并抵消!$E:$E,$E62,合并抵消!$A:$A,G$2))</f>
        <v/>
      </c>
      <c r="H62" s="89">
        <f>浙江精准学!H62+知识跳跳!H62+海南精准学!H62+实时查!H62+目标准!H62+'SMART LEARNING HOLDING'!H62+'SMART AI LIMITED'!H62+'HK01'!H62-(-SUMIFS(合并抵消!$J:$J,合并抵消!$E:$E,$E62,合并抵消!$A:$A,H$2)+SUMIFS(合并抵消!$K:$K,合并抵消!$E:$E,$E62,合并抵消!$A:$A,H$2))</f>
        <v/>
      </c>
      <c r="I62" s="89">
        <f>浙江精准学!I62+知识跳跳!I62+海南精准学!I62+实时查!I62+目标准!I62+'SMART LEARNING HOLDING'!I62+'SMART AI LIMITED'!I62+'HK01'!I62-(-SUMIFS(合并抵消!$J:$J,合并抵消!$E:$E,$E62,合并抵消!$A:$A,I$2)+SUMIFS(合并抵消!$K:$K,合并抵消!$E:$E,$E62,合并抵消!$A:$A,I$2))</f>
        <v/>
      </c>
      <c r="J62" s="89">
        <f>浙江精准学!J62+知识跳跳!J62+海南精准学!J62+实时查!J62+目标准!J62+'SMART LEARNING HOLDING'!J62+'SMART AI LIMITED'!J62+'HK01'!J62-(-SUMIFS(合并抵消!$J:$J,合并抵消!$E:$E,$E62,合并抵消!$A:$A,J$2)+SUMIFS(合并抵消!$K:$K,合并抵消!$E:$E,$E62,合并抵消!$A:$A,J$2))</f>
        <v/>
      </c>
      <c r="K62" s="89">
        <f>浙江精准学!K62+知识跳跳!K62+海南精准学!K62+实时查!K62+目标准!K62+'SMART LEARNING HOLDING'!K62+'SMART AI LIMITED'!K62+'HK01'!K62-(-SUMIFS(合并抵消!$J:$J,合并抵消!$E:$E,$E62,合并抵消!$A:$A,K$2)+SUMIFS(合并抵消!$K:$K,合并抵消!$E:$E,$E62,合并抵消!$A:$A,K$2))</f>
        <v/>
      </c>
      <c r="L62" s="89">
        <f>浙江精准学!L62+知识跳跳!L62+海南精准学!L62+实时查!L62+目标准!L62+'SMART LEARNING HOLDING'!L62+'SMART AI LIMITED'!L62+'HK01'!L62-(-SUMIFS(合并抵消!$J:$J,合并抵消!$E:$E,$E62,合并抵消!$A:$A,L$2)+SUMIFS(合并抵消!$K:$K,合并抵消!$E:$E,$E62,合并抵消!$A:$A,L$2))</f>
        <v/>
      </c>
      <c r="M62" s="89">
        <f>浙江精准学!M62+知识跳跳!M62+海南精准学!M62+实时查!M62+目标准!M62+'SMART LEARNING HOLDING'!M62+'SMART AI LIMITED'!M62+'HK01'!M62-(-SUMIFS(合并抵消!$J:$J,合并抵消!$E:$E,$E62,合并抵消!$A:$A,M$2)+SUMIFS(合并抵消!$K:$K,合并抵消!$E:$E,$E62,合并抵消!$A:$A,M$2))</f>
        <v/>
      </c>
      <c r="N62" s="89">
        <f>浙江精准学!N62+知识跳跳!N62+海南精准学!N62+实时查!N62+目标准!N62+'SMART LEARNING HOLDING'!N62+'SMART AI LIMITED'!N62+'HK01'!N62-(-SUMIFS(合并抵消!$J:$J,合并抵消!$E:$E,$E62,合并抵消!$A:$A,N$2)+SUMIFS(合并抵消!$K:$K,合并抵消!$E:$E,$E62,合并抵消!$A:$A,N$2))</f>
        <v/>
      </c>
      <c r="O62" s="89">
        <f>浙江精准学!O62+知识跳跳!O62+海南精准学!O62+实时查!O62+目标准!O62+'SMART LEARNING HOLDING'!O62+'SMART AI LIMITED'!O62+'HK01'!O62-(-SUMIFS(合并抵消!$J:$J,合并抵消!$E:$E,$E62,合并抵消!$A:$A,O$2)+SUMIFS(合并抵消!$K:$K,合并抵消!$E:$E,$E62,合并抵消!$A:$A,O$2))</f>
        <v/>
      </c>
      <c r="P62" s="89">
        <f>浙江精准学!P62+知识跳跳!P62+海南精准学!P62+实时查!P62+目标准!P62+'SMART LEARNING HOLDING'!P62+'SMART AI LIMITED'!P62+'HK01'!P62-(-SUMIFS(合并抵消!$J:$J,合并抵消!$E:$E,$E62,合并抵消!$A:$A,P$2)+SUMIFS(合并抵消!$K:$K,合并抵消!$E:$E,$E62,合并抵消!$A:$A,P$2))</f>
        <v/>
      </c>
      <c r="Q62" s="89">
        <f>浙江精准学!Q62+知识跳跳!Q62+海南精准学!Q62+实时查!Q62+目标准!Q62+'SMART LEARNING HOLDING'!Q62+'SMART AI LIMITED'!Q62+'HK01'!Q62-(-SUMIFS(合并抵消!$J:$J,合并抵消!$E:$E,$E62,合并抵消!$A:$A,Q$2)+SUMIFS(合并抵消!$K:$K,合并抵消!$E:$E,$E62,合并抵消!$A:$A,Q$2))</f>
        <v/>
      </c>
      <c r="R62" s="89">
        <f>SUM(F62:Q62)</f>
        <v/>
      </c>
    </row>
    <row r="63" s="83">
      <c r="A63" s="49" t="inlineStr">
        <is>
          <t>制造费用合计</t>
        </is>
      </c>
      <c r="B63" s="50" t="n"/>
      <c r="C63" s="50" t="n"/>
      <c r="D63" s="49" t="n"/>
      <c r="E63" s="49" t="n"/>
      <c r="F63" s="89">
        <f>SUM(F51:F62)</f>
        <v/>
      </c>
      <c r="G63" s="89">
        <f>SUM(G51:G62)</f>
        <v/>
      </c>
      <c r="H63" s="89">
        <f>SUM(H51:H62)</f>
        <v/>
      </c>
      <c r="I63" s="89">
        <f>SUM(I51:I62)</f>
        <v/>
      </c>
      <c r="J63" s="89">
        <f>SUM(J51:J62)</f>
        <v/>
      </c>
      <c r="K63" s="89">
        <f>SUM(K51:K62)</f>
        <v/>
      </c>
      <c r="L63" s="89">
        <f>SUM(L51:L62)</f>
        <v/>
      </c>
      <c r="M63" s="89">
        <f>SUM(M51:M62)</f>
        <v/>
      </c>
      <c r="N63" s="89">
        <f>SUM(N51:N62)</f>
        <v/>
      </c>
      <c r="O63" s="89">
        <f>SUM(O51:O62)</f>
        <v/>
      </c>
      <c r="P63" s="89">
        <f>SUM(P51:P62)</f>
        <v/>
      </c>
      <c r="Q63" s="89">
        <f>SUM(Q51:Q62)</f>
        <v/>
      </c>
      <c r="R63" s="89">
        <f>SUM(F63:Q63)</f>
        <v/>
      </c>
    </row>
    <row r="64" s="83">
      <c r="A64" s="5" t="inlineStr">
        <is>
          <t>自习室支出</t>
        </is>
      </c>
      <c r="B64" s="5" t="inlineStr">
        <is>
          <t>自习室支出</t>
        </is>
      </c>
      <c r="C64" s="6" t="inlineStr">
        <is>
          <t>自习室支出</t>
        </is>
      </c>
      <c r="D64" s="5" t="inlineStr">
        <is>
          <t>人力成本</t>
        </is>
      </c>
      <c r="E64" s="53" t="n"/>
      <c r="F64" s="89">
        <f>浙江精准学!F64+知识跳跳!F64+海南精准学!F64+实时查!F64+目标准!F64+'SMART LEARNING HOLDING'!F64+'SMART AI LIMITED'!F64+'HK01'!F64-(-SUMIFS(合并抵消!$J:$J,合并抵消!$E:$E,$E64,合并抵消!$A:$A,F$2)+SUMIFS(合并抵消!$K:$K,合并抵消!$E:$E,$E64,合并抵消!$A:$A,F$2))</f>
        <v/>
      </c>
      <c r="G64" s="89">
        <f>浙江精准学!G64+知识跳跳!G64+海南精准学!G64+实时查!G64+目标准!G64+'SMART LEARNING HOLDING'!G64+'SMART AI LIMITED'!G64+'HK01'!G64-(-SUMIFS(合并抵消!$J:$J,合并抵消!$E:$E,$E64,合并抵消!$A:$A,G$2)+SUMIFS(合并抵消!$K:$K,合并抵消!$E:$E,$E64,合并抵消!$A:$A,G$2))</f>
        <v/>
      </c>
      <c r="H64" s="89">
        <f>浙江精准学!H64+知识跳跳!H64+海南精准学!H64+实时查!H64+目标准!H64+'SMART LEARNING HOLDING'!H64+'SMART AI LIMITED'!H64+'HK01'!H64-(-SUMIFS(合并抵消!$J:$J,合并抵消!$E:$E,$E64,合并抵消!$A:$A,H$2)+SUMIFS(合并抵消!$K:$K,合并抵消!$E:$E,$E64,合并抵消!$A:$A,H$2))</f>
        <v/>
      </c>
      <c r="I64" s="89">
        <f>浙江精准学!I64+知识跳跳!I64+海南精准学!I64+实时查!I64+目标准!I64+'SMART LEARNING HOLDING'!I64+'SMART AI LIMITED'!I64+'HK01'!I64-(-SUMIFS(合并抵消!$J:$J,合并抵消!$E:$E,$E64,合并抵消!$A:$A,I$2)+SUMIFS(合并抵消!$K:$K,合并抵消!$E:$E,$E64,合并抵消!$A:$A,I$2))</f>
        <v/>
      </c>
      <c r="J64" s="89">
        <f>浙江精准学!J64+知识跳跳!J64+海南精准学!J64+实时查!J64+目标准!J64+'SMART LEARNING HOLDING'!J64+'SMART AI LIMITED'!J64+'HK01'!J64-(-SUMIFS(合并抵消!$J:$J,合并抵消!$E:$E,$E64,合并抵消!$A:$A,J$2)+SUMIFS(合并抵消!$K:$K,合并抵消!$E:$E,$E64,合并抵消!$A:$A,J$2))</f>
        <v/>
      </c>
      <c r="K64" s="89">
        <f>浙江精准学!K64+知识跳跳!K64+海南精准学!K64+实时查!K64+目标准!K64+'SMART LEARNING HOLDING'!K64+'SMART AI LIMITED'!K64+'HK01'!K64-(-SUMIFS(合并抵消!$J:$J,合并抵消!$E:$E,$E64,合并抵消!$A:$A,K$2)+SUMIFS(合并抵消!$K:$K,合并抵消!$E:$E,$E64,合并抵消!$A:$A,K$2))</f>
        <v/>
      </c>
      <c r="L64" s="89">
        <f>浙江精准学!L64+知识跳跳!L64+海南精准学!L64+实时查!L64+目标准!L64+'SMART LEARNING HOLDING'!L64+'SMART AI LIMITED'!L64+'HK01'!L64-(-SUMIFS(合并抵消!$J:$J,合并抵消!$E:$E,$E64,合并抵消!$A:$A,L$2)+SUMIFS(合并抵消!$K:$K,合并抵消!$E:$E,$E64,合并抵消!$A:$A,L$2))</f>
        <v/>
      </c>
      <c r="M64" s="89">
        <f>浙江精准学!M64+知识跳跳!M64+海南精准学!M64+实时查!M64+目标准!M64+'SMART LEARNING HOLDING'!M64+'SMART AI LIMITED'!M64+'HK01'!M64-(-SUMIFS(合并抵消!$J:$J,合并抵消!$E:$E,$E64,合并抵消!$A:$A,M$2)+SUMIFS(合并抵消!$K:$K,合并抵消!$E:$E,$E64,合并抵消!$A:$A,M$2))</f>
        <v/>
      </c>
      <c r="N64" s="89">
        <f>浙江精准学!N64+知识跳跳!N64+海南精准学!N64+实时查!N64+目标准!N64+'SMART LEARNING HOLDING'!N64+'SMART AI LIMITED'!N64+'HK01'!N64-(-SUMIFS(合并抵消!$J:$J,合并抵消!$E:$E,$E64,合并抵消!$A:$A,N$2)+SUMIFS(合并抵消!$K:$K,合并抵消!$E:$E,$E64,合并抵消!$A:$A,N$2))</f>
        <v/>
      </c>
      <c r="O64" s="89">
        <f>浙江精准学!O64+知识跳跳!O64+海南精准学!O64+实时查!O64+目标准!O64+'SMART LEARNING HOLDING'!O64+'SMART AI LIMITED'!O64+'HK01'!O64-(-SUMIFS(合并抵消!$J:$J,合并抵消!$E:$E,$E64,合并抵消!$A:$A,O$2)+SUMIFS(合并抵消!$K:$K,合并抵消!$E:$E,$E64,合并抵消!$A:$A,O$2))</f>
        <v/>
      </c>
      <c r="P64" s="89">
        <f>浙江精准学!P64+知识跳跳!P64+海南精准学!P64+实时查!P64+目标准!P64+'SMART LEARNING HOLDING'!P64+'SMART AI LIMITED'!P64+'HK01'!P64-(-SUMIFS(合并抵消!$J:$J,合并抵消!$E:$E,$E64,合并抵消!$A:$A,P$2)+SUMIFS(合并抵消!$K:$K,合并抵消!$E:$E,$E64,合并抵消!$A:$A,P$2))</f>
        <v/>
      </c>
      <c r="Q64" s="89">
        <f>浙江精准学!Q64+知识跳跳!Q64+海南精准学!Q64+实时查!Q64+目标准!Q64+'SMART LEARNING HOLDING'!Q64+'SMART AI LIMITED'!Q64+'HK01'!Q64-(-SUMIFS(合并抵消!$J:$J,合并抵消!$E:$E,$E64,合并抵消!$A:$A,Q$2)+SUMIFS(合并抵消!$K:$K,合并抵消!$E:$E,$E64,合并抵消!$A:$A,Q$2))</f>
        <v/>
      </c>
      <c r="R64" s="89">
        <f>SUM(F64:Q64)</f>
        <v/>
      </c>
    </row>
    <row r="65" s="83">
      <c r="A65" s="5" t="inlineStr">
        <is>
          <t>自习室支出</t>
        </is>
      </c>
      <c r="B65" s="5" t="inlineStr">
        <is>
          <t>自习室支出</t>
        </is>
      </c>
      <c r="D65" s="5" t="inlineStr">
        <is>
          <t>装修支出</t>
        </is>
      </c>
      <c r="E65" s="53" t="n"/>
      <c r="F65" s="89">
        <f>浙江精准学!F65+知识跳跳!F65+海南精准学!F65+实时查!F65+目标准!F65+'SMART LEARNING HOLDING'!F65+'SMART AI LIMITED'!F65+'HK01'!F65-(-SUMIFS(合并抵消!$J:$J,合并抵消!$E:$E,$E65,合并抵消!$A:$A,F$2)+SUMIFS(合并抵消!$K:$K,合并抵消!$E:$E,$E65,合并抵消!$A:$A,F$2))</f>
        <v/>
      </c>
      <c r="G65" s="89">
        <f>浙江精准学!G65+知识跳跳!G65+海南精准学!G65+实时查!G65+目标准!G65+'SMART LEARNING HOLDING'!G65+'SMART AI LIMITED'!G65+'HK01'!G65-(-SUMIFS(合并抵消!$J:$J,合并抵消!$E:$E,$E65,合并抵消!$A:$A,G$2)+SUMIFS(合并抵消!$K:$K,合并抵消!$E:$E,$E65,合并抵消!$A:$A,G$2))</f>
        <v/>
      </c>
      <c r="H65" s="89">
        <f>浙江精准学!H65+知识跳跳!H65+海南精准学!H65+实时查!H65+目标准!H65+'SMART LEARNING HOLDING'!H65+'SMART AI LIMITED'!H65+'HK01'!H65-(-SUMIFS(合并抵消!$J:$J,合并抵消!$E:$E,$E65,合并抵消!$A:$A,H$2)+SUMIFS(合并抵消!$K:$K,合并抵消!$E:$E,$E65,合并抵消!$A:$A,H$2))</f>
        <v/>
      </c>
      <c r="I65" s="89">
        <f>浙江精准学!I65+知识跳跳!I65+海南精准学!I65+实时查!I65+目标准!I65+'SMART LEARNING HOLDING'!I65+'SMART AI LIMITED'!I65+'HK01'!I65-(-SUMIFS(合并抵消!$J:$J,合并抵消!$E:$E,$E65,合并抵消!$A:$A,I$2)+SUMIFS(合并抵消!$K:$K,合并抵消!$E:$E,$E65,合并抵消!$A:$A,I$2))</f>
        <v/>
      </c>
      <c r="J65" s="89">
        <f>浙江精准学!J65+知识跳跳!J65+海南精准学!J65+实时查!J65+目标准!J65+'SMART LEARNING HOLDING'!J65+'SMART AI LIMITED'!J65+'HK01'!J65-(-SUMIFS(合并抵消!$J:$J,合并抵消!$E:$E,$E65,合并抵消!$A:$A,J$2)+SUMIFS(合并抵消!$K:$K,合并抵消!$E:$E,$E65,合并抵消!$A:$A,J$2))</f>
        <v/>
      </c>
      <c r="K65" s="89">
        <f>浙江精准学!K65+知识跳跳!K65+海南精准学!K65+实时查!K65+目标准!K65+'SMART LEARNING HOLDING'!K65+'SMART AI LIMITED'!K65+'HK01'!K65-(-SUMIFS(合并抵消!$J:$J,合并抵消!$E:$E,$E65,合并抵消!$A:$A,K$2)+SUMIFS(合并抵消!$K:$K,合并抵消!$E:$E,$E65,合并抵消!$A:$A,K$2))</f>
        <v/>
      </c>
      <c r="L65" s="89">
        <f>浙江精准学!L65+知识跳跳!L65+海南精准学!L65+实时查!L65+目标准!L65+'SMART LEARNING HOLDING'!L65+'SMART AI LIMITED'!L65+'HK01'!L65-(-SUMIFS(合并抵消!$J:$J,合并抵消!$E:$E,$E65,合并抵消!$A:$A,L$2)+SUMIFS(合并抵消!$K:$K,合并抵消!$E:$E,$E65,合并抵消!$A:$A,L$2))</f>
        <v/>
      </c>
      <c r="M65" s="89">
        <f>浙江精准学!M65+知识跳跳!M65+海南精准学!M65+实时查!M65+目标准!M65+'SMART LEARNING HOLDING'!M65+'SMART AI LIMITED'!M65+'HK01'!M65-(-SUMIFS(合并抵消!$J:$J,合并抵消!$E:$E,$E65,合并抵消!$A:$A,M$2)+SUMIFS(合并抵消!$K:$K,合并抵消!$E:$E,$E65,合并抵消!$A:$A,M$2))</f>
        <v/>
      </c>
      <c r="N65" s="89">
        <f>浙江精准学!N65+知识跳跳!N65+海南精准学!N65+实时查!N65+目标准!N65+'SMART LEARNING HOLDING'!N65+'SMART AI LIMITED'!N65+'HK01'!N65-(-SUMIFS(合并抵消!$J:$J,合并抵消!$E:$E,$E65,合并抵消!$A:$A,N$2)+SUMIFS(合并抵消!$K:$K,合并抵消!$E:$E,$E65,合并抵消!$A:$A,N$2))</f>
        <v/>
      </c>
      <c r="O65" s="89">
        <f>浙江精准学!O65+知识跳跳!O65+海南精准学!O65+实时查!O65+目标准!O65+'SMART LEARNING HOLDING'!O65+'SMART AI LIMITED'!O65+'HK01'!O65-(-SUMIFS(合并抵消!$J:$J,合并抵消!$E:$E,$E65,合并抵消!$A:$A,O$2)+SUMIFS(合并抵消!$K:$K,合并抵消!$E:$E,$E65,合并抵消!$A:$A,O$2))</f>
        <v/>
      </c>
      <c r="P65" s="89">
        <f>浙江精准学!P65+知识跳跳!P65+海南精准学!P65+实时查!P65+目标准!P65+'SMART LEARNING HOLDING'!P65+'SMART AI LIMITED'!P65+'HK01'!P65-(-SUMIFS(合并抵消!$J:$J,合并抵消!$E:$E,$E65,合并抵消!$A:$A,P$2)+SUMIFS(合并抵消!$K:$K,合并抵消!$E:$E,$E65,合并抵消!$A:$A,P$2))</f>
        <v/>
      </c>
      <c r="Q65" s="89">
        <f>浙江精准学!Q65+知识跳跳!Q65+海南精准学!Q65+实时查!Q65+目标准!Q65+'SMART LEARNING HOLDING'!Q65+'SMART AI LIMITED'!Q65+'HK01'!Q65-(-SUMIFS(合并抵消!$J:$J,合并抵消!$E:$E,$E65,合并抵消!$A:$A,Q$2)+SUMIFS(合并抵消!$K:$K,合并抵消!$E:$E,$E65,合并抵消!$A:$A,Q$2))</f>
        <v/>
      </c>
      <c r="R65" s="89">
        <f>SUM(F65:Q65)</f>
        <v/>
      </c>
    </row>
    <row r="66" s="83">
      <c r="A66" s="5" t="inlineStr">
        <is>
          <t>自习室支出</t>
        </is>
      </c>
      <c r="B66" s="5" t="inlineStr">
        <is>
          <t>自习室支出</t>
        </is>
      </c>
      <c r="D66" s="5" t="inlineStr">
        <is>
          <t>推广费用</t>
        </is>
      </c>
      <c r="E66" s="53" t="n"/>
      <c r="F66" s="89">
        <f>浙江精准学!F66+知识跳跳!F66+海南精准学!F66+实时查!F66+目标准!F66+'SMART LEARNING HOLDING'!F66+'SMART AI LIMITED'!F66+'HK01'!F66-(-SUMIFS(合并抵消!$J:$J,合并抵消!$E:$E,$E66,合并抵消!$A:$A,F$2)+SUMIFS(合并抵消!$K:$K,合并抵消!$E:$E,$E66,合并抵消!$A:$A,F$2))</f>
        <v/>
      </c>
      <c r="G66" s="89">
        <f>浙江精准学!G66+知识跳跳!G66+海南精准学!G66+实时查!G66+目标准!G66+'SMART LEARNING HOLDING'!G66+'SMART AI LIMITED'!G66+'HK01'!G66-(-SUMIFS(合并抵消!$J:$J,合并抵消!$E:$E,$E66,合并抵消!$A:$A,G$2)+SUMIFS(合并抵消!$K:$K,合并抵消!$E:$E,$E66,合并抵消!$A:$A,G$2))</f>
        <v/>
      </c>
      <c r="H66" s="89">
        <f>浙江精准学!H66+知识跳跳!H66+海南精准学!H66+实时查!H66+目标准!H66+'SMART LEARNING HOLDING'!H66+'SMART AI LIMITED'!H66+'HK01'!H66-(-SUMIFS(合并抵消!$J:$J,合并抵消!$E:$E,$E66,合并抵消!$A:$A,H$2)+SUMIFS(合并抵消!$K:$K,合并抵消!$E:$E,$E66,合并抵消!$A:$A,H$2))</f>
        <v/>
      </c>
      <c r="I66" s="89">
        <f>浙江精准学!I66+知识跳跳!I66+海南精准学!I66+实时查!I66+目标准!I66+'SMART LEARNING HOLDING'!I66+'SMART AI LIMITED'!I66+'HK01'!I66-(-SUMIFS(合并抵消!$J:$J,合并抵消!$E:$E,$E66,合并抵消!$A:$A,I$2)+SUMIFS(合并抵消!$K:$K,合并抵消!$E:$E,$E66,合并抵消!$A:$A,I$2))</f>
        <v/>
      </c>
      <c r="J66" s="89">
        <f>浙江精准学!J66+知识跳跳!J66+海南精准学!J66+实时查!J66+目标准!J66+'SMART LEARNING HOLDING'!J66+'SMART AI LIMITED'!J66+'HK01'!J66-(-SUMIFS(合并抵消!$J:$J,合并抵消!$E:$E,$E66,合并抵消!$A:$A,J$2)+SUMIFS(合并抵消!$K:$K,合并抵消!$E:$E,$E66,合并抵消!$A:$A,J$2))</f>
        <v/>
      </c>
      <c r="K66" s="89">
        <f>浙江精准学!K66+知识跳跳!K66+海南精准学!K66+实时查!K66+目标准!K66+'SMART LEARNING HOLDING'!K66+'SMART AI LIMITED'!K66+'HK01'!K66-(-SUMIFS(合并抵消!$J:$J,合并抵消!$E:$E,$E66,合并抵消!$A:$A,K$2)+SUMIFS(合并抵消!$K:$K,合并抵消!$E:$E,$E66,合并抵消!$A:$A,K$2))</f>
        <v/>
      </c>
      <c r="L66" s="89">
        <f>浙江精准学!L66+知识跳跳!L66+海南精准学!L66+实时查!L66+目标准!L66+'SMART LEARNING HOLDING'!L66+'SMART AI LIMITED'!L66+'HK01'!L66-(-SUMIFS(合并抵消!$J:$J,合并抵消!$E:$E,$E66,合并抵消!$A:$A,L$2)+SUMIFS(合并抵消!$K:$K,合并抵消!$E:$E,$E66,合并抵消!$A:$A,L$2))</f>
        <v/>
      </c>
      <c r="M66" s="89">
        <f>浙江精准学!M66+知识跳跳!M66+海南精准学!M66+实时查!M66+目标准!M66+'SMART LEARNING HOLDING'!M66+'SMART AI LIMITED'!M66+'HK01'!M66-(-SUMIFS(合并抵消!$J:$J,合并抵消!$E:$E,$E66,合并抵消!$A:$A,M$2)+SUMIFS(合并抵消!$K:$K,合并抵消!$E:$E,$E66,合并抵消!$A:$A,M$2))</f>
        <v/>
      </c>
      <c r="N66" s="89">
        <f>浙江精准学!N66+知识跳跳!N66+海南精准学!N66+实时查!N66+目标准!N66+'SMART LEARNING HOLDING'!N66+'SMART AI LIMITED'!N66+'HK01'!N66-(-SUMIFS(合并抵消!$J:$J,合并抵消!$E:$E,$E66,合并抵消!$A:$A,N$2)+SUMIFS(合并抵消!$K:$K,合并抵消!$E:$E,$E66,合并抵消!$A:$A,N$2))</f>
        <v/>
      </c>
      <c r="O66" s="89">
        <f>浙江精准学!O66+知识跳跳!O66+海南精准学!O66+实时查!O66+目标准!O66+'SMART LEARNING HOLDING'!O66+'SMART AI LIMITED'!O66+'HK01'!O66-(-SUMIFS(合并抵消!$J:$J,合并抵消!$E:$E,$E66,合并抵消!$A:$A,O$2)+SUMIFS(合并抵消!$K:$K,合并抵消!$E:$E,$E66,合并抵消!$A:$A,O$2))</f>
        <v/>
      </c>
      <c r="P66" s="89">
        <f>浙江精准学!P66+知识跳跳!P66+海南精准学!P66+实时查!P66+目标准!P66+'SMART LEARNING HOLDING'!P66+'SMART AI LIMITED'!P66+'HK01'!P66-(-SUMIFS(合并抵消!$J:$J,合并抵消!$E:$E,$E66,合并抵消!$A:$A,P$2)+SUMIFS(合并抵消!$K:$K,合并抵消!$E:$E,$E66,合并抵消!$A:$A,P$2))</f>
        <v/>
      </c>
      <c r="Q66" s="89">
        <f>浙江精准学!Q66+知识跳跳!Q66+海南精准学!Q66+实时查!Q66+目标准!Q66+'SMART LEARNING HOLDING'!Q66+'SMART AI LIMITED'!Q66+'HK01'!Q66-(-SUMIFS(合并抵消!$J:$J,合并抵消!$E:$E,$E66,合并抵消!$A:$A,Q$2)+SUMIFS(合并抵消!$K:$K,合并抵消!$E:$E,$E66,合并抵消!$A:$A,Q$2))</f>
        <v/>
      </c>
      <c r="R66" s="89">
        <f>SUM(F66:Q66)</f>
        <v/>
      </c>
    </row>
    <row r="67" s="83">
      <c r="A67" s="5" t="inlineStr">
        <is>
          <t>自习室支出</t>
        </is>
      </c>
      <c r="B67" s="5" t="inlineStr">
        <is>
          <t>自习室支出</t>
        </is>
      </c>
      <c r="D67" s="5" t="inlineStr">
        <is>
          <t>管理系统</t>
        </is>
      </c>
      <c r="E67" s="53" t="n"/>
      <c r="F67" s="89">
        <f>浙江精准学!F67+知识跳跳!F67+海南精准学!F67+实时查!F67+目标准!F67+'SMART LEARNING HOLDING'!F67+'SMART AI LIMITED'!F67+'HK01'!F67-(-SUMIFS(合并抵消!$J:$J,合并抵消!$E:$E,$E67,合并抵消!$A:$A,F$2)+SUMIFS(合并抵消!$K:$K,合并抵消!$E:$E,$E67,合并抵消!$A:$A,F$2))</f>
        <v/>
      </c>
      <c r="G67" s="89">
        <f>浙江精准学!G67+知识跳跳!G67+海南精准学!G67+实时查!G67+目标准!G67+'SMART LEARNING HOLDING'!G67+'SMART AI LIMITED'!G67+'HK01'!G67-(-SUMIFS(合并抵消!$J:$J,合并抵消!$E:$E,$E67,合并抵消!$A:$A,G$2)+SUMIFS(合并抵消!$K:$K,合并抵消!$E:$E,$E67,合并抵消!$A:$A,G$2))</f>
        <v/>
      </c>
      <c r="H67" s="89">
        <f>浙江精准学!H67+知识跳跳!H67+海南精准学!H67+实时查!H67+目标准!H67+'SMART LEARNING HOLDING'!H67+'SMART AI LIMITED'!H67+'HK01'!H67-(-SUMIFS(合并抵消!$J:$J,合并抵消!$E:$E,$E67,合并抵消!$A:$A,H$2)+SUMIFS(合并抵消!$K:$K,合并抵消!$E:$E,$E67,合并抵消!$A:$A,H$2))</f>
        <v/>
      </c>
      <c r="I67" s="89">
        <f>浙江精准学!I67+知识跳跳!I67+海南精准学!I67+实时查!I67+目标准!I67+'SMART LEARNING HOLDING'!I67+'SMART AI LIMITED'!I67+'HK01'!I67-(-SUMIFS(合并抵消!$J:$J,合并抵消!$E:$E,$E67,合并抵消!$A:$A,I$2)+SUMIFS(合并抵消!$K:$K,合并抵消!$E:$E,$E67,合并抵消!$A:$A,I$2))</f>
        <v/>
      </c>
      <c r="J67" s="89">
        <f>浙江精准学!J67+知识跳跳!J67+海南精准学!J67+实时查!J67+目标准!J67+'SMART LEARNING HOLDING'!J67+'SMART AI LIMITED'!J67+'HK01'!J67-(-SUMIFS(合并抵消!$J:$J,合并抵消!$E:$E,$E67,合并抵消!$A:$A,J$2)+SUMIFS(合并抵消!$K:$K,合并抵消!$E:$E,$E67,合并抵消!$A:$A,J$2))</f>
        <v/>
      </c>
      <c r="K67" s="89">
        <f>浙江精准学!K67+知识跳跳!K67+海南精准学!K67+实时查!K67+目标准!K67+'SMART LEARNING HOLDING'!K67+'SMART AI LIMITED'!K67+'HK01'!K67-(-SUMIFS(合并抵消!$J:$J,合并抵消!$E:$E,$E67,合并抵消!$A:$A,K$2)+SUMIFS(合并抵消!$K:$K,合并抵消!$E:$E,$E67,合并抵消!$A:$A,K$2))</f>
        <v/>
      </c>
      <c r="L67" s="89">
        <f>浙江精准学!L67+知识跳跳!L67+海南精准学!L67+实时查!L67+目标准!L67+'SMART LEARNING HOLDING'!L67+'SMART AI LIMITED'!L67+'HK01'!L67-(-SUMIFS(合并抵消!$J:$J,合并抵消!$E:$E,$E67,合并抵消!$A:$A,L$2)+SUMIFS(合并抵消!$K:$K,合并抵消!$E:$E,$E67,合并抵消!$A:$A,L$2))</f>
        <v/>
      </c>
      <c r="M67" s="89">
        <f>浙江精准学!M67+知识跳跳!M67+海南精准学!M67+实时查!M67+目标准!M67+'SMART LEARNING HOLDING'!M67+'SMART AI LIMITED'!M67+'HK01'!M67-(-SUMIFS(合并抵消!$J:$J,合并抵消!$E:$E,$E67,合并抵消!$A:$A,M$2)+SUMIFS(合并抵消!$K:$K,合并抵消!$E:$E,$E67,合并抵消!$A:$A,M$2))</f>
        <v/>
      </c>
      <c r="N67" s="89">
        <f>浙江精准学!N67+知识跳跳!N67+海南精准学!N67+实时查!N67+目标准!N67+'SMART LEARNING HOLDING'!N67+'SMART AI LIMITED'!N67+'HK01'!N67-(-SUMIFS(合并抵消!$J:$J,合并抵消!$E:$E,$E67,合并抵消!$A:$A,N$2)+SUMIFS(合并抵消!$K:$K,合并抵消!$E:$E,$E67,合并抵消!$A:$A,N$2))</f>
        <v/>
      </c>
      <c r="O67" s="89">
        <f>浙江精准学!O67+知识跳跳!O67+海南精准学!O67+实时查!O67+目标准!O67+'SMART LEARNING HOLDING'!O67+'SMART AI LIMITED'!O67+'HK01'!O67-(-SUMIFS(合并抵消!$J:$J,合并抵消!$E:$E,$E67,合并抵消!$A:$A,O$2)+SUMIFS(合并抵消!$K:$K,合并抵消!$E:$E,$E67,合并抵消!$A:$A,O$2))</f>
        <v/>
      </c>
      <c r="P67" s="89">
        <f>浙江精准学!P67+知识跳跳!P67+海南精准学!P67+实时查!P67+目标准!P67+'SMART LEARNING HOLDING'!P67+'SMART AI LIMITED'!P67+'HK01'!P67-(-SUMIFS(合并抵消!$J:$J,合并抵消!$E:$E,$E67,合并抵消!$A:$A,P$2)+SUMIFS(合并抵消!$K:$K,合并抵消!$E:$E,$E67,合并抵消!$A:$A,P$2))</f>
        <v/>
      </c>
      <c r="Q67" s="89">
        <f>浙江精准学!Q67+知识跳跳!Q67+海南精准学!Q67+实时查!Q67+目标准!Q67+'SMART LEARNING HOLDING'!Q67+'SMART AI LIMITED'!Q67+'HK01'!Q67-(-SUMIFS(合并抵消!$J:$J,合并抵消!$E:$E,$E67,合并抵消!$A:$A,Q$2)+SUMIFS(合并抵消!$K:$K,合并抵消!$E:$E,$E67,合并抵消!$A:$A,Q$2))</f>
        <v/>
      </c>
      <c r="R67" s="89">
        <f>SUM(F67:Q67)</f>
        <v/>
      </c>
    </row>
    <row r="68" s="83">
      <c r="A68" s="5" t="inlineStr">
        <is>
          <t>自习室支出</t>
        </is>
      </c>
      <c r="B68" s="5" t="inlineStr">
        <is>
          <t>自习室支出</t>
        </is>
      </c>
      <c r="D68" s="5" t="inlineStr">
        <is>
          <t>其他经营支出</t>
        </is>
      </c>
      <c r="E68" s="53" t="n"/>
      <c r="F68" s="89">
        <f>浙江精准学!F68+知识跳跳!F68+海南精准学!F68+实时查!F68+目标准!F68+'SMART LEARNING HOLDING'!F68+'SMART AI LIMITED'!F68+'HK01'!F68-(-SUMIFS(合并抵消!$J:$J,合并抵消!$E:$E,$E68,合并抵消!$A:$A,F$2)+SUMIFS(合并抵消!$K:$K,合并抵消!$E:$E,$E68,合并抵消!$A:$A,F$2))</f>
        <v/>
      </c>
      <c r="G68" s="89">
        <f>浙江精准学!G68+知识跳跳!G68+海南精准学!G68+实时查!G68+目标准!G68+'SMART LEARNING HOLDING'!G68+'SMART AI LIMITED'!G68+'HK01'!G68-(-SUMIFS(合并抵消!$J:$J,合并抵消!$E:$E,$E68,合并抵消!$A:$A,G$2)+SUMIFS(合并抵消!$K:$K,合并抵消!$E:$E,$E68,合并抵消!$A:$A,G$2))</f>
        <v/>
      </c>
      <c r="H68" s="89">
        <f>浙江精准学!H68+知识跳跳!H68+海南精准学!H68+实时查!H68+目标准!H68+'SMART LEARNING HOLDING'!H68+'SMART AI LIMITED'!H68+'HK01'!H68-(-SUMIFS(合并抵消!$J:$J,合并抵消!$E:$E,$E68,合并抵消!$A:$A,H$2)+SUMIFS(合并抵消!$K:$K,合并抵消!$E:$E,$E68,合并抵消!$A:$A,H$2))</f>
        <v/>
      </c>
      <c r="I68" s="89">
        <f>浙江精准学!I68+知识跳跳!I68+海南精准学!I68+实时查!I68+目标准!I68+'SMART LEARNING HOLDING'!I68+'SMART AI LIMITED'!I68+'HK01'!I68-(-SUMIFS(合并抵消!$J:$J,合并抵消!$E:$E,$E68,合并抵消!$A:$A,I$2)+SUMIFS(合并抵消!$K:$K,合并抵消!$E:$E,$E68,合并抵消!$A:$A,I$2))</f>
        <v/>
      </c>
      <c r="J68" s="89">
        <f>浙江精准学!J68+知识跳跳!J68+海南精准学!J68+实时查!J68+目标准!J68+'SMART LEARNING HOLDING'!J68+'SMART AI LIMITED'!J68+'HK01'!J68-(-SUMIFS(合并抵消!$J:$J,合并抵消!$E:$E,$E68,合并抵消!$A:$A,J$2)+SUMIFS(合并抵消!$K:$K,合并抵消!$E:$E,$E68,合并抵消!$A:$A,J$2))</f>
        <v/>
      </c>
      <c r="K68" s="89">
        <f>浙江精准学!K68+知识跳跳!K68+海南精准学!K68+实时查!K68+目标准!K68+'SMART LEARNING HOLDING'!K68+'SMART AI LIMITED'!K68+'HK01'!K68-(-SUMIFS(合并抵消!$J:$J,合并抵消!$E:$E,$E68,合并抵消!$A:$A,K$2)+SUMIFS(合并抵消!$K:$K,合并抵消!$E:$E,$E68,合并抵消!$A:$A,K$2))</f>
        <v/>
      </c>
      <c r="L68" s="89">
        <f>浙江精准学!L68+知识跳跳!L68+海南精准学!L68+实时查!L68+目标准!L68+'SMART LEARNING HOLDING'!L68+'SMART AI LIMITED'!L68+'HK01'!L68-(-SUMIFS(合并抵消!$J:$J,合并抵消!$E:$E,$E68,合并抵消!$A:$A,L$2)+SUMIFS(合并抵消!$K:$K,合并抵消!$E:$E,$E68,合并抵消!$A:$A,L$2))</f>
        <v/>
      </c>
      <c r="M68" s="89">
        <f>浙江精准学!M68+知识跳跳!M68+海南精准学!M68+实时查!M68+目标准!M68+'SMART LEARNING HOLDING'!M68+'SMART AI LIMITED'!M68+'HK01'!M68-(-SUMIFS(合并抵消!$J:$J,合并抵消!$E:$E,$E68,合并抵消!$A:$A,M$2)+SUMIFS(合并抵消!$K:$K,合并抵消!$E:$E,$E68,合并抵消!$A:$A,M$2))</f>
        <v/>
      </c>
      <c r="N68" s="89">
        <f>浙江精准学!N68+知识跳跳!N68+海南精准学!N68+实时查!N68+目标准!N68+'SMART LEARNING HOLDING'!N68+'SMART AI LIMITED'!N68+'HK01'!N68-(-SUMIFS(合并抵消!$J:$J,合并抵消!$E:$E,$E68,合并抵消!$A:$A,N$2)+SUMIFS(合并抵消!$K:$K,合并抵消!$E:$E,$E68,合并抵消!$A:$A,N$2))</f>
        <v/>
      </c>
      <c r="O68" s="89">
        <f>浙江精准学!O68+知识跳跳!O68+海南精准学!O68+实时查!O68+目标准!O68+'SMART LEARNING HOLDING'!O68+'SMART AI LIMITED'!O68+'HK01'!O68-(-SUMIFS(合并抵消!$J:$J,合并抵消!$E:$E,$E68,合并抵消!$A:$A,O$2)+SUMIFS(合并抵消!$K:$K,合并抵消!$E:$E,$E68,合并抵消!$A:$A,O$2))</f>
        <v/>
      </c>
      <c r="P68" s="89">
        <f>浙江精准学!P68+知识跳跳!P68+海南精准学!P68+实时查!P68+目标准!P68+'SMART LEARNING HOLDING'!P68+'SMART AI LIMITED'!P68+'HK01'!P68-(-SUMIFS(合并抵消!$J:$J,合并抵消!$E:$E,$E68,合并抵消!$A:$A,P$2)+SUMIFS(合并抵消!$K:$K,合并抵消!$E:$E,$E68,合并抵消!$A:$A,P$2))</f>
        <v/>
      </c>
      <c r="Q68" s="89">
        <f>浙江精准学!Q68+知识跳跳!Q68+海南精准学!Q68+实时查!Q68+目标准!Q68+'SMART LEARNING HOLDING'!Q68+'SMART AI LIMITED'!Q68+'HK01'!Q68-(-SUMIFS(合并抵消!$J:$J,合并抵消!$E:$E,$E68,合并抵消!$A:$A,Q$2)+SUMIFS(合并抵消!$K:$K,合并抵消!$E:$E,$E68,合并抵消!$A:$A,Q$2))</f>
        <v/>
      </c>
      <c r="R68" s="89">
        <f>SUM(F68:Q68)</f>
        <v/>
      </c>
    </row>
    <row r="69" s="83">
      <c r="A69" s="49" t="inlineStr">
        <is>
          <t>自习室支出合计</t>
        </is>
      </c>
      <c r="B69" s="50" t="n"/>
      <c r="C69" s="50" t="n"/>
      <c r="D69" s="49" t="n"/>
      <c r="E69" s="49" t="n"/>
      <c r="F69" s="89">
        <f>SUM('SMART AI LIMITED:HK01'!F64:F68)</f>
        <v/>
      </c>
      <c r="G69" s="89">
        <f>SUM('SMART AI LIMITED:HK01'!G64:G68)</f>
        <v/>
      </c>
      <c r="H69" s="89">
        <f>SUM('SMART AI LIMITED:HK01'!H64:H68)</f>
        <v/>
      </c>
      <c r="I69" s="89">
        <f>SUM('SMART AI LIMITED:HK01'!I64:I68)</f>
        <v/>
      </c>
      <c r="J69" s="89">
        <f>SUM('SMART AI LIMITED:HK01'!J64:J68)</f>
        <v/>
      </c>
      <c r="K69" s="89">
        <f>SUM('SMART AI LIMITED:HK01'!K64:K68)</f>
        <v/>
      </c>
      <c r="L69" s="89">
        <f>SUM('SMART AI LIMITED:HK01'!L64:L68)</f>
        <v/>
      </c>
      <c r="M69" s="89">
        <f>SUM('SMART AI LIMITED:HK01'!M64:M68)</f>
        <v/>
      </c>
      <c r="N69" s="89">
        <f>SUM('SMART AI LIMITED:HK01'!N64:N68)</f>
        <v/>
      </c>
      <c r="O69" s="89">
        <f>SUM('SMART AI LIMITED:HK01'!O64:O68)</f>
        <v/>
      </c>
      <c r="P69" s="89">
        <f>SUM('SMART AI LIMITED:HK01'!P64:P68)</f>
        <v/>
      </c>
      <c r="Q69" s="89">
        <f>SUM('SMART AI LIMITED:HK01'!Q64:Q68)</f>
        <v/>
      </c>
      <c r="R69" s="89">
        <f>SUM(F69:Q69)</f>
        <v/>
      </c>
    </row>
    <row r="70" s="83">
      <c r="A70" s="5" t="inlineStr">
        <is>
          <t>研发支出</t>
        </is>
      </c>
      <c r="B70" s="6" t="inlineStr">
        <is>
          <t>产品开发-MAX</t>
        </is>
      </c>
      <c r="C70" s="6" t="inlineStr">
        <is>
          <t>产品开发-MAX</t>
        </is>
      </c>
      <c r="D70" s="5" t="inlineStr">
        <is>
          <t>检测费</t>
        </is>
      </c>
      <c r="E70" s="6" t="inlineStr">
        <is>
          <t>Q1201</t>
        </is>
      </c>
      <c r="F70" s="89">
        <f>浙江精准学!F70+知识跳跳!F70+海南精准学!F70+实时查!F70+目标准!F70+'SMART LEARNING HOLDING'!F70+'SMART AI LIMITED'!F70+'HK01'!F70-(-SUMIFS(合并抵消!$J:$J,合并抵消!$E:$E,$E70,合并抵消!$A:$A,F$2)+SUMIFS(合并抵消!$K:$K,合并抵消!$E:$E,$E70,合并抵消!$A:$A,F$2))</f>
        <v/>
      </c>
      <c r="G70" s="89">
        <f>浙江精准学!G70+知识跳跳!G70+海南精准学!G70+实时查!G70+目标准!G70+'SMART LEARNING HOLDING'!G70+'SMART AI LIMITED'!G70+'HK01'!G70-(-SUMIFS(合并抵消!$J:$J,合并抵消!$E:$E,$E70,合并抵消!$A:$A,G$2)+SUMIFS(合并抵消!$K:$K,合并抵消!$E:$E,$E70,合并抵消!$A:$A,G$2))</f>
        <v/>
      </c>
      <c r="H70" s="89">
        <f>浙江精准学!H70+知识跳跳!H70+海南精准学!H70+实时查!H70+目标准!H70+'SMART LEARNING HOLDING'!H70+'SMART AI LIMITED'!H70+'HK01'!H70-(-SUMIFS(合并抵消!$J:$J,合并抵消!$E:$E,$E70,合并抵消!$A:$A,H$2)+SUMIFS(合并抵消!$K:$K,合并抵消!$E:$E,$E70,合并抵消!$A:$A,H$2))</f>
        <v/>
      </c>
      <c r="I70" s="89">
        <f>浙江精准学!I70+知识跳跳!I70+海南精准学!I70+实时查!I70+目标准!I70+'SMART LEARNING HOLDING'!I70+'SMART AI LIMITED'!I70+'HK01'!I70-(-SUMIFS(合并抵消!$J:$J,合并抵消!$E:$E,$E70,合并抵消!$A:$A,I$2)+SUMIFS(合并抵消!$K:$K,合并抵消!$E:$E,$E70,合并抵消!$A:$A,I$2))</f>
        <v/>
      </c>
      <c r="J70" s="89">
        <f>浙江精准学!J70+知识跳跳!J70+海南精准学!J70+实时查!J70+目标准!J70+'SMART LEARNING HOLDING'!J70+'SMART AI LIMITED'!J70+'HK01'!J70-(-SUMIFS(合并抵消!$J:$J,合并抵消!$E:$E,$E70,合并抵消!$A:$A,J$2)+SUMIFS(合并抵消!$K:$K,合并抵消!$E:$E,$E70,合并抵消!$A:$A,J$2))</f>
        <v/>
      </c>
      <c r="K70" s="89">
        <f>浙江精准学!K70+知识跳跳!K70+海南精准学!K70+实时查!K70+目标准!K70+'SMART LEARNING HOLDING'!K70+'SMART AI LIMITED'!K70+'HK01'!K70-(-SUMIFS(合并抵消!$J:$J,合并抵消!$E:$E,$E70,合并抵消!$A:$A,K$2)+SUMIFS(合并抵消!$K:$K,合并抵消!$E:$E,$E70,合并抵消!$A:$A,K$2))</f>
        <v/>
      </c>
      <c r="L70" s="89">
        <f>浙江精准学!L70+知识跳跳!L70+海南精准学!L70+实时查!L70+目标准!L70+'SMART LEARNING HOLDING'!L70+'SMART AI LIMITED'!L70+'HK01'!L70-(-SUMIFS(合并抵消!$J:$J,合并抵消!$E:$E,$E70,合并抵消!$A:$A,L$2)+SUMIFS(合并抵消!$K:$K,合并抵消!$E:$E,$E70,合并抵消!$A:$A,L$2))</f>
        <v/>
      </c>
      <c r="M70" s="89">
        <f>浙江精准学!M70+知识跳跳!M70+海南精准学!M70+实时查!M70+目标准!M70+'SMART LEARNING HOLDING'!M70+'SMART AI LIMITED'!M70+'HK01'!M70-(-SUMIFS(合并抵消!$J:$J,合并抵消!$E:$E,$E70,合并抵消!$A:$A,M$2)+SUMIFS(合并抵消!$K:$K,合并抵消!$E:$E,$E70,合并抵消!$A:$A,M$2))</f>
        <v/>
      </c>
      <c r="N70" s="89">
        <f>浙江精准学!N70+知识跳跳!N70+海南精准学!N70+实时查!N70+目标准!N70+'SMART LEARNING HOLDING'!N70+'SMART AI LIMITED'!N70+'HK01'!N70-(-SUMIFS(合并抵消!$J:$J,合并抵消!$E:$E,$E70,合并抵消!$A:$A,N$2)+SUMIFS(合并抵消!$K:$K,合并抵消!$E:$E,$E70,合并抵消!$A:$A,N$2))</f>
        <v/>
      </c>
      <c r="O70" s="89">
        <f>浙江精准学!O70+知识跳跳!O70+海南精准学!O70+实时查!O70+目标准!O70+'SMART LEARNING HOLDING'!O70+'SMART AI LIMITED'!O70+'HK01'!O70-(-SUMIFS(合并抵消!$J:$J,合并抵消!$E:$E,$E70,合并抵消!$A:$A,O$2)+SUMIFS(合并抵消!$K:$K,合并抵消!$E:$E,$E70,合并抵消!$A:$A,O$2))</f>
        <v/>
      </c>
      <c r="P70" s="89">
        <f>浙江精准学!P70+知识跳跳!P70+海南精准学!P70+实时查!P70+目标准!P70+'SMART LEARNING HOLDING'!P70+'SMART AI LIMITED'!P70+'HK01'!P70-(-SUMIFS(合并抵消!$J:$J,合并抵消!$E:$E,$E70,合并抵消!$A:$A,P$2)+SUMIFS(合并抵消!$K:$K,合并抵消!$E:$E,$E70,合并抵消!$A:$A,P$2))</f>
        <v/>
      </c>
      <c r="Q70" s="89">
        <f>浙江精准学!Q70+知识跳跳!Q70+海南精准学!Q70+实时查!Q70+目标准!Q70+'SMART LEARNING HOLDING'!Q70+'SMART AI LIMITED'!Q70+'HK01'!Q70-(-SUMIFS(合并抵消!$J:$J,合并抵消!$E:$E,$E70,合并抵消!$A:$A,Q$2)+SUMIFS(合并抵消!$K:$K,合并抵消!$E:$E,$E70,合并抵消!$A:$A,Q$2))</f>
        <v/>
      </c>
      <c r="R70" s="89">
        <f>SUM(F70:Q70)</f>
        <v/>
      </c>
    </row>
    <row r="71" s="83">
      <c r="A71" s="5" t="inlineStr">
        <is>
          <t>研发支出</t>
        </is>
      </c>
      <c r="B71" s="6" t="inlineStr">
        <is>
          <t>产品开发-MAX</t>
        </is>
      </c>
      <c r="D71" s="5" t="inlineStr">
        <is>
          <t>认证费</t>
        </is>
      </c>
      <c r="E71" s="6" t="inlineStr">
        <is>
          <t>Q1202</t>
        </is>
      </c>
      <c r="F71" s="89">
        <f>浙江精准学!F71+知识跳跳!F71+海南精准学!F71+实时查!F71+目标准!F71+'SMART LEARNING HOLDING'!F71+'SMART AI LIMITED'!F71+'HK01'!F71-(-SUMIFS(合并抵消!$J:$J,合并抵消!$E:$E,$E71,合并抵消!$A:$A,F$2)+SUMIFS(合并抵消!$K:$K,合并抵消!$E:$E,$E71,合并抵消!$A:$A,F$2))</f>
        <v/>
      </c>
      <c r="G71" s="89">
        <f>浙江精准学!G71+知识跳跳!G71+海南精准学!G71+实时查!G71+目标准!G71+'SMART LEARNING HOLDING'!G71+'SMART AI LIMITED'!G71+'HK01'!G71-(-SUMIFS(合并抵消!$J:$J,合并抵消!$E:$E,$E71,合并抵消!$A:$A,G$2)+SUMIFS(合并抵消!$K:$K,合并抵消!$E:$E,$E71,合并抵消!$A:$A,G$2))</f>
        <v/>
      </c>
      <c r="H71" s="89">
        <f>浙江精准学!H71+知识跳跳!H71+海南精准学!H71+实时查!H71+目标准!H71+'SMART LEARNING HOLDING'!H71+'SMART AI LIMITED'!H71+'HK01'!H71-(-SUMIFS(合并抵消!$J:$J,合并抵消!$E:$E,$E71,合并抵消!$A:$A,H$2)+SUMIFS(合并抵消!$K:$K,合并抵消!$E:$E,$E71,合并抵消!$A:$A,H$2))</f>
        <v/>
      </c>
      <c r="I71" s="89">
        <f>浙江精准学!I71+知识跳跳!I71+海南精准学!I71+实时查!I71+目标准!I71+'SMART LEARNING HOLDING'!I71+'SMART AI LIMITED'!I71+'HK01'!I71-(-SUMIFS(合并抵消!$J:$J,合并抵消!$E:$E,$E71,合并抵消!$A:$A,I$2)+SUMIFS(合并抵消!$K:$K,合并抵消!$E:$E,$E71,合并抵消!$A:$A,I$2))</f>
        <v/>
      </c>
      <c r="J71" s="89">
        <f>浙江精准学!J71+知识跳跳!J71+海南精准学!J71+实时查!J71+目标准!J71+'SMART LEARNING HOLDING'!J71+'SMART AI LIMITED'!J71+'HK01'!J71-(-SUMIFS(合并抵消!$J:$J,合并抵消!$E:$E,$E71,合并抵消!$A:$A,J$2)+SUMIFS(合并抵消!$K:$K,合并抵消!$E:$E,$E71,合并抵消!$A:$A,J$2))</f>
        <v/>
      </c>
      <c r="K71" s="89">
        <f>浙江精准学!K71+知识跳跳!K71+海南精准学!K71+实时查!K71+目标准!K71+'SMART LEARNING HOLDING'!K71+'SMART AI LIMITED'!K71+'HK01'!K71-(-SUMIFS(合并抵消!$J:$J,合并抵消!$E:$E,$E71,合并抵消!$A:$A,K$2)+SUMIFS(合并抵消!$K:$K,合并抵消!$E:$E,$E71,合并抵消!$A:$A,K$2))</f>
        <v/>
      </c>
      <c r="L71" s="89">
        <f>浙江精准学!L71+知识跳跳!L71+海南精准学!L71+实时查!L71+目标准!L71+'SMART LEARNING HOLDING'!L71+'SMART AI LIMITED'!L71+'HK01'!L71-(-SUMIFS(合并抵消!$J:$J,合并抵消!$E:$E,$E71,合并抵消!$A:$A,L$2)+SUMIFS(合并抵消!$K:$K,合并抵消!$E:$E,$E71,合并抵消!$A:$A,L$2))</f>
        <v/>
      </c>
      <c r="M71" s="89">
        <f>浙江精准学!M71+知识跳跳!M71+海南精准学!M71+实时查!M71+目标准!M71+'SMART LEARNING HOLDING'!M71+'SMART AI LIMITED'!M71+'HK01'!M71-(-SUMIFS(合并抵消!$J:$J,合并抵消!$E:$E,$E71,合并抵消!$A:$A,M$2)+SUMIFS(合并抵消!$K:$K,合并抵消!$E:$E,$E71,合并抵消!$A:$A,M$2))</f>
        <v/>
      </c>
      <c r="N71" s="89">
        <f>浙江精准学!N71+知识跳跳!N71+海南精准学!N71+实时查!N71+目标准!N71+'SMART LEARNING HOLDING'!N71+'SMART AI LIMITED'!N71+'HK01'!N71-(-SUMIFS(合并抵消!$J:$J,合并抵消!$E:$E,$E71,合并抵消!$A:$A,N$2)+SUMIFS(合并抵消!$K:$K,合并抵消!$E:$E,$E71,合并抵消!$A:$A,N$2))</f>
        <v/>
      </c>
      <c r="O71" s="89">
        <f>浙江精准学!O71+知识跳跳!O71+海南精准学!O71+实时查!O71+目标准!O71+'SMART LEARNING HOLDING'!O71+'SMART AI LIMITED'!O71+'HK01'!O71-(-SUMIFS(合并抵消!$J:$J,合并抵消!$E:$E,$E71,合并抵消!$A:$A,O$2)+SUMIFS(合并抵消!$K:$K,合并抵消!$E:$E,$E71,合并抵消!$A:$A,O$2))</f>
        <v/>
      </c>
      <c r="P71" s="89">
        <f>浙江精准学!P71+知识跳跳!P71+海南精准学!P71+实时查!P71+目标准!P71+'SMART LEARNING HOLDING'!P71+'SMART AI LIMITED'!P71+'HK01'!P71-(-SUMIFS(合并抵消!$J:$J,合并抵消!$E:$E,$E71,合并抵消!$A:$A,P$2)+SUMIFS(合并抵消!$K:$K,合并抵消!$E:$E,$E71,合并抵消!$A:$A,P$2))</f>
        <v/>
      </c>
      <c r="Q71" s="89">
        <f>浙江精准学!Q71+知识跳跳!Q71+海南精准学!Q71+实时查!Q71+目标准!Q71+'SMART LEARNING HOLDING'!Q71+'SMART AI LIMITED'!Q71+'HK01'!Q71-(-SUMIFS(合并抵消!$J:$J,合并抵消!$E:$E,$E71,合并抵消!$A:$A,Q$2)+SUMIFS(合并抵消!$K:$K,合并抵消!$E:$E,$E71,合并抵消!$A:$A,Q$2))</f>
        <v/>
      </c>
      <c r="R71" s="89">
        <f>SUM(F71:Q71)</f>
        <v/>
      </c>
    </row>
    <row r="72" s="83">
      <c r="A72" s="5" t="inlineStr">
        <is>
          <t>研发支出</t>
        </is>
      </c>
      <c r="B72" s="6" t="inlineStr">
        <is>
          <t>产品开发-MAX</t>
        </is>
      </c>
      <c r="D72" s="5" t="inlineStr">
        <is>
          <t>设计费</t>
        </is>
      </c>
      <c r="E72" s="6" t="inlineStr">
        <is>
          <t>Q1203</t>
        </is>
      </c>
      <c r="F72" s="89">
        <f>浙江精准学!F72+知识跳跳!F72+海南精准学!F72+实时查!F72+目标准!F72+'SMART LEARNING HOLDING'!F72+'SMART AI LIMITED'!F72+'HK01'!F72-(-SUMIFS(合并抵消!$J:$J,合并抵消!$E:$E,$E72,合并抵消!$A:$A,F$2)+SUMIFS(合并抵消!$K:$K,合并抵消!$E:$E,$E72,合并抵消!$A:$A,F$2))</f>
        <v/>
      </c>
      <c r="G72" s="89">
        <f>浙江精准学!G72+知识跳跳!G72+海南精准学!G72+实时查!G72+目标准!G72+'SMART LEARNING HOLDING'!G72+'SMART AI LIMITED'!G72+'HK01'!G72-(-SUMIFS(合并抵消!$J:$J,合并抵消!$E:$E,$E72,合并抵消!$A:$A,G$2)+SUMIFS(合并抵消!$K:$K,合并抵消!$E:$E,$E72,合并抵消!$A:$A,G$2))</f>
        <v/>
      </c>
      <c r="H72" s="89">
        <f>浙江精准学!H72+知识跳跳!H72+海南精准学!H72+实时查!H72+目标准!H72+'SMART LEARNING HOLDING'!H72+'SMART AI LIMITED'!H72+'HK01'!H72-(-SUMIFS(合并抵消!$J:$J,合并抵消!$E:$E,$E72,合并抵消!$A:$A,H$2)+SUMIFS(合并抵消!$K:$K,合并抵消!$E:$E,$E72,合并抵消!$A:$A,H$2))</f>
        <v/>
      </c>
      <c r="I72" s="89">
        <f>浙江精准学!I72+知识跳跳!I72+海南精准学!I72+实时查!I72+目标准!I72+'SMART LEARNING HOLDING'!I72+'SMART AI LIMITED'!I72+'HK01'!I72-(-SUMIFS(合并抵消!$J:$J,合并抵消!$E:$E,$E72,合并抵消!$A:$A,I$2)+SUMIFS(合并抵消!$K:$K,合并抵消!$E:$E,$E72,合并抵消!$A:$A,I$2))</f>
        <v/>
      </c>
      <c r="J72" s="89">
        <f>浙江精准学!J72+知识跳跳!J72+海南精准学!J72+实时查!J72+目标准!J72+'SMART LEARNING HOLDING'!J72+'SMART AI LIMITED'!J72+'HK01'!J72-(-SUMIFS(合并抵消!$J:$J,合并抵消!$E:$E,$E72,合并抵消!$A:$A,J$2)+SUMIFS(合并抵消!$K:$K,合并抵消!$E:$E,$E72,合并抵消!$A:$A,J$2))</f>
        <v/>
      </c>
      <c r="K72" s="89">
        <f>浙江精准学!K72+知识跳跳!K72+海南精准学!K72+实时查!K72+目标准!K72+'SMART LEARNING HOLDING'!K72+'SMART AI LIMITED'!K72+'HK01'!K72-(-SUMIFS(合并抵消!$J:$J,合并抵消!$E:$E,$E72,合并抵消!$A:$A,K$2)+SUMIFS(合并抵消!$K:$K,合并抵消!$E:$E,$E72,合并抵消!$A:$A,K$2))</f>
        <v/>
      </c>
      <c r="L72" s="89">
        <f>浙江精准学!L72+知识跳跳!L72+海南精准学!L72+实时查!L72+目标准!L72+'SMART LEARNING HOLDING'!L72+'SMART AI LIMITED'!L72+'HK01'!L72-(-SUMIFS(合并抵消!$J:$J,合并抵消!$E:$E,$E72,合并抵消!$A:$A,L$2)+SUMIFS(合并抵消!$K:$K,合并抵消!$E:$E,$E72,合并抵消!$A:$A,L$2))</f>
        <v/>
      </c>
      <c r="M72" s="89">
        <f>浙江精准学!M72+知识跳跳!M72+海南精准学!M72+实时查!M72+目标准!M72+'SMART LEARNING HOLDING'!M72+'SMART AI LIMITED'!M72+'HK01'!M72-(-SUMIFS(合并抵消!$J:$J,合并抵消!$E:$E,$E72,合并抵消!$A:$A,M$2)+SUMIFS(合并抵消!$K:$K,合并抵消!$E:$E,$E72,合并抵消!$A:$A,M$2))</f>
        <v/>
      </c>
      <c r="N72" s="89">
        <f>浙江精准学!N72+知识跳跳!N72+海南精准学!N72+实时查!N72+目标准!N72+'SMART LEARNING HOLDING'!N72+'SMART AI LIMITED'!N72+'HK01'!N72-(-SUMIFS(合并抵消!$J:$J,合并抵消!$E:$E,$E72,合并抵消!$A:$A,N$2)+SUMIFS(合并抵消!$K:$K,合并抵消!$E:$E,$E72,合并抵消!$A:$A,N$2))</f>
        <v/>
      </c>
      <c r="O72" s="89">
        <f>浙江精准学!O72+知识跳跳!O72+海南精准学!O72+实时查!O72+目标准!O72+'SMART LEARNING HOLDING'!O72+'SMART AI LIMITED'!O72+'HK01'!O72-(-SUMIFS(合并抵消!$J:$J,合并抵消!$E:$E,$E72,合并抵消!$A:$A,O$2)+SUMIFS(合并抵消!$K:$K,合并抵消!$E:$E,$E72,合并抵消!$A:$A,O$2))</f>
        <v/>
      </c>
      <c r="P72" s="89">
        <f>浙江精准学!P72+知识跳跳!P72+海南精准学!P72+实时查!P72+目标准!P72+'SMART LEARNING HOLDING'!P72+'SMART AI LIMITED'!P72+'HK01'!P72-(-SUMIFS(合并抵消!$J:$J,合并抵消!$E:$E,$E72,合并抵消!$A:$A,P$2)+SUMIFS(合并抵消!$K:$K,合并抵消!$E:$E,$E72,合并抵消!$A:$A,P$2))</f>
        <v/>
      </c>
      <c r="Q72" s="89">
        <f>浙江精准学!Q72+知识跳跳!Q72+海南精准学!Q72+实时查!Q72+目标准!Q72+'SMART LEARNING HOLDING'!Q72+'SMART AI LIMITED'!Q72+'HK01'!Q72-(-SUMIFS(合并抵消!$J:$J,合并抵消!$E:$E,$E72,合并抵消!$A:$A,Q$2)+SUMIFS(合并抵消!$K:$K,合并抵消!$E:$E,$E72,合并抵消!$A:$A,Q$2))</f>
        <v/>
      </c>
      <c r="R72" s="89">
        <f>SUM(F72:Q72)</f>
        <v/>
      </c>
    </row>
    <row r="73" s="83">
      <c r="A73" s="5" t="inlineStr">
        <is>
          <t>研发支出</t>
        </is>
      </c>
      <c r="B73" s="6" t="inlineStr">
        <is>
          <t>产品开发-MAX</t>
        </is>
      </c>
      <c r="D73" s="5" t="inlineStr">
        <is>
          <t>OTA费用</t>
        </is>
      </c>
      <c r="E73" s="6" t="inlineStr">
        <is>
          <t>Q1204</t>
        </is>
      </c>
      <c r="F73" s="89">
        <f>浙江精准学!F73+知识跳跳!F73+海南精准学!F73+实时查!F73+目标准!F73+'SMART LEARNING HOLDING'!F73+'SMART AI LIMITED'!F73+'HK01'!F73-(-SUMIFS(合并抵消!$J:$J,合并抵消!$E:$E,$E73,合并抵消!$A:$A,F$2)+SUMIFS(合并抵消!$K:$K,合并抵消!$E:$E,$E73,合并抵消!$A:$A,F$2))</f>
        <v/>
      </c>
      <c r="G73" s="89">
        <f>浙江精准学!G73+知识跳跳!G73+海南精准学!G73+实时查!G73+目标准!G73+'SMART LEARNING HOLDING'!G73+'SMART AI LIMITED'!G73+'HK01'!G73-(-SUMIFS(合并抵消!$J:$J,合并抵消!$E:$E,$E73,合并抵消!$A:$A,G$2)+SUMIFS(合并抵消!$K:$K,合并抵消!$E:$E,$E73,合并抵消!$A:$A,G$2))</f>
        <v/>
      </c>
      <c r="H73" s="89">
        <f>浙江精准学!H73+知识跳跳!H73+海南精准学!H73+实时查!H73+目标准!H73+'SMART LEARNING HOLDING'!H73+'SMART AI LIMITED'!H73+'HK01'!H73-(-SUMIFS(合并抵消!$J:$J,合并抵消!$E:$E,$E73,合并抵消!$A:$A,H$2)+SUMIFS(合并抵消!$K:$K,合并抵消!$E:$E,$E73,合并抵消!$A:$A,H$2))</f>
        <v/>
      </c>
      <c r="I73" s="89">
        <f>浙江精准学!I73+知识跳跳!I73+海南精准学!I73+实时查!I73+目标准!I73+'SMART LEARNING HOLDING'!I73+'SMART AI LIMITED'!I73+'HK01'!I73-(-SUMIFS(合并抵消!$J:$J,合并抵消!$E:$E,$E73,合并抵消!$A:$A,I$2)+SUMIFS(合并抵消!$K:$K,合并抵消!$E:$E,$E73,合并抵消!$A:$A,I$2))</f>
        <v/>
      </c>
      <c r="J73" s="89">
        <f>浙江精准学!J73+知识跳跳!J73+海南精准学!J73+实时查!J73+目标准!J73+'SMART LEARNING HOLDING'!J73+'SMART AI LIMITED'!J73+'HK01'!J73-(-SUMIFS(合并抵消!$J:$J,合并抵消!$E:$E,$E73,合并抵消!$A:$A,J$2)+SUMIFS(合并抵消!$K:$K,合并抵消!$E:$E,$E73,合并抵消!$A:$A,J$2))</f>
        <v/>
      </c>
      <c r="K73" s="89">
        <f>浙江精准学!K73+知识跳跳!K73+海南精准学!K73+实时查!K73+目标准!K73+'SMART LEARNING HOLDING'!K73+'SMART AI LIMITED'!K73+'HK01'!K73-(-SUMIFS(合并抵消!$J:$J,合并抵消!$E:$E,$E73,合并抵消!$A:$A,K$2)+SUMIFS(合并抵消!$K:$K,合并抵消!$E:$E,$E73,合并抵消!$A:$A,K$2))</f>
        <v/>
      </c>
      <c r="L73" s="89">
        <f>浙江精准学!L73+知识跳跳!L73+海南精准学!L73+实时查!L73+目标准!L73+'SMART LEARNING HOLDING'!L73+'SMART AI LIMITED'!L73+'HK01'!L73-(-SUMIFS(合并抵消!$J:$J,合并抵消!$E:$E,$E73,合并抵消!$A:$A,L$2)+SUMIFS(合并抵消!$K:$K,合并抵消!$E:$E,$E73,合并抵消!$A:$A,L$2))</f>
        <v/>
      </c>
      <c r="M73" s="89">
        <f>浙江精准学!M73+知识跳跳!M73+海南精准学!M73+实时查!M73+目标准!M73+'SMART LEARNING HOLDING'!M73+'SMART AI LIMITED'!M73+'HK01'!M73-(-SUMIFS(合并抵消!$J:$J,合并抵消!$E:$E,$E73,合并抵消!$A:$A,M$2)+SUMIFS(合并抵消!$K:$K,合并抵消!$E:$E,$E73,合并抵消!$A:$A,M$2))</f>
        <v/>
      </c>
      <c r="N73" s="89">
        <f>浙江精准学!N73+知识跳跳!N73+海南精准学!N73+实时查!N73+目标准!N73+'SMART LEARNING HOLDING'!N73+'SMART AI LIMITED'!N73+'HK01'!N73-(-SUMIFS(合并抵消!$J:$J,合并抵消!$E:$E,$E73,合并抵消!$A:$A,N$2)+SUMIFS(合并抵消!$K:$K,合并抵消!$E:$E,$E73,合并抵消!$A:$A,N$2))</f>
        <v/>
      </c>
      <c r="O73" s="89">
        <f>浙江精准学!O73+知识跳跳!O73+海南精准学!O73+实时查!O73+目标准!O73+'SMART LEARNING HOLDING'!O73+'SMART AI LIMITED'!O73+'HK01'!O73-(-SUMIFS(合并抵消!$J:$J,合并抵消!$E:$E,$E73,合并抵消!$A:$A,O$2)+SUMIFS(合并抵消!$K:$K,合并抵消!$E:$E,$E73,合并抵消!$A:$A,O$2))</f>
        <v/>
      </c>
      <c r="P73" s="89">
        <f>浙江精准学!P73+知识跳跳!P73+海南精准学!P73+实时查!P73+目标准!P73+'SMART LEARNING HOLDING'!P73+'SMART AI LIMITED'!P73+'HK01'!P73-(-SUMIFS(合并抵消!$J:$J,合并抵消!$E:$E,$E73,合并抵消!$A:$A,P$2)+SUMIFS(合并抵消!$K:$K,合并抵消!$E:$E,$E73,合并抵消!$A:$A,P$2))</f>
        <v/>
      </c>
      <c r="Q73" s="89">
        <f>浙江精准学!Q73+知识跳跳!Q73+海南精准学!Q73+实时查!Q73+目标准!Q73+'SMART LEARNING HOLDING'!Q73+'SMART AI LIMITED'!Q73+'HK01'!Q73-(-SUMIFS(合并抵消!$J:$J,合并抵消!$E:$E,$E73,合并抵消!$A:$A,Q$2)+SUMIFS(合并抵消!$K:$K,合并抵消!$E:$E,$E73,合并抵消!$A:$A,Q$2))</f>
        <v/>
      </c>
      <c r="R73" s="89">
        <f>SUM(F73:Q73)</f>
        <v/>
      </c>
    </row>
    <row r="74" s="83">
      <c r="A74" s="5" t="inlineStr">
        <is>
          <t>研发支出</t>
        </is>
      </c>
      <c r="B74" s="6" t="inlineStr">
        <is>
          <t>产品开发-MAX</t>
        </is>
      </c>
      <c r="D74" s="5" t="inlineStr">
        <is>
          <t>模具费用</t>
        </is>
      </c>
      <c r="E74" s="6" t="inlineStr">
        <is>
          <t>Q1205</t>
        </is>
      </c>
      <c r="F74" s="89">
        <f>浙江精准学!F74+知识跳跳!F74+海南精准学!F74+实时查!F74+目标准!F74+'SMART LEARNING HOLDING'!F74+'SMART AI LIMITED'!F74+'HK01'!F74-(-SUMIFS(合并抵消!$J:$J,合并抵消!$E:$E,$E74,合并抵消!$A:$A,F$2)+SUMIFS(合并抵消!$K:$K,合并抵消!$E:$E,$E74,合并抵消!$A:$A,F$2))</f>
        <v/>
      </c>
      <c r="G74" s="89">
        <f>浙江精准学!G74+知识跳跳!G74+海南精准学!G74+实时查!G74+目标准!G74+'SMART LEARNING HOLDING'!G74+'SMART AI LIMITED'!G74+'HK01'!G74-(-SUMIFS(合并抵消!$J:$J,合并抵消!$E:$E,$E74,合并抵消!$A:$A,G$2)+SUMIFS(合并抵消!$K:$K,合并抵消!$E:$E,$E74,合并抵消!$A:$A,G$2))</f>
        <v/>
      </c>
      <c r="H74" s="89">
        <f>浙江精准学!H74+知识跳跳!H74+海南精准学!H74+实时查!H74+目标准!H74+'SMART LEARNING HOLDING'!H74+'SMART AI LIMITED'!H74+'HK01'!H74-(-SUMIFS(合并抵消!$J:$J,合并抵消!$E:$E,$E74,合并抵消!$A:$A,H$2)+SUMIFS(合并抵消!$K:$K,合并抵消!$E:$E,$E74,合并抵消!$A:$A,H$2))</f>
        <v/>
      </c>
      <c r="I74" s="89">
        <f>浙江精准学!I74+知识跳跳!I74+海南精准学!I74+实时查!I74+目标准!I74+'SMART LEARNING HOLDING'!I74+'SMART AI LIMITED'!I74+'HK01'!I74-(-SUMIFS(合并抵消!$J:$J,合并抵消!$E:$E,$E74,合并抵消!$A:$A,I$2)+SUMIFS(合并抵消!$K:$K,合并抵消!$E:$E,$E74,合并抵消!$A:$A,I$2))</f>
        <v/>
      </c>
      <c r="J74" s="89">
        <f>浙江精准学!J74+知识跳跳!J74+海南精准学!J74+实时查!J74+目标准!J74+'SMART LEARNING HOLDING'!J74+'SMART AI LIMITED'!J74+'HK01'!J74-(-SUMIFS(合并抵消!$J:$J,合并抵消!$E:$E,$E74,合并抵消!$A:$A,J$2)+SUMIFS(合并抵消!$K:$K,合并抵消!$E:$E,$E74,合并抵消!$A:$A,J$2))</f>
        <v/>
      </c>
      <c r="K74" s="89">
        <f>浙江精准学!K74+知识跳跳!K74+海南精准学!K74+实时查!K74+目标准!K74+'SMART LEARNING HOLDING'!K74+'SMART AI LIMITED'!K74+'HK01'!K74-(-SUMIFS(合并抵消!$J:$J,合并抵消!$E:$E,$E74,合并抵消!$A:$A,K$2)+SUMIFS(合并抵消!$K:$K,合并抵消!$E:$E,$E74,合并抵消!$A:$A,K$2))</f>
        <v/>
      </c>
      <c r="L74" s="89">
        <f>浙江精准学!L74+知识跳跳!L74+海南精准学!L74+实时查!L74+目标准!L74+'SMART LEARNING HOLDING'!L74+'SMART AI LIMITED'!L74+'HK01'!L74-(-SUMIFS(合并抵消!$J:$J,合并抵消!$E:$E,$E74,合并抵消!$A:$A,L$2)+SUMIFS(合并抵消!$K:$K,合并抵消!$E:$E,$E74,合并抵消!$A:$A,L$2))</f>
        <v/>
      </c>
      <c r="M74" s="89">
        <f>浙江精准学!M74+知识跳跳!M74+海南精准学!M74+实时查!M74+目标准!M74+'SMART LEARNING HOLDING'!M74+'SMART AI LIMITED'!M74+'HK01'!M74-(-SUMIFS(合并抵消!$J:$J,合并抵消!$E:$E,$E74,合并抵消!$A:$A,M$2)+SUMIFS(合并抵消!$K:$K,合并抵消!$E:$E,$E74,合并抵消!$A:$A,M$2))</f>
        <v/>
      </c>
      <c r="N74" s="89">
        <f>浙江精准学!N74+知识跳跳!N74+海南精准学!N74+实时查!N74+目标准!N74+'SMART LEARNING HOLDING'!N74+'SMART AI LIMITED'!N74+'HK01'!N74-(-SUMIFS(合并抵消!$J:$J,合并抵消!$E:$E,$E74,合并抵消!$A:$A,N$2)+SUMIFS(合并抵消!$K:$K,合并抵消!$E:$E,$E74,合并抵消!$A:$A,N$2))</f>
        <v/>
      </c>
      <c r="O74" s="89">
        <f>浙江精准学!O74+知识跳跳!O74+海南精准学!O74+实时查!O74+目标准!O74+'SMART LEARNING HOLDING'!O74+'SMART AI LIMITED'!O74+'HK01'!O74-(-SUMIFS(合并抵消!$J:$J,合并抵消!$E:$E,$E74,合并抵消!$A:$A,O$2)+SUMIFS(合并抵消!$K:$K,合并抵消!$E:$E,$E74,合并抵消!$A:$A,O$2))</f>
        <v/>
      </c>
      <c r="P74" s="89">
        <f>浙江精准学!P74+知识跳跳!P74+海南精准学!P74+实时查!P74+目标准!P74+'SMART LEARNING HOLDING'!P74+'SMART AI LIMITED'!P74+'HK01'!P74-(-SUMIFS(合并抵消!$J:$J,合并抵消!$E:$E,$E74,合并抵消!$A:$A,P$2)+SUMIFS(合并抵消!$K:$K,合并抵消!$E:$E,$E74,合并抵消!$A:$A,P$2))</f>
        <v/>
      </c>
      <c r="Q74" s="89">
        <f>浙江精准学!Q74+知识跳跳!Q74+海南精准学!Q74+实时查!Q74+目标准!Q74+'SMART LEARNING HOLDING'!Q74+'SMART AI LIMITED'!Q74+'HK01'!Q74-(-SUMIFS(合并抵消!$J:$J,合并抵消!$E:$E,$E74,合并抵消!$A:$A,Q$2)+SUMIFS(合并抵消!$K:$K,合并抵消!$E:$E,$E74,合并抵消!$A:$A,Q$2))</f>
        <v/>
      </c>
      <c r="R74" s="89">
        <f>SUM(F74:Q74)</f>
        <v/>
      </c>
    </row>
    <row r="75" s="83">
      <c r="A75" s="5" t="inlineStr">
        <is>
          <t>研发支出</t>
        </is>
      </c>
      <c r="B75" s="6" t="inlineStr">
        <is>
          <t>产品开发-MAX</t>
        </is>
      </c>
      <c r="D75" s="5" t="inlineStr">
        <is>
          <t>TCL研发费</t>
        </is>
      </c>
      <c r="E75" s="6" t="inlineStr">
        <is>
          <t>Q1206</t>
        </is>
      </c>
      <c r="F75" s="89">
        <f>浙江精准学!F75+知识跳跳!F75+海南精准学!F75+实时查!F75+目标准!F75+'SMART LEARNING HOLDING'!F75+'SMART AI LIMITED'!F75+'HK01'!F75-(-SUMIFS(合并抵消!$J:$J,合并抵消!$E:$E,$E75,合并抵消!$A:$A,F$2)+SUMIFS(合并抵消!$K:$K,合并抵消!$E:$E,$E75,合并抵消!$A:$A,F$2))</f>
        <v/>
      </c>
      <c r="G75" s="89">
        <f>浙江精准学!G75+知识跳跳!G75+海南精准学!G75+实时查!G75+目标准!G75+'SMART LEARNING HOLDING'!G75+'SMART AI LIMITED'!G75+'HK01'!G75-(-SUMIFS(合并抵消!$J:$J,合并抵消!$E:$E,$E75,合并抵消!$A:$A,G$2)+SUMIFS(合并抵消!$K:$K,合并抵消!$E:$E,$E75,合并抵消!$A:$A,G$2))</f>
        <v/>
      </c>
      <c r="H75" s="89">
        <f>浙江精准学!H75+知识跳跳!H75+海南精准学!H75+实时查!H75+目标准!H75+'SMART LEARNING HOLDING'!H75+'SMART AI LIMITED'!H75+'HK01'!H75-(-SUMIFS(合并抵消!$J:$J,合并抵消!$E:$E,$E75,合并抵消!$A:$A,H$2)+SUMIFS(合并抵消!$K:$K,合并抵消!$E:$E,$E75,合并抵消!$A:$A,H$2))</f>
        <v/>
      </c>
      <c r="I75" s="89">
        <f>浙江精准学!I75+知识跳跳!I75+海南精准学!I75+实时查!I75+目标准!I75+'SMART LEARNING HOLDING'!I75+'SMART AI LIMITED'!I75+'HK01'!I75-(-SUMIFS(合并抵消!$J:$J,合并抵消!$E:$E,$E75,合并抵消!$A:$A,I$2)+SUMIFS(合并抵消!$K:$K,合并抵消!$E:$E,$E75,合并抵消!$A:$A,I$2))</f>
        <v/>
      </c>
      <c r="J75" s="89">
        <f>浙江精准学!J75+知识跳跳!J75+海南精准学!J75+实时查!J75+目标准!J75+'SMART LEARNING HOLDING'!J75+'SMART AI LIMITED'!J75+'HK01'!J75-(-SUMIFS(合并抵消!$J:$J,合并抵消!$E:$E,$E75,合并抵消!$A:$A,J$2)+SUMIFS(合并抵消!$K:$K,合并抵消!$E:$E,$E75,合并抵消!$A:$A,J$2))</f>
        <v/>
      </c>
      <c r="K75" s="89">
        <f>浙江精准学!K75+知识跳跳!K75+海南精准学!K75+实时查!K75+目标准!K75+'SMART LEARNING HOLDING'!K75+'SMART AI LIMITED'!K75+'HK01'!K75-(-SUMIFS(合并抵消!$J:$J,合并抵消!$E:$E,$E75,合并抵消!$A:$A,K$2)+SUMIFS(合并抵消!$K:$K,合并抵消!$E:$E,$E75,合并抵消!$A:$A,K$2))</f>
        <v/>
      </c>
      <c r="L75" s="89">
        <f>浙江精准学!L75+知识跳跳!L75+海南精准学!L75+实时查!L75+目标准!L75+'SMART LEARNING HOLDING'!L75+'SMART AI LIMITED'!L75+'HK01'!L75-(-SUMIFS(合并抵消!$J:$J,合并抵消!$E:$E,$E75,合并抵消!$A:$A,L$2)+SUMIFS(合并抵消!$K:$K,合并抵消!$E:$E,$E75,合并抵消!$A:$A,L$2))</f>
        <v/>
      </c>
      <c r="M75" s="89">
        <f>浙江精准学!M75+知识跳跳!M75+海南精准学!M75+实时查!M75+目标准!M75+'SMART LEARNING HOLDING'!M75+'SMART AI LIMITED'!M75+'HK01'!M75-(-SUMIFS(合并抵消!$J:$J,合并抵消!$E:$E,$E75,合并抵消!$A:$A,M$2)+SUMIFS(合并抵消!$K:$K,合并抵消!$E:$E,$E75,合并抵消!$A:$A,M$2))</f>
        <v/>
      </c>
      <c r="N75" s="89">
        <f>浙江精准学!N75+知识跳跳!N75+海南精准学!N75+实时查!N75+目标准!N75+'SMART LEARNING HOLDING'!N75+'SMART AI LIMITED'!N75+'HK01'!N75-(-SUMIFS(合并抵消!$J:$J,合并抵消!$E:$E,$E75,合并抵消!$A:$A,N$2)+SUMIFS(合并抵消!$K:$K,合并抵消!$E:$E,$E75,合并抵消!$A:$A,N$2))</f>
        <v/>
      </c>
      <c r="O75" s="89">
        <f>浙江精准学!O75+知识跳跳!O75+海南精准学!O75+实时查!O75+目标准!O75+'SMART LEARNING HOLDING'!O75+'SMART AI LIMITED'!O75+'HK01'!O75-(-SUMIFS(合并抵消!$J:$J,合并抵消!$E:$E,$E75,合并抵消!$A:$A,O$2)+SUMIFS(合并抵消!$K:$K,合并抵消!$E:$E,$E75,合并抵消!$A:$A,O$2))</f>
        <v/>
      </c>
      <c r="P75" s="89">
        <f>浙江精准学!P75+知识跳跳!P75+海南精准学!P75+实时查!P75+目标准!P75+'SMART LEARNING HOLDING'!P75+'SMART AI LIMITED'!P75+'HK01'!P75-(-SUMIFS(合并抵消!$J:$J,合并抵消!$E:$E,$E75,合并抵消!$A:$A,P$2)+SUMIFS(合并抵消!$K:$K,合并抵消!$E:$E,$E75,合并抵消!$A:$A,P$2))</f>
        <v/>
      </c>
      <c r="Q75" s="89">
        <f>浙江精准学!Q75+知识跳跳!Q75+海南精准学!Q75+实时查!Q75+目标准!Q75+'SMART LEARNING HOLDING'!Q75+'SMART AI LIMITED'!Q75+'HK01'!Q75-(-SUMIFS(合并抵消!$J:$J,合并抵消!$E:$E,$E75,合并抵消!$A:$A,Q$2)+SUMIFS(合并抵消!$K:$K,合并抵消!$E:$E,$E75,合并抵消!$A:$A,Q$2))</f>
        <v/>
      </c>
      <c r="R75" s="89">
        <f>SUM(F75:Q75)</f>
        <v/>
      </c>
    </row>
    <row r="76" s="83">
      <c r="A76" s="5" t="inlineStr">
        <is>
          <t>研发支出</t>
        </is>
      </c>
      <c r="B76" s="6" t="inlineStr">
        <is>
          <t>产品开发-MAX</t>
        </is>
      </c>
      <c r="D76" s="5" t="inlineStr">
        <is>
          <t>唤醒功能开发</t>
        </is>
      </c>
      <c r="E76" s="6" t="inlineStr">
        <is>
          <t>Q1207</t>
        </is>
      </c>
      <c r="F76" s="89">
        <f>浙江精准学!F76+知识跳跳!F76+海南精准学!F76+实时查!F76+目标准!F76+'SMART LEARNING HOLDING'!F76+'SMART AI LIMITED'!F76+'HK01'!F76-(-SUMIFS(合并抵消!$J:$J,合并抵消!$E:$E,$E76,合并抵消!$A:$A,F$2)+SUMIFS(合并抵消!$K:$K,合并抵消!$E:$E,$E76,合并抵消!$A:$A,F$2))</f>
        <v/>
      </c>
      <c r="G76" s="89">
        <f>浙江精准学!G76+知识跳跳!G76+海南精准学!G76+实时查!G76+目标准!G76+'SMART LEARNING HOLDING'!G76+'SMART AI LIMITED'!G76+'HK01'!G76-(-SUMIFS(合并抵消!$J:$J,合并抵消!$E:$E,$E76,合并抵消!$A:$A,G$2)+SUMIFS(合并抵消!$K:$K,合并抵消!$E:$E,$E76,合并抵消!$A:$A,G$2))</f>
        <v/>
      </c>
      <c r="H76" s="89">
        <f>浙江精准学!H76+知识跳跳!H76+海南精准学!H76+实时查!H76+目标准!H76+'SMART LEARNING HOLDING'!H76+'SMART AI LIMITED'!H76+'HK01'!H76-(-SUMIFS(合并抵消!$J:$J,合并抵消!$E:$E,$E76,合并抵消!$A:$A,H$2)+SUMIFS(合并抵消!$K:$K,合并抵消!$E:$E,$E76,合并抵消!$A:$A,H$2))</f>
        <v/>
      </c>
      <c r="I76" s="89">
        <f>浙江精准学!I76+知识跳跳!I76+海南精准学!I76+实时查!I76+目标准!I76+'SMART LEARNING HOLDING'!I76+'SMART AI LIMITED'!I76+'HK01'!I76-(-SUMIFS(合并抵消!$J:$J,合并抵消!$E:$E,$E76,合并抵消!$A:$A,I$2)+SUMIFS(合并抵消!$K:$K,合并抵消!$E:$E,$E76,合并抵消!$A:$A,I$2))</f>
        <v/>
      </c>
      <c r="J76" s="89">
        <f>浙江精准学!J76+知识跳跳!J76+海南精准学!J76+实时查!J76+目标准!J76+'SMART LEARNING HOLDING'!J76+'SMART AI LIMITED'!J76+'HK01'!J76-(-SUMIFS(合并抵消!$J:$J,合并抵消!$E:$E,$E76,合并抵消!$A:$A,J$2)+SUMIFS(合并抵消!$K:$K,合并抵消!$E:$E,$E76,合并抵消!$A:$A,J$2))</f>
        <v/>
      </c>
      <c r="K76" s="89">
        <f>浙江精准学!K76+知识跳跳!K76+海南精准学!K76+实时查!K76+目标准!K76+'SMART LEARNING HOLDING'!K76+'SMART AI LIMITED'!K76+'HK01'!K76-(-SUMIFS(合并抵消!$J:$J,合并抵消!$E:$E,$E76,合并抵消!$A:$A,K$2)+SUMIFS(合并抵消!$K:$K,合并抵消!$E:$E,$E76,合并抵消!$A:$A,K$2))</f>
        <v/>
      </c>
      <c r="L76" s="89">
        <f>浙江精准学!L76+知识跳跳!L76+海南精准学!L76+实时查!L76+目标准!L76+'SMART LEARNING HOLDING'!L76+'SMART AI LIMITED'!L76+'HK01'!L76-(-SUMIFS(合并抵消!$J:$J,合并抵消!$E:$E,$E76,合并抵消!$A:$A,L$2)+SUMIFS(合并抵消!$K:$K,合并抵消!$E:$E,$E76,合并抵消!$A:$A,L$2))</f>
        <v/>
      </c>
      <c r="M76" s="89">
        <f>浙江精准学!M76+知识跳跳!M76+海南精准学!M76+实时查!M76+目标准!M76+'SMART LEARNING HOLDING'!M76+'SMART AI LIMITED'!M76+'HK01'!M76-(-SUMIFS(合并抵消!$J:$J,合并抵消!$E:$E,$E76,合并抵消!$A:$A,M$2)+SUMIFS(合并抵消!$K:$K,合并抵消!$E:$E,$E76,合并抵消!$A:$A,M$2))</f>
        <v/>
      </c>
      <c r="N76" s="89">
        <f>浙江精准学!N76+知识跳跳!N76+海南精准学!N76+实时查!N76+目标准!N76+'SMART LEARNING HOLDING'!N76+'SMART AI LIMITED'!N76+'HK01'!N76-(-SUMIFS(合并抵消!$J:$J,合并抵消!$E:$E,$E76,合并抵消!$A:$A,N$2)+SUMIFS(合并抵消!$K:$K,合并抵消!$E:$E,$E76,合并抵消!$A:$A,N$2))</f>
        <v/>
      </c>
      <c r="O76" s="89">
        <f>浙江精准学!O76+知识跳跳!O76+海南精准学!O76+实时查!O76+目标准!O76+'SMART LEARNING HOLDING'!O76+'SMART AI LIMITED'!O76+'HK01'!O76-(-SUMIFS(合并抵消!$J:$J,合并抵消!$E:$E,$E76,合并抵消!$A:$A,O$2)+SUMIFS(合并抵消!$K:$K,合并抵消!$E:$E,$E76,合并抵消!$A:$A,O$2))</f>
        <v/>
      </c>
      <c r="P76" s="89">
        <f>浙江精准学!P76+知识跳跳!P76+海南精准学!P76+实时查!P76+目标准!P76+'SMART LEARNING HOLDING'!P76+'SMART AI LIMITED'!P76+'HK01'!P76-(-SUMIFS(合并抵消!$J:$J,合并抵消!$E:$E,$E76,合并抵消!$A:$A,P$2)+SUMIFS(合并抵消!$K:$K,合并抵消!$E:$E,$E76,合并抵消!$A:$A,P$2))</f>
        <v/>
      </c>
      <c r="Q76" s="89">
        <f>浙江精准学!Q76+知识跳跳!Q76+海南精准学!Q76+实时查!Q76+目标准!Q76+'SMART LEARNING HOLDING'!Q76+'SMART AI LIMITED'!Q76+'HK01'!Q76-(-SUMIFS(合并抵消!$J:$J,合并抵消!$E:$E,$E76,合并抵消!$A:$A,Q$2)+SUMIFS(合并抵消!$K:$K,合并抵消!$E:$E,$E76,合并抵消!$A:$A,Q$2))</f>
        <v/>
      </c>
      <c r="R76" s="89">
        <f>SUM(F76:Q76)</f>
        <v/>
      </c>
    </row>
    <row r="77" s="83">
      <c r="A77" s="5" t="inlineStr">
        <is>
          <t>研发支出</t>
        </is>
      </c>
      <c r="B77" s="6" t="inlineStr">
        <is>
          <t>产品开发-MAX</t>
        </is>
      </c>
      <c r="D77" s="5" t="inlineStr">
        <is>
          <t>题库费</t>
        </is>
      </c>
      <c r="E77" s="6" t="inlineStr">
        <is>
          <t>Q1208</t>
        </is>
      </c>
      <c r="F77" s="89">
        <f>浙江精准学!F77+知识跳跳!F77+海南精准学!F77+实时查!F77+目标准!F77+'SMART LEARNING HOLDING'!F77+'SMART AI LIMITED'!F77+'HK01'!F77-(-SUMIFS(合并抵消!$J:$J,合并抵消!$E:$E,$E77,合并抵消!$A:$A,F$2)+SUMIFS(合并抵消!$K:$K,合并抵消!$E:$E,$E77,合并抵消!$A:$A,F$2))</f>
        <v/>
      </c>
      <c r="G77" s="89">
        <f>浙江精准学!G77+知识跳跳!G77+海南精准学!G77+实时查!G77+目标准!G77+'SMART LEARNING HOLDING'!G77+'SMART AI LIMITED'!G77+'HK01'!G77-(-SUMIFS(合并抵消!$J:$J,合并抵消!$E:$E,$E77,合并抵消!$A:$A,G$2)+SUMIFS(合并抵消!$K:$K,合并抵消!$E:$E,$E77,合并抵消!$A:$A,G$2))</f>
        <v/>
      </c>
      <c r="H77" s="89">
        <f>浙江精准学!H77+知识跳跳!H77+海南精准学!H77+实时查!H77+目标准!H77+'SMART LEARNING HOLDING'!H77+'SMART AI LIMITED'!H77+'HK01'!H77-(-SUMIFS(合并抵消!$J:$J,合并抵消!$E:$E,$E77,合并抵消!$A:$A,H$2)+SUMIFS(合并抵消!$K:$K,合并抵消!$E:$E,$E77,合并抵消!$A:$A,H$2))</f>
        <v/>
      </c>
      <c r="I77" s="89">
        <f>浙江精准学!I77+知识跳跳!I77+海南精准学!I77+实时查!I77+目标准!I77+'SMART LEARNING HOLDING'!I77+'SMART AI LIMITED'!I77+'HK01'!I77-(-SUMIFS(合并抵消!$J:$J,合并抵消!$E:$E,$E77,合并抵消!$A:$A,I$2)+SUMIFS(合并抵消!$K:$K,合并抵消!$E:$E,$E77,合并抵消!$A:$A,I$2))</f>
        <v/>
      </c>
      <c r="J77" s="89">
        <f>浙江精准学!J77+知识跳跳!J77+海南精准学!J77+实时查!J77+目标准!J77+'SMART LEARNING HOLDING'!J77+'SMART AI LIMITED'!J77+'HK01'!J77-(-SUMIFS(合并抵消!$J:$J,合并抵消!$E:$E,$E77,合并抵消!$A:$A,J$2)+SUMIFS(合并抵消!$K:$K,合并抵消!$E:$E,$E77,合并抵消!$A:$A,J$2))</f>
        <v/>
      </c>
      <c r="K77" s="89">
        <f>浙江精准学!K77+知识跳跳!K77+海南精准学!K77+实时查!K77+目标准!K77+'SMART LEARNING HOLDING'!K77+'SMART AI LIMITED'!K77+'HK01'!K77-(-SUMIFS(合并抵消!$J:$J,合并抵消!$E:$E,$E77,合并抵消!$A:$A,K$2)+SUMIFS(合并抵消!$K:$K,合并抵消!$E:$E,$E77,合并抵消!$A:$A,K$2))</f>
        <v/>
      </c>
      <c r="L77" s="89">
        <f>浙江精准学!L77+知识跳跳!L77+海南精准学!L77+实时查!L77+目标准!L77+'SMART LEARNING HOLDING'!L77+'SMART AI LIMITED'!L77+'HK01'!L77-(-SUMIFS(合并抵消!$J:$J,合并抵消!$E:$E,$E77,合并抵消!$A:$A,L$2)+SUMIFS(合并抵消!$K:$K,合并抵消!$E:$E,$E77,合并抵消!$A:$A,L$2))</f>
        <v/>
      </c>
      <c r="M77" s="89">
        <f>浙江精准学!M77+知识跳跳!M77+海南精准学!M77+实时查!M77+目标准!M77+'SMART LEARNING HOLDING'!M77+'SMART AI LIMITED'!M77+'HK01'!M77-(-SUMIFS(合并抵消!$J:$J,合并抵消!$E:$E,$E77,合并抵消!$A:$A,M$2)+SUMIFS(合并抵消!$K:$K,合并抵消!$E:$E,$E77,合并抵消!$A:$A,M$2))</f>
        <v/>
      </c>
      <c r="N77" s="89">
        <f>浙江精准学!N77+知识跳跳!N77+海南精准学!N77+实时查!N77+目标准!N77+'SMART LEARNING HOLDING'!N77+'SMART AI LIMITED'!N77+'HK01'!N77-(-SUMIFS(合并抵消!$J:$J,合并抵消!$E:$E,$E77,合并抵消!$A:$A,N$2)+SUMIFS(合并抵消!$K:$K,合并抵消!$E:$E,$E77,合并抵消!$A:$A,N$2))</f>
        <v/>
      </c>
      <c r="O77" s="89">
        <f>浙江精准学!O77+知识跳跳!O77+海南精准学!O77+实时查!O77+目标准!O77+'SMART LEARNING HOLDING'!O77+'SMART AI LIMITED'!O77+'HK01'!O77-(-SUMIFS(合并抵消!$J:$J,合并抵消!$E:$E,$E77,合并抵消!$A:$A,O$2)+SUMIFS(合并抵消!$K:$K,合并抵消!$E:$E,$E77,合并抵消!$A:$A,O$2))</f>
        <v/>
      </c>
      <c r="P77" s="89">
        <f>浙江精准学!P77+知识跳跳!P77+海南精准学!P77+实时查!P77+目标准!P77+'SMART LEARNING HOLDING'!P77+'SMART AI LIMITED'!P77+'HK01'!P77-(-SUMIFS(合并抵消!$J:$J,合并抵消!$E:$E,$E77,合并抵消!$A:$A,P$2)+SUMIFS(合并抵消!$K:$K,合并抵消!$E:$E,$E77,合并抵消!$A:$A,P$2))</f>
        <v/>
      </c>
      <c r="Q77" s="89">
        <f>浙江精准学!Q77+知识跳跳!Q77+海南精准学!Q77+实时查!Q77+目标准!Q77+'SMART LEARNING HOLDING'!Q77+'SMART AI LIMITED'!Q77+'HK01'!Q77-(-SUMIFS(合并抵消!$J:$J,合并抵消!$E:$E,$E77,合并抵消!$A:$A,Q$2)+SUMIFS(合并抵消!$K:$K,合并抵消!$E:$E,$E77,合并抵消!$A:$A,Q$2))</f>
        <v/>
      </c>
      <c r="R77" s="89">
        <f>SUM(F77:Q77)</f>
        <v/>
      </c>
    </row>
    <row r="78" s="83">
      <c r="A78" s="5" t="inlineStr">
        <is>
          <t>研发支出</t>
        </is>
      </c>
      <c r="B78" s="6" t="inlineStr">
        <is>
          <t>产品开发-PRO</t>
        </is>
      </c>
      <c r="C78" s="6" t="inlineStr">
        <is>
          <t>产品开发-PRO</t>
        </is>
      </c>
      <c r="D78" s="5" t="inlineStr">
        <is>
          <t>检测费</t>
        </is>
      </c>
      <c r="E78" s="6" t="inlineStr">
        <is>
          <t>Q1301</t>
        </is>
      </c>
      <c r="F78" s="89">
        <f>浙江精准学!F78+知识跳跳!F78+海南精准学!F78+实时查!F78+目标准!F78+'SMART LEARNING HOLDING'!F78+'SMART AI LIMITED'!F78+'HK01'!F78-(-SUMIFS(合并抵消!$J:$J,合并抵消!$E:$E,$E78,合并抵消!$A:$A,F$2)+SUMIFS(合并抵消!$K:$K,合并抵消!$E:$E,$E78,合并抵消!$A:$A,F$2))</f>
        <v/>
      </c>
      <c r="G78" s="89">
        <f>浙江精准学!G78+知识跳跳!G78+海南精准学!G78+实时查!G78+目标准!G78+'SMART LEARNING HOLDING'!G78+'SMART AI LIMITED'!G78+'HK01'!G78-(-SUMIFS(合并抵消!$J:$J,合并抵消!$E:$E,$E78,合并抵消!$A:$A,G$2)+SUMIFS(合并抵消!$K:$K,合并抵消!$E:$E,$E78,合并抵消!$A:$A,G$2))</f>
        <v/>
      </c>
      <c r="H78" s="89">
        <f>浙江精准学!H78+知识跳跳!H78+海南精准学!H78+实时查!H78+目标准!H78+'SMART LEARNING HOLDING'!H78+'SMART AI LIMITED'!H78+'HK01'!H78-(-SUMIFS(合并抵消!$J:$J,合并抵消!$E:$E,$E78,合并抵消!$A:$A,H$2)+SUMIFS(合并抵消!$K:$K,合并抵消!$E:$E,$E78,合并抵消!$A:$A,H$2))</f>
        <v/>
      </c>
      <c r="I78" s="89">
        <f>浙江精准学!I78+知识跳跳!I78+海南精准学!I78+实时查!I78+目标准!I78+'SMART LEARNING HOLDING'!I78+'SMART AI LIMITED'!I78+'HK01'!I78-(-SUMIFS(合并抵消!$J:$J,合并抵消!$E:$E,$E78,合并抵消!$A:$A,I$2)+SUMIFS(合并抵消!$K:$K,合并抵消!$E:$E,$E78,合并抵消!$A:$A,I$2))</f>
        <v/>
      </c>
      <c r="J78" s="89">
        <f>浙江精准学!J78+知识跳跳!J78+海南精准学!J78+实时查!J78+目标准!J78+'SMART LEARNING HOLDING'!J78+'SMART AI LIMITED'!J78+'HK01'!J78-(-SUMIFS(合并抵消!$J:$J,合并抵消!$E:$E,$E78,合并抵消!$A:$A,J$2)+SUMIFS(合并抵消!$K:$K,合并抵消!$E:$E,$E78,合并抵消!$A:$A,J$2))</f>
        <v/>
      </c>
      <c r="K78" s="89">
        <f>浙江精准学!K78+知识跳跳!K78+海南精准学!K78+实时查!K78+目标准!K78+'SMART LEARNING HOLDING'!K78+'SMART AI LIMITED'!K78+'HK01'!K78-(-SUMIFS(合并抵消!$J:$J,合并抵消!$E:$E,$E78,合并抵消!$A:$A,K$2)+SUMIFS(合并抵消!$K:$K,合并抵消!$E:$E,$E78,合并抵消!$A:$A,K$2))</f>
        <v/>
      </c>
      <c r="L78" s="89">
        <f>浙江精准学!L78+知识跳跳!L78+海南精准学!L78+实时查!L78+目标准!L78+'SMART LEARNING HOLDING'!L78+'SMART AI LIMITED'!L78+'HK01'!L78-(-SUMIFS(合并抵消!$J:$J,合并抵消!$E:$E,$E78,合并抵消!$A:$A,L$2)+SUMIFS(合并抵消!$K:$K,合并抵消!$E:$E,$E78,合并抵消!$A:$A,L$2))</f>
        <v/>
      </c>
      <c r="M78" s="89">
        <f>浙江精准学!M78+知识跳跳!M78+海南精准学!M78+实时查!M78+目标准!M78+'SMART LEARNING HOLDING'!M78+'SMART AI LIMITED'!M78+'HK01'!M78-(-SUMIFS(合并抵消!$J:$J,合并抵消!$E:$E,$E78,合并抵消!$A:$A,M$2)+SUMIFS(合并抵消!$K:$K,合并抵消!$E:$E,$E78,合并抵消!$A:$A,M$2))</f>
        <v/>
      </c>
      <c r="N78" s="89">
        <f>浙江精准学!N78+知识跳跳!N78+海南精准学!N78+实时查!N78+目标准!N78+'SMART LEARNING HOLDING'!N78+'SMART AI LIMITED'!N78+'HK01'!N78-(-SUMIFS(合并抵消!$J:$J,合并抵消!$E:$E,$E78,合并抵消!$A:$A,N$2)+SUMIFS(合并抵消!$K:$K,合并抵消!$E:$E,$E78,合并抵消!$A:$A,N$2))</f>
        <v/>
      </c>
      <c r="O78" s="89">
        <f>浙江精准学!O78+知识跳跳!O78+海南精准学!O78+实时查!O78+目标准!O78+'SMART LEARNING HOLDING'!O78+'SMART AI LIMITED'!O78+'HK01'!O78-(-SUMIFS(合并抵消!$J:$J,合并抵消!$E:$E,$E78,合并抵消!$A:$A,O$2)+SUMIFS(合并抵消!$K:$K,合并抵消!$E:$E,$E78,合并抵消!$A:$A,O$2))</f>
        <v/>
      </c>
      <c r="P78" s="89">
        <f>浙江精准学!P78+知识跳跳!P78+海南精准学!P78+实时查!P78+目标准!P78+'SMART LEARNING HOLDING'!P78+'SMART AI LIMITED'!P78+'HK01'!P78-(-SUMIFS(合并抵消!$J:$J,合并抵消!$E:$E,$E78,合并抵消!$A:$A,P$2)+SUMIFS(合并抵消!$K:$K,合并抵消!$E:$E,$E78,合并抵消!$A:$A,P$2))</f>
        <v/>
      </c>
      <c r="Q78" s="89">
        <f>浙江精准学!Q78+知识跳跳!Q78+海南精准学!Q78+实时查!Q78+目标准!Q78+'SMART LEARNING HOLDING'!Q78+'SMART AI LIMITED'!Q78+'HK01'!Q78-(-SUMIFS(合并抵消!$J:$J,合并抵消!$E:$E,$E78,合并抵消!$A:$A,Q$2)+SUMIFS(合并抵消!$K:$K,合并抵消!$E:$E,$E78,合并抵消!$A:$A,Q$2))</f>
        <v/>
      </c>
      <c r="R78" s="89">
        <f>SUM(F78:Q78)</f>
        <v/>
      </c>
    </row>
    <row r="79" s="83">
      <c r="A79" s="5" t="inlineStr">
        <is>
          <t>研发支出</t>
        </is>
      </c>
      <c r="B79" s="6" t="inlineStr">
        <is>
          <t>产品开发-PRO</t>
        </is>
      </c>
      <c r="D79" s="5" t="inlineStr">
        <is>
          <t>认证费</t>
        </is>
      </c>
      <c r="E79" s="6" t="inlineStr">
        <is>
          <t>Q1302</t>
        </is>
      </c>
      <c r="F79" s="89">
        <f>浙江精准学!F79+知识跳跳!F79+海南精准学!F79+实时查!F79+目标准!F79+'SMART LEARNING HOLDING'!F79+'SMART AI LIMITED'!F79+'HK01'!F79-(-SUMIFS(合并抵消!$J:$J,合并抵消!$E:$E,$E79,合并抵消!$A:$A,F$2)+SUMIFS(合并抵消!$K:$K,合并抵消!$E:$E,$E79,合并抵消!$A:$A,F$2))</f>
        <v/>
      </c>
      <c r="G79" s="89">
        <f>浙江精准学!G79+知识跳跳!G79+海南精准学!G79+实时查!G79+目标准!G79+'SMART LEARNING HOLDING'!G79+'SMART AI LIMITED'!G79+'HK01'!G79-(-SUMIFS(合并抵消!$J:$J,合并抵消!$E:$E,$E79,合并抵消!$A:$A,G$2)+SUMIFS(合并抵消!$K:$K,合并抵消!$E:$E,$E79,合并抵消!$A:$A,G$2))</f>
        <v/>
      </c>
      <c r="H79" s="89">
        <f>浙江精准学!H79+知识跳跳!H79+海南精准学!H79+实时查!H79+目标准!H79+'SMART LEARNING HOLDING'!H79+'SMART AI LIMITED'!H79+'HK01'!H79-(-SUMIFS(合并抵消!$J:$J,合并抵消!$E:$E,$E79,合并抵消!$A:$A,H$2)+SUMIFS(合并抵消!$K:$K,合并抵消!$E:$E,$E79,合并抵消!$A:$A,H$2))</f>
        <v/>
      </c>
      <c r="I79" s="89">
        <f>浙江精准学!I79+知识跳跳!I79+海南精准学!I79+实时查!I79+目标准!I79+'SMART LEARNING HOLDING'!I79+'SMART AI LIMITED'!I79+'HK01'!I79-(-SUMIFS(合并抵消!$J:$J,合并抵消!$E:$E,$E79,合并抵消!$A:$A,I$2)+SUMIFS(合并抵消!$K:$K,合并抵消!$E:$E,$E79,合并抵消!$A:$A,I$2))</f>
        <v/>
      </c>
      <c r="J79" s="89">
        <f>浙江精准学!J79+知识跳跳!J79+海南精准学!J79+实时查!J79+目标准!J79+'SMART LEARNING HOLDING'!J79+'SMART AI LIMITED'!J79+'HK01'!J79-(-SUMIFS(合并抵消!$J:$J,合并抵消!$E:$E,$E79,合并抵消!$A:$A,J$2)+SUMIFS(合并抵消!$K:$K,合并抵消!$E:$E,$E79,合并抵消!$A:$A,J$2))</f>
        <v/>
      </c>
      <c r="K79" s="89">
        <f>浙江精准学!K79+知识跳跳!K79+海南精准学!K79+实时查!K79+目标准!K79+'SMART LEARNING HOLDING'!K79+'SMART AI LIMITED'!K79+'HK01'!K79-(-SUMIFS(合并抵消!$J:$J,合并抵消!$E:$E,$E79,合并抵消!$A:$A,K$2)+SUMIFS(合并抵消!$K:$K,合并抵消!$E:$E,$E79,合并抵消!$A:$A,K$2))</f>
        <v/>
      </c>
      <c r="L79" s="89">
        <f>浙江精准学!L79+知识跳跳!L79+海南精准学!L79+实时查!L79+目标准!L79+'SMART LEARNING HOLDING'!L79+'SMART AI LIMITED'!L79+'HK01'!L79-(-SUMIFS(合并抵消!$J:$J,合并抵消!$E:$E,$E79,合并抵消!$A:$A,L$2)+SUMIFS(合并抵消!$K:$K,合并抵消!$E:$E,$E79,合并抵消!$A:$A,L$2))</f>
        <v/>
      </c>
      <c r="M79" s="89">
        <f>浙江精准学!M79+知识跳跳!M79+海南精准学!M79+实时查!M79+目标准!M79+'SMART LEARNING HOLDING'!M79+'SMART AI LIMITED'!M79+'HK01'!M79-(-SUMIFS(合并抵消!$J:$J,合并抵消!$E:$E,$E79,合并抵消!$A:$A,M$2)+SUMIFS(合并抵消!$K:$K,合并抵消!$E:$E,$E79,合并抵消!$A:$A,M$2))</f>
        <v/>
      </c>
      <c r="N79" s="89">
        <f>浙江精准学!N79+知识跳跳!N79+海南精准学!N79+实时查!N79+目标准!N79+'SMART LEARNING HOLDING'!N79+'SMART AI LIMITED'!N79+'HK01'!N79-(-SUMIFS(合并抵消!$J:$J,合并抵消!$E:$E,$E79,合并抵消!$A:$A,N$2)+SUMIFS(合并抵消!$K:$K,合并抵消!$E:$E,$E79,合并抵消!$A:$A,N$2))</f>
        <v/>
      </c>
      <c r="O79" s="89">
        <f>浙江精准学!O79+知识跳跳!O79+海南精准学!O79+实时查!O79+目标准!O79+'SMART LEARNING HOLDING'!O79+'SMART AI LIMITED'!O79+'HK01'!O79-(-SUMIFS(合并抵消!$J:$J,合并抵消!$E:$E,$E79,合并抵消!$A:$A,O$2)+SUMIFS(合并抵消!$K:$K,合并抵消!$E:$E,$E79,合并抵消!$A:$A,O$2))</f>
        <v/>
      </c>
      <c r="P79" s="89">
        <f>浙江精准学!P79+知识跳跳!P79+海南精准学!P79+实时查!P79+目标准!P79+'SMART LEARNING HOLDING'!P79+'SMART AI LIMITED'!P79+'HK01'!P79-(-SUMIFS(合并抵消!$J:$J,合并抵消!$E:$E,$E79,合并抵消!$A:$A,P$2)+SUMIFS(合并抵消!$K:$K,合并抵消!$E:$E,$E79,合并抵消!$A:$A,P$2))</f>
        <v/>
      </c>
      <c r="Q79" s="89">
        <f>浙江精准学!Q79+知识跳跳!Q79+海南精准学!Q79+实时查!Q79+目标准!Q79+'SMART LEARNING HOLDING'!Q79+'SMART AI LIMITED'!Q79+'HK01'!Q79-(-SUMIFS(合并抵消!$J:$J,合并抵消!$E:$E,$E79,合并抵消!$A:$A,Q$2)+SUMIFS(合并抵消!$K:$K,合并抵消!$E:$E,$E79,合并抵消!$A:$A,Q$2))</f>
        <v/>
      </c>
      <c r="R79" s="89">
        <f>SUM(F79:Q79)</f>
        <v/>
      </c>
    </row>
    <row r="80" s="83">
      <c r="A80" s="5" t="inlineStr">
        <is>
          <t>研发支出</t>
        </is>
      </c>
      <c r="B80" s="6" t="inlineStr">
        <is>
          <t>产品开发-PRO</t>
        </is>
      </c>
      <c r="D80" s="5" t="inlineStr">
        <is>
          <t>设计费</t>
        </is>
      </c>
      <c r="E80" s="6" t="inlineStr">
        <is>
          <t>Q1303</t>
        </is>
      </c>
      <c r="F80" s="89">
        <f>浙江精准学!F80+知识跳跳!F80+海南精准学!F80+实时查!F80+目标准!F80+'SMART LEARNING HOLDING'!F80+'SMART AI LIMITED'!F80+'HK01'!F80-(-SUMIFS(合并抵消!$J:$J,合并抵消!$E:$E,$E80,合并抵消!$A:$A,F$2)+SUMIFS(合并抵消!$K:$K,合并抵消!$E:$E,$E80,合并抵消!$A:$A,F$2))</f>
        <v/>
      </c>
      <c r="G80" s="89">
        <f>浙江精准学!G80+知识跳跳!G80+海南精准学!G80+实时查!G80+目标准!G80+'SMART LEARNING HOLDING'!G80+'SMART AI LIMITED'!G80+'HK01'!G80-(-SUMIFS(合并抵消!$J:$J,合并抵消!$E:$E,$E80,合并抵消!$A:$A,G$2)+SUMIFS(合并抵消!$K:$K,合并抵消!$E:$E,$E80,合并抵消!$A:$A,G$2))</f>
        <v/>
      </c>
      <c r="H80" s="89">
        <f>浙江精准学!H80+知识跳跳!H80+海南精准学!H80+实时查!H80+目标准!H80+'SMART LEARNING HOLDING'!H80+'SMART AI LIMITED'!H80+'HK01'!H80-(-SUMIFS(合并抵消!$J:$J,合并抵消!$E:$E,$E80,合并抵消!$A:$A,H$2)+SUMIFS(合并抵消!$K:$K,合并抵消!$E:$E,$E80,合并抵消!$A:$A,H$2))</f>
        <v/>
      </c>
      <c r="I80" s="89">
        <f>浙江精准学!I80+知识跳跳!I80+海南精准学!I80+实时查!I80+目标准!I80+'SMART LEARNING HOLDING'!I80+'SMART AI LIMITED'!I80+'HK01'!I80-(-SUMIFS(合并抵消!$J:$J,合并抵消!$E:$E,$E80,合并抵消!$A:$A,I$2)+SUMIFS(合并抵消!$K:$K,合并抵消!$E:$E,$E80,合并抵消!$A:$A,I$2))</f>
        <v/>
      </c>
      <c r="J80" s="89">
        <f>浙江精准学!J80+知识跳跳!J80+海南精准学!J80+实时查!J80+目标准!J80+'SMART LEARNING HOLDING'!J80+'SMART AI LIMITED'!J80+'HK01'!J80-(-SUMIFS(合并抵消!$J:$J,合并抵消!$E:$E,$E80,合并抵消!$A:$A,J$2)+SUMIFS(合并抵消!$K:$K,合并抵消!$E:$E,$E80,合并抵消!$A:$A,J$2))</f>
        <v/>
      </c>
      <c r="K80" s="89">
        <f>浙江精准学!K80+知识跳跳!K80+海南精准学!K80+实时查!K80+目标准!K80+'SMART LEARNING HOLDING'!K80+'SMART AI LIMITED'!K80+'HK01'!K80-(-SUMIFS(合并抵消!$J:$J,合并抵消!$E:$E,$E80,合并抵消!$A:$A,K$2)+SUMIFS(合并抵消!$K:$K,合并抵消!$E:$E,$E80,合并抵消!$A:$A,K$2))</f>
        <v/>
      </c>
      <c r="L80" s="89">
        <f>浙江精准学!L80+知识跳跳!L80+海南精准学!L80+实时查!L80+目标准!L80+'SMART LEARNING HOLDING'!L80+'SMART AI LIMITED'!L80+'HK01'!L80-(-SUMIFS(合并抵消!$J:$J,合并抵消!$E:$E,$E80,合并抵消!$A:$A,L$2)+SUMIFS(合并抵消!$K:$K,合并抵消!$E:$E,$E80,合并抵消!$A:$A,L$2))</f>
        <v/>
      </c>
      <c r="M80" s="89">
        <f>浙江精准学!M80+知识跳跳!M80+海南精准学!M80+实时查!M80+目标准!M80+'SMART LEARNING HOLDING'!M80+'SMART AI LIMITED'!M80+'HK01'!M80-(-SUMIFS(合并抵消!$J:$J,合并抵消!$E:$E,$E80,合并抵消!$A:$A,M$2)+SUMIFS(合并抵消!$K:$K,合并抵消!$E:$E,$E80,合并抵消!$A:$A,M$2))</f>
        <v/>
      </c>
      <c r="N80" s="89">
        <f>浙江精准学!N80+知识跳跳!N80+海南精准学!N80+实时查!N80+目标准!N80+'SMART LEARNING HOLDING'!N80+'SMART AI LIMITED'!N80+'HK01'!N80-(-SUMIFS(合并抵消!$J:$J,合并抵消!$E:$E,$E80,合并抵消!$A:$A,N$2)+SUMIFS(合并抵消!$K:$K,合并抵消!$E:$E,$E80,合并抵消!$A:$A,N$2))</f>
        <v/>
      </c>
      <c r="O80" s="89">
        <f>浙江精准学!O80+知识跳跳!O80+海南精准学!O80+实时查!O80+目标准!O80+'SMART LEARNING HOLDING'!O80+'SMART AI LIMITED'!O80+'HK01'!O80-(-SUMIFS(合并抵消!$J:$J,合并抵消!$E:$E,$E80,合并抵消!$A:$A,O$2)+SUMIFS(合并抵消!$K:$K,合并抵消!$E:$E,$E80,合并抵消!$A:$A,O$2))</f>
        <v/>
      </c>
      <c r="P80" s="89">
        <f>浙江精准学!P80+知识跳跳!P80+海南精准学!P80+实时查!P80+目标准!P80+'SMART LEARNING HOLDING'!P80+'SMART AI LIMITED'!P80+'HK01'!P80-(-SUMIFS(合并抵消!$J:$J,合并抵消!$E:$E,$E80,合并抵消!$A:$A,P$2)+SUMIFS(合并抵消!$K:$K,合并抵消!$E:$E,$E80,合并抵消!$A:$A,P$2))</f>
        <v/>
      </c>
      <c r="Q80" s="89">
        <f>浙江精准学!Q80+知识跳跳!Q80+海南精准学!Q80+实时查!Q80+目标准!Q80+'SMART LEARNING HOLDING'!Q80+'SMART AI LIMITED'!Q80+'HK01'!Q80-(-SUMIFS(合并抵消!$J:$J,合并抵消!$E:$E,$E80,合并抵消!$A:$A,Q$2)+SUMIFS(合并抵消!$K:$K,合并抵消!$E:$E,$E80,合并抵消!$A:$A,Q$2))</f>
        <v/>
      </c>
      <c r="R80" s="89">
        <f>SUM(F80:Q80)</f>
        <v/>
      </c>
    </row>
    <row r="81" s="83">
      <c r="A81" s="5" t="inlineStr">
        <is>
          <t>研发支出</t>
        </is>
      </c>
      <c r="B81" s="6" t="inlineStr">
        <is>
          <t>产品开发-PRO</t>
        </is>
      </c>
      <c r="D81" s="5" t="inlineStr">
        <is>
          <t>OTA费用</t>
        </is>
      </c>
      <c r="E81" s="6" t="inlineStr">
        <is>
          <t>Q1304</t>
        </is>
      </c>
      <c r="F81" s="89">
        <f>浙江精准学!F81+知识跳跳!F81+海南精准学!F81+实时查!F81+目标准!F81+'SMART LEARNING HOLDING'!F81+'SMART AI LIMITED'!F81+'HK01'!F81-(-SUMIFS(合并抵消!$J:$J,合并抵消!$E:$E,$E81,合并抵消!$A:$A,F$2)+SUMIFS(合并抵消!$K:$K,合并抵消!$E:$E,$E81,合并抵消!$A:$A,F$2))</f>
        <v/>
      </c>
      <c r="G81" s="89">
        <f>浙江精准学!G81+知识跳跳!G81+海南精准学!G81+实时查!G81+目标准!G81+'SMART LEARNING HOLDING'!G81+'SMART AI LIMITED'!G81+'HK01'!G81-(-SUMIFS(合并抵消!$J:$J,合并抵消!$E:$E,$E81,合并抵消!$A:$A,G$2)+SUMIFS(合并抵消!$K:$K,合并抵消!$E:$E,$E81,合并抵消!$A:$A,G$2))</f>
        <v/>
      </c>
      <c r="H81" s="89">
        <f>浙江精准学!H81+知识跳跳!H81+海南精准学!H81+实时查!H81+目标准!H81+'SMART LEARNING HOLDING'!H81+'SMART AI LIMITED'!H81+'HK01'!H81-(-SUMIFS(合并抵消!$J:$J,合并抵消!$E:$E,$E81,合并抵消!$A:$A,H$2)+SUMIFS(合并抵消!$K:$K,合并抵消!$E:$E,$E81,合并抵消!$A:$A,H$2))</f>
        <v/>
      </c>
      <c r="I81" s="89">
        <f>浙江精准学!I81+知识跳跳!I81+海南精准学!I81+实时查!I81+目标准!I81+'SMART LEARNING HOLDING'!I81+'SMART AI LIMITED'!I81+'HK01'!I81-(-SUMIFS(合并抵消!$J:$J,合并抵消!$E:$E,$E81,合并抵消!$A:$A,I$2)+SUMIFS(合并抵消!$K:$K,合并抵消!$E:$E,$E81,合并抵消!$A:$A,I$2))</f>
        <v/>
      </c>
      <c r="J81" s="89">
        <f>浙江精准学!J81+知识跳跳!J81+海南精准学!J81+实时查!J81+目标准!J81+'SMART LEARNING HOLDING'!J81+'SMART AI LIMITED'!J81+'HK01'!J81-(-SUMIFS(合并抵消!$J:$J,合并抵消!$E:$E,$E81,合并抵消!$A:$A,J$2)+SUMIFS(合并抵消!$K:$K,合并抵消!$E:$E,$E81,合并抵消!$A:$A,J$2))</f>
        <v/>
      </c>
      <c r="K81" s="89">
        <f>浙江精准学!K81+知识跳跳!K81+海南精准学!K81+实时查!K81+目标准!K81+'SMART LEARNING HOLDING'!K81+'SMART AI LIMITED'!K81+'HK01'!K81-(-SUMIFS(合并抵消!$J:$J,合并抵消!$E:$E,$E81,合并抵消!$A:$A,K$2)+SUMIFS(合并抵消!$K:$K,合并抵消!$E:$E,$E81,合并抵消!$A:$A,K$2))</f>
        <v/>
      </c>
      <c r="L81" s="89">
        <f>浙江精准学!L81+知识跳跳!L81+海南精准学!L81+实时查!L81+目标准!L81+'SMART LEARNING HOLDING'!L81+'SMART AI LIMITED'!L81+'HK01'!L81-(-SUMIFS(合并抵消!$J:$J,合并抵消!$E:$E,$E81,合并抵消!$A:$A,L$2)+SUMIFS(合并抵消!$K:$K,合并抵消!$E:$E,$E81,合并抵消!$A:$A,L$2))</f>
        <v/>
      </c>
      <c r="M81" s="89">
        <f>浙江精准学!M81+知识跳跳!M81+海南精准学!M81+实时查!M81+目标准!M81+'SMART LEARNING HOLDING'!M81+'SMART AI LIMITED'!M81+'HK01'!M81-(-SUMIFS(合并抵消!$J:$J,合并抵消!$E:$E,$E81,合并抵消!$A:$A,M$2)+SUMIFS(合并抵消!$K:$K,合并抵消!$E:$E,$E81,合并抵消!$A:$A,M$2))</f>
        <v/>
      </c>
      <c r="N81" s="89">
        <f>浙江精准学!N81+知识跳跳!N81+海南精准学!N81+实时查!N81+目标准!N81+'SMART LEARNING HOLDING'!N81+'SMART AI LIMITED'!N81+'HK01'!N81-(-SUMIFS(合并抵消!$J:$J,合并抵消!$E:$E,$E81,合并抵消!$A:$A,N$2)+SUMIFS(合并抵消!$K:$K,合并抵消!$E:$E,$E81,合并抵消!$A:$A,N$2))</f>
        <v/>
      </c>
      <c r="O81" s="89">
        <f>浙江精准学!O81+知识跳跳!O81+海南精准学!O81+实时查!O81+目标准!O81+'SMART LEARNING HOLDING'!O81+'SMART AI LIMITED'!O81+'HK01'!O81-(-SUMIFS(合并抵消!$J:$J,合并抵消!$E:$E,$E81,合并抵消!$A:$A,O$2)+SUMIFS(合并抵消!$K:$K,合并抵消!$E:$E,$E81,合并抵消!$A:$A,O$2))</f>
        <v/>
      </c>
      <c r="P81" s="89">
        <f>浙江精准学!P81+知识跳跳!P81+海南精准学!P81+实时查!P81+目标准!P81+'SMART LEARNING HOLDING'!P81+'SMART AI LIMITED'!P81+'HK01'!P81-(-SUMIFS(合并抵消!$J:$J,合并抵消!$E:$E,$E81,合并抵消!$A:$A,P$2)+SUMIFS(合并抵消!$K:$K,合并抵消!$E:$E,$E81,合并抵消!$A:$A,P$2))</f>
        <v/>
      </c>
      <c r="Q81" s="89">
        <f>浙江精准学!Q81+知识跳跳!Q81+海南精准学!Q81+实时查!Q81+目标准!Q81+'SMART LEARNING HOLDING'!Q81+'SMART AI LIMITED'!Q81+'HK01'!Q81-(-SUMIFS(合并抵消!$J:$J,合并抵消!$E:$E,$E81,合并抵消!$A:$A,Q$2)+SUMIFS(合并抵消!$K:$K,合并抵消!$E:$E,$E81,合并抵消!$A:$A,Q$2))</f>
        <v/>
      </c>
      <c r="R81" s="89">
        <f>SUM(F81:Q81)</f>
        <v/>
      </c>
    </row>
    <row r="82" s="83">
      <c r="A82" s="5" t="inlineStr">
        <is>
          <t>研发支出</t>
        </is>
      </c>
      <c r="B82" s="6" t="inlineStr">
        <is>
          <t>产品开发-PRO</t>
        </is>
      </c>
      <c r="D82" s="5" t="inlineStr">
        <is>
          <t>模具费用</t>
        </is>
      </c>
      <c r="E82" s="6" t="inlineStr">
        <is>
          <t>Q1305</t>
        </is>
      </c>
      <c r="F82" s="89">
        <f>浙江精准学!F82+知识跳跳!F82+海南精准学!F82+实时查!F82+目标准!F82+'SMART LEARNING HOLDING'!F82+'SMART AI LIMITED'!F82+'HK01'!F82-(-SUMIFS(合并抵消!$J:$J,合并抵消!$E:$E,$E82,合并抵消!$A:$A,F$2)+SUMIFS(合并抵消!$K:$K,合并抵消!$E:$E,$E82,合并抵消!$A:$A,F$2))</f>
        <v/>
      </c>
      <c r="G82" s="89">
        <f>浙江精准学!G82+知识跳跳!G82+海南精准学!G82+实时查!G82+目标准!G82+'SMART LEARNING HOLDING'!G82+'SMART AI LIMITED'!G82+'HK01'!G82-(-SUMIFS(合并抵消!$J:$J,合并抵消!$E:$E,$E82,合并抵消!$A:$A,G$2)+SUMIFS(合并抵消!$K:$K,合并抵消!$E:$E,$E82,合并抵消!$A:$A,G$2))</f>
        <v/>
      </c>
      <c r="H82" s="89">
        <f>浙江精准学!H82+知识跳跳!H82+海南精准学!H82+实时查!H82+目标准!H82+'SMART LEARNING HOLDING'!H82+'SMART AI LIMITED'!H82+'HK01'!H82-(-SUMIFS(合并抵消!$J:$J,合并抵消!$E:$E,$E82,合并抵消!$A:$A,H$2)+SUMIFS(合并抵消!$K:$K,合并抵消!$E:$E,$E82,合并抵消!$A:$A,H$2))</f>
        <v/>
      </c>
      <c r="I82" s="89">
        <f>浙江精准学!I82+知识跳跳!I82+海南精准学!I82+实时查!I82+目标准!I82+'SMART LEARNING HOLDING'!I82+'SMART AI LIMITED'!I82+'HK01'!I82-(-SUMIFS(合并抵消!$J:$J,合并抵消!$E:$E,$E82,合并抵消!$A:$A,I$2)+SUMIFS(合并抵消!$K:$K,合并抵消!$E:$E,$E82,合并抵消!$A:$A,I$2))</f>
        <v/>
      </c>
      <c r="J82" s="89">
        <f>浙江精准学!J82+知识跳跳!J82+海南精准学!J82+实时查!J82+目标准!J82+'SMART LEARNING HOLDING'!J82+'SMART AI LIMITED'!J82+'HK01'!J82-(-SUMIFS(合并抵消!$J:$J,合并抵消!$E:$E,$E82,合并抵消!$A:$A,J$2)+SUMIFS(合并抵消!$K:$K,合并抵消!$E:$E,$E82,合并抵消!$A:$A,J$2))</f>
        <v/>
      </c>
      <c r="K82" s="89">
        <f>浙江精准学!K82+知识跳跳!K82+海南精准学!K82+实时查!K82+目标准!K82+'SMART LEARNING HOLDING'!K82+'SMART AI LIMITED'!K82+'HK01'!K82-(-SUMIFS(合并抵消!$J:$J,合并抵消!$E:$E,$E82,合并抵消!$A:$A,K$2)+SUMIFS(合并抵消!$K:$K,合并抵消!$E:$E,$E82,合并抵消!$A:$A,K$2))</f>
        <v/>
      </c>
      <c r="L82" s="89">
        <f>浙江精准学!L82+知识跳跳!L82+海南精准学!L82+实时查!L82+目标准!L82+'SMART LEARNING HOLDING'!L82+'SMART AI LIMITED'!L82+'HK01'!L82-(-SUMIFS(合并抵消!$J:$J,合并抵消!$E:$E,$E82,合并抵消!$A:$A,L$2)+SUMIFS(合并抵消!$K:$K,合并抵消!$E:$E,$E82,合并抵消!$A:$A,L$2))</f>
        <v/>
      </c>
      <c r="M82" s="89">
        <f>浙江精准学!M82+知识跳跳!M82+海南精准学!M82+实时查!M82+目标准!M82+'SMART LEARNING HOLDING'!M82+'SMART AI LIMITED'!M82+'HK01'!M82-(-SUMIFS(合并抵消!$J:$J,合并抵消!$E:$E,$E82,合并抵消!$A:$A,M$2)+SUMIFS(合并抵消!$K:$K,合并抵消!$E:$E,$E82,合并抵消!$A:$A,M$2))</f>
        <v/>
      </c>
      <c r="N82" s="89">
        <f>浙江精准学!N82+知识跳跳!N82+海南精准学!N82+实时查!N82+目标准!N82+'SMART LEARNING HOLDING'!N82+'SMART AI LIMITED'!N82+'HK01'!N82-(-SUMIFS(合并抵消!$J:$J,合并抵消!$E:$E,$E82,合并抵消!$A:$A,N$2)+SUMIFS(合并抵消!$K:$K,合并抵消!$E:$E,$E82,合并抵消!$A:$A,N$2))</f>
        <v/>
      </c>
      <c r="O82" s="89">
        <f>浙江精准学!O82+知识跳跳!O82+海南精准学!O82+实时查!O82+目标准!O82+'SMART LEARNING HOLDING'!O82+'SMART AI LIMITED'!O82+'HK01'!O82-(-SUMIFS(合并抵消!$J:$J,合并抵消!$E:$E,$E82,合并抵消!$A:$A,O$2)+SUMIFS(合并抵消!$K:$K,合并抵消!$E:$E,$E82,合并抵消!$A:$A,O$2))</f>
        <v/>
      </c>
      <c r="P82" s="89">
        <f>浙江精准学!P82+知识跳跳!P82+海南精准学!P82+实时查!P82+目标准!P82+'SMART LEARNING HOLDING'!P82+'SMART AI LIMITED'!P82+'HK01'!P82-(-SUMIFS(合并抵消!$J:$J,合并抵消!$E:$E,$E82,合并抵消!$A:$A,P$2)+SUMIFS(合并抵消!$K:$K,合并抵消!$E:$E,$E82,合并抵消!$A:$A,P$2))</f>
        <v/>
      </c>
      <c r="Q82" s="89">
        <f>浙江精准学!Q82+知识跳跳!Q82+海南精准学!Q82+实时查!Q82+目标准!Q82+'SMART LEARNING HOLDING'!Q82+'SMART AI LIMITED'!Q82+'HK01'!Q82-(-SUMIFS(合并抵消!$J:$J,合并抵消!$E:$E,$E82,合并抵消!$A:$A,Q$2)+SUMIFS(合并抵消!$K:$K,合并抵消!$E:$E,$E82,合并抵消!$A:$A,Q$2))</f>
        <v/>
      </c>
      <c r="R82" s="89">
        <f>SUM(F82:Q82)</f>
        <v/>
      </c>
    </row>
    <row r="83" s="83">
      <c r="A83" s="5" t="inlineStr">
        <is>
          <t>研发支出</t>
        </is>
      </c>
      <c r="B83" s="6" t="inlineStr">
        <is>
          <t>产品开发-PRO</t>
        </is>
      </c>
      <c r="D83" s="5" t="inlineStr">
        <is>
          <t>BOE研发费</t>
        </is>
      </c>
      <c r="E83" s="6" t="inlineStr">
        <is>
          <t>Q1306</t>
        </is>
      </c>
      <c r="F83" s="89">
        <f>浙江精准学!F83+知识跳跳!F83+海南精准学!F83+实时查!F83+目标准!F83+'SMART LEARNING HOLDING'!F83+'SMART AI LIMITED'!F83+'HK01'!F83-(-SUMIFS(合并抵消!$J:$J,合并抵消!$E:$E,$E83,合并抵消!$A:$A,F$2)+SUMIFS(合并抵消!$K:$K,合并抵消!$E:$E,$E83,合并抵消!$A:$A,F$2))</f>
        <v/>
      </c>
      <c r="G83" s="89">
        <f>浙江精准学!G83+知识跳跳!G83+海南精准学!G83+实时查!G83+目标准!G83+'SMART LEARNING HOLDING'!G83+'SMART AI LIMITED'!G83+'HK01'!G83-(-SUMIFS(合并抵消!$J:$J,合并抵消!$E:$E,$E83,合并抵消!$A:$A,G$2)+SUMIFS(合并抵消!$K:$K,合并抵消!$E:$E,$E83,合并抵消!$A:$A,G$2))</f>
        <v/>
      </c>
      <c r="H83" s="89">
        <f>浙江精准学!H83+知识跳跳!H83+海南精准学!H83+实时查!H83+目标准!H83+'SMART LEARNING HOLDING'!H83+'SMART AI LIMITED'!H83+'HK01'!H83-(-SUMIFS(合并抵消!$J:$J,合并抵消!$E:$E,$E83,合并抵消!$A:$A,H$2)+SUMIFS(合并抵消!$K:$K,合并抵消!$E:$E,$E83,合并抵消!$A:$A,H$2))</f>
        <v/>
      </c>
      <c r="I83" s="89">
        <f>浙江精准学!I83+知识跳跳!I83+海南精准学!I83+实时查!I83+目标准!I83+'SMART LEARNING HOLDING'!I83+'SMART AI LIMITED'!I83+'HK01'!I83-(-SUMIFS(合并抵消!$J:$J,合并抵消!$E:$E,$E83,合并抵消!$A:$A,I$2)+SUMIFS(合并抵消!$K:$K,合并抵消!$E:$E,$E83,合并抵消!$A:$A,I$2))</f>
        <v/>
      </c>
      <c r="J83" s="89">
        <f>浙江精准学!J83+知识跳跳!J83+海南精准学!J83+实时查!J83+目标准!J83+'SMART LEARNING HOLDING'!J83+'SMART AI LIMITED'!J83+'HK01'!J83-(-SUMIFS(合并抵消!$J:$J,合并抵消!$E:$E,$E83,合并抵消!$A:$A,J$2)+SUMIFS(合并抵消!$K:$K,合并抵消!$E:$E,$E83,合并抵消!$A:$A,J$2))</f>
        <v/>
      </c>
      <c r="K83" s="89">
        <f>浙江精准学!K83+知识跳跳!K83+海南精准学!K83+实时查!K83+目标准!K83+'SMART LEARNING HOLDING'!K83+'SMART AI LIMITED'!K83+'HK01'!K83-(-SUMIFS(合并抵消!$J:$J,合并抵消!$E:$E,$E83,合并抵消!$A:$A,K$2)+SUMIFS(合并抵消!$K:$K,合并抵消!$E:$E,$E83,合并抵消!$A:$A,K$2))</f>
        <v/>
      </c>
      <c r="L83" s="89">
        <f>浙江精准学!L83+知识跳跳!L83+海南精准学!L83+实时查!L83+目标准!L83+'SMART LEARNING HOLDING'!L83+'SMART AI LIMITED'!L83+'HK01'!L83-(-SUMIFS(合并抵消!$J:$J,合并抵消!$E:$E,$E83,合并抵消!$A:$A,L$2)+SUMIFS(合并抵消!$K:$K,合并抵消!$E:$E,$E83,合并抵消!$A:$A,L$2))</f>
        <v/>
      </c>
      <c r="M83" s="89">
        <f>浙江精准学!M83+知识跳跳!M83+海南精准学!M83+实时查!M83+目标准!M83+'SMART LEARNING HOLDING'!M83+'SMART AI LIMITED'!M83+'HK01'!M83-(-SUMIFS(合并抵消!$J:$J,合并抵消!$E:$E,$E83,合并抵消!$A:$A,M$2)+SUMIFS(合并抵消!$K:$K,合并抵消!$E:$E,$E83,合并抵消!$A:$A,M$2))</f>
        <v/>
      </c>
      <c r="N83" s="89">
        <f>浙江精准学!N83+知识跳跳!N83+海南精准学!N83+实时查!N83+目标准!N83+'SMART LEARNING HOLDING'!N83+'SMART AI LIMITED'!N83+'HK01'!N83-(-SUMIFS(合并抵消!$J:$J,合并抵消!$E:$E,$E83,合并抵消!$A:$A,N$2)+SUMIFS(合并抵消!$K:$K,合并抵消!$E:$E,$E83,合并抵消!$A:$A,N$2))</f>
        <v/>
      </c>
      <c r="O83" s="89">
        <f>浙江精准学!O83+知识跳跳!O83+海南精准学!O83+实时查!O83+目标准!O83+'SMART LEARNING HOLDING'!O83+'SMART AI LIMITED'!O83+'HK01'!O83-(-SUMIFS(合并抵消!$J:$J,合并抵消!$E:$E,$E83,合并抵消!$A:$A,O$2)+SUMIFS(合并抵消!$K:$K,合并抵消!$E:$E,$E83,合并抵消!$A:$A,O$2))</f>
        <v/>
      </c>
      <c r="P83" s="89">
        <f>浙江精准学!P83+知识跳跳!P83+海南精准学!P83+实时查!P83+目标准!P83+'SMART LEARNING HOLDING'!P83+'SMART AI LIMITED'!P83+'HK01'!P83-(-SUMIFS(合并抵消!$J:$J,合并抵消!$E:$E,$E83,合并抵消!$A:$A,P$2)+SUMIFS(合并抵消!$K:$K,合并抵消!$E:$E,$E83,合并抵消!$A:$A,P$2))</f>
        <v/>
      </c>
      <c r="Q83" s="89">
        <f>浙江精准学!Q83+知识跳跳!Q83+海南精准学!Q83+实时查!Q83+目标准!Q83+'SMART LEARNING HOLDING'!Q83+'SMART AI LIMITED'!Q83+'HK01'!Q83-(-SUMIFS(合并抵消!$J:$J,合并抵消!$E:$E,$E83,合并抵消!$A:$A,Q$2)+SUMIFS(合并抵消!$K:$K,合并抵消!$E:$E,$E83,合并抵消!$A:$A,Q$2))</f>
        <v/>
      </c>
      <c r="R83" s="89">
        <f>SUM(F83:Q83)</f>
        <v/>
      </c>
    </row>
    <row r="84" s="83">
      <c r="A84" s="5" t="inlineStr">
        <is>
          <t>研发支出</t>
        </is>
      </c>
      <c r="B84" s="6" t="inlineStr">
        <is>
          <t>产品开发-PRO</t>
        </is>
      </c>
      <c r="D84" s="5" t="inlineStr">
        <is>
          <t>题库费</t>
        </is>
      </c>
      <c r="E84" s="6" t="inlineStr">
        <is>
          <t>Q1307</t>
        </is>
      </c>
      <c r="F84" s="89">
        <f>浙江精准学!F84+知识跳跳!F84+海南精准学!F84+实时查!F84+目标准!F84+'SMART LEARNING HOLDING'!F84+'SMART AI LIMITED'!F84+'HK01'!F84-(-SUMIFS(合并抵消!$J:$J,合并抵消!$E:$E,$E84,合并抵消!$A:$A,F$2)+SUMIFS(合并抵消!$K:$K,合并抵消!$E:$E,$E84,合并抵消!$A:$A,F$2))</f>
        <v/>
      </c>
      <c r="G84" s="89">
        <f>浙江精准学!G84+知识跳跳!G84+海南精准学!G84+实时查!G84+目标准!G84+'SMART LEARNING HOLDING'!G84+'SMART AI LIMITED'!G84+'HK01'!G84-(-SUMIFS(合并抵消!$J:$J,合并抵消!$E:$E,$E84,合并抵消!$A:$A,G$2)+SUMIFS(合并抵消!$K:$K,合并抵消!$E:$E,$E84,合并抵消!$A:$A,G$2))</f>
        <v/>
      </c>
      <c r="H84" s="89">
        <f>浙江精准学!H84+知识跳跳!H84+海南精准学!H84+实时查!H84+目标准!H84+'SMART LEARNING HOLDING'!H84+'SMART AI LIMITED'!H84+'HK01'!H84-(-SUMIFS(合并抵消!$J:$J,合并抵消!$E:$E,$E84,合并抵消!$A:$A,H$2)+SUMIFS(合并抵消!$K:$K,合并抵消!$E:$E,$E84,合并抵消!$A:$A,H$2))</f>
        <v/>
      </c>
      <c r="I84" s="89">
        <f>浙江精准学!I84+知识跳跳!I84+海南精准学!I84+实时查!I84+目标准!I84+'SMART LEARNING HOLDING'!I84+'SMART AI LIMITED'!I84+'HK01'!I84-(-SUMIFS(合并抵消!$J:$J,合并抵消!$E:$E,$E84,合并抵消!$A:$A,I$2)+SUMIFS(合并抵消!$K:$K,合并抵消!$E:$E,$E84,合并抵消!$A:$A,I$2))</f>
        <v/>
      </c>
      <c r="J84" s="89">
        <f>浙江精准学!J84+知识跳跳!J84+海南精准学!J84+实时查!J84+目标准!J84+'SMART LEARNING HOLDING'!J84+'SMART AI LIMITED'!J84+'HK01'!J84-(-SUMIFS(合并抵消!$J:$J,合并抵消!$E:$E,$E84,合并抵消!$A:$A,J$2)+SUMIFS(合并抵消!$K:$K,合并抵消!$E:$E,$E84,合并抵消!$A:$A,J$2))</f>
        <v/>
      </c>
      <c r="K84" s="89">
        <f>浙江精准学!K84+知识跳跳!K84+海南精准学!K84+实时查!K84+目标准!K84+'SMART LEARNING HOLDING'!K84+'SMART AI LIMITED'!K84+'HK01'!K84-(-SUMIFS(合并抵消!$J:$J,合并抵消!$E:$E,$E84,合并抵消!$A:$A,K$2)+SUMIFS(合并抵消!$K:$K,合并抵消!$E:$E,$E84,合并抵消!$A:$A,K$2))</f>
        <v/>
      </c>
      <c r="L84" s="89">
        <f>浙江精准学!L84+知识跳跳!L84+海南精准学!L84+实时查!L84+目标准!L84+'SMART LEARNING HOLDING'!L84+'SMART AI LIMITED'!L84+'HK01'!L84-(-SUMIFS(合并抵消!$J:$J,合并抵消!$E:$E,$E84,合并抵消!$A:$A,L$2)+SUMIFS(合并抵消!$K:$K,合并抵消!$E:$E,$E84,合并抵消!$A:$A,L$2))</f>
        <v/>
      </c>
      <c r="M84" s="89">
        <f>浙江精准学!M84+知识跳跳!M84+海南精准学!M84+实时查!M84+目标准!M84+'SMART LEARNING HOLDING'!M84+'SMART AI LIMITED'!M84+'HK01'!M84-(-SUMIFS(合并抵消!$J:$J,合并抵消!$E:$E,$E84,合并抵消!$A:$A,M$2)+SUMIFS(合并抵消!$K:$K,合并抵消!$E:$E,$E84,合并抵消!$A:$A,M$2))</f>
        <v/>
      </c>
      <c r="N84" s="89">
        <f>浙江精准学!N84+知识跳跳!N84+海南精准学!N84+实时查!N84+目标准!N84+'SMART LEARNING HOLDING'!N84+'SMART AI LIMITED'!N84+'HK01'!N84-(-SUMIFS(合并抵消!$J:$J,合并抵消!$E:$E,$E84,合并抵消!$A:$A,N$2)+SUMIFS(合并抵消!$K:$K,合并抵消!$E:$E,$E84,合并抵消!$A:$A,N$2))</f>
        <v/>
      </c>
      <c r="O84" s="89">
        <f>浙江精准学!O84+知识跳跳!O84+海南精准学!O84+实时查!O84+目标准!O84+'SMART LEARNING HOLDING'!O84+'SMART AI LIMITED'!O84+'HK01'!O84-(-SUMIFS(合并抵消!$J:$J,合并抵消!$E:$E,$E84,合并抵消!$A:$A,O$2)+SUMIFS(合并抵消!$K:$K,合并抵消!$E:$E,$E84,合并抵消!$A:$A,O$2))</f>
        <v/>
      </c>
      <c r="P84" s="89">
        <f>浙江精准学!P84+知识跳跳!P84+海南精准学!P84+实时查!P84+目标准!P84+'SMART LEARNING HOLDING'!P84+'SMART AI LIMITED'!P84+'HK01'!P84-(-SUMIFS(合并抵消!$J:$J,合并抵消!$E:$E,$E84,合并抵消!$A:$A,P$2)+SUMIFS(合并抵消!$K:$K,合并抵消!$E:$E,$E84,合并抵消!$A:$A,P$2))</f>
        <v/>
      </c>
      <c r="Q84" s="89">
        <f>浙江精准学!Q84+知识跳跳!Q84+海南精准学!Q84+实时查!Q84+目标准!Q84+'SMART LEARNING HOLDING'!Q84+'SMART AI LIMITED'!Q84+'HK01'!Q84-(-SUMIFS(合并抵消!$J:$J,合并抵消!$E:$E,$E84,合并抵消!$A:$A,Q$2)+SUMIFS(合并抵消!$K:$K,合并抵消!$E:$E,$E84,合并抵消!$A:$A,Q$2))</f>
        <v/>
      </c>
      <c r="R84" s="89">
        <f>SUM(F84:Q84)</f>
        <v/>
      </c>
    </row>
    <row r="85" s="83">
      <c r="A85" s="5" t="inlineStr">
        <is>
          <t>研发支出</t>
        </is>
      </c>
      <c r="B85" s="6" t="inlineStr">
        <is>
          <t>其他产品开发</t>
        </is>
      </c>
      <c r="C85" s="6" t="inlineStr">
        <is>
          <t>其他产品开发</t>
        </is>
      </c>
      <c r="D85" s="5" t="inlineStr">
        <is>
          <t>产品开发-员工报销</t>
        </is>
      </c>
      <c r="E85" s="6" t="inlineStr">
        <is>
          <t>Q1402</t>
        </is>
      </c>
      <c r="F85" s="89">
        <f>浙江精准学!F85+知识跳跳!F85+海南精准学!F85+实时查!F85+目标准!F85+'SMART LEARNING HOLDING'!F85+'SMART AI LIMITED'!F85+'HK01'!F85-(-SUMIFS(合并抵消!$J:$J,合并抵消!$E:$E,$E85,合并抵消!$A:$A,F$2)+SUMIFS(合并抵消!$K:$K,合并抵消!$E:$E,$E85,合并抵消!$A:$A,F$2))</f>
        <v/>
      </c>
      <c r="G85" s="89">
        <f>浙江精准学!G85+知识跳跳!G85+海南精准学!G85+实时查!G85+目标准!G85+'SMART LEARNING HOLDING'!G85+'SMART AI LIMITED'!G85+'HK01'!G85-(-SUMIFS(合并抵消!$J:$J,合并抵消!$E:$E,$E85,合并抵消!$A:$A,G$2)+SUMIFS(合并抵消!$K:$K,合并抵消!$E:$E,$E85,合并抵消!$A:$A,G$2))</f>
        <v/>
      </c>
      <c r="H85" s="89">
        <f>浙江精准学!H85+知识跳跳!H85+海南精准学!H85+实时查!H85+目标准!H85+'SMART LEARNING HOLDING'!H85+'SMART AI LIMITED'!H85+'HK01'!H85-(-SUMIFS(合并抵消!$J:$J,合并抵消!$E:$E,$E85,合并抵消!$A:$A,H$2)+SUMIFS(合并抵消!$K:$K,合并抵消!$E:$E,$E85,合并抵消!$A:$A,H$2))</f>
        <v/>
      </c>
      <c r="I85" s="89">
        <f>浙江精准学!I85+知识跳跳!I85+海南精准学!I85+实时查!I85+目标准!I85+'SMART LEARNING HOLDING'!I85+'SMART AI LIMITED'!I85+'HK01'!I85-(-SUMIFS(合并抵消!$J:$J,合并抵消!$E:$E,$E85,合并抵消!$A:$A,I$2)+SUMIFS(合并抵消!$K:$K,合并抵消!$E:$E,$E85,合并抵消!$A:$A,I$2))</f>
        <v/>
      </c>
      <c r="J85" s="89">
        <f>浙江精准学!J85+知识跳跳!J85+海南精准学!J85+实时查!J85+目标准!J85+'SMART LEARNING HOLDING'!J85+'SMART AI LIMITED'!J85+'HK01'!J85-(-SUMIFS(合并抵消!$J:$J,合并抵消!$E:$E,$E85,合并抵消!$A:$A,J$2)+SUMIFS(合并抵消!$K:$K,合并抵消!$E:$E,$E85,合并抵消!$A:$A,J$2))</f>
        <v/>
      </c>
      <c r="K85" s="89">
        <f>浙江精准学!K85+知识跳跳!K85+海南精准学!K85+实时查!K85+目标准!K85+'SMART LEARNING HOLDING'!K85+'SMART AI LIMITED'!K85+'HK01'!K85-(-SUMIFS(合并抵消!$J:$J,合并抵消!$E:$E,$E85,合并抵消!$A:$A,K$2)+SUMIFS(合并抵消!$K:$K,合并抵消!$E:$E,$E85,合并抵消!$A:$A,K$2))</f>
        <v/>
      </c>
      <c r="L85" s="89">
        <f>浙江精准学!L85+知识跳跳!L85+海南精准学!L85+实时查!L85+目标准!L85+'SMART LEARNING HOLDING'!L85+'SMART AI LIMITED'!L85+'HK01'!L85-(-SUMIFS(合并抵消!$J:$J,合并抵消!$E:$E,$E85,合并抵消!$A:$A,L$2)+SUMIFS(合并抵消!$K:$K,合并抵消!$E:$E,$E85,合并抵消!$A:$A,L$2))</f>
        <v/>
      </c>
      <c r="M85" s="89">
        <f>浙江精准学!M85+知识跳跳!M85+海南精准学!M85+实时查!M85+目标准!M85+'SMART LEARNING HOLDING'!M85+'SMART AI LIMITED'!M85+'HK01'!M85-(-SUMIFS(合并抵消!$J:$J,合并抵消!$E:$E,$E85,合并抵消!$A:$A,M$2)+SUMIFS(合并抵消!$K:$K,合并抵消!$E:$E,$E85,合并抵消!$A:$A,M$2))</f>
        <v/>
      </c>
      <c r="N85" s="89">
        <f>浙江精准学!N85+知识跳跳!N85+海南精准学!N85+实时查!N85+目标准!N85+'SMART LEARNING HOLDING'!N85+'SMART AI LIMITED'!N85+'HK01'!N85-(-SUMIFS(合并抵消!$J:$J,合并抵消!$E:$E,$E85,合并抵消!$A:$A,N$2)+SUMIFS(合并抵消!$K:$K,合并抵消!$E:$E,$E85,合并抵消!$A:$A,N$2))</f>
        <v/>
      </c>
      <c r="O85" s="89">
        <f>浙江精准学!O85+知识跳跳!O85+海南精准学!O85+实时查!O85+目标准!O85+'SMART LEARNING HOLDING'!O85+'SMART AI LIMITED'!O85+'HK01'!O85-(-SUMIFS(合并抵消!$J:$J,合并抵消!$E:$E,$E85,合并抵消!$A:$A,O$2)+SUMIFS(合并抵消!$K:$K,合并抵消!$E:$E,$E85,合并抵消!$A:$A,O$2))</f>
        <v/>
      </c>
      <c r="P85" s="89">
        <f>浙江精准学!P85+知识跳跳!P85+海南精准学!P85+实时查!P85+目标准!P85+'SMART LEARNING HOLDING'!P85+'SMART AI LIMITED'!P85+'HK01'!P85-(-SUMIFS(合并抵消!$J:$J,合并抵消!$E:$E,$E85,合并抵消!$A:$A,P$2)+SUMIFS(合并抵消!$K:$K,合并抵消!$E:$E,$E85,合并抵消!$A:$A,P$2))</f>
        <v/>
      </c>
      <c r="Q85" s="89">
        <f>浙江精准学!Q85+知识跳跳!Q85+海南精准学!Q85+实时查!Q85+目标准!Q85+'SMART LEARNING HOLDING'!Q85+'SMART AI LIMITED'!Q85+'HK01'!Q85-(-SUMIFS(合并抵消!$J:$J,合并抵消!$E:$E,$E85,合并抵消!$A:$A,Q$2)+SUMIFS(合并抵消!$K:$K,合并抵消!$E:$E,$E85,合并抵消!$A:$A,Q$2))</f>
        <v/>
      </c>
      <c r="R85" s="89">
        <f>SUM(F85:Q85)</f>
        <v/>
      </c>
    </row>
    <row r="86" s="83">
      <c r="A86" s="5" t="inlineStr">
        <is>
          <t>研发支出</t>
        </is>
      </c>
      <c r="B86" s="6" t="inlineStr">
        <is>
          <t>其他产品开发</t>
        </is>
      </c>
      <c r="D86" s="5" t="inlineStr">
        <is>
          <t>软件使用费</t>
        </is>
      </c>
      <c r="E86" s="6" t="inlineStr">
        <is>
          <t>Q1401</t>
        </is>
      </c>
      <c r="F86" s="89">
        <f>浙江精准学!F86+知识跳跳!F86+海南精准学!F86+实时查!F86+目标准!F86+'SMART LEARNING HOLDING'!F86+'SMART AI LIMITED'!F86+'HK01'!F86-(-SUMIFS(合并抵消!$J:$J,合并抵消!$E:$E,$E86,合并抵消!$A:$A,F$2)+SUMIFS(合并抵消!$K:$K,合并抵消!$E:$E,$E86,合并抵消!$A:$A,F$2))</f>
        <v/>
      </c>
      <c r="G86" s="89">
        <f>浙江精准学!G86+知识跳跳!G86+海南精准学!G86+实时查!G86+目标准!G86+'SMART LEARNING HOLDING'!G86+'SMART AI LIMITED'!G86+'HK01'!G86-(-SUMIFS(合并抵消!$J:$J,合并抵消!$E:$E,$E86,合并抵消!$A:$A,G$2)+SUMIFS(合并抵消!$K:$K,合并抵消!$E:$E,$E86,合并抵消!$A:$A,G$2))</f>
        <v/>
      </c>
      <c r="H86" s="89">
        <f>浙江精准学!H86+知识跳跳!H86+海南精准学!H86+实时查!H86+目标准!H86+'SMART LEARNING HOLDING'!H86+'SMART AI LIMITED'!H86+'HK01'!H86-(-SUMIFS(合并抵消!$J:$J,合并抵消!$E:$E,$E86,合并抵消!$A:$A,H$2)+SUMIFS(合并抵消!$K:$K,合并抵消!$E:$E,$E86,合并抵消!$A:$A,H$2))</f>
        <v/>
      </c>
      <c r="I86" s="89">
        <f>浙江精准学!I86+知识跳跳!I86+海南精准学!I86+实时查!I86+目标准!I86+'SMART LEARNING HOLDING'!I86+'SMART AI LIMITED'!I86+'HK01'!I86-(-SUMIFS(合并抵消!$J:$J,合并抵消!$E:$E,$E86,合并抵消!$A:$A,I$2)+SUMIFS(合并抵消!$K:$K,合并抵消!$E:$E,$E86,合并抵消!$A:$A,I$2))</f>
        <v/>
      </c>
      <c r="J86" s="89">
        <f>浙江精准学!J86+知识跳跳!J86+海南精准学!J86+实时查!J86+目标准!J86+'SMART LEARNING HOLDING'!J86+'SMART AI LIMITED'!J86+'HK01'!J86-(-SUMIFS(合并抵消!$J:$J,合并抵消!$E:$E,$E86,合并抵消!$A:$A,J$2)+SUMIFS(合并抵消!$K:$K,合并抵消!$E:$E,$E86,合并抵消!$A:$A,J$2))</f>
        <v/>
      </c>
      <c r="K86" s="89">
        <f>浙江精准学!K86+知识跳跳!K86+海南精准学!K86+实时查!K86+目标准!K86+'SMART LEARNING HOLDING'!K86+'SMART AI LIMITED'!K86+'HK01'!K86-(-SUMIFS(合并抵消!$J:$J,合并抵消!$E:$E,$E86,合并抵消!$A:$A,K$2)+SUMIFS(合并抵消!$K:$K,合并抵消!$E:$E,$E86,合并抵消!$A:$A,K$2))</f>
        <v/>
      </c>
      <c r="L86" s="89">
        <f>浙江精准学!L86+知识跳跳!L86+海南精准学!L86+实时查!L86+目标准!L86+'SMART LEARNING HOLDING'!L86+'SMART AI LIMITED'!L86+'HK01'!L86-(-SUMIFS(合并抵消!$J:$J,合并抵消!$E:$E,$E86,合并抵消!$A:$A,L$2)+SUMIFS(合并抵消!$K:$K,合并抵消!$E:$E,$E86,合并抵消!$A:$A,L$2))</f>
        <v/>
      </c>
      <c r="M86" s="89">
        <f>浙江精准学!M86+知识跳跳!M86+海南精准学!M86+实时查!M86+目标准!M86+'SMART LEARNING HOLDING'!M86+'SMART AI LIMITED'!M86+'HK01'!M86-(-SUMIFS(合并抵消!$J:$J,合并抵消!$E:$E,$E86,合并抵消!$A:$A,M$2)+SUMIFS(合并抵消!$K:$K,合并抵消!$E:$E,$E86,合并抵消!$A:$A,M$2))</f>
        <v/>
      </c>
      <c r="N86" s="89">
        <f>浙江精准学!N86+知识跳跳!N86+海南精准学!N86+实时查!N86+目标准!N86+'SMART LEARNING HOLDING'!N86+'SMART AI LIMITED'!N86+'HK01'!N86-(-SUMIFS(合并抵消!$J:$J,合并抵消!$E:$E,$E86,合并抵消!$A:$A,N$2)+SUMIFS(合并抵消!$K:$K,合并抵消!$E:$E,$E86,合并抵消!$A:$A,N$2))</f>
        <v/>
      </c>
      <c r="O86" s="89">
        <f>浙江精准学!O86+知识跳跳!O86+海南精准学!O86+实时查!O86+目标准!O86+'SMART LEARNING HOLDING'!O86+'SMART AI LIMITED'!O86+'HK01'!O86-(-SUMIFS(合并抵消!$J:$J,合并抵消!$E:$E,$E86,合并抵消!$A:$A,O$2)+SUMIFS(合并抵消!$K:$K,合并抵消!$E:$E,$E86,合并抵消!$A:$A,O$2))</f>
        <v/>
      </c>
      <c r="P86" s="89">
        <f>浙江精准学!P86+知识跳跳!P86+海南精准学!P86+实时查!P86+目标准!P86+'SMART LEARNING HOLDING'!P86+'SMART AI LIMITED'!P86+'HK01'!P86-(-SUMIFS(合并抵消!$J:$J,合并抵消!$E:$E,$E86,合并抵消!$A:$A,P$2)+SUMIFS(合并抵消!$K:$K,合并抵消!$E:$E,$E86,合并抵消!$A:$A,P$2))</f>
        <v/>
      </c>
      <c r="Q86" s="89">
        <f>浙江精准学!Q86+知识跳跳!Q86+海南精准学!Q86+实时查!Q86+目标准!Q86+'SMART LEARNING HOLDING'!Q86+'SMART AI LIMITED'!Q86+'HK01'!Q86-(-SUMIFS(合并抵消!$J:$J,合并抵消!$E:$E,$E86,合并抵消!$A:$A,Q$2)+SUMIFS(合并抵消!$K:$K,合并抵消!$E:$E,$E86,合并抵消!$A:$A,Q$2))</f>
        <v/>
      </c>
      <c r="R86" s="89">
        <f>SUM(F86:Q86)</f>
        <v/>
      </c>
    </row>
    <row r="87" s="83">
      <c r="A87" s="5" t="inlineStr">
        <is>
          <t>研发支出</t>
        </is>
      </c>
      <c r="B87" s="6" t="inlineStr">
        <is>
          <t>服务器算法充值</t>
        </is>
      </c>
      <c r="C87" s="6" t="inlineStr">
        <is>
          <t>服务器算法充值</t>
        </is>
      </c>
      <c r="D87" s="5" t="inlineStr">
        <is>
          <t>阿里云充值费用</t>
        </is>
      </c>
      <c r="E87" s="6" t="inlineStr">
        <is>
          <t>Q1501</t>
        </is>
      </c>
      <c r="F87" s="89">
        <f>浙江精准学!F87+知识跳跳!F87+海南精准学!F87+实时查!F87+目标准!F87+'SMART LEARNING HOLDING'!F87+'SMART AI LIMITED'!F87+'HK01'!F87-(-SUMIFS(合并抵消!$J:$J,合并抵消!$E:$E,$E87,合并抵消!$A:$A,F$2)+SUMIFS(合并抵消!$K:$K,合并抵消!$E:$E,$E87,合并抵消!$A:$A,F$2))</f>
        <v/>
      </c>
      <c r="G87" s="89">
        <f>浙江精准学!G87+知识跳跳!G87+海南精准学!G87+实时查!G87+目标准!G87+'SMART LEARNING HOLDING'!G87+'SMART AI LIMITED'!G87+'HK01'!G87-(-SUMIFS(合并抵消!$J:$J,合并抵消!$E:$E,$E87,合并抵消!$A:$A,G$2)+SUMIFS(合并抵消!$K:$K,合并抵消!$E:$E,$E87,合并抵消!$A:$A,G$2))</f>
        <v/>
      </c>
      <c r="H87" s="89">
        <f>浙江精准学!H87+知识跳跳!H87+海南精准学!H87+实时查!H87+目标准!H87+'SMART LEARNING HOLDING'!H87+'SMART AI LIMITED'!H87+'HK01'!H87-(-SUMIFS(合并抵消!$J:$J,合并抵消!$E:$E,$E87,合并抵消!$A:$A,H$2)+SUMIFS(合并抵消!$K:$K,合并抵消!$E:$E,$E87,合并抵消!$A:$A,H$2))</f>
        <v/>
      </c>
      <c r="I87" s="89">
        <f>浙江精准学!I87+知识跳跳!I87+海南精准学!I87+实时查!I87+目标准!I87+'SMART LEARNING HOLDING'!I87+'SMART AI LIMITED'!I87+'HK01'!I87-(-SUMIFS(合并抵消!$J:$J,合并抵消!$E:$E,$E87,合并抵消!$A:$A,I$2)+SUMIFS(合并抵消!$K:$K,合并抵消!$E:$E,$E87,合并抵消!$A:$A,I$2))</f>
        <v/>
      </c>
      <c r="J87" s="89">
        <f>浙江精准学!J87+知识跳跳!J87+海南精准学!J87+实时查!J87+目标准!J87+'SMART LEARNING HOLDING'!J87+'SMART AI LIMITED'!J87+'HK01'!J87-(-SUMIFS(合并抵消!$J:$J,合并抵消!$E:$E,$E87,合并抵消!$A:$A,J$2)+SUMIFS(合并抵消!$K:$K,合并抵消!$E:$E,$E87,合并抵消!$A:$A,J$2))</f>
        <v/>
      </c>
      <c r="K87" s="89">
        <f>浙江精准学!K87+知识跳跳!K87+海南精准学!K87+实时查!K87+目标准!K87+'SMART LEARNING HOLDING'!K87+'SMART AI LIMITED'!K87+'HK01'!K87-(-SUMIFS(合并抵消!$J:$J,合并抵消!$E:$E,$E87,合并抵消!$A:$A,K$2)+SUMIFS(合并抵消!$K:$K,合并抵消!$E:$E,$E87,合并抵消!$A:$A,K$2))</f>
        <v/>
      </c>
      <c r="L87" s="89">
        <f>浙江精准学!L87+知识跳跳!L87+海南精准学!L87+实时查!L87+目标准!L87+'SMART LEARNING HOLDING'!L87+'SMART AI LIMITED'!L87+'HK01'!L87-(-SUMIFS(合并抵消!$J:$J,合并抵消!$E:$E,$E87,合并抵消!$A:$A,L$2)+SUMIFS(合并抵消!$K:$K,合并抵消!$E:$E,$E87,合并抵消!$A:$A,L$2))</f>
        <v/>
      </c>
      <c r="M87" s="89">
        <f>浙江精准学!M87+知识跳跳!M87+海南精准学!M87+实时查!M87+目标准!M87+'SMART LEARNING HOLDING'!M87+'SMART AI LIMITED'!M87+'HK01'!M87-(-SUMIFS(合并抵消!$J:$J,合并抵消!$E:$E,$E87,合并抵消!$A:$A,M$2)+SUMIFS(合并抵消!$K:$K,合并抵消!$E:$E,$E87,合并抵消!$A:$A,M$2))</f>
        <v/>
      </c>
      <c r="N87" s="89">
        <f>浙江精准学!N87+知识跳跳!N87+海南精准学!N87+实时查!N87+目标准!N87+'SMART LEARNING HOLDING'!N87+'SMART AI LIMITED'!N87+'HK01'!N87-(-SUMIFS(合并抵消!$J:$J,合并抵消!$E:$E,$E87,合并抵消!$A:$A,N$2)+SUMIFS(合并抵消!$K:$K,合并抵消!$E:$E,$E87,合并抵消!$A:$A,N$2))</f>
        <v/>
      </c>
      <c r="O87" s="89">
        <f>浙江精准学!O87+知识跳跳!O87+海南精准学!O87+实时查!O87+目标准!O87+'SMART LEARNING HOLDING'!O87+'SMART AI LIMITED'!O87+'HK01'!O87-(-SUMIFS(合并抵消!$J:$J,合并抵消!$E:$E,$E87,合并抵消!$A:$A,O$2)+SUMIFS(合并抵消!$K:$K,合并抵消!$E:$E,$E87,合并抵消!$A:$A,O$2))</f>
        <v/>
      </c>
      <c r="P87" s="89">
        <f>浙江精准学!P87+知识跳跳!P87+海南精准学!P87+实时查!P87+目标准!P87+'SMART LEARNING HOLDING'!P87+'SMART AI LIMITED'!P87+'HK01'!P87-(-SUMIFS(合并抵消!$J:$J,合并抵消!$E:$E,$E87,合并抵消!$A:$A,P$2)+SUMIFS(合并抵消!$K:$K,合并抵消!$E:$E,$E87,合并抵消!$A:$A,P$2))</f>
        <v/>
      </c>
      <c r="Q87" s="89">
        <f>浙江精准学!Q87+知识跳跳!Q87+海南精准学!Q87+实时查!Q87+目标准!Q87+'SMART LEARNING HOLDING'!Q87+'SMART AI LIMITED'!Q87+'HK01'!Q87-(-SUMIFS(合并抵消!$J:$J,合并抵消!$E:$E,$E87,合并抵消!$A:$A,Q$2)+SUMIFS(合并抵消!$K:$K,合并抵消!$E:$E,$E87,合并抵消!$A:$A,Q$2))</f>
        <v/>
      </c>
      <c r="R87" s="89">
        <f>SUM(F87:Q87)</f>
        <v/>
      </c>
    </row>
    <row r="88" s="83">
      <c r="A88" s="5" t="inlineStr">
        <is>
          <t>研发支出</t>
        </is>
      </c>
      <c r="B88" s="6" t="inlineStr">
        <is>
          <t>服务器算法充值</t>
        </is>
      </c>
      <c r="D88" s="5" t="inlineStr">
        <is>
          <t>微软充值费用</t>
        </is>
      </c>
      <c r="E88" s="6" t="inlineStr">
        <is>
          <t>Q1502</t>
        </is>
      </c>
      <c r="F88" s="89">
        <f>浙江精准学!F88+知识跳跳!F88+海南精准学!F88+实时查!F88+目标准!F88+'SMART LEARNING HOLDING'!F88+'SMART AI LIMITED'!F88+'HK01'!F88-(-SUMIFS(合并抵消!$J:$J,合并抵消!$E:$E,$E88,合并抵消!$A:$A,F$2)+SUMIFS(合并抵消!$K:$K,合并抵消!$E:$E,$E88,合并抵消!$A:$A,F$2))</f>
        <v/>
      </c>
      <c r="G88" s="89">
        <f>浙江精准学!G88+知识跳跳!G88+海南精准学!G88+实时查!G88+目标准!G88+'SMART LEARNING HOLDING'!G88+'SMART AI LIMITED'!G88+'HK01'!G88-(-SUMIFS(合并抵消!$J:$J,合并抵消!$E:$E,$E88,合并抵消!$A:$A,G$2)+SUMIFS(合并抵消!$K:$K,合并抵消!$E:$E,$E88,合并抵消!$A:$A,G$2))</f>
        <v/>
      </c>
      <c r="H88" s="89">
        <f>浙江精准学!H88+知识跳跳!H88+海南精准学!H88+实时查!H88+目标准!H88+'SMART LEARNING HOLDING'!H88+'SMART AI LIMITED'!H88+'HK01'!H88-(-SUMIFS(合并抵消!$J:$J,合并抵消!$E:$E,$E88,合并抵消!$A:$A,H$2)+SUMIFS(合并抵消!$K:$K,合并抵消!$E:$E,$E88,合并抵消!$A:$A,H$2))</f>
        <v/>
      </c>
      <c r="I88" s="89">
        <f>浙江精准学!I88+知识跳跳!I88+海南精准学!I88+实时查!I88+目标准!I88+'SMART LEARNING HOLDING'!I88+'SMART AI LIMITED'!I88+'HK01'!I88-(-SUMIFS(合并抵消!$J:$J,合并抵消!$E:$E,$E88,合并抵消!$A:$A,I$2)+SUMIFS(合并抵消!$K:$K,合并抵消!$E:$E,$E88,合并抵消!$A:$A,I$2))</f>
        <v/>
      </c>
      <c r="J88" s="89">
        <f>浙江精准学!J88+知识跳跳!J88+海南精准学!J88+实时查!J88+目标准!J88+'SMART LEARNING HOLDING'!J88+'SMART AI LIMITED'!J88+'HK01'!J88-(-SUMIFS(合并抵消!$J:$J,合并抵消!$E:$E,$E88,合并抵消!$A:$A,J$2)+SUMIFS(合并抵消!$K:$K,合并抵消!$E:$E,$E88,合并抵消!$A:$A,J$2))</f>
        <v/>
      </c>
      <c r="K88" s="89">
        <f>浙江精准学!K88+知识跳跳!K88+海南精准学!K88+实时查!K88+目标准!K88+'SMART LEARNING HOLDING'!K88+'SMART AI LIMITED'!K88+'HK01'!K88-(-SUMIFS(合并抵消!$J:$J,合并抵消!$E:$E,$E88,合并抵消!$A:$A,K$2)+SUMIFS(合并抵消!$K:$K,合并抵消!$E:$E,$E88,合并抵消!$A:$A,K$2))</f>
        <v/>
      </c>
      <c r="L88" s="89">
        <f>浙江精准学!L88+知识跳跳!L88+海南精准学!L88+实时查!L88+目标准!L88+'SMART LEARNING HOLDING'!L88+'SMART AI LIMITED'!L88+'HK01'!L88-(-SUMIFS(合并抵消!$J:$J,合并抵消!$E:$E,$E88,合并抵消!$A:$A,L$2)+SUMIFS(合并抵消!$K:$K,合并抵消!$E:$E,$E88,合并抵消!$A:$A,L$2))</f>
        <v/>
      </c>
      <c r="M88" s="89">
        <f>浙江精准学!M88+知识跳跳!M88+海南精准学!M88+实时查!M88+目标准!M88+'SMART LEARNING HOLDING'!M88+'SMART AI LIMITED'!M88+'HK01'!M88-(-SUMIFS(合并抵消!$J:$J,合并抵消!$E:$E,$E88,合并抵消!$A:$A,M$2)+SUMIFS(合并抵消!$K:$K,合并抵消!$E:$E,$E88,合并抵消!$A:$A,M$2))</f>
        <v/>
      </c>
      <c r="N88" s="89">
        <f>浙江精准学!N88+知识跳跳!N88+海南精准学!N88+实时查!N88+目标准!N88+'SMART LEARNING HOLDING'!N88+'SMART AI LIMITED'!N88+'HK01'!N88-(-SUMIFS(合并抵消!$J:$J,合并抵消!$E:$E,$E88,合并抵消!$A:$A,N$2)+SUMIFS(合并抵消!$K:$K,合并抵消!$E:$E,$E88,合并抵消!$A:$A,N$2))</f>
        <v/>
      </c>
      <c r="O88" s="89">
        <f>浙江精准学!O88+知识跳跳!O88+海南精准学!O88+实时查!O88+目标准!O88+'SMART LEARNING HOLDING'!O88+'SMART AI LIMITED'!O88+'HK01'!O88-(-SUMIFS(合并抵消!$J:$J,合并抵消!$E:$E,$E88,合并抵消!$A:$A,O$2)+SUMIFS(合并抵消!$K:$K,合并抵消!$E:$E,$E88,合并抵消!$A:$A,O$2))</f>
        <v/>
      </c>
      <c r="P88" s="89">
        <f>浙江精准学!P88+知识跳跳!P88+海南精准学!P88+实时查!P88+目标准!P88+'SMART LEARNING HOLDING'!P88+'SMART AI LIMITED'!P88+'HK01'!P88-(-SUMIFS(合并抵消!$J:$J,合并抵消!$E:$E,$E88,合并抵消!$A:$A,P$2)+SUMIFS(合并抵消!$K:$K,合并抵消!$E:$E,$E88,合并抵消!$A:$A,P$2))</f>
        <v/>
      </c>
      <c r="Q88" s="89">
        <f>浙江精准学!Q88+知识跳跳!Q88+海南精准学!Q88+实时查!Q88+目标准!Q88+'SMART LEARNING HOLDING'!Q88+'SMART AI LIMITED'!Q88+'HK01'!Q88-(-SUMIFS(合并抵消!$J:$J,合并抵消!$E:$E,$E88,合并抵消!$A:$A,Q$2)+SUMIFS(合并抵消!$K:$K,合并抵消!$E:$E,$E88,合并抵消!$A:$A,Q$2))</f>
        <v/>
      </c>
      <c r="R88" s="89">
        <f>SUM(F88:Q88)</f>
        <v/>
      </c>
    </row>
    <row r="89" s="83">
      <c r="A89" s="5" t="inlineStr">
        <is>
          <t>研发支出</t>
        </is>
      </c>
      <c r="B89" s="6" t="inlineStr">
        <is>
          <t>服务器算法充值</t>
        </is>
      </c>
      <c r="D89" s="5" t="inlineStr">
        <is>
          <t>kimi充值费用</t>
        </is>
      </c>
      <c r="E89" s="6" t="inlineStr">
        <is>
          <t>Q1503</t>
        </is>
      </c>
      <c r="F89" s="89">
        <f>浙江精准学!F89+知识跳跳!F89+海南精准学!F89+实时查!F89+目标准!F89+'SMART LEARNING HOLDING'!F89+'SMART AI LIMITED'!F89+'HK01'!F89-(-SUMIFS(合并抵消!$J:$J,合并抵消!$E:$E,$E89,合并抵消!$A:$A,F$2)+SUMIFS(合并抵消!$K:$K,合并抵消!$E:$E,$E89,合并抵消!$A:$A,F$2))</f>
        <v/>
      </c>
      <c r="G89" s="89">
        <f>浙江精准学!G89+知识跳跳!G89+海南精准学!G89+实时查!G89+目标准!G89+'SMART LEARNING HOLDING'!G89+'SMART AI LIMITED'!G89+'HK01'!G89-(-SUMIFS(合并抵消!$J:$J,合并抵消!$E:$E,$E89,合并抵消!$A:$A,G$2)+SUMIFS(合并抵消!$K:$K,合并抵消!$E:$E,$E89,合并抵消!$A:$A,G$2))</f>
        <v/>
      </c>
      <c r="H89" s="89">
        <f>浙江精准学!H89+知识跳跳!H89+海南精准学!H89+实时查!H89+目标准!H89+'SMART LEARNING HOLDING'!H89+'SMART AI LIMITED'!H89+'HK01'!H89-(-SUMIFS(合并抵消!$J:$J,合并抵消!$E:$E,$E89,合并抵消!$A:$A,H$2)+SUMIFS(合并抵消!$K:$K,合并抵消!$E:$E,$E89,合并抵消!$A:$A,H$2))</f>
        <v/>
      </c>
      <c r="I89" s="89">
        <f>浙江精准学!I89+知识跳跳!I89+海南精准学!I89+实时查!I89+目标准!I89+'SMART LEARNING HOLDING'!I89+'SMART AI LIMITED'!I89+'HK01'!I89-(-SUMIFS(合并抵消!$J:$J,合并抵消!$E:$E,$E89,合并抵消!$A:$A,I$2)+SUMIFS(合并抵消!$K:$K,合并抵消!$E:$E,$E89,合并抵消!$A:$A,I$2))</f>
        <v/>
      </c>
      <c r="J89" s="89">
        <f>浙江精准学!J89+知识跳跳!J89+海南精准学!J89+实时查!J89+目标准!J89+'SMART LEARNING HOLDING'!J89+'SMART AI LIMITED'!J89+'HK01'!J89-(-SUMIFS(合并抵消!$J:$J,合并抵消!$E:$E,$E89,合并抵消!$A:$A,J$2)+SUMIFS(合并抵消!$K:$K,合并抵消!$E:$E,$E89,合并抵消!$A:$A,J$2))</f>
        <v/>
      </c>
      <c r="K89" s="89">
        <f>浙江精准学!K89+知识跳跳!K89+海南精准学!K89+实时查!K89+目标准!K89+'SMART LEARNING HOLDING'!K89+'SMART AI LIMITED'!K89+'HK01'!K89-(-SUMIFS(合并抵消!$J:$J,合并抵消!$E:$E,$E89,合并抵消!$A:$A,K$2)+SUMIFS(合并抵消!$K:$K,合并抵消!$E:$E,$E89,合并抵消!$A:$A,K$2))</f>
        <v/>
      </c>
      <c r="L89" s="89">
        <f>浙江精准学!L89+知识跳跳!L89+海南精准学!L89+实时查!L89+目标准!L89+'SMART LEARNING HOLDING'!L89+'SMART AI LIMITED'!L89+'HK01'!L89-(-SUMIFS(合并抵消!$J:$J,合并抵消!$E:$E,$E89,合并抵消!$A:$A,L$2)+SUMIFS(合并抵消!$K:$K,合并抵消!$E:$E,$E89,合并抵消!$A:$A,L$2))</f>
        <v/>
      </c>
      <c r="M89" s="89">
        <f>浙江精准学!M89+知识跳跳!M89+海南精准学!M89+实时查!M89+目标准!M89+'SMART LEARNING HOLDING'!M89+'SMART AI LIMITED'!M89+'HK01'!M89-(-SUMIFS(合并抵消!$J:$J,合并抵消!$E:$E,$E89,合并抵消!$A:$A,M$2)+SUMIFS(合并抵消!$K:$K,合并抵消!$E:$E,$E89,合并抵消!$A:$A,M$2))</f>
        <v/>
      </c>
      <c r="N89" s="89">
        <f>浙江精准学!N89+知识跳跳!N89+海南精准学!N89+实时查!N89+目标准!N89+'SMART LEARNING HOLDING'!N89+'SMART AI LIMITED'!N89+'HK01'!N89-(-SUMIFS(合并抵消!$J:$J,合并抵消!$E:$E,$E89,合并抵消!$A:$A,N$2)+SUMIFS(合并抵消!$K:$K,合并抵消!$E:$E,$E89,合并抵消!$A:$A,N$2))</f>
        <v/>
      </c>
      <c r="O89" s="89">
        <f>浙江精准学!O89+知识跳跳!O89+海南精准学!O89+实时查!O89+目标准!O89+'SMART LEARNING HOLDING'!O89+'SMART AI LIMITED'!O89+'HK01'!O89-(-SUMIFS(合并抵消!$J:$J,合并抵消!$E:$E,$E89,合并抵消!$A:$A,O$2)+SUMIFS(合并抵消!$K:$K,合并抵消!$E:$E,$E89,合并抵消!$A:$A,O$2))</f>
        <v/>
      </c>
      <c r="P89" s="89">
        <f>浙江精准学!P89+知识跳跳!P89+海南精准学!P89+实时查!P89+目标准!P89+'SMART LEARNING HOLDING'!P89+'SMART AI LIMITED'!P89+'HK01'!P89-(-SUMIFS(合并抵消!$J:$J,合并抵消!$E:$E,$E89,合并抵消!$A:$A,P$2)+SUMIFS(合并抵消!$K:$K,合并抵消!$E:$E,$E89,合并抵消!$A:$A,P$2))</f>
        <v/>
      </c>
      <c r="Q89" s="89">
        <f>浙江精准学!Q89+知识跳跳!Q89+海南精准学!Q89+实时查!Q89+目标准!Q89+'SMART LEARNING HOLDING'!Q89+'SMART AI LIMITED'!Q89+'HK01'!Q89-(-SUMIFS(合并抵消!$J:$J,合并抵消!$E:$E,$E89,合并抵消!$A:$A,Q$2)+SUMIFS(合并抵消!$K:$K,合并抵消!$E:$E,$E89,合并抵消!$A:$A,Q$2))</f>
        <v/>
      </c>
      <c r="R89" s="89">
        <f>SUM(F89:Q89)</f>
        <v/>
      </c>
    </row>
    <row r="90" s="83">
      <c r="A90" s="5" t="inlineStr">
        <is>
          <t>研发支出</t>
        </is>
      </c>
      <c r="B90" s="6" t="inlineStr">
        <is>
          <t>服务器算法充值</t>
        </is>
      </c>
      <c r="D90" s="5" t="inlineStr">
        <is>
          <t>智普AI充值费用</t>
        </is>
      </c>
      <c r="E90" s="6" t="inlineStr">
        <is>
          <t>Q1504</t>
        </is>
      </c>
      <c r="F90" s="89">
        <f>浙江精准学!F90+知识跳跳!F90+海南精准学!F90+实时查!F90+目标准!F90+'SMART LEARNING HOLDING'!F90+'SMART AI LIMITED'!F90+'HK01'!F90-(-SUMIFS(合并抵消!$J:$J,合并抵消!$E:$E,$E90,合并抵消!$A:$A,F$2)+SUMIFS(合并抵消!$K:$K,合并抵消!$E:$E,$E90,合并抵消!$A:$A,F$2))</f>
        <v/>
      </c>
      <c r="G90" s="89">
        <f>浙江精准学!G90+知识跳跳!G90+海南精准学!G90+实时查!G90+目标准!G90+'SMART LEARNING HOLDING'!G90+'SMART AI LIMITED'!G90+'HK01'!G90-(-SUMIFS(合并抵消!$J:$J,合并抵消!$E:$E,$E90,合并抵消!$A:$A,G$2)+SUMIFS(合并抵消!$K:$K,合并抵消!$E:$E,$E90,合并抵消!$A:$A,G$2))</f>
        <v/>
      </c>
      <c r="H90" s="89">
        <f>浙江精准学!H90+知识跳跳!H90+海南精准学!H90+实时查!H90+目标准!H90+'SMART LEARNING HOLDING'!H90+'SMART AI LIMITED'!H90+'HK01'!H90-(-SUMIFS(合并抵消!$J:$J,合并抵消!$E:$E,$E90,合并抵消!$A:$A,H$2)+SUMIFS(合并抵消!$K:$K,合并抵消!$E:$E,$E90,合并抵消!$A:$A,H$2))</f>
        <v/>
      </c>
      <c r="I90" s="89">
        <f>浙江精准学!I90+知识跳跳!I90+海南精准学!I90+实时查!I90+目标准!I90+'SMART LEARNING HOLDING'!I90+'SMART AI LIMITED'!I90+'HK01'!I90-(-SUMIFS(合并抵消!$J:$J,合并抵消!$E:$E,$E90,合并抵消!$A:$A,I$2)+SUMIFS(合并抵消!$K:$K,合并抵消!$E:$E,$E90,合并抵消!$A:$A,I$2))</f>
        <v/>
      </c>
      <c r="J90" s="89">
        <f>浙江精准学!J90+知识跳跳!J90+海南精准学!J90+实时查!J90+目标准!J90+'SMART LEARNING HOLDING'!J90+'SMART AI LIMITED'!J90+'HK01'!J90-(-SUMIFS(合并抵消!$J:$J,合并抵消!$E:$E,$E90,合并抵消!$A:$A,J$2)+SUMIFS(合并抵消!$K:$K,合并抵消!$E:$E,$E90,合并抵消!$A:$A,J$2))</f>
        <v/>
      </c>
      <c r="K90" s="89">
        <f>浙江精准学!K90+知识跳跳!K90+海南精准学!K90+实时查!K90+目标准!K90+'SMART LEARNING HOLDING'!K90+'SMART AI LIMITED'!K90+'HK01'!K90-(-SUMIFS(合并抵消!$J:$J,合并抵消!$E:$E,$E90,合并抵消!$A:$A,K$2)+SUMIFS(合并抵消!$K:$K,合并抵消!$E:$E,$E90,合并抵消!$A:$A,K$2))</f>
        <v/>
      </c>
      <c r="L90" s="89">
        <f>浙江精准学!L90+知识跳跳!L90+海南精准学!L90+实时查!L90+目标准!L90+'SMART LEARNING HOLDING'!L90+'SMART AI LIMITED'!L90+'HK01'!L90-(-SUMIFS(合并抵消!$J:$J,合并抵消!$E:$E,$E90,合并抵消!$A:$A,L$2)+SUMIFS(合并抵消!$K:$K,合并抵消!$E:$E,$E90,合并抵消!$A:$A,L$2))</f>
        <v/>
      </c>
      <c r="M90" s="89">
        <f>浙江精准学!M90+知识跳跳!M90+海南精准学!M90+实时查!M90+目标准!M90+'SMART LEARNING HOLDING'!M90+'SMART AI LIMITED'!M90+'HK01'!M90-(-SUMIFS(合并抵消!$J:$J,合并抵消!$E:$E,$E90,合并抵消!$A:$A,M$2)+SUMIFS(合并抵消!$K:$K,合并抵消!$E:$E,$E90,合并抵消!$A:$A,M$2))</f>
        <v/>
      </c>
      <c r="N90" s="89">
        <f>浙江精准学!N90+知识跳跳!N90+海南精准学!N90+实时查!N90+目标准!N90+'SMART LEARNING HOLDING'!N90+'SMART AI LIMITED'!N90+'HK01'!N90-(-SUMIFS(合并抵消!$J:$J,合并抵消!$E:$E,$E90,合并抵消!$A:$A,N$2)+SUMIFS(合并抵消!$K:$K,合并抵消!$E:$E,$E90,合并抵消!$A:$A,N$2))</f>
        <v/>
      </c>
      <c r="O90" s="89">
        <f>浙江精准学!O90+知识跳跳!O90+海南精准学!O90+实时查!O90+目标准!O90+'SMART LEARNING HOLDING'!O90+'SMART AI LIMITED'!O90+'HK01'!O90-(-SUMIFS(合并抵消!$J:$J,合并抵消!$E:$E,$E90,合并抵消!$A:$A,O$2)+SUMIFS(合并抵消!$K:$K,合并抵消!$E:$E,$E90,合并抵消!$A:$A,O$2))</f>
        <v/>
      </c>
      <c r="P90" s="89">
        <f>浙江精准学!P90+知识跳跳!P90+海南精准学!P90+实时查!P90+目标准!P90+'SMART LEARNING HOLDING'!P90+'SMART AI LIMITED'!P90+'HK01'!P90-(-SUMIFS(合并抵消!$J:$J,合并抵消!$E:$E,$E90,合并抵消!$A:$A,P$2)+SUMIFS(合并抵消!$K:$K,合并抵消!$E:$E,$E90,合并抵消!$A:$A,P$2))</f>
        <v/>
      </c>
      <c r="Q90" s="89">
        <f>浙江精准学!Q90+知识跳跳!Q90+海南精准学!Q90+实时查!Q90+目标准!Q90+'SMART LEARNING HOLDING'!Q90+'SMART AI LIMITED'!Q90+'HK01'!Q90-(-SUMIFS(合并抵消!$J:$J,合并抵消!$E:$E,$E90,合并抵消!$A:$A,Q$2)+SUMIFS(合并抵消!$K:$K,合并抵消!$E:$E,$E90,合并抵消!$A:$A,Q$2))</f>
        <v/>
      </c>
      <c r="R90" s="89">
        <f>SUM(F90:Q90)</f>
        <v/>
      </c>
    </row>
    <row r="91" s="83">
      <c r="A91" s="5" t="inlineStr">
        <is>
          <t>研发支出</t>
        </is>
      </c>
      <c r="B91" s="6" t="inlineStr">
        <is>
          <t>服务器算法充值</t>
        </is>
      </c>
      <c r="D91" s="5" t="inlineStr">
        <is>
          <t>硅基流动充值费用</t>
        </is>
      </c>
      <c r="E91" s="6" t="inlineStr">
        <is>
          <t>Q1506</t>
        </is>
      </c>
      <c r="F91" s="89">
        <f>浙江精准学!F91+知识跳跳!F91+海南精准学!F91+实时查!F91+目标准!F91+'SMART LEARNING HOLDING'!F91+'SMART AI LIMITED'!F91+'HK01'!F91-(-SUMIFS(合并抵消!$J:$J,合并抵消!$E:$E,$E91,合并抵消!$A:$A,F$2)+SUMIFS(合并抵消!$K:$K,合并抵消!$E:$E,$E91,合并抵消!$A:$A,F$2))</f>
        <v/>
      </c>
      <c r="G91" s="89">
        <f>浙江精准学!G91+知识跳跳!G91+海南精准学!G91+实时查!G91+目标准!G91+'SMART LEARNING HOLDING'!G91+'SMART AI LIMITED'!G91+'HK01'!G91-(-SUMIFS(合并抵消!$J:$J,合并抵消!$E:$E,$E91,合并抵消!$A:$A,G$2)+SUMIFS(合并抵消!$K:$K,合并抵消!$E:$E,$E91,合并抵消!$A:$A,G$2))</f>
        <v/>
      </c>
      <c r="H91" s="89">
        <f>浙江精准学!H91+知识跳跳!H91+海南精准学!H91+实时查!H91+目标准!H91+'SMART LEARNING HOLDING'!H91+'SMART AI LIMITED'!H91+'HK01'!H91-(-SUMIFS(合并抵消!$J:$J,合并抵消!$E:$E,$E91,合并抵消!$A:$A,H$2)+SUMIFS(合并抵消!$K:$K,合并抵消!$E:$E,$E91,合并抵消!$A:$A,H$2))</f>
        <v/>
      </c>
      <c r="I91" s="89">
        <f>浙江精准学!I91+知识跳跳!I91+海南精准学!I91+实时查!I91+目标准!I91+'SMART LEARNING HOLDING'!I91+'SMART AI LIMITED'!I91+'HK01'!I91-(-SUMIFS(合并抵消!$J:$J,合并抵消!$E:$E,$E91,合并抵消!$A:$A,I$2)+SUMIFS(合并抵消!$K:$K,合并抵消!$E:$E,$E91,合并抵消!$A:$A,I$2))</f>
        <v/>
      </c>
      <c r="J91" s="89">
        <f>浙江精准学!J91+知识跳跳!J91+海南精准学!J91+实时查!J91+目标准!J91+'SMART LEARNING HOLDING'!J91+'SMART AI LIMITED'!J91+'HK01'!J91-(-SUMIFS(合并抵消!$J:$J,合并抵消!$E:$E,$E91,合并抵消!$A:$A,J$2)+SUMIFS(合并抵消!$K:$K,合并抵消!$E:$E,$E91,合并抵消!$A:$A,J$2))</f>
        <v/>
      </c>
      <c r="K91" s="89">
        <f>浙江精准学!K91+知识跳跳!K91+海南精准学!K91+实时查!K91+目标准!K91+'SMART LEARNING HOLDING'!K91+'SMART AI LIMITED'!K91+'HK01'!K91-(-SUMIFS(合并抵消!$J:$J,合并抵消!$E:$E,$E91,合并抵消!$A:$A,K$2)+SUMIFS(合并抵消!$K:$K,合并抵消!$E:$E,$E91,合并抵消!$A:$A,K$2))</f>
        <v/>
      </c>
      <c r="L91" s="89">
        <f>浙江精准学!L91+知识跳跳!L91+海南精准学!L91+实时查!L91+目标准!L91+'SMART LEARNING HOLDING'!L91+'SMART AI LIMITED'!L91+'HK01'!L91-(-SUMIFS(合并抵消!$J:$J,合并抵消!$E:$E,$E91,合并抵消!$A:$A,L$2)+SUMIFS(合并抵消!$K:$K,合并抵消!$E:$E,$E91,合并抵消!$A:$A,L$2))</f>
        <v/>
      </c>
      <c r="M91" s="89">
        <f>浙江精准学!M91+知识跳跳!M91+海南精准学!M91+实时查!M91+目标准!M91+'SMART LEARNING HOLDING'!M91+'SMART AI LIMITED'!M91+'HK01'!M91-(-SUMIFS(合并抵消!$J:$J,合并抵消!$E:$E,$E91,合并抵消!$A:$A,M$2)+SUMIFS(合并抵消!$K:$K,合并抵消!$E:$E,$E91,合并抵消!$A:$A,M$2))</f>
        <v/>
      </c>
      <c r="N91" s="89">
        <f>浙江精准学!N91+知识跳跳!N91+海南精准学!N91+实时查!N91+目标准!N91+'SMART LEARNING HOLDING'!N91+'SMART AI LIMITED'!N91+'HK01'!N91-(-SUMIFS(合并抵消!$J:$J,合并抵消!$E:$E,$E91,合并抵消!$A:$A,N$2)+SUMIFS(合并抵消!$K:$K,合并抵消!$E:$E,$E91,合并抵消!$A:$A,N$2))</f>
        <v/>
      </c>
      <c r="O91" s="89">
        <f>浙江精准学!O91+知识跳跳!O91+海南精准学!O91+实时查!O91+目标准!O91+'SMART LEARNING HOLDING'!O91+'SMART AI LIMITED'!O91+'HK01'!O91-(-SUMIFS(合并抵消!$J:$J,合并抵消!$E:$E,$E91,合并抵消!$A:$A,O$2)+SUMIFS(合并抵消!$K:$K,合并抵消!$E:$E,$E91,合并抵消!$A:$A,O$2))</f>
        <v/>
      </c>
      <c r="P91" s="89">
        <f>浙江精准学!P91+知识跳跳!P91+海南精准学!P91+实时查!P91+目标准!P91+'SMART LEARNING HOLDING'!P91+'SMART AI LIMITED'!P91+'HK01'!P91-(-SUMIFS(合并抵消!$J:$J,合并抵消!$E:$E,$E91,合并抵消!$A:$A,P$2)+SUMIFS(合并抵消!$K:$K,合并抵消!$E:$E,$E91,合并抵消!$A:$A,P$2))</f>
        <v/>
      </c>
      <c r="Q91" s="89">
        <f>浙江精准学!Q91+知识跳跳!Q91+海南精准学!Q91+实时查!Q91+目标准!Q91+'SMART LEARNING HOLDING'!Q91+'SMART AI LIMITED'!Q91+'HK01'!Q91-(-SUMIFS(合并抵消!$J:$J,合并抵消!$E:$E,$E91,合并抵消!$A:$A,Q$2)+SUMIFS(合并抵消!$K:$K,合并抵消!$E:$E,$E91,合并抵消!$A:$A,Q$2))</f>
        <v/>
      </c>
      <c r="R91" s="89">
        <f>SUM(F91:Q91)</f>
        <v/>
      </c>
    </row>
    <row r="92" s="83">
      <c r="A92" s="5" t="inlineStr">
        <is>
          <t>研发支出</t>
        </is>
      </c>
      <c r="B92" s="6" t="inlineStr">
        <is>
          <t>服务器算法充值</t>
        </is>
      </c>
      <c r="D92" s="5" t="inlineStr">
        <is>
          <t>无问芯穹充值费用</t>
        </is>
      </c>
      <c r="E92" s="6" t="inlineStr">
        <is>
          <t>Q1507</t>
        </is>
      </c>
      <c r="F92" s="89">
        <f>浙江精准学!F92+知识跳跳!F92+海南精准学!F92+实时查!F92+目标准!F92+'SMART LEARNING HOLDING'!F92+'SMART AI LIMITED'!F92+'HK01'!F92-(-SUMIFS(合并抵消!$J:$J,合并抵消!$E:$E,$E92,合并抵消!$A:$A,F$2)+SUMIFS(合并抵消!$K:$K,合并抵消!$E:$E,$E92,合并抵消!$A:$A,F$2))</f>
        <v/>
      </c>
      <c r="G92" s="89">
        <f>浙江精准学!G92+知识跳跳!G92+海南精准学!G92+实时查!G92+目标准!G92+'SMART LEARNING HOLDING'!G92+'SMART AI LIMITED'!G92+'HK01'!G92-(-SUMIFS(合并抵消!$J:$J,合并抵消!$E:$E,$E92,合并抵消!$A:$A,G$2)+SUMIFS(合并抵消!$K:$K,合并抵消!$E:$E,$E92,合并抵消!$A:$A,G$2))</f>
        <v/>
      </c>
      <c r="H92" s="89">
        <f>浙江精准学!H92+知识跳跳!H92+海南精准学!H92+实时查!H92+目标准!H92+'SMART LEARNING HOLDING'!H92+'SMART AI LIMITED'!H92+'HK01'!H92-(-SUMIFS(合并抵消!$J:$J,合并抵消!$E:$E,$E92,合并抵消!$A:$A,H$2)+SUMIFS(合并抵消!$K:$K,合并抵消!$E:$E,$E92,合并抵消!$A:$A,H$2))</f>
        <v/>
      </c>
      <c r="I92" s="89">
        <f>浙江精准学!I92+知识跳跳!I92+海南精准学!I92+实时查!I92+目标准!I92+'SMART LEARNING HOLDING'!I92+'SMART AI LIMITED'!I92+'HK01'!I92-(-SUMIFS(合并抵消!$J:$J,合并抵消!$E:$E,$E92,合并抵消!$A:$A,I$2)+SUMIFS(合并抵消!$K:$K,合并抵消!$E:$E,$E92,合并抵消!$A:$A,I$2))</f>
        <v/>
      </c>
      <c r="J92" s="89">
        <f>浙江精准学!J92+知识跳跳!J92+海南精准学!J92+实时查!J92+目标准!J92+'SMART LEARNING HOLDING'!J92+'SMART AI LIMITED'!J92+'HK01'!J92-(-SUMIFS(合并抵消!$J:$J,合并抵消!$E:$E,$E92,合并抵消!$A:$A,J$2)+SUMIFS(合并抵消!$K:$K,合并抵消!$E:$E,$E92,合并抵消!$A:$A,J$2))</f>
        <v/>
      </c>
      <c r="K92" s="89">
        <f>浙江精准学!K92+知识跳跳!K92+海南精准学!K92+实时查!K92+目标准!K92+'SMART LEARNING HOLDING'!K92+'SMART AI LIMITED'!K92+'HK01'!K92-(-SUMIFS(合并抵消!$J:$J,合并抵消!$E:$E,$E92,合并抵消!$A:$A,K$2)+SUMIFS(合并抵消!$K:$K,合并抵消!$E:$E,$E92,合并抵消!$A:$A,K$2))</f>
        <v/>
      </c>
      <c r="L92" s="89">
        <f>浙江精准学!L92+知识跳跳!L92+海南精准学!L92+实时查!L92+目标准!L92+'SMART LEARNING HOLDING'!L92+'SMART AI LIMITED'!L92+'HK01'!L92-(-SUMIFS(合并抵消!$J:$J,合并抵消!$E:$E,$E92,合并抵消!$A:$A,L$2)+SUMIFS(合并抵消!$K:$K,合并抵消!$E:$E,$E92,合并抵消!$A:$A,L$2))</f>
        <v/>
      </c>
      <c r="M92" s="89">
        <f>浙江精准学!M92+知识跳跳!M92+海南精准学!M92+实时查!M92+目标准!M92+'SMART LEARNING HOLDING'!M92+'SMART AI LIMITED'!M92+'HK01'!M92-(-SUMIFS(合并抵消!$J:$J,合并抵消!$E:$E,$E92,合并抵消!$A:$A,M$2)+SUMIFS(合并抵消!$K:$K,合并抵消!$E:$E,$E92,合并抵消!$A:$A,M$2))</f>
        <v/>
      </c>
      <c r="N92" s="89">
        <f>浙江精准学!N92+知识跳跳!N92+海南精准学!N92+实时查!N92+目标准!N92+'SMART LEARNING HOLDING'!N92+'SMART AI LIMITED'!N92+'HK01'!N92-(-SUMIFS(合并抵消!$J:$J,合并抵消!$E:$E,$E92,合并抵消!$A:$A,N$2)+SUMIFS(合并抵消!$K:$K,合并抵消!$E:$E,$E92,合并抵消!$A:$A,N$2))</f>
        <v/>
      </c>
      <c r="O92" s="89">
        <f>浙江精准学!O92+知识跳跳!O92+海南精准学!O92+实时查!O92+目标准!O92+'SMART LEARNING HOLDING'!O92+'SMART AI LIMITED'!O92+'HK01'!O92-(-SUMIFS(合并抵消!$J:$J,合并抵消!$E:$E,$E92,合并抵消!$A:$A,O$2)+SUMIFS(合并抵消!$K:$K,合并抵消!$E:$E,$E92,合并抵消!$A:$A,O$2))</f>
        <v/>
      </c>
      <c r="P92" s="89">
        <f>浙江精准学!P92+知识跳跳!P92+海南精准学!P92+实时查!P92+目标准!P92+'SMART LEARNING HOLDING'!P92+'SMART AI LIMITED'!P92+'HK01'!P92-(-SUMIFS(合并抵消!$J:$J,合并抵消!$E:$E,$E92,合并抵消!$A:$A,P$2)+SUMIFS(合并抵消!$K:$K,合并抵消!$E:$E,$E92,合并抵消!$A:$A,P$2))</f>
        <v/>
      </c>
      <c r="Q92" s="89">
        <f>浙江精准学!Q92+知识跳跳!Q92+海南精准学!Q92+实时查!Q92+目标准!Q92+'SMART LEARNING HOLDING'!Q92+'SMART AI LIMITED'!Q92+'HK01'!Q92-(-SUMIFS(合并抵消!$J:$J,合并抵消!$E:$E,$E92,合并抵消!$A:$A,Q$2)+SUMIFS(合并抵消!$K:$K,合并抵消!$E:$E,$E92,合并抵消!$A:$A,Q$2))</f>
        <v/>
      </c>
      <c r="R92" s="89">
        <f>SUM(F92:Q92)</f>
        <v/>
      </c>
    </row>
    <row r="93" s="83">
      <c r="A93" s="5" t="inlineStr">
        <is>
          <t>研发支出</t>
        </is>
      </c>
      <c r="B93" s="6" t="inlineStr">
        <is>
          <t>服务器算法充值</t>
        </is>
      </c>
      <c r="D93" s="5" t="inlineStr">
        <is>
          <t>其他服务器算法充值</t>
        </is>
      </c>
      <c r="E93" s="6" t="inlineStr">
        <is>
          <t>Q1505</t>
        </is>
      </c>
      <c r="F93" s="89">
        <f>浙江精准学!F93+知识跳跳!F93+海南精准学!F93+实时查!F93+目标准!F93+'SMART LEARNING HOLDING'!F93+'SMART AI LIMITED'!F93+'HK01'!F93-(-SUMIFS(合并抵消!$J:$J,合并抵消!$E:$E,$E93,合并抵消!$A:$A,F$2)+SUMIFS(合并抵消!$K:$K,合并抵消!$E:$E,$E93,合并抵消!$A:$A,F$2))</f>
        <v/>
      </c>
      <c r="G93" s="89">
        <f>浙江精准学!G93+知识跳跳!G93+海南精准学!G93+实时查!G93+目标准!G93+'SMART LEARNING HOLDING'!G93+'SMART AI LIMITED'!G93+'HK01'!G93-(-SUMIFS(合并抵消!$J:$J,合并抵消!$E:$E,$E93,合并抵消!$A:$A,G$2)+SUMIFS(合并抵消!$K:$K,合并抵消!$E:$E,$E93,合并抵消!$A:$A,G$2))</f>
        <v/>
      </c>
      <c r="H93" s="89">
        <f>浙江精准学!H93+知识跳跳!H93+海南精准学!H93+实时查!H93+目标准!H93+'SMART LEARNING HOLDING'!H93+'SMART AI LIMITED'!H93+'HK01'!H93-(-SUMIFS(合并抵消!$J:$J,合并抵消!$E:$E,$E93,合并抵消!$A:$A,H$2)+SUMIFS(合并抵消!$K:$K,合并抵消!$E:$E,$E93,合并抵消!$A:$A,H$2))</f>
        <v/>
      </c>
      <c r="I93" s="89">
        <f>浙江精准学!I93+知识跳跳!I93+海南精准学!I93+实时查!I93+目标准!I93+'SMART LEARNING HOLDING'!I93+'SMART AI LIMITED'!I93+'HK01'!I93-(-SUMIFS(合并抵消!$J:$J,合并抵消!$E:$E,$E93,合并抵消!$A:$A,I$2)+SUMIFS(合并抵消!$K:$K,合并抵消!$E:$E,$E93,合并抵消!$A:$A,I$2))</f>
        <v/>
      </c>
      <c r="J93" s="89">
        <f>浙江精准学!J93+知识跳跳!J93+海南精准学!J93+实时查!J93+目标准!J93+'SMART LEARNING HOLDING'!J93+'SMART AI LIMITED'!J93+'HK01'!J93-(-SUMIFS(合并抵消!$J:$J,合并抵消!$E:$E,$E93,合并抵消!$A:$A,J$2)+SUMIFS(合并抵消!$K:$K,合并抵消!$E:$E,$E93,合并抵消!$A:$A,J$2))</f>
        <v/>
      </c>
      <c r="K93" s="89">
        <f>浙江精准学!K93+知识跳跳!K93+海南精准学!K93+实时查!K93+目标准!K93+'SMART LEARNING HOLDING'!K93+'SMART AI LIMITED'!K93+'HK01'!K93-(-SUMIFS(合并抵消!$J:$J,合并抵消!$E:$E,$E93,合并抵消!$A:$A,K$2)+SUMIFS(合并抵消!$K:$K,合并抵消!$E:$E,$E93,合并抵消!$A:$A,K$2))</f>
        <v/>
      </c>
      <c r="L93" s="89">
        <f>浙江精准学!L93+知识跳跳!L93+海南精准学!L93+实时查!L93+目标准!L93+'SMART LEARNING HOLDING'!L93+'SMART AI LIMITED'!L93+'HK01'!L93-(-SUMIFS(合并抵消!$J:$J,合并抵消!$E:$E,$E93,合并抵消!$A:$A,L$2)+SUMIFS(合并抵消!$K:$K,合并抵消!$E:$E,$E93,合并抵消!$A:$A,L$2))</f>
        <v/>
      </c>
      <c r="M93" s="89">
        <f>浙江精准学!M93+知识跳跳!M93+海南精准学!M93+实时查!M93+目标准!M93+'SMART LEARNING HOLDING'!M93+'SMART AI LIMITED'!M93+'HK01'!M93-(-SUMIFS(合并抵消!$J:$J,合并抵消!$E:$E,$E93,合并抵消!$A:$A,M$2)+SUMIFS(合并抵消!$K:$K,合并抵消!$E:$E,$E93,合并抵消!$A:$A,M$2))</f>
        <v/>
      </c>
      <c r="N93" s="89">
        <f>浙江精准学!N93+知识跳跳!N93+海南精准学!N93+实时查!N93+目标准!N93+'SMART LEARNING HOLDING'!N93+'SMART AI LIMITED'!N93+'HK01'!N93-(-SUMIFS(合并抵消!$J:$J,合并抵消!$E:$E,$E93,合并抵消!$A:$A,N$2)+SUMIFS(合并抵消!$K:$K,合并抵消!$E:$E,$E93,合并抵消!$A:$A,N$2))</f>
        <v/>
      </c>
      <c r="O93" s="89">
        <f>浙江精准学!O93+知识跳跳!O93+海南精准学!O93+实时查!O93+目标准!O93+'SMART LEARNING HOLDING'!O93+'SMART AI LIMITED'!O93+'HK01'!O93-(-SUMIFS(合并抵消!$J:$J,合并抵消!$E:$E,$E93,合并抵消!$A:$A,O$2)+SUMIFS(合并抵消!$K:$K,合并抵消!$E:$E,$E93,合并抵消!$A:$A,O$2))</f>
        <v/>
      </c>
      <c r="P93" s="89">
        <f>浙江精准学!P93+知识跳跳!P93+海南精准学!P93+实时查!P93+目标准!P93+'SMART LEARNING HOLDING'!P93+'SMART AI LIMITED'!P93+'HK01'!P93-(-SUMIFS(合并抵消!$J:$J,合并抵消!$E:$E,$E93,合并抵消!$A:$A,P$2)+SUMIFS(合并抵消!$K:$K,合并抵消!$E:$E,$E93,合并抵消!$A:$A,P$2))</f>
        <v/>
      </c>
      <c r="Q93" s="89">
        <f>浙江精准学!Q93+知识跳跳!Q93+海南精准学!Q93+实时查!Q93+目标准!Q93+'SMART LEARNING HOLDING'!Q93+'SMART AI LIMITED'!Q93+'HK01'!Q93-(-SUMIFS(合并抵消!$J:$J,合并抵消!$E:$E,$E93,合并抵消!$A:$A,Q$2)+SUMIFS(合并抵消!$K:$K,合并抵消!$E:$E,$E93,合并抵消!$A:$A,Q$2))</f>
        <v/>
      </c>
      <c r="R93" s="89">
        <f>SUM(F93:Q93)</f>
        <v/>
      </c>
    </row>
    <row r="94" s="83">
      <c r="A94" s="5" t="inlineStr">
        <is>
          <t>研发支出</t>
        </is>
      </c>
      <c r="B94" s="6" t="inlineStr">
        <is>
          <t>研发-服务费</t>
        </is>
      </c>
      <c r="C94" s="6" t="inlineStr">
        <is>
          <t>研发-服务费</t>
        </is>
      </c>
      <c r="D94" s="5" t="inlineStr">
        <is>
          <t>设计外包服务费</t>
        </is>
      </c>
      <c r="E94" s="6" t="inlineStr">
        <is>
          <t>Q1601</t>
        </is>
      </c>
      <c r="F94" s="89">
        <f>浙江精准学!F94+知识跳跳!F94+海南精准学!F94+实时查!F94+目标准!F94+'SMART LEARNING HOLDING'!F94+'SMART AI LIMITED'!F94+'HK01'!F94-(-SUMIFS(合并抵消!$J:$J,合并抵消!$E:$E,$E94,合并抵消!$A:$A,F$2)+SUMIFS(合并抵消!$K:$K,合并抵消!$E:$E,$E94,合并抵消!$A:$A,F$2))</f>
        <v/>
      </c>
      <c r="G94" s="89">
        <f>浙江精准学!G94+知识跳跳!G94+海南精准学!G94+实时查!G94+目标准!G94+'SMART LEARNING HOLDING'!G94+'SMART AI LIMITED'!G94+'HK01'!G94-(-SUMIFS(合并抵消!$J:$J,合并抵消!$E:$E,$E94,合并抵消!$A:$A,G$2)+SUMIFS(合并抵消!$K:$K,合并抵消!$E:$E,$E94,合并抵消!$A:$A,G$2))</f>
        <v/>
      </c>
      <c r="H94" s="89">
        <f>浙江精准学!H94+知识跳跳!H94+海南精准学!H94+实时查!H94+目标准!H94+'SMART LEARNING HOLDING'!H94+'SMART AI LIMITED'!H94+'HK01'!H94-(-SUMIFS(合并抵消!$J:$J,合并抵消!$E:$E,$E94,合并抵消!$A:$A,H$2)+SUMIFS(合并抵消!$K:$K,合并抵消!$E:$E,$E94,合并抵消!$A:$A,H$2))</f>
        <v/>
      </c>
      <c r="I94" s="89">
        <f>浙江精准学!I94+知识跳跳!I94+海南精准学!I94+实时查!I94+目标准!I94+'SMART LEARNING HOLDING'!I94+'SMART AI LIMITED'!I94+'HK01'!I94-(-SUMIFS(合并抵消!$J:$J,合并抵消!$E:$E,$E94,合并抵消!$A:$A,I$2)+SUMIFS(合并抵消!$K:$K,合并抵消!$E:$E,$E94,合并抵消!$A:$A,I$2))</f>
        <v/>
      </c>
      <c r="J94" s="89">
        <f>浙江精准学!J94+知识跳跳!J94+海南精准学!J94+实时查!J94+目标准!J94+'SMART LEARNING HOLDING'!J94+'SMART AI LIMITED'!J94+'HK01'!J94-(-SUMIFS(合并抵消!$J:$J,合并抵消!$E:$E,$E94,合并抵消!$A:$A,J$2)+SUMIFS(合并抵消!$K:$K,合并抵消!$E:$E,$E94,合并抵消!$A:$A,J$2))</f>
        <v/>
      </c>
      <c r="K94" s="89">
        <f>浙江精准学!K94+知识跳跳!K94+海南精准学!K94+实时查!K94+目标准!K94+'SMART LEARNING HOLDING'!K94+'SMART AI LIMITED'!K94+'HK01'!K94-(-SUMIFS(合并抵消!$J:$J,合并抵消!$E:$E,$E94,合并抵消!$A:$A,K$2)+SUMIFS(合并抵消!$K:$K,合并抵消!$E:$E,$E94,合并抵消!$A:$A,K$2))</f>
        <v/>
      </c>
      <c r="L94" s="89">
        <f>浙江精准学!L94+知识跳跳!L94+海南精准学!L94+实时查!L94+目标准!L94+'SMART LEARNING HOLDING'!L94+'SMART AI LIMITED'!L94+'HK01'!L94-(-SUMIFS(合并抵消!$J:$J,合并抵消!$E:$E,$E94,合并抵消!$A:$A,L$2)+SUMIFS(合并抵消!$K:$K,合并抵消!$E:$E,$E94,合并抵消!$A:$A,L$2))</f>
        <v/>
      </c>
      <c r="M94" s="89">
        <f>浙江精准学!M94+知识跳跳!M94+海南精准学!M94+实时查!M94+目标准!M94+'SMART LEARNING HOLDING'!M94+'SMART AI LIMITED'!M94+'HK01'!M94-(-SUMIFS(合并抵消!$J:$J,合并抵消!$E:$E,$E94,合并抵消!$A:$A,M$2)+SUMIFS(合并抵消!$K:$K,合并抵消!$E:$E,$E94,合并抵消!$A:$A,M$2))</f>
        <v/>
      </c>
      <c r="N94" s="89">
        <f>浙江精准学!N94+知识跳跳!N94+海南精准学!N94+实时查!N94+目标准!N94+'SMART LEARNING HOLDING'!N94+'SMART AI LIMITED'!N94+'HK01'!N94-(-SUMIFS(合并抵消!$J:$J,合并抵消!$E:$E,$E94,合并抵消!$A:$A,N$2)+SUMIFS(合并抵消!$K:$K,合并抵消!$E:$E,$E94,合并抵消!$A:$A,N$2))</f>
        <v/>
      </c>
      <c r="O94" s="89">
        <f>浙江精准学!O94+知识跳跳!O94+海南精准学!O94+实时查!O94+目标准!O94+'SMART LEARNING HOLDING'!O94+'SMART AI LIMITED'!O94+'HK01'!O94-(-SUMIFS(合并抵消!$J:$J,合并抵消!$E:$E,$E94,合并抵消!$A:$A,O$2)+SUMIFS(合并抵消!$K:$K,合并抵消!$E:$E,$E94,合并抵消!$A:$A,O$2))</f>
        <v/>
      </c>
      <c r="P94" s="89">
        <f>浙江精准学!P94+知识跳跳!P94+海南精准学!P94+实时查!P94+目标准!P94+'SMART LEARNING HOLDING'!P94+'SMART AI LIMITED'!P94+'HK01'!P94-(-SUMIFS(合并抵消!$J:$J,合并抵消!$E:$E,$E94,合并抵消!$A:$A,P$2)+SUMIFS(合并抵消!$K:$K,合并抵消!$E:$E,$E94,合并抵消!$A:$A,P$2))</f>
        <v/>
      </c>
      <c r="Q94" s="89">
        <f>浙江精准学!Q94+知识跳跳!Q94+海南精准学!Q94+实时查!Q94+目标准!Q94+'SMART LEARNING HOLDING'!Q94+'SMART AI LIMITED'!Q94+'HK01'!Q94-(-SUMIFS(合并抵消!$J:$J,合并抵消!$E:$E,$E94,合并抵消!$A:$A,Q$2)+SUMIFS(合并抵消!$K:$K,合并抵消!$E:$E,$E94,合并抵消!$A:$A,Q$2))</f>
        <v/>
      </c>
      <c r="R94" s="89">
        <f>SUM(F94:Q94)</f>
        <v/>
      </c>
    </row>
    <row r="95" s="83">
      <c r="A95" s="5" t="inlineStr">
        <is>
          <t>研发支出</t>
        </is>
      </c>
      <c r="B95" s="6" t="inlineStr">
        <is>
          <t>研发-服务费</t>
        </is>
      </c>
      <c r="D95" s="5" t="inlineStr">
        <is>
          <t>AI技术外包服务费</t>
        </is>
      </c>
      <c r="E95" s="6" t="inlineStr">
        <is>
          <t>Q1602</t>
        </is>
      </c>
      <c r="F95" s="89">
        <f>浙江精准学!F95+知识跳跳!F95+海南精准学!F95+实时查!F95+目标准!F95+'SMART LEARNING HOLDING'!F95+'SMART AI LIMITED'!F95+'HK01'!F95-(-SUMIFS(合并抵消!$J:$J,合并抵消!$E:$E,$E95,合并抵消!$A:$A,F$2)+SUMIFS(合并抵消!$K:$K,合并抵消!$E:$E,$E95,合并抵消!$A:$A,F$2))</f>
        <v/>
      </c>
      <c r="G95" s="89">
        <f>浙江精准学!G95+知识跳跳!G95+海南精准学!G95+实时查!G95+目标准!G95+'SMART LEARNING HOLDING'!G95+'SMART AI LIMITED'!G95+'HK01'!G95-(-SUMIFS(合并抵消!$J:$J,合并抵消!$E:$E,$E95,合并抵消!$A:$A,G$2)+SUMIFS(合并抵消!$K:$K,合并抵消!$E:$E,$E95,合并抵消!$A:$A,G$2))</f>
        <v/>
      </c>
      <c r="H95" s="89">
        <f>浙江精准学!H95+知识跳跳!H95+海南精准学!H95+实时查!H95+目标准!H95+'SMART LEARNING HOLDING'!H95+'SMART AI LIMITED'!H95+'HK01'!H95-(-SUMIFS(合并抵消!$J:$J,合并抵消!$E:$E,$E95,合并抵消!$A:$A,H$2)+SUMIFS(合并抵消!$K:$K,合并抵消!$E:$E,$E95,合并抵消!$A:$A,H$2))</f>
        <v/>
      </c>
      <c r="I95" s="89">
        <f>浙江精准学!I95+知识跳跳!I95+海南精准学!I95+实时查!I95+目标准!I95+'SMART LEARNING HOLDING'!I95+'SMART AI LIMITED'!I95+'HK01'!I95-(-SUMIFS(合并抵消!$J:$J,合并抵消!$E:$E,$E95,合并抵消!$A:$A,I$2)+SUMIFS(合并抵消!$K:$K,合并抵消!$E:$E,$E95,合并抵消!$A:$A,I$2))</f>
        <v/>
      </c>
      <c r="J95" s="89">
        <f>浙江精准学!J95+知识跳跳!J95+海南精准学!J95+实时查!J95+目标准!J95+'SMART LEARNING HOLDING'!J95+'SMART AI LIMITED'!J95+'HK01'!J95-(-SUMIFS(合并抵消!$J:$J,合并抵消!$E:$E,$E95,合并抵消!$A:$A,J$2)+SUMIFS(合并抵消!$K:$K,合并抵消!$E:$E,$E95,合并抵消!$A:$A,J$2))</f>
        <v/>
      </c>
      <c r="K95" s="89">
        <f>浙江精准学!K95+知识跳跳!K95+海南精准学!K95+实时查!K95+目标准!K95+'SMART LEARNING HOLDING'!K95+'SMART AI LIMITED'!K95+'HK01'!K95-(-SUMIFS(合并抵消!$J:$J,合并抵消!$E:$E,$E95,合并抵消!$A:$A,K$2)+SUMIFS(合并抵消!$K:$K,合并抵消!$E:$E,$E95,合并抵消!$A:$A,K$2))</f>
        <v/>
      </c>
      <c r="L95" s="89">
        <f>浙江精准学!L95+知识跳跳!L95+海南精准学!L95+实时查!L95+目标准!L95+'SMART LEARNING HOLDING'!L95+'SMART AI LIMITED'!L95+'HK01'!L95-(-SUMIFS(合并抵消!$J:$J,合并抵消!$E:$E,$E95,合并抵消!$A:$A,L$2)+SUMIFS(合并抵消!$K:$K,合并抵消!$E:$E,$E95,合并抵消!$A:$A,L$2))</f>
        <v/>
      </c>
      <c r="M95" s="89">
        <f>浙江精准学!M95+知识跳跳!M95+海南精准学!M95+实时查!M95+目标准!M95+'SMART LEARNING HOLDING'!M95+'SMART AI LIMITED'!M95+'HK01'!M95-(-SUMIFS(合并抵消!$J:$J,合并抵消!$E:$E,$E95,合并抵消!$A:$A,M$2)+SUMIFS(合并抵消!$K:$K,合并抵消!$E:$E,$E95,合并抵消!$A:$A,M$2))</f>
        <v/>
      </c>
      <c r="N95" s="89">
        <f>浙江精准学!N95+知识跳跳!N95+海南精准学!N95+实时查!N95+目标准!N95+'SMART LEARNING HOLDING'!N95+'SMART AI LIMITED'!N95+'HK01'!N95-(-SUMIFS(合并抵消!$J:$J,合并抵消!$E:$E,$E95,合并抵消!$A:$A,N$2)+SUMIFS(合并抵消!$K:$K,合并抵消!$E:$E,$E95,合并抵消!$A:$A,N$2))</f>
        <v/>
      </c>
      <c r="O95" s="89">
        <f>浙江精准学!O95+知识跳跳!O95+海南精准学!O95+实时查!O95+目标准!O95+'SMART LEARNING HOLDING'!O95+'SMART AI LIMITED'!O95+'HK01'!O95-(-SUMIFS(合并抵消!$J:$J,合并抵消!$E:$E,$E95,合并抵消!$A:$A,O$2)+SUMIFS(合并抵消!$K:$K,合并抵消!$E:$E,$E95,合并抵消!$A:$A,O$2))</f>
        <v/>
      </c>
      <c r="P95" s="89">
        <f>浙江精准学!P95+知识跳跳!P95+海南精准学!P95+实时查!P95+目标准!P95+'SMART LEARNING HOLDING'!P95+'SMART AI LIMITED'!P95+'HK01'!P95-(-SUMIFS(合并抵消!$J:$J,合并抵消!$E:$E,$E95,合并抵消!$A:$A,P$2)+SUMIFS(合并抵消!$K:$K,合并抵消!$E:$E,$E95,合并抵消!$A:$A,P$2))</f>
        <v/>
      </c>
      <c r="Q95" s="89">
        <f>浙江精准学!Q95+知识跳跳!Q95+海南精准学!Q95+实时查!Q95+目标准!Q95+'SMART LEARNING HOLDING'!Q95+'SMART AI LIMITED'!Q95+'HK01'!Q95-(-SUMIFS(合并抵消!$J:$J,合并抵消!$E:$E,$E95,合并抵消!$A:$A,Q$2)+SUMIFS(合并抵消!$K:$K,合并抵消!$E:$E,$E95,合并抵消!$A:$A,Q$2))</f>
        <v/>
      </c>
      <c r="R95" s="89">
        <f>SUM(F95:Q95)</f>
        <v/>
      </c>
    </row>
    <row r="96" s="83">
      <c r="A96" s="5" t="inlineStr">
        <is>
          <t>研发支出</t>
        </is>
      </c>
      <c r="B96" s="6" t="inlineStr">
        <is>
          <t>研发-服务费</t>
        </is>
      </c>
      <c r="D96" s="5" t="inlineStr">
        <is>
          <t>知识产权服务费</t>
        </is>
      </c>
      <c r="E96" s="6" t="inlineStr">
        <is>
          <t>Q1603</t>
        </is>
      </c>
      <c r="F96" s="89">
        <f>浙江精准学!F96+知识跳跳!F96+海南精准学!F96+实时查!F96+目标准!F96+'SMART LEARNING HOLDING'!F96+'SMART AI LIMITED'!F96+'HK01'!F96-(-SUMIFS(合并抵消!$J:$J,合并抵消!$E:$E,$E96,合并抵消!$A:$A,F$2)+SUMIFS(合并抵消!$K:$K,合并抵消!$E:$E,$E96,合并抵消!$A:$A,F$2))</f>
        <v/>
      </c>
      <c r="G96" s="89">
        <f>浙江精准学!G96+知识跳跳!G96+海南精准学!G96+实时查!G96+目标准!G96+'SMART LEARNING HOLDING'!G96+'SMART AI LIMITED'!G96+'HK01'!G96-(-SUMIFS(合并抵消!$J:$J,合并抵消!$E:$E,$E96,合并抵消!$A:$A,G$2)+SUMIFS(合并抵消!$K:$K,合并抵消!$E:$E,$E96,合并抵消!$A:$A,G$2))</f>
        <v/>
      </c>
      <c r="H96" s="89">
        <f>浙江精准学!H96+知识跳跳!H96+海南精准学!H96+实时查!H96+目标准!H96+'SMART LEARNING HOLDING'!H96+'SMART AI LIMITED'!H96+'HK01'!H96-(-SUMIFS(合并抵消!$J:$J,合并抵消!$E:$E,$E96,合并抵消!$A:$A,H$2)+SUMIFS(合并抵消!$K:$K,合并抵消!$E:$E,$E96,合并抵消!$A:$A,H$2))</f>
        <v/>
      </c>
      <c r="I96" s="89">
        <f>浙江精准学!I96+知识跳跳!I96+海南精准学!I96+实时查!I96+目标准!I96+'SMART LEARNING HOLDING'!I96+'SMART AI LIMITED'!I96+'HK01'!I96-(-SUMIFS(合并抵消!$J:$J,合并抵消!$E:$E,$E96,合并抵消!$A:$A,I$2)+SUMIFS(合并抵消!$K:$K,合并抵消!$E:$E,$E96,合并抵消!$A:$A,I$2))</f>
        <v/>
      </c>
      <c r="J96" s="89">
        <f>浙江精准学!J96+知识跳跳!J96+海南精准学!J96+实时查!J96+目标准!J96+'SMART LEARNING HOLDING'!J96+'SMART AI LIMITED'!J96+'HK01'!J96-(-SUMIFS(合并抵消!$J:$J,合并抵消!$E:$E,$E96,合并抵消!$A:$A,J$2)+SUMIFS(合并抵消!$K:$K,合并抵消!$E:$E,$E96,合并抵消!$A:$A,J$2))</f>
        <v/>
      </c>
      <c r="K96" s="89">
        <f>浙江精准学!K96+知识跳跳!K96+海南精准学!K96+实时查!K96+目标准!K96+'SMART LEARNING HOLDING'!K96+'SMART AI LIMITED'!K96+'HK01'!K96-(-SUMIFS(合并抵消!$J:$J,合并抵消!$E:$E,$E96,合并抵消!$A:$A,K$2)+SUMIFS(合并抵消!$K:$K,合并抵消!$E:$E,$E96,合并抵消!$A:$A,K$2))</f>
        <v/>
      </c>
      <c r="L96" s="89">
        <f>浙江精准学!L96+知识跳跳!L96+海南精准学!L96+实时查!L96+目标准!L96+'SMART LEARNING HOLDING'!L96+'SMART AI LIMITED'!L96+'HK01'!L96-(-SUMIFS(合并抵消!$J:$J,合并抵消!$E:$E,$E96,合并抵消!$A:$A,L$2)+SUMIFS(合并抵消!$K:$K,合并抵消!$E:$E,$E96,合并抵消!$A:$A,L$2))</f>
        <v/>
      </c>
      <c r="M96" s="89">
        <f>浙江精准学!M96+知识跳跳!M96+海南精准学!M96+实时查!M96+目标准!M96+'SMART LEARNING HOLDING'!M96+'SMART AI LIMITED'!M96+'HK01'!M96-(-SUMIFS(合并抵消!$J:$J,合并抵消!$E:$E,$E96,合并抵消!$A:$A,M$2)+SUMIFS(合并抵消!$K:$K,合并抵消!$E:$E,$E96,合并抵消!$A:$A,M$2))</f>
        <v/>
      </c>
      <c r="N96" s="89">
        <f>浙江精准学!N96+知识跳跳!N96+海南精准学!N96+实时查!N96+目标准!N96+'SMART LEARNING HOLDING'!N96+'SMART AI LIMITED'!N96+'HK01'!N96-(-SUMIFS(合并抵消!$J:$J,合并抵消!$E:$E,$E96,合并抵消!$A:$A,N$2)+SUMIFS(合并抵消!$K:$K,合并抵消!$E:$E,$E96,合并抵消!$A:$A,N$2))</f>
        <v/>
      </c>
      <c r="O96" s="89">
        <f>浙江精准学!O96+知识跳跳!O96+海南精准学!O96+实时查!O96+目标准!O96+'SMART LEARNING HOLDING'!O96+'SMART AI LIMITED'!O96+'HK01'!O96-(-SUMIFS(合并抵消!$J:$J,合并抵消!$E:$E,$E96,合并抵消!$A:$A,O$2)+SUMIFS(合并抵消!$K:$K,合并抵消!$E:$E,$E96,合并抵消!$A:$A,O$2))</f>
        <v/>
      </c>
      <c r="P96" s="89">
        <f>浙江精准学!P96+知识跳跳!P96+海南精准学!P96+实时查!P96+目标准!P96+'SMART LEARNING HOLDING'!P96+'SMART AI LIMITED'!P96+'HK01'!P96-(-SUMIFS(合并抵消!$J:$J,合并抵消!$E:$E,$E96,合并抵消!$A:$A,P$2)+SUMIFS(合并抵消!$K:$K,合并抵消!$E:$E,$E96,合并抵消!$A:$A,P$2))</f>
        <v/>
      </c>
      <c r="Q96" s="89">
        <f>浙江精准学!Q96+知识跳跳!Q96+海南精准学!Q96+实时查!Q96+目标准!Q96+'SMART LEARNING HOLDING'!Q96+'SMART AI LIMITED'!Q96+'HK01'!Q96-(-SUMIFS(合并抵消!$J:$J,合并抵消!$E:$E,$E96,合并抵消!$A:$A,Q$2)+SUMIFS(合并抵消!$K:$K,合并抵消!$E:$E,$E96,合并抵消!$A:$A,Q$2))</f>
        <v/>
      </c>
      <c r="R96" s="89">
        <f>SUM(F96:Q96)</f>
        <v/>
      </c>
    </row>
    <row r="97" s="83">
      <c r="A97" s="5" t="inlineStr">
        <is>
          <t>研发支出</t>
        </is>
      </c>
      <c r="B97" s="6" t="inlineStr">
        <is>
          <t>研发-其他费用</t>
        </is>
      </c>
      <c r="C97" s="6" t="inlineStr">
        <is>
          <t>研发-费用报销</t>
        </is>
      </c>
      <c r="D97" s="5" t="inlineStr">
        <is>
          <t>研发员工报销</t>
        </is>
      </c>
      <c r="E97" s="6" t="inlineStr">
        <is>
          <t>Q1701</t>
        </is>
      </c>
      <c r="F97" s="89">
        <f>浙江精准学!F97+知识跳跳!F97+海南精准学!F97+实时查!F97+目标准!F97+'SMART LEARNING HOLDING'!F97+'SMART AI LIMITED'!F97+'HK01'!F97-(-SUMIFS(合并抵消!$J:$J,合并抵消!$E:$E,$E97,合并抵消!$A:$A,F$2)+SUMIFS(合并抵消!$K:$K,合并抵消!$E:$E,$E97,合并抵消!$A:$A,F$2))</f>
        <v/>
      </c>
      <c r="G97" s="89">
        <f>浙江精准学!G97+知识跳跳!G97+海南精准学!G97+实时查!G97+目标准!G97+'SMART LEARNING HOLDING'!G97+'SMART AI LIMITED'!G97+'HK01'!G97-(-SUMIFS(合并抵消!$J:$J,合并抵消!$E:$E,$E97,合并抵消!$A:$A,G$2)+SUMIFS(合并抵消!$K:$K,合并抵消!$E:$E,$E97,合并抵消!$A:$A,G$2))</f>
        <v/>
      </c>
      <c r="H97" s="89">
        <f>浙江精准学!H97+知识跳跳!H97+海南精准学!H97+实时查!H97+目标准!H97+'SMART LEARNING HOLDING'!H97+'SMART AI LIMITED'!H97+'HK01'!H97-(-SUMIFS(合并抵消!$J:$J,合并抵消!$E:$E,$E97,合并抵消!$A:$A,H$2)+SUMIFS(合并抵消!$K:$K,合并抵消!$E:$E,$E97,合并抵消!$A:$A,H$2))</f>
        <v/>
      </c>
      <c r="I97" s="89">
        <f>浙江精准学!I97+知识跳跳!I97+海南精准学!I97+实时查!I97+目标准!I97+'SMART LEARNING HOLDING'!I97+'SMART AI LIMITED'!I97+'HK01'!I97-(-SUMIFS(合并抵消!$J:$J,合并抵消!$E:$E,$E97,合并抵消!$A:$A,I$2)+SUMIFS(合并抵消!$K:$K,合并抵消!$E:$E,$E97,合并抵消!$A:$A,I$2))</f>
        <v/>
      </c>
      <c r="J97" s="89">
        <f>浙江精准学!J97+知识跳跳!J97+海南精准学!J97+实时查!J97+目标准!J97+'SMART LEARNING HOLDING'!J97+'SMART AI LIMITED'!J97+'HK01'!J97-(-SUMIFS(合并抵消!$J:$J,合并抵消!$E:$E,$E97,合并抵消!$A:$A,J$2)+SUMIFS(合并抵消!$K:$K,合并抵消!$E:$E,$E97,合并抵消!$A:$A,J$2))</f>
        <v/>
      </c>
      <c r="K97" s="89">
        <f>浙江精准学!K97+知识跳跳!K97+海南精准学!K97+实时查!K97+目标准!K97+'SMART LEARNING HOLDING'!K97+'SMART AI LIMITED'!K97+'HK01'!K97-(-SUMIFS(合并抵消!$J:$J,合并抵消!$E:$E,$E97,合并抵消!$A:$A,K$2)+SUMIFS(合并抵消!$K:$K,合并抵消!$E:$E,$E97,合并抵消!$A:$A,K$2))</f>
        <v/>
      </c>
      <c r="L97" s="89">
        <f>浙江精准学!L97+知识跳跳!L97+海南精准学!L97+实时查!L97+目标准!L97+'SMART LEARNING HOLDING'!L97+'SMART AI LIMITED'!L97+'HK01'!L97-(-SUMIFS(合并抵消!$J:$J,合并抵消!$E:$E,$E97,合并抵消!$A:$A,L$2)+SUMIFS(合并抵消!$K:$K,合并抵消!$E:$E,$E97,合并抵消!$A:$A,L$2))</f>
        <v/>
      </c>
      <c r="M97" s="89">
        <f>浙江精准学!M97+知识跳跳!M97+海南精准学!M97+实时查!M97+目标准!M97+'SMART LEARNING HOLDING'!M97+'SMART AI LIMITED'!M97+'HK01'!M97-(-SUMIFS(合并抵消!$J:$J,合并抵消!$E:$E,$E97,合并抵消!$A:$A,M$2)+SUMIFS(合并抵消!$K:$K,合并抵消!$E:$E,$E97,合并抵消!$A:$A,M$2))</f>
        <v/>
      </c>
      <c r="N97" s="89">
        <f>浙江精准学!N97+知识跳跳!N97+海南精准学!N97+实时查!N97+目标准!N97+'SMART LEARNING HOLDING'!N97+'SMART AI LIMITED'!N97+'HK01'!N97-(-SUMIFS(合并抵消!$J:$J,合并抵消!$E:$E,$E97,合并抵消!$A:$A,N$2)+SUMIFS(合并抵消!$K:$K,合并抵消!$E:$E,$E97,合并抵消!$A:$A,N$2))</f>
        <v/>
      </c>
      <c r="O97" s="89">
        <f>浙江精准学!O97+知识跳跳!O97+海南精准学!O97+实时查!O97+目标准!O97+'SMART LEARNING HOLDING'!O97+'SMART AI LIMITED'!O97+'HK01'!O97-(-SUMIFS(合并抵消!$J:$J,合并抵消!$E:$E,$E97,合并抵消!$A:$A,O$2)+SUMIFS(合并抵消!$K:$K,合并抵消!$E:$E,$E97,合并抵消!$A:$A,O$2))</f>
        <v/>
      </c>
      <c r="P97" s="89">
        <f>浙江精准学!P97+知识跳跳!P97+海南精准学!P97+实时查!P97+目标准!P97+'SMART LEARNING HOLDING'!P97+'SMART AI LIMITED'!P97+'HK01'!P97-(-SUMIFS(合并抵消!$J:$J,合并抵消!$E:$E,$E97,合并抵消!$A:$A,P$2)+SUMIFS(合并抵消!$K:$K,合并抵消!$E:$E,$E97,合并抵消!$A:$A,P$2))</f>
        <v/>
      </c>
      <c r="Q97" s="89">
        <f>浙江精准学!Q97+知识跳跳!Q97+海南精准学!Q97+实时查!Q97+目标准!Q97+'SMART LEARNING HOLDING'!Q97+'SMART AI LIMITED'!Q97+'HK01'!Q97-(-SUMIFS(合并抵消!$J:$J,合并抵消!$E:$E,$E97,合并抵消!$A:$A,Q$2)+SUMIFS(合并抵消!$K:$K,合并抵消!$E:$E,$E97,合并抵消!$A:$A,Q$2))</f>
        <v/>
      </c>
      <c r="R97" s="89">
        <f>SUM(F97:Q97)</f>
        <v/>
      </c>
    </row>
    <row r="98" s="83">
      <c r="A98" s="49" t="inlineStr">
        <is>
          <t>研发支出合计</t>
        </is>
      </c>
      <c r="B98" s="50" t="n"/>
      <c r="C98" s="50" t="n"/>
      <c r="D98" s="49" t="n"/>
      <c r="E98" s="49" t="n"/>
      <c r="F98" s="89">
        <f>SUM(F70:F97)</f>
        <v/>
      </c>
      <c r="G98" s="89">
        <f>SUM(G70:G97)</f>
        <v/>
      </c>
      <c r="H98" s="89">
        <f>SUM(H70:H97)</f>
        <v/>
      </c>
      <c r="I98" s="89">
        <f>SUM(I70:I97)</f>
        <v/>
      </c>
      <c r="J98" s="89">
        <f>SUM(J70:J97)</f>
        <v/>
      </c>
      <c r="K98" s="89">
        <f>SUM(K70:K97)</f>
        <v/>
      </c>
      <c r="L98" s="89">
        <f>SUM(L70:L97)</f>
        <v/>
      </c>
      <c r="M98" s="89">
        <f>SUM(M70:M97)</f>
        <v/>
      </c>
      <c r="N98" s="89">
        <f>SUM(N70:N97)</f>
        <v/>
      </c>
      <c r="O98" s="89">
        <f>SUM(O70:O97)</f>
        <v/>
      </c>
      <c r="P98" s="89">
        <f>SUM(P70:P97)</f>
        <v/>
      </c>
      <c r="Q98" s="89">
        <f>SUM(Q70:Q97)</f>
        <v/>
      </c>
      <c r="R98" s="89">
        <f>SUM(F98:Q98)</f>
        <v/>
      </c>
    </row>
    <row r="99" s="83">
      <c r="A99" s="5" t="inlineStr">
        <is>
          <t>销售费用</t>
        </is>
      </c>
      <c r="B99" s="6" t="inlineStr">
        <is>
          <t>品牌建设</t>
        </is>
      </c>
      <c r="C99" s="6" t="inlineStr">
        <is>
          <t>品牌建设</t>
        </is>
      </c>
      <c r="D99" s="5" t="inlineStr">
        <is>
          <t>媒体采购</t>
        </is>
      </c>
      <c r="E99" s="6" t="inlineStr">
        <is>
          <t>Q1801</t>
        </is>
      </c>
      <c r="F99" s="89">
        <f>浙江精准学!F99+知识跳跳!F99+海南精准学!F99+实时查!F99+目标准!F99+'SMART LEARNING HOLDING'!F99+'SMART AI LIMITED'!F99+'HK01'!F99-(-SUMIFS(合并抵消!$J:$J,合并抵消!$E:$E,$E99,合并抵消!$A:$A,F$2)+SUMIFS(合并抵消!$K:$K,合并抵消!$E:$E,$E99,合并抵消!$A:$A,F$2))</f>
        <v/>
      </c>
      <c r="G99" s="89">
        <f>浙江精准学!G99+知识跳跳!G99+海南精准学!G99+实时查!G99+目标准!G99+'SMART LEARNING HOLDING'!G99+'SMART AI LIMITED'!G99+'HK01'!G99-(-SUMIFS(合并抵消!$J:$J,合并抵消!$E:$E,$E99,合并抵消!$A:$A,G$2)+SUMIFS(合并抵消!$K:$K,合并抵消!$E:$E,$E99,合并抵消!$A:$A,G$2))</f>
        <v/>
      </c>
      <c r="H99" s="89">
        <f>浙江精准学!H99+知识跳跳!H99+海南精准学!H99+实时查!H99+目标准!H99+'SMART LEARNING HOLDING'!H99+'SMART AI LIMITED'!H99+'HK01'!H99-(-SUMIFS(合并抵消!$J:$J,合并抵消!$E:$E,$E99,合并抵消!$A:$A,H$2)+SUMIFS(合并抵消!$K:$K,合并抵消!$E:$E,$E99,合并抵消!$A:$A,H$2))</f>
        <v/>
      </c>
      <c r="I99" s="89">
        <f>浙江精准学!I99+知识跳跳!I99+海南精准学!I99+实时查!I99+目标准!I99+'SMART LEARNING HOLDING'!I99+'SMART AI LIMITED'!I99+'HK01'!I99-(-SUMIFS(合并抵消!$J:$J,合并抵消!$E:$E,$E99,合并抵消!$A:$A,I$2)+SUMIFS(合并抵消!$K:$K,合并抵消!$E:$E,$E99,合并抵消!$A:$A,I$2))</f>
        <v/>
      </c>
      <c r="J99" s="89">
        <f>浙江精准学!J99+知识跳跳!J99+海南精准学!J99+实时查!J99+目标准!J99+'SMART LEARNING HOLDING'!J99+'SMART AI LIMITED'!J99+'HK01'!J99-(-SUMIFS(合并抵消!$J:$J,合并抵消!$E:$E,$E99,合并抵消!$A:$A,J$2)+SUMIFS(合并抵消!$K:$K,合并抵消!$E:$E,$E99,合并抵消!$A:$A,J$2))</f>
        <v/>
      </c>
      <c r="K99" s="89">
        <f>浙江精准学!K99+知识跳跳!K99+海南精准学!K99+实时查!K99+目标准!K99+'SMART LEARNING HOLDING'!K99+'SMART AI LIMITED'!K99+'HK01'!K99-(-SUMIFS(合并抵消!$J:$J,合并抵消!$E:$E,$E99,合并抵消!$A:$A,K$2)+SUMIFS(合并抵消!$K:$K,合并抵消!$E:$E,$E99,合并抵消!$A:$A,K$2))</f>
        <v/>
      </c>
      <c r="L99" s="89">
        <f>浙江精准学!L99+知识跳跳!L99+海南精准学!L99+实时查!L99+目标准!L99+'SMART LEARNING HOLDING'!L99+'SMART AI LIMITED'!L99+'HK01'!L99-(-SUMIFS(合并抵消!$J:$J,合并抵消!$E:$E,$E99,合并抵消!$A:$A,L$2)+SUMIFS(合并抵消!$K:$K,合并抵消!$E:$E,$E99,合并抵消!$A:$A,L$2))</f>
        <v/>
      </c>
      <c r="M99" s="89">
        <f>浙江精准学!M99+知识跳跳!M99+海南精准学!M99+实时查!M99+目标准!M99+'SMART LEARNING HOLDING'!M99+'SMART AI LIMITED'!M99+'HK01'!M99-(-SUMIFS(合并抵消!$J:$J,合并抵消!$E:$E,$E99,合并抵消!$A:$A,M$2)+SUMIFS(合并抵消!$K:$K,合并抵消!$E:$E,$E99,合并抵消!$A:$A,M$2))</f>
        <v/>
      </c>
      <c r="N99" s="89">
        <f>浙江精准学!N99+知识跳跳!N99+海南精准学!N99+实时查!N99+目标准!N99+'SMART LEARNING HOLDING'!N99+'SMART AI LIMITED'!N99+'HK01'!N99-(-SUMIFS(合并抵消!$J:$J,合并抵消!$E:$E,$E99,合并抵消!$A:$A,N$2)+SUMIFS(合并抵消!$K:$K,合并抵消!$E:$E,$E99,合并抵消!$A:$A,N$2))</f>
        <v/>
      </c>
      <c r="O99" s="89">
        <f>浙江精准学!O99+知识跳跳!O99+海南精准学!O99+实时查!O99+目标准!O99+'SMART LEARNING HOLDING'!O99+'SMART AI LIMITED'!O99+'HK01'!O99-(-SUMIFS(合并抵消!$J:$J,合并抵消!$E:$E,$E99,合并抵消!$A:$A,O$2)+SUMIFS(合并抵消!$K:$K,合并抵消!$E:$E,$E99,合并抵消!$A:$A,O$2))</f>
        <v/>
      </c>
      <c r="P99" s="89">
        <f>浙江精准学!P99+知识跳跳!P99+海南精准学!P99+实时查!P99+目标准!P99+'SMART LEARNING HOLDING'!P99+'SMART AI LIMITED'!P99+'HK01'!P99-(-SUMIFS(合并抵消!$J:$J,合并抵消!$E:$E,$E99,合并抵消!$A:$A,P$2)+SUMIFS(合并抵消!$K:$K,合并抵消!$E:$E,$E99,合并抵消!$A:$A,P$2))</f>
        <v/>
      </c>
      <c r="Q99" s="89">
        <f>浙江精准学!Q99+知识跳跳!Q99+海南精准学!Q99+实时查!Q99+目标准!Q99+'SMART LEARNING HOLDING'!Q99+'SMART AI LIMITED'!Q99+'HK01'!Q99-(-SUMIFS(合并抵消!$J:$J,合并抵消!$E:$E,$E99,合并抵消!$A:$A,Q$2)+SUMIFS(合并抵消!$K:$K,合并抵消!$E:$E,$E99,合并抵消!$A:$A,Q$2))</f>
        <v/>
      </c>
      <c r="R99" s="89">
        <f>SUM(F99:Q99)</f>
        <v/>
      </c>
    </row>
    <row r="100" s="83">
      <c r="A100" s="5" t="inlineStr">
        <is>
          <t>销售费用</t>
        </is>
      </c>
      <c r="B100" s="6" t="inlineStr">
        <is>
          <t>品牌建设</t>
        </is>
      </c>
      <c r="D100" s="5" t="inlineStr">
        <is>
          <t>舆情服务</t>
        </is>
      </c>
      <c r="E100" s="6" t="inlineStr">
        <is>
          <t>Q1802</t>
        </is>
      </c>
      <c r="F100" s="89">
        <f>浙江精准学!F100+知识跳跳!F100+海南精准学!F100+实时查!F100+目标准!F100+'SMART LEARNING HOLDING'!F100+'SMART AI LIMITED'!F100+'HK01'!F100-(-SUMIFS(合并抵消!$J:$J,合并抵消!$E:$E,$E100,合并抵消!$A:$A,F$2)+SUMIFS(合并抵消!$K:$K,合并抵消!$E:$E,$E100,合并抵消!$A:$A,F$2))</f>
        <v/>
      </c>
      <c r="G100" s="89">
        <f>浙江精准学!G100+知识跳跳!G100+海南精准学!G100+实时查!G100+目标准!G100+'SMART LEARNING HOLDING'!G100+'SMART AI LIMITED'!G100+'HK01'!G100-(-SUMIFS(合并抵消!$J:$J,合并抵消!$E:$E,$E100,合并抵消!$A:$A,G$2)+SUMIFS(合并抵消!$K:$K,合并抵消!$E:$E,$E100,合并抵消!$A:$A,G$2))</f>
        <v/>
      </c>
      <c r="H100" s="89">
        <f>浙江精准学!H100+知识跳跳!H100+海南精准学!H100+实时查!H100+目标准!H100+'SMART LEARNING HOLDING'!H100+'SMART AI LIMITED'!H100+'HK01'!H100-(-SUMIFS(合并抵消!$J:$J,合并抵消!$E:$E,$E100,合并抵消!$A:$A,H$2)+SUMIFS(合并抵消!$K:$K,合并抵消!$E:$E,$E100,合并抵消!$A:$A,H$2))</f>
        <v/>
      </c>
      <c r="I100" s="89">
        <f>浙江精准学!I100+知识跳跳!I100+海南精准学!I100+实时查!I100+目标准!I100+'SMART LEARNING HOLDING'!I100+'SMART AI LIMITED'!I100+'HK01'!I100-(-SUMIFS(合并抵消!$J:$J,合并抵消!$E:$E,$E100,合并抵消!$A:$A,I$2)+SUMIFS(合并抵消!$K:$K,合并抵消!$E:$E,$E100,合并抵消!$A:$A,I$2))</f>
        <v/>
      </c>
      <c r="J100" s="89">
        <f>浙江精准学!J100+知识跳跳!J100+海南精准学!J100+实时查!J100+目标准!J100+'SMART LEARNING HOLDING'!J100+'SMART AI LIMITED'!J100+'HK01'!J100-(-SUMIFS(合并抵消!$J:$J,合并抵消!$E:$E,$E100,合并抵消!$A:$A,J$2)+SUMIFS(合并抵消!$K:$K,合并抵消!$E:$E,$E100,合并抵消!$A:$A,J$2))</f>
        <v/>
      </c>
      <c r="K100" s="89">
        <f>浙江精准学!K100+知识跳跳!K100+海南精准学!K100+实时查!K100+目标准!K100+'SMART LEARNING HOLDING'!K100+'SMART AI LIMITED'!K100+'HK01'!K100-(-SUMIFS(合并抵消!$J:$J,合并抵消!$E:$E,$E100,合并抵消!$A:$A,K$2)+SUMIFS(合并抵消!$K:$K,合并抵消!$E:$E,$E100,合并抵消!$A:$A,K$2))</f>
        <v/>
      </c>
      <c r="L100" s="89">
        <f>浙江精准学!L100+知识跳跳!L100+海南精准学!L100+实时查!L100+目标准!L100+'SMART LEARNING HOLDING'!L100+'SMART AI LIMITED'!L100+'HK01'!L100-(-SUMIFS(合并抵消!$J:$J,合并抵消!$E:$E,$E100,合并抵消!$A:$A,L$2)+SUMIFS(合并抵消!$K:$K,合并抵消!$E:$E,$E100,合并抵消!$A:$A,L$2))</f>
        <v/>
      </c>
      <c r="M100" s="89">
        <f>浙江精准学!M100+知识跳跳!M100+海南精准学!M100+实时查!M100+目标准!M100+'SMART LEARNING HOLDING'!M100+'SMART AI LIMITED'!M100+'HK01'!M100-(-SUMIFS(合并抵消!$J:$J,合并抵消!$E:$E,$E100,合并抵消!$A:$A,M$2)+SUMIFS(合并抵消!$K:$K,合并抵消!$E:$E,$E100,合并抵消!$A:$A,M$2))</f>
        <v/>
      </c>
      <c r="N100" s="89">
        <f>浙江精准学!N100+知识跳跳!N100+海南精准学!N100+实时查!N100+目标准!N100+'SMART LEARNING HOLDING'!N100+'SMART AI LIMITED'!N100+'HK01'!N100-(-SUMIFS(合并抵消!$J:$J,合并抵消!$E:$E,$E100,合并抵消!$A:$A,N$2)+SUMIFS(合并抵消!$K:$K,合并抵消!$E:$E,$E100,合并抵消!$A:$A,N$2))</f>
        <v/>
      </c>
      <c r="O100" s="89">
        <f>浙江精准学!O100+知识跳跳!O100+海南精准学!O100+实时查!O100+目标准!O100+'SMART LEARNING HOLDING'!O100+'SMART AI LIMITED'!O100+'HK01'!O100-(-SUMIFS(合并抵消!$J:$J,合并抵消!$E:$E,$E100,合并抵消!$A:$A,O$2)+SUMIFS(合并抵消!$K:$K,合并抵消!$E:$E,$E100,合并抵消!$A:$A,O$2))</f>
        <v/>
      </c>
      <c r="P100" s="89">
        <f>浙江精准学!P100+知识跳跳!P100+海南精准学!P100+实时查!P100+目标准!P100+'SMART LEARNING HOLDING'!P100+'SMART AI LIMITED'!P100+'HK01'!P100-(-SUMIFS(合并抵消!$J:$J,合并抵消!$E:$E,$E100,合并抵消!$A:$A,P$2)+SUMIFS(合并抵消!$K:$K,合并抵消!$E:$E,$E100,合并抵消!$A:$A,P$2))</f>
        <v/>
      </c>
      <c r="Q100" s="89">
        <f>浙江精准学!Q100+知识跳跳!Q100+海南精准学!Q100+实时查!Q100+目标准!Q100+'SMART LEARNING HOLDING'!Q100+'SMART AI LIMITED'!Q100+'HK01'!Q100-(-SUMIFS(合并抵消!$J:$J,合并抵消!$E:$E,$E100,合并抵消!$A:$A,Q$2)+SUMIFS(合并抵消!$K:$K,合并抵消!$E:$E,$E100,合并抵消!$A:$A,Q$2))</f>
        <v/>
      </c>
      <c r="R100" s="89">
        <f>SUM(F100:Q100)</f>
        <v/>
      </c>
    </row>
    <row r="101" s="83">
      <c r="A101" s="5" t="inlineStr">
        <is>
          <t>销售费用</t>
        </is>
      </c>
      <c r="B101" s="6" t="inlineStr">
        <is>
          <t>品牌建设</t>
        </is>
      </c>
      <c r="D101" s="5" t="inlineStr">
        <is>
          <t>会务服务</t>
        </is>
      </c>
      <c r="E101" s="6" t="inlineStr">
        <is>
          <t>Q1803</t>
        </is>
      </c>
      <c r="F101" s="89">
        <f>浙江精准学!F101+知识跳跳!F101+海南精准学!F101+实时查!F101+目标准!F101+'SMART LEARNING HOLDING'!F101+'SMART AI LIMITED'!F101+'HK01'!F101-(-SUMIFS(合并抵消!$J:$J,合并抵消!$E:$E,$E101,合并抵消!$A:$A,F$2)+SUMIFS(合并抵消!$K:$K,合并抵消!$E:$E,$E101,合并抵消!$A:$A,F$2))</f>
        <v/>
      </c>
      <c r="G101" s="89">
        <f>浙江精准学!G101+知识跳跳!G101+海南精准学!G101+实时查!G101+目标准!G101+'SMART LEARNING HOLDING'!G101+'SMART AI LIMITED'!G101+'HK01'!G101-(-SUMIFS(合并抵消!$J:$J,合并抵消!$E:$E,$E101,合并抵消!$A:$A,G$2)+SUMIFS(合并抵消!$K:$K,合并抵消!$E:$E,$E101,合并抵消!$A:$A,G$2))</f>
        <v/>
      </c>
      <c r="H101" s="89">
        <f>浙江精准学!H101+知识跳跳!H101+海南精准学!H101+实时查!H101+目标准!H101+'SMART LEARNING HOLDING'!H101+'SMART AI LIMITED'!H101+'HK01'!H101-(-SUMIFS(合并抵消!$J:$J,合并抵消!$E:$E,$E101,合并抵消!$A:$A,H$2)+SUMIFS(合并抵消!$K:$K,合并抵消!$E:$E,$E101,合并抵消!$A:$A,H$2))</f>
        <v/>
      </c>
      <c r="I101" s="89">
        <f>浙江精准学!I101+知识跳跳!I101+海南精准学!I101+实时查!I101+目标准!I101+'SMART LEARNING HOLDING'!I101+'SMART AI LIMITED'!I101+'HK01'!I101-(-SUMIFS(合并抵消!$J:$J,合并抵消!$E:$E,$E101,合并抵消!$A:$A,I$2)+SUMIFS(合并抵消!$K:$K,合并抵消!$E:$E,$E101,合并抵消!$A:$A,I$2))</f>
        <v/>
      </c>
      <c r="J101" s="89">
        <f>浙江精准学!J101+知识跳跳!J101+海南精准学!J101+实时查!J101+目标准!J101+'SMART LEARNING HOLDING'!J101+'SMART AI LIMITED'!J101+'HK01'!J101-(-SUMIFS(合并抵消!$J:$J,合并抵消!$E:$E,$E101,合并抵消!$A:$A,J$2)+SUMIFS(合并抵消!$K:$K,合并抵消!$E:$E,$E101,合并抵消!$A:$A,J$2))</f>
        <v/>
      </c>
      <c r="K101" s="89">
        <f>浙江精准学!K101+知识跳跳!K101+海南精准学!K101+实时查!K101+目标准!K101+'SMART LEARNING HOLDING'!K101+'SMART AI LIMITED'!K101+'HK01'!K101-(-SUMIFS(合并抵消!$J:$J,合并抵消!$E:$E,$E101,合并抵消!$A:$A,K$2)+SUMIFS(合并抵消!$K:$K,合并抵消!$E:$E,$E101,合并抵消!$A:$A,K$2))</f>
        <v/>
      </c>
      <c r="L101" s="89">
        <f>浙江精准学!L101+知识跳跳!L101+海南精准学!L101+实时查!L101+目标准!L101+'SMART LEARNING HOLDING'!L101+'SMART AI LIMITED'!L101+'HK01'!L101-(-SUMIFS(合并抵消!$J:$J,合并抵消!$E:$E,$E101,合并抵消!$A:$A,L$2)+SUMIFS(合并抵消!$K:$K,合并抵消!$E:$E,$E101,合并抵消!$A:$A,L$2))</f>
        <v/>
      </c>
      <c r="M101" s="89">
        <f>浙江精准学!M101+知识跳跳!M101+海南精准学!M101+实时查!M101+目标准!M101+'SMART LEARNING HOLDING'!M101+'SMART AI LIMITED'!M101+'HK01'!M101-(-SUMIFS(合并抵消!$J:$J,合并抵消!$E:$E,$E101,合并抵消!$A:$A,M$2)+SUMIFS(合并抵消!$K:$K,合并抵消!$E:$E,$E101,合并抵消!$A:$A,M$2))</f>
        <v/>
      </c>
      <c r="N101" s="89">
        <f>浙江精准学!N101+知识跳跳!N101+海南精准学!N101+实时查!N101+目标准!N101+'SMART LEARNING HOLDING'!N101+'SMART AI LIMITED'!N101+'HK01'!N101-(-SUMIFS(合并抵消!$J:$J,合并抵消!$E:$E,$E101,合并抵消!$A:$A,N$2)+SUMIFS(合并抵消!$K:$K,合并抵消!$E:$E,$E101,合并抵消!$A:$A,N$2))</f>
        <v/>
      </c>
      <c r="O101" s="89">
        <f>浙江精准学!O101+知识跳跳!O101+海南精准学!O101+实时查!O101+目标准!O101+'SMART LEARNING HOLDING'!O101+'SMART AI LIMITED'!O101+'HK01'!O101-(-SUMIFS(合并抵消!$J:$J,合并抵消!$E:$E,$E101,合并抵消!$A:$A,O$2)+SUMIFS(合并抵消!$K:$K,合并抵消!$E:$E,$E101,合并抵消!$A:$A,O$2))</f>
        <v/>
      </c>
      <c r="P101" s="89">
        <f>浙江精准学!P101+知识跳跳!P101+海南精准学!P101+实时查!P101+目标准!P101+'SMART LEARNING HOLDING'!P101+'SMART AI LIMITED'!P101+'HK01'!P101-(-SUMIFS(合并抵消!$J:$J,合并抵消!$E:$E,$E101,合并抵消!$A:$A,P$2)+SUMIFS(合并抵消!$K:$K,合并抵消!$E:$E,$E101,合并抵消!$A:$A,P$2))</f>
        <v/>
      </c>
      <c r="Q101" s="89">
        <f>浙江精准学!Q101+知识跳跳!Q101+海南精准学!Q101+实时查!Q101+目标准!Q101+'SMART LEARNING HOLDING'!Q101+'SMART AI LIMITED'!Q101+'HK01'!Q101-(-SUMIFS(合并抵消!$J:$J,合并抵消!$E:$E,$E101,合并抵消!$A:$A,Q$2)+SUMIFS(合并抵消!$K:$K,合并抵消!$E:$E,$E101,合并抵消!$A:$A,Q$2))</f>
        <v/>
      </c>
      <c r="R101" s="89">
        <f>SUM(F101:Q101)</f>
        <v/>
      </c>
    </row>
    <row r="102" s="83">
      <c r="A102" s="5" t="inlineStr">
        <is>
          <t>销售费用</t>
        </is>
      </c>
      <c r="B102" s="6" t="inlineStr">
        <is>
          <t>品牌建设</t>
        </is>
      </c>
      <c r="D102" s="5" t="inlineStr">
        <is>
          <t>场地搭建</t>
        </is>
      </c>
      <c r="E102" s="6" t="inlineStr">
        <is>
          <t>Q1804</t>
        </is>
      </c>
      <c r="F102" s="89">
        <f>浙江精准学!F102+知识跳跳!F102+海南精准学!F102+实时查!F102+目标准!F102+'SMART LEARNING HOLDING'!F102+'SMART AI LIMITED'!F102+'HK01'!F102-(-SUMIFS(合并抵消!$J:$J,合并抵消!$E:$E,$E102,合并抵消!$A:$A,F$2)+SUMIFS(合并抵消!$K:$K,合并抵消!$E:$E,$E102,合并抵消!$A:$A,F$2))</f>
        <v/>
      </c>
      <c r="G102" s="89">
        <f>浙江精准学!G102+知识跳跳!G102+海南精准学!G102+实时查!G102+目标准!G102+'SMART LEARNING HOLDING'!G102+'SMART AI LIMITED'!G102+'HK01'!G102-(-SUMIFS(合并抵消!$J:$J,合并抵消!$E:$E,$E102,合并抵消!$A:$A,G$2)+SUMIFS(合并抵消!$K:$K,合并抵消!$E:$E,$E102,合并抵消!$A:$A,G$2))</f>
        <v/>
      </c>
      <c r="H102" s="89">
        <f>浙江精准学!H102+知识跳跳!H102+海南精准学!H102+实时查!H102+目标准!H102+'SMART LEARNING HOLDING'!H102+'SMART AI LIMITED'!H102+'HK01'!H102-(-SUMIFS(合并抵消!$J:$J,合并抵消!$E:$E,$E102,合并抵消!$A:$A,H$2)+SUMIFS(合并抵消!$K:$K,合并抵消!$E:$E,$E102,合并抵消!$A:$A,H$2))</f>
        <v/>
      </c>
      <c r="I102" s="89">
        <f>浙江精准学!I102+知识跳跳!I102+海南精准学!I102+实时查!I102+目标准!I102+'SMART LEARNING HOLDING'!I102+'SMART AI LIMITED'!I102+'HK01'!I102-(-SUMIFS(合并抵消!$J:$J,合并抵消!$E:$E,$E102,合并抵消!$A:$A,I$2)+SUMIFS(合并抵消!$K:$K,合并抵消!$E:$E,$E102,合并抵消!$A:$A,I$2))</f>
        <v/>
      </c>
      <c r="J102" s="89">
        <f>浙江精准学!J102+知识跳跳!J102+海南精准学!J102+实时查!J102+目标准!J102+'SMART LEARNING HOLDING'!J102+'SMART AI LIMITED'!J102+'HK01'!J102-(-SUMIFS(合并抵消!$J:$J,合并抵消!$E:$E,$E102,合并抵消!$A:$A,J$2)+SUMIFS(合并抵消!$K:$K,合并抵消!$E:$E,$E102,合并抵消!$A:$A,J$2))</f>
        <v/>
      </c>
      <c r="K102" s="89">
        <f>浙江精准学!K102+知识跳跳!K102+海南精准学!K102+实时查!K102+目标准!K102+'SMART LEARNING HOLDING'!K102+'SMART AI LIMITED'!K102+'HK01'!K102-(-SUMIFS(合并抵消!$J:$J,合并抵消!$E:$E,$E102,合并抵消!$A:$A,K$2)+SUMIFS(合并抵消!$K:$K,合并抵消!$E:$E,$E102,合并抵消!$A:$A,K$2))</f>
        <v/>
      </c>
      <c r="L102" s="89">
        <f>浙江精准学!L102+知识跳跳!L102+海南精准学!L102+实时查!L102+目标准!L102+'SMART LEARNING HOLDING'!L102+'SMART AI LIMITED'!L102+'HK01'!L102-(-SUMIFS(合并抵消!$J:$J,合并抵消!$E:$E,$E102,合并抵消!$A:$A,L$2)+SUMIFS(合并抵消!$K:$K,合并抵消!$E:$E,$E102,合并抵消!$A:$A,L$2))</f>
        <v/>
      </c>
      <c r="M102" s="89">
        <f>浙江精准学!M102+知识跳跳!M102+海南精准学!M102+实时查!M102+目标准!M102+'SMART LEARNING HOLDING'!M102+'SMART AI LIMITED'!M102+'HK01'!M102-(-SUMIFS(合并抵消!$J:$J,合并抵消!$E:$E,$E102,合并抵消!$A:$A,M$2)+SUMIFS(合并抵消!$K:$K,合并抵消!$E:$E,$E102,合并抵消!$A:$A,M$2))</f>
        <v/>
      </c>
      <c r="N102" s="89">
        <f>浙江精准学!N102+知识跳跳!N102+海南精准学!N102+实时查!N102+目标准!N102+'SMART LEARNING HOLDING'!N102+'SMART AI LIMITED'!N102+'HK01'!N102-(-SUMIFS(合并抵消!$J:$J,合并抵消!$E:$E,$E102,合并抵消!$A:$A,N$2)+SUMIFS(合并抵消!$K:$K,合并抵消!$E:$E,$E102,合并抵消!$A:$A,N$2))</f>
        <v/>
      </c>
      <c r="O102" s="89">
        <f>浙江精准学!O102+知识跳跳!O102+海南精准学!O102+实时查!O102+目标准!O102+'SMART LEARNING HOLDING'!O102+'SMART AI LIMITED'!O102+'HK01'!O102-(-SUMIFS(合并抵消!$J:$J,合并抵消!$E:$E,$E102,合并抵消!$A:$A,O$2)+SUMIFS(合并抵消!$K:$K,合并抵消!$E:$E,$E102,合并抵消!$A:$A,O$2))</f>
        <v/>
      </c>
      <c r="P102" s="89">
        <f>浙江精准学!P102+知识跳跳!P102+海南精准学!P102+实时查!P102+目标准!P102+'SMART LEARNING HOLDING'!P102+'SMART AI LIMITED'!P102+'HK01'!P102-(-SUMIFS(合并抵消!$J:$J,合并抵消!$E:$E,$E102,合并抵消!$A:$A,P$2)+SUMIFS(合并抵消!$K:$K,合并抵消!$E:$E,$E102,合并抵消!$A:$A,P$2))</f>
        <v/>
      </c>
      <c r="Q102" s="89">
        <f>浙江精准学!Q102+知识跳跳!Q102+海南精准学!Q102+实时查!Q102+目标准!Q102+'SMART LEARNING HOLDING'!Q102+'SMART AI LIMITED'!Q102+'HK01'!Q102-(-SUMIFS(合并抵消!$J:$J,合并抵消!$E:$E,$E102,合并抵消!$A:$A,Q$2)+SUMIFS(合并抵消!$K:$K,合并抵消!$E:$E,$E102,合并抵消!$A:$A,Q$2))</f>
        <v/>
      </c>
      <c r="R102" s="89">
        <f>SUM(F102:Q102)</f>
        <v/>
      </c>
    </row>
    <row r="103" s="83">
      <c r="A103" s="5" t="inlineStr">
        <is>
          <t>销售费用</t>
        </is>
      </c>
      <c r="B103" s="6" t="inlineStr">
        <is>
          <t>品牌建设</t>
        </is>
      </c>
      <c r="D103" s="5" t="inlineStr">
        <is>
          <t>素材拍摄</t>
        </is>
      </c>
      <c r="E103" s="6" t="inlineStr">
        <is>
          <t>Q1805</t>
        </is>
      </c>
      <c r="F103" s="89">
        <f>浙江精准学!F103+知识跳跳!F103+海南精准学!F103+实时查!F103+目标准!F103+'SMART LEARNING HOLDING'!F103+'SMART AI LIMITED'!F103+'HK01'!F103-(-SUMIFS(合并抵消!$J:$J,合并抵消!$E:$E,$E103,合并抵消!$A:$A,F$2)+SUMIFS(合并抵消!$K:$K,合并抵消!$E:$E,$E103,合并抵消!$A:$A,F$2))</f>
        <v/>
      </c>
      <c r="G103" s="89">
        <f>浙江精准学!G103+知识跳跳!G103+海南精准学!G103+实时查!G103+目标准!G103+'SMART LEARNING HOLDING'!G103+'SMART AI LIMITED'!G103+'HK01'!G103-(-SUMIFS(合并抵消!$J:$J,合并抵消!$E:$E,$E103,合并抵消!$A:$A,G$2)+SUMIFS(合并抵消!$K:$K,合并抵消!$E:$E,$E103,合并抵消!$A:$A,G$2))</f>
        <v/>
      </c>
      <c r="H103" s="89">
        <f>浙江精准学!H103+知识跳跳!H103+海南精准学!H103+实时查!H103+目标准!H103+'SMART LEARNING HOLDING'!H103+'SMART AI LIMITED'!H103+'HK01'!H103-(-SUMIFS(合并抵消!$J:$J,合并抵消!$E:$E,$E103,合并抵消!$A:$A,H$2)+SUMIFS(合并抵消!$K:$K,合并抵消!$E:$E,$E103,合并抵消!$A:$A,H$2))</f>
        <v/>
      </c>
      <c r="I103" s="89">
        <f>浙江精准学!I103+知识跳跳!I103+海南精准学!I103+实时查!I103+目标准!I103+'SMART LEARNING HOLDING'!I103+'SMART AI LIMITED'!I103+'HK01'!I103-(-SUMIFS(合并抵消!$J:$J,合并抵消!$E:$E,$E103,合并抵消!$A:$A,I$2)+SUMIFS(合并抵消!$K:$K,合并抵消!$E:$E,$E103,合并抵消!$A:$A,I$2))</f>
        <v/>
      </c>
      <c r="J103" s="89">
        <f>浙江精准学!J103+知识跳跳!J103+海南精准学!J103+实时查!J103+目标准!J103+'SMART LEARNING HOLDING'!J103+'SMART AI LIMITED'!J103+'HK01'!J103-(-SUMIFS(合并抵消!$J:$J,合并抵消!$E:$E,$E103,合并抵消!$A:$A,J$2)+SUMIFS(合并抵消!$K:$K,合并抵消!$E:$E,$E103,合并抵消!$A:$A,J$2))</f>
        <v/>
      </c>
      <c r="K103" s="89">
        <f>浙江精准学!K103+知识跳跳!K103+海南精准学!K103+实时查!K103+目标准!K103+'SMART LEARNING HOLDING'!K103+'SMART AI LIMITED'!K103+'HK01'!K103-(-SUMIFS(合并抵消!$J:$J,合并抵消!$E:$E,$E103,合并抵消!$A:$A,K$2)+SUMIFS(合并抵消!$K:$K,合并抵消!$E:$E,$E103,合并抵消!$A:$A,K$2))</f>
        <v/>
      </c>
      <c r="L103" s="89">
        <f>浙江精准学!L103+知识跳跳!L103+海南精准学!L103+实时查!L103+目标准!L103+'SMART LEARNING HOLDING'!L103+'SMART AI LIMITED'!L103+'HK01'!L103-(-SUMIFS(合并抵消!$J:$J,合并抵消!$E:$E,$E103,合并抵消!$A:$A,L$2)+SUMIFS(合并抵消!$K:$K,合并抵消!$E:$E,$E103,合并抵消!$A:$A,L$2))</f>
        <v/>
      </c>
      <c r="M103" s="89">
        <f>浙江精准学!M103+知识跳跳!M103+海南精准学!M103+实时查!M103+目标准!M103+'SMART LEARNING HOLDING'!M103+'SMART AI LIMITED'!M103+'HK01'!M103-(-SUMIFS(合并抵消!$J:$J,合并抵消!$E:$E,$E103,合并抵消!$A:$A,M$2)+SUMIFS(合并抵消!$K:$K,合并抵消!$E:$E,$E103,合并抵消!$A:$A,M$2))</f>
        <v/>
      </c>
      <c r="N103" s="89">
        <f>浙江精准学!N103+知识跳跳!N103+海南精准学!N103+实时查!N103+目标准!N103+'SMART LEARNING HOLDING'!N103+'SMART AI LIMITED'!N103+'HK01'!N103-(-SUMIFS(合并抵消!$J:$J,合并抵消!$E:$E,$E103,合并抵消!$A:$A,N$2)+SUMIFS(合并抵消!$K:$K,合并抵消!$E:$E,$E103,合并抵消!$A:$A,N$2))</f>
        <v/>
      </c>
      <c r="O103" s="89">
        <f>浙江精准学!O103+知识跳跳!O103+海南精准学!O103+实时查!O103+目标准!O103+'SMART LEARNING HOLDING'!O103+'SMART AI LIMITED'!O103+'HK01'!O103-(-SUMIFS(合并抵消!$J:$J,合并抵消!$E:$E,$E103,合并抵消!$A:$A,O$2)+SUMIFS(合并抵消!$K:$K,合并抵消!$E:$E,$E103,合并抵消!$A:$A,O$2))</f>
        <v/>
      </c>
      <c r="P103" s="89">
        <f>浙江精准学!P103+知识跳跳!P103+海南精准学!P103+实时查!P103+目标准!P103+'SMART LEARNING HOLDING'!P103+'SMART AI LIMITED'!P103+'HK01'!P103-(-SUMIFS(合并抵消!$J:$J,合并抵消!$E:$E,$E103,合并抵消!$A:$A,P$2)+SUMIFS(合并抵消!$K:$K,合并抵消!$E:$E,$E103,合并抵消!$A:$A,P$2))</f>
        <v/>
      </c>
      <c r="Q103" s="89">
        <f>浙江精准学!Q103+知识跳跳!Q103+海南精准学!Q103+实时查!Q103+目标准!Q103+'SMART LEARNING HOLDING'!Q103+'SMART AI LIMITED'!Q103+'HK01'!Q103-(-SUMIFS(合并抵消!$J:$J,合并抵消!$E:$E,$E103,合并抵消!$A:$A,Q$2)+SUMIFS(合并抵消!$K:$K,合并抵消!$E:$E,$E103,合并抵消!$A:$A,Q$2))</f>
        <v/>
      </c>
      <c r="R103" s="89">
        <f>SUM(F103:Q103)</f>
        <v/>
      </c>
    </row>
    <row r="104" s="83">
      <c r="A104" s="5" t="inlineStr">
        <is>
          <t>销售费用</t>
        </is>
      </c>
      <c r="B104" s="6" t="inlineStr">
        <is>
          <t>品牌建设</t>
        </is>
      </c>
      <c r="D104" s="5" t="inlineStr">
        <is>
          <t>背书合作费用</t>
        </is>
      </c>
      <c r="E104" s="6" t="inlineStr">
        <is>
          <t>Q1806</t>
        </is>
      </c>
      <c r="F104" s="89">
        <f>浙江精准学!F104+知识跳跳!F104+海南精准学!F104+实时查!F104+目标准!F104+'SMART LEARNING HOLDING'!F104+'SMART AI LIMITED'!F104+'HK01'!F104-(-SUMIFS(合并抵消!$J:$J,合并抵消!$E:$E,$E104,合并抵消!$A:$A,F$2)+SUMIFS(合并抵消!$K:$K,合并抵消!$E:$E,$E104,合并抵消!$A:$A,F$2))</f>
        <v/>
      </c>
      <c r="G104" s="89">
        <f>浙江精准学!G104+知识跳跳!G104+海南精准学!G104+实时查!G104+目标准!G104+'SMART LEARNING HOLDING'!G104+'SMART AI LIMITED'!G104+'HK01'!G104-(-SUMIFS(合并抵消!$J:$J,合并抵消!$E:$E,$E104,合并抵消!$A:$A,G$2)+SUMIFS(合并抵消!$K:$K,合并抵消!$E:$E,$E104,合并抵消!$A:$A,G$2))</f>
        <v/>
      </c>
      <c r="H104" s="89">
        <f>浙江精准学!H104+知识跳跳!H104+海南精准学!H104+实时查!H104+目标准!H104+'SMART LEARNING HOLDING'!H104+'SMART AI LIMITED'!H104+'HK01'!H104-(-SUMIFS(合并抵消!$J:$J,合并抵消!$E:$E,$E104,合并抵消!$A:$A,H$2)+SUMIFS(合并抵消!$K:$K,合并抵消!$E:$E,$E104,合并抵消!$A:$A,H$2))</f>
        <v/>
      </c>
      <c r="I104" s="89">
        <f>浙江精准学!I104+知识跳跳!I104+海南精准学!I104+实时查!I104+目标准!I104+'SMART LEARNING HOLDING'!I104+'SMART AI LIMITED'!I104+'HK01'!I104-(-SUMIFS(合并抵消!$J:$J,合并抵消!$E:$E,$E104,合并抵消!$A:$A,I$2)+SUMIFS(合并抵消!$K:$K,合并抵消!$E:$E,$E104,合并抵消!$A:$A,I$2))</f>
        <v/>
      </c>
      <c r="J104" s="89">
        <f>浙江精准学!J104+知识跳跳!J104+海南精准学!J104+实时查!J104+目标准!J104+'SMART LEARNING HOLDING'!J104+'SMART AI LIMITED'!J104+'HK01'!J104-(-SUMIFS(合并抵消!$J:$J,合并抵消!$E:$E,$E104,合并抵消!$A:$A,J$2)+SUMIFS(合并抵消!$K:$K,合并抵消!$E:$E,$E104,合并抵消!$A:$A,J$2))</f>
        <v/>
      </c>
      <c r="K104" s="89">
        <f>浙江精准学!K104+知识跳跳!K104+海南精准学!K104+实时查!K104+目标准!K104+'SMART LEARNING HOLDING'!K104+'SMART AI LIMITED'!K104+'HK01'!K104-(-SUMIFS(合并抵消!$J:$J,合并抵消!$E:$E,$E104,合并抵消!$A:$A,K$2)+SUMIFS(合并抵消!$K:$K,合并抵消!$E:$E,$E104,合并抵消!$A:$A,K$2))</f>
        <v/>
      </c>
      <c r="L104" s="89">
        <f>浙江精准学!L104+知识跳跳!L104+海南精准学!L104+实时查!L104+目标准!L104+'SMART LEARNING HOLDING'!L104+'SMART AI LIMITED'!L104+'HK01'!L104-(-SUMIFS(合并抵消!$J:$J,合并抵消!$E:$E,$E104,合并抵消!$A:$A,L$2)+SUMIFS(合并抵消!$K:$K,合并抵消!$E:$E,$E104,合并抵消!$A:$A,L$2))</f>
        <v/>
      </c>
      <c r="M104" s="89">
        <f>浙江精准学!M104+知识跳跳!M104+海南精准学!M104+实时查!M104+目标准!M104+'SMART LEARNING HOLDING'!M104+'SMART AI LIMITED'!M104+'HK01'!M104-(-SUMIFS(合并抵消!$J:$J,合并抵消!$E:$E,$E104,合并抵消!$A:$A,M$2)+SUMIFS(合并抵消!$K:$K,合并抵消!$E:$E,$E104,合并抵消!$A:$A,M$2))</f>
        <v/>
      </c>
      <c r="N104" s="89">
        <f>浙江精准学!N104+知识跳跳!N104+海南精准学!N104+实时查!N104+目标准!N104+'SMART LEARNING HOLDING'!N104+'SMART AI LIMITED'!N104+'HK01'!N104-(-SUMIFS(合并抵消!$J:$J,合并抵消!$E:$E,$E104,合并抵消!$A:$A,N$2)+SUMIFS(合并抵消!$K:$K,合并抵消!$E:$E,$E104,合并抵消!$A:$A,N$2))</f>
        <v/>
      </c>
      <c r="O104" s="89">
        <f>浙江精准学!O104+知识跳跳!O104+海南精准学!O104+实时查!O104+目标准!O104+'SMART LEARNING HOLDING'!O104+'SMART AI LIMITED'!O104+'HK01'!O104-(-SUMIFS(合并抵消!$J:$J,合并抵消!$E:$E,$E104,合并抵消!$A:$A,O$2)+SUMIFS(合并抵消!$K:$K,合并抵消!$E:$E,$E104,合并抵消!$A:$A,O$2))</f>
        <v/>
      </c>
      <c r="P104" s="89">
        <f>浙江精准学!P104+知识跳跳!P104+海南精准学!P104+实时查!P104+目标准!P104+'SMART LEARNING HOLDING'!P104+'SMART AI LIMITED'!P104+'HK01'!P104-(-SUMIFS(合并抵消!$J:$J,合并抵消!$E:$E,$E104,合并抵消!$A:$A,P$2)+SUMIFS(合并抵消!$K:$K,合并抵消!$E:$E,$E104,合并抵消!$A:$A,P$2))</f>
        <v/>
      </c>
      <c r="Q104" s="89">
        <f>浙江精准学!Q104+知识跳跳!Q104+海南精准学!Q104+实时查!Q104+目标准!Q104+'SMART LEARNING HOLDING'!Q104+'SMART AI LIMITED'!Q104+'HK01'!Q104-(-SUMIFS(合并抵消!$J:$J,合并抵消!$E:$E,$E104,合并抵消!$A:$A,Q$2)+SUMIFS(合并抵消!$K:$K,合并抵消!$E:$E,$E104,合并抵消!$A:$A,Q$2))</f>
        <v/>
      </c>
      <c r="R104" s="89">
        <f>SUM(F104:Q104)</f>
        <v/>
      </c>
    </row>
    <row r="105" s="83">
      <c r="A105" s="5" t="inlineStr">
        <is>
          <t>销售费用</t>
        </is>
      </c>
      <c r="B105" s="6" t="inlineStr">
        <is>
          <t>内容种草</t>
        </is>
      </c>
      <c r="C105" s="6" t="inlineStr">
        <is>
          <t>内容种草</t>
        </is>
      </c>
      <c r="D105" s="5" t="inlineStr">
        <is>
          <t>抖音平台种草-GD广告</t>
        </is>
      </c>
      <c r="E105" s="6" t="inlineStr">
        <is>
          <t>Q1901</t>
        </is>
      </c>
      <c r="F105" s="89">
        <f>浙江精准学!F105+知识跳跳!F105+海南精准学!F105+实时查!F105+目标准!F105+'SMART LEARNING HOLDING'!F105+'SMART AI LIMITED'!F105+'HK01'!F105-(-SUMIFS(合并抵消!$J:$J,合并抵消!$E:$E,$E105,合并抵消!$A:$A,F$2)+SUMIFS(合并抵消!$K:$K,合并抵消!$E:$E,$E105,合并抵消!$A:$A,F$2))</f>
        <v/>
      </c>
      <c r="G105" s="89">
        <f>浙江精准学!G105+知识跳跳!G105+海南精准学!G105+实时查!G105+目标准!G105+'SMART LEARNING HOLDING'!G105+'SMART AI LIMITED'!G105+'HK01'!G105-(-SUMIFS(合并抵消!$J:$J,合并抵消!$E:$E,$E105,合并抵消!$A:$A,G$2)+SUMIFS(合并抵消!$K:$K,合并抵消!$E:$E,$E105,合并抵消!$A:$A,G$2))</f>
        <v/>
      </c>
      <c r="H105" s="89">
        <f>浙江精准学!H105+知识跳跳!H105+海南精准学!H105+实时查!H105+目标准!H105+'SMART LEARNING HOLDING'!H105+'SMART AI LIMITED'!H105+'HK01'!H105-(-SUMIFS(合并抵消!$J:$J,合并抵消!$E:$E,$E105,合并抵消!$A:$A,H$2)+SUMIFS(合并抵消!$K:$K,合并抵消!$E:$E,$E105,合并抵消!$A:$A,H$2))</f>
        <v/>
      </c>
      <c r="I105" s="89">
        <f>浙江精准学!I105+知识跳跳!I105+海南精准学!I105+实时查!I105+目标准!I105+'SMART LEARNING HOLDING'!I105+'SMART AI LIMITED'!I105+'HK01'!I105-(-SUMIFS(合并抵消!$J:$J,合并抵消!$E:$E,$E105,合并抵消!$A:$A,I$2)+SUMIFS(合并抵消!$K:$K,合并抵消!$E:$E,$E105,合并抵消!$A:$A,I$2))</f>
        <v/>
      </c>
      <c r="J105" s="89">
        <f>浙江精准学!J105+知识跳跳!J105+海南精准学!J105+实时查!J105+目标准!J105+'SMART LEARNING HOLDING'!J105+'SMART AI LIMITED'!J105+'HK01'!J105-(-SUMIFS(合并抵消!$J:$J,合并抵消!$E:$E,$E105,合并抵消!$A:$A,J$2)+SUMIFS(合并抵消!$K:$K,合并抵消!$E:$E,$E105,合并抵消!$A:$A,J$2))</f>
        <v/>
      </c>
      <c r="K105" s="89">
        <f>浙江精准学!K105+知识跳跳!K105+海南精准学!K105+实时查!K105+目标准!K105+'SMART LEARNING HOLDING'!K105+'SMART AI LIMITED'!K105+'HK01'!K105-(-SUMIFS(合并抵消!$J:$J,合并抵消!$E:$E,$E105,合并抵消!$A:$A,K$2)+SUMIFS(合并抵消!$K:$K,合并抵消!$E:$E,$E105,合并抵消!$A:$A,K$2))</f>
        <v/>
      </c>
      <c r="L105" s="89">
        <f>浙江精准学!L105+知识跳跳!L105+海南精准学!L105+实时查!L105+目标准!L105+'SMART LEARNING HOLDING'!L105+'SMART AI LIMITED'!L105+'HK01'!L105-(-SUMIFS(合并抵消!$J:$J,合并抵消!$E:$E,$E105,合并抵消!$A:$A,L$2)+SUMIFS(合并抵消!$K:$K,合并抵消!$E:$E,$E105,合并抵消!$A:$A,L$2))</f>
        <v/>
      </c>
      <c r="M105" s="89">
        <f>浙江精准学!M105+知识跳跳!M105+海南精准学!M105+实时查!M105+目标准!M105+'SMART LEARNING HOLDING'!M105+'SMART AI LIMITED'!M105+'HK01'!M105-(-SUMIFS(合并抵消!$J:$J,合并抵消!$E:$E,$E105,合并抵消!$A:$A,M$2)+SUMIFS(合并抵消!$K:$K,合并抵消!$E:$E,$E105,合并抵消!$A:$A,M$2))</f>
        <v/>
      </c>
      <c r="N105" s="89">
        <f>浙江精准学!N105+知识跳跳!N105+海南精准学!N105+实时查!N105+目标准!N105+'SMART LEARNING HOLDING'!N105+'SMART AI LIMITED'!N105+'HK01'!N105-(-SUMIFS(合并抵消!$J:$J,合并抵消!$E:$E,$E105,合并抵消!$A:$A,N$2)+SUMIFS(合并抵消!$K:$K,合并抵消!$E:$E,$E105,合并抵消!$A:$A,N$2))</f>
        <v/>
      </c>
      <c r="O105" s="89">
        <f>浙江精准学!O105+知识跳跳!O105+海南精准学!O105+实时查!O105+目标准!O105+'SMART LEARNING HOLDING'!O105+'SMART AI LIMITED'!O105+'HK01'!O105-(-SUMIFS(合并抵消!$J:$J,合并抵消!$E:$E,$E105,合并抵消!$A:$A,O$2)+SUMIFS(合并抵消!$K:$K,合并抵消!$E:$E,$E105,合并抵消!$A:$A,O$2))</f>
        <v/>
      </c>
      <c r="P105" s="89">
        <f>浙江精准学!P105+知识跳跳!P105+海南精准学!P105+实时查!P105+目标准!P105+'SMART LEARNING HOLDING'!P105+'SMART AI LIMITED'!P105+'HK01'!P105-(-SUMIFS(合并抵消!$J:$J,合并抵消!$E:$E,$E105,合并抵消!$A:$A,P$2)+SUMIFS(合并抵消!$K:$K,合并抵消!$E:$E,$E105,合并抵消!$A:$A,P$2))</f>
        <v/>
      </c>
      <c r="Q105" s="89">
        <f>浙江精准学!Q105+知识跳跳!Q105+海南精准学!Q105+实时查!Q105+目标准!Q105+'SMART LEARNING HOLDING'!Q105+'SMART AI LIMITED'!Q105+'HK01'!Q105-(-SUMIFS(合并抵消!$J:$J,合并抵消!$E:$E,$E105,合并抵消!$A:$A,Q$2)+SUMIFS(合并抵消!$K:$K,合并抵消!$E:$E,$E105,合并抵消!$A:$A,Q$2))</f>
        <v/>
      </c>
      <c r="R105" s="89">
        <f>SUM(F105:Q105)</f>
        <v/>
      </c>
    </row>
    <row r="106" s="83">
      <c r="A106" s="5" t="inlineStr">
        <is>
          <t>销售费用</t>
        </is>
      </c>
      <c r="B106" s="6" t="inlineStr">
        <is>
          <t>内容种草</t>
        </is>
      </c>
      <c r="D106" s="5" t="inlineStr">
        <is>
          <t>抖音平台种草-种草通</t>
        </is>
      </c>
      <c r="E106" s="6" t="inlineStr">
        <is>
          <t>Q1902</t>
        </is>
      </c>
      <c r="F106" s="89">
        <f>浙江精准学!F106+知识跳跳!F106+海南精准学!F106+实时查!F106+目标准!F106+'SMART LEARNING HOLDING'!F106+'SMART AI LIMITED'!F106+'HK01'!F106-(-SUMIFS(合并抵消!$J:$J,合并抵消!$E:$E,$E106,合并抵消!$A:$A,F$2)+SUMIFS(合并抵消!$K:$K,合并抵消!$E:$E,$E106,合并抵消!$A:$A,F$2))</f>
        <v/>
      </c>
      <c r="G106" s="89">
        <f>浙江精准学!G106+知识跳跳!G106+海南精准学!G106+实时查!G106+目标准!G106+'SMART LEARNING HOLDING'!G106+'SMART AI LIMITED'!G106+'HK01'!G106-(-SUMIFS(合并抵消!$J:$J,合并抵消!$E:$E,$E106,合并抵消!$A:$A,G$2)+SUMIFS(合并抵消!$K:$K,合并抵消!$E:$E,$E106,合并抵消!$A:$A,G$2))</f>
        <v/>
      </c>
      <c r="H106" s="89">
        <f>浙江精准学!H106+知识跳跳!H106+海南精准学!H106+实时查!H106+目标准!H106+'SMART LEARNING HOLDING'!H106+'SMART AI LIMITED'!H106+'HK01'!H106-(-SUMIFS(合并抵消!$J:$J,合并抵消!$E:$E,$E106,合并抵消!$A:$A,H$2)+SUMIFS(合并抵消!$K:$K,合并抵消!$E:$E,$E106,合并抵消!$A:$A,H$2))</f>
        <v/>
      </c>
      <c r="I106" s="89">
        <f>浙江精准学!I106+知识跳跳!I106+海南精准学!I106+实时查!I106+目标准!I106+'SMART LEARNING HOLDING'!I106+'SMART AI LIMITED'!I106+'HK01'!I106-(-SUMIFS(合并抵消!$J:$J,合并抵消!$E:$E,$E106,合并抵消!$A:$A,I$2)+SUMIFS(合并抵消!$K:$K,合并抵消!$E:$E,$E106,合并抵消!$A:$A,I$2))</f>
        <v/>
      </c>
      <c r="J106" s="89">
        <f>浙江精准学!J106+知识跳跳!J106+海南精准学!J106+实时查!J106+目标准!J106+'SMART LEARNING HOLDING'!J106+'SMART AI LIMITED'!J106+'HK01'!J106-(-SUMIFS(合并抵消!$J:$J,合并抵消!$E:$E,$E106,合并抵消!$A:$A,J$2)+SUMIFS(合并抵消!$K:$K,合并抵消!$E:$E,$E106,合并抵消!$A:$A,J$2))</f>
        <v/>
      </c>
      <c r="K106" s="89">
        <f>浙江精准学!K106+知识跳跳!K106+海南精准学!K106+实时查!K106+目标准!K106+'SMART LEARNING HOLDING'!K106+'SMART AI LIMITED'!K106+'HK01'!K106-(-SUMIFS(合并抵消!$J:$J,合并抵消!$E:$E,$E106,合并抵消!$A:$A,K$2)+SUMIFS(合并抵消!$K:$K,合并抵消!$E:$E,$E106,合并抵消!$A:$A,K$2))</f>
        <v/>
      </c>
      <c r="L106" s="89">
        <f>浙江精准学!L106+知识跳跳!L106+海南精准学!L106+实时查!L106+目标准!L106+'SMART LEARNING HOLDING'!L106+'SMART AI LIMITED'!L106+'HK01'!L106-(-SUMIFS(合并抵消!$J:$J,合并抵消!$E:$E,$E106,合并抵消!$A:$A,L$2)+SUMIFS(合并抵消!$K:$K,合并抵消!$E:$E,$E106,合并抵消!$A:$A,L$2))</f>
        <v/>
      </c>
      <c r="M106" s="89">
        <f>浙江精准学!M106+知识跳跳!M106+海南精准学!M106+实时查!M106+目标准!M106+'SMART LEARNING HOLDING'!M106+'SMART AI LIMITED'!M106+'HK01'!M106-(-SUMIFS(合并抵消!$J:$J,合并抵消!$E:$E,$E106,合并抵消!$A:$A,M$2)+SUMIFS(合并抵消!$K:$K,合并抵消!$E:$E,$E106,合并抵消!$A:$A,M$2))</f>
        <v/>
      </c>
      <c r="N106" s="89">
        <f>浙江精准学!N106+知识跳跳!N106+海南精准学!N106+实时查!N106+目标准!N106+'SMART LEARNING HOLDING'!N106+'SMART AI LIMITED'!N106+'HK01'!N106-(-SUMIFS(合并抵消!$J:$J,合并抵消!$E:$E,$E106,合并抵消!$A:$A,N$2)+SUMIFS(合并抵消!$K:$K,合并抵消!$E:$E,$E106,合并抵消!$A:$A,N$2))</f>
        <v/>
      </c>
      <c r="O106" s="89">
        <f>浙江精准学!O106+知识跳跳!O106+海南精准学!O106+实时查!O106+目标准!O106+'SMART LEARNING HOLDING'!O106+'SMART AI LIMITED'!O106+'HK01'!O106-(-SUMIFS(合并抵消!$J:$J,合并抵消!$E:$E,$E106,合并抵消!$A:$A,O$2)+SUMIFS(合并抵消!$K:$K,合并抵消!$E:$E,$E106,合并抵消!$A:$A,O$2))</f>
        <v/>
      </c>
      <c r="P106" s="89">
        <f>浙江精准学!P106+知识跳跳!P106+海南精准学!P106+实时查!P106+目标准!P106+'SMART LEARNING HOLDING'!P106+'SMART AI LIMITED'!P106+'HK01'!P106-(-SUMIFS(合并抵消!$J:$J,合并抵消!$E:$E,$E106,合并抵消!$A:$A,P$2)+SUMIFS(合并抵消!$K:$K,合并抵消!$E:$E,$E106,合并抵消!$A:$A,P$2))</f>
        <v/>
      </c>
      <c r="Q106" s="89">
        <f>浙江精准学!Q106+知识跳跳!Q106+海南精准学!Q106+实时查!Q106+目标准!Q106+'SMART LEARNING HOLDING'!Q106+'SMART AI LIMITED'!Q106+'HK01'!Q106-(-SUMIFS(合并抵消!$J:$J,合并抵消!$E:$E,$E106,合并抵消!$A:$A,Q$2)+SUMIFS(合并抵消!$K:$K,合并抵消!$E:$E,$E106,合并抵消!$A:$A,Q$2))</f>
        <v/>
      </c>
      <c r="R106" s="89">
        <f>SUM(F106:Q106)</f>
        <v/>
      </c>
    </row>
    <row r="107" s="83">
      <c r="A107" s="5" t="inlineStr">
        <is>
          <t>销售费用</t>
        </is>
      </c>
      <c r="B107" s="6" t="inlineStr">
        <is>
          <t>内容种草</t>
        </is>
      </c>
      <c r="D107" s="5" t="inlineStr">
        <is>
          <t>抖音平台种草-达人合作</t>
        </is>
      </c>
      <c r="E107" s="6" t="inlineStr">
        <is>
          <t>Q1903</t>
        </is>
      </c>
      <c r="F107" s="89">
        <f>浙江精准学!F107+知识跳跳!F107+海南精准学!F107+实时查!F107+目标准!F107+'SMART LEARNING HOLDING'!F107+'SMART AI LIMITED'!F107+'HK01'!F107-(-SUMIFS(合并抵消!$J:$J,合并抵消!$E:$E,$E107,合并抵消!$A:$A,F$2)+SUMIFS(合并抵消!$K:$K,合并抵消!$E:$E,$E107,合并抵消!$A:$A,F$2))</f>
        <v/>
      </c>
      <c r="G107" s="89">
        <f>浙江精准学!G107+知识跳跳!G107+海南精准学!G107+实时查!G107+目标准!G107+'SMART LEARNING HOLDING'!G107+'SMART AI LIMITED'!G107+'HK01'!G107-(-SUMIFS(合并抵消!$J:$J,合并抵消!$E:$E,$E107,合并抵消!$A:$A,G$2)+SUMIFS(合并抵消!$K:$K,合并抵消!$E:$E,$E107,合并抵消!$A:$A,G$2))</f>
        <v/>
      </c>
      <c r="H107" s="89">
        <f>浙江精准学!H107+知识跳跳!H107+海南精准学!H107+实时查!H107+目标准!H107+'SMART LEARNING HOLDING'!H107+'SMART AI LIMITED'!H107+'HK01'!H107-(-SUMIFS(合并抵消!$J:$J,合并抵消!$E:$E,$E107,合并抵消!$A:$A,H$2)+SUMIFS(合并抵消!$K:$K,合并抵消!$E:$E,$E107,合并抵消!$A:$A,H$2))</f>
        <v/>
      </c>
      <c r="I107" s="89">
        <f>浙江精准学!I107+知识跳跳!I107+海南精准学!I107+实时查!I107+目标准!I107+'SMART LEARNING HOLDING'!I107+'SMART AI LIMITED'!I107+'HK01'!I107-(-SUMIFS(合并抵消!$J:$J,合并抵消!$E:$E,$E107,合并抵消!$A:$A,I$2)+SUMIFS(合并抵消!$K:$K,合并抵消!$E:$E,$E107,合并抵消!$A:$A,I$2))</f>
        <v/>
      </c>
      <c r="J107" s="89">
        <f>浙江精准学!J107+知识跳跳!J107+海南精准学!J107+实时查!J107+目标准!J107+'SMART LEARNING HOLDING'!J107+'SMART AI LIMITED'!J107+'HK01'!J107-(-SUMIFS(合并抵消!$J:$J,合并抵消!$E:$E,$E107,合并抵消!$A:$A,J$2)+SUMIFS(合并抵消!$K:$K,合并抵消!$E:$E,$E107,合并抵消!$A:$A,J$2))</f>
        <v/>
      </c>
      <c r="K107" s="89">
        <f>浙江精准学!K107+知识跳跳!K107+海南精准学!K107+实时查!K107+目标准!K107+'SMART LEARNING HOLDING'!K107+'SMART AI LIMITED'!K107+'HK01'!K107-(-SUMIFS(合并抵消!$J:$J,合并抵消!$E:$E,$E107,合并抵消!$A:$A,K$2)+SUMIFS(合并抵消!$K:$K,合并抵消!$E:$E,$E107,合并抵消!$A:$A,K$2))</f>
        <v/>
      </c>
      <c r="L107" s="89">
        <f>浙江精准学!L107+知识跳跳!L107+海南精准学!L107+实时查!L107+目标准!L107+'SMART LEARNING HOLDING'!L107+'SMART AI LIMITED'!L107+'HK01'!L107-(-SUMIFS(合并抵消!$J:$J,合并抵消!$E:$E,$E107,合并抵消!$A:$A,L$2)+SUMIFS(合并抵消!$K:$K,合并抵消!$E:$E,$E107,合并抵消!$A:$A,L$2))</f>
        <v/>
      </c>
      <c r="M107" s="89">
        <f>浙江精准学!M107+知识跳跳!M107+海南精准学!M107+实时查!M107+目标准!M107+'SMART LEARNING HOLDING'!M107+'SMART AI LIMITED'!M107+'HK01'!M107-(-SUMIFS(合并抵消!$J:$J,合并抵消!$E:$E,$E107,合并抵消!$A:$A,M$2)+SUMIFS(合并抵消!$K:$K,合并抵消!$E:$E,$E107,合并抵消!$A:$A,M$2))</f>
        <v/>
      </c>
      <c r="N107" s="89">
        <f>浙江精准学!N107+知识跳跳!N107+海南精准学!N107+实时查!N107+目标准!N107+'SMART LEARNING HOLDING'!N107+'SMART AI LIMITED'!N107+'HK01'!N107-(-SUMIFS(合并抵消!$J:$J,合并抵消!$E:$E,$E107,合并抵消!$A:$A,N$2)+SUMIFS(合并抵消!$K:$K,合并抵消!$E:$E,$E107,合并抵消!$A:$A,N$2))</f>
        <v/>
      </c>
      <c r="O107" s="89">
        <f>浙江精准学!O107+知识跳跳!O107+海南精准学!O107+实时查!O107+目标准!O107+'SMART LEARNING HOLDING'!O107+'SMART AI LIMITED'!O107+'HK01'!O107-(-SUMIFS(合并抵消!$J:$J,合并抵消!$E:$E,$E107,合并抵消!$A:$A,O$2)+SUMIFS(合并抵消!$K:$K,合并抵消!$E:$E,$E107,合并抵消!$A:$A,O$2))</f>
        <v/>
      </c>
      <c r="P107" s="89">
        <f>浙江精准学!P107+知识跳跳!P107+海南精准学!P107+实时查!P107+目标准!P107+'SMART LEARNING HOLDING'!P107+'SMART AI LIMITED'!P107+'HK01'!P107-(-SUMIFS(合并抵消!$J:$J,合并抵消!$E:$E,$E107,合并抵消!$A:$A,P$2)+SUMIFS(合并抵消!$K:$K,合并抵消!$E:$E,$E107,合并抵消!$A:$A,P$2))</f>
        <v/>
      </c>
      <c r="Q107" s="89">
        <f>浙江精准学!Q107+知识跳跳!Q107+海南精准学!Q107+实时查!Q107+目标准!Q107+'SMART LEARNING HOLDING'!Q107+'SMART AI LIMITED'!Q107+'HK01'!Q107-(-SUMIFS(合并抵消!$J:$J,合并抵消!$E:$E,$E107,合并抵消!$A:$A,Q$2)+SUMIFS(合并抵消!$K:$K,合并抵消!$E:$E,$E107,合并抵消!$A:$A,Q$2))</f>
        <v/>
      </c>
      <c r="R107" s="89">
        <f>SUM(F107:Q107)</f>
        <v/>
      </c>
    </row>
    <row r="108" s="83">
      <c r="A108" s="5" t="inlineStr">
        <is>
          <t>销售费用</t>
        </is>
      </c>
      <c r="B108" s="6" t="inlineStr">
        <is>
          <t>内容种草</t>
        </is>
      </c>
      <c r="D108" s="5" t="inlineStr">
        <is>
          <t>小红书平台种草-达人合作</t>
        </is>
      </c>
      <c r="E108" s="6" t="inlineStr">
        <is>
          <t>Q1904</t>
        </is>
      </c>
      <c r="F108" s="89">
        <f>浙江精准学!F108+知识跳跳!F108+海南精准学!F108+实时查!F108+目标准!F108+'SMART LEARNING HOLDING'!F108+'SMART AI LIMITED'!F108+'HK01'!F108-(-SUMIFS(合并抵消!$J:$J,合并抵消!$E:$E,$E108,合并抵消!$A:$A,F$2)+SUMIFS(合并抵消!$K:$K,合并抵消!$E:$E,$E108,合并抵消!$A:$A,F$2))</f>
        <v/>
      </c>
      <c r="G108" s="89">
        <f>浙江精准学!G108+知识跳跳!G108+海南精准学!G108+实时查!G108+目标准!G108+'SMART LEARNING HOLDING'!G108+'SMART AI LIMITED'!G108+'HK01'!G108-(-SUMIFS(合并抵消!$J:$J,合并抵消!$E:$E,$E108,合并抵消!$A:$A,G$2)+SUMIFS(合并抵消!$K:$K,合并抵消!$E:$E,$E108,合并抵消!$A:$A,G$2))</f>
        <v/>
      </c>
      <c r="H108" s="89">
        <f>浙江精准学!H108+知识跳跳!H108+海南精准学!H108+实时查!H108+目标准!H108+'SMART LEARNING HOLDING'!H108+'SMART AI LIMITED'!H108+'HK01'!H108-(-SUMIFS(合并抵消!$J:$J,合并抵消!$E:$E,$E108,合并抵消!$A:$A,H$2)+SUMIFS(合并抵消!$K:$K,合并抵消!$E:$E,$E108,合并抵消!$A:$A,H$2))</f>
        <v/>
      </c>
      <c r="I108" s="89">
        <f>浙江精准学!I108+知识跳跳!I108+海南精准学!I108+实时查!I108+目标准!I108+'SMART LEARNING HOLDING'!I108+'SMART AI LIMITED'!I108+'HK01'!I108-(-SUMIFS(合并抵消!$J:$J,合并抵消!$E:$E,$E108,合并抵消!$A:$A,I$2)+SUMIFS(合并抵消!$K:$K,合并抵消!$E:$E,$E108,合并抵消!$A:$A,I$2))</f>
        <v/>
      </c>
      <c r="J108" s="89">
        <f>浙江精准学!J108+知识跳跳!J108+海南精准学!J108+实时查!J108+目标准!J108+'SMART LEARNING HOLDING'!J108+'SMART AI LIMITED'!J108+'HK01'!J108-(-SUMIFS(合并抵消!$J:$J,合并抵消!$E:$E,$E108,合并抵消!$A:$A,J$2)+SUMIFS(合并抵消!$K:$K,合并抵消!$E:$E,$E108,合并抵消!$A:$A,J$2))</f>
        <v/>
      </c>
      <c r="K108" s="89">
        <f>浙江精准学!K108+知识跳跳!K108+海南精准学!K108+实时查!K108+目标准!K108+'SMART LEARNING HOLDING'!K108+'SMART AI LIMITED'!K108+'HK01'!K108-(-SUMIFS(合并抵消!$J:$J,合并抵消!$E:$E,$E108,合并抵消!$A:$A,K$2)+SUMIFS(合并抵消!$K:$K,合并抵消!$E:$E,$E108,合并抵消!$A:$A,K$2))</f>
        <v/>
      </c>
      <c r="L108" s="89">
        <f>浙江精准学!L108+知识跳跳!L108+海南精准学!L108+实时查!L108+目标准!L108+'SMART LEARNING HOLDING'!L108+'SMART AI LIMITED'!L108+'HK01'!L108-(-SUMIFS(合并抵消!$J:$J,合并抵消!$E:$E,$E108,合并抵消!$A:$A,L$2)+SUMIFS(合并抵消!$K:$K,合并抵消!$E:$E,$E108,合并抵消!$A:$A,L$2))</f>
        <v/>
      </c>
      <c r="M108" s="89">
        <f>浙江精准学!M108+知识跳跳!M108+海南精准学!M108+实时查!M108+目标准!M108+'SMART LEARNING HOLDING'!M108+'SMART AI LIMITED'!M108+'HK01'!M108-(-SUMIFS(合并抵消!$J:$J,合并抵消!$E:$E,$E108,合并抵消!$A:$A,M$2)+SUMIFS(合并抵消!$K:$K,合并抵消!$E:$E,$E108,合并抵消!$A:$A,M$2))</f>
        <v/>
      </c>
      <c r="N108" s="89">
        <f>浙江精准学!N108+知识跳跳!N108+海南精准学!N108+实时查!N108+目标准!N108+'SMART LEARNING HOLDING'!N108+'SMART AI LIMITED'!N108+'HK01'!N108-(-SUMIFS(合并抵消!$J:$J,合并抵消!$E:$E,$E108,合并抵消!$A:$A,N$2)+SUMIFS(合并抵消!$K:$K,合并抵消!$E:$E,$E108,合并抵消!$A:$A,N$2))</f>
        <v/>
      </c>
      <c r="O108" s="89">
        <f>浙江精准学!O108+知识跳跳!O108+海南精准学!O108+实时查!O108+目标准!O108+'SMART LEARNING HOLDING'!O108+'SMART AI LIMITED'!O108+'HK01'!O108-(-SUMIFS(合并抵消!$J:$J,合并抵消!$E:$E,$E108,合并抵消!$A:$A,O$2)+SUMIFS(合并抵消!$K:$K,合并抵消!$E:$E,$E108,合并抵消!$A:$A,O$2))</f>
        <v/>
      </c>
      <c r="P108" s="89">
        <f>浙江精准学!P108+知识跳跳!P108+海南精准学!P108+实时查!P108+目标准!P108+'SMART LEARNING HOLDING'!P108+'SMART AI LIMITED'!P108+'HK01'!P108-(-SUMIFS(合并抵消!$J:$J,合并抵消!$E:$E,$E108,合并抵消!$A:$A,P$2)+SUMIFS(合并抵消!$K:$K,合并抵消!$E:$E,$E108,合并抵消!$A:$A,P$2))</f>
        <v/>
      </c>
      <c r="Q108" s="89">
        <f>浙江精准学!Q108+知识跳跳!Q108+海南精准学!Q108+实时查!Q108+目标准!Q108+'SMART LEARNING HOLDING'!Q108+'SMART AI LIMITED'!Q108+'HK01'!Q108-(-SUMIFS(合并抵消!$J:$J,合并抵消!$E:$E,$E108,合并抵消!$A:$A,Q$2)+SUMIFS(合并抵消!$K:$K,合并抵消!$E:$E,$E108,合并抵消!$A:$A,Q$2))</f>
        <v/>
      </c>
      <c r="R108" s="89">
        <f>SUM(F108:Q108)</f>
        <v/>
      </c>
    </row>
    <row r="109" s="83">
      <c r="A109" s="5" t="inlineStr">
        <is>
          <t>销售费用</t>
        </is>
      </c>
      <c r="B109" s="6" t="inlineStr">
        <is>
          <t>内容种草</t>
        </is>
      </c>
      <c r="D109" s="5" t="inlineStr">
        <is>
          <t>全平台种草-达人合作</t>
        </is>
      </c>
      <c r="E109" s="6" t="inlineStr">
        <is>
          <t>Q1905</t>
        </is>
      </c>
      <c r="F109" s="89">
        <f>浙江精准学!F109+知识跳跳!F109+海南精准学!F109+实时查!F109+目标准!F109+'SMART LEARNING HOLDING'!F109+'SMART AI LIMITED'!F109+'HK01'!F109-(-SUMIFS(合并抵消!$J:$J,合并抵消!$E:$E,$E109,合并抵消!$A:$A,F$2)+SUMIFS(合并抵消!$K:$K,合并抵消!$E:$E,$E109,合并抵消!$A:$A,F$2))</f>
        <v/>
      </c>
      <c r="G109" s="89">
        <f>浙江精准学!G109+知识跳跳!G109+海南精准学!G109+实时查!G109+目标准!G109+'SMART LEARNING HOLDING'!G109+'SMART AI LIMITED'!G109+'HK01'!G109-(-SUMIFS(合并抵消!$J:$J,合并抵消!$E:$E,$E109,合并抵消!$A:$A,G$2)+SUMIFS(合并抵消!$K:$K,合并抵消!$E:$E,$E109,合并抵消!$A:$A,G$2))</f>
        <v/>
      </c>
      <c r="H109" s="89">
        <f>浙江精准学!H109+知识跳跳!H109+海南精准学!H109+实时查!H109+目标准!H109+'SMART LEARNING HOLDING'!H109+'SMART AI LIMITED'!H109+'HK01'!H109-(-SUMIFS(合并抵消!$J:$J,合并抵消!$E:$E,$E109,合并抵消!$A:$A,H$2)+SUMIFS(合并抵消!$K:$K,合并抵消!$E:$E,$E109,合并抵消!$A:$A,H$2))</f>
        <v/>
      </c>
      <c r="I109" s="89">
        <f>浙江精准学!I109+知识跳跳!I109+海南精准学!I109+实时查!I109+目标准!I109+'SMART LEARNING HOLDING'!I109+'SMART AI LIMITED'!I109+'HK01'!I109-(-SUMIFS(合并抵消!$J:$J,合并抵消!$E:$E,$E109,合并抵消!$A:$A,I$2)+SUMIFS(合并抵消!$K:$K,合并抵消!$E:$E,$E109,合并抵消!$A:$A,I$2))</f>
        <v/>
      </c>
      <c r="J109" s="89">
        <f>浙江精准学!J109+知识跳跳!J109+海南精准学!J109+实时查!J109+目标准!J109+'SMART LEARNING HOLDING'!J109+'SMART AI LIMITED'!J109+'HK01'!J109-(-SUMIFS(合并抵消!$J:$J,合并抵消!$E:$E,$E109,合并抵消!$A:$A,J$2)+SUMIFS(合并抵消!$K:$K,合并抵消!$E:$E,$E109,合并抵消!$A:$A,J$2))</f>
        <v/>
      </c>
      <c r="K109" s="89">
        <f>浙江精准学!K109+知识跳跳!K109+海南精准学!K109+实时查!K109+目标准!K109+'SMART LEARNING HOLDING'!K109+'SMART AI LIMITED'!K109+'HK01'!K109-(-SUMIFS(合并抵消!$J:$J,合并抵消!$E:$E,$E109,合并抵消!$A:$A,K$2)+SUMIFS(合并抵消!$K:$K,合并抵消!$E:$E,$E109,合并抵消!$A:$A,K$2))</f>
        <v/>
      </c>
      <c r="L109" s="89">
        <f>浙江精准学!L109+知识跳跳!L109+海南精准学!L109+实时查!L109+目标准!L109+'SMART LEARNING HOLDING'!L109+'SMART AI LIMITED'!L109+'HK01'!L109-(-SUMIFS(合并抵消!$J:$J,合并抵消!$E:$E,$E109,合并抵消!$A:$A,L$2)+SUMIFS(合并抵消!$K:$K,合并抵消!$E:$E,$E109,合并抵消!$A:$A,L$2))</f>
        <v/>
      </c>
      <c r="M109" s="89">
        <f>浙江精准学!M109+知识跳跳!M109+海南精准学!M109+实时查!M109+目标准!M109+'SMART LEARNING HOLDING'!M109+'SMART AI LIMITED'!M109+'HK01'!M109-(-SUMIFS(合并抵消!$J:$J,合并抵消!$E:$E,$E109,合并抵消!$A:$A,M$2)+SUMIFS(合并抵消!$K:$K,合并抵消!$E:$E,$E109,合并抵消!$A:$A,M$2))</f>
        <v/>
      </c>
      <c r="N109" s="89">
        <f>浙江精准学!N109+知识跳跳!N109+海南精准学!N109+实时查!N109+目标准!N109+'SMART LEARNING HOLDING'!N109+'SMART AI LIMITED'!N109+'HK01'!N109-(-SUMIFS(合并抵消!$J:$J,合并抵消!$E:$E,$E109,合并抵消!$A:$A,N$2)+SUMIFS(合并抵消!$K:$K,合并抵消!$E:$E,$E109,合并抵消!$A:$A,N$2))</f>
        <v/>
      </c>
      <c r="O109" s="89">
        <f>浙江精准学!O109+知识跳跳!O109+海南精准学!O109+实时查!O109+目标准!O109+'SMART LEARNING HOLDING'!O109+'SMART AI LIMITED'!O109+'HK01'!O109-(-SUMIFS(合并抵消!$J:$J,合并抵消!$E:$E,$E109,合并抵消!$A:$A,O$2)+SUMIFS(合并抵消!$K:$K,合并抵消!$E:$E,$E109,合并抵消!$A:$A,O$2))</f>
        <v/>
      </c>
      <c r="P109" s="89">
        <f>浙江精准学!P109+知识跳跳!P109+海南精准学!P109+实时查!P109+目标准!P109+'SMART LEARNING HOLDING'!P109+'SMART AI LIMITED'!P109+'HK01'!P109-(-SUMIFS(合并抵消!$J:$J,合并抵消!$E:$E,$E109,合并抵消!$A:$A,P$2)+SUMIFS(合并抵消!$K:$K,合并抵消!$E:$E,$E109,合并抵消!$A:$A,P$2))</f>
        <v/>
      </c>
      <c r="Q109" s="89">
        <f>浙江精准学!Q109+知识跳跳!Q109+海南精准学!Q109+实时查!Q109+目标准!Q109+'SMART LEARNING HOLDING'!Q109+'SMART AI LIMITED'!Q109+'HK01'!Q109-(-SUMIFS(合并抵消!$J:$J,合并抵消!$E:$E,$E109,合并抵消!$A:$A,Q$2)+SUMIFS(合并抵消!$K:$K,合并抵消!$E:$E,$E109,合并抵消!$A:$A,Q$2))</f>
        <v/>
      </c>
      <c r="R109" s="89">
        <f>SUM(F109:Q109)</f>
        <v/>
      </c>
    </row>
    <row r="110" s="83">
      <c r="A110" s="5" t="inlineStr">
        <is>
          <t>销售费用</t>
        </is>
      </c>
      <c r="B110" s="6" t="inlineStr">
        <is>
          <t>内容种草</t>
        </is>
      </c>
      <c r="D110" s="5" t="inlineStr">
        <is>
          <t>小红书种草充值</t>
        </is>
      </c>
      <c r="E110" s="6" t="inlineStr">
        <is>
          <t>Q1906</t>
        </is>
      </c>
      <c r="F110" s="89">
        <f>浙江精准学!F110+知识跳跳!F110+海南精准学!F110+实时查!F110+目标准!F110+'SMART LEARNING HOLDING'!F110+'SMART AI LIMITED'!F110+'HK01'!F110-(-SUMIFS(合并抵消!$J:$J,合并抵消!$E:$E,$E110,合并抵消!$A:$A,F$2)+SUMIFS(合并抵消!$K:$K,合并抵消!$E:$E,$E110,合并抵消!$A:$A,F$2))</f>
        <v/>
      </c>
      <c r="G110" s="89">
        <f>浙江精准学!G110+知识跳跳!G110+海南精准学!G110+实时查!G110+目标准!G110+'SMART LEARNING HOLDING'!G110+'SMART AI LIMITED'!G110+'HK01'!G110-(-SUMIFS(合并抵消!$J:$J,合并抵消!$E:$E,$E110,合并抵消!$A:$A,G$2)+SUMIFS(合并抵消!$K:$K,合并抵消!$E:$E,$E110,合并抵消!$A:$A,G$2))</f>
        <v/>
      </c>
      <c r="H110" s="89">
        <f>浙江精准学!H110+知识跳跳!H110+海南精准学!H110+实时查!H110+目标准!H110+'SMART LEARNING HOLDING'!H110+'SMART AI LIMITED'!H110+'HK01'!H110-(-SUMIFS(合并抵消!$J:$J,合并抵消!$E:$E,$E110,合并抵消!$A:$A,H$2)+SUMIFS(合并抵消!$K:$K,合并抵消!$E:$E,$E110,合并抵消!$A:$A,H$2))</f>
        <v/>
      </c>
      <c r="I110" s="89">
        <f>浙江精准学!I110+知识跳跳!I110+海南精准学!I110+实时查!I110+目标准!I110+'SMART LEARNING HOLDING'!I110+'SMART AI LIMITED'!I110+'HK01'!I110-(-SUMIFS(合并抵消!$J:$J,合并抵消!$E:$E,$E110,合并抵消!$A:$A,I$2)+SUMIFS(合并抵消!$K:$K,合并抵消!$E:$E,$E110,合并抵消!$A:$A,I$2))</f>
        <v/>
      </c>
      <c r="J110" s="89">
        <f>浙江精准学!J110+知识跳跳!J110+海南精准学!J110+实时查!J110+目标准!J110+'SMART LEARNING HOLDING'!J110+'SMART AI LIMITED'!J110+'HK01'!J110-(-SUMIFS(合并抵消!$J:$J,合并抵消!$E:$E,$E110,合并抵消!$A:$A,J$2)+SUMIFS(合并抵消!$K:$K,合并抵消!$E:$E,$E110,合并抵消!$A:$A,J$2))</f>
        <v/>
      </c>
      <c r="K110" s="89">
        <f>浙江精准学!K110+知识跳跳!K110+海南精准学!K110+实时查!K110+目标准!K110+'SMART LEARNING HOLDING'!K110+'SMART AI LIMITED'!K110+'HK01'!K110-(-SUMIFS(合并抵消!$J:$J,合并抵消!$E:$E,$E110,合并抵消!$A:$A,K$2)+SUMIFS(合并抵消!$K:$K,合并抵消!$E:$E,$E110,合并抵消!$A:$A,K$2))</f>
        <v/>
      </c>
      <c r="L110" s="89">
        <f>浙江精准学!L110+知识跳跳!L110+海南精准学!L110+实时查!L110+目标准!L110+'SMART LEARNING HOLDING'!L110+'SMART AI LIMITED'!L110+'HK01'!L110-(-SUMIFS(合并抵消!$J:$J,合并抵消!$E:$E,$E110,合并抵消!$A:$A,L$2)+SUMIFS(合并抵消!$K:$K,合并抵消!$E:$E,$E110,合并抵消!$A:$A,L$2))</f>
        <v/>
      </c>
      <c r="M110" s="89">
        <f>浙江精准学!M110+知识跳跳!M110+海南精准学!M110+实时查!M110+目标准!M110+'SMART LEARNING HOLDING'!M110+'SMART AI LIMITED'!M110+'HK01'!M110-(-SUMIFS(合并抵消!$J:$J,合并抵消!$E:$E,$E110,合并抵消!$A:$A,M$2)+SUMIFS(合并抵消!$K:$K,合并抵消!$E:$E,$E110,合并抵消!$A:$A,M$2))</f>
        <v/>
      </c>
      <c r="N110" s="89">
        <f>浙江精准学!N110+知识跳跳!N110+海南精准学!N110+实时查!N110+目标准!N110+'SMART LEARNING HOLDING'!N110+'SMART AI LIMITED'!N110+'HK01'!N110-(-SUMIFS(合并抵消!$J:$J,合并抵消!$E:$E,$E110,合并抵消!$A:$A,N$2)+SUMIFS(合并抵消!$K:$K,合并抵消!$E:$E,$E110,合并抵消!$A:$A,N$2))</f>
        <v/>
      </c>
      <c r="O110" s="89">
        <f>浙江精准学!O110+知识跳跳!O110+海南精准学!O110+实时查!O110+目标准!O110+'SMART LEARNING HOLDING'!O110+'SMART AI LIMITED'!O110+'HK01'!O110-(-SUMIFS(合并抵消!$J:$J,合并抵消!$E:$E,$E110,合并抵消!$A:$A,O$2)+SUMIFS(合并抵消!$K:$K,合并抵消!$E:$E,$E110,合并抵消!$A:$A,O$2))</f>
        <v/>
      </c>
      <c r="P110" s="89">
        <f>浙江精准学!P110+知识跳跳!P110+海南精准学!P110+实时查!P110+目标准!P110+'SMART LEARNING HOLDING'!P110+'SMART AI LIMITED'!P110+'HK01'!P110-(-SUMIFS(合并抵消!$J:$J,合并抵消!$E:$E,$E110,合并抵消!$A:$A,P$2)+SUMIFS(合并抵消!$K:$K,合并抵消!$E:$E,$E110,合并抵消!$A:$A,P$2))</f>
        <v/>
      </c>
      <c r="Q110" s="89">
        <f>浙江精准学!Q110+知识跳跳!Q110+海南精准学!Q110+实时查!Q110+目标准!Q110+'SMART LEARNING HOLDING'!Q110+'SMART AI LIMITED'!Q110+'HK01'!Q110-(-SUMIFS(合并抵消!$J:$J,合并抵消!$E:$E,$E110,合并抵消!$A:$A,Q$2)+SUMIFS(合并抵消!$K:$K,合并抵消!$E:$E,$E110,合并抵消!$A:$A,Q$2))</f>
        <v/>
      </c>
      <c r="R110" s="89">
        <f>SUM(F110:Q110)</f>
        <v/>
      </c>
    </row>
    <row r="111" s="83">
      <c r="A111" s="5" t="inlineStr">
        <is>
          <t>销售费用</t>
        </is>
      </c>
      <c r="B111" s="6" t="inlineStr">
        <is>
          <t>投放转化</t>
        </is>
      </c>
      <c r="C111" s="6" t="inlineStr">
        <is>
          <t>投放转化</t>
        </is>
      </c>
      <c r="D111" s="5" t="inlineStr">
        <is>
          <t>信息流视频制作</t>
        </is>
      </c>
      <c r="E111" s="6" t="inlineStr">
        <is>
          <t>Q2001</t>
        </is>
      </c>
      <c r="F111" s="89">
        <f>浙江精准学!F111+知识跳跳!F111+海南精准学!F111+实时查!F111+目标准!F111+'SMART LEARNING HOLDING'!F111+'SMART AI LIMITED'!F111+'HK01'!F111-(-SUMIFS(合并抵消!$J:$J,合并抵消!$E:$E,$E111,合并抵消!$A:$A,F$2)+SUMIFS(合并抵消!$K:$K,合并抵消!$E:$E,$E111,合并抵消!$A:$A,F$2))</f>
        <v/>
      </c>
      <c r="G111" s="89">
        <f>浙江精准学!G111+知识跳跳!G111+海南精准学!G111+实时查!G111+目标准!G111+'SMART LEARNING HOLDING'!G111+'SMART AI LIMITED'!G111+'HK01'!G111-(-SUMIFS(合并抵消!$J:$J,合并抵消!$E:$E,$E111,合并抵消!$A:$A,G$2)+SUMIFS(合并抵消!$K:$K,合并抵消!$E:$E,$E111,合并抵消!$A:$A,G$2))</f>
        <v/>
      </c>
      <c r="H111" s="89">
        <f>浙江精准学!H111+知识跳跳!H111+海南精准学!H111+实时查!H111+目标准!H111+'SMART LEARNING HOLDING'!H111+'SMART AI LIMITED'!H111+'HK01'!H111-(-SUMIFS(合并抵消!$J:$J,合并抵消!$E:$E,$E111,合并抵消!$A:$A,H$2)+SUMIFS(合并抵消!$K:$K,合并抵消!$E:$E,$E111,合并抵消!$A:$A,H$2))</f>
        <v/>
      </c>
      <c r="I111" s="89">
        <f>浙江精准学!I111+知识跳跳!I111+海南精准学!I111+实时查!I111+目标准!I111+'SMART LEARNING HOLDING'!I111+'SMART AI LIMITED'!I111+'HK01'!I111-(-SUMIFS(合并抵消!$J:$J,合并抵消!$E:$E,$E111,合并抵消!$A:$A,I$2)+SUMIFS(合并抵消!$K:$K,合并抵消!$E:$E,$E111,合并抵消!$A:$A,I$2))</f>
        <v/>
      </c>
      <c r="J111" s="89">
        <f>浙江精准学!J111+知识跳跳!J111+海南精准学!J111+实时查!J111+目标准!J111+'SMART LEARNING HOLDING'!J111+'SMART AI LIMITED'!J111+'HK01'!J111-(-SUMIFS(合并抵消!$J:$J,合并抵消!$E:$E,$E111,合并抵消!$A:$A,J$2)+SUMIFS(合并抵消!$K:$K,合并抵消!$E:$E,$E111,合并抵消!$A:$A,J$2))</f>
        <v/>
      </c>
      <c r="K111" s="89">
        <f>浙江精准学!K111+知识跳跳!K111+海南精准学!K111+实时查!K111+目标准!K111+'SMART LEARNING HOLDING'!K111+'SMART AI LIMITED'!K111+'HK01'!K111-(-SUMIFS(合并抵消!$J:$J,合并抵消!$E:$E,$E111,合并抵消!$A:$A,K$2)+SUMIFS(合并抵消!$K:$K,合并抵消!$E:$E,$E111,合并抵消!$A:$A,K$2))</f>
        <v/>
      </c>
      <c r="L111" s="89">
        <f>浙江精准学!L111+知识跳跳!L111+海南精准学!L111+实时查!L111+目标准!L111+'SMART LEARNING HOLDING'!L111+'SMART AI LIMITED'!L111+'HK01'!L111-(-SUMIFS(合并抵消!$J:$J,合并抵消!$E:$E,$E111,合并抵消!$A:$A,L$2)+SUMIFS(合并抵消!$K:$K,合并抵消!$E:$E,$E111,合并抵消!$A:$A,L$2))</f>
        <v/>
      </c>
      <c r="M111" s="89">
        <f>浙江精准学!M111+知识跳跳!M111+海南精准学!M111+实时查!M111+目标准!M111+'SMART LEARNING HOLDING'!M111+'SMART AI LIMITED'!M111+'HK01'!M111-(-SUMIFS(合并抵消!$J:$J,合并抵消!$E:$E,$E111,合并抵消!$A:$A,M$2)+SUMIFS(合并抵消!$K:$K,合并抵消!$E:$E,$E111,合并抵消!$A:$A,M$2))</f>
        <v/>
      </c>
      <c r="N111" s="89">
        <f>浙江精准学!N111+知识跳跳!N111+海南精准学!N111+实时查!N111+目标准!N111+'SMART LEARNING HOLDING'!N111+'SMART AI LIMITED'!N111+'HK01'!N111-(-SUMIFS(合并抵消!$J:$J,合并抵消!$E:$E,$E111,合并抵消!$A:$A,N$2)+SUMIFS(合并抵消!$K:$K,合并抵消!$E:$E,$E111,合并抵消!$A:$A,N$2))</f>
        <v/>
      </c>
      <c r="O111" s="89">
        <f>浙江精准学!O111+知识跳跳!O111+海南精准学!O111+实时查!O111+目标准!O111+'SMART LEARNING HOLDING'!O111+'SMART AI LIMITED'!O111+'HK01'!O111-(-SUMIFS(合并抵消!$J:$J,合并抵消!$E:$E,$E111,合并抵消!$A:$A,O$2)+SUMIFS(合并抵消!$K:$K,合并抵消!$E:$E,$E111,合并抵消!$A:$A,O$2))</f>
        <v/>
      </c>
      <c r="P111" s="89">
        <f>浙江精准学!P111+知识跳跳!P111+海南精准学!P111+实时查!P111+目标准!P111+'SMART LEARNING HOLDING'!P111+'SMART AI LIMITED'!P111+'HK01'!P111-(-SUMIFS(合并抵消!$J:$J,合并抵消!$E:$E,$E111,合并抵消!$A:$A,P$2)+SUMIFS(合并抵消!$K:$K,合并抵消!$E:$E,$E111,合并抵消!$A:$A,P$2))</f>
        <v/>
      </c>
      <c r="Q111" s="89">
        <f>浙江精准学!Q111+知识跳跳!Q111+海南精准学!Q111+实时查!Q111+目标准!Q111+'SMART LEARNING HOLDING'!Q111+'SMART AI LIMITED'!Q111+'HK01'!Q111-(-SUMIFS(合并抵消!$J:$J,合并抵消!$E:$E,$E111,合并抵消!$A:$A,Q$2)+SUMIFS(合并抵消!$K:$K,合并抵消!$E:$E,$E111,合并抵消!$A:$A,Q$2))</f>
        <v/>
      </c>
      <c r="R111" s="89">
        <f>SUM(F111:Q111)</f>
        <v/>
      </c>
    </row>
    <row r="112" s="83">
      <c r="A112" s="5" t="inlineStr">
        <is>
          <t>销售费用</t>
        </is>
      </c>
      <c r="B112" s="6" t="inlineStr">
        <is>
          <t>投放转化</t>
        </is>
      </c>
      <c r="D112" s="5" t="inlineStr">
        <is>
          <t>抖音投放充值</t>
        </is>
      </c>
      <c r="E112" s="6" t="inlineStr">
        <is>
          <t>Q2002</t>
        </is>
      </c>
      <c r="F112" s="89">
        <f>浙江精准学!F112+知识跳跳!F112+海南精准学!F112+实时查!F112+目标准!F112+'SMART LEARNING HOLDING'!F112+'SMART AI LIMITED'!F112+'HK01'!F112-(-SUMIFS(合并抵消!$J:$J,合并抵消!$E:$E,$E112,合并抵消!$A:$A,F$2)+SUMIFS(合并抵消!$K:$K,合并抵消!$E:$E,$E112,合并抵消!$A:$A,F$2))</f>
        <v/>
      </c>
      <c r="G112" s="89">
        <f>浙江精准学!G112+知识跳跳!G112+海南精准学!G112+实时查!G112+目标准!G112+'SMART LEARNING HOLDING'!G112+'SMART AI LIMITED'!G112+'HK01'!G112-(-SUMIFS(合并抵消!$J:$J,合并抵消!$E:$E,$E112,合并抵消!$A:$A,G$2)+SUMIFS(合并抵消!$K:$K,合并抵消!$E:$E,$E112,合并抵消!$A:$A,G$2))</f>
        <v/>
      </c>
      <c r="H112" s="89">
        <f>浙江精准学!H112+知识跳跳!H112+海南精准学!H112+实时查!H112+目标准!H112+'SMART LEARNING HOLDING'!H112+'SMART AI LIMITED'!H112+'HK01'!H112-(-SUMIFS(合并抵消!$J:$J,合并抵消!$E:$E,$E112,合并抵消!$A:$A,H$2)+SUMIFS(合并抵消!$K:$K,合并抵消!$E:$E,$E112,合并抵消!$A:$A,H$2))</f>
        <v/>
      </c>
      <c r="I112" s="89">
        <f>浙江精准学!I112+知识跳跳!I112+海南精准学!I112+实时查!I112+目标准!I112+'SMART LEARNING HOLDING'!I112+'SMART AI LIMITED'!I112+'HK01'!I112-(-SUMIFS(合并抵消!$J:$J,合并抵消!$E:$E,$E112,合并抵消!$A:$A,I$2)+SUMIFS(合并抵消!$K:$K,合并抵消!$E:$E,$E112,合并抵消!$A:$A,I$2))</f>
        <v/>
      </c>
      <c r="J112" s="89">
        <f>浙江精准学!J112+知识跳跳!J112+海南精准学!J112+实时查!J112+目标准!J112+'SMART LEARNING HOLDING'!J112+'SMART AI LIMITED'!J112+'HK01'!J112-(-SUMIFS(合并抵消!$J:$J,合并抵消!$E:$E,$E112,合并抵消!$A:$A,J$2)+SUMIFS(合并抵消!$K:$K,合并抵消!$E:$E,$E112,合并抵消!$A:$A,J$2))</f>
        <v/>
      </c>
      <c r="K112" s="89">
        <f>浙江精准学!K112+知识跳跳!K112+海南精准学!K112+实时查!K112+目标准!K112+'SMART LEARNING HOLDING'!K112+'SMART AI LIMITED'!K112+'HK01'!K112-(-SUMIFS(合并抵消!$J:$J,合并抵消!$E:$E,$E112,合并抵消!$A:$A,K$2)+SUMIFS(合并抵消!$K:$K,合并抵消!$E:$E,$E112,合并抵消!$A:$A,K$2))</f>
        <v/>
      </c>
      <c r="L112" s="89">
        <f>浙江精准学!L112+知识跳跳!L112+海南精准学!L112+实时查!L112+目标准!L112+'SMART LEARNING HOLDING'!L112+'SMART AI LIMITED'!L112+'HK01'!L112-(-SUMIFS(合并抵消!$J:$J,合并抵消!$E:$E,$E112,合并抵消!$A:$A,L$2)+SUMIFS(合并抵消!$K:$K,合并抵消!$E:$E,$E112,合并抵消!$A:$A,L$2))</f>
        <v/>
      </c>
      <c r="M112" s="89">
        <f>浙江精准学!M112+知识跳跳!M112+海南精准学!M112+实时查!M112+目标准!M112+'SMART LEARNING HOLDING'!M112+'SMART AI LIMITED'!M112+'HK01'!M112-(-SUMIFS(合并抵消!$J:$J,合并抵消!$E:$E,$E112,合并抵消!$A:$A,M$2)+SUMIFS(合并抵消!$K:$K,合并抵消!$E:$E,$E112,合并抵消!$A:$A,M$2))</f>
        <v/>
      </c>
      <c r="N112" s="89">
        <f>浙江精准学!N112+知识跳跳!N112+海南精准学!N112+实时查!N112+目标准!N112+'SMART LEARNING HOLDING'!N112+'SMART AI LIMITED'!N112+'HK01'!N112-(-SUMIFS(合并抵消!$J:$J,合并抵消!$E:$E,$E112,合并抵消!$A:$A,N$2)+SUMIFS(合并抵消!$K:$K,合并抵消!$E:$E,$E112,合并抵消!$A:$A,N$2))</f>
        <v/>
      </c>
      <c r="O112" s="89">
        <f>浙江精准学!O112+知识跳跳!O112+海南精准学!O112+实时查!O112+目标准!O112+'SMART LEARNING HOLDING'!O112+'SMART AI LIMITED'!O112+'HK01'!O112-(-SUMIFS(合并抵消!$J:$J,合并抵消!$E:$E,$E112,合并抵消!$A:$A,O$2)+SUMIFS(合并抵消!$K:$K,合并抵消!$E:$E,$E112,合并抵消!$A:$A,O$2))</f>
        <v/>
      </c>
      <c r="P112" s="89">
        <f>浙江精准学!P112+知识跳跳!P112+海南精准学!P112+实时查!P112+目标准!P112+'SMART LEARNING HOLDING'!P112+'SMART AI LIMITED'!P112+'HK01'!P112-(-SUMIFS(合并抵消!$J:$J,合并抵消!$E:$E,$E112,合并抵消!$A:$A,P$2)+SUMIFS(合并抵消!$K:$K,合并抵消!$E:$E,$E112,合并抵消!$A:$A,P$2))</f>
        <v/>
      </c>
      <c r="Q112" s="89">
        <f>浙江精准学!Q112+知识跳跳!Q112+海南精准学!Q112+实时查!Q112+目标准!Q112+'SMART LEARNING HOLDING'!Q112+'SMART AI LIMITED'!Q112+'HK01'!Q112-(-SUMIFS(合并抵消!$J:$J,合并抵消!$E:$E,$E112,合并抵消!$A:$A,Q$2)+SUMIFS(合并抵消!$K:$K,合并抵消!$E:$E,$E112,合并抵消!$A:$A,Q$2))</f>
        <v/>
      </c>
      <c r="R112" s="89">
        <f>SUM(F112:Q112)</f>
        <v/>
      </c>
    </row>
    <row r="113" s="83">
      <c r="A113" s="5" t="inlineStr">
        <is>
          <t>销售费用</t>
        </is>
      </c>
      <c r="B113" s="6" t="inlineStr">
        <is>
          <t>投放转化</t>
        </is>
      </c>
      <c r="D113" s="5" t="inlineStr">
        <is>
          <t>京东平台投放充值</t>
        </is>
      </c>
      <c r="E113" s="6" t="inlineStr">
        <is>
          <t>Q2003</t>
        </is>
      </c>
      <c r="F113" s="89">
        <f>浙江精准学!F113+知识跳跳!F113+海南精准学!F113+实时查!F113+目标准!F113+'SMART LEARNING HOLDING'!F113+'SMART AI LIMITED'!F113+'HK01'!F113-(-SUMIFS(合并抵消!$J:$J,合并抵消!$E:$E,$E113,合并抵消!$A:$A,F$2)+SUMIFS(合并抵消!$K:$K,合并抵消!$E:$E,$E113,合并抵消!$A:$A,F$2))</f>
        <v/>
      </c>
      <c r="G113" s="89">
        <f>浙江精准学!G113+知识跳跳!G113+海南精准学!G113+实时查!G113+目标准!G113+'SMART LEARNING HOLDING'!G113+'SMART AI LIMITED'!G113+'HK01'!G113-(-SUMIFS(合并抵消!$J:$J,合并抵消!$E:$E,$E113,合并抵消!$A:$A,G$2)+SUMIFS(合并抵消!$K:$K,合并抵消!$E:$E,$E113,合并抵消!$A:$A,G$2))</f>
        <v/>
      </c>
      <c r="H113" s="89">
        <f>浙江精准学!H113+知识跳跳!H113+海南精准学!H113+实时查!H113+目标准!H113+'SMART LEARNING HOLDING'!H113+'SMART AI LIMITED'!H113+'HK01'!H113-(-SUMIFS(合并抵消!$J:$J,合并抵消!$E:$E,$E113,合并抵消!$A:$A,H$2)+SUMIFS(合并抵消!$K:$K,合并抵消!$E:$E,$E113,合并抵消!$A:$A,H$2))</f>
        <v/>
      </c>
      <c r="I113" s="89">
        <f>浙江精准学!I113+知识跳跳!I113+海南精准学!I113+实时查!I113+目标准!I113+'SMART LEARNING HOLDING'!I113+'SMART AI LIMITED'!I113+'HK01'!I113-(-SUMIFS(合并抵消!$J:$J,合并抵消!$E:$E,$E113,合并抵消!$A:$A,I$2)+SUMIFS(合并抵消!$K:$K,合并抵消!$E:$E,$E113,合并抵消!$A:$A,I$2))</f>
        <v/>
      </c>
      <c r="J113" s="89">
        <f>浙江精准学!J113+知识跳跳!J113+海南精准学!J113+实时查!J113+目标准!J113+'SMART LEARNING HOLDING'!J113+'SMART AI LIMITED'!J113+'HK01'!J113-(-SUMIFS(合并抵消!$J:$J,合并抵消!$E:$E,$E113,合并抵消!$A:$A,J$2)+SUMIFS(合并抵消!$K:$K,合并抵消!$E:$E,$E113,合并抵消!$A:$A,J$2))</f>
        <v/>
      </c>
      <c r="K113" s="89">
        <f>浙江精准学!K113+知识跳跳!K113+海南精准学!K113+实时查!K113+目标准!K113+'SMART LEARNING HOLDING'!K113+'SMART AI LIMITED'!K113+'HK01'!K113-(-SUMIFS(合并抵消!$J:$J,合并抵消!$E:$E,$E113,合并抵消!$A:$A,K$2)+SUMIFS(合并抵消!$K:$K,合并抵消!$E:$E,$E113,合并抵消!$A:$A,K$2))</f>
        <v/>
      </c>
      <c r="L113" s="89">
        <f>浙江精准学!L113+知识跳跳!L113+海南精准学!L113+实时查!L113+目标准!L113+'SMART LEARNING HOLDING'!L113+'SMART AI LIMITED'!L113+'HK01'!L113-(-SUMIFS(合并抵消!$J:$J,合并抵消!$E:$E,$E113,合并抵消!$A:$A,L$2)+SUMIFS(合并抵消!$K:$K,合并抵消!$E:$E,$E113,合并抵消!$A:$A,L$2))</f>
        <v/>
      </c>
      <c r="M113" s="89">
        <f>浙江精准学!M113+知识跳跳!M113+海南精准学!M113+实时查!M113+目标准!M113+'SMART LEARNING HOLDING'!M113+'SMART AI LIMITED'!M113+'HK01'!M113-(-SUMIFS(合并抵消!$J:$J,合并抵消!$E:$E,$E113,合并抵消!$A:$A,M$2)+SUMIFS(合并抵消!$K:$K,合并抵消!$E:$E,$E113,合并抵消!$A:$A,M$2))</f>
        <v/>
      </c>
      <c r="N113" s="89">
        <f>浙江精准学!N113+知识跳跳!N113+海南精准学!N113+实时查!N113+目标准!N113+'SMART LEARNING HOLDING'!N113+'SMART AI LIMITED'!N113+'HK01'!N113-(-SUMIFS(合并抵消!$J:$J,合并抵消!$E:$E,$E113,合并抵消!$A:$A,N$2)+SUMIFS(合并抵消!$K:$K,合并抵消!$E:$E,$E113,合并抵消!$A:$A,N$2))</f>
        <v/>
      </c>
      <c r="O113" s="89">
        <f>浙江精准学!O113+知识跳跳!O113+海南精准学!O113+实时查!O113+目标准!O113+'SMART LEARNING HOLDING'!O113+'SMART AI LIMITED'!O113+'HK01'!O113-(-SUMIFS(合并抵消!$J:$J,合并抵消!$E:$E,$E113,合并抵消!$A:$A,O$2)+SUMIFS(合并抵消!$K:$K,合并抵消!$E:$E,$E113,合并抵消!$A:$A,O$2))</f>
        <v/>
      </c>
      <c r="P113" s="89">
        <f>浙江精准学!P113+知识跳跳!P113+海南精准学!P113+实时查!P113+目标准!P113+'SMART LEARNING HOLDING'!P113+'SMART AI LIMITED'!P113+'HK01'!P113-(-SUMIFS(合并抵消!$J:$J,合并抵消!$E:$E,$E113,合并抵消!$A:$A,P$2)+SUMIFS(合并抵消!$K:$K,合并抵消!$E:$E,$E113,合并抵消!$A:$A,P$2))</f>
        <v/>
      </c>
      <c r="Q113" s="89">
        <f>浙江精准学!Q113+知识跳跳!Q113+海南精准学!Q113+实时查!Q113+目标准!Q113+'SMART LEARNING HOLDING'!Q113+'SMART AI LIMITED'!Q113+'HK01'!Q113-(-SUMIFS(合并抵消!$J:$J,合并抵消!$E:$E,$E113,合并抵消!$A:$A,Q$2)+SUMIFS(合并抵消!$K:$K,合并抵消!$E:$E,$E113,合并抵消!$A:$A,Q$2))</f>
        <v/>
      </c>
      <c r="R113" s="89">
        <f>SUM(F113:Q113)</f>
        <v/>
      </c>
    </row>
    <row r="114" s="83">
      <c r="A114" s="5" t="inlineStr">
        <is>
          <t>销售费用</t>
        </is>
      </c>
      <c r="B114" s="6" t="inlineStr">
        <is>
          <t>投放转化</t>
        </is>
      </c>
      <c r="D114" s="5" t="inlineStr">
        <is>
          <t>视频号投放充值</t>
        </is>
      </c>
      <c r="E114" s="6" t="inlineStr">
        <is>
          <t>Q2004</t>
        </is>
      </c>
      <c r="F114" s="89">
        <f>浙江精准学!F114+知识跳跳!F114+海南精准学!F114+实时查!F114+目标准!F114+'SMART LEARNING HOLDING'!F114+'SMART AI LIMITED'!F114+'HK01'!F114-(-SUMIFS(合并抵消!$J:$J,合并抵消!$E:$E,$E114,合并抵消!$A:$A,F$2)+SUMIFS(合并抵消!$K:$K,合并抵消!$E:$E,$E114,合并抵消!$A:$A,F$2))</f>
        <v/>
      </c>
      <c r="G114" s="89">
        <f>浙江精准学!G114+知识跳跳!G114+海南精准学!G114+实时查!G114+目标准!G114+'SMART LEARNING HOLDING'!G114+'SMART AI LIMITED'!G114+'HK01'!G114-(-SUMIFS(合并抵消!$J:$J,合并抵消!$E:$E,$E114,合并抵消!$A:$A,G$2)+SUMIFS(合并抵消!$K:$K,合并抵消!$E:$E,$E114,合并抵消!$A:$A,G$2))</f>
        <v/>
      </c>
      <c r="H114" s="89">
        <f>浙江精准学!H114+知识跳跳!H114+海南精准学!H114+实时查!H114+目标准!H114+'SMART LEARNING HOLDING'!H114+'SMART AI LIMITED'!H114+'HK01'!H114-(-SUMIFS(合并抵消!$J:$J,合并抵消!$E:$E,$E114,合并抵消!$A:$A,H$2)+SUMIFS(合并抵消!$K:$K,合并抵消!$E:$E,$E114,合并抵消!$A:$A,H$2))</f>
        <v/>
      </c>
      <c r="I114" s="89">
        <f>浙江精准学!I114+知识跳跳!I114+海南精准学!I114+实时查!I114+目标准!I114+'SMART LEARNING HOLDING'!I114+'SMART AI LIMITED'!I114+'HK01'!I114-(-SUMIFS(合并抵消!$J:$J,合并抵消!$E:$E,$E114,合并抵消!$A:$A,I$2)+SUMIFS(合并抵消!$K:$K,合并抵消!$E:$E,$E114,合并抵消!$A:$A,I$2))</f>
        <v/>
      </c>
      <c r="J114" s="89">
        <f>浙江精准学!J114+知识跳跳!J114+海南精准学!J114+实时查!J114+目标准!J114+'SMART LEARNING HOLDING'!J114+'SMART AI LIMITED'!J114+'HK01'!J114-(-SUMIFS(合并抵消!$J:$J,合并抵消!$E:$E,$E114,合并抵消!$A:$A,J$2)+SUMIFS(合并抵消!$K:$K,合并抵消!$E:$E,$E114,合并抵消!$A:$A,J$2))</f>
        <v/>
      </c>
      <c r="K114" s="89">
        <f>浙江精准学!K114+知识跳跳!K114+海南精准学!K114+实时查!K114+目标准!K114+'SMART LEARNING HOLDING'!K114+'SMART AI LIMITED'!K114+'HK01'!K114-(-SUMIFS(合并抵消!$J:$J,合并抵消!$E:$E,$E114,合并抵消!$A:$A,K$2)+SUMIFS(合并抵消!$K:$K,合并抵消!$E:$E,$E114,合并抵消!$A:$A,K$2))</f>
        <v/>
      </c>
      <c r="L114" s="89">
        <f>浙江精准学!L114+知识跳跳!L114+海南精准学!L114+实时查!L114+目标准!L114+'SMART LEARNING HOLDING'!L114+'SMART AI LIMITED'!L114+'HK01'!L114-(-SUMIFS(合并抵消!$J:$J,合并抵消!$E:$E,$E114,合并抵消!$A:$A,L$2)+SUMIFS(合并抵消!$K:$K,合并抵消!$E:$E,$E114,合并抵消!$A:$A,L$2))</f>
        <v/>
      </c>
      <c r="M114" s="89">
        <f>浙江精准学!M114+知识跳跳!M114+海南精准学!M114+实时查!M114+目标准!M114+'SMART LEARNING HOLDING'!M114+'SMART AI LIMITED'!M114+'HK01'!M114-(-SUMIFS(合并抵消!$J:$J,合并抵消!$E:$E,$E114,合并抵消!$A:$A,M$2)+SUMIFS(合并抵消!$K:$K,合并抵消!$E:$E,$E114,合并抵消!$A:$A,M$2))</f>
        <v/>
      </c>
      <c r="N114" s="89">
        <f>浙江精准学!N114+知识跳跳!N114+海南精准学!N114+实时查!N114+目标准!N114+'SMART LEARNING HOLDING'!N114+'SMART AI LIMITED'!N114+'HK01'!N114-(-SUMIFS(合并抵消!$J:$J,合并抵消!$E:$E,$E114,合并抵消!$A:$A,N$2)+SUMIFS(合并抵消!$K:$K,合并抵消!$E:$E,$E114,合并抵消!$A:$A,N$2))</f>
        <v/>
      </c>
      <c r="O114" s="89">
        <f>浙江精准学!O114+知识跳跳!O114+海南精准学!O114+实时查!O114+目标准!O114+'SMART LEARNING HOLDING'!O114+'SMART AI LIMITED'!O114+'HK01'!O114-(-SUMIFS(合并抵消!$J:$J,合并抵消!$E:$E,$E114,合并抵消!$A:$A,O$2)+SUMIFS(合并抵消!$K:$K,合并抵消!$E:$E,$E114,合并抵消!$A:$A,O$2))</f>
        <v/>
      </c>
      <c r="P114" s="89">
        <f>浙江精准学!P114+知识跳跳!P114+海南精准学!P114+实时查!P114+目标准!P114+'SMART LEARNING HOLDING'!P114+'SMART AI LIMITED'!P114+'HK01'!P114-(-SUMIFS(合并抵消!$J:$J,合并抵消!$E:$E,$E114,合并抵消!$A:$A,P$2)+SUMIFS(合并抵消!$K:$K,合并抵消!$E:$E,$E114,合并抵消!$A:$A,P$2))</f>
        <v/>
      </c>
      <c r="Q114" s="89">
        <f>浙江精准学!Q114+知识跳跳!Q114+海南精准学!Q114+实时查!Q114+目标准!Q114+'SMART LEARNING HOLDING'!Q114+'SMART AI LIMITED'!Q114+'HK01'!Q114-(-SUMIFS(合并抵消!$J:$J,合并抵消!$E:$E,$E114,合并抵消!$A:$A,Q$2)+SUMIFS(合并抵消!$K:$K,合并抵消!$E:$E,$E114,合并抵消!$A:$A,Q$2))</f>
        <v/>
      </c>
      <c r="R114" s="89">
        <f>SUM(F114:Q114)</f>
        <v/>
      </c>
    </row>
    <row r="115" s="83">
      <c r="A115" s="5" t="inlineStr">
        <is>
          <t>销售费用</t>
        </is>
      </c>
      <c r="B115" s="6" t="inlineStr">
        <is>
          <t>投放转化</t>
        </is>
      </c>
      <c r="D115" s="5" t="inlineStr">
        <is>
          <t>天猫平台投放充值</t>
        </is>
      </c>
      <c r="E115" s="6" t="inlineStr">
        <is>
          <t>Q2005</t>
        </is>
      </c>
      <c r="F115" s="89">
        <f>浙江精准学!F115+知识跳跳!F115+海南精准学!F115+实时查!F115+目标准!F115+'SMART LEARNING HOLDING'!F115+'SMART AI LIMITED'!F115+'HK01'!F115-(-SUMIFS(合并抵消!$J:$J,合并抵消!$E:$E,$E115,合并抵消!$A:$A,F$2)+SUMIFS(合并抵消!$K:$K,合并抵消!$E:$E,$E115,合并抵消!$A:$A,F$2))</f>
        <v/>
      </c>
      <c r="G115" s="89">
        <f>浙江精准学!G115+知识跳跳!G115+海南精准学!G115+实时查!G115+目标准!G115+'SMART LEARNING HOLDING'!G115+'SMART AI LIMITED'!G115+'HK01'!G115-(-SUMIFS(合并抵消!$J:$J,合并抵消!$E:$E,$E115,合并抵消!$A:$A,G$2)+SUMIFS(合并抵消!$K:$K,合并抵消!$E:$E,$E115,合并抵消!$A:$A,G$2))</f>
        <v/>
      </c>
      <c r="H115" s="89">
        <f>浙江精准学!H115+知识跳跳!H115+海南精准学!H115+实时查!H115+目标准!H115+'SMART LEARNING HOLDING'!H115+'SMART AI LIMITED'!H115+'HK01'!H115-(-SUMIFS(合并抵消!$J:$J,合并抵消!$E:$E,$E115,合并抵消!$A:$A,H$2)+SUMIFS(合并抵消!$K:$K,合并抵消!$E:$E,$E115,合并抵消!$A:$A,H$2))</f>
        <v/>
      </c>
      <c r="I115" s="89">
        <f>浙江精准学!I115+知识跳跳!I115+海南精准学!I115+实时查!I115+目标准!I115+'SMART LEARNING HOLDING'!I115+'SMART AI LIMITED'!I115+'HK01'!I115-(-SUMIFS(合并抵消!$J:$J,合并抵消!$E:$E,$E115,合并抵消!$A:$A,I$2)+SUMIFS(合并抵消!$K:$K,合并抵消!$E:$E,$E115,合并抵消!$A:$A,I$2))</f>
        <v/>
      </c>
      <c r="J115" s="89">
        <f>浙江精准学!J115+知识跳跳!J115+海南精准学!J115+实时查!J115+目标准!J115+'SMART LEARNING HOLDING'!J115+'SMART AI LIMITED'!J115+'HK01'!J115-(-SUMIFS(合并抵消!$J:$J,合并抵消!$E:$E,$E115,合并抵消!$A:$A,J$2)+SUMIFS(合并抵消!$K:$K,合并抵消!$E:$E,$E115,合并抵消!$A:$A,J$2))</f>
        <v/>
      </c>
      <c r="K115" s="89">
        <f>浙江精准学!K115+知识跳跳!K115+海南精准学!K115+实时查!K115+目标准!K115+'SMART LEARNING HOLDING'!K115+'SMART AI LIMITED'!K115+'HK01'!K115-(-SUMIFS(合并抵消!$J:$J,合并抵消!$E:$E,$E115,合并抵消!$A:$A,K$2)+SUMIFS(合并抵消!$K:$K,合并抵消!$E:$E,$E115,合并抵消!$A:$A,K$2))</f>
        <v/>
      </c>
      <c r="L115" s="89">
        <f>浙江精准学!L115+知识跳跳!L115+海南精准学!L115+实时查!L115+目标准!L115+'SMART LEARNING HOLDING'!L115+'SMART AI LIMITED'!L115+'HK01'!L115-(-SUMIFS(合并抵消!$J:$J,合并抵消!$E:$E,$E115,合并抵消!$A:$A,L$2)+SUMIFS(合并抵消!$K:$K,合并抵消!$E:$E,$E115,合并抵消!$A:$A,L$2))</f>
        <v/>
      </c>
      <c r="M115" s="89">
        <f>浙江精准学!M115+知识跳跳!M115+海南精准学!M115+实时查!M115+目标准!M115+'SMART LEARNING HOLDING'!M115+'SMART AI LIMITED'!M115+'HK01'!M115-(-SUMIFS(合并抵消!$J:$J,合并抵消!$E:$E,$E115,合并抵消!$A:$A,M$2)+SUMIFS(合并抵消!$K:$K,合并抵消!$E:$E,$E115,合并抵消!$A:$A,M$2))</f>
        <v/>
      </c>
      <c r="N115" s="89">
        <f>浙江精准学!N115+知识跳跳!N115+海南精准学!N115+实时查!N115+目标准!N115+'SMART LEARNING HOLDING'!N115+'SMART AI LIMITED'!N115+'HK01'!N115-(-SUMIFS(合并抵消!$J:$J,合并抵消!$E:$E,$E115,合并抵消!$A:$A,N$2)+SUMIFS(合并抵消!$K:$K,合并抵消!$E:$E,$E115,合并抵消!$A:$A,N$2))</f>
        <v/>
      </c>
      <c r="O115" s="89">
        <f>浙江精准学!O115+知识跳跳!O115+海南精准学!O115+实时查!O115+目标准!O115+'SMART LEARNING HOLDING'!O115+'SMART AI LIMITED'!O115+'HK01'!O115-(-SUMIFS(合并抵消!$J:$J,合并抵消!$E:$E,$E115,合并抵消!$A:$A,O$2)+SUMIFS(合并抵消!$K:$K,合并抵消!$E:$E,$E115,合并抵消!$A:$A,O$2))</f>
        <v/>
      </c>
      <c r="P115" s="89">
        <f>浙江精准学!P115+知识跳跳!P115+海南精准学!P115+实时查!P115+目标准!P115+'SMART LEARNING HOLDING'!P115+'SMART AI LIMITED'!P115+'HK01'!P115-(-SUMIFS(合并抵消!$J:$J,合并抵消!$E:$E,$E115,合并抵消!$A:$A,P$2)+SUMIFS(合并抵消!$K:$K,合并抵消!$E:$E,$E115,合并抵消!$A:$A,P$2))</f>
        <v/>
      </c>
      <c r="Q115" s="89">
        <f>浙江精准学!Q115+知识跳跳!Q115+海南精准学!Q115+实时查!Q115+目标准!Q115+'SMART LEARNING HOLDING'!Q115+'SMART AI LIMITED'!Q115+'HK01'!Q115-(-SUMIFS(合并抵消!$J:$J,合并抵消!$E:$E,$E115,合并抵消!$A:$A,Q$2)+SUMIFS(合并抵消!$K:$K,合并抵消!$E:$E,$E115,合并抵消!$A:$A,Q$2))</f>
        <v/>
      </c>
      <c r="R115" s="89">
        <f>SUM(F115:Q115)</f>
        <v/>
      </c>
    </row>
    <row r="116" s="83">
      <c r="A116" s="5" t="inlineStr">
        <is>
          <t>销售费用</t>
        </is>
      </c>
      <c r="B116" s="6" t="inlineStr">
        <is>
          <t>直播间运营</t>
        </is>
      </c>
      <c r="C116" s="6" t="inlineStr">
        <is>
          <t>直播间运营</t>
        </is>
      </c>
      <c r="D116" s="5" t="inlineStr">
        <is>
          <t>DP-有熊团队服务费</t>
        </is>
      </c>
      <c r="E116" s="6" t="inlineStr">
        <is>
          <t>Q2101</t>
        </is>
      </c>
      <c r="F116" s="89">
        <f>浙江精准学!F116+知识跳跳!F116+海南精准学!F116+实时查!F116+目标准!F116+'SMART LEARNING HOLDING'!F116+'SMART AI LIMITED'!F116+'HK01'!F116-(-SUMIFS(合并抵消!$J:$J,合并抵消!$E:$E,$E116,合并抵消!$A:$A,F$2)+SUMIFS(合并抵消!$K:$K,合并抵消!$E:$E,$E116,合并抵消!$A:$A,F$2))</f>
        <v/>
      </c>
      <c r="G116" s="89">
        <f>浙江精准学!G116+知识跳跳!G116+海南精准学!G116+实时查!G116+目标准!G116+'SMART LEARNING HOLDING'!G116+'SMART AI LIMITED'!G116+'HK01'!G116-(-SUMIFS(合并抵消!$J:$J,合并抵消!$E:$E,$E116,合并抵消!$A:$A,G$2)+SUMIFS(合并抵消!$K:$K,合并抵消!$E:$E,$E116,合并抵消!$A:$A,G$2))</f>
        <v/>
      </c>
      <c r="H116" s="89">
        <f>浙江精准学!H116+知识跳跳!H116+海南精准学!H116+实时查!H116+目标准!H116+'SMART LEARNING HOLDING'!H116+'SMART AI LIMITED'!H116+'HK01'!H116-(-SUMIFS(合并抵消!$J:$J,合并抵消!$E:$E,$E116,合并抵消!$A:$A,H$2)+SUMIFS(合并抵消!$K:$K,合并抵消!$E:$E,$E116,合并抵消!$A:$A,H$2))</f>
        <v/>
      </c>
      <c r="I116" s="89">
        <f>浙江精准学!I116+知识跳跳!I116+海南精准学!I116+实时查!I116+目标准!I116+'SMART LEARNING HOLDING'!I116+'SMART AI LIMITED'!I116+'HK01'!I116-(-SUMIFS(合并抵消!$J:$J,合并抵消!$E:$E,$E116,合并抵消!$A:$A,I$2)+SUMIFS(合并抵消!$K:$K,合并抵消!$E:$E,$E116,合并抵消!$A:$A,I$2))</f>
        <v/>
      </c>
      <c r="J116" s="89">
        <f>浙江精准学!J116+知识跳跳!J116+海南精准学!J116+实时查!J116+目标准!J116+'SMART LEARNING HOLDING'!J116+'SMART AI LIMITED'!J116+'HK01'!J116-(-SUMIFS(合并抵消!$J:$J,合并抵消!$E:$E,$E116,合并抵消!$A:$A,J$2)+SUMIFS(合并抵消!$K:$K,合并抵消!$E:$E,$E116,合并抵消!$A:$A,J$2))</f>
        <v/>
      </c>
      <c r="K116" s="89">
        <f>浙江精准学!K116+知识跳跳!K116+海南精准学!K116+实时查!K116+目标准!K116+'SMART LEARNING HOLDING'!K116+'SMART AI LIMITED'!K116+'HK01'!K116-(-SUMIFS(合并抵消!$J:$J,合并抵消!$E:$E,$E116,合并抵消!$A:$A,K$2)+SUMIFS(合并抵消!$K:$K,合并抵消!$E:$E,$E116,合并抵消!$A:$A,K$2))</f>
        <v/>
      </c>
      <c r="L116" s="89">
        <f>浙江精准学!L116+知识跳跳!L116+海南精准学!L116+实时查!L116+目标准!L116+'SMART LEARNING HOLDING'!L116+'SMART AI LIMITED'!L116+'HK01'!L116-(-SUMIFS(合并抵消!$J:$J,合并抵消!$E:$E,$E116,合并抵消!$A:$A,L$2)+SUMIFS(合并抵消!$K:$K,合并抵消!$E:$E,$E116,合并抵消!$A:$A,L$2))</f>
        <v/>
      </c>
      <c r="M116" s="89">
        <f>浙江精准学!M116+知识跳跳!M116+海南精准学!M116+实时查!M116+目标准!M116+'SMART LEARNING HOLDING'!M116+'SMART AI LIMITED'!M116+'HK01'!M116-(-SUMIFS(合并抵消!$J:$J,合并抵消!$E:$E,$E116,合并抵消!$A:$A,M$2)+SUMIFS(合并抵消!$K:$K,合并抵消!$E:$E,$E116,合并抵消!$A:$A,M$2))</f>
        <v/>
      </c>
      <c r="N116" s="89">
        <f>浙江精准学!N116+知识跳跳!N116+海南精准学!N116+实时查!N116+目标准!N116+'SMART LEARNING HOLDING'!N116+'SMART AI LIMITED'!N116+'HK01'!N116-(-SUMIFS(合并抵消!$J:$J,合并抵消!$E:$E,$E116,合并抵消!$A:$A,N$2)+SUMIFS(合并抵消!$K:$K,合并抵消!$E:$E,$E116,合并抵消!$A:$A,N$2))</f>
        <v/>
      </c>
      <c r="O116" s="89">
        <f>浙江精准学!O116+知识跳跳!O116+海南精准学!O116+实时查!O116+目标准!O116+'SMART LEARNING HOLDING'!O116+'SMART AI LIMITED'!O116+'HK01'!O116-(-SUMIFS(合并抵消!$J:$J,合并抵消!$E:$E,$E116,合并抵消!$A:$A,O$2)+SUMIFS(合并抵消!$K:$K,合并抵消!$E:$E,$E116,合并抵消!$A:$A,O$2))</f>
        <v/>
      </c>
      <c r="P116" s="89">
        <f>浙江精准学!P116+知识跳跳!P116+海南精准学!P116+实时查!P116+目标准!P116+'SMART LEARNING HOLDING'!P116+'SMART AI LIMITED'!P116+'HK01'!P116-(-SUMIFS(合并抵消!$J:$J,合并抵消!$E:$E,$E116,合并抵消!$A:$A,P$2)+SUMIFS(合并抵消!$K:$K,合并抵消!$E:$E,$E116,合并抵消!$A:$A,P$2))</f>
        <v/>
      </c>
      <c r="Q116" s="89">
        <f>浙江精准学!Q116+知识跳跳!Q116+海南精准学!Q116+实时查!Q116+目标准!Q116+'SMART LEARNING HOLDING'!Q116+'SMART AI LIMITED'!Q116+'HK01'!Q116-(-SUMIFS(合并抵消!$J:$J,合并抵消!$E:$E,$E116,合并抵消!$A:$A,Q$2)+SUMIFS(合并抵消!$K:$K,合并抵消!$E:$E,$E116,合并抵消!$A:$A,Q$2))</f>
        <v/>
      </c>
      <c r="R116" s="89">
        <f>SUM(F116:Q116)</f>
        <v/>
      </c>
    </row>
    <row r="117" s="83">
      <c r="A117" s="5" t="inlineStr">
        <is>
          <t>销售费用</t>
        </is>
      </c>
      <c r="B117" s="6" t="inlineStr">
        <is>
          <t>直播间运营</t>
        </is>
      </c>
      <c r="D117" s="5" t="inlineStr">
        <is>
          <t>DP-黑哥团队服务费</t>
        </is>
      </c>
      <c r="E117" s="6" t="inlineStr">
        <is>
          <t>Q2102</t>
        </is>
      </c>
      <c r="F117" s="89">
        <f>浙江精准学!F117+知识跳跳!F117+海南精准学!F117+实时查!F117+目标准!F117+'SMART LEARNING HOLDING'!F117+'SMART AI LIMITED'!F117+'HK01'!F117-(-SUMIFS(合并抵消!$J:$J,合并抵消!$E:$E,$E117,合并抵消!$A:$A,F$2)+SUMIFS(合并抵消!$K:$K,合并抵消!$E:$E,$E117,合并抵消!$A:$A,F$2))</f>
        <v/>
      </c>
      <c r="G117" s="89">
        <f>浙江精准学!G117+知识跳跳!G117+海南精准学!G117+实时查!G117+目标准!G117+'SMART LEARNING HOLDING'!G117+'SMART AI LIMITED'!G117+'HK01'!G117-(-SUMIFS(合并抵消!$J:$J,合并抵消!$E:$E,$E117,合并抵消!$A:$A,G$2)+SUMIFS(合并抵消!$K:$K,合并抵消!$E:$E,$E117,合并抵消!$A:$A,G$2))</f>
        <v/>
      </c>
      <c r="H117" s="89">
        <f>浙江精准学!H117+知识跳跳!H117+海南精准学!H117+实时查!H117+目标准!H117+'SMART LEARNING HOLDING'!H117+'SMART AI LIMITED'!H117+'HK01'!H117-(-SUMIFS(合并抵消!$J:$J,合并抵消!$E:$E,$E117,合并抵消!$A:$A,H$2)+SUMIFS(合并抵消!$K:$K,合并抵消!$E:$E,$E117,合并抵消!$A:$A,H$2))</f>
        <v/>
      </c>
      <c r="I117" s="89">
        <f>浙江精准学!I117+知识跳跳!I117+海南精准学!I117+实时查!I117+目标准!I117+'SMART LEARNING HOLDING'!I117+'SMART AI LIMITED'!I117+'HK01'!I117-(-SUMIFS(合并抵消!$J:$J,合并抵消!$E:$E,$E117,合并抵消!$A:$A,I$2)+SUMIFS(合并抵消!$K:$K,合并抵消!$E:$E,$E117,合并抵消!$A:$A,I$2))</f>
        <v/>
      </c>
      <c r="J117" s="89">
        <f>浙江精准学!J117+知识跳跳!J117+海南精准学!J117+实时查!J117+目标准!J117+'SMART LEARNING HOLDING'!J117+'SMART AI LIMITED'!J117+'HK01'!J117-(-SUMIFS(合并抵消!$J:$J,合并抵消!$E:$E,$E117,合并抵消!$A:$A,J$2)+SUMIFS(合并抵消!$K:$K,合并抵消!$E:$E,$E117,合并抵消!$A:$A,J$2))</f>
        <v/>
      </c>
      <c r="K117" s="89">
        <f>浙江精准学!K117+知识跳跳!K117+海南精准学!K117+实时查!K117+目标准!K117+'SMART LEARNING HOLDING'!K117+'SMART AI LIMITED'!K117+'HK01'!K117-(-SUMIFS(合并抵消!$J:$J,合并抵消!$E:$E,$E117,合并抵消!$A:$A,K$2)+SUMIFS(合并抵消!$K:$K,合并抵消!$E:$E,$E117,合并抵消!$A:$A,K$2))</f>
        <v/>
      </c>
      <c r="L117" s="89">
        <f>浙江精准学!L117+知识跳跳!L117+海南精准学!L117+实时查!L117+目标准!L117+'SMART LEARNING HOLDING'!L117+'SMART AI LIMITED'!L117+'HK01'!L117-(-SUMIFS(合并抵消!$J:$J,合并抵消!$E:$E,$E117,合并抵消!$A:$A,L$2)+SUMIFS(合并抵消!$K:$K,合并抵消!$E:$E,$E117,合并抵消!$A:$A,L$2))</f>
        <v/>
      </c>
      <c r="M117" s="89">
        <f>浙江精准学!M117+知识跳跳!M117+海南精准学!M117+实时查!M117+目标准!M117+'SMART LEARNING HOLDING'!M117+'SMART AI LIMITED'!M117+'HK01'!M117-(-SUMIFS(合并抵消!$J:$J,合并抵消!$E:$E,$E117,合并抵消!$A:$A,M$2)+SUMIFS(合并抵消!$K:$K,合并抵消!$E:$E,$E117,合并抵消!$A:$A,M$2))</f>
        <v/>
      </c>
      <c r="N117" s="89">
        <f>浙江精准学!N117+知识跳跳!N117+海南精准学!N117+实时查!N117+目标准!N117+'SMART LEARNING HOLDING'!N117+'SMART AI LIMITED'!N117+'HK01'!N117-(-SUMIFS(合并抵消!$J:$J,合并抵消!$E:$E,$E117,合并抵消!$A:$A,N$2)+SUMIFS(合并抵消!$K:$K,合并抵消!$E:$E,$E117,合并抵消!$A:$A,N$2))</f>
        <v/>
      </c>
      <c r="O117" s="89">
        <f>浙江精准学!O117+知识跳跳!O117+海南精准学!O117+实时查!O117+目标准!O117+'SMART LEARNING HOLDING'!O117+'SMART AI LIMITED'!O117+'HK01'!O117-(-SUMIFS(合并抵消!$J:$J,合并抵消!$E:$E,$E117,合并抵消!$A:$A,O$2)+SUMIFS(合并抵消!$K:$K,合并抵消!$E:$E,$E117,合并抵消!$A:$A,O$2))</f>
        <v/>
      </c>
      <c r="P117" s="89">
        <f>浙江精准学!P117+知识跳跳!P117+海南精准学!P117+实时查!P117+目标准!P117+'SMART LEARNING HOLDING'!P117+'SMART AI LIMITED'!P117+'HK01'!P117-(-SUMIFS(合并抵消!$J:$J,合并抵消!$E:$E,$E117,合并抵消!$A:$A,P$2)+SUMIFS(合并抵消!$K:$K,合并抵消!$E:$E,$E117,合并抵消!$A:$A,P$2))</f>
        <v/>
      </c>
      <c r="Q117" s="89">
        <f>浙江精准学!Q117+知识跳跳!Q117+海南精准学!Q117+实时查!Q117+目标准!Q117+'SMART LEARNING HOLDING'!Q117+'SMART AI LIMITED'!Q117+'HK01'!Q117-(-SUMIFS(合并抵消!$J:$J,合并抵消!$E:$E,$E117,合并抵消!$A:$A,Q$2)+SUMIFS(合并抵消!$K:$K,合并抵消!$E:$E,$E117,合并抵消!$A:$A,Q$2))</f>
        <v/>
      </c>
      <c r="R117" s="89">
        <f>SUM(F117:Q117)</f>
        <v/>
      </c>
    </row>
    <row r="118" s="83">
      <c r="A118" s="5" t="inlineStr">
        <is>
          <t>销售费用</t>
        </is>
      </c>
      <c r="B118" s="6" t="inlineStr">
        <is>
          <t>直播间运营</t>
        </is>
      </c>
      <c r="D118" s="5" t="inlineStr">
        <is>
          <t>DP-小太阳团队服务费</t>
        </is>
      </c>
      <c r="E118" s="6" t="inlineStr">
        <is>
          <t>Q2103</t>
        </is>
      </c>
      <c r="F118" s="89">
        <f>浙江精准学!F118+知识跳跳!F118+海南精准学!F118+实时查!F118+目标准!F118+'SMART LEARNING HOLDING'!F118+'SMART AI LIMITED'!F118+'HK01'!F118-(-SUMIFS(合并抵消!$J:$J,合并抵消!$E:$E,$E118,合并抵消!$A:$A,F$2)+SUMIFS(合并抵消!$K:$K,合并抵消!$E:$E,$E118,合并抵消!$A:$A,F$2))</f>
        <v/>
      </c>
      <c r="G118" s="89">
        <f>浙江精准学!G118+知识跳跳!G118+海南精准学!G118+实时查!G118+目标准!G118+'SMART LEARNING HOLDING'!G118+'SMART AI LIMITED'!G118+'HK01'!G118-(-SUMIFS(合并抵消!$J:$J,合并抵消!$E:$E,$E118,合并抵消!$A:$A,G$2)+SUMIFS(合并抵消!$K:$K,合并抵消!$E:$E,$E118,合并抵消!$A:$A,G$2))</f>
        <v/>
      </c>
      <c r="H118" s="89">
        <f>浙江精准学!H118+知识跳跳!H118+海南精准学!H118+实时查!H118+目标准!H118+'SMART LEARNING HOLDING'!H118+'SMART AI LIMITED'!H118+'HK01'!H118-(-SUMIFS(合并抵消!$J:$J,合并抵消!$E:$E,$E118,合并抵消!$A:$A,H$2)+SUMIFS(合并抵消!$K:$K,合并抵消!$E:$E,$E118,合并抵消!$A:$A,H$2))</f>
        <v/>
      </c>
      <c r="I118" s="89">
        <f>浙江精准学!I118+知识跳跳!I118+海南精准学!I118+实时查!I118+目标准!I118+'SMART LEARNING HOLDING'!I118+'SMART AI LIMITED'!I118+'HK01'!I118-(-SUMIFS(合并抵消!$J:$J,合并抵消!$E:$E,$E118,合并抵消!$A:$A,I$2)+SUMIFS(合并抵消!$K:$K,合并抵消!$E:$E,$E118,合并抵消!$A:$A,I$2))</f>
        <v/>
      </c>
      <c r="J118" s="89">
        <f>浙江精准学!J118+知识跳跳!J118+海南精准学!J118+实时查!J118+目标准!J118+'SMART LEARNING HOLDING'!J118+'SMART AI LIMITED'!J118+'HK01'!J118-(-SUMIFS(合并抵消!$J:$J,合并抵消!$E:$E,$E118,合并抵消!$A:$A,J$2)+SUMIFS(合并抵消!$K:$K,合并抵消!$E:$E,$E118,合并抵消!$A:$A,J$2))</f>
        <v/>
      </c>
      <c r="K118" s="89">
        <f>浙江精准学!K118+知识跳跳!K118+海南精准学!K118+实时查!K118+目标准!K118+'SMART LEARNING HOLDING'!K118+'SMART AI LIMITED'!K118+'HK01'!K118-(-SUMIFS(合并抵消!$J:$J,合并抵消!$E:$E,$E118,合并抵消!$A:$A,K$2)+SUMIFS(合并抵消!$K:$K,合并抵消!$E:$E,$E118,合并抵消!$A:$A,K$2))</f>
        <v/>
      </c>
      <c r="L118" s="89">
        <f>浙江精准学!L118+知识跳跳!L118+海南精准学!L118+实时查!L118+目标准!L118+'SMART LEARNING HOLDING'!L118+'SMART AI LIMITED'!L118+'HK01'!L118-(-SUMIFS(合并抵消!$J:$J,合并抵消!$E:$E,$E118,合并抵消!$A:$A,L$2)+SUMIFS(合并抵消!$K:$K,合并抵消!$E:$E,$E118,合并抵消!$A:$A,L$2))</f>
        <v/>
      </c>
      <c r="M118" s="89">
        <f>浙江精准学!M118+知识跳跳!M118+海南精准学!M118+实时查!M118+目标准!M118+'SMART LEARNING HOLDING'!M118+'SMART AI LIMITED'!M118+'HK01'!M118-(-SUMIFS(合并抵消!$J:$J,合并抵消!$E:$E,$E118,合并抵消!$A:$A,M$2)+SUMIFS(合并抵消!$K:$K,合并抵消!$E:$E,$E118,合并抵消!$A:$A,M$2))</f>
        <v/>
      </c>
      <c r="N118" s="89">
        <f>浙江精准学!N118+知识跳跳!N118+海南精准学!N118+实时查!N118+目标准!N118+'SMART LEARNING HOLDING'!N118+'SMART AI LIMITED'!N118+'HK01'!N118-(-SUMIFS(合并抵消!$J:$J,合并抵消!$E:$E,$E118,合并抵消!$A:$A,N$2)+SUMIFS(合并抵消!$K:$K,合并抵消!$E:$E,$E118,合并抵消!$A:$A,N$2))</f>
        <v/>
      </c>
      <c r="O118" s="89">
        <f>浙江精准学!O118+知识跳跳!O118+海南精准学!O118+实时查!O118+目标准!O118+'SMART LEARNING HOLDING'!O118+'SMART AI LIMITED'!O118+'HK01'!O118-(-SUMIFS(合并抵消!$J:$J,合并抵消!$E:$E,$E118,合并抵消!$A:$A,O$2)+SUMIFS(合并抵消!$K:$K,合并抵消!$E:$E,$E118,合并抵消!$A:$A,O$2))</f>
        <v/>
      </c>
      <c r="P118" s="89">
        <f>浙江精准学!P118+知识跳跳!P118+海南精准学!P118+实时查!P118+目标准!P118+'SMART LEARNING HOLDING'!P118+'SMART AI LIMITED'!P118+'HK01'!P118-(-SUMIFS(合并抵消!$J:$J,合并抵消!$E:$E,$E118,合并抵消!$A:$A,P$2)+SUMIFS(合并抵消!$K:$K,合并抵消!$E:$E,$E118,合并抵消!$A:$A,P$2))</f>
        <v/>
      </c>
      <c r="Q118" s="89">
        <f>浙江精准学!Q118+知识跳跳!Q118+海南精准学!Q118+实时查!Q118+目标准!Q118+'SMART LEARNING HOLDING'!Q118+'SMART AI LIMITED'!Q118+'HK01'!Q118-(-SUMIFS(合并抵消!$J:$J,合并抵消!$E:$E,$E118,合并抵消!$A:$A,Q$2)+SUMIFS(合并抵消!$K:$K,合并抵消!$E:$E,$E118,合并抵消!$A:$A,Q$2))</f>
        <v/>
      </c>
      <c r="R118" s="89">
        <f>SUM(F118:Q118)</f>
        <v/>
      </c>
    </row>
    <row r="119" s="83">
      <c r="A119" s="5" t="inlineStr">
        <is>
          <t>销售费用</t>
        </is>
      </c>
      <c r="B119" s="6" t="inlineStr">
        <is>
          <t>直播间运营</t>
        </is>
      </c>
      <c r="D119" s="5" t="inlineStr">
        <is>
          <t>直播间搭建费用</t>
        </is>
      </c>
      <c r="E119" s="6" t="inlineStr">
        <is>
          <t>Q2104</t>
        </is>
      </c>
      <c r="F119" s="89">
        <f>浙江精准学!F119+知识跳跳!F119+海南精准学!F119+实时查!F119+目标准!F119+'SMART LEARNING HOLDING'!F119+'SMART AI LIMITED'!F119+'HK01'!F119-(-SUMIFS(合并抵消!$J:$J,合并抵消!$E:$E,$E119,合并抵消!$A:$A,F$2)+SUMIFS(合并抵消!$K:$K,合并抵消!$E:$E,$E119,合并抵消!$A:$A,F$2))</f>
        <v/>
      </c>
      <c r="G119" s="89">
        <f>浙江精准学!G119+知识跳跳!G119+海南精准学!G119+实时查!G119+目标准!G119+'SMART LEARNING HOLDING'!G119+'SMART AI LIMITED'!G119+'HK01'!G119-(-SUMIFS(合并抵消!$J:$J,合并抵消!$E:$E,$E119,合并抵消!$A:$A,G$2)+SUMIFS(合并抵消!$K:$K,合并抵消!$E:$E,$E119,合并抵消!$A:$A,G$2))</f>
        <v/>
      </c>
      <c r="H119" s="89">
        <f>浙江精准学!H119+知识跳跳!H119+海南精准学!H119+实时查!H119+目标准!H119+'SMART LEARNING HOLDING'!H119+'SMART AI LIMITED'!H119+'HK01'!H119-(-SUMIFS(合并抵消!$J:$J,合并抵消!$E:$E,$E119,合并抵消!$A:$A,H$2)+SUMIFS(合并抵消!$K:$K,合并抵消!$E:$E,$E119,合并抵消!$A:$A,H$2))</f>
        <v/>
      </c>
      <c r="I119" s="89">
        <f>浙江精准学!I119+知识跳跳!I119+海南精准学!I119+实时查!I119+目标准!I119+'SMART LEARNING HOLDING'!I119+'SMART AI LIMITED'!I119+'HK01'!I119-(-SUMIFS(合并抵消!$J:$J,合并抵消!$E:$E,$E119,合并抵消!$A:$A,I$2)+SUMIFS(合并抵消!$K:$K,合并抵消!$E:$E,$E119,合并抵消!$A:$A,I$2))</f>
        <v/>
      </c>
      <c r="J119" s="89">
        <f>浙江精准学!J119+知识跳跳!J119+海南精准学!J119+实时查!J119+目标准!J119+'SMART LEARNING HOLDING'!J119+'SMART AI LIMITED'!J119+'HK01'!J119-(-SUMIFS(合并抵消!$J:$J,合并抵消!$E:$E,$E119,合并抵消!$A:$A,J$2)+SUMIFS(合并抵消!$K:$K,合并抵消!$E:$E,$E119,合并抵消!$A:$A,J$2))</f>
        <v/>
      </c>
      <c r="K119" s="89">
        <f>浙江精准学!K119+知识跳跳!K119+海南精准学!K119+实时查!K119+目标准!K119+'SMART LEARNING HOLDING'!K119+'SMART AI LIMITED'!K119+'HK01'!K119-(-SUMIFS(合并抵消!$J:$J,合并抵消!$E:$E,$E119,合并抵消!$A:$A,K$2)+SUMIFS(合并抵消!$K:$K,合并抵消!$E:$E,$E119,合并抵消!$A:$A,K$2))</f>
        <v/>
      </c>
      <c r="L119" s="89">
        <f>浙江精准学!L119+知识跳跳!L119+海南精准学!L119+实时查!L119+目标准!L119+'SMART LEARNING HOLDING'!L119+'SMART AI LIMITED'!L119+'HK01'!L119-(-SUMIFS(合并抵消!$J:$J,合并抵消!$E:$E,$E119,合并抵消!$A:$A,L$2)+SUMIFS(合并抵消!$K:$K,合并抵消!$E:$E,$E119,合并抵消!$A:$A,L$2))</f>
        <v/>
      </c>
      <c r="M119" s="89">
        <f>浙江精准学!M119+知识跳跳!M119+海南精准学!M119+实时查!M119+目标准!M119+'SMART LEARNING HOLDING'!M119+'SMART AI LIMITED'!M119+'HK01'!M119-(-SUMIFS(合并抵消!$J:$J,合并抵消!$E:$E,$E119,合并抵消!$A:$A,M$2)+SUMIFS(合并抵消!$K:$K,合并抵消!$E:$E,$E119,合并抵消!$A:$A,M$2))</f>
        <v/>
      </c>
      <c r="N119" s="89">
        <f>浙江精准学!N119+知识跳跳!N119+海南精准学!N119+实时查!N119+目标准!N119+'SMART LEARNING HOLDING'!N119+'SMART AI LIMITED'!N119+'HK01'!N119-(-SUMIFS(合并抵消!$J:$J,合并抵消!$E:$E,$E119,合并抵消!$A:$A,N$2)+SUMIFS(合并抵消!$K:$K,合并抵消!$E:$E,$E119,合并抵消!$A:$A,N$2))</f>
        <v/>
      </c>
      <c r="O119" s="89">
        <f>浙江精准学!O119+知识跳跳!O119+海南精准学!O119+实时查!O119+目标准!O119+'SMART LEARNING HOLDING'!O119+'SMART AI LIMITED'!O119+'HK01'!O119-(-SUMIFS(合并抵消!$J:$J,合并抵消!$E:$E,$E119,合并抵消!$A:$A,O$2)+SUMIFS(合并抵消!$K:$K,合并抵消!$E:$E,$E119,合并抵消!$A:$A,O$2))</f>
        <v/>
      </c>
      <c r="P119" s="89">
        <f>浙江精准学!P119+知识跳跳!P119+海南精准学!P119+实时查!P119+目标准!P119+'SMART LEARNING HOLDING'!P119+'SMART AI LIMITED'!P119+'HK01'!P119-(-SUMIFS(合并抵消!$J:$J,合并抵消!$E:$E,$E119,合并抵消!$A:$A,P$2)+SUMIFS(合并抵消!$K:$K,合并抵消!$E:$E,$E119,合并抵消!$A:$A,P$2))</f>
        <v/>
      </c>
      <c r="Q119" s="89">
        <f>浙江精准学!Q119+知识跳跳!Q119+海南精准学!Q119+实时查!Q119+目标准!Q119+'SMART LEARNING HOLDING'!Q119+'SMART AI LIMITED'!Q119+'HK01'!Q119-(-SUMIFS(合并抵消!$J:$J,合并抵消!$E:$E,$E119,合并抵消!$A:$A,Q$2)+SUMIFS(合并抵消!$K:$K,合并抵消!$E:$E,$E119,合并抵消!$A:$A,Q$2))</f>
        <v/>
      </c>
      <c r="R119" s="89">
        <f>SUM(F119:Q119)</f>
        <v/>
      </c>
    </row>
    <row r="120" s="83">
      <c r="A120" s="5" t="inlineStr">
        <is>
          <t>销售费用</t>
        </is>
      </c>
      <c r="B120" s="6" t="inlineStr">
        <is>
          <t>平台运营</t>
        </is>
      </c>
      <c r="C120" s="6" t="inlineStr">
        <is>
          <t>平台运营</t>
        </is>
      </c>
      <c r="D120" s="5" t="inlineStr">
        <is>
          <t>分期服务费</t>
        </is>
      </c>
      <c r="E120" s="6" t="inlineStr">
        <is>
          <t>Q2204</t>
        </is>
      </c>
      <c r="F120" s="89">
        <f>浙江精准学!F120+知识跳跳!F120+海南精准学!F120+实时查!F120+目标准!F120+'SMART LEARNING HOLDING'!F120+'SMART AI LIMITED'!F120+'HK01'!F120-(-SUMIFS(合并抵消!$J:$J,合并抵消!$E:$E,$E120,合并抵消!$A:$A,F$2)+SUMIFS(合并抵消!$K:$K,合并抵消!$E:$E,$E120,合并抵消!$A:$A,F$2))</f>
        <v/>
      </c>
      <c r="G120" s="89">
        <f>浙江精准学!G120+知识跳跳!G120+海南精准学!G120+实时查!G120+目标准!G120+'SMART LEARNING HOLDING'!G120+'SMART AI LIMITED'!G120+'HK01'!G120-(-SUMIFS(合并抵消!$J:$J,合并抵消!$E:$E,$E120,合并抵消!$A:$A,G$2)+SUMIFS(合并抵消!$K:$K,合并抵消!$E:$E,$E120,合并抵消!$A:$A,G$2))</f>
        <v/>
      </c>
      <c r="H120" s="89">
        <f>浙江精准学!H120+知识跳跳!H120+海南精准学!H120+实时查!H120+目标准!H120+'SMART LEARNING HOLDING'!H120+'SMART AI LIMITED'!H120+'HK01'!H120-(-SUMIFS(合并抵消!$J:$J,合并抵消!$E:$E,$E120,合并抵消!$A:$A,H$2)+SUMIFS(合并抵消!$K:$K,合并抵消!$E:$E,$E120,合并抵消!$A:$A,H$2))</f>
        <v/>
      </c>
      <c r="I120" s="89">
        <f>浙江精准学!I120+知识跳跳!I120+海南精准学!I120+实时查!I120+目标准!I120+'SMART LEARNING HOLDING'!I120+'SMART AI LIMITED'!I120+'HK01'!I120-(-SUMIFS(合并抵消!$J:$J,合并抵消!$E:$E,$E120,合并抵消!$A:$A,I$2)+SUMIFS(合并抵消!$K:$K,合并抵消!$E:$E,$E120,合并抵消!$A:$A,I$2))</f>
        <v/>
      </c>
      <c r="J120" s="89">
        <f>浙江精准学!J120+知识跳跳!J120+海南精准学!J120+实时查!J120+目标准!J120+'SMART LEARNING HOLDING'!J120+'SMART AI LIMITED'!J120+'HK01'!J120-(-SUMIFS(合并抵消!$J:$J,合并抵消!$E:$E,$E120,合并抵消!$A:$A,J$2)+SUMIFS(合并抵消!$K:$K,合并抵消!$E:$E,$E120,合并抵消!$A:$A,J$2))</f>
        <v/>
      </c>
      <c r="K120" s="89">
        <f>浙江精准学!K120+知识跳跳!K120+海南精准学!K120+实时查!K120+目标准!K120+'SMART LEARNING HOLDING'!K120+'SMART AI LIMITED'!K120+'HK01'!K120-(-SUMIFS(合并抵消!$J:$J,合并抵消!$E:$E,$E120,合并抵消!$A:$A,K$2)+SUMIFS(合并抵消!$K:$K,合并抵消!$E:$E,$E120,合并抵消!$A:$A,K$2))</f>
        <v/>
      </c>
      <c r="L120" s="89">
        <f>浙江精准学!L120+知识跳跳!L120+海南精准学!L120+实时查!L120+目标准!L120+'SMART LEARNING HOLDING'!L120+'SMART AI LIMITED'!L120+'HK01'!L120-(-SUMIFS(合并抵消!$J:$J,合并抵消!$E:$E,$E120,合并抵消!$A:$A,L$2)+SUMIFS(合并抵消!$K:$K,合并抵消!$E:$E,$E120,合并抵消!$A:$A,L$2))</f>
        <v/>
      </c>
      <c r="M120" s="89">
        <f>浙江精准学!M120+知识跳跳!M120+海南精准学!M120+实时查!M120+目标准!M120+'SMART LEARNING HOLDING'!M120+'SMART AI LIMITED'!M120+'HK01'!M120-(-SUMIFS(合并抵消!$J:$J,合并抵消!$E:$E,$E120,合并抵消!$A:$A,M$2)+SUMIFS(合并抵消!$K:$K,合并抵消!$E:$E,$E120,合并抵消!$A:$A,M$2))</f>
        <v/>
      </c>
      <c r="N120" s="89">
        <f>浙江精准学!N120+知识跳跳!N120+海南精准学!N120+实时查!N120+目标准!N120+'SMART LEARNING HOLDING'!N120+'SMART AI LIMITED'!N120+'HK01'!N120-(-SUMIFS(合并抵消!$J:$J,合并抵消!$E:$E,$E120,合并抵消!$A:$A,N$2)+SUMIFS(合并抵消!$K:$K,合并抵消!$E:$E,$E120,合并抵消!$A:$A,N$2))</f>
        <v/>
      </c>
      <c r="O120" s="89">
        <f>浙江精准学!O120+知识跳跳!O120+海南精准学!O120+实时查!O120+目标准!O120+'SMART LEARNING HOLDING'!O120+'SMART AI LIMITED'!O120+'HK01'!O120-(-SUMIFS(合并抵消!$J:$J,合并抵消!$E:$E,$E120,合并抵消!$A:$A,O$2)+SUMIFS(合并抵消!$K:$K,合并抵消!$E:$E,$E120,合并抵消!$A:$A,O$2))</f>
        <v/>
      </c>
      <c r="P120" s="89">
        <f>浙江精准学!P120+知识跳跳!P120+海南精准学!P120+实时查!P120+目标准!P120+'SMART LEARNING HOLDING'!P120+'SMART AI LIMITED'!P120+'HK01'!P120-(-SUMIFS(合并抵消!$J:$J,合并抵消!$E:$E,$E120,合并抵消!$A:$A,P$2)+SUMIFS(合并抵消!$K:$K,合并抵消!$E:$E,$E120,合并抵消!$A:$A,P$2))</f>
        <v/>
      </c>
      <c r="Q120" s="89">
        <f>浙江精准学!Q120+知识跳跳!Q120+海南精准学!Q120+实时查!Q120+目标准!Q120+'SMART LEARNING HOLDING'!Q120+'SMART AI LIMITED'!Q120+'HK01'!Q120-(-SUMIFS(合并抵消!$J:$J,合并抵消!$E:$E,$E120,合并抵消!$A:$A,Q$2)+SUMIFS(合并抵消!$K:$K,合并抵消!$E:$E,$E120,合并抵消!$A:$A,Q$2))</f>
        <v/>
      </c>
      <c r="R120" s="89">
        <f>SUM(F120:Q120)</f>
        <v/>
      </c>
    </row>
    <row r="121" s="83">
      <c r="A121" s="5" t="inlineStr">
        <is>
          <t>销售费用</t>
        </is>
      </c>
      <c r="B121" s="6" t="inlineStr">
        <is>
          <t>平台运营</t>
        </is>
      </c>
      <c r="D121" s="5" t="inlineStr">
        <is>
          <t>平台服务费</t>
        </is>
      </c>
      <c r="E121" s="6" t="inlineStr">
        <is>
          <t>Q2201</t>
        </is>
      </c>
      <c r="F121" s="89">
        <f>浙江精准学!F121+知识跳跳!F121+海南精准学!F121+实时查!F121+目标准!F121+'SMART LEARNING HOLDING'!F121+'SMART AI LIMITED'!F121+'HK01'!F121-(-SUMIFS(合并抵消!$J:$J,合并抵消!$E:$E,$E121,合并抵消!$A:$A,F$2)+SUMIFS(合并抵消!$K:$K,合并抵消!$E:$E,$E121,合并抵消!$A:$A,F$2))</f>
        <v/>
      </c>
      <c r="G121" s="89">
        <f>浙江精准学!G121+知识跳跳!G121+海南精准学!G121+实时查!G121+目标准!G121+'SMART LEARNING HOLDING'!G121+'SMART AI LIMITED'!G121+'HK01'!G121-(-SUMIFS(合并抵消!$J:$J,合并抵消!$E:$E,$E121,合并抵消!$A:$A,G$2)+SUMIFS(合并抵消!$K:$K,合并抵消!$E:$E,$E121,合并抵消!$A:$A,G$2))</f>
        <v/>
      </c>
      <c r="H121" s="89">
        <f>浙江精准学!H121+知识跳跳!H121+海南精准学!H121+实时查!H121+目标准!H121+'SMART LEARNING HOLDING'!H121+'SMART AI LIMITED'!H121+'HK01'!H121-(-SUMIFS(合并抵消!$J:$J,合并抵消!$E:$E,$E121,合并抵消!$A:$A,H$2)+SUMIFS(合并抵消!$K:$K,合并抵消!$E:$E,$E121,合并抵消!$A:$A,H$2))</f>
        <v/>
      </c>
      <c r="I121" s="89">
        <f>浙江精准学!I121+知识跳跳!I121+海南精准学!I121+实时查!I121+目标准!I121+'SMART LEARNING HOLDING'!I121+'SMART AI LIMITED'!I121+'HK01'!I121-(-SUMIFS(合并抵消!$J:$J,合并抵消!$E:$E,$E121,合并抵消!$A:$A,I$2)+SUMIFS(合并抵消!$K:$K,合并抵消!$E:$E,$E121,合并抵消!$A:$A,I$2))</f>
        <v/>
      </c>
      <c r="J121" s="89">
        <f>浙江精准学!J121+知识跳跳!J121+海南精准学!J121+实时查!J121+目标准!J121+'SMART LEARNING HOLDING'!J121+'SMART AI LIMITED'!J121+'HK01'!J121-(-SUMIFS(合并抵消!$J:$J,合并抵消!$E:$E,$E121,合并抵消!$A:$A,J$2)+SUMIFS(合并抵消!$K:$K,合并抵消!$E:$E,$E121,合并抵消!$A:$A,J$2))</f>
        <v/>
      </c>
      <c r="K121" s="89">
        <f>浙江精准学!K121+知识跳跳!K121+海南精准学!K121+实时查!K121+目标准!K121+'SMART LEARNING HOLDING'!K121+'SMART AI LIMITED'!K121+'HK01'!K121-(-SUMIFS(合并抵消!$J:$J,合并抵消!$E:$E,$E121,合并抵消!$A:$A,K$2)+SUMIFS(合并抵消!$K:$K,合并抵消!$E:$E,$E121,合并抵消!$A:$A,K$2))</f>
        <v/>
      </c>
      <c r="L121" s="89">
        <f>浙江精准学!L121+知识跳跳!L121+海南精准学!L121+实时查!L121+目标准!L121+'SMART LEARNING HOLDING'!L121+'SMART AI LIMITED'!L121+'HK01'!L121-(-SUMIFS(合并抵消!$J:$J,合并抵消!$E:$E,$E121,合并抵消!$A:$A,L$2)+SUMIFS(合并抵消!$K:$K,合并抵消!$E:$E,$E121,合并抵消!$A:$A,L$2))</f>
        <v/>
      </c>
      <c r="M121" s="89">
        <f>浙江精准学!M121+知识跳跳!M121+海南精准学!M121+实时查!M121+目标准!M121+'SMART LEARNING HOLDING'!M121+'SMART AI LIMITED'!M121+'HK01'!M121-(-SUMIFS(合并抵消!$J:$J,合并抵消!$E:$E,$E121,合并抵消!$A:$A,M$2)+SUMIFS(合并抵消!$K:$K,合并抵消!$E:$E,$E121,合并抵消!$A:$A,M$2))</f>
        <v/>
      </c>
      <c r="N121" s="89">
        <f>浙江精准学!N121+知识跳跳!N121+海南精准学!N121+实时查!N121+目标准!N121+'SMART LEARNING HOLDING'!N121+'SMART AI LIMITED'!N121+'HK01'!N121-(-SUMIFS(合并抵消!$J:$J,合并抵消!$E:$E,$E121,合并抵消!$A:$A,N$2)+SUMIFS(合并抵消!$K:$K,合并抵消!$E:$E,$E121,合并抵消!$A:$A,N$2))</f>
        <v/>
      </c>
      <c r="O121" s="89">
        <f>浙江精准学!O121+知识跳跳!O121+海南精准学!O121+实时查!O121+目标准!O121+'SMART LEARNING HOLDING'!O121+'SMART AI LIMITED'!O121+'HK01'!O121-(-SUMIFS(合并抵消!$J:$J,合并抵消!$E:$E,$E121,合并抵消!$A:$A,O$2)+SUMIFS(合并抵消!$K:$K,合并抵消!$E:$E,$E121,合并抵消!$A:$A,O$2))</f>
        <v/>
      </c>
      <c r="P121" s="89">
        <f>浙江精准学!P121+知识跳跳!P121+海南精准学!P121+实时查!P121+目标准!P121+'SMART LEARNING HOLDING'!P121+'SMART AI LIMITED'!P121+'HK01'!P121-(-SUMIFS(合并抵消!$J:$J,合并抵消!$E:$E,$E121,合并抵消!$A:$A,P$2)+SUMIFS(合并抵消!$K:$K,合并抵消!$E:$E,$E121,合并抵消!$A:$A,P$2))</f>
        <v/>
      </c>
      <c r="Q121" s="89">
        <f>浙江精准学!Q121+知识跳跳!Q121+海南精准学!Q121+实时查!Q121+目标准!Q121+'SMART LEARNING HOLDING'!Q121+'SMART AI LIMITED'!Q121+'HK01'!Q121-(-SUMIFS(合并抵消!$J:$J,合并抵消!$E:$E,$E121,合并抵消!$A:$A,Q$2)+SUMIFS(合并抵消!$K:$K,合并抵消!$E:$E,$E121,合并抵消!$A:$A,Q$2))</f>
        <v/>
      </c>
      <c r="R121" s="89">
        <f>SUM(F121:Q121)</f>
        <v/>
      </c>
    </row>
    <row r="122" s="83">
      <c r="A122" s="5" t="inlineStr">
        <is>
          <t>销售费用</t>
        </is>
      </c>
      <c r="B122" s="6" t="inlineStr">
        <is>
          <t>平台运营</t>
        </is>
      </c>
      <c r="D122" s="5" t="inlineStr">
        <is>
          <t>权益保险</t>
        </is>
      </c>
      <c r="E122" s="6" t="inlineStr">
        <is>
          <t>Q2205</t>
        </is>
      </c>
      <c r="F122" s="89">
        <f>浙江精准学!F122+知识跳跳!F122+海南精准学!F122+实时查!F122+目标准!F122+'SMART LEARNING HOLDING'!F122+'SMART AI LIMITED'!F122+'HK01'!F122-(-SUMIFS(合并抵消!$J:$J,合并抵消!$E:$E,$E122,合并抵消!$A:$A,F$2)+SUMIFS(合并抵消!$K:$K,合并抵消!$E:$E,$E122,合并抵消!$A:$A,F$2))</f>
        <v/>
      </c>
      <c r="G122" s="89">
        <f>浙江精准学!G122+知识跳跳!G122+海南精准学!G122+实时查!G122+目标准!G122+'SMART LEARNING HOLDING'!G122+'SMART AI LIMITED'!G122+'HK01'!G122-(-SUMIFS(合并抵消!$J:$J,合并抵消!$E:$E,$E122,合并抵消!$A:$A,G$2)+SUMIFS(合并抵消!$K:$K,合并抵消!$E:$E,$E122,合并抵消!$A:$A,G$2))</f>
        <v/>
      </c>
      <c r="H122" s="89">
        <f>浙江精准学!H122+知识跳跳!H122+海南精准学!H122+实时查!H122+目标准!H122+'SMART LEARNING HOLDING'!H122+'SMART AI LIMITED'!H122+'HK01'!H122-(-SUMIFS(合并抵消!$J:$J,合并抵消!$E:$E,$E122,合并抵消!$A:$A,H$2)+SUMIFS(合并抵消!$K:$K,合并抵消!$E:$E,$E122,合并抵消!$A:$A,H$2))</f>
        <v/>
      </c>
      <c r="I122" s="89">
        <f>浙江精准学!I122+知识跳跳!I122+海南精准学!I122+实时查!I122+目标准!I122+'SMART LEARNING HOLDING'!I122+'SMART AI LIMITED'!I122+'HK01'!I122-(-SUMIFS(合并抵消!$J:$J,合并抵消!$E:$E,$E122,合并抵消!$A:$A,I$2)+SUMIFS(合并抵消!$K:$K,合并抵消!$E:$E,$E122,合并抵消!$A:$A,I$2))</f>
        <v/>
      </c>
      <c r="J122" s="89">
        <f>浙江精准学!J122+知识跳跳!J122+海南精准学!J122+实时查!J122+目标准!J122+'SMART LEARNING HOLDING'!J122+'SMART AI LIMITED'!J122+'HK01'!J122-(-SUMIFS(合并抵消!$J:$J,合并抵消!$E:$E,$E122,合并抵消!$A:$A,J$2)+SUMIFS(合并抵消!$K:$K,合并抵消!$E:$E,$E122,合并抵消!$A:$A,J$2))</f>
        <v/>
      </c>
      <c r="K122" s="89">
        <f>浙江精准学!K122+知识跳跳!K122+海南精准学!K122+实时查!K122+目标准!K122+'SMART LEARNING HOLDING'!K122+'SMART AI LIMITED'!K122+'HK01'!K122-(-SUMIFS(合并抵消!$J:$J,合并抵消!$E:$E,$E122,合并抵消!$A:$A,K$2)+SUMIFS(合并抵消!$K:$K,合并抵消!$E:$E,$E122,合并抵消!$A:$A,K$2))</f>
        <v/>
      </c>
      <c r="L122" s="89">
        <f>浙江精准学!L122+知识跳跳!L122+海南精准学!L122+实时查!L122+目标准!L122+'SMART LEARNING HOLDING'!L122+'SMART AI LIMITED'!L122+'HK01'!L122-(-SUMIFS(合并抵消!$J:$J,合并抵消!$E:$E,$E122,合并抵消!$A:$A,L$2)+SUMIFS(合并抵消!$K:$K,合并抵消!$E:$E,$E122,合并抵消!$A:$A,L$2))</f>
        <v/>
      </c>
      <c r="M122" s="89">
        <f>浙江精准学!M122+知识跳跳!M122+海南精准学!M122+实时查!M122+目标准!M122+'SMART LEARNING HOLDING'!M122+'SMART AI LIMITED'!M122+'HK01'!M122-(-SUMIFS(合并抵消!$J:$J,合并抵消!$E:$E,$E122,合并抵消!$A:$A,M$2)+SUMIFS(合并抵消!$K:$K,合并抵消!$E:$E,$E122,合并抵消!$A:$A,M$2))</f>
        <v/>
      </c>
      <c r="N122" s="89">
        <f>浙江精准学!N122+知识跳跳!N122+海南精准学!N122+实时查!N122+目标准!N122+'SMART LEARNING HOLDING'!N122+'SMART AI LIMITED'!N122+'HK01'!N122-(-SUMIFS(合并抵消!$J:$J,合并抵消!$E:$E,$E122,合并抵消!$A:$A,N$2)+SUMIFS(合并抵消!$K:$K,合并抵消!$E:$E,$E122,合并抵消!$A:$A,N$2))</f>
        <v/>
      </c>
      <c r="O122" s="89">
        <f>浙江精准学!O122+知识跳跳!O122+海南精准学!O122+实时查!O122+目标准!O122+'SMART LEARNING HOLDING'!O122+'SMART AI LIMITED'!O122+'HK01'!O122-(-SUMIFS(合并抵消!$J:$J,合并抵消!$E:$E,$E122,合并抵消!$A:$A,O$2)+SUMIFS(合并抵消!$K:$K,合并抵消!$E:$E,$E122,合并抵消!$A:$A,O$2))</f>
        <v/>
      </c>
      <c r="P122" s="89">
        <f>浙江精准学!P122+知识跳跳!P122+海南精准学!P122+实时查!P122+目标准!P122+'SMART LEARNING HOLDING'!P122+'SMART AI LIMITED'!P122+'HK01'!P122-(-SUMIFS(合并抵消!$J:$J,合并抵消!$E:$E,$E122,合并抵消!$A:$A,P$2)+SUMIFS(合并抵消!$K:$K,合并抵消!$E:$E,$E122,合并抵消!$A:$A,P$2))</f>
        <v/>
      </c>
      <c r="Q122" s="89">
        <f>浙江精准学!Q122+知识跳跳!Q122+海南精准学!Q122+实时查!Q122+目标准!Q122+'SMART LEARNING HOLDING'!Q122+'SMART AI LIMITED'!Q122+'HK01'!Q122-(-SUMIFS(合并抵消!$J:$J,合并抵消!$E:$E,$E122,合并抵消!$A:$A,Q$2)+SUMIFS(合并抵消!$K:$K,合并抵消!$E:$E,$E122,合并抵消!$A:$A,Q$2))</f>
        <v/>
      </c>
      <c r="R122" s="89">
        <f>SUM(F122:Q122)</f>
        <v/>
      </c>
    </row>
    <row r="123" s="83">
      <c r="A123" s="5" t="inlineStr">
        <is>
          <t>销售费用</t>
        </is>
      </c>
      <c r="B123" s="6" t="inlineStr">
        <is>
          <t>平台运营</t>
        </is>
      </c>
      <c r="D123" s="5" t="inlineStr">
        <is>
          <t>消费者赔付</t>
        </is>
      </c>
      <c r="E123" s="6" t="inlineStr">
        <is>
          <t>Q2206</t>
        </is>
      </c>
      <c r="F123" s="89">
        <f>浙江精准学!F123+知识跳跳!F123+海南精准学!F123+实时查!F123+目标准!F123+'SMART LEARNING HOLDING'!F123+'SMART AI LIMITED'!F123+'HK01'!F123-(-SUMIFS(合并抵消!$J:$J,合并抵消!$E:$E,$E123,合并抵消!$A:$A,F$2)+SUMIFS(合并抵消!$K:$K,合并抵消!$E:$E,$E123,合并抵消!$A:$A,F$2))</f>
        <v/>
      </c>
      <c r="G123" s="89">
        <f>浙江精准学!G123+知识跳跳!G123+海南精准学!G123+实时查!G123+目标准!G123+'SMART LEARNING HOLDING'!G123+'SMART AI LIMITED'!G123+'HK01'!G123-(-SUMIFS(合并抵消!$J:$J,合并抵消!$E:$E,$E123,合并抵消!$A:$A,G$2)+SUMIFS(合并抵消!$K:$K,合并抵消!$E:$E,$E123,合并抵消!$A:$A,G$2))</f>
        <v/>
      </c>
      <c r="H123" s="89">
        <f>浙江精准学!H123+知识跳跳!H123+海南精准学!H123+实时查!H123+目标准!H123+'SMART LEARNING HOLDING'!H123+'SMART AI LIMITED'!H123+'HK01'!H123-(-SUMIFS(合并抵消!$J:$J,合并抵消!$E:$E,$E123,合并抵消!$A:$A,H$2)+SUMIFS(合并抵消!$K:$K,合并抵消!$E:$E,$E123,合并抵消!$A:$A,H$2))</f>
        <v/>
      </c>
      <c r="I123" s="89">
        <f>浙江精准学!I123+知识跳跳!I123+海南精准学!I123+实时查!I123+目标准!I123+'SMART LEARNING HOLDING'!I123+'SMART AI LIMITED'!I123+'HK01'!I123-(-SUMIFS(合并抵消!$J:$J,合并抵消!$E:$E,$E123,合并抵消!$A:$A,I$2)+SUMIFS(合并抵消!$K:$K,合并抵消!$E:$E,$E123,合并抵消!$A:$A,I$2))</f>
        <v/>
      </c>
      <c r="J123" s="89">
        <f>浙江精准学!J123+知识跳跳!J123+海南精准学!J123+实时查!J123+目标准!J123+'SMART LEARNING HOLDING'!J123+'SMART AI LIMITED'!J123+'HK01'!J123-(-SUMIFS(合并抵消!$J:$J,合并抵消!$E:$E,$E123,合并抵消!$A:$A,J$2)+SUMIFS(合并抵消!$K:$K,合并抵消!$E:$E,$E123,合并抵消!$A:$A,J$2))</f>
        <v/>
      </c>
      <c r="K123" s="89">
        <f>浙江精准学!K123+知识跳跳!K123+海南精准学!K123+实时查!K123+目标准!K123+'SMART LEARNING HOLDING'!K123+'SMART AI LIMITED'!K123+'HK01'!K123-(-SUMIFS(合并抵消!$J:$J,合并抵消!$E:$E,$E123,合并抵消!$A:$A,K$2)+SUMIFS(合并抵消!$K:$K,合并抵消!$E:$E,$E123,合并抵消!$A:$A,K$2))</f>
        <v/>
      </c>
      <c r="L123" s="89">
        <f>浙江精准学!L123+知识跳跳!L123+海南精准学!L123+实时查!L123+目标准!L123+'SMART LEARNING HOLDING'!L123+'SMART AI LIMITED'!L123+'HK01'!L123-(-SUMIFS(合并抵消!$J:$J,合并抵消!$E:$E,$E123,合并抵消!$A:$A,L$2)+SUMIFS(合并抵消!$K:$K,合并抵消!$E:$E,$E123,合并抵消!$A:$A,L$2))</f>
        <v/>
      </c>
      <c r="M123" s="89">
        <f>浙江精准学!M123+知识跳跳!M123+海南精准学!M123+实时查!M123+目标准!M123+'SMART LEARNING HOLDING'!M123+'SMART AI LIMITED'!M123+'HK01'!M123-(-SUMIFS(合并抵消!$J:$J,合并抵消!$E:$E,$E123,合并抵消!$A:$A,M$2)+SUMIFS(合并抵消!$K:$K,合并抵消!$E:$E,$E123,合并抵消!$A:$A,M$2))</f>
        <v/>
      </c>
      <c r="N123" s="89">
        <f>浙江精准学!N123+知识跳跳!N123+海南精准学!N123+实时查!N123+目标准!N123+'SMART LEARNING HOLDING'!N123+'SMART AI LIMITED'!N123+'HK01'!N123-(-SUMIFS(合并抵消!$J:$J,合并抵消!$E:$E,$E123,合并抵消!$A:$A,N$2)+SUMIFS(合并抵消!$K:$K,合并抵消!$E:$E,$E123,合并抵消!$A:$A,N$2))</f>
        <v/>
      </c>
      <c r="O123" s="89">
        <f>浙江精准学!O123+知识跳跳!O123+海南精准学!O123+实时查!O123+目标准!O123+'SMART LEARNING HOLDING'!O123+'SMART AI LIMITED'!O123+'HK01'!O123-(-SUMIFS(合并抵消!$J:$J,合并抵消!$E:$E,$E123,合并抵消!$A:$A,O$2)+SUMIFS(合并抵消!$K:$K,合并抵消!$E:$E,$E123,合并抵消!$A:$A,O$2))</f>
        <v/>
      </c>
      <c r="P123" s="89">
        <f>浙江精准学!P123+知识跳跳!P123+海南精准学!P123+实时查!P123+目标准!P123+'SMART LEARNING HOLDING'!P123+'SMART AI LIMITED'!P123+'HK01'!P123-(-SUMIFS(合并抵消!$J:$J,合并抵消!$E:$E,$E123,合并抵消!$A:$A,P$2)+SUMIFS(合并抵消!$K:$K,合并抵消!$E:$E,$E123,合并抵消!$A:$A,P$2))</f>
        <v/>
      </c>
      <c r="Q123" s="89">
        <f>浙江精准学!Q123+知识跳跳!Q123+海南精准学!Q123+实时查!Q123+目标准!Q123+'SMART LEARNING HOLDING'!Q123+'SMART AI LIMITED'!Q123+'HK01'!Q123-(-SUMIFS(合并抵消!$J:$J,合并抵消!$E:$E,$E123,合并抵消!$A:$A,Q$2)+SUMIFS(合并抵消!$K:$K,合并抵消!$E:$E,$E123,合并抵消!$A:$A,Q$2))</f>
        <v/>
      </c>
      <c r="R123" s="89">
        <f>SUM(F123:Q123)</f>
        <v/>
      </c>
    </row>
    <row r="124" s="83">
      <c r="A124" s="5" t="inlineStr">
        <is>
          <t>销售费用</t>
        </is>
      </c>
      <c r="B124" s="6" t="inlineStr">
        <is>
          <t>平台运营</t>
        </is>
      </c>
      <c r="D124" s="5" t="inlineStr">
        <is>
          <t>平台积分扣款</t>
        </is>
      </c>
      <c r="E124" s="6" t="inlineStr">
        <is>
          <t>Q2207</t>
        </is>
      </c>
      <c r="F124" s="89">
        <f>浙江精准学!F124+知识跳跳!F124+海南精准学!F124+实时查!F124+目标准!F124+'SMART LEARNING HOLDING'!F124+'SMART AI LIMITED'!F124+'HK01'!F124-(-SUMIFS(合并抵消!$J:$J,合并抵消!$E:$E,$E124,合并抵消!$A:$A,F$2)+SUMIFS(合并抵消!$K:$K,合并抵消!$E:$E,$E124,合并抵消!$A:$A,F$2))</f>
        <v/>
      </c>
      <c r="G124" s="89">
        <f>浙江精准学!G124+知识跳跳!G124+海南精准学!G124+实时查!G124+目标准!G124+'SMART LEARNING HOLDING'!G124+'SMART AI LIMITED'!G124+'HK01'!G124-(-SUMIFS(合并抵消!$J:$J,合并抵消!$E:$E,$E124,合并抵消!$A:$A,G$2)+SUMIFS(合并抵消!$K:$K,合并抵消!$E:$E,$E124,合并抵消!$A:$A,G$2))</f>
        <v/>
      </c>
      <c r="H124" s="89">
        <f>浙江精准学!H124+知识跳跳!H124+海南精准学!H124+实时查!H124+目标准!H124+'SMART LEARNING HOLDING'!H124+'SMART AI LIMITED'!H124+'HK01'!H124-(-SUMIFS(合并抵消!$J:$J,合并抵消!$E:$E,$E124,合并抵消!$A:$A,H$2)+SUMIFS(合并抵消!$K:$K,合并抵消!$E:$E,$E124,合并抵消!$A:$A,H$2))</f>
        <v/>
      </c>
      <c r="I124" s="89">
        <f>浙江精准学!I124+知识跳跳!I124+海南精准学!I124+实时查!I124+目标准!I124+'SMART LEARNING HOLDING'!I124+'SMART AI LIMITED'!I124+'HK01'!I124-(-SUMIFS(合并抵消!$J:$J,合并抵消!$E:$E,$E124,合并抵消!$A:$A,I$2)+SUMIFS(合并抵消!$K:$K,合并抵消!$E:$E,$E124,合并抵消!$A:$A,I$2))</f>
        <v/>
      </c>
      <c r="J124" s="89">
        <f>浙江精准学!J124+知识跳跳!J124+海南精准学!J124+实时查!J124+目标准!J124+'SMART LEARNING HOLDING'!J124+'SMART AI LIMITED'!J124+'HK01'!J124-(-SUMIFS(合并抵消!$J:$J,合并抵消!$E:$E,$E124,合并抵消!$A:$A,J$2)+SUMIFS(合并抵消!$K:$K,合并抵消!$E:$E,$E124,合并抵消!$A:$A,J$2))</f>
        <v/>
      </c>
      <c r="K124" s="89">
        <f>浙江精准学!K124+知识跳跳!K124+海南精准学!K124+实时查!K124+目标准!K124+'SMART LEARNING HOLDING'!K124+'SMART AI LIMITED'!K124+'HK01'!K124-(-SUMIFS(合并抵消!$J:$J,合并抵消!$E:$E,$E124,合并抵消!$A:$A,K$2)+SUMIFS(合并抵消!$K:$K,合并抵消!$E:$E,$E124,合并抵消!$A:$A,K$2))</f>
        <v/>
      </c>
      <c r="L124" s="89">
        <f>浙江精准学!L124+知识跳跳!L124+海南精准学!L124+实时查!L124+目标准!L124+'SMART LEARNING HOLDING'!L124+'SMART AI LIMITED'!L124+'HK01'!L124-(-SUMIFS(合并抵消!$J:$J,合并抵消!$E:$E,$E124,合并抵消!$A:$A,L$2)+SUMIFS(合并抵消!$K:$K,合并抵消!$E:$E,$E124,合并抵消!$A:$A,L$2))</f>
        <v/>
      </c>
      <c r="M124" s="89">
        <f>浙江精准学!M124+知识跳跳!M124+海南精准学!M124+实时查!M124+目标准!M124+'SMART LEARNING HOLDING'!M124+'SMART AI LIMITED'!M124+'HK01'!M124-(-SUMIFS(合并抵消!$J:$J,合并抵消!$E:$E,$E124,合并抵消!$A:$A,M$2)+SUMIFS(合并抵消!$K:$K,合并抵消!$E:$E,$E124,合并抵消!$A:$A,M$2))</f>
        <v/>
      </c>
      <c r="N124" s="89">
        <f>浙江精准学!N124+知识跳跳!N124+海南精准学!N124+实时查!N124+目标准!N124+'SMART LEARNING HOLDING'!N124+'SMART AI LIMITED'!N124+'HK01'!N124-(-SUMIFS(合并抵消!$J:$J,合并抵消!$E:$E,$E124,合并抵消!$A:$A,N$2)+SUMIFS(合并抵消!$K:$K,合并抵消!$E:$E,$E124,合并抵消!$A:$A,N$2))</f>
        <v/>
      </c>
      <c r="O124" s="89">
        <f>浙江精准学!O124+知识跳跳!O124+海南精准学!O124+实时查!O124+目标准!O124+'SMART LEARNING HOLDING'!O124+'SMART AI LIMITED'!O124+'HK01'!O124-(-SUMIFS(合并抵消!$J:$J,合并抵消!$E:$E,$E124,合并抵消!$A:$A,O$2)+SUMIFS(合并抵消!$K:$K,合并抵消!$E:$E,$E124,合并抵消!$A:$A,O$2))</f>
        <v/>
      </c>
      <c r="P124" s="89">
        <f>浙江精准学!P124+知识跳跳!P124+海南精准学!P124+实时查!P124+目标准!P124+'SMART LEARNING HOLDING'!P124+'SMART AI LIMITED'!P124+'HK01'!P124-(-SUMIFS(合并抵消!$J:$J,合并抵消!$E:$E,$E124,合并抵消!$A:$A,P$2)+SUMIFS(合并抵消!$K:$K,合并抵消!$E:$E,$E124,合并抵消!$A:$A,P$2))</f>
        <v/>
      </c>
      <c r="Q124" s="89">
        <f>浙江精准学!Q124+知识跳跳!Q124+海南精准学!Q124+实时查!Q124+目标准!Q124+'SMART LEARNING HOLDING'!Q124+'SMART AI LIMITED'!Q124+'HK01'!Q124-(-SUMIFS(合并抵消!$J:$J,合并抵消!$E:$E,$E124,合并抵消!$A:$A,Q$2)+SUMIFS(合并抵消!$K:$K,合并抵消!$E:$E,$E124,合并抵消!$A:$A,Q$2))</f>
        <v/>
      </c>
      <c r="R124" s="89">
        <f>SUM(F124:Q124)</f>
        <v/>
      </c>
    </row>
    <row r="125" s="83">
      <c r="A125" s="5" t="inlineStr">
        <is>
          <t>销售费用</t>
        </is>
      </c>
      <c r="B125" s="6" t="inlineStr">
        <is>
          <t>平台运营</t>
        </is>
      </c>
      <c r="D125" s="5" t="inlineStr">
        <is>
          <t>平台推荐佣金</t>
        </is>
      </c>
      <c r="E125" s="6" t="inlineStr">
        <is>
          <t>Q2208</t>
        </is>
      </c>
      <c r="F125" s="89">
        <f>浙江精准学!F125+知识跳跳!F125+海南精准学!F125+实时查!F125+目标准!F125+'SMART LEARNING HOLDING'!F125+'SMART AI LIMITED'!F125+'HK01'!F125-(-SUMIFS(合并抵消!$J:$J,合并抵消!$E:$E,$E125,合并抵消!$A:$A,F$2)+SUMIFS(合并抵消!$K:$K,合并抵消!$E:$E,$E125,合并抵消!$A:$A,F$2))</f>
        <v/>
      </c>
      <c r="G125" s="89">
        <f>浙江精准学!G125+知识跳跳!G125+海南精准学!G125+实时查!G125+目标准!G125+'SMART LEARNING HOLDING'!G125+'SMART AI LIMITED'!G125+'HK01'!G125-(-SUMIFS(合并抵消!$J:$J,合并抵消!$E:$E,$E125,合并抵消!$A:$A,G$2)+SUMIFS(合并抵消!$K:$K,合并抵消!$E:$E,$E125,合并抵消!$A:$A,G$2))</f>
        <v/>
      </c>
      <c r="H125" s="89">
        <f>浙江精准学!H125+知识跳跳!H125+海南精准学!H125+实时查!H125+目标准!H125+'SMART LEARNING HOLDING'!H125+'SMART AI LIMITED'!H125+'HK01'!H125-(-SUMIFS(合并抵消!$J:$J,合并抵消!$E:$E,$E125,合并抵消!$A:$A,H$2)+SUMIFS(合并抵消!$K:$K,合并抵消!$E:$E,$E125,合并抵消!$A:$A,H$2))</f>
        <v/>
      </c>
      <c r="I125" s="89">
        <f>浙江精准学!I125+知识跳跳!I125+海南精准学!I125+实时查!I125+目标准!I125+'SMART LEARNING HOLDING'!I125+'SMART AI LIMITED'!I125+'HK01'!I125-(-SUMIFS(合并抵消!$J:$J,合并抵消!$E:$E,$E125,合并抵消!$A:$A,I$2)+SUMIFS(合并抵消!$K:$K,合并抵消!$E:$E,$E125,合并抵消!$A:$A,I$2))</f>
        <v/>
      </c>
      <c r="J125" s="89">
        <f>浙江精准学!J125+知识跳跳!J125+海南精准学!J125+实时查!J125+目标准!J125+'SMART LEARNING HOLDING'!J125+'SMART AI LIMITED'!J125+'HK01'!J125-(-SUMIFS(合并抵消!$J:$J,合并抵消!$E:$E,$E125,合并抵消!$A:$A,J$2)+SUMIFS(合并抵消!$K:$K,合并抵消!$E:$E,$E125,合并抵消!$A:$A,J$2))</f>
        <v/>
      </c>
      <c r="K125" s="89">
        <f>浙江精准学!K125+知识跳跳!K125+海南精准学!K125+实时查!K125+目标准!K125+'SMART LEARNING HOLDING'!K125+'SMART AI LIMITED'!K125+'HK01'!K125-(-SUMIFS(合并抵消!$J:$J,合并抵消!$E:$E,$E125,合并抵消!$A:$A,K$2)+SUMIFS(合并抵消!$K:$K,合并抵消!$E:$E,$E125,合并抵消!$A:$A,K$2))</f>
        <v/>
      </c>
      <c r="L125" s="89">
        <f>浙江精准学!L125+知识跳跳!L125+海南精准学!L125+实时查!L125+目标准!L125+'SMART LEARNING HOLDING'!L125+'SMART AI LIMITED'!L125+'HK01'!L125-(-SUMIFS(合并抵消!$J:$J,合并抵消!$E:$E,$E125,合并抵消!$A:$A,L$2)+SUMIFS(合并抵消!$K:$K,合并抵消!$E:$E,$E125,合并抵消!$A:$A,L$2))</f>
        <v/>
      </c>
      <c r="M125" s="89">
        <f>浙江精准学!M125+知识跳跳!M125+海南精准学!M125+实时查!M125+目标准!M125+'SMART LEARNING HOLDING'!M125+'SMART AI LIMITED'!M125+'HK01'!M125-(-SUMIFS(合并抵消!$J:$J,合并抵消!$E:$E,$E125,合并抵消!$A:$A,M$2)+SUMIFS(合并抵消!$K:$K,合并抵消!$E:$E,$E125,合并抵消!$A:$A,M$2))</f>
        <v/>
      </c>
      <c r="N125" s="89">
        <f>浙江精准学!N125+知识跳跳!N125+海南精准学!N125+实时查!N125+目标准!N125+'SMART LEARNING HOLDING'!N125+'SMART AI LIMITED'!N125+'HK01'!N125-(-SUMIFS(合并抵消!$J:$J,合并抵消!$E:$E,$E125,合并抵消!$A:$A,N$2)+SUMIFS(合并抵消!$K:$K,合并抵消!$E:$E,$E125,合并抵消!$A:$A,N$2))</f>
        <v/>
      </c>
      <c r="O125" s="89">
        <f>浙江精准学!O125+知识跳跳!O125+海南精准学!O125+实时查!O125+目标准!O125+'SMART LEARNING HOLDING'!O125+'SMART AI LIMITED'!O125+'HK01'!O125-(-SUMIFS(合并抵消!$J:$J,合并抵消!$E:$E,$E125,合并抵消!$A:$A,O$2)+SUMIFS(合并抵消!$K:$K,合并抵消!$E:$E,$E125,合并抵消!$A:$A,O$2))</f>
        <v/>
      </c>
      <c r="P125" s="89">
        <f>浙江精准学!P125+知识跳跳!P125+海南精准学!P125+实时查!P125+目标准!P125+'SMART LEARNING HOLDING'!P125+'SMART AI LIMITED'!P125+'HK01'!P125-(-SUMIFS(合并抵消!$J:$J,合并抵消!$E:$E,$E125,合并抵消!$A:$A,P$2)+SUMIFS(合并抵消!$K:$K,合并抵消!$E:$E,$E125,合并抵消!$A:$A,P$2))</f>
        <v/>
      </c>
      <c r="Q125" s="89">
        <f>浙江精准学!Q125+知识跳跳!Q125+海南精准学!Q125+实时查!Q125+目标准!Q125+'SMART LEARNING HOLDING'!Q125+'SMART AI LIMITED'!Q125+'HK01'!Q125-(-SUMIFS(合并抵消!$J:$J,合并抵消!$E:$E,$E125,合并抵消!$A:$A,Q$2)+SUMIFS(合并抵消!$K:$K,合并抵消!$E:$E,$E125,合并抵消!$A:$A,Q$2))</f>
        <v/>
      </c>
      <c r="R125" s="89">
        <f>SUM(F125:Q125)</f>
        <v/>
      </c>
    </row>
    <row r="126" s="83">
      <c r="A126" s="5" t="inlineStr">
        <is>
          <t>销售费用</t>
        </is>
      </c>
      <c r="B126" s="6" t="inlineStr">
        <is>
          <t>平台运营</t>
        </is>
      </c>
      <c r="D126" s="5" t="inlineStr">
        <is>
          <t>保证金及认证费用</t>
        </is>
      </c>
      <c r="E126" s="6" t="inlineStr">
        <is>
          <t>Q2202</t>
        </is>
      </c>
      <c r="F126" s="89">
        <f>浙江精准学!F126+知识跳跳!F126+海南精准学!F126+实时查!F126+目标准!F126+'SMART LEARNING HOLDING'!F126+'SMART AI LIMITED'!F126+'HK01'!F126-(-SUMIFS(合并抵消!$J:$J,合并抵消!$E:$E,$E126,合并抵消!$A:$A,F$2)+SUMIFS(合并抵消!$K:$K,合并抵消!$E:$E,$E126,合并抵消!$A:$A,F$2))</f>
        <v/>
      </c>
      <c r="G126" s="89">
        <f>浙江精准学!G126+知识跳跳!G126+海南精准学!G126+实时查!G126+目标准!G126+'SMART LEARNING HOLDING'!G126+'SMART AI LIMITED'!G126+'HK01'!G126-(-SUMIFS(合并抵消!$J:$J,合并抵消!$E:$E,$E126,合并抵消!$A:$A,G$2)+SUMIFS(合并抵消!$K:$K,合并抵消!$E:$E,$E126,合并抵消!$A:$A,G$2))</f>
        <v/>
      </c>
      <c r="H126" s="89">
        <f>浙江精准学!H126+知识跳跳!H126+海南精准学!H126+实时查!H126+目标准!H126+'SMART LEARNING HOLDING'!H126+'SMART AI LIMITED'!H126+'HK01'!H126-(-SUMIFS(合并抵消!$J:$J,合并抵消!$E:$E,$E126,合并抵消!$A:$A,H$2)+SUMIFS(合并抵消!$K:$K,合并抵消!$E:$E,$E126,合并抵消!$A:$A,H$2))</f>
        <v/>
      </c>
      <c r="I126" s="89">
        <f>浙江精准学!I126+知识跳跳!I126+海南精准学!I126+实时查!I126+目标准!I126+'SMART LEARNING HOLDING'!I126+'SMART AI LIMITED'!I126+'HK01'!I126-(-SUMIFS(合并抵消!$J:$J,合并抵消!$E:$E,$E126,合并抵消!$A:$A,I$2)+SUMIFS(合并抵消!$K:$K,合并抵消!$E:$E,$E126,合并抵消!$A:$A,I$2))</f>
        <v/>
      </c>
      <c r="J126" s="89">
        <f>浙江精准学!J126+知识跳跳!J126+海南精准学!J126+实时查!J126+目标准!J126+'SMART LEARNING HOLDING'!J126+'SMART AI LIMITED'!J126+'HK01'!J126-(-SUMIFS(合并抵消!$J:$J,合并抵消!$E:$E,$E126,合并抵消!$A:$A,J$2)+SUMIFS(合并抵消!$K:$K,合并抵消!$E:$E,$E126,合并抵消!$A:$A,J$2))</f>
        <v/>
      </c>
      <c r="K126" s="89">
        <f>浙江精准学!K126+知识跳跳!K126+海南精准学!K126+实时查!K126+目标准!K126+'SMART LEARNING HOLDING'!K126+'SMART AI LIMITED'!K126+'HK01'!K126-(-SUMIFS(合并抵消!$J:$J,合并抵消!$E:$E,$E126,合并抵消!$A:$A,K$2)+SUMIFS(合并抵消!$K:$K,合并抵消!$E:$E,$E126,合并抵消!$A:$A,K$2))</f>
        <v/>
      </c>
      <c r="L126" s="89">
        <f>浙江精准学!L126+知识跳跳!L126+海南精准学!L126+实时查!L126+目标准!L126+'SMART LEARNING HOLDING'!L126+'SMART AI LIMITED'!L126+'HK01'!L126-(-SUMIFS(合并抵消!$J:$J,合并抵消!$E:$E,$E126,合并抵消!$A:$A,L$2)+SUMIFS(合并抵消!$K:$K,合并抵消!$E:$E,$E126,合并抵消!$A:$A,L$2))</f>
        <v/>
      </c>
      <c r="M126" s="89">
        <f>浙江精准学!M126+知识跳跳!M126+海南精准学!M126+实时查!M126+目标准!M126+'SMART LEARNING HOLDING'!M126+'SMART AI LIMITED'!M126+'HK01'!M126-(-SUMIFS(合并抵消!$J:$J,合并抵消!$E:$E,$E126,合并抵消!$A:$A,M$2)+SUMIFS(合并抵消!$K:$K,合并抵消!$E:$E,$E126,合并抵消!$A:$A,M$2))</f>
        <v/>
      </c>
      <c r="N126" s="89">
        <f>浙江精准学!N126+知识跳跳!N126+海南精准学!N126+实时查!N126+目标准!N126+'SMART LEARNING HOLDING'!N126+'SMART AI LIMITED'!N126+'HK01'!N126-(-SUMIFS(合并抵消!$J:$J,合并抵消!$E:$E,$E126,合并抵消!$A:$A,N$2)+SUMIFS(合并抵消!$K:$K,合并抵消!$E:$E,$E126,合并抵消!$A:$A,N$2))</f>
        <v/>
      </c>
      <c r="O126" s="89">
        <f>浙江精准学!O126+知识跳跳!O126+海南精准学!O126+实时查!O126+目标准!O126+'SMART LEARNING HOLDING'!O126+'SMART AI LIMITED'!O126+'HK01'!O126-(-SUMIFS(合并抵消!$J:$J,合并抵消!$E:$E,$E126,合并抵消!$A:$A,O$2)+SUMIFS(合并抵消!$K:$K,合并抵消!$E:$E,$E126,合并抵消!$A:$A,O$2))</f>
        <v/>
      </c>
      <c r="P126" s="89">
        <f>浙江精准学!P126+知识跳跳!P126+海南精准学!P126+实时查!P126+目标准!P126+'SMART LEARNING HOLDING'!P126+'SMART AI LIMITED'!P126+'HK01'!P126-(-SUMIFS(合并抵消!$J:$J,合并抵消!$E:$E,$E126,合并抵消!$A:$A,P$2)+SUMIFS(合并抵消!$K:$K,合并抵消!$E:$E,$E126,合并抵消!$A:$A,P$2))</f>
        <v/>
      </c>
      <c r="Q126" s="89">
        <f>浙江精准学!Q126+知识跳跳!Q126+海南精准学!Q126+实时查!Q126+目标准!Q126+'SMART LEARNING HOLDING'!Q126+'SMART AI LIMITED'!Q126+'HK01'!Q126-(-SUMIFS(合并抵消!$J:$J,合并抵消!$E:$E,$E126,合并抵消!$A:$A,Q$2)+SUMIFS(合并抵消!$K:$K,合并抵消!$E:$E,$E126,合并抵消!$A:$A,Q$2))</f>
        <v/>
      </c>
      <c r="R126" s="89">
        <f>SUM(F126:Q126)</f>
        <v/>
      </c>
    </row>
    <row r="127" s="83">
      <c r="A127" s="5" t="inlineStr">
        <is>
          <t>销售费用</t>
        </is>
      </c>
      <c r="B127" s="6" t="inlineStr">
        <is>
          <t>平台运营</t>
        </is>
      </c>
      <c r="D127" s="5" t="inlineStr">
        <is>
          <t>品专支出</t>
        </is>
      </c>
      <c r="E127" s="6" t="inlineStr">
        <is>
          <t>Q2203</t>
        </is>
      </c>
      <c r="F127" s="89">
        <f>浙江精准学!F127+知识跳跳!F127+海南精准学!F127+实时查!F127+目标准!F127+'SMART LEARNING HOLDING'!F127+'SMART AI LIMITED'!F127+'HK01'!F127-(-SUMIFS(合并抵消!$J:$J,合并抵消!$E:$E,$E127,合并抵消!$A:$A,F$2)+SUMIFS(合并抵消!$K:$K,合并抵消!$E:$E,$E127,合并抵消!$A:$A,F$2))</f>
        <v/>
      </c>
      <c r="G127" s="89">
        <f>浙江精准学!G127+知识跳跳!G127+海南精准学!G127+实时查!G127+目标准!G127+'SMART LEARNING HOLDING'!G127+'SMART AI LIMITED'!G127+'HK01'!G127-(-SUMIFS(合并抵消!$J:$J,合并抵消!$E:$E,$E127,合并抵消!$A:$A,G$2)+SUMIFS(合并抵消!$K:$K,合并抵消!$E:$E,$E127,合并抵消!$A:$A,G$2))</f>
        <v/>
      </c>
      <c r="H127" s="89">
        <f>浙江精准学!H127+知识跳跳!H127+海南精准学!H127+实时查!H127+目标准!H127+'SMART LEARNING HOLDING'!H127+'SMART AI LIMITED'!H127+'HK01'!H127-(-SUMIFS(合并抵消!$J:$J,合并抵消!$E:$E,$E127,合并抵消!$A:$A,H$2)+SUMIFS(合并抵消!$K:$K,合并抵消!$E:$E,$E127,合并抵消!$A:$A,H$2))</f>
        <v/>
      </c>
      <c r="I127" s="89">
        <f>浙江精准学!I127+知识跳跳!I127+海南精准学!I127+实时查!I127+目标准!I127+'SMART LEARNING HOLDING'!I127+'SMART AI LIMITED'!I127+'HK01'!I127-(-SUMIFS(合并抵消!$J:$J,合并抵消!$E:$E,$E127,合并抵消!$A:$A,I$2)+SUMIFS(合并抵消!$K:$K,合并抵消!$E:$E,$E127,合并抵消!$A:$A,I$2))</f>
        <v/>
      </c>
      <c r="J127" s="89">
        <f>浙江精准学!J127+知识跳跳!J127+海南精准学!J127+实时查!J127+目标准!J127+'SMART LEARNING HOLDING'!J127+'SMART AI LIMITED'!J127+'HK01'!J127-(-SUMIFS(合并抵消!$J:$J,合并抵消!$E:$E,$E127,合并抵消!$A:$A,J$2)+SUMIFS(合并抵消!$K:$K,合并抵消!$E:$E,$E127,合并抵消!$A:$A,J$2))</f>
        <v/>
      </c>
      <c r="K127" s="89">
        <f>浙江精准学!K127+知识跳跳!K127+海南精准学!K127+实时查!K127+目标准!K127+'SMART LEARNING HOLDING'!K127+'SMART AI LIMITED'!K127+'HK01'!K127-(-SUMIFS(合并抵消!$J:$J,合并抵消!$E:$E,$E127,合并抵消!$A:$A,K$2)+SUMIFS(合并抵消!$K:$K,合并抵消!$E:$E,$E127,合并抵消!$A:$A,K$2))</f>
        <v/>
      </c>
      <c r="L127" s="89">
        <f>浙江精准学!L127+知识跳跳!L127+海南精准学!L127+实时查!L127+目标准!L127+'SMART LEARNING HOLDING'!L127+'SMART AI LIMITED'!L127+'HK01'!L127-(-SUMIFS(合并抵消!$J:$J,合并抵消!$E:$E,$E127,合并抵消!$A:$A,L$2)+SUMIFS(合并抵消!$K:$K,合并抵消!$E:$E,$E127,合并抵消!$A:$A,L$2))</f>
        <v/>
      </c>
      <c r="M127" s="89">
        <f>浙江精准学!M127+知识跳跳!M127+海南精准学!M127+实时查!M127+目标准!M127+'SMART LEARNING HOLDING'!M127+'SMART AI LIMITED'!M127+'HK01'!M127-(-SUMIFS(合并抵消!$J:$J,合并抵消!$E:$E,$E127,合并抵消!$A:$A,M$2)+SUMIFS(合并抵消!$K:$K,合并抵消!$E:$E,$E127,合并抵消!$A:$A,M$2))</f>
        <v/>
      </c>
      <c r="N127" s="89">
        <f>浙江精准学!N127+知识跳跳!N127+海南精准学!N127+实时查!N127+目标准!N127+'SMART LEARNING HOLDING'!N127+'SMART AI LIMITED'!N127+'HK01'!N127-(-SUMIFS(合并抵消!$J:$J,合并抵消!$E:$E,$E127,合并抵消!$A:$A,N$2)+SUMIFS(合并抵消!$K:$K,合并抵消!$E:$E,$E127,合并抵消!$A:$A,N$2))</f>
        <v/>
      </c>
      <c r="O127" s="89">
        <f>浙江精准学!O127+知识跳跳!O127+海南精准学!O127+实时查!O127+目标准!O127+'SMART LEARNING HOLDING'!O127+'SMART AI LIMITED'!O127+'HK01'!O127-(-SUMIFS(合并抵消!$J:$J,合并抵消!$E:$E,$E127,合并抵消!$A:$A,O$2)+SUMIFS(合并抵消!$K:$K,合并抵消!$E:$E,$E127,合并抵消!$A:$A,O$2))</f>
        <v/>
      </c>
      <c r="P127" s="89">
        <f>浙江精准学!P127+知识跳跳!P127+海南精准学!P127+实时查!P127+目标准!P127+'SMART LEARNING HOLDING'!P127+'SMART AI LIMITED'!P127+'HK01'!P127-(-SUMIFS(合并抵消!$J:$J,合并抵消!$E:$E,$E127,合并抵消!$A:$A,P$2)+SUMIFS(合并抵消!$K:$K,合并抵消!$E:$E,$E127,合并抵消!$A:$A,P$2))</f>
        <v/>
      </c>
      <c r="Q127" s="89">
        <f>浙江精准学!Q127+知识跳跳!Q127+海南精准学!Q127+实时查!Q127+目标准!Q127+'SMART LEARNING HOLDING'!Q127+'SMART AI LIMITED'!Q127+'HK01'!Q127-(-SUMIFS(合并抵消!$J:$J,合并抵消!$E:$E,$E127,合并抵消!$A:$A,Q$2)+SUMIFS(合并抵消!$K:$K,合并抵消!$E:$E,$E127,合并抵消!$A:$A,Q$2))</f>
        <v/>
      </c>
      <c r="R127" s="89">
        <f>SUM(F127:Q127)</f>
        <v/>
      </c>
    </row>
    <row r="128" s="83">
      <c r="A128" s="5" t="inlineStr">
        <is>
          <t>销售费用</t>
        </is>
      </c>
      <c r="B128" s="6" t="inlineStr">
        <is>
          <t>平台运营</t>
        </is>
      </c>
      <c r="D128" s="5" t="inlineStr">
        <is>
          <t>其他平台扣款</t>
        </is>
      </c>
      <c r="E128" s="6" t="inlineStr">
        <is>
          <t>Q2209</t>
        </is>
      </c>
      <c r="F128" s="89">
        <f>浙江精准学!F128+知识跳跳!F128+海南精准学!F128+实时查!F128+目标准!F128+'SMART LEARNING HOLDING'!F128+'SMART AI LIMITED'!F128+'HK01'!F128-(-SUMIFS(合并抵消!$J:$J,合并抵消!$E:$E,$E128,合并抵消!$A:$A,F$2)+SUMIFS(合并抵消!$K:$K,合并抵消!$E:$E,$E128,合并抵消!$A:$A,F$2))</f>
        <v/>
      </c>
      <c r="G128" s="89">
        <f>浙江精准学!G128+知识跳跳!G128+海南精准学!G128+实时查!G128+目标准!G128+'SMART LEARNING HOLDING'!G128+'SMART AI LIMITED'!G128+'HK01'!G128-(-SUMIFS(合并抵消!$J:$J,合并抵消!$E:$E,$E128,合并抵消!$A:$A,G$2)+SUMIFS(合并抵消!$K:$K,合并抵消!$E:$E,$E128,合并抵消!$A:$A,G$2))</f>
        <v/>
      </c>
      <c r="H128" s="89">
        <f>浙江精准学!H128+知识跳跳!H128+海南精准学!H128+实时查!H128+目标准!H128+'SMART LEARNING HOLDING'!H128+'SMART AI LIMITED'!H128+'HK01'!H128-(-SUMIFS(合并抵消!$J:$J,合并抵消!$E:$E,$E128,合并抵消!$A:$A,H$2)+SUMIFS(合并抵消!$K:$K,合并抵消!$E:$E,$E128,合并抵消!$A:$A,H$2))</f>
        <v/>
      </c>
      <c r="I128" s="89">
        <f>浙江精准学!I128+知识跳跳!I128+海南精准学!I128+实时查!I128+目标准!I128+'SMART LEARNING HOLDING'!I128+'SMART AI LIMITED'!I128+'HK01'!I128-(-SUMIFS(合并抵消!$J:$J,合并抵消!$E:$E,$E128,合并抵消!$A:$A,I$2)+SUMIFS(合并抵消!$K:$K,合并抵消!$E:$E,$E128,合并抵消!$A:$A,I$2))</f>
        <v/>
      </c>
      <c r="J128" s="89">
        <f>浙江精准学!J128+知识跳跳!J128+海南精准学!J128+实时查!J128+目标准!J128+'SMART LEARNING HOLDING'!J128+'SMART AI LIMITED'!J128+'HK01'!J128-(-SUMIFS(合并抵消!$J:$J,合并抵消!$E:$E,$E128,合并抵消!$A:$A,J$2)+SUMIFS(合并抵消!$K:$K,合并抵消!$E:$E,$E128,合并抵消!$A:$A,J$2))</f>
        <v/>
      </c>
      <c r="K128" s="89">
        <f>浙江精准学!K128+知识跳跳!K128+海南精准学!K128+实时查!K128+目标准!K128+'SMART LEARNING HOLDING'!K128+'SMART AI LIMITED'!K128+'HK01'!K128-(-SUMIFS(合并抵消!$J:$J,合并抵消!$E:$E,$E128,合并抵消!$A:$A,K$2)+SUMIFS(合并抵消!$K:$K,合并抵消!$E:$E,$E128,合并抵消!$A:$A,K$2))</f>
        <v/>
      </c>
      <c r="L128" s="89">
        <f>浙江精准学!L128+知识跳跳!L128+海南精准学!L128+实时查!L128+目标准!L128+'SMART LEARNING HOLDING'!L128+'SMART AI LIMITED'!L128+'HK01'!L128-(-SUMIFS(合并抵消!$J:$J,合并抵消!$E:$E,$E128,合并抵消!$A:$A,L$2)+SUMIFS(合并抵消!$K:$K,合并抵消!$E:$E,$E128,合并抵消!$A:$A,L$2))</f>
        <v/>
      </c>
      <c r="M128" s="89">
        <f>浙江精准学!M128+知识跳跳!M128+海南精准学!M128+实时查!M128+目标准!M128+'SMART LEARNING HOLDING'!M128+'SMART AI LIMITED'!M128+'HK01'!M128-(-SUMIFS(合并抵消!$J:$J,合并抵消!$E:$E,$E128,合并抵消!$A:$A,M$2)+SUMIFS(合并抵消!$K:$K,合并抵消!$E:$E,$E128,合并抵消!$A:$A,M$2))</f>
        <v/>
      </c>
      <c r="N128" s="89">
        <f>浙江精准学!N128+知识跳跳!N128+海南精准学!N128+实时查!N128+目标准!N128+'SMART LEARNING HOLDING'!N128+'SMART AI LIMITED'!N128+'HK01'!N128-(-SUMIFS(合并抵消!$J:$J,合并抵消!$E:$E,$E128,合并抵消!$A:$A,N$2)+SUMIFS(合并抵消!$K:$K,合并抵消!$E:$E,$E128,合并抵消!$A:$A,N$2))</f>
        <v/>
      </c>
      <c r="O128" s="89">
        <f>浙江精准学!O128+知识跳跳!O128+海南精准学!O128+实时查!O128+目标准!O128+'SMART LEARNING HOLDING'!O128+'SMART AI LIMITED'!O128+'HK01'!O128-(-SUMIFS(合并抵消!$J:$J,合并抵消!$E:$E,$E128,合并抵消!$A:$A,O$2)+SUMIFS(合并抵消!$K:$K,合并抵消!$E:$E,$E128,合并抵消!$A:$A,O$2))</f>
        <v/>
      </c>
      <c r="P128" s="89">
        <f>浙江精准学!P128+知识跳跳!P128+海南精准学!P128+实时查!P128+目标准!P128+'SMART LEARNING HOLDING'!P128+'SMART AI LIMITED'!P128+'HK01'!P128-(-SUMIFS(合并抵消!$J:$J,合并抵消!$E:$E,$E128,合并抵消!$A:$A,P$2)+SUMIFS(合并抵消!$K:$K,合并抵消!$E:$E,$E128,合并抵消!$A:$A,P$2))</f>
        <v/>
      </c>
      <c r="Q128" s="89">
        <f>浙江精准学!Q128+知识跳跳!Q128+海南精准学!Q128+实时查!Q128+目标准!Q128+'SMART LEARNING HOLDING'!Q128+'SMART AI LIMITED'!Q128+'HK01'!Q128-(-SUMIFS(合并抵消!$J:$J,合并抵消!$E:$E,$E128,合并抵消!$A:$A,Q$2)+SUMIFS(合并抵消!$K:$K,合并抵消!$E:$E,$E128,合并抵消!$A:$A,Q$2))</f>
        <v/>
      </c>
      <c r="R128" s="89">
        <f>SUM(F128:Q128)</f>
        <v/>
      </c>
    </row>
    <row r="129" s="83">
      <c r="A129" s="5" t="inlineStr">
        <is>
          <t>销售费用</t>
        </is>
      </c>
      <c r="B129" s="6" t="inlineStr">
        <is>
          <t>私域运营</t>
        </is>
      </c>
      <c r="C129" s="6" t="inlineStr">
        <is>
          <t>私域运营</t>
        </is>
      </c>
      <c r="D129" s="5" t="inlineStr">
        <is>
          <t>返现活动</t>
        </is>
      </c>
      <c r="E129" s="6" t="inlineStr">
        <is>
          <t>Q2301</t>
        </is>
      </c>
      <c r="F129" s="89">
        <f>浙江精准学!F129+知识跳跳!F129+海南精准学!F129+实时查!F129+目标准!F129+'SMART LEARNING HOLDING'!F129+'SMART AI LIMITED'!F129+'HK01'!F129-(-SUMIFS(合并抵消!$J:$J,合并抵消!$E:$E,$E129,合并抵消!$A:$A,F$2)+SUMIFS(合并抵消!$K:$K,合并抵消!$E:$E,$E129,合并抵消!$A:$A,F$2))</f>
        <v/>
      </c>
      <c r="G129" s="89">
        <f>浙江精准学!G129+知识跳跳!G129+海南精准学!G129+实时查!G129+目标准!G129+'SMART LEARNING HOLDING'!G129+'SMART AI LIMITED'!G129+'HK01'!G129-(-SUMIFS(合并抵消!$J:$J,合并抵消!$E:$E,$E129,合并抵消!$A:$A,G$2)+SUMIFS(合并抵消!$K:$K,合并抵消!$E:$E,$E129,合并抵消!$A:$A,G$2))</f>
        <v/>
      </c>
      <c r="H129" s="89">
        <f>浙江精准学!H129+知识跳跳!H129+海南精准学!H129+实时查!H129+目标准!H129+'SMART LEARNING HOLDING'!H129+'SMART AI LIMITED'!H129+'HK01'!H129-(-SUMIFS(合并抵消!$J:$J,合并抵消!$E:$E,$E129,合并抵消!$A:$A,H$2)+SUMIFS(合并抵消!$K:$K,合并抵消!$E:$E,$E129,合并抵消!$A:$A,H$2))</f>
        <v/>
      </c>
      <c r="I129" s="89">
        <f>浙江精准学!I129+知识跳跳!I129+海南精准学!I129+实时查!I129+目标准!I129+'SMART LEARNING HOLDING'!I129+'SMART AI LIMITED'!I129+'HK01'!I129-(-SUMIFS(合并抵消!$J:$J,合并抵消!$E:$E,$E129,合并抵消!$A:$A,I$2)+SUMIFS(合并抵消!$K:$K,合并抵消!$E:$E,$E129,合并抵消!$A:$A,I$2))</f>
        <v/>
      </c>
      <c r="J129" s="89">
        <f>浙江精准学!J129+知识跳跳!J129+海南精准学!J129+实时查!J129+目标准!J129+'SMART LEARNING HOLDING'!J129+'SMART AI LIMITED'!J129+'HK01'!J129-(-SUMIFS(合并抵消!$J:$J,合并抵消!$E:$E,$E129,合并抵消!$A:$A,J$2)+SUMIFS(合并抵消!$K:$K,合并抵消!$E:$E,$E129,合并抵消!$A:$A,J$2))</f>
        <v/>
      </c>
      <c r="K129" s="89">
        <f>浙江精准学!K129+知识跳跳!K129+海南精准学!K129+实时查!K129+目标准!K129+'SMART LEARNING HOLDING'!K129+'SMART AI LIMITED'!K129+'HK01'!K129-(-SUMIFS(合并抵消!$J:$J,合并抵消!$E:$E,$E129,合并抵消!$A:$A,K$2)+SUMIFS(合并抵消!$K:$K,合并抵消!$E:$E,$E129,合并抵消!$A:$A,K$2))</f>
        <v/>
      </c>
      <c r="L129" s="89">
        <f>浙江精准学!L129+知识跳跳!L129+海南精准学!L129+实时查!L129+目标准!L129+'SMART LEARNING HOLDING'!L129+'SMART AI LIMITED'!L129+'HK01'!L129-(-SUMIFS(合并抵消!$J:$J,合并抵消!$E:$E,$E129,合并抵消!$A:$A,L$2)+SUMIFS(合并抵消!$K:$K,合并抵消!$E:$E,$E129,合并抵消!$A:$A,L$2))</f>
        <v/>
      </c>
      <c r="M129" s="89">
        <f>浙江精准学!M129+知识跳跳!M129+海南精准学!M129+实时查!M129+目标准!M129+'SMART LEARNING HOLDING'!M129+'SMART AI LIMITED'!M129+'HK01'!M129-(-SUMIFS(合并抵消!$J:$J,合并抵消!$E:$E,$E129,合并抵消!$A:$A,M$2)+SUMIFS(合并抵消!$K:$K,合并抵消!$E:$E,$E129,合并抵消!$A:$A,M$2))</f>
        <v/>
      </c>
      <c r="N129" s="89">
        <f>浙江精准学!N129+知识跳跳!N129+海南精准学!N129+实时查!N129+目标准!N129+'SMART LEARNING HOLDING'!N129+'SMART AI LIMITED'!N129+'HK01'!N129-(-SUMIFS(合并抵消!$J:$J,合并抵消!$E:$E,$E129,合并抵消!$A:$A,N$2)+SUMIFS(合并抵消!$K:$K,合并抵消!$E:$E,$E129,合并抵消!$A:$A,N$2))</f>
        <v/>
      </c>
      <c r="O129" s="89">
        <f>浙江精准学!O129+知识跳跳!O129+海南精准学!O129+实时查!O129+目标准!O129+'SMART LEARNING HOLDING'!O129+'SMART AI LIMITED'!O129+'HK01'!O129-(-SUMIFS(合并抵消!$J:$J,合并抵消!$E:$E,$E129,合并抵消!$A:$A,O$2)+SUMIFS(合并抵消!$K:$K,合并抵消!$E:$E,$E129,合并抵消!$A:$A,O$2))</f>
        <v/>
      </c>
      <c r="P129" s="89">
        <f>浙江精准学!P129+知识跳跳!P129+海南精准学!P129+实时查!P129+目标准!P129+'SMART LEARNING HOLDING'!P129+'SMART AI LIMITED'!P129+'HK01'!P129-(-SUMIFS(合并抵消!$J:$J,合并抵消!$E:$E,$E129,合并抵消!$A:$A,P$2)+SUMIFS(合并抵消!$K:$K,合并抵消!$E:$E,$E129,合并抵消!$A:$A,P$2))</f>
        <v/>
      </c>
      <c r="Q129" s="89">
        <f>浙江精准学!Q129+知识跳跳!Q129+海南精准学!Q129+实时查!Q129+目标准!Q129+'SMART LEARNING HOLDING'!Q129+'SMART AI LIMITED'!Q129+'HK01'!Q129-(-SUMIFS(合并抵消!$J:$J,合并抵消!$E:$E,$E129,合并抵消!$A:$A,Q$2)+SUMIFS(合并抵消!$K:$K,合并抵消!$E:$E,$E129,合并抵消!$A:$A,Q$2))</f>
        <v/>
      </c>
      <c r="R129" s="89">
        <f>SUM(F129:Q129)</f>
        <v/>
      </c>
    </row>
    <row r="130" s="83">
      <c r="A130" s="5" t="inlineStr">
        <is>
          <t>销售费用</t>
        </is>
      </c>
      <c r="B130" s="6" t="inlineStr">
        <is>
          <t>私域运营</t>
        </is>
      </c>
      <c r="D130" s="5" t="inlineStr">
        <is>
          <t>转介绍佣金</t>
        </is>
      </c>
      <c r="E130" s="6" t="inlineStr">
        <is>
          <t>Q2302</t>
        </is>
      </c>
      <c r="F130" s="89">
        <f>浙江精准学!F130+知识跳跳!F130+海南精准学!F130+实时查!F130+目标准!F130+'SMART LEARNING HOLDING'!F130+'SMART AI LIMITED'!F130+'HK01'!F130-(-SUMIFS(合并抵消!$J:$J,合并抵消!$E:$E,$E130,合并抵消!$A:$A,F$2)+SUMIFS(合并抵消!$K:$K,合并抵消!$E:$E,$E130,合并抵消!$A:$A,F$2))</f>
        <v/>
      </c>
      <c r="G130" s="89">
        <f>浙江精准学!G130+知识跳跳!G130+海南精准学!G130+实时查!G130+目标准!G130+'SMART LEARNING HOLDING'!G130+'SMART AI LIMITED'!G130+'HK01'!G130-(-SUMIFS(合并抵消!$J:$J,合并抵消!$E:$E,$E130,合并抵消!$A:$A,G$2)+SUMIFS(合并抵消!$K:$K,合并抵消!$E:$E,$E130,合并抵消!$A:$A,G$2))</f>
        <v/>
      </c>
      <c r="H130" s="89">
        <f>浙江精准学!H130+知识跳跳!H130+海南精准学!H130+实时查!H130+目标准!H130+'SMART LEARNING HOLDING'!H130+'SMART AI LIMITED'!H130+'HK01'!H130-(-SUMIFS(合并抵消!$J:$J,合并抵消!$E:$E,$E130,合并抵消!$A:$A,H$2)+SUMIFS(合并抵消!$K:$K,合并抵消!$E:$E,$E130,合并抵消!$A:$A,H$2))</f>
        <v/>
      </c>
      <c r="I130" s="89">
        <f>浙江精准学!I130+知识跳跳!I130+海南精准学!I130+实时查!I130+目标准!I130+'SMART LEARNING HOLDING'!I130+'SMART AI LIMITED'!I130+'HK01'!I130-(-SUMIFS(合并抵消!$J:$J,合并抵消!$E:$E,$E130,合并抵消!$A:$A,I$2)+SUMIFS(合并抵消!$K:$K,合并抵消!$E:$E,$E130,合并抵消!$A:$A,I$2))</f>
        <v/>
      </c>
      <c r="J130" s="89">
        <f>浙江精准学!J130+知识跳跳!J130+海南精准学!J130+实时查!J130+目标准!J130+'SMART LEARNING HOLDING'!J130+'SMART AI LIMITED'!J130+'HK01'!J130-(-SUMIFS(合并抵消!$J:$J,合并抵消!$E:$E,$E130,合并抵消!$A:$A,J$2)+SUMIFS(合并抵消!$K:$K,合并抵消!$E:$E,$E130,合并抵消!$A:$A,J$2))</f>
        <v/>
      </c>
      <c r="K130" s="89">
        <f>浙江精准学!K130+知识跳跳!K130+海南精准学!K130+实时查!K130+目标准!K130+'SMART LEARNING HOLDING'!K130+'SMART AI LIMITED'!K130+'HK01'!K130-(-SUMIFS(合并抵消!$J:$J,合并抵消!$E:$E,$E130,合并抵消!$A:$A,K$2)+SUMIFS(合并抵消!$K:$K,合并抵消!$E:$E,$E130,合并抵消!$A:$A,K$2))</f>
        <v/>
      </c>
      <c r="L130" s="89">
        <f>浙江精准学!L130+知识跳跳!L130+海南精准学!L130+实时查!L130+目标准!L130+'SMART LEARNING HOLDING'!L130+'SMART AI LIMITED'!L130+'HK01'!L130-(-SUMIFS(合并抵消!$J:$J,合并抵消!$E:$E,$E130,合并抵消!$A:$A,L$2)+SUMIFS(合并抵消!$K:$K,合并抵消!$E:$E,$E130,合并抵消!$A:$A,L$2))</f>
        <v/>
      </c>
      <c r="M130" s="89">
        <f>浙江精准学!M130+知识跳跳!M130+海南精准学!M130+实时查!M130+目标准!M130+'SMART LEARNING HOLDING'!M130+'SMART AI LIMITED'!M130+'HK01'!M130-(-SUMIFS(合并抵消!$J:$J,合并抵消!$E:$E,$E130,合并抵消!$A:$A,M$2)+SUMIFS(合并抵消!$K:$K,合并抵消!$E:$E,$E130,合并抵消!$A:$A,M$2))</f>
        <v/>
      </c>
      <c r="N130" s="89">
        <f>浙江精准学!N130+知识跳跳!N130+海南精准学!N130+实时查!N130+目标准!N130+'SMART LEARNING HOLDING'!N130+'SMART AI LIMITED'!N130+'HK01'!N130-(-SUMIFS(合并抵消!$J:$J,合并抵消!$E:$E,$E130,合并抵消!$A:$A,N$2)+SUMIFS(合并抵消!$K:$K,合并抵消!$E:$E,$E130,合并抵消!$A:$A,N$2))</f>
        <v/>
      </c>
      <c r="O130" s="89">
        <f>浙江精准学!O130+知识跳跳!O130+海南精准学!O130+实时查!O130+目标准!O130+'SMART LEARNING HOLDING'!O130+'SMART AI LIMITED'!O130+'HK01'!O130-(-SUMIFS(合并抵消!$J:$J,合并抵消!$E:$E,$E130,合并抵消!$A:$A,O$2)+SUMIFS(合并抵消!$K:$K,合并抵消!$E:$E,$E130,合并抵消!$A:$A,O$2))</f>
        <v/>
      </c>
      <c r="P130" s="89">
        <f>浙江精准学!P130+知识跳跳!P130+海南精准学!P130+实时查!P130+目标准!P130+'SMART LEARNING HOLDING'!P130+'SMART AI LIMITED'!P130+'HK01'!P130-(-SUMIFS(合并抵消!$J:$J,合并抵消!$E:$E,$E130,合并抵消!$A:$A,P$2)+SUMIFS(合并抵消!$K:$K,合并抵消!$E:$E,$E130,合并抵消!$A:$A,P$2))</f>
        <v/>
      </c>
      <c r="Q130" s="89">
        <f>浙江精准学!Q130+知识跳跳!Q130+海南精准学!Q130+实时查!Q130+目标准!Q130+'SMART LEARNING HOLDING'!Q130+'SMART AI LIMITED'!Q130+'HK01'!Q130-(-SUMIFS(合并抵消!$J:$J,合并抵消!$E:$E,$E130,合并抵消!$A:$A,Q$2)+SUMIFS(合并抵消!$K:$K,合并抵消!$E:$E,$E130,合并抵消!$A:$A,Q$2))</f>
        <v/>
      </c>
      <c r="R130" s="89">
        <f>SUM(F130:Q130)</f>
        <v/>
      </c>
    </row>
    <row r="131" s="83">
      <c r="A131" s="5" t="inlineStr">
        <is>
          <t>销售费用</t>
        </is>
      </c>
      <c r="B131" s="6" t="inlineStr">
        <is>
          <t>达人带货</t>
        </is>
      </c>
      <c r="C131" s="6" t="inlineStr">
        <is>
          <t>达人带货</t>
        </is>
      </c>
      <c r="D131" s="5" t="inlineStr">
        <is>
          <t>坑位费</t>
        </is>
      </c>
      <c r="E131" s="6" t="inlineStr">
        <is>
          <t>Q2401</t>
        </is>
      </c>
      <c r="F131" s="89">
        <f>浙江精准学!F131+知识跳跳!F131+海南精准学!F131+实时查!F131+目标准!F131+'SMART LEARNING HOLDING'!F131+'SMART AI LIMITED'!F131+'HK01'!F131-(-SUMIFS(合并抵消!$J:$J,合并抵消!$E:$E,$E131,合并抵消!$A:$A,F$2)+SUMIFS(合并抵消!$K:$K,合并抵消!$E:$E,$E131,合并抵消!$A:$A,F$2))</f>
        <v/>
      </c>
      <c r="G131" s="89">
        <f>浙江精准学!G131+知识跳跳!G131+海南精准学!G131+实时查!G131+目标准!G131+'SMART LEARNING HOLDING'!G131+'SMART AI LIMITED'!G131+'HK01'!G131-(-SUMIFS(合并抵消!$J:$J,合并抵消!$E:$E,$E131,合并抵消!$A:$A,G$2)+SUMIFS(合并抵消!$K:$K,合并抵消!$E:$E,$E131,合并抵消!$A:$A,G$2))</f>
        <v/>
      </c>
      <c r="H131" s="89">
        <f>浙江精准学!H131+知识跳跳!H131+海南精准学!H131+实时查!H131+目标准!H131+'SMART LEARNING HOLDING'!H131+'SMART AI LIMITED'!H131+'HK01'!H131-(-SUMIFS(合并抵消!$J:$J,合并抵消!$E:$E,$E131,合并抵消!$A:$A,H$2)+SUMIFS(合并抵消!$K:$K,合并抵消!$E:$E,$E131,合并抵消!$A:$A,H$2))</f>
        <v/>
      </c>
      <c r="I131" s="89">
        <f>浙江精准学!I131+知识跳跳!I131+海南精准学!I131+实时查!I131+目标准!I131+'SMART LEARNING HOLDING'!I131+'SMART AI LIMITED'!I131+'HK01'!I131-(-SUMIFS(合并抵消!$J:$J,合并抵消!$E:$E,$E131,合并抵消!$A:$A,I$2)+SUMIFS(合并抵消!$K:$K,合并抵消!$E:$E,$E131,合并抵消!$A:$A,I$2))</f>
        <v/>
      </c>
      <c r="J131" s="89">
        <f>浙江精准学!J131+知识跳跳!J131+海南精准学!J131+实时查!J131+目标准!J131+'SMART LEARNING HOLDING'!J131+'SMART AI LIMITED'!J131+'HK01'!J131-(-SUMIFS(合并抵消!$J:$J,合并抵消!$E:$E,$E131,合并抵消!$A:$A,J$2)+SUMIFS(合并抵消!$K:$K,合并抵消!$E:$E,$E131,合并抵消!$A:$A,J$2))</f>
        <v/>
      </c>
      <c r="K131" s="89">
        <f>浙江精准学!K131+知识跳跳!K131+海南精准学!K131+实时查!K131+目标准!K131+'SMART LEARNING HOLDING'!K131+'SMART AI LIMITED'!K131+'HK01'!K131-(-SUMIFS(合并抵消!$J:$J,合并抵消!$E:$E,$E131,合并抵消!$A:$A,K$2)+SUMIFS(合并抵消!$K:$K,合并抵消!$E:$E,$E131,合并抵消!$A:$A,K$2))</f>
        <v/>
      </c>
      <c r="L131" s="89">
        <f>浙江精准学!L131+知识跳跳!L131+海南精准学!L131+实时查!L131+目标准!L131+'SMART LEARNING HOLDING'!L131+'SMART AI LIMITED'!L131+'HK01'!L131-(-SUMIFS(合并抵消!$J:$J,合并抵消!$E:$E,$E131,合并抵消!$A:$A,L$2)+SUMIFS(合并抵消!$K:$K,合并抵消!$E:$E,$E131,合并抵消!$A:$A,L$2))</f>
        <v/>
      </c>
      <c r="M131" s="89">
        <f>浙江精准学!M131+知识跳跳!M131+海南精准学!M131+实时查!M131+目标准!M131+'SMART LEARNING HOLDING'!M131+'SMART AI LIMITED'!M131+'HK01'!M131-(-SUMIFS(合并抵消!$J:$J,合并抵消!$E:$E,$E131,合并抵消!$A:$A,M$2)+SUMIFS(合并抵消!$K:$K,合并抵消!$E:$E,$E131,合并抵消!$A:$A,M$2))</f>
        <v/>
      </c>
      <c r="N131" s="89">
        <f>浙江精准学!N131+知识跳跳!N131+海南精准学!N131+实时查!N131+目标准!N131+'SMART LEARNING HOLDING'!N131+'SMART AI LIMITED'!N131+'HK01'!N131-(-SUMIFS(合并抵消!$J:$J,合并抵消!$E:$E,$E131,合并抵消!$A:$A,N$2)+SUMIFS(合并抵消!$K:$K,合并抵消!$E:$E,$E131,合并抵消!$A:$A,N$2))</f>
        <v/>
      </c>
      <c r="O131" s="89">
        <f>浙江精准学!O131+知识跳跳!O131+海南精准学!O131+实时查!O131+目标准!O131+'SMART LEARNING HOLDING'!O131+'SMART AI LIMITED'!O131+'HK01'!O131-(-SUMIFS(合并抵消!$J:$J,合并抵消!$E:$E,$E131,合并抵消!$A:$A,O$2)+SUMIFS(合并抵消!$K:$K,合并抵消!$E:$E,$E131,合并抵消!$A:$A,O$2))</f>
        <v/>
      </c>
      <c r="P131" s="89">
        <f>浙江精准学!P131+知识跳跳!P131+海南精准学!P131+实时查!P131+目标准!P131+'SMART LEARNING HOLDING'!P131+'SMART AI LIMITED'!P131+'HK01'!P131-(-SUMIFS(合并抵消!$J:$J,合并抵消!$E:$E,$E131,合并抵消!$A:$A,P$2)+SUMIFS(合并抵消!$K:$K,合并抵消!$E:$E,$E131,合并抵消!$A:$A,P$2))</f>
        <v/>
      </c>
      <c r="Q131" s="89">
        <f>浙江精准学!Q131+知识跳跳!Q131+海南精准学!Q131+实时查!Q131+目标准!Q131+'SMART LEARNING HOLDING'!Q131+'SMART AI LIMITED'!Q131+'HK01'!Q131-(-SUMIFS(合并抵消!$J:$J,合并抵消!$E:$E,$E131,合并抵消!$A:$A,Q$2)+SUMIFS(合并抵消!$K:$K,合并抵消!$E:$E,$E131,合并抵消!$A:$A,Q$2))</f>
        <v/>
      </c>
      <c r="R131" s="89">
        <f>SUM(F131:Q131)</f>
        <v/>
      </c>
    </row>
    <row r="132" s="83">
      <c r="A132" s="5" t="inlineStr">
        <is>
          <t>销售费用</t>
        </is>
      </c>
      <c r="B132" s="6" t="inlineStr">
        <is>
          <t>达人带货</t>
        </is>
      </c>
      <c r="D132" s="5" t="inlineStr">
        <is>
          <t>佣金</t>
        </is>
      </c>
      <c r="E132" s="6" t="inlineStr">
        <is>
          <t>Q2402</t>
        </is>
      </c>
      <c r="F132" s="89">
        <f>浙江精准学!F132+知识跳跳!F132+海南精准学!F132+实时查!F132+目标准!F132+'SMART LEARNING HOLDING'!F132+'SMART AI LIMITED'!F132+'HK01'!F132-(-SUMIFS(合并抵消!$J:$J,合并抵消!$E:$E,$E132,合并抵消!$A:$A,F$2)+SUMIFS(合并抵消!$K:$K,合并抵消!$E:$E,$E132,合并抵消!$A:$A,F$2))</f>
        <v/>
      </c>
      <c r="G132" s="89">
        <f>浙江精准学!G132+知识跳跳!G132+海南精准学!G132+实时查!G132+目标准!G132+'SMART LEARNING HOLDING'!G132+'SMART AI LIMITED'!G132+'HK01'!G132-(-SUMIFS(合并抵消!$J:$J,合并抵消!$E:$E,$E132,合并抵消!$A:$A,G$2)+SUMIFS(合并抵消!$K:$K,合并抵消!$E:$E,$E132,合并抵消!$A:$A,G$2))</f>
        <v/>
      </c>
      <c r="H132" s="89">
        <f>浙江精准学!H132+知识跳跳!H132+海南精准学!H132+实时查!H132+目标准!H132+'SMART LEARNING HOLDING'!H132+'SMART AI LIMITED'!H132+'HK01'!H132-(-SUMIFS(合并抵消!$J:$J,合并抵消!$E:$E,$E132,合并抵消!$A:$A,H$2)+SUMIFS(合并抵消!$K:$K,合并抵消!$E:$E,$E132,合并抵消!$A:$A,H$2))</f>
        <v/>
      </c>
      <c r="I132" s="89">
        <f>浙江精准学!I132+知识跳跳!I132+海南精准学!I132+实时查!I132+目标准!I132+'SMART LEARNING HOLDING'!I132+'SMART AI LIMITED'!I132+'HK01'!I132-(-SUMIFS(合并抵消!$J:$J,合并抵消!$E:$E,$E132,合并抵消!$A:$A,I$2)+SUMIFS(合并抵消!$K:$K,合并抵消!$E:$E,$E132,合并抵消!$A:$A,I$2))</f>
        <v/>
      </c>
      <c r="J132" s="89">
        <f>浙江精准学!J132+知识跳跳!J132+海南精准学!J132+实时查!J132+目标准!J132+'SMART LEARNING HOLDING'!J132+'SMART AI LIMITED'!J132+'HK01'!J132-(-SUMIFS(合并抵消!$J:$J,合并抵消!$E:$E,$E132,合并抵消!$A:$A,J$2)+SUMIFS(合并抵消!$K:$K,合并抵消!$E:$E,$E132,合并抵消!$A:$A,J$2))</f>
        <v/>
      </c>
      <c r="K132" s="89">
        <f>浙江精准学!K132+知识跳跳!K132+海南精准学!K132+实时查!K132+目标准!K132+'SMART LEARNING HOLDING'!K132+'SMART AI LIMITED'!K132+'HK01'!K132-(-SUMIFS(合并抵消!$J:$J,合并抵消!$E:$E,$E132,合并抵消!$A:$A,K$2)+SUMIFS(合并抵消!$K:$K,合并抵消!$E:$E,$E132,合并抵消!$A:$A,K$2))</f>
        <v/>
      </c>
      <c r="L132" s="89">
        <f>浙江精准学!L132+知识跳跳!L132+海南精准学!L132+实时查!L132+目标准!L132+'SMART LEARNING HOLDING'!L132+'SMART AI LIMITED'!L132+'HK01'!L132-(-SUMIFS(合并抵消!$J:$J,合并抵消!$E:$E,$E132,合并抵消!$A:$A,L$2)+SUMIFS(合并抵消!$K:$K,合并抵消!$E:$E,$E132,合并抵消!$A:$A,L$2))</f>
        <v/>
      </c>
      <c r="M132" s="89">
        <f>浙江精准学!M132+知识跳跳!M132+海南精准学!M132+实时查!M132+目标准!M132+'SMART LEARNING HOLDING'!M132+'SMART AI LIMITED'!M132+'HK01'!M132-(-SUMIFS(合并抵消!$J:$J,合并抵消!$E:$E,$E132,合并抵消!$A:$A,M$2)+SUMIFS(合并抵消!$K:$K,合并抵消!$E:$E,$E132,合并抵消!$A:$A,M$2))</f>
        <v/>
      </c>
      <c r="N132" s="89">
        <f>浙江精准学!N132+知识跳跳!N132+海南精准学!N132+实时查!N132+目标准!N132+'SMART LEARNING HOLDING'!N132+'SMART AI LIMITED'!N132+'HK01'!N132-(-SUMIFS(合并抵消!$J:$J,合并抵消!$E:$E,$E132,合并抵消!$A:$A,N$2)+SUMIFS(合并抵消!$K:$K,合并抵消!$E:$E,$E132,合并抵消!$A:$A,N$2))</f>
        <v/>
      </c>
      <c r="O132" s="89">
        <f>浙江精准学!O132+知识跳跳!O132+海南精准学!O132+实时查!O132+目标准!O132+'SMART LEARNING HOLDING'!O132+'SMART AI LIMITED'!O132+'HK01'!O132-(-SUMIFS(合并抵消!$J:$J,合并抵消!$E:$E,$E132,合并抵消!$A:$A,O$2)+SUMIFS(合并抵消!$K:$K,合并抵消!$E:$E,$E132,合并抵消!$A:$A,O$2))</f>
        <v/>
      </c>
      <c r="P132" s="89">
        <f>浙江精准学!P132+知识跳跳!P132+海南精准学!P132+实时查!P132+目标准!P132+'SMART LEARNING HOLDING'!P132+'SMART AI LIMITED'!P132+'HK01'!P132-(-SUMIFS(合并抵消!$J:$J,合并抵消!$E:$E,$E132,合并抵消!$A:$A,P$2)+SUMIFS(合并抵消!$K:$K,合并抵消!$E:$E,$E132,合并抵消!$A:$A,P$2))</f>
        <v/>
      </c>
      <c r="Q132" s="89">
        <f>浙江精准学!Q132+知识跳跳!Q132+海南精准学!Q132+实时查!Q132+目标准!Q132+'SMART LEARNING HOLDING'!Q132+'SMART AI LIMITED'!Q132+'HK01'!Q132-(-SUMIFS(合并抵消!$J:$J,合并抵消!$E:$E,$E132,合并抵消!$A:$A,Q$2)+SUMIFS(合并抵消!$K:$K,合并抵消!$E:$E,$E132,合并抵消!$A:$A,Q$2))</f>
        <v/>
      </c>
      <c r="R132" s="89">
        <f>SUM(F132:Q132)</f>
        <v/>
      </c>
    </row>
    <row r="133" s="83">
      <c r="A133" s="5" t="inlineStr">
        <is>
          <t>销售费用</t>
        </is>
      </c>
      <c r="B133" s="6" t="inlineStr">
        <is>
          <t>达人带货</t>
        </is>
      </c>
      <c r="D133" s="5" t="inlineStr">
        <is>
          <t>助播费用</t>
        </is>
      </c>
      <c r="E133" s="6" t="inlineStr">
        <is>
          <t>Q2403</t>
        </is>
      </c>
      <c r="F133" s="89">
        <f>浙江精准学!F133+知识跳跳!F133+海南精准学!F133+实时查!F133+目标准!F133+'SMART LEARNING HOLDING'!F133+'SMART AI LIMITED'!F133+'HK01'!F133-(-SUMIFS(合并抵消!$J:$J,合并抵消!$E:$E,$E133,合并抵消!$A:$A,F$2)+SUMIFS(合并抵消!$K:$K,合并抵消!$E:$E,$E133,合并抵消!$A:$A,F$2))</f>
        <v/>
      </c>
      <c r="G133" s="89">
        <f>浙江精准学!G133+知识跳跳!G133+海南精准学!G133+实时查!G133+目标准!G133+'SMART LEARNING HOLDING'!G133+'SMART AI LIMITED'!G133+'HK01'!G133-(-SUMIFS(合并抵消!$J:$J,合并抵消!$E:$E,$E133,合并抵消!$A:$A,G$2)+SUMIFS(合并抵消!$K:$K,合并抵消!$E:$E,$E133,合并抵消!$A:$A,G$2))</f>
        <v/>
      </c>
      <c r="H133" s="89">
        <f>浙江精准学!H133+知识跳跳!H133+海南精准学!H133+实时查!H133+目标准!H133+'SMART LEARNING HOLDING'!H133+'SMART AI LIMITED'!H133+'HK01'!H133-(-SUMIFS(合并抵消!$J:$J,合并抵消!$E:$E,$E133,合并抵消!$A:$A,H$2)+SUMIFS(合并抵消!$K:$K,合并抵消!$E:$E,$E133,合并抵消!$A:$A,H$2))</f>
        <v/>
      </c>
      <c r="I133" s="89">
        <f>浙江精准学!I133+知识跳跳!I133+海南精准学!I133+实时查!I133+目标准!I133+'SMART LEARNING HOLDING'!I133+'SMART AI LIMITED'!I133+'HK01'!I133-(-SUMIFS(合并抵消!$J:$J,合并抵消!$E:$E,$E133,合并抵消!$A:$A,I$2)+SUMIFS(合并抵消!$K:$K,合并抵消!$E:$E,$E133,合并抵消!$A:$A,I$2))</f>
        <v/>
      </c>
      <c r="J133" s="89">
        <f>浙江精准学!J133+知识跳跳!J133+海南精准学!J133+实时查!J133+目标准!J133+'SMART LEARNING HOLDING'!J133+'SMART AI LIMITED'!J133+'HK01'!J133-(-SUMIFS(合并抵消!$J:$J,合并抵消!$E:$E,$E133,合并抵消!$A:$A,J$2)+SUMIFS(合并抵消!$K:$K,合并抵消!$E:$E,$E133,合并抵消!$A:$A,J$2))</f>
        <v/>
      </c>
      <c r="K133" s="89">
        <f>浙江精准学!K133+知识跳跳!K133+海南精准学!K133+实时查!K133+目标准!K133+'SMART LEARNING HOLDING'!K133+'SMART AI LIMITED'!K133+'HK01'!K133-(-SUMIFS(合并抵消!$J:$J,合并抵消!$E:$E,$E133,合并抵消!$A:$A,K$2)+SUMIFS(合并抵消!$K:$K,合并抵消!$E:$E,$E133,合并抵消!$A:$A,K$2))</f>
        <v/>
      </c>
      <c r="L133" s="89">
        <f>浙江精准学!L133+知识跳跳!L133+海南精准学!L133+实时查!L133+目标准!L133+'SMART LEARNING HOLDING'!L133+'SMART AI LIMITED'!L133+'HK01'!L133-(-SUMIFS(合并抵消!$J:$J,合并抵消!$E:$E,$E133,合并抵消!$A:$A,L$2)+SUMIFS(合并抵消!$K:$K,合并抵消!$E:$E,$E133,合并抵消!$A:$A,L$2))</f>
        <v/>
      </c>
      <c r="M133" s="89">
        <f>浙江精准学!M133+知识跳跳!M133+海南精准学!M133+实时查!M133+目标准!M133+'SMART LEARNING HOLDING'!M133+'SMART AI LIMITED'!M133+'HK01'!M133-(-SUMIFS(合并抵消!$J:$J,合并抵消!$E:$E,$E133,合并抵消!$A:$A,M$2)+SUMIFS(合并抵消!$K:$K,合并抵消!$E:$E,$E133,合并抵消!$A:$A,M$2))</f>
        <v/>
      </c>
      <c r="N133" s="89">
        <f>浙江精准学!N133+知识跳跳!N133+海南精准学!N133+实时查!N133+目标准!N133+'SMART LEARNING HOLDING'!N133+'SMART AI LIMITED'!N133+'HK01'!N133-(-SUMIFS(合并抵消!$J:$J,合并抵消!$E:$E,$E133,合并抵消!$A:$A,N$2)+SUMIFS(合并抵消!$K:$K,合并抵消!$E:$E,$E133,合并抵消!$A:$A,N$2))</f>
        <v/>
      </c>
      <c r="O133" s="89">
        <f>浙江精准学!O133+知识跳跳!O133+海南精准学!O133+实时查!O133+目标准!O133+'SMART LEARNING HOLDING'!O133+'SMART AI LIMITED'!O133+'HK01'!O133-(-SUMIFS(合并抵消!$J:$J,合并抵消!$E:$E,$E133,合并抵消!$A:$A,O$2)+SUMIFS(合并抵消!$K:$K,合并抵消!$E:$E,$E133,合并抵消!$A:$A,O$2))</f>
        <v/>
      </c>
      <c r="P133" s="89">
        <f>浙江精准学!P133+知识跳跳!P133+海南精准学!P133+实时查!P133+目标准!P133+'SMART LEARNING HOLDING'!P133+'SMART AI LIMITED'!P133+'HK01'!P133-(-SUMIFS(合并抵消!$J:$J,合并抵消!$E:$E,$E133,合并抵消!$A:$A,P$2)+SUMIFS(合并抵消!$K:$K,合并抵消!$E:$E,$E133,合并抵消!$A:$A,P$2))</f>
        <v/>
      </c>
      <c r="Q133" s="89">
        <f>浙江精准学!Q133+知识跳跳!Q133+海南精准学!Q133+实时查!Q133+目标准!Q133+'SMART LEARNING HOLDING'!Q133+'SMART AI LIMITED'!Q133+'HK01'!Q133-(-SUMIFS(合并抵消!$J:$J,合并抵消!$E:$E,$E133,合并抵消!$A:$A,Q$2)+SUMIFS(合并抵消!$K:$K,合并抵消!$E:$E,$E133,合并抵消!$A:$A,Q$2))</f>
        <v/>
      </c>
      <c r="R133" s="89">
        <f>SUM(F133:Q133)</f>
        <v/>
      </c>
    </row>
    <row r="134" s="83">
      <c r="A134" s="5" t="inlineStr">
        <is>
          <t>销售费用</t>
        </is>
      </c>
      <c r="B134" s="6" t="inlineStr">
        <is>
          <t>发货成本</t>
        </is>
      </c>
      <c r="C134" s="6" t="inlineStr">
        <is>
          <t>发货成本</t>
        </is>
      </c>
      <c r="D134" s="5" t="inlineStr">
        <is>
          <t>快递费</t>
        </is>
      </c>
      <c r="E134" s="6" t="inlineStr">
        <is>
          <t>Q2501</t>
        </is>
      </c>
      <c r="F134" s="89">
        <f>浙江精准学!F134+知识跳跳!F134+海南精准学!F134+实时查!F134+目标准!F134+'SMART LEARNING HOLDING'!F134+'SMART AI LIMITED'!F134+'HK01'!F134-(-SUMIFS(合并抵消!$J:$J,合并抵消!$E:$E,$E134,合并抵消!$A:$A,F$2)+SUMIFS(合并抵消!$K:$K,合并抵消!$E:$E,$E134,合并抵消!$A:$A,F$2))</f>
        <v/>
      </c>
      <c r="G134" s="89">
        <f>浙江精准学!G134+知识跳跳!G134+海南精准学!G134+实时查!G134+目标准!G134+'SMART LEARNING HOLDING'!G134+'SMART AI LIMITED'!G134+'HK01'!G134-(-SUMIFS(合并抵消!$J:$J,合并抵消!$E:$E,$E134,合并抵消!$A:$A,G$2)+SUMIFS(合并抵消!$K:$K,合并抵消!$E:$E,$E134,合并抵消!$A:$A,G$2))</f>
        <v/>
      </c>
      <c r="H134" s="89">
        <f>浙江精准学!H134+知识跳跳!H134+海南精准学!H134+实时查!H134+目标准!H134+'SMART LEARNING HOLDING'!H134+'SMART AI LIMITED'!H134+'HK01'!H134-(-SUMIFS(合并抵消!$J:$J,合并抵消!$E:$E,$E134,合并抵消!$A:$A,H$2)+SUMIFS(合并抵消!$K:$K,合并抵消!$E:$E,$E134,合并抵消!$A:$A,H$2))</f>
        <v/>
      </c>
      <c r="I134" s="89">
        <f>浙江精准学!I134+知识跳跳!I134+海南精准学!I134+实时查!I134+目标准!I134+'SMART LEARNING HOLDING'!I134+'SMART AI LIMITED'!I134+'HK01'!I134-(-SUMIFS(合并抵消!$J:$J,合并抵消!$E:$E,$E134,合并抵消!$A:$A,I$2)+SUMIFS(合并抵消!$K:$K,合并抵消!$E:$E,$E134,合并抵消!$A:$A,I$2))</f>
        <v/>
      </c>
      <c r="J134" s="89">
        <f>浙江精准学!J134+知识跳跳!J134+海南精准学!J134+实时查!J134+目标准!J134+'SMART LEARNING HOLDING'!J134+'SMART AI LIMITED'!J134+'HK01'!J134-(-SUMIFS(合并抵消!$J:$J,合并抵消!$E:$E,$E134,合并抵消!$A:$A,J$2)+SUMIFS(合并抵消!$K:$K,合并抵消!$E:$E,$E134,合并抵消!$A:$A,J$2))</f>
        <v/>
      </c>
      <c r="K134" s="89">
        <f>浙江精准学!K134+知识跳跳!K134+海南精准学!K134+实时查!K134+目标准!K134+'SMART LEARNING HOLDING'!K134+'SMART AI LIMITED'!K134+'HK01'!K134-(-SUMIFS(合并抵消!$J:$J,合并抵消!$E:$E,$E134,合并抵消!$A:$A,K$2)+SUMIFS(合并抵消!$K:$K,合并抵消!$E:$E,$E134,合并抵消!$A:$A,K$2))</f>
        <v/>
      </c>
      <c r="L134" s="89">
        <f>浙江精准学!L134+知识跳跳!L134+海南精准学!L134+实时查!L134+目标准!L134+'SMART LEARNING HOLDING'!L134+'SMART AI LIMITED'!L134+'HK01'!L134-(-SUMIFS(合并抵消!$J:$J,合并抵消!$E:$E,$E134,合并抵消!$A:$A,L$2)+SUMIFS(合并抵消!$K:$K,合并抵消!$E:$E,$E134,合并抵消!$A:$A,L$2))</f>
        <v/>
      </c>
      <c r="M134" s="89">
        <f>浙江精准学!M134+知识跳跳!M134+海南精准学!M134+实时查!M134+目标准!M134+'SMART LEARNING HOLDING'!M134+'SMART AI LIMITED'!M134+'HK01'!M134-(-SUMIFS(合并抵消!$J:$J,合并抵消!$E:$E,$E134,合并抵消!$A:$A,M$2)+SUMIFS(合并抵消!$K:$K,合并抵消!$E:$E,$E134,合并抵消!$A:$A,M$2))</f>
        <v/>
      </c>
      <c r="N134" s="89">
        <f>浙江精准学!N134+知识跳跳!N134+海南精准学!N134+实时查!N134+目标准!N134+'SMART LEARNING HOLDING'!N134+'SMART AI LIMITED'!N134+'HK01'!N134-(-SUMIFS(合并抵消!$J:$J,合并抵消!$E:$E,$E134,合并抵消!$A:$A,N$2)+SUMIFS(合并抵消!$K:$K,合并抵消!$E:$E,$E134,合并抵消!$A:$A,N$2))</f>
        <v/>
      </c>
      <c r="O134" s="89">
        <f>浙江精准学!O134+知识跳跳!O134+海南精准学!O134+实时查!O134+目标准!O134+'SMART LEARNING HOLDING'!O134+'SMART AI LIMITED'!O134+'HK01'!O134-(-SUMIFS(合并抵消!$J:$J,合并抵消!$E:$E,$E134,合并抵消!$A:$A,O$2)+SUMIFS(合并抵消!$K:$K,合并抵消!$E:$E,$E134,合并抵消!$A:$A,O$2))</f>
        <v/>
      </c>
      <c r="P134" s="89">
        <f>浙江精准学!P134+知识跳跳!P134+海南精准学!P134+实时查!P134+目标准!P134+'SMART LEARNING HOLDING'!P134+'SMART AI LIMITED'!P134+'HK01'!P134-(-SUMIFS(合并抵消!$J:$J,合并抵消!$E:$E,$E134,合并抵消!$A:$A,P$2)+SUMIFS(合并抵消!$K:$K,合并抵消!$E:$E,$E134,合并抵消!$A:$A,P$2))</f>
        <v/>
      </c>
      <c r="Q134" s="89">
        <f>浙江精准学!Q134+知识跳跳!Q134+海南精准学!Q134+实时查!Q134+目标准!Q134+'SMART LEARNING HOLDING'!Q134+'SMART AI LIMITED'!Q134+'HK01'!Q134-(-SUMIFS(合并抵消!$J:$J,合并抵消!$E:$E,$E134,合并抵消!$A:$A,Q$2)+SUMIFS(合并抵消!$K:$K,合并抵消!$E:$E,$E134,合并抵消!$A:$A,Q$2))</f>
        <v/>
      </c>
      <c r="R134" s="89">
        <f>SUM(F134:Q134)</f>
        <v/>
      </c>
    </row>
    <row r="135" s="83">
      <c r="A135" s="5" t="inlineStr">
        <is>
          <t>销售费用</t>
        </is>
      </c>
      <c r="B135" s="6" t="inlineStr">
        <is>
          <t>发货成本</t>
        </is>
      </c>
      <c r="D135" s="5" t="inlineStr">
        <is>
          <t>云仓租金</t>
        </is>
      </c>
      <c r="E135" s="6" t="inlineStr">
        <is>
          <t>Q2502</t>
        </is>
      </c>
      <c r="F135" s="89">
        <f>浙江精准学!F135+知识跳跳!F135+海南精准学!F135+实时查!F135+目标准!F135+'SMART LEARNING HOLDING'!F135+'SMART AI LIMITED'!F135+'HK01'!F135-(-SUMIFS(合并抵消!$J:$J,合并抵消!$E:$E,$E135,合并抵消!$A:$A,F$2)+SUMIFS(合并抵消!$K:$K,合并抵消!$E:$E,$E135,合并抵消!$A:$A,F$2))</f>
        <v/>
      </c>
      <c r="G135" s="89">
        <f>浙江精准学!G135+知识跳跳!G135+海南精准学!G135+实时查!G135+目标准!G135+'SMART LEARNING HOLDING'!G135+'SMART AI LIMITED'!G135+'HK01'!G135-(-SUMIFS(合并抵消!$J:$J,合并抵消!$E:$E,$E135,合并抵消!$A:$A,G$2)+SUMIFS(合并抵消!$K:$K,合并抵消!$E:$E,$E135,合并抵消!$A:$A,G$2))</f>
        <v/>
      </c>
      <c r="H135" s="89">
        <f>浙江精准学!H135+知识跳跳!H135+海南精准学!H135+实时查!H135+目标准!H135+'SMART LEARNING HOLDING'!H135+'SMART AI LIMITED'!H135+'HK01'!H135-(-SUMIFS(合并抵消!$J:$J,合并抵消!$E:$E,$E135,合并抵消!$A:$A,H$2)+SUMIFS(合并抵消!$K:$K,合并抵消!$E:$E,$E135,合并抵消!$A:$A,H$2))</f>
        <v/>
      </c>
      <c r="I135" s="89">
        <f>浙江精准学!I135+知识跳跳!I135+海南精准学!I135+实时查!I135+目标准!I135+'SMART LEARNING HOLDING'!I135+'SMART AI LIMITED'!I135+'HK01'!I135-(-SUMIFS(合并抵消!$J:$J,合并抵消!$E:$E,$E135,合并抵消!$A:$A,I$2)+SUMIFS(合并抵消!$K:$K,合并抵消!$E:$E,$E135,合并抵消!$A:$A,I$2))</f>
        <v/>
      </c>
      <c r="J135" s="89">
        <f>浙江精准学!J135+知识跳跳!J135+海南精准学!J135+实时查!J135+目标准!J135+'SMART LEARNING HOLDING'!J135+'SMART AI LIMITED'!J135+'HK01'!J135-(-SUMIFS(合并抵消!$J:$J,合并抵消!$E:$E,$E135,合并抵消!$A:$A,J$2)+SUMIFS(合并抵消!$K:$K,合并抵消!$E:$E,$E135,合并抵消!$A:$A,J$2))</f>
        <v/>
      </c>
      <c r="K135" s="89">
        <f>浙江精准学!K135+知识跳跳!K135+海南精准学!K135+实时查!K135+目标准!K135+'SMART LEARNING HOLDING'!K135+'SMART AI LIMITED'!K135+'HK01'!K135-(-SUMIFS(合并抵消!$J:$J,合并抵消!$E:$E,$E135,合并抵消!$A:$A,K$2)+SUMIFS(合并抵消!$K:$K,合并抵消!$E:$E,$E135,合并抵消!$A:$A,K$2))</f>
        <v/>
      </c>
      <c r="L135" s="89">
        <f>浙江精准学!L135+知识跳跳!L135+海南精准学!L135+实时查!L135+目标准!L135+'SMART LEARNING HOLDING'!L135+'SMART AI LIMITED'!L135+'HK01'!L135-(-SUMIFS(合并抵消!$J:$J,合并抵消!$E:$E,$E135,合并抵消!$A:$A,L$2)+SUMIFS(合并抵消!$K:$K,合并抵消!$E:$E,$E135,合并抵消!$A:$A,L$2))</f>
        <v/>
      </c>
      <c r="M135" s="89">
        <f>浙江精准学!M135+知识跳跳!M135+海南精准学!M135+实时查!M135+目标准!M135+'SMART LEARNING HOLDING'!M135+'SMART AI LIMITED'!M135+'HK01'!M135-(-SUMIFS(合并抵消!$J:$J,合并抵消!$E:$E,$E135,合并抵消!$A:$A,M$2)+SUMIFS(合并抵消!$K:$K,合并抵消!$E:$E,$E135,合并抵消!$A:$A,M$2))</f>
        <v/>
      </c>
      <c r="N135" s="89">
        <f>浙江精准学!N135+知识跳跳!N135+海南精准学!N135+实时查!N135+目标准!N135+'SMART LEARNING HOLDING'!N135+'SMART AI LIMITED'!N135+'HK01'!N135-(-SUMIFS(合并抵消!$J:$J,合并抵消!$E:$E,$E135,合并抵消!$A:$A,N$2)+SUMIFS(合并抵消!$K:$K,合并抵消!$E:$E,$E135,合并抵消!$A:$A,N$2))</f>
        <v/>
      </c>
      <c r="O135" s="89">
        <f>浙江精准学!O135+知识跳跳!O135+海南精准学!O135+实时查!O135+目标准!O135+'SMART LEARNING HOLDING'!O135+'SMART AI LIMITED'!O135+'HK01'!O135-(-SUMIFS(合并抵消!$J:$J,合并抵消!$E:$E,$E135,合并抵消!$A:$A,O$2)+SUMIFS(合并抵消!$K:$K,合并抵消!$E:$E,$E135,合并抵消!$A:$A,O$2))</f>
        <v/>
      </c>
      <c r="P135" s="89">
        <f>浙江精准学!P135+知识跳跳!P135+海南精准学!P135+实时查!P135+目标准!P135+'SMART LEARNING HOLDING'!P135+'SMART AI LIMITED'!P135+'HK01'!P135-(-SUMIFS(合并抵消!$J:$J,合并抵消!$E:$E,$E135,合并抵消!$A:$A,P$2)+SUMIFS(合并抵消!$K:$K,合并抵消!$E:$E,$E135,合并抵消!$A:$A,P$2))</f>
        <v/>
      </c>
      <c r="Q135" s="89">
        <f>浙江精准学!Q135+知识跳跳!Q135+海南精准学!Q135+实时查!Q135+目标准!Q135+'SMART LEARNING HOLDING'!Q135+'SMART AI LIMITED'!Q135+'HK01'!Q135-(-SUMIFS(合并抵消!$J:$J,合并抵消!$E:$E,$E135,合并抵消!$A:$A,Q$2)+SUMIFS(合并抵消!$K:$K,合并抵消!$E:$E,$E135,合并抵消!$A:$A,Q$2))</f>
        <v/>
      </c>
      <c r="R135" s="89">
        <f>SUM(F135:Q135)</f>
        <v/>
      </c>
    </row>
    <row r="136" s="83">
      <c r="A136" s="5" t="inlineStr">
        <is>
          <t>销售费用</t>
        </is>
      </c>
      <c r="B136" s="6" t="inlineStr">
        <is>
          <t>品销-费用报销</t>
        </is>
      </c>
      <c r="C136" s="6" t="inlineStr">
        <is>
          <t>品销-费用报销</t>
        </is>
      </c>
      <c r="D136" s="5" t="inlineStr">
        <is>
          <t>品销员工报销</t>
        </is>
      </c>
      <c r="E136" s="6" t="inlineStr">
        <is>
          <t>Q2601</t>
        </is>
      </c>
      <c r="F136" s="89">
        <f>浙江精准学!F136+知识跳跳!F136+海南精准学!F136+实时查!F136+目标准!F136+'SMART LEARNING HOLDING'!F136+'SMART AI LIMITED'!F136+'HK01'!F136-(-SUMIFS(合并抵消!$J:$J,合并抵消!$E:$E,$E136,合并抵消!$A:$A,F$2)+SUMIFS(合并抵消!$K:$K,合并抵消!$E:$E,$E136,合并抵消!$A:$A,F$2))</f>
        <v/>
      </c>
      <c r="G136" s="89">
        <f>浙江精准学!G136+知识跳跳!G136+海南精准学!G136+实时查!G136+目标准!G136+'SMART LEARNING HOLDING'!G136+'SMART AI LIMITED'!G136+'HK01'!G136-(-SUMIFS(合并抵消!$J:$J,合并抵消!$E:$E,$E136,合并抵消!$A:$A,G$2)+SUMIFS(合并抵消!$K:$K,合并抵消!$E:$E,$E136,合并抵消!$A:$A,G$2))</f>
        <v/>
      </c>
      <c r="H136" s="89">
        <f>浙江精准学!H136+知识跳跳!H136+海南精准学!H136+实时查!H136+目标准!H136+'SMART LEARNING HOLDING'!H136+'SMART AI LIMITED'!H136+'HK01'!H136-(-SUMIFS(合并抵消!$J:$J,合并抵消!$E:$E,$E136,合并抵消!$A:$A,H$2)+SUMIFS(合并抵消!$K:$K,合并抵消!$E:$E,$E136,合并抵消!$A:$A,H$2))</f>
        <v/>
      </c>
      <c r="I136" s="89">
        <f>浙江精准学!I136+知识跳跳!I136+海南精准学!I136+实时查!I136+目标准!I136+'SMART LEARNING HOLDING'!I136+'SMART AI LIMITED'!I136+'HK01'!I136-(-SUMIFS(合并抵消!$J:$J,合并抵消!$E:$E,$E136,合并抵消!$A:$A,I$2)+SUMIFS(合并抵消!$K:$K,合并抵消!$E:$E,$E136,合并抵消!$A:$A,I$2))</f>
        <v/>
      </c>
      <c r="J136" s="89">
        <f>浙江精准学!J136+知识跳跳!J136+海南精准学!J136+实时查!J136+目标准!J136+'SMART LEARNING HOLDING'!J136+'SMART AI LIMITED'!J136+'HK01'!J136-(-SUMIFS(合并抵消!$J:$J,合并抵消!$E:$E,$E136,合并抵消!$A:$A,J$2)+SUMIFS(合并抵消!$K:$K,合并抵消!$E:$E,$E136,合并抵消!$A:$A,J$2))</f>
        <v/>
      </c>
      <c r="K136" s="89">
        <f>浙江精准学!K136+知识跳跳!K136+海南精准学!K136+实时查!K136+目标准!K136+'SMART LEARNING HOLDING'!K136+'SMART AI LIMITED'!K136+'HK01'!K136-(-SUMIFS(合并抵消!$J:$J,合并抵消!$E:$E,$E136,合并抵消!$A:$A,K$2)+SUMIFS(合并抵消!$K:$K,合并抵消!$E:$E,$E136,合并抵消!$A:$A,K$2))</f>
        <v/>
      </c>
      <c r="L136" s="89">
        <f>浙江精准学!L136+知识跳跳!L136+海南精准学!L136+实时查!L136+目标准!L136+'SMART LEARNING HOLDING'!L136+'SMART AI LIMITED'!L136+'HK01'!L136-(-SUMIFS(合并抵消!$J:$J,合并抵消!$E:$E,$E136,合并抵消!$A:$A,L$2)+SUMIFS(合并抵消!$K:$K,合并抵消!$E:$E,$E136,合并抵消!$A:$A,L$2))</f>
        <v/>
      </c>
      <c r="M136" s="89">
        <f>浙江精准学!M136+知识跳跳!M136+海南精准学!M136+实时查!M136+目标准!M136+'SMART LEARNING HOLDING'!M136+'SMART AI LIMITED'!M136+'HK01'!M136-(-SUMIFS(合并抵消!$J:$J,合并抵消!$E:$E,$E136,合并抵消!$A:$A,M$2)+SUMIFS(合并抵消!$K:$K,合并抵消!$E:$E,$E136,合并抵消!$A:$A,M$2))</f>
        <v/>
      </c>
      <c r="N136" s="89">
        <f>浙江精准学!N136+知识跳跳!N136+海南精准学!N136+实时查!N136+目标准!N136+'SMART LEARNING HOLDING'!N136+'SMART AI LIMITED'!N136+'HK01'!N136-(-SUMIFS(合并抵消!$J:$J,合并抵消!$E:$E,$E136,合并抵消!$A:$A,N$2)+SUMIFS(合并抵消!$K:$K,合并抵消!$E:$E,$E136,合并抵消!$A:$A,N$2))</f>
        <v/>
      </c>
      <c r="O136" s="89">
        <f>浙江精准学!O136+知识跳跳!O136+海南精准学!O136+实时查!O136+目标准!O136+'SMART LEARNING HOLDING'!O136+'SMART AI LIMITED'!O136+'HK01'!O136-(-SUMIFS(合并抵消!$J:$J,合并抵消!$E:$E,$E136,合并抵消!$A:$A,O$2)+SUMIFS(合并抵消!$K:$K,合并抵消!$E:$E,$E136,合并抵消!$A:$A,O$2))</f>
        <v/>
      </c>
      <c r="P136" s="89">
        <f>浙江精准学!P136+知识跳跳!P136+海南精准学!P136+实时查!P136+目标准!P136+'SMART LEARNING HOLDING'!P136+'SMART AI LIMITED'!P136+'HK01'!P136-(-SUMIFS(合并抵消!$J:$J,合并抵消!$E:$E,$E136,合并抵消!$A:$A,P$2)+SUMIFS(合并抵消!$K:$K,合并抵消!$E:$E,$E136,合并抵消!$A:$A,P$2))</f>
        <v/>
      </c>
      <c r="Q136" s="89">
        <f>浙江精准学!Q136+知识跳跳!Q136+海南精准学!Q136+实时查!Q136+目标准!Q136+'SMART LEARNING HOLDING'!Q136+'SMART AI LIMITED'!Q136+'HK01'!Q136-(-SUMIFS(合并抵消!$J:$J,合并抵消!$E:$E,$E136,合并抵消!$A:$A,Q$2)+SUMIFS(合并抵消!$K:$K,合并抵消!$E:$E,$E136,合并抵消!$A:$A,Q$2))</f>
        <v/>
      </c>
      <c r="R136" s="89">
        <f>SUM(F136:Q136)</f>
        <v/>
      </c>
    </row>
    <row r="137" s="83">
      <c r="A137" s="49" t="inlineStr">
        <is>
          <t>销售费用合计</t>
        </is>
      </c>
      <c r="B137" s="50" t="n"/>
      <c r="C137" s="50" t="n"/>
      <c r="D137" s="49" t="n"/>
      <c r="E137" s="49" t="n"/>
      <c r="F137" s="89">
        <f>SUM(F99:F136)</f>
        <v/>
      </c>
      <c r="G137" s="89">
        <f>SUM(G99:G136)</f>
        <v/>
      </c>
      <c r="H137" s="89">
        <f>SUM(H99:H136)</f>
        <v/>
      </c>
      <c r="I137" s="89">
        <f>SUM(I99:I136)</f>
        <v/>
      </c>
      <c r="J137" s="89">
        <f>SUM(J99:J136)</f>
        <v/>
      </c>
      <c r="K137" s="89">
        <f>SUM(K99:K136)</f>
        <v/>
      </c>
      <c r="L137" s="89">
        <f>SUM(L99:L136)</f>
        <v/>
      </c>
      <c r="M137" s="89">
        <f>SUM(M99:M136)</f>
        <v/>
      </c>
      <c r="N137" s="89">
        <f>SUM(N99:N136)</f>
        <v/>
      </c>
      <c r="O137" s="89">
        <f>SUM(O99:O136)</f>
        <v/>
      </c>
      <c r="P137" s="89">
        <f>SUM(P99:P136)</f>
        <v/>
      </c>
      <c r="Q137" s="89">
        <f>SUM(Q99:Q136)</f>
        <v/>
      </c>
      <c r="R137" s="89">
        <f>SUM(F137:Q137)</f>
        <v/>
      </c>
    </row>
    <row r="138" s="83">
      <c r="A138" s="5" t="inlineStr">
        <is>
          <t>管理费用</t>
        </is>
      </c>
      <c r="B138" s="6" t="inlineStr">
        <is>
          <t>办公场地使用费</t>
        </is>
      </c>
      <c r="C138" s="6" t="inlineStr">
        <is>
          <t>办公场地使用费</t>
        </is>
      </c>
      <c r="D138" s="5" t="inlineStr">
        <is>
          <t>西溪首座办公场地租金</t>
        </is>
      </c>
      <c r="E138" s="6" t="inlineStr">
        <is>
          <t>Q2702</t>
        </is>
      </c>
      <c r="F138" s="89">
        <f>浙江精准学!F138+知识跳跳!F138+海南精准学!F138+实时查!F138+目标准!F138+'SMART LEARNING HOLDING'!F138+'SMART AI LIMITED'!F138+'HK01'!F138-(-SUMIFS(合并抵消!$J:$J,合并抵消!$E:$E,$E138,合并抵消!$A:$A,F$2)+SUMIFS(合并抵消!$K:$K,合并抵消!$E:$E,$E138,合并抵消!$A:$A,F$2))</f>
        <v/>
      </c>
      <c r="G138" s="89">
        <f>浙江精准学!G138+知识跳跳!G138+海南精准学!G138+实时查!G138+目标准!G138+'SMART LEARNING HOLDING'!G138+'SMART AI LIMITED'!G138+'HK01'!G138-(-SUMIFS(合并抵消!$J:$J,合并抵消!$E:$E,$E138,合并抵消!$A:$A,G$2)+SUMIFS(合并抵消!$K:$K,合并抵消!$E:$E,$E138,合并抵消!$A:$A,G$2))</f>
        <v/>
      </c>
      <c r="H138" s="89">
        <f>浙江精准学!H138+知识跳跳!H138+海南精准学!H138+实时查!H138+目标准!H138+'SMART LEARNING HOLDING'!H138+'SMART AI LIMITED'!H138+'HK01'!H138-(-SUMIFS(合并抵消!$J:$J,合并抵消!$E:$E,$E138,合并抵消!$A:$A,H$2)+SUMIFS(合并抵消!$K:$K,合并抵消!$E:$E,$E138,合并抵消!$A:$A,H$2))</f>
        <v/>
      </c>
      <c r="I138" s="89">
        <f>浙江精准学!I138+知识跳跳!I138+海南精准学!I138+实时查!I138+目标准!I138+'SMART LEARNING HOLDING'!I138+'SMART AI LIMITED'!I138+'HK01'!I138-(-SUMIFS(合并抵消!$J:$J,合并抵消!$E:$E,$E138,合并抵消!$A:$A,I$2)+SUMIFS(合并抵消!$K:$K,合并抵消!$E:$E,$E138,合并抵消!$A:$A,I$2))</f>
        <v/>
      </c>
      <c r="J138" s="89">
        <f>浙江精准学!J138+知识跳跳!J138+海南精准学!J138+实时查!J138+目标准!J138+'SMART LEARNING HOLDING'!J138+'SMART AI LIMITED'!J138+'HK01'!J138-(-SUMIFS(合并抵消!$J:$J,合并抵消!$E:$E,$E138,合并抵消!$A:$A,J$2)+SUMIFS(合并抵消!$K:$K,合并抵消!$E:$E,$E138,合并抵消!$A:$A,J$2))</f>
        <v/>
      </c>
      <c r="K138" s="89">
        <f>浙江精准学!K138+知识跳跳!K138+海南精准学!K138+实时查!K138+目标准!K138+'SMART LEARNING HOLDING'!K138+'SMART AI LIMITED'!K138+'HK01'!K138-(-SUMIFS(合并抵消!$J:$J,合并抵消!$E:$E,$E138,合并抵消!$A:$A,K$2)+SUMIFS(合并抵消!$K:$K,合并抵消!$E:$E,$E138,合并抵消!$A:$A,K$2))</f>
        <v/>
      </c>
      <c r="L138" s="89">
        <f>浙江精准学!L138+知识跳跳!L138+海南精准学!L138+实时查!L138+目标准!L138+'SMART LEARNING HOLDING'!L138+'SMART AI LIMITED'!L138+'HK01'!L138-(-SUMIFS(合并抵消!$J:$J,合并抵消!$E:$E,$E138,合并抵消!$A:$A,L$2)+SUMIFS(合并抵消!$K:$K,合并抵消!$E:$E,$E138,合并抵消!$A:$A,L$2))</f>
        <v/>
      </c>
      <c r="M138" s="89">
        <f>浙江精准学!M138+知识跳跳!M138+海南精准学!M138+实时查!M138+目标准!M138+'SMART LEARNING HOLDING'!M138+'SMART AI LIMITED'!M138+'HK01'!M138-(-SUMIFS(合并抵消!$J:$J,合并抵消!$E:$E,$E138,合并抵消!$A:$A,M$2)+SUMIFS(合并抵消!$K:$K,合并抵消!$E:$E,$E138,合并抵消!$A:$A,M$2))</f>
        <v/>
      </c>
      <c r="N138" s="89">
        <f>浙江精准学!N138+知识跳跳!N138+海南精准学!N138+实时查!N138+目标准!N138+'SMART LEARNING HOLDING'!N138+'SMART AI LIMITED'!N138+'HK01'!N138-(-SUMIFS(合并抵消!$J:$J,合并抵消!$E:$E,$E138,合并抵消!$A:$A,N$2)+SUMIFS(合并抵消!$K:$K,合并抵消!$E:$E,$E138,合并抵消!$A:$A,N$2))</f>
        <v/>
      </c>
      <c r="O138" s="89">
        <f>浙江精准学!O138+知识跳跳!O138+海南精准学!O138+实时查!O138+目标准!O138+'SMART LEARNING HOLDING'!O138+'SMART AI LIMITED'!O138+'HK01'!O138-(-SUMIFS(合并抵消!$J:$J,合并抵消!$E:$E,$E138,合并抵消!$A:$A,O$2)+SUMIFS(合并抵消!$K:$K,合并抵消!$E:$E,$E138,合并抵消!$A:$A,O$2))</f>
        <v/>
      </c>
      <c r="P138" s="89">
        <f>浙江精准学!P138+知识跳跳!P138+海南精准学!P138+实时查!P138+目标准!P138+'SMART LEARNING HOLDING'!P138+'SMART AI LIMITED'!P138+'HK01'!P138-(-SUMIFS(合并抵消!$J:$J,合并抵消!$E:$E,$E138,合并抵消!$A:$A,P$2)+SUMIFS(合并抵消!$K:$K,合并抵消!$E:$E,$E138,合并抵消!$A:$A,P$2))</f>
        <v/>
      </c>
      <c r="Q138" s="89">
        <f>浙江精准学!Q138+知识跳跳!Q138+海南精准学!Q138+实时查!Q138+目标准!Q138+'SMART LEARNING HOLDING'!Q138+'SMART AI LIMITED'!Q138+'HK01'!Q138-(-SUMIFS(合并抵消!$J:$J,合并抵消!$E:$E,$E138,合并抵消!$A:$A,Q$2)+SUMIFS(合并抵消!$K:$K,合并抵消!$E:$E,$E138,合并抵消!$A:$A,Q$2))</f>
        <v/>
      </c>
      <c r="R138" s="89">
        <f>SUM(F138:Q138)</f>
        <v/>
      </c>
    </row>
    <row r="139" s="83">
      <c r="A139" s="5" t="inlineStr">
        <is>
          <t>管理费用</t>
        </is>
      </c>
      <c r="B139" s="6" t="inlineStr">
        <is>
          <t>办公场地使用费</t>
        </is>
      </c>
      <c r="D139" s="5" t="inlineStr">
        <is>
          <t>西溪首座办公场地装修费</t>
        </is>
      </c>
      <c r="E139" s="6" t="inlineStr">
        <is>
          <t>Q2701</t>
        </is>
      </c>
      <c r="F139" s="89">
        <f>浙江精准学!F139+知识跳跳!F139+海南精准学!F139+实时查!F139+目标准!F139+'SMART LEARNING HOLDING'!F139+'SMART AI LIMITED'!F139+'HK01'!F139-(-SUMIFS(合并抵消!$J:$J,合并抵消!$E:$E,$E139,合并抵消!$A:$A,F$2)+SUMIFS(合并抵消!$K:$K,合并抵消!$E:$E,$E139,合并抵消!$A:$A,F$2))</f>
        <v/>
      </c>
      <c r="G139" s="89">
        <f>浙江精准学!G139+知识跳跳!G139+海南精准学!G139+实时查!G139+目标准!G139+'SMART LEARNING HOLDING'!G139+'SMART AI LIMITED'!G139+'HK01'!G139-(-SUMIFS(合并抵消!$J:$J,合并抵消!$E:$E,$E139,合并抵消!$A:$A,G$2)+SUMIFS(合并抵消!$K:$K,合并抵消!$E:$E,$E139,合并抵消!$A:$A,G$2))</f>
        <v/>
      </c>
      <c r="H139" s="89">
        <f>浙江精准学!H139+知识跳跳!H139+海南精准学!H139+实时查!H139+目标准!H139+'SMART LEARNING HOLDING'!H139+'SMART AI LIMITED'!H139+'HK01'!H139-(-SUMIFS(合并抵消!$J:$J,合并抵消!$E:$E,$E139,合并抵消!$A:$A,H$2)+SUMIFS(合并抵消!$K:$K,合并抵消!$E:$E,$E139,合并抵消!$A:$A,H$2))</f>
        <v/>
      </c>
      <c r="I139" s="89">
        <f>浙江精准学!I139+知识跳跳!I139+海南精准学!I139+实时查!I139+目标准!I139+'SMART LEARNING HOLDING'!I139+'SMART AI LIMITED'!I139+'HK01'!I139-(-SUMIFS(合并抵消!$J:$J,合并抵消!$E:$E,$E139,合并抵消!$A:$A,I$2)+SUMIFS(合并抵消!$K:$K,合并抵消!$E:$E,$E139,合并抵消!$A:$A,I$2))</f>
        <v/>
      </c>
      <c r="J139" s="89">
        <f>浙江精准学!J139+知识跳跳!J139+海南精准学!J139+实时查!J139+目标准!J139+'SMART LEARNING HOLDING'!J139+'SMART AI LIMITED'!J139+'HK01'!J139-(-SUMIFS(合并抵消!$J:$J,合并抵消!$E:$E,$E139,合并抵消!$A:$A,J$2)+SUMIFS(合并抵消!$K:$K,合并抵消!$E:$E,$E139,合并抵消!$A:$A,J$2))</f>
        <v/>
      </c>
      <c r="K139" s="89">
        <f>浙江精准学!K139+知识跳跳!K139+海南精准学!K139+实时查!K139+目标准!K139+'SMART LEARNING HOLDING'!K139+'SMART AI LIMITED'!K139+'HK01'!K139-(-SUMIFS(合并抵消!$J:$J,合并抵消!$E:$E,$E139,合并抵消!$A:$A,K$2)+SUMIFS(合并抵消!$K:$K,合并抵消!$E:$E,$E139,合并抵消!$A:$A,K$2))</f>
        <v/>
      </c>
      <c r="L139" s="89">
        <f>浙江精准学!L139+知识跳跳!L139+海南精准学!L139+实时查!L139+目标准!L139+'SMART LEARNING HOLDING'!L139+'SMART AI LIMITED'!L139+'HK01'!L139-(-SUMIFS(合并抵消!$J:$J,合并抵消!$E:$E,$E139,合并抵消!$A:$A,L$2)+SUMIFS(合并抵消!$K:$K,合并抵消!$E:$E,$E139,合并抵消!$A:$A,L$2))</f>
        <v/>
      </c>
      <c r="M139" s="89">
        <f>浙江精准学!M139+知识跳跳!M139+海南精准学!M139+实时查!M139+目标准!M139+'SMART LEARNING HOLDING'!M139+'SMART AI LIMITED'!M139+'HK01'!M139-(-SUMIFS(合并抵消!$J:$J,合并抵消!$E:$E,$E139,合并抵消!$A:$A,M$2)+SUMIFS(合并抵消!$K:$K,合并抵消!$E:$E,$E139,合并抵消!$A:$A,M$2))</f>
        <v/>
      </c>
      <c r="N139" s="89">
        <f>浙江精准学!N139+知识跳跳!N139+海南精准学!N139+实时查!N139+目标准!N139+'SMART LEARNING HOLDING'!N139+'SMART AI LIMITED'!N139+'HK01'!N139-(-SUMIFS(合并抵消!$J:$J,合并抵消!$E:$E,$E139,合并抵消!$A:$A,N$2)+SUMIFS(合并抵消!$K:$K,合并抵消!$E:$E,$E139,合并抵消!$A:$A,N$2))</f>
        <v/>
      </c>
      <c r="O139" s="89">
        <f>浙江精准学!O139+知识跳跳!O139+海南精准学!O139+实时查!O139+目标准!O139+'SMART LEARNING HOLDING'!O139+'SMART AI LIMITED'!O139+'HK01'!O139-(-SUMIFS(合并抵消!$J:$J,合并抵消!$E:$E,$E139,合并抵消!$A:$A,O$2)+SUMIFS(合并抵消!$K:$K,合并抵消!$E:$E,$E139,合并抵消!$A:$A,O$2))</f>
        <v/>
      </c>
      <c r="P139" s="89">
        <f>浙江精准学!P139+知识跳跳!P139+海南精准学!P139+实时查!P139+目标准!P139+'SMART LEARNING HOLDING'!P139+'SMART AI LIMITED'!P139+'HK01'!P139-(-SUMIFS(合并抵消!$J:$J,合并抵消!$E:$E,$E139,合并抵消!$A:$A,P$2)+SUMIFS(合并抵消!$K:$K,合并抵消!$E:$E,$E139,合并抵消!$A:$A,P$2))</f>
        <v/>
      </c>
      <c r="Q139" s="89">
        <f>浙江精准学!Q139+知识跳跳!Q139+海南精准学!Q139+实时查!Q139+目标准!Q139+'SMART LEARNING HOLDING'!Q139+'SMART AI LIMITED'!Q139+'HK01'!Q139-(-SUMIFS(合并抵消!$J:$J,合并抵消!$E:$E,$E139,合并抵消!$A:$A,Q$2)+SUMIFS(合并抵消!$K:$K,合并抵消!$E:$E,$E139,合并抵消!$A:$A,Q$2))</f>
        <v/>
      </c>
      <c r="R139" s="89">
        <f>SUM(F139:Q139)</f>
        <v/>
      </c>
    </row>
    <row r="140" s="83">
      <c r="A140" s="5" t="inlineStr">
        <is>
          <t>管理费用</t>
        </is>
      </c>
      <c r="B140" s="6" t="inlineStr">
        <is>
          <t>办公场地使用费</t>
        </is>
      </c>
      <c r="D140" s="5" t="inlineStr">
        <is>
          <t>西溪首座办公室物业水电费</t>
        </is>
      </c>
      <c r="E140" s="6" t="inlineStr">
        <is>
          <t>Q2703</t>
        </is>
      </c>
      <c r="F140" s="89">
        <f>浙江精准学!F140+知识跳跳!F140+海南精准学!F140+实时查!F140+目标准!F140+'SMART LEARNING HOLDING'!F140+'SMART AI LIMITED'!F140+'HK01'!F140-(-SUMIFS(合并抵消!$J:$J,合并抵消!$E:$E,$E140,合并抵消!$A:$A,F$2)+SUMIFS(合并抵消!$K:$K,合并抵消!$E:$E,$E140,合并抵消!$A:$A,F$2))</f>
        <v/>
      </c>
      <c r="G140" s="89">
        <f>浙江精准学!G140+知识跳跳!G140+海南精准学!G140+实时查!G140+目标准!G140+'SMART LEARNING HOLDING'!G140+'SMART AI LIMITED'!G140+'HK01'!G140-(-SUMIFS(合并抵消!$J:$J,合并抵消!$E:$E,$E140,合并抵消!$A:$A,G$2)+SUMIFS(合并抵消!$K:$K,合并抵消!$E:$E,$E140,合并抵消!$A:$A,G$2))</f>
        <v/>
      </c>
      <c r="H140" s="89">
        <f>浙江精准学!H140+知识跳跳!H140+海南精准学!H140+实时查!H140+目标准!H140+'SMART LEARNING HOLDING'!H140+'SMART AI LIMITED'!H140+'HK01'!H140-(-SUMIFS(合并抵消!$J:$J,合并抵消!$E:$E,$E140,合并抵消!$A:$A,H$2)+SUMIFS(合并抵消!$K:$K,合并抵消!$E:$E,$E140,合并抵消!$A:$A,H$2))</f>
        <v/>
      </c>
      <c r="I140" s="89">
        <f>浙江精准学!I140+知识跳跳!I140+海南精准学!I140+实时查!I140+目标准!I140+'SMART LEARNING HOLDING'!I140+'SMART AI LIMITED'!I140+'HK01'!I140-(-SUMIFS(合并抵消!$J:$J,合并抵消!$E:$E,$E140,合并抵消!$A:$A,I$2)+SUMIFS(合并抵消!$K:$K,合并抵消!$E:$E,$E140,合并抵消!$A:$A,I$2))</f>
        <v/>
      </c>
      <c r="J140" s="89">
        <f>浙江精准学!J140+知识跳跳!J140+海南精准学!J140+实时查!J140+目标准!J140+'SMART LEARNING HOLDING'!J140+'SMART AI LIMITED'!J140+'HK01'!J140-(-SUMIFS(合并抵消!$J:$J,合并抵消!$E:$E,$E140,合并抵消!$A:$A,J$2)+SUMIFS(合并抵消!$K:$K,合并抵消!$E:$E,$E140,合并抵消!$A:$A,J$2))</f>
        <v/>
      </c>
      <c r="K140" s="89">
        <f>浙江精准学!K140+知识跳跳!K140+海南精准学!K140+实时查!K140+目标准!K140+'SMART LEARNING HOLDING'!K140+'SMART AI LIMITED'!K140+'HK01'!K140-(-SUMIFS(合并抵消!$J:$J,合并抵消!$E:$E,$E140,合并抵消!$A:$A,K$2)+SUMIFS(合并抵消!$K:$K,合并抵消!$E:$E,$E140,合并抵消!$A:$A,K$2))</f>
        <v/>
      </c>
      <c r="L140" s="89">
        <f>浙江精准学!L140+知识跳跳!L140+海南精准学!L140+实时查!L140+目标准!L140+'SMART LEARNING HOLDING'!L140+'SMART AI LIMITED'!L140+'HK01'!L140-(-SUMIFS(合并抵消!$J:$J,合并抵消!$E:$E,$E140,合并抵消!$A:$A,L$2)+SUMIFS(合并抵消!$K:$K,合并抵消!$E:$E,$E140,合并抵消!$A:$A,L$2))</f>
        <v/>
      </c>
      <c r="M140" s="89">
        <f>浙江精准学!M140+知识跳跳!M140+海南精准学!M140+实时查!M140+目标准!M140+'SMART LEARNING HOLDING'!M140+'SMART AI LIMITED'!M140+'HK01'!M140-(-SUMIFS(合并抵消!$J:$J,合并抵消!$E:$E,$E140,合并抵消!$A:$A,M$2)+SUMIFS(合并抵消!$K:$K,合并抵消!$E:$E,$E140,合并抵消!$A:$A,M$2))</f>
        <v/>
      </c>
      <c r="N140" s="89">
        <f>浙江精准学!N140+知识跳跳!N140+海南精准学!N140+实时查!N140+目标准!N140+'SMART LEARNING HOLDING'!N140+'SMART AI LIMITED'!N140+'HK01'!N140-(-SUMIFS(合并抵消!$J:$J,合并抵消!$E:$E,$E140,合并抵消!$A:$A,N$2)+SUMIFS(合并抵消!$K:$K,合并抵消!$E:$E,$E140,合并抵消!$A:$A,N$2))</f>
        <v/>
      </c>
      <c r="O140" s="89">
        <f>浙江精准学!O140+知识跳跳!O140+海南精准学!O140+实时查!O140+目标准!O140+'SMART LEARNING HOLDING'!O140+'SMART AI LIMITED'!O140+'HK01'!O140-(-SUMIFS(合并抵消!$J:$J,合并抵消!$E:$E,$E140,合并抵消!$A:$A,O$2)+SUMIFS(合并抵消!$K:$K,合并抵消!$E:$E,$E140,合并抵消!$A:$A,O$2))</f>
        <v/>
      </c>
      <c r="P140" s="89">
        <f>浙江精准学!P140+知识跳跳!P140+海南精准学!P140+实时查!P140+目标准!P140+'SMART LEARNING HOLDING'!P140+'SMART AI LIMITED'!P140+'HK01'!P140-(-SUMIFS(合并抵消!$J:$J,合并抵消!$E:$E,$E140,合并抵消!$A:$A,P$2)+SUMIFS(合并抵消!$K:$K,合并抵消!$E:$E,$E140,合并抵消!$A:$A,P$2))</f>
        <v/>
      </c>
      <c r="Q140" s="89">
        <f>浙江精准学!Q140+知识跳跳!Q140+海南精准学!Q140+实时查!Q140+目标准!Q140+'SMART LEARNING HOLDING'!Q140+'SMART AI LIMITED'!Q140+'HK01'!Q140-(-SUMIFS(合并抵消!$J:$J,合并抵消!$E:$E,$E140,合并抵消!$A:$A,Q$2)+SUMIFS(合并抵消!$K:$K,合并抵消!$E:$E,$E140,合并抵消!$A:$A,Q$2))</f>
        <v/>
      </c>
      <c r="R140" s="89">
        <f>SUM(F140:Q140)</f>
        <v/>
      </c>
    </row>
    <row r="141" s="83">
      <c r="A141" s="5" t="inlineStr">
        <is>
          <t>管理费用</t>
        </is>
      </c>
      <c r="B141" s="6" t="inlineStr">
        <is>
          <t>办公场地使用费</t>
        </is>
      </c>
      <c r="D141" s="5" t="inlineStr">
        <is>
          <t>合肥办公室租金</t>
        </is>
      </c>
      <c r="E141" s="6" t="inlineStr">
        <is>
          <t>Q2704</t>
        </is>
      </c>
      <c r="F141" s="89">
        <f>浙江精准学!F141+知识跳跳!F141+海南精准学!F141+实时查!F141+目标准!F141+'SMART LEARNING HOLDING'!F141+'SMART AI LIMITED'!F141+'HK01'!F141-(-SUMIFS(合并抵消!$J:$J,合并抵消!$E:$E,$E141,合并抵消!$A:$A,F$2)+SUMIFS(合并抵消!$K:$K,合并抵消!$E:$E,$E141,合并抵消!$A:$A,F$2))</f>
        <v/>
      </c>
      <c r="G141" s="89">
        <f>浙江精准学!G141+知识跳跳!G141+海南精准学!G141+实时查!G141+目标准!G141+'SMART LEARNING HOLDING'!G141+'SMART AI LIMITED'!G141+'HK01'!G141-(-SUMIFS(合并抵消!$J:$J,合并抵消!$E:$E,$E141,合并抵消!$A:$A,G$2)+SUMIFS(合并抵消!$K:$K,合并抵消!$E:$E,$E141,合并抵消!$A:$A,G$2))</f>
        <v/>
      </c>
      <c r="H141" s="89">
        <f>浙江精准学!H141+知识跳跳!H141+海南精准学!H141+实时查!H141+目标准!H141+'SMART LEARNING HOLDING'!H141+'SMART AI LIMITED'!H141+'HK01'!H141-(-SUMIFS(合并抵消!$J:$J,合并抵消!$E:$E,$E141,合并抵消!$A:$A,H$2)+SUMIFS(合并抵消!$K:$K,合并抵消!$E:$E,$E141,合并抵消!$A:$A,H$2))</f>
        <v/>
      </c>
      <c r="I141" s="89">
        <f>浙江精准学!I141+知识跳跳!I141+海南精准学!I141+实时查!I141+目标准!I141+'SMART LEARNING HOLDING'!I141+'SMART AI LIMITED'!I141+'HK01'!I141-(-SUMIFS(合并抵消!$J:$J,合并抵消!$E:$E,$E141,合并抵消!$A:$A,I$2)+SUMIFS(合并抵消!$K:$K,合并抵消!$E:$E,$E141,合并抵消!$A:$A,I$2))</f>
        <v/>
      </c>
      <c r="J141" s="89">
        <f>浙江精准学!J141+知识跳跳!J141+海南精准学!J141+实时查!J141+目标准!J141+'SMART LEARNING HOLDING'!J141+'SMART AI LIMITED'!J141+'HK01'!J141-(-SUMIFS(合并抵消!$J:$J,合并抵消!$E:$E,$E141,合并抵消!$A:$A,J$2)+SUMIFS(合并抵消!$K:$K,合并抵消!$E:$E,$E141,合并抵消!$A:$A,J$2))</f>
        <v/>
      </c>
      <c r="K141" s="89">
        <f>浙江精准学!K141+知识跳跳!K141+海南精准学!K141+实时查!K141+目标准!K141+'SMART LEARNING HOLDING'!K141+'SMART AI LIMITED'!K141+'HK01'!K141-(-SUMIFS(合并抵消!$J:$J,合并抵消!$E:$E,$E141,合并抵消!$A:$A,K$2)+SUMIFS(合并抵消!$K:$K,合并抵消!$E:$E,$E141,合并抵消!$A:$A,K$2))</f>
        <v/>
      </c>
      <c r="L141" s="89">
        <f>浙江精准学!L141+知识跳跳!L141+海南精准学!L141+实时查!L141+目标准!L141+'SMART LEARNING HOLDING'!L141+'SMART AI LIMITED'!L141+'HK01'!L141-(-SUMIFS(合并抵消!$J:$J,合并抵消!$E:$E,$E141,合并抵消!$A:$A,L$2)+SUMIFS(合并抵消!$K:$K,合并抵消!$E:$E,$E141,合并抵消!$A:$A,L$2))</f>
        <v/>
      </c>
      <c r="M141" s="89">
        <f>浙江精准学!M141+知识跳跳!M141+海南精准学!M141+实时查!M141+目标准!M141+'SMART LEARNING HOLDING'!M141+'SMART AI LIMITED'!M141+'HK01'!M141-(-SUMIFS(合并抵消!$J:$J,合并抵消!$E:$E,$E141,合并抵消!$A:$A,M$2)+SUMIFS(合并抵消!$K:$K,合并抵消!$E:$E,$E141,合并抵消!$A:$A,M$2))</f>
        <v/>
      </c>
      <c r="N141" s="89">
        <f>浙江精准学!N141+知识跳跳!N141+海南精准学!N141+实时查!N141+目标准!N141+'SMART LEARNING HOLDING'!N141+'SMART AI LIMITED'!N141+'HK01'!N141-(-SUMIFS(合并抵消!$J:$J,合并抵消!$E:$E,$E141,合并抵消!$A:$A,N$2)+SUMIFS(合并抵消!$K:$K,合并抵消!$E:$E,$E141,合并抵消!$A:$A,N$2))</f>
        <v/>
      </c>
      <c r="O141" s="89">
        <f>浙江精准学!O141+知识跳跳!O141+海南精准学!O141+实时查!O141+目标准!O141+'SMART LEARNING HOLDING'!O141+'SMART AI LIMITED'!O141+'HK01'!O141-(-SUMIFS(合并抵消!$J:$J,合并抵消!$E:$E,$E141,合并抵消!$A:$A,O$2)+SUMIFS(合并抵消!$K:$K,合并抵消!$E:$E,$E141,合并抵消!$A:$A,O$2))</f>
        <v/>
      </c>
      <c r="P141" s="89">
        <f>浙江精准学!P141+知识跳跳!P141+海南精准学!P141+实时查!P141+目标准!P141+'SMART LEARNING HOLDING'!P141+'SMART AI LIMITED'!P141+'HK01'!P141-(-SUMIFS(合并抵消!$J:$J,合并抵消!$E:$E,$E141,合并抵消!$A:$A,P$2)+SUMIFS(合并抵消!$K:$K,合并抵消!$E:$E,$E141,合并抵消!$A:$A,P$2))</f>
        <v/>
      </c>
      <c r="Q141" s="89">
        <f>浙江精准学!Q141+知识跳跳!Q141+海南精准学!Q141+实时查!Q141+目标准!Q141+'SMART LEARNING HOLDING'!Q141+'SMART AI LIMITED'!Q141+'HK01'!Q141-(-SUMIFS(合并抵消!$J:$J,合并抵消!$E:$E,$E141,合并抵消!$A:$A,Q$2)+SUMIFS(合并抵消!$K:$K,合并抵消!$E:$E,$E141,合并抵消!$A:$A,Q$2))</f>
        <v/>
      </c>
      <c r="R141" s="89">
        <f>SUM(F141:Q141)</f>
        <v/>
      </c>
    </row>
    <row r="142" s="83">
      <c r="A142" s="5" t="inlineStr">
        <is>
          <t>管理费用</t>
        </is>
      </c>
      <c r="B142" s="6" t="inlineStr">
        <is>
          <t>办公场地使用费</t>
        </is>
      </c>
      <c r="D142" s="5" t="inlineStr">
        <is>
          <t>合肥办公室物业水电费</t>
        </is>
      </c>
      <c r="E142" s="6" t="inlineStr">
        <is>
          <t>Q2705</t>
        </is>
      </c>
      <c r="F142" s="89">
        <f>浙江精准学!F142+知识跳跳!F142+海南精准学!F142+实时查!F142+目标准!F142+'SMART LEARNING HOLDING'!F142+'SMART AI LIMITED'!F142+'HK01'!F142-(-SUMIFS(合并抵消!$J:$J,合并抵消!$E:$E,$E142,合并抵消!$A:$A,F$2)+SUMIFS(合并抵消!$K:$K,合并抵消!$E:$E,$E142,合并抵消!$A:$A,F$2))</f>
        <v/>
      </c>
      <c r="G142" s="89">
        <f>浙江精准学!G142+知识跳跳!G142+海南精准学!G142+实时查!G142+目标准!G142+'SMART LEARNING HOLDING'!G142+'SMART AI LIMITED'!G142+'HK01'!G142-(-SUMIFS(合并抵消!$J:$J,合并抵消!$E:$E,$E142,合并抵消!$A:$A,G$2)+SUMIFS(合并抵消!$K:$K,合并抵消!$E:$E,$E142,合并抵消!$A:$A,G$2))</f>
        <v/>
      </c>
      <c r="H142" s="89">
        <f>浙江精准学!H142+知识跳跳!H142+海南精准学!H142+实时查!H142+目标准!H142+'SMART LEARNING HOLDING'!H142+'SMART AI LIMITED'!H142+'HK01'!H142-(-SUMIFS(合并抵消!$J:$J,合并抵消!$E:$E,$E142,合并抵消!$A:$A,H$2)+SUMIFS(合并抵消!$K:$K,合并抵消!$E:$E,$E142,合并抵消!$A:$A,H$2))</f>
        <v/>
      </c>
      <c r="I142" s="89">
        <f>浙江精准学!I142+知识跳跳!I142+海南精准学!I142+实时查!I142+目标准!I142+'SMART LEARNING HOLDING'!I142+'SMART AI LIMITED'!I142+'HK01'!I142-(-SUMIFS(合并抵消!$J:$J,合并抵消!$E:$E,$E142,合并抵消!$A:$A,I$2)+SUMIFS(合并抵消!$K:$K,合并抵消!$E:$E,$E142,合并抵消!$A:$A,I$2))</f>
        <v/>
      </c>
      <c r="J142" s="89">
        <f>浙江精准学!J142+知识跳跳!J142+海南精准学!J142+实时查!J142+目标准!J142+'SMART LEARNING HOLDING'!J142+'SMART AI LIMITED'!J142+'HK01'!J142-(-SUMIFS(合并抵消!$J:$J,合并抵消!$E:$E,$E142,合并抵消!$A:$A,J$2)+SUMIFS(合并抵消!$K:$K,合并抵消!$E:$E,$E142,合并抵消!$A:$A,J$2))</f>
        <v/>
      </c>
      <c r="K142" s="89">
        <f>浙江精准学!K142+知识跳跳!K142+海南精准学!K142+实时查!K142+目标准!K142+'SMART LEARNING HOLDING'!K142+'SMART AI LIMITED'!K142+'HK01'!K142-(-SUMIFS(合并抵消!$J:$J,合并抵消!$E:$E,$E142,合并抵消!$A:$A,K$2)+SUMIFS(合并抵消!$K:$K,合并抵消!$E:$E,$E142,合并抵消!$A:$A,K$2))</f>
        <v/>
      </c>
      <c r="L142" s="89">
        <f>浙江精准学!L142+知识跳跳!L142+海南精准学!L142+实时查!L142+目标准!L142+'SMART LEARNING HOLDING'!L142+'SMART AI LIMITED'!L142+'HK01'!L142-(-SUMIFS(合并抵消!$J:$J,合并抵消!$E:$E,$E142,合并抵消!$A:$A,L$2)+SUMIFS(合并抵消!$K:$K,合并抵消!$E:$E,$E142,合并抵消!$A:$A,L$2))</f>
        <v/>
      </c>
      <c r="M142" s="89">
        <f>浙江精准学!M142+知识跳跳!M142+海南精准学!M142+实时查!M142+目标准!M142+'SMART LEARNING HOLDING'!M142+'SMART AI LIMITED'!M142+'HK01'!M142-(-SUMIFS(合并抵消!$J:$J,合并抵消!$E:$E,$E142,合并抵消!$A:$A,M$2)+SUMIFS(合并抵消!$K:$K,合并抵消!$E:$E,$E142,合并抵消!$A:$A,M$2))</f>
        <v/>
      </c>
      <c r="N142" s="89">
        <f>浙江精准学!N142+知识跳跳!N142+海南精准学!N142+实时查!N142+目标准!N142+'SMART LEARNING HOLDING'!N142+'SMART AI LIMITED'!N142+'HK01'!N142-(-SUMIFS(合并抵消!$J:$J,合并抵消!$E:$E,$E142,合并抵消!$A:$A,N$2)+SUMIFS(合并抵消!$K:$K,合并抵消!$E:$E,$E142,合并抵消!$A:$A,N$2))</f>
        <v/>
      </c>
      <c r="O142" s="89">
        <f>浙江精准学!O142+知识跳跳!O142+海南精准学!O142+实时查!O142+目标准!O142+'SMART LEARNING HOLDING'!O142+'SMART AI LIMITED'!O142+'HK01'!O142-(-SUMIFS(合并抵消!$J:$J,合并抵消!$E:$E,$E142,合并抵消!$A:$A,O$2)+SUMIFS(合并抵消!$K:$K,合并抵消!$E:$E,$E142,合并抵消!$A:$A,O$2))</f>
        <v/>
      </c>
      <c r="P142" s="89">
        <f>浙江精准学!P142+知识跳跳!P142+海南精准学!P142+实时查!P142+目标准!P142+'SMART LEARNING HOLDING'!P142+'SMART AI LIMITED'!P142+'HK01'!P142-(-SUMIFS(合并抵消!$J:$J,合并抵消!$E:$E,$E142,合并抵消!$A:$A,P$2)+SUMIFS(合并抵消!$K:$K,合并抵消!$E:$E,$E142,合并抵消!$A:$A,P$2))</f>
        <v/>
      </c>
      <c r="Q142" s="89">
        <f>浙江精准学!Q142+知识跳跳!Q142+海南精准学!Q142+实时查!Q142+目标准!Q142+'SMART LEARNING HOLDING'!Q142+'SMART AI LIMITED'!Q142+'HK01'!Q142-(-SUMIFS(合并抵消!$J:$J,合并抵消!$E:$E,$E142,合并抵消!$A:$A,Q$2)+SUMIFS(合并抵消!$K:$K,合并抵消!$E:$E,$E142,合并抵消!$A:$A,Q$2))</f>
        <v/>
      </c>
      <c r="R142" s="89">
        <f>SUM(F142:Q142)</f>
        <v/>
      </c>
    </row>
    <row r="143" s="83">
      <c r="A143" s="5" t="inlineStr">
        <is>
          <t>管理费用</t>
        </is>
      </c>
      <c r="B143" s="6" t="inlineStr">
        <is>
          <t>办公场地使用费</t>
        </is>
      </c>
      <c r="D143" s="5" t="inlineStr">
        <is>
          <t>其他办公场地使用费</t>
        </is>
      </c>
      <c r="E143" s="6" t="inlineStr">
        <is>
          <t>Q2706</t>
        </is>
      </c>
      <c r="F143" s="89">
        <f>浙江精准学!F143+知识跳跳!F143+海南精准学!F143+实时查!F143+目标准!F143+'SMART LEARNING HOLDING'!F143+'SMART AI LIMITED'!F143+'HK01'!F143-(-SUMIFS(合并抵消!$J:$J,合并抵消!$E:$E,$E143,合并抵消!$A:$A,F$2)+SUMIFS(合并抵消!$K:$K,合并抵消!$E:$E,$E143,合并抵消!$A:$A,F$2))</f>
        <v/>
      </c>
      <c r="G143" s="89">
        <f>浙江精准学!G143+知识跳跳!G143+海南精准学!G143+实时查!G143+目标准!G143+'SMART LEARNING HOLDING'!G143+'SMART AI LIMITED'!G143+'HK01'!G143-(-SUMIFS(合并抵消!$J:$J,合并抵消!$E:$E,$E143,合并抵消!$A:$A,G$2)+SUMIFS(合并抵消!$K:$K,合并抵消!$E:$E,$E143,合并抵消!$A:$A,G$2))</f>
        <v/>
      </c>
      <c r="H143" s="89">
        <f>浙江精准学!H143+知识跳跳!H143+海南精准学!H143+实时查!H143+目标准!H143+'SMART LEARNING HOLDING'!H143+'SMART AI LIMITED'!H143+'HK01'!H143-(-SUMIFS(合并抵消!$J:$J,合并抵消!$E:$E,$E143,合并抵消!$A:$A,H$2)+SUMIFS(合并抵消!$K:$K,合并抵消!$E:$E,$E143,合并抵消!$A:$A,H$2))</f>
        <v/>
      </c>
      <c r="I143" s="89">
        <f>浙江精准学!I143+知识跳跳!I143+海南精准学!I143+实时查!I143+目标准!I143+'SMART LEARNING HOLDING'!I143+'SMART AI LIMITED'!I143+'HK01'!I143-(-SUMIFS(合并抵消!$J:$J,合并抵消!$E:$E,$E143,合并抵消!$A:$A,I$2)+SUMIFS(合并抵消!$K:$K,合并抵消!$E:$E,$E143,合并抵消!$A:$A,I$2))</f>
        <v/>
      </c>
      <c r="J143" s="89">
        <f>浙江精准学!J143+知识跳跳!J143+海南精准学!J143+实时查!J143+目标准!J143+'SMART LEARNING HOLDING'!J143+'SMART AI LIMITED'!J143+'HK01'!J143-(-SUMIFS(合并抵消!$J:$J,合并抵消!$E:$E,$E143,合并抵消!$A:$A,J$2)+SUMIFS(合并抵消!$K:$K,合并抵消!$E:$E,$E143,合并抵消!$A:$A,J$2))</f>
        <v/>
      </c>
      <c r="K143" s="89">
        <f>浙江精准学!K143+知识跳跳!K143+海南精准学!K143+实时查!K143+目标准!K143+'SMART LEARNING HOLDING'!K143+'SMART AI LIMITED'!K143+'HK01'!K143-(-SUMIFS(合并抵消!$J:$J,合并抵消!$E:$E,$E143,合并抵消!$A:$A,K$2)+SUMIFS(合并抵消!$K:$K,合并抵消!$E:$E,$E143,合并抵消!$A:$A,K$2))</f>
        <v/>
      </c>
      <c r="L143" s="89">
        <f>浙江精准学!L143+知识跳跳!L143+海南精准学!L143+实时查!L143+目标准!L143+'SMART LEARNING HOLDING'!L143+'SMART AI LIMITED'!L143+'HK01'!L143-(-SUMIFS(合并抵消!$J:$J,合并抵消!$E:$E,$E143,合并抵消!$A:$A,L$2)+SUMIFS(合并抵消!$K:$K,合并抵消!$E:$E,$E143,合并抵消!$A:$A,L$2))</f>
        <v/>
      </c>
      <c r="M143" s="89">
        <f>浙江精准学!M143+知识跳跳!M143+海南精准学!M143+实时查!M143+目标准!M143+'SMART LEARNING HOLDING'!M143+'SMART AI LIMITED'!M143+'HK01'!M143-(-SUMIFS(合并抵消!$J:$J,合并抵消!$E:$E,$E143,合并抵消!$A:$A,M$2)+SUMIFS(合并抵消!$K:$K,合并抵消!$E:$E,$E143,合并抵消!$A:$A,M$2))</f>
        <v/>
      </c>
      <c r="N143" s="89">
        <f>浙江精准学!N143+知识跳跳!N143+海南精准学!N143+实时查!N143+目标准!N143+'SMART LEARNING HOLDING'!N143+'SMART AI LIMITED'!N143+'HK01'!N143-(-SUMIFS(合并抵消!$J:$J,合并抵消!$E:$E,$E143,合并抵消!$A:$A,N$2)+SUMIFS(合并抵消!$K:$K,合并抵消!$E:$E,$E143,合并抵消!$A:$A,N$2))</f>
        <v/>
      </c>
      <c r="O143" s="89">
        <f>浙江精准学!O143+知识跳跳!O143+海南精准学!O143+实时查!O143+目标准!O143+'SMART LEARNING HOLDING'!O143+'SMART AI LIMITED'!O143+'HK01'!O143-(-SUMIFS(合并抵消!$J:$J,合并抵消!$E:$E,$E143,合并抵消!$A:$A,O$2)+SUMIFS(合并抵消!$K:$K,合并抵消!$E:$E,$E143,合并抵消!$A:$A,O$2))</f>
        <v/>
      </c>
      <c r="P143" s="89">
        <f>浙江精准学!P143+知识跳跳!P143+海南精准学!P143+实时查!P143+目标准!P143+'SMART LEARNING HOLDING'!P143+'SMART AI LIMITED'!P143+'HK01'!P143-(-SUMIFS(合并抵消!$J:$J,合并抵消!$E:$E,$E143,合并抵消!$A:$A,P$2)+SUMIFS(合并抵消!$K:$K,合并抵消!$E:$E,$E143,合并抵消!$A:$A,P$2))</f>
        <v/>
      </c>
      <c r="Q143" s="89">
        <f>浙江精准学!Q143+知识跳跳!Q143+海南精准学!Q143+实时查!Q143+目标准!Q143+'SMART LEARNING HOLDING'!Q143+'SMART AI LIMITED'!Q143+'HK01'!Q143-(-SUMIFS(合并抵消!$J:$J,合并抵消!$E:$E,$E143,合并抵消!$A:$A,Q$2)+SUMIFS(合并抵消!$K:$K,合并抵消!$E:$E,$E143,合并抵消!$A:$A,Q$2))</f>
        <v/>
      </c>
      <c r="R143" s="89">
        <f>SUM(F143:Q143)</f>
        <v/>
      </c>
    </row>
    <row r="144" s="83">
      <c r="A144" s="5" t="inlineStr">
        <is>
          <t>管理费用</t>
        </is>
      </c>
      <c r="B144" s="6" t="inlineStr">
        <is>
          <t>办公场地使用费</t>
        </is>
      </c>
      <c r="D144" s="5" t="inlineStr">
        <is>
          <t>其他办公场地物业水电费</t>
        </is>
      </c>
      <c r="E144" s="6" t="inlineStr">
        <is>
          <t>Q2708</t>
        </is>
      </c>
      <c r="F144" s="89">
        <f>浙江精准学!F144+知识跳跳!F144+海南精准学!F144+实时查!F144+目标准!F144+'SMART LEARNING HOLDING'!F144+'SMART AI LIMITED'!F144+'HK01'!F144-(-SUMIFS(合并抵消!$J:$J,合并抵消!$E:$E,$E144,合并抵消!$A:$A,F$2)+SUMIFS(合并抵消!$K:$K,合并抵消!$E:$E,$E144,合并抵消!$A:$A,F$2))</f>
        <v/>
      </c>
      <c r="G144" s="89">
        <f>浙江精准学!G144+知识跳跳!G144+海南精准学!G144+实时查!G144+目标准!G144+'SMART LEARNING HOLDING'!G144+'SMART AI LIMITED'!G144+'HK01'!G144-(-SUMIFS(合并抵消!$J:$J,合并抵消!$E:$E,$E144,合并抵消!$A:$A,G$2)+SUMIFS(合并抵消!$K:$K,合并抵消!$E:$E,$E144,合并抵消!$A:$A,G$2))</f>
        <v/>
      </c>
      <c r="H144" s="89">
        <f>浙江精准学!H144+知识跳跳!H144+海南精准学!H144+实时查!H144+目标准!H144+'SMART LEARNING HOLDING'!H144+'SMART AI LIMITED'!H144+'HK01'!H144-(-SUMIFS(合并抵消!$J:$J,合并抵消!$E:$E,$E144,合并抵消!$A:$A,H$2)+SUMIFS(合并抵消!$K:$K,合并抵消!$E:$E,$E144,合并抵消!$A:$A,H$2))</f>
        <v/>
      </c>
      <c r="I144" s="89">
        <f>浙江精准学!I144+知识跳跳!I144+海南精准学!I144+实时查!I144+目标准!I144+'SMART LEARNING HOLDING'!I144+'SMART AI LIMITED'!I144+'HK01'!I144-(-SUMIFS(合并抵消!$J:$J,合并抵消!$E:$E,$E144,合并抵消!$A:$A,I$2)+SUMIFS(合并抵消!$K:$K,合并抵消!$E:$E,$E144,合并抵消!$A:$A,I$2))</f>
        <v/>
      </c>
      <c r="J144" s="89">
        <f>浙江精准学!J144+知识跳跳!J144+海南精准学!J144+实时查!J144+目标准!J144+'SMART LEARNING HOLDING'!J144+'SMART AI LIMITED'!J144+'HK01'!J144-(-SUMIFS(合并抵消!$J:$J,合并抵消!$E:$E,$E144,合并抵消!$A:$A,J$2)+SUMIFS(合并抵消!$K:$K,合并抵消!$E:$E,$E144,合并抵消!$A:$A,J$2))</f>
        <v/>
      </c>
      <c r="K144" s="89">
        <f>浙江精准学!K144+知识跳跳!K144+海南精准学!K144+实时查!K144+目标准!K144+'SMART LEARNING HOLDING'!K144+'SMART AI LIMITED'!K144+'HK01'!K144-(-SUMIFS(合并抵消!$J:$J,合并抵消!$E:$E,$E144,合并抵消!$A:$A,K$2)+SUMIFS(合并抵消!$K:$K,合并抵消!$E:$E,$E144,合并抵消!$A:$A,K$2))</f>
        <v/>
      </c>
      <c r="L144" s="89">
        <f>浙江精准学!L144+知识跳跳!L144+海南精准学!L144+实时查!L144+目标准!L144+'SMART LEARNING HOLDING'!L144+'SMART AI LIMITED'!L144+'HK01'!L144-(-SUMIFS(合并抵消!$J:$J,合并抵消!$E:$E,$E144,合并抵消!$A:$A,L$2)+SUMIFS(合并抵消!$K:$K,合并抵消!$E:$E,$E144,合并抵消!$A:$A,L$2))</f>
        <v/>
      </c>
      <c r="M144" s="89">
        <f>浙江精准学!M144+知识跳跳!M144+海南精准学!M144+实时查!M144+目标准!M144+'SMART LEARNING HOLDING'!M144+'SMART AI LIMITED'!M144+'HK01'!M144-(-SUMIFS(合并抵消!$J:$J,合并抵消!$E:$E,$E144,合并抵消!$A:$A,M$2)+SUMIFS(合并抵消!$K:$K,合并抵消!$E:$E,$E144,合并抵消!$A:$A,M$2))</f>
        <v/>
      </c>
      <c r="N144" s="89">
        <f>浙江精准学!N144+知识跳跳!N144+海南精准学!N144+实时查!N144+目标准!N144+'SMART LEARNING HOLDING'!N144+'SMART AI LIMITED'!N144+'HK01'!N144-(-SUMIFS(合并抵消!$J:$J,合并抵消!$E:$E,$E144,合并抵消!$A:$A,N$2)+SUMIFS(合并抵消!$K:$K,合并抵消!$E:$E,$E144,合并抵消!$A:$A,N$2))</f>
        <v/>
      </c>
      <c r="O144" s="89">
        <f>浙江精准学!O144+知识跳跳!O144+海南精准学!O144+实时查!O144+目标准!O144+'SMART LEARNING HOLDING'!O144+'SMART AI LIMITED'!O144+'HK01'!O144-(-SUMIFS(合并抵消!$J:$J,合并抵消!$E:$E,$E144,合并抵消!$A:$A,O$2)+SUMIFS(合并抵消!$K:$K,合并抵消!$E:$E,$E144,合并抵消!$A:$A,O$2))</f>
        <v/>
      </c>
      <c r="P144" s="89">
        <f>浙江精准学!P144+知识跳跳!P144+海南精准学!P144+实时查!P144+目标准!P144+'SMART LEARNING HOLDING'!P144+'SMART AI LIMITED'!P144+'HK01'!P144-(-SUMIFS(合并抵消!$J:$J,合并抵消!$E:$E,$E144,合并抵消!$A:$A,P$2)+SUMIFS(合并抵消!$K:$K,合并抵消!$E:$E,$E144,合并抵消!$A:$A,P$2))</f>
        <v/>
      </c>
      <c r="Q144" s="89">
        <f>浙江精准学!Q144+知识跳跳!Q144+海南精准学!Q144+实时查!Q144+目标准!Q144+'SMART LEARNING HOLDING'!Q144+'SMART AI LIMITED'!Q144+'HK01'!Q144-(-SUMIFS(合并抵消!$J:$J,合并抵消!$E:$E,$E144,合并抵消!$A:$A,Q$2)+SUMIFS(合并抵消!$K:$K,合并抵消!$E:$E,$E144,合并抵消!$A:$A,Q$2))</f>
        <v/>
      </c>
      <c r="R144" s="89">
        <f>SUM(F144:Q144)</f>
        <v/>
      </c>
    </row>
    <row r="145" s="83">
      <c r="A145" s="5" t="inlineStr">
        <is>
          <t>管理费用</t>
        </is>
      </c>
      <c r="B145" s="6" t="inlineStr">
        <is>
          <t>办公场地使用费</t>
        </is>
      </c>
      <c r="D145" s="5" t="inlineStr">
        <is>
          <t>押金</t>
        </is>
      </c>
      <c r="E145" s="6" t="inlineStr">
        <is>
          <t>Q2707</t>
        </is>
      </c>
      <c r="F145" s="89">
        <f>浙江精准学!F145+知识跳跳!F145+海南精准学!F145+实时查!F145+目标准!F145+'SMART LEARNING HOLDING'!F145+'SMART AI LIMITED'!F145+'HK01'!F145-(-SUMIFS(合并抵消!$J:$J,合并抵消!$E:$E,$E145,合并抵消!$A:$A,F$2)+SUMIFS(合并抵消!$K:$K,合并抵消!$E:$E,$E145,合并抵消!$A:$A,F$2))</f>
        <v/>
      </c>
      <c r="G145" s="89">
        <f>浙江精准学!G145+知识跳跳!G145+海南精准学!G145+实时查!G145+目标准!G145+'SMART LEARNING HOLDING'!G145+'SMART AI LIMITED'!G145+'HK01'!G145-(-SUMIFS(合并抵消!$J:$J,合并抵消!$E:$E,$E145,合并抵消!$A:$A,G$2)+SUMIFS(合并抵消!$K:$K,合并抵消!$E:$E,$E145,合并抵消!$A:$A,G$2))</f>
        <v/>
      </c>
      <c r="H145" s="89">
        <f>浙江精准学!H145+知识跳跳!H145+海南精准学!H145+实时查!H145+目标准!H145+'SMART LEARNING HOLDING'!H145+'SMART AI LIMITED'!H145+'HK01'!H145-(-SUMIFS(合并抵消!$J:$J,合并抵消!$E:$E,$E145,合并抵消!$A:$A,H$2)+SUMIFS(合并抵消!$K:$K,合并抵消!$E:$E,$E145,合并抵消!$A:$A,H$2))</f>
        <v/>
      </c>
      <c r="I145" s="89">
        <f>浙江精准学!I145+知识跳跳!I145+海南精准学!I145+实时查!I145+目标准!I145+'SMART LEARNING HOLDING'!I145+'SMART AI LIMITED'!I145+'HK01'!I145-(-SUMIFS(合并抵消!$J:$J,合并抵消!$E:$E,$E145,合并抵消!$A:$A,I$2)+SUMIFS(合并抵消!$K:$K,合并抵消!$E:$E,$E145,合并抵消!$A:$A,I$2))</f>
        <v/>
      </c>
      <c r="J145" s="89">
        <f>浙江精准学!J145+知识跳跳!J145+海南精准学!J145+实时查!J145+目标准!J145+'SMART LEARNING HOLDING'!J145+'SMART AI LIMITED'!J145+'HK01'!J145-(-SUMIFS(合并抵消!$J:$J,合并抵消!$E:$E,$E145,合并抵消!$A:$A,J$2)+SUMIFS(合并抵消!$K:$K,合并抵消!$E:$E,$E145,合并抵消!$A:$A,J$2))</f>
        <v/>
      </c>
      <c r="K145" s="89">
        <f>浙江精准学!K145+知识跳跳!K145+海南精准学!K145+实时查!K145+目标准!K145+'SMART LEARNING HOLDING'!K145+'SMART AI LIMITED'!K145+'HK01'!K145-(-SUMIFS(合并抵消!$J:$J,合并抵消!$E:$E,$E145,合并抵消!$A:$A,K$2)+SUMIFS(合并抵消!$K:$K,合并抵消!$E:$E,$E145,合并抵消!$A:$A,K$2))</f>
        <v/>
      </c>
      <c r="L145" s="89">
        <f>浙江精准学!L145+知识跳跳!L145+海南精准学!L145+实时查!L145+目标准!L145+'SMART LEARNING HOLDING'!L145+'SMART AI LIMITED'!L145+'HK01'!L145-(-SUMIFS(合并抵消!$J:$J,合并抵消!$E:$E,$E145,合并抵消!$A:$A,L$2)+SUMIFS(合并抵消!$K:$K,合并抵消!$E:$E,$E145,合并抵消!$A:$A,L$2))</f>
        <v/>
      </c>
      <c r="M145" s="89">
        <f>浙江精准学!M145+知识跳跳!M145+海南精准学!M145+实时查!M145+目标准!M145+'SMART LEARNING HOLDING'!M145+'SMART AI LIMITED'!M145+'HK01'!M145-(-SUMIFS(合并抵消!$J:$J,合并抵消!$E:$E,$E145,合并抵消!$A:$A,M$2)+SUMIFS(合并抵消!$K:$K,合并抵消!$E:$E,$E145,合并抵消!$A:$A,M$2))</f>
        <v/>
      </c>
      <c r="N145" s="89">
        <f>浙江精准学!N145+知识跳跳!N145+海南精准学!N145+实时查!N145+目标准!N145+'SMART LEARNING HOLDING'!N145+'SMART AI LIMITED'!N145+'HK01'!N145-(-SUMIFS(合并抵消!$J:$J,合并抵消!$E:$E,$E145,合并抵消!$A:$A,N$2)+SUMIFS(合并抵消!$K:$K,合并抵消!$E:$E,$E145,合并抵消!$A:$A,N$2))</f>
        <v/>
      </c>
      <c r="O145" s="89">
        <f>浙江精准学!O145+知识跳跳!O145+海南精准学!O145+实时查!O145+目标准!O145+'SMART LEARNING HOLDING'!O145+'SMART AI LIMITED'!O145+'HK01'!O145-(-SUMIFS(合并抵消!$J:$J,合并抵消!$E:$E,$E145,合并抵消!$A:$A,O$2)+SUMIFS(合并抵消!$K:$K,合并抵消!$E:$E,$E145,合并抵消!$A:$A,O$2))</f>
        <v/>
      </c>
      <c r="P145" s="89">
        <f>浙江精准学!P145+知识跳跳!P145+海南精准学!P145+实时查!P145+目标准!P145+'SMART LEARNING HOLDING'!P145+'SMART AI LIMITED'!P145+'HK01'!P145-(-SUMIFS(合并抵消!$J:$J,合并抵消!$E:$E,$E145,合并抵消!$A:$A,P$2)+SUMIFS(合并抵消!$K:$K,合并抵消!$E:$E,$E145,合并抵消!$A:$A,P$2))</f>
        <v/>
      </c>
      <c r="Q145" s="89">
        <f>浙江精准学!Q145+知识跳跳!Q145+海南精准学!Q145+实时查!Q145+目标准!Q145+'SMART LEARNING HOLDING'!Q145+'SMART AI LIMITED'!Q145+'HK01'!Q145-(-SUMIFS(合并抵消!$J:$J,合并抵消!$E:$E,$E145,合并抵消!$A:$A,Q$2)+SUMIFS(合并抵消!$K:$K,合并抵消!$E:$E,$E145,合并抵消!$A:$A,Q$2))</f>
        <v/>
      </c>
      <c r="R145" s="89">
        <f>SUM(F145:Q145)</f>
        <v/>
      </c>
    </row>
    <row r="146" s="83">
      <c r="A146" s="5" t="inlineStr">
        <is>
          <t>管理费用</t>
        </is>
      </c>
      <c r="B146" s="63" t="inlineStr">
        <is>
          <t>服务费</t>
        </is>
      </c>
      <c r="C146" s="6" t="inlineStr">
        <is>
          <t>服务费</t>
        </is>
      </c>
      <c r="D146" s="5" t="inlineStr">
        <is>
          <t>律师费</t>
        </is>
      </c>
      <c r="E146" s="6" t="inlineStr">
        <is>
          <t>Q2801</t>
        </is>
      </c>
      <c r="F146" s="89">
        <f>浙江精准学!F146+知识跳跳!F146+海南精准学!F146+实时查!F146+目标准!F146+'SMART LEARNING HOLDING'!F146+'SMART AI LIMITED'!F146+'HK01'!F146-(-SUMIFS(合并抵消!$J:$J,合并抵消!$E:$E,$E146,合并抵消!$A:$A,F$2)+SUMIFS(合并抵消!$K:$K,合并抵消!$E:$E,$E146,合并抵消!$A:$A,F$2))</f>
        <v/>
      </c>
      <c r="G146" s="89">
        <f>浙江精准学!G146+知识跳跳!G146+海南精准学!G146+实时查!G146+目标准!G146+'SMART LEARNING HOLDING'!G146+'SMART AI LIMITED'!G146+'HK01'!G146-(-SUMIFS(合并抵消!$J:$J,合并抵消!$E:$E,$E146,合并抵消!$A:$A,G$2)+SUMIFS(合并抵消!$K:$K,合并抵消!$E:$E,$E146,合并抵消!$A:$A,G$2))</f>
        <v/>
      </c>
      <c r="H146" s="89">
        <f>浙江精准学!H146+知识跳跳!H146+海南精准学!H146+实时查!H146+目标准!H146+'SMART LEARNING HOLDING'!H146+'SMART AI LIMITED'!H146+'HK01'!H146-(-SUMIFS(合并抵消!$J:$J,合并抵消!$E:$E,$E146,合并抵消!$A:$A,H$2)+SUMIFS(合并抵消!$K:$K,合并抵消!$E:$E,$E146,合并抵消!$A:$A,H$2))</f>
        <v/>
      </c>
      <c r="I146" s="89">
        <f>浙江精准学!I146+知识跳跳!I146+海南精准学!I146+实时查!I146+目标准!I146+'SMART LEARNING HOLDING'!I146+'SMART AI LIMITED'!I146+'HK01'!I146-(-SUMIFS(合并抵消!$J:$J,合并抵消!$E:$E,$E146,合并抵消!$A:$A,I$2)+SUMIFS(合并抵消!$K:$K,合并抵消!$E:$E,$E146,合并抵消!$A:$A,I$2))</f>
        <v/>
      </c>
      <c r="J146" s="89">
        <f>浙江精准学!J146+知识跳跳!J146+海南精准学!J146+实时查!J146+目标准!J146+'SMART LEARNING HOLDING'!J146+'SMART AI LIMITED'!J146+'HK01'!J146-(-SUMIFS(合并抵消!$J:$J,合并抵消!$E:$E,$E146,合并抵消!$A:$A,J$2)+SUMIFS(合并抵消!$K:$K,合并抵消!$E:$E,$E146,合并抵消!$A:$A,J$2))</f>
        <v/>
      </c>
      <c r="K146" s="89">
        <f>浙江精准学!K146+知识跳跳!K146+海南精准学!K146+实时查!K146+目标准!K146+'SMART LEARNING HOLDING'!K146+'SMART AI LIMITED'!K146+'HK01'!K146-(-SUMIFS(合并抵消!$J:$J,合并抵消!$E:$E,$E146,合并抵消!$A:$A,K$2)+SUMIFS(合并抵消!$K:$K,合并抵消!$E:$E,$E146,合并抵消!$A:$A,K$2))</f>
        <v/>
      </c>
      <c r="L146" s="89">
        <f>浙江精准学!L146+知识跳跳!L146+海南精准学!L146+实时查!L146+目标准!L146+'SMART LEARNING HOLDING'!L146+'SMART AI LIMITED'!L146+'HK01'!L146-(-SUMIFS(合并抵消!$J:$J,合并抵消!$E:$E,$E146,合并抵消!$A:$A,L$2)+SUMIFS(合并抵消!$K:$K,合并抵消!$E:$E,$E146,合并抵消!$A:$A,L$2))</f>
        <v/>
      </c>
      <c r="M146" s="89">
        <f>浙江精准学!M146+知识跳跳!M146+海南精准学!M146+实时查!M146+目标准!M146+'SMART LEARNING HOLDING'!M146+'SMART AI LIMITED'!M146+'HK01'!M146-(-SUMIFS(合并抵消!$J:$J,合并抵消!$E:$E,$E146,合并抵消!$A:$A,M$2)+SUMIFS(合并抵消!$K:$K,合并抵消!$E:$E,$E146,合并抵消!$A:$A,M$2))</f>
        <v/>
      </c>
      <c r="N146" s="89">
        <f>浙江精准学!N146+知识跳跳!N146+海南精准学!N146+实时查!N146+目标准!N146+'SMART LEARNING HOLDING'!N146+'SMART AI LIMITED'!N146+'HK01'!N146-(-SUMIFS(合并抵消!$J:$J,合并抵消!$E:$E,$E146,合并抵消!$A:$A,N$2)+SUMIFS(合并抵消!$K:$K,合并抵消!$E:$E,$E146,合并抵消!$A:$A,N$2))</f>
        <v/>
      </c>
      <c r="O146" s="89">
        <f>浙江精准学!O146+知识跳跳!O146+海南精准学!O146+实时查!O146+目标准!O146+'SMART LEARNING HOLDING'!O146+'SMART AI LIMITED'!O146+'HK01'!O146-(-SUMIFS(合并抵消!$J:$J,合并抵消!$E:$E,$E146,合并抵消!$A:$A,O$2)+SUMIFS(合并抵消!$K:$K,合并抵消!$E:$E,$E146,合并抵消!$A:$A,O$2))</f>
        <v/>
      </c>
      <c r="P146" s="89">
        <f>浙江精准学!P146+知识跳跳!P146+海南精准学!P146+实时查!P146+目标准!P146+'SMART LEARNING HOLDING'!P146+'SMART AI LIMITED'!P146+'HK01'!P146-(-SUMIFS(合并抵消!$J:$J,合并抵消!$E:$E,$E146,合并抵消!$A:$A,P$2)+SUMIFS(合并抵消!$K:$K,合并抵消!$E:$E,$E146,合并抵消!$A:$A,P$2))</f>
        <v/>
      </c>
      <c r="Q146" s="89">
        <f>浙江精准学!Q146+知识跳跳!Q146+海南精准学!Q146+实时查!Q146+目标准!Q146+'SMART LEARNING HOLDING'!Q146+'SMART AI LIMITED'!Q146+'HK01'!Q146-(-SUMIFS(合并抵消!$J:$J,合并抵消!$E:$E,$E146,合并抵消!$A:$A,Q$2)+SUMIFS(合并抵消!$K:$K,合并抵消!$E:$E,$E146,合并抵消!$A:$A,Q$2))</f>
        <v/>
      </c>
      <c r="R146" s="89">
        <f>SUM(F146:Q146)</f>
        <v/>
      </c>
    </row>
    <row r="147" s="83">
      <c r="A147" s="5" t="inlineStr">
        <is>
          <t>管理费用</t>
        </is>
      </c>
      <c r="B147" s="63" t="inlineStr">
        <is>
          <t>服务费</t>
        </is>
      </c>
      <c r="D147" s="5" t="inlineStr">
        <is>
          <t>中介代理费用</t>
        </is>
      </c>
      <c r="E147" s="6" t="inlineStr">
        <is>
          <t>Q2802</t>
        </is>
      </c>
      <c r="F147" s="89">
        <f>浙江精准学!F147+知识跳跳!F147+海南精准学!F147+实时查!F147+目标准!F147+'SMART LEARNING HOLDING'!F147+'SMART AI LIMITED'!F147+'HK01'!F147-(-SUMIFS(合并抵消!$J:$J,合并抵消!$E:$E,$E147,合并抵消!$A:$A,F$2)+SUMIFS(合并抵消!$K:$K,合并抵消!$E:$E,$E147,合并抵消!$A:$A,F$2))</f>
        <v/>
      </c>
      <c r="G147" s="89">
        <f>浙江精准学!G147+知识跳跳!G147+海南精准学!G147+实时查!G147+目标准!G147+'SMART LEARNING HOLDING'!G147+'SMART AI LIMITED'!G147+'HK01'!G147-(-SUMIFS(合并抵消!$J:$J,合并抵消!$E:$E,$E147,合并抵消!$A:$A,G$2)+SUMIFS(合并抵消!$K:$K,合并抵消!$E:$E,$E147,合并抵消!$A:$A,G$2))</f>
        <v/>
      </c>
      <c r="H147" s="89">
        <f>浙江精准学!H147+知识跳跳!H147+海南精准学!H147+实时查!H147+目标准!H147+'SMART LEARNING HOLDING'!H147+'SMART AI LIMITED'!H147+'HK01'!H147-(-SUMIFS(合并抵消!$J:$J,合并抵消!$E:$E,$E147,合并抵消!$A:$A,H$2)+SUMIFS(合并抵消!$K:$K,合并抵消!$E:$E,$E147,合并抵消!$A:$A,H$2))</f>
        <v/>
      </c>
      <c r="I147" s="89">
        <f>浙江精准学!I147+知识跳跳!I147+海南精准学!I147+实时查!I147+目标准!I147+'SMART LEARNING HOLDING'!I147+'SMART AI LIMITED'!I147+'HK01'!I147-(-SUMIFS(合并抵消!$J:$J,合并抵消!$E:$E,$E147,合并抵消!$A:$A,I$2)+SUMIFS(合并抵消!$K:$K,合并抵消!$E:$E,$E147,合并抵消!$A:$A,I$2))</f>
        <v/>
      </c>
      <c r="J147" s="89">
        <f>浙江精准学!J147+知识跳跳!J147+海南精准学!J147+实时查!J147+目标准!J147+'SMART LEARNING HOLDING'!J147+'SMART AI LIMITED'!J147+'HK01'!J147-(-SUMIFS(合并抵消!$J:$J,合并抵消!$E:$E,$E147,合并抵消!$A:$A,J$2)+SUMIFS(合并抵消!$K:$K,合并抵消!$E:$E,$E147,合并抵消!$A:$A,J$2))</f>
        <v/>
      </c>
      <c r="K147" s="89">
        <f>浙江精准学!K147+知识跳跳!K147+海南精准学!K147+实时查!K147+目标准!K147+'SMART LEARNING HOLDING'!K147+'SMART AI LIMITED'!K147+'HK01'!K147-(-SUMIFS(合并抵消!$J:$J,合并抵消!$E:$E,$E147,合并抵消!$A:$A,K$2)+SUMIFS(合并抵消!$K:$K,合并抵消!$E:$E,$E147,合并抵消!$A:$A,K$2))</f>
        <v/>
      </c>
      <c r="L147" s="89">
        <f>浙江精准学!L147+知识跳跳!L147+海南精准学!L147+实时查!L147+目标准!L147+'SMART LEARNING HOLDING'!L147+'SMART AI LIMITED'!L147+'HK01'!L147-(-SUMIFS(合并抵消!$J:$J,合并抵消!$E:$E,$E147,合并抵消!$A:$A,L$2)+SUMIFS(合并抵消!$K:$K,合并抵消!$E:$E,$E147,合并抵消!$A:$A,L$2))</f>
        <v/>
      </c>
      <c r="M147" s="89">
        <f>浙江精准学!M147+知识跳跳!M147+海南精准学!M147+实时查!M147+目标准!M147+'SMART LEARNING HOLDING'!M147+'SMART AI LIMITED'!M147+'HK01'!M147-(-SUMIFS(合并抵消!$J:$J,合并抵消!$E:$E,$E147,合并抵消!$A:$A,M$2)+SUMIFS(合并抵消!$K:$K,合并抵消!$E:$E,$E147,合并抵消!$A:$A,M$2))</f>
        <v/>
      </c>
      <c r="N147" s="89">
        <f>浙江精准学!N147+知识跳跳!N147+海南精准学!N147+实时查!N147+目标准!N147+'SMART LEARNING HOLDING'!N147+'SMART AI LIMITED'!N147+'HK01'!N147-(-SUMIFS(合并抵消!$J:$J,合并抵消!$E:$E,$E147,合并抵消!$A:$A,N$2)+SUMIFS(合并抵消!$K:$K,合并抵消!$E:$E,$E147,合并抵消!$A:$A,N$2))</f>
        <v/>
      </c>
      <c r="O147" s="89">
        <f>浙江精准学!O147+知识跳跳!O147+海南精准学!O147+实时查!O147+目标准!O147+'SMART LEARNING HOLDING'!O147+'SMART AI LIMITED'!O147+'HK01'!O147-(-SUMIFS(合并抵消!$J:$J,合并抵消!$E:$E,$E147,合并抵消!$A:$A,O$2)+SUMIFS(合并抵消!$K:$K,合并抵消!$E:$E,$E147,合并抵消!$A:$A,O$2))</f>
        <v/>
      </c>
      <c r="P147" s="89">
        <f>浙江精准学!P147+知识跳跳!P147+海南精准学!P147+实时查!P147+目标准!P147+'SMART LEARNING HOLDING'!P147+'SMART AI LIMITED'!P147+'HK01'!P147-(-SUMIFS(合并抵消!$J:$J,合并抵消!$E:$E,$E147,合并抵消!$A:$A,P$2)+SUMIFS(合并抵消!$K:$K,合并抵消!$E:$E,$E147,合并抵消!$A:$A,P$2))</f>
        <v/>
      </c>
      <c r="Q147" s="89">
        <f>浙江精准学!Q147+知识跳跳!Q147+海南精准学!Q147+实时查!Q147+目标准!Q147+'SMART LEARNING HOLDING'!Q147+'SMART AI LIMITED'!Q147+'HK01'!Q147-(-SUMIFS(合并抵消!$J:$J,合并抵消!$E:$E,$E147,合并抵消!$A:$A,Q$2)+SUMIFS(合并抵消!$K:$K,合并抵消!$E:$E,$E147,合并抵消!$A:$A,Q$2))</f>
        <v/>
      </c>
      <c r="R147" s="89">
        <f>SUM(F147:Q147)</f>
        <v/>
      </c>
    </row>
    <row r="148" s="83">
      <c r="A148" s="5" t="inlineStr">
        <is>
          <t>管理费用</t>
        </is>
      </c>
      <c r="B148" s="63" t="inlineStr">
        <is>
          <t>服务费</t>
        </is>
      </c>
      <c r="D148" s="5" t="inlineStr">
        <is>
          <t>财务咨询费</t>
        </is>
      </c>
      <c r="E148" s="6" t="inlineStr">
        <is>
          <t>Q2803</t>
        </is>
      </c>
      <c r="F148" s="89">
        <f>浙江精准学!F148+知识跳跳!F148+海南精准学!F148+实时查!F148+目标准!F148+'SMART LEARNING HOLDING'!F148+'SMART AI LIMITED'!F148+'HK01'!F148-(-SUMIFS(合并抵消!$J:$J,合并抵消!$E:$E,$E148,合并抵消!$A:$A,F$2)+SUMIFS(合并抵消!$K:$K,合并抵消!$E:$E,$E148,合并抵消!$A:$A,F$2))</f>
        <v/>
      </c>
      <c r="G148" s="89">
        <f>浙江精准学!G148+知识跳跳!G148+海南精准学!G148+实时查!G148+目标准!G148+'SMART LEARNING HOLDING'!G148+'SMART AI LIMITED'!G148+'HK01'!G148-(-SUMIFS(合并抵消!$J:$J,合并抵消!$E:$E,$E148,合并抵消!$A:$A,G$2)+SUMIFS(合并抵消!$K:$K,合并抵消!$E:$E,$E148,合并抵消!$A:$A,G$2))</f>
        <v/>
      </c>
      <c r="H148" s="89">
        <f>浙江精准学!H148+知识跳跳!H148+海南精准学!H148+实时查!H148+目标准!H148+'SMART LEARNING HOLDING'!H148+'SMART AI LIMITED'!H148+'HK01'!H148-(-SUMIFS(合并抵消!$J:$J,合并抵消!$E:$E,$E148,合并抵消!$A:$A,H$2)+SUMIFS(合并抵消!$K:$K,合并抵消!$E:$E,$E148,合并抵消!$A:$A,H$2))</f>
        <v/>
      </c>
      <c r="I148" s="89">
        <f>浙江精准学!I148+知识跳跳!I148+海南精准学!I148+实时查!I148+目标准!I148+'SMART LEARNING HOLDING'!I148+'SMART AI LIMITED'!I148+'HK01'!I148-(-SUMIFS(合并抵消!$J:$J,合并抵消!$E:$E,$E148,合并抵消!$A:$A,I$2)+SUMIFS(合并抵消!$K:$K,合并抵消!$E:$E,$E148,合并抵消!$A:$A,I$2))</f>
        <v/>
      </c>
      <c r="J148" s="89">
        <f>浙江精准学!J148+知识跳跳!J148+海南精准学!J148+实时查!J148+目标准!J148+'SMART LEARNING HOLDING'!J148+'SMART AI LIMITED'!J148+'HK01'!J148-(-SUMIFS(合并抵消!$J:$J,合并抵消!$E:$E,$E148,合并抵消!$A:$A,J$2)+SUMIFS(合并抵消!$K:$K,合并抵消!$E:$E,$E148,合并抵消!$A:$A,J$2))</f>
        <v/>
      </c>
      <c r="K148" s="89">
        <f>浙江精准学!K148+知识跳跳!K148+海南精准学!K148+实时查!K148+目标准!K148+'SMART LEARNING HOLDING'!K148+'SMART AI LIMITED'!K148+'HK01'!K148-(-SUMIFS(合并抵消!$J:$J,合并抵消!$E:$E,$E148,合并抵消!$A:$A,K$2)+SUMIFS(合并抵消!$K:$K,合并抵消!$E:$E,$E148,合并抵消!$A:$A,K$2))</f>
        <v/>
      </c>
      <c r="L148" s="89">
        <f>浙江精准学!L148+知识跳跳!L148+海南精准学!L148+实时查!L148+目标准!L148+'SMART LEARNING HOLDING'!L148+'SMART AI LIMITED'!L148+'HK01'!L148-(-SUMIFS(合并抵消!$J:$J,合并抵消!$E:$E,$E148,合并抵消!$A:$A,L$2)+SUMIFS(合并抵消!$K:$K,合并抵消!$E:$E,$E148,合并抵消!$A:$A,L$2))</f>
        <v/>
      </c>
      <c r="M148" s="89">
        <f>浙江精准学!M148+知识跳跳!M148+海南精准学!M148+实时查!M148+目标准!M148+'SMART LEARNING HOLDING'!M148+'SMART AI LIMITED'!M148+'HK01'!M148-(-SUMIFS(合并抵消!$J:$J,合并抵消!$E:$E,$E148,合并抵消!$A:$A,M$2)+SUMIFS(合并抵消!$K:$K,合并抵消!$E:$E,$E148,合并抵消!$A:$A,M$2))</f>
        <v/>
      </c>
      <c r="N148" s="89">
        <f>浙江精准学!N148+知识跳跳!N148+海南精准学!N148+实时查!N148+目标准!N148+'SMART LEARNING HOLDING'!N148+'SMART AI LIMITED'!N148+'HK01'!N148-(-SUMIFS(合并抵消!$J:$J,合并抵消!$E:$E,$E148,合并抵消!$A:$A,N$2)+SUMIFS(合并抵消!$K:$K,合并抵消!$E:$E,$E148,合并抵消!$A:$A,N$2))</f>
        <v/>
      </c>
      <c r="O148" s="89">
        <f>浙江精准学!O148+知识跳跳!O148+海南精准学!O148+实时查!O148+目标准!O148+'SMART LEARNING HOLDING'!O148+'SMART AI LIMITED'!O148+'HK01'!O148-(-SUMIFS(合并抵消!$J:$J,合并抵消!$E:$E,$E148,合并抵消!$A:$A,O$2)+SUMIFS(合并抵消!$K:$K,合并抵消!$E:$E,$E148,合并抵消!$A:$A,O$2))</f>
        <v/>
      </c>
      <c r="P148" s="89">
        <f>浙江精准学!P148+知识跳跳!P148+海南精准学!P148+实时查!P148+目标准!P148+'SMART LEARNING HOLDING'!P148+'SMART AI LIMITED'!P148+'HK01'!P148-(-SUMIFS(合并抵消!$J:$J,合并抵消!$E:$E,$E148,合并抵消!$A:$A,P$2)+SUMIFS(合并抵消!$K:$K,合并抵消!$E:$E,$E148,合并抵消!$A:$A,P$2))</f>
        <v/>
      </c>
      <c r="Q148" s="89">
        <f>浙江精准学!Q148+知识跳跳!Q148+海南精准学!Q148+实时查!Q148+目标准!Q148+'SMART LEARNING HOLDING'!Q148+'SMART AI LIMITED'!Q148+'HK01'!Q148-(-SUMIFS(合并抵消!$J:$J,合并抵消!$E:$E,$E148,合并抵消!$A:$A,Q$2)+SUMIFS(合并抵消!$K:$K,合并抵消!$E:$E,$E148,合并抵消!$A:$A,Q$2))</f>
        <v/>
      </c>
      <c r="R148" s="89">
        <f>SUM(F148:Q148)</f>
        <v/>
      </c>
    </row>
    <row r="149" s="83">
      <c r="A149" s="5" t="inlineStr">
        <is>
          <t>管理费用</t>
        </is>
      </c>
      <c r="B149" s="63" t="inlineStr">
        <is>
          <t>服务费</t>
        </is>
      </c>
      <c r="D149" s="5" t="inlineStr">
        <is>
          <t>审计费</t>
        </is>
      </c>
      <c r="E149" s="6" t="inlineStr">
        <is>
          <t>Q2804</t>
        </is>
      </c>
      <c r="F149" s="89">
        <f>浙江精准学!F149+知识跳跳!F149+海南精准学!F149+实时查!F149+目标准!F149+'SMART LEARNING HOLDING'!F149+'SMART AI LIMITED'!F149+'HK01'!F149-(-SUMIFS(合并抵消!$J:$J,合并抵消!$E:$E,$E149,合并抵消!$A:$A,F$2)+SUMIFS(合并抵消!$K:$K,合并抵消!$E:$E,$E149,合并抵消!$A:$A,F$2))</f>
        <v/>
      </c>
      <c r="G149" s="89">
        <f>浙江精准学!G149+知识跳跳!G149+海南精准学!G149+实时查!G149+目标准!G149+'SMART LEARNING HOLDING'!G149+'SMART AI LIMITED'!G149+'HK01'!G149-(-SUMIFS(合并抵消!$J:$J,合并抵消!$E:$E,$E149,合并抵消!$A:$A,G$2)+SUMIFS(合并抵消!$K:$K,合并抵消!$E:$E,$E149,合并抵消!$A:$A,G$2))</f>
        <v/>
      </c>
      <c r="H149" s="89">
        <f>浙江精准学!H149+知识跳跳!H149+海南精准学!H149+实时查!H149+目标准!H149+'SMART LEARNING HOLDING'!H149+'SMART AI LIMITED'!H149+'HK01'!H149-(-SUMIFS(合并抵消!$J:$J,合并抵消!$E:$E,$E149,合并抵消!$A:$A,H$2)+SUMIFS(合并抵消!$K:$K,合并抵消!$E:$E,$E149,合并抵消!$A:$A,H$2))</f>
        <v/>
      </c>
      <c r="I149" s="89">
        <f>浙江精准学!I149+知识跳跳!I149+海南精准学!I149+实时查!I149+目标准!I149+'SMART LEARNING HOLDING'!I149+'SMART AI LIMITED'!I149+'HK01'!I149-(-SUMIFS(合并抵消!$J:$J,合并抵消!$E:$E,$E149,合并抵消!$A:$A,I$2)+SUMIFS(合并抵消!$K:$K,合并抵消!$E:$E,$E149,合并抵消!$A:$A,I$2))</f>
        <v/>
      </c>
      <c r="J149" s="89">
        <f>浙江精准学!J149+知识跳跳!J149+海南精准学!J149+实时查!J149+目标准!J149+'SMART LEARNING HOLDING'!J149+'SMART AI LIMITED'!J149+'HK01'!J149-(-SUMIFS(合并抵消!$J:$J,合并抵消!$E:$E,$E149,合并抵消!$A:$A,J$2)+SUMIFS(合并抵消!$K:$K,合并抵消!$E:$E,$E149,合并抵消!$A:$A,J$2))</f>
        <v/>
      </c>
      <c r="K149" s="89">
        <f>浙江精准学!K149+知识跳跳!K149+海南精准学!K149+实时查!K149+目标准!K149+'SMART LEARNING HOLDING'!K149+'SMART AI LIMITED'!K149+'HK01'!K149-(-SUMIFS(合并抵消!$J:$J,合并抵消!$E:$E,$E149,合并抵消!$A:$A,K$2)+SUMIFS(合并抵消!$K:$K,合并抵消!$E:$E,$E149,合并抵消!$A:$A,K$2))</f>
        <v/>
      </c>
      <c r="L149" s="89">
        <f>浙江精准学!L149+知识跳跳!L149+海南精准学!L149+实时查!L149+目标准!L149+'SMART LEARNING HOLDING'!L149+'SMART AI LIMITED'!L149+'HK01'!L149-(-SUMIFS(合并抵消!$J:$J,合并抵消!$E:$E,$E149,合并抵消!$A:$A,L$2)+SUMIFS(合并抵消!$K:$K,合并抵消!$E:$E,$E149,合并抵消!$A:$A,L$2))</f>
        <v/>
      </c>
      <c r="M149" s="89">
        <f>浙江精准学!M149+知识跳跳!M149+海南精准学!M149+实时查!M149+目标准!M149+'SMART LEARNING HOLDING'!M149+'SMART AI LIMITED'!M149+'HK01'!M149-(-SUMIFS(合并抵消!$J:$J,合并抵消!$E:$E,$E149,合并抵消!$A:$A,M$2)+SUMIFS(合并抵消!$K:$K,合并抵消!$E:$E,$E149,合并抵消!$A:$A,M$2))</f>
        <v/>
      </c>
      <c r="N149" s="89">
        <f>浙江精准学!N149+知识跳跳!N149+海南精准学!N149+实时查!N149+目标准!N149+'SMART LEARNING HOLDING'!N149+'SMART AI LIMITED'!N149+'HK01'!N149-(-SUMIFS(合并抵消!$J:$J,合并抵消!$E:$E,$E149,合并抵消!$A:$A,N$2)+SUMIFS(合并抵消!$K:$K,合并抵消!$E:$E,$E149,合并抵消!$A:$A,N$2))</f>
        <v/>
      </c>
      <c r="O149" s="89">
        <f>浙江精准学!O149+知识跳跳!O149+海南精准学!O149+实时查!O149+目标准!O149+'SMART LEARNING HOLDING'!O149+'SMART AI LIMITED'!O149+'HK01'!O149-(-SUMIFS(合并抵消!$J:$J,合并抵消!$E:$E,$E149,合并抵消!$A:$A,O$2)+SUMIFS(合并抵消!$K:$K,合并抵消!$E:$E,$E149,合并抵消!$A:$A,O$2))</f>
        <v/>
      </c>
      <c r="P149" s="89">
        <f>浙江精准学!P149+知识跳跳!P149+海南精准学!P149+实时查!P149+目标准!P149+'SMART LEARNING HOLDING'!P149+'SMART AI LIMITED'!P149+'HK01'!P149-(-SUMIFS(合并抵消!$J:$J,合并抵消!$E:$E,$E149,合并抵消!$A:$A,P$2)+SUMIFS(合并抵消!$K:$K,合并抵消!$E:$E,$E149,合并抵消!$A:$A,P$2))</f>
        <v/>
      </c>
      <c r="Q149" s="89">
        <f>浙江精准学!Q149+知识跳跳!Q149+海南精准学!Q149+实时查!Q149+目标准!Q149+'SMART LEARNING HOLDING'!Q149+'SMART AI LIMITED'!Q149+'HK01'!Q149-(-SUMIFS(合并抵消!$J:$J,合并抵消!$E:$E,$E149,合并抵消!$A:$A,Q$2)+SUMIFS(合并抵消!$K:$K,合并抵消!$E:$E,$E149,合并抵消!$A:$A,Q$2))</f>
        <v/>
      </c>
      <c r="R149" s="89">
        <f>SUM(F149:Q149)</f>
        <v/>
      </c>
    </row>
    <row r="150" s="83">
      <c r="A150" s="5" t="inlineStr">
        <is>
          <t>管理费用</t>
        </is>
      </c>
      <c r="B150" s="63" t="inlineStr">
        <is>
          <t>服务费</t>
        </is>
      </c>
      <c r="D150" s="5" t="inlineStr">
        <is>
          <t>招聘费用</t>
        </is>
      </c>
      <c r="E150" s="6" t="inlineStr">
        <is>
          <t>Q2805</t>
        </is>
      </c>
      <c r="F150" s="89">
        <f>浙江精准学!F150+知识跳跳!F150+海南精准学!F150+实时查!F150+目标准!F150+'SMART LEARNING HOLDING'!F150+'SMART AI LIMITED'!F150+'HK01'!F150-(-SUMIFS(合并抵消!$J:$J,合并抵消!$E:$E,$E150,合并抵消!$A:$A,F$2)+SUMIFS(合并抵消!$K:$K,合并抵消!$E:$E,$E150,合并抵消!$A:$A,F$2))</f>
        <v/>
      </c>
      <c r="G150" s="89">
        <f>浙江精准学!G150+知识跳跳!G150+海南精准学!G150+实时查!G150+目标准!G150+'SMART LEARNING HOLDING'!G150+'SMART AI LIMITED'!G150+'HK01'!G150-(-SUMIFS(合并抵消!$J:$J,合并抵消!$E:$E,$E150,合并抵消!$A:$A,G$2)+SUMIFS(合并抵消!$K:$K,合并抵消!$E:$E,$E150,合并抵消!$A:$A,G$2))</f>
        <v/>
      </c>
      <c r="H150" s="89">
        <f>浙江精准学!H150+知识跳跳!H150+海南精准学!H150+实时查!H150+目标准!H150+'SMART LEARNING HOLDING'!H150+'SMART AI LIMITED'!H150+'HK01'!H150-(-SUMIFS(合并抵消!$J:$J,合并抵消!$E:$E,$E150,合并抵消!$A:$A,H$2)+SUMIFS(合并抵消!$K:$K,合并抵消!$E:$E,$E150,合并抵消!$A:$A,H$2))</f>
        <v/>
      </c>
      <c r="I150" s="89">
        <f>浙江精准学!I150+知识跳跳!I150+海南精准学!I150+实时查!I150+目标准!I150+'SMART LEARNING HOLDING'!I150+'SMART AI LIMITED'!I150+'HK01'!I150-(-SUMIFS(合并抵消!$J:$J,合并抵消!$E:$E,$E150,合并抵消!$A:$A,I$2)+SUMIFS(合并抵消!$K:$K,合并抵消!$E:$E,$E150,合并抵消!$A:$A,I$2))</f>
        <v/>
      </c>
      <c r="J150" s="89">
        <f>浙江精准学!J150+知识跳跳!J150+海南精准学!J150+实时查!J150+目标准!J150+'SMART LEARNING HOLDING'!J150+'SMART AI LIMITED'!J150+'HK01'!J150-(-SUMIFS(合并抵消!$J:$J,合并抵消!$E:$E,$E150,合并抵消!$A:$A,J$2)+SUMIFS(合并抵消!$K:$K,合并抵消!$E:$E,$E150,合并抵消!$A:$A,J$2))</f>
        <v/>
      </c>
      <c r="K150" s="89">
        <f>浙江精准学!K150+知识跳跳!K150+海南精准学!K150+实时查!K150+目标准!K150+'SMART LEARNING HOLDING'!K150+'SMART AI LIMITED'!K150+'HK01'!K150-(-SUMIFS(合并抵消!$J:$J,合并抵消!$E:$E,$E150,合并抵消!$A:$A,K$2)+SUMIFS(合并抵消!$K:$K,合并抵消!$E:$E,$E150,合并抵消!$A:$A,K$2))</f>
        <v/>
      </c>
      <c r="L150" s="89">
        <f>浙江精准学!L150+知识跳跳!L150+海南精准学!L150+实时查!L150+目标准!L150+'SMART LEARNING HOLDING'!L150+'SMART AI LIMITED'!L150+'HK01'!L150-(-SUMIFS(合并抵消!$J:$J,合并抵消!$E:$E,$E150,合并抵消!$A:$A,L$2)+SUMIFS(合并抵消!$K:$K,合并抵消!$E:$E,$E150,合并抵消!$A:$A,L$2))</f>
        <v/>
      </c>
      <c r="M150" s="89">
        <f>浙江精准学!M150+知识跳跳!M150+海南精准学!M150+实时查!M150+目标准!M150+'SMART LEARNING HOLDING'!M150+'SMART AI LIMITED'!M150+'HK01'!M150-(-SUMIFS(合并抵消!$J:$J,合并抵消!$E:$E,$E150,合并抵消!$A:$A,M$2)+SUMIFS(合并抵消!$K:$K,合并抵消!$E:$E,$E150,合并抵消!$A:$A,M$2))</f>
        <v/>
      </c>
      <c r="N150" s="89">
        <f>浙江精准学!N150+知识跳跳!N150+海南精准学!N150+实时查!N150+目标准!N150+'SMART LEARNING HOLDING'!N150+'SMART AI LIMITED'!N150+'HK01'!N150-(-SUMIFS(合并抵消!$J:$J,合并抵消!$E:$E,$E150,合并抵消!$A:$A,N$2)+SUMIFS(合并抵消!$K:$K,合并抵消!$E:$E,$E150,合并抵消!$A:$A,N$2))</f>
        <v/>
      </c>
      <c r="O150" s="89">
        <f>浙江精准学!O150+知识跳跳!O150+海南精准学!O150+实时查!O150+目标准!O150+'SMART LEARNING HOLDING'!O150+'SMART AI LIMITED'!O150+'HK01'!O150-(-SUMIFS(合并抵消!$J:$J,合并抵消!$E:$E,$E150,合并抵消!$A:$A,O$2)+SUMIFS(合并抵消!$K:$K,合并抵消!$E:$E,$E150,合并抵消!$A:$A,O$2))</f>
        <v/>
      </c>
      <c r="P150" s="89">
        <f>浙江精准学!P150+知识跳跳!P150+海南精准学!P150+实时查!P150+目标准!P150+'SMART LEARNING HOLDING'!P150+'SMART AI LIMITED'!P150+'HK01'!P150-(-SUMIFS(合并抵消!$J:$J,合并抵消!$E:$E,$E150,合并抵消!$A:$A,P$2)+SUMIFS(合并抵消!$K:$K,合并抵消!$E:$E,$E150,合并抵消!$A:$A,P$2))</f>
        <v/>
      </c>
      <c r="Q150" s="89">
        <f>浙江精准学!Q150+知识跳跳!Q150+海南精准学!Q150+实时查!Q150+目标准!Q150+'SMART LEARNING HOLDING'!Q150+'SMART AI LIMITED'!Q150+'HK01'!Q150-(-SUMIFS(合并抵消!$J:$J,合并抵消!$E:$E,$E150,合并抵消!$A:$A,Q$2)+SUMIFS(合并抵消!$K:$K,合并抵消!$E:$E,$E150,合并抵消!$A:$A,Q$2))</f>
        <v/>
      </c>
      <c r="R150" s="89">
        <f>SUM(F150:Q150)</f>
        <v/>
      </c>
    </row>
    <row r="151" s="83">
      <c r="A151" s="5" t="inlineStr">
        <is>
          <t>管理费用</t>
        </is>
      </c>
      <c r="B151" s="63" t="inlineStr">
        <is>
          <t>服务费</t>
        </is>
      </c>
      <c r="D151" s="5" t="inlineStr">
        <is>
          <t>软件服务费</t>
        </is>
      </c>
      <c r="E151" s="6" t="inlineStr">
        <is>
          <t>Q2807</t>
        </is>
      </c>
      <c r="F151" s="89">
        <f>浙江精准学!F151+知识跳跳!F151+海南精准学!F151+实时查!F151+目标准!F151+'SMART LEARNING HOLDING'!F151+'SMART AI LIMITED'!F151+'HK01'!F151-(-SUMIFS(合并抵消!$J:$J,合并抵消!$E:$E,$E151,合并抵消!$A:$A,F$2)+SUMIFS(合并抵消!$K:$K,合并抵消!$E:$E,$E151,合并抵消!$A:$A,F$2))</f>
        <v/>
      </c>
      <c r="G151" s="89">
        <f>浙江精准学!G151+知识跳跳!G151+海南精准学!G151+实时查!G151+目标准!G151+'SMART LEARNING HOLDING'!G151+'SMART AI LIMITED'!G151+'HK01'!G151-(-SUMIFS(合并抵消!$J:$J,合并抵消!$E:$E,$E151,合并抵消!$A:$A,G$2)+SUMIFS(合并抵消!$K:$K,合并抵消!$E:$E,$E151,合并抵消!$A:$A,G$2))</f>
        <v/>
      </c>
      <c r="H151" s="89">
        <f>浙江精准学!H151+知识跳跳!H151+海南精准学!H151+实时查!H151+目标准!H151+'SMART LEARNING HOLDING'!H151+'SMART AI LIMITED'!H151+'HK01'!H151-(-SUMIFS(合并抵消!$J:$J,合并抵消!$E:$E,$E151,合并抵消!$A:$A,H$2)+SUMIFS(合并抵消!$K:$K,合并抵消!$E:$E,$E151,合并抵消!$A:$A,H$2))</f>
        <v/>
      </c>
      <c r="I151" s="89">
        <f>浙江精准学!I151+知识跳跳!I151+海南精准学!I151+实时查!I151+目标准!I151+'SMART LEARNING HOLDING'!I151+'SMART AI LIMITED'!I151+'HK01'!I151-(-SUMIFS(合并抵消!$J:$J,合并抵消!$E:$E,$E151,合并抵消!$A:$A,I$2)+SUMIFS(合并抵消!$K:$K,合并抵消!$E:$E,$E151,合并抵消!$A:$A,I$2))</f>
        <v/>
      </c>
      <c r="J151" s="89">
        <f>浙江精准学!J151+知识跳跳!J151+海南精准学!J151+实时查!J151+目标准!J151+'SMART LEARNING HOLDING'!J151+'SMART AI LIMITED'!J151+'HK01'!J151-(-SUMIFS(合并抵消!$J:$J,合并抵消!$E:$E,$E151,合并抵消!$A:$A,J$2)+SUMIFS(合并抵消!$K:$K,合并抵消!$E:$E,$E151,合并抵消!$A:$A,J$2))</f>
        <v/>
      </c>
      <c r="K151" s="89">
        <f>浙江精准学!K151+知识跳跳!K151+海南精准学!K151+实时查!K151+目标准!K151+'SMART LEARNING HOLDING'!K151+'SMART AI LIMITED'!K151+'HK01'!K151-(-SUMIFS(合并抵消!$J:$J,合并抵消!$E:$E,$E151,合并抵消!$A:$A,K$2)+SUMIFS(合并抵消!$K:$K,合并抵消!$E:$E,$E151,合并抵消!$A:$A,K$2))</f>
        <v/>
      </c>
      <c r="L151" s="89">
        <f>浙江精准学!L151+知识跳跳!L151+海南精准学!L151+实时查!L151+目标准!L151+'SMART LEARNING HOLDING'!L151+'SMART AI LIMITED'!L151+'HK01'!L151-(-SUMIFS(合并抵消!$J:$J,合并抵消!$E:$E,$E151,合并抵消!$A:$A,L$2)+SUMIFS(合并抵消!$K:$K,合并抵消!$E:$E,$E151,合并抵消!$A:$A,L$2))</f>
        <v/>
      </c>
      <c r="M151" s="89">
        <f>浙江精准学!M151+知识跳跳!M151+海南精准学!M151+实时查!M151+目标准!M151+'SMART LEARNING HOLDING'!M151+'SMART AI LIMITED'!M151+'HK01'!M151-(-SUMIFS(合并抵消!$J:$J,合并抵消!$E:$E,$E151,合并抵消!$A:$A,M$2)+SUMIFS(合并抵消!$K:$K,合并抵消!$E:$E,$E151,合并抵消!$A:$A,M$2))</f>
        <v/>
      </c>
      <c r="N151" s="89">
        <f>浙江精准学!N151+知识跳跳!N151+海南精准学!N151+实时查!N151+目标准!N151+'SMART LEARNING HOLDING'!N151+'SMART AI LIMITED'!N151+'HK01'!N151-(-SUMIFS(合并抵消!$J:$J,合并抵消!$E:$E,$E151,合并抵消!$A:$A,N$2)+SUMIFS(合并抵消!$K:$K,合并抵消!$E:$E,$E151,合并抵消!$A:$A,N$2))</f>
        <v/>
      </c>
      <c r="O151" s="89">
        <f>浙江精准学!O151+知识跳跳!O151+海南精准学!O151+实时查!O151+目标准!O151+'SMART LEARNING HOLDING'!O151+'SMART AI LIMITED'!O151+'HK01'!O151-(-SUMIFS(合并抵消!$J:$J,合并抵消!$E:$E,$E151,合并抵消!$A:$A,O$2)+SUMIFS(合并抵消!$K:$K,合并抵消!$E:$E,$E151,合并抵消!$A:$A,O$2))</f>
        <v/>
      </c>
      <c r="P151" s="89">
        <f>浙江精准学!P151+知识跳跳!P151+海南精准学!P151+实时查!P151+目标准!P151+'SMART LEARNING HOLDING'!P151+'SMART AI LIMITED'!P151+'HK01'!P151-(-SUMIFS(合并抵消!$J:$J,合并抵消!$E:$E,$E151,合并抵消!$A:$A,P$2)+SUMIFS(合并抵消!$K:$K,合并抵消!$E:$E,$E151,合并抵消!$A:$A,P$2))</f>
        <v/>
      </c>
      <c r="Q151" s="89">
        <f>浙江精准学!Q151+知识跳跳!Q151+海南精准学!Q151+实时查!Q151+目标准!Q151+'SMART LEARNING HOLDING'!Q151+'SMART AI LIMITED'!Q151+'HK01'!Q151-(-SUMIFS(合并抵消!$J:$J,合并抵消!$E:$E,$E151,合并抵消!$A:$A,Q$2)+SUMIFS(合并抵消!$K:$K,合并抵消!$E:$E,$E151,合并抵消!$A:$A,Q$2))</f>
        <v/>
      </c>
      <c r="R151" s="89">
        <f>SUM(F151:Q151)</f>
        <v/>
      </c>
    </row>
    <row r="152" s="83">
      <c r="A152" s="5" t="inlineStr">
        <is>
          <t>管理费用</t>
        </is>
      </c>
      <c r="B152" s="63" t="inlineStr">
        <is>
          <t>服务费</t>
        </is>
      </c>
      <c r="D152" s="5" t="inlineStr">
        <is>
          <t>其他服务费</t>
        </is>
      </c>
      <c r="E152" s="6" t="inlineStr">
        <is>
          <t>Q2806</t>
        </is>
      </c>
      <c r="F152" s="89">
        <f>浙江精准学!F152+知识跳跳!F152+海南精准学!F152+实时查!F152+目标准!F152+'SMART LEARNING HOLDING'!F152+'SMART AI LIMITED'!F152+'HK01'!F152-(-SUMIFS(合并抵消!$J:$J,合并抵消!$E:$E,$E152,合并抵消!$A:$A,F$2)+SUMIFS(合并抵消!$K:$K,合并抵消!$E:$E,$E152,合并抵消!$A:$A,F$2))</f>
        <v/>
      </c>
      <c r="G152" s="89">
        <f>浙江精准学!G152+知识跳跳!G152+海南精准学!G152+实时查!G152+目标准!G152+'SMART LEARNING HOLDING'!G152+'SMART AI LIMITED'!G152+'HK01'!G152-(-SUMIFS(合并抵消!$J:$J,合并抵消!$E:$E,$E152,合并抵消!$A:$A,G$2)+SUMIFS(合并抵消!$K:$K,合并抵消!$E:$E,$E152,合并抵消!$A:$A,G$2))</f>
        <v/>
      </c>
      <c r="H152" s="89">
        <f>浙江精准学!H152+知识跳跳!H152+海南精准学!H152+实时查!H152+目标准!H152+'SMART LEARNING HOLDING'!H152+'SMART AI LIMITED'!H152+'HK01'!H152-(-SUMIFS(合并抵消!$J:$J,合并抵消!$E:$E,$E152,合并抵消!$A:$A,H$2)+SUMIFS(合并抵消!$K:$K,合并抵消!$E:$E,$E152,合并抵消!$A:$A,H$2))</f>
        <v/>
      </c>
      <c r="I152" s="89">
        <f>浙江精准学!I152+知识跳跳!I152+海南精准学!I152+实时查!I152+目标准!I152+'SMART LEARNING HOLDING'!I152+'SMART AI LIMITED'!I152+'HK01'!I152-(-SUMIFS(合并抵消!$J:$J,合并抵消!$E:$E,$E152,合并抵消!$A:$A,I$2)+SUMIFS(合并抵消!$K:$K,合并抵消!$E:$E,$E152,合并抵消!$A:$A,I$2))</f>
        <v/>
      </c>
      <c r="J152" s="89">
        <f>浙江精准学!J152+知识跳跳!J152+海南精准学!J152+实时查!J152+目标准!J152+'SMART LEARNING HOLDING'!J152+'SMART AI LIMITED'!J152+'HK01'!J152-(-SUMIFS(合并抵消!$J:$J,合并抵消!$E:$E,$E152,合并抵消!$A:$A,J$2)+SUMIFS(合并抵消!$K:$K,合并抵消!$E:$E,$E152,合并抵消!$A:$A,J$2))</f>
        <v/>
      </c>
      <c r="K152" s="89">
        <f>浙江精准学!K152+知识跳跳!K152+海南精准学!K152+实时查!K152+目标准!K152+'SMART LEARNING HOLDING'!K152+'SMART AI LIMITED'!K152+'HK01'!K152-(-SUMIFS(合并抵消!$J:$J,合并抵消!$E:$E,$E152,合并抵消!$A:$A,K$2)+SUMIFS(合并抵消!$K:$K,合并抵消!$E:$E,$E152,合并抵消!$A:$A,K$2))</f>
        <v/>
      </c>
      <c r="L152" s="89">
        <f>浙江精准学!L152+知识跳跳!L152+海南精准学!L152+实时查!L152+目标准!L152+'SMART LEARNING HOLDING'!L152+'SMART AI LIMITED'!L152+'HK01'!L152-(-SUMIFS(合并抵消!$J:$J,合并抵消!$E:$E,$E152,合并抵消!$A:$A,L$2)+SUMIFS(合并抵消!$K:$K,合并抵消!$E:$E,$E152,合并抵消!$A:$A,L$2))</f>
        <v/>
      </c>
      <c r="M152" s="89">
        <f>浙江精准学!M152+知识跳跳!M152+海南精准学!M152+实时查!M152+目标准!M152+'SMART LEARNING HOLDING'!M152+'SMART AI LIMITED'!M152+'HK01'!M152-(-SUMIFS(合并抵消!$J:$J,合并抵消!$E:$E,$E152,合并抵消!$A:$A,M$2)+SUMIFS(合并抵消!$K:$K,合并抵消!$E:$E,$E152,合并抵消!$A:$A,M$2))</f>
        <v/>
      </c>
      <c r="N152" s="89">
        <f>浙江精准学!N152+知识跳跳!N152+海南精准学!N152+实时查!N152+目标准!N152+'SMART LEARNING HOLDING'!N152+'SMART AI LIMITED'!N152+'HK01'!N152-(-SUMIFS(合并抵消!$J:$J,合并抵消!$E:$E,$E152,合并抵消!$A:$A,N$2)+SUMIFS(合并抵消!$K:$K,合并抵消!$E:$E,$E152,合并抵消!$A:$A,N$2))</f>
        <v/>
      </c>
      <c r="O152" s="89">
        <f>浙江精准学!O152+知识跳跳!O152+海南精准学!O152+实时查!O152+目标准!O152+'SMART LEARNING HOLDING'!O152+'SMART AI LIMITED'!O152+'HK01'!O152-(-SUMIFS(合并抵消!$J:$J,合并抵消!$E:$E,$E152,合并抵消!$A:$A,O$2)+SUMIFS(合并抵消!$K:$K,合并抵消!$E:$E,$E152,合并抵消!$A:$A,O$2))</f>
        <v/>
      </c>
      <c r="P152" s="89">
        <f>浙江精准学!P152+知识跳跳!P152+海南精准学!P152+实时查!P152+目标准!P152+'SMART LEARNING HOLDING'!P152+'SMART AI LIMITED'!P152+'HK01'!P152-(-SUMIFS(合并抵消!$J:$J,合并抵消!$E:$E,$E152,合并抵消!$A:$A,P$2)+SUMIFS(合并抵消!$K:$K,合并抵消!$E:$E,$E152,合并抵消!$A:$A,P$2))</f>
        <v/>
      </c>
      <c r="Q152" s="89">
        <f>浙江精准学!Q152+知识跳跳!Q152+海南精准学!Q152+实时查!Q152+目标准!Q152+'SMART LEARNING HOLDING'!Q152+'SMART AI LIMITED'!Q152+'HK01'!Q152-(-SUMIFS(合并抵消!$J:$J,合并抵消!$E:$E,$E152,合并抵消!$A:$A,Q$2)+SUMIFS(合并抵消!$K:$K,合并抵消!$E:$E,$E152,合并抵消!$A:$A,Q$2))</f>
        <v/>
      </c>
      <c r="R152" s="89">
        <f>SUM(F152:Q152)</f>
        <v/>
      </c>
    </row>
    <row r="153" s="83">
      <c r="A153" s="5" t="inlineStr">
        <is>
          <t>管理费用</t>
        </is>
      </c>
      <c r="B153" s="6" t="inlineStr">
        <is>
          <t>办公费用</t>
        </is>
      </c>
      <c r="C153" s="6" t="inlineStr">
        <is>
          <t>办公费用</t>
        </is>
      </c>
      <c r="D153" s="5" t="inlineStr">
        <is>
          <t>固定资产采购</t>
        </is>
      </c>
      <c r="E153" s="6" t="inlineStr">
        <is>
          <t>Q2901</t>
        </is>
      </c>
      <c r="F153" s="89">
        <f>浙江精准学!F153+知识跳跳!F153+海南精准学!F153+实时查!F153+目标准!F153+'SMART LEARNING HOLDING'!F153+'SMART AI LIMITED'!F153+'HK01'!F153-(-SUMIFS(合并抵消!$J:$J,合并抵消!$E:$E,$E153,合并抵消!$A:$A,F$2)+SUMIFS(合并抵消!$K:$K,合并抵消!$E:$E,$E153,合并抵消!$A:$A,F$2))</f>
        <v/>
      </c>
      <c r="G153" s="89">
        <f>浙江精准学!G153+知识跳跳!G153+海南精准学!G153+实时查!G153+目标准!G153+'SMART LEARNING HOLDING'!G153+'SMART AI LIMITED'!G153+'HK01'!G153-(-SUMIFS(合并抵消!$J:$J,合并抵消!$E:$E,$E153,合并抵消!$A:$A,G$2)+SUMIFS(合并抵消!$K:$K,合并抵消!$E:$E,$E153,合并抵消!$A:$A,G$2))</f>
        <v/>
      </c>
      <c r="H153" s="89">
        <f>浙江精准学!H153+知识跳跳!H153+海南精准学!H153+实时查!H153+目标准!H153+'SMART LEARNING HOLDING'!H153+'SMART AI LIMITED'!H153+'HK01'!H153-(-SUMIFS(合并抵消!$J:$J,合并抵消!$E:$E,$E153,合并抵消!$A:$A,H$2)+SUMIFS(合并抵消!$K:$K,合并抵消!$E:$E,$E153,合并抵消!$A:$A,H$2))</f>
        <v/>
      </c>
      <c r="I153" s="89">
        <f>浙江精准学!I153+知识跳跳!I153+海南精准学!I153+实时查!I153+目标准!I153+'SMART LEARNING HOLDING'!I153+'SMART AI LIMITED'!I153+'HK01'!I153-(-SUMIFS(合并抵消!$J:$J,合并抵消!$E:$E,$E153,合并抵消!$A:$A,I$2)+SUMIFS(合并抵消!$K:$K,合并抵消!$E:$E,$E153,合并抵消!$A:$A,I$2))</f>
        <v/>
      </c>
      <c r="J153" s="89">
        <f>浙江精准学!J153+知识跳跳!J153+海南精准学!J153+实时查!J153+目标准!J153+'SMART LEARNING HOLDING'!J153+'SMART AI LIMITED'!J153+'HK01'!J153-(-SUMIFS(合并抵消!$J:$J,合并抵消!$E:$E,$E153,合并抵消!$A:$A,J$2)+SUMIFS(合并抵消!$K:$K,合并抵消!$E:$E,$E153,合并抵消!$A:$A,J$2))</f>
        <v/>
      </c>
      <c r="K153" s="89">
        <f>浙江精准学!K153+知识跳跳!K153+海南精准学!K153+实时查!K153+目标准!K153+'SMART LEARNING HOLDING'!K153+'SMART AI LIMITED'!K153+'HK01'!K153-(-SUMIFS(合并抵消!$J:$J,合并抵消!$E:$E,$E153,合并抵消!$A:$A,K$2)+SUMIFS(合并抵消!$K:$K,合并抵消!$E:$E,$E153,合并抵消!$A:$A,K$2))</f>
        <v/>
      </c>
      <c r="L153" s="89">
        <f>浙江精准学!L153+知识跳跳!L153+海南精准学!L153+实时查!L153+目标准!L153+'SMART LEARNING HOLDING'!L153+'SMART AI LIMITED'!L153+'HK01'!L153-(-SUMIFS(合并抵消!$J:$J,合并抵消!$E:$E,$E153,合并抵消!$A:$A,L$2)+SUMIFS(合并抵消!$K:$K,合并抵消!$E:$E,$E153,合并抵消!$A:$A,L$2))</f>
        <v/>
      </c>
      <c r="M153" s="89">
        <f>浙江精准学!M153+知识跳跳!M153+海南精准学!M153+实时查!M153+目标准!M153+'SMART LEARNING HOLDING'!M153+'SMART AI LIMITED'!M153+'HK01'!M153-(-SUMIFS(合并抵消!$J:$J,合并抵消!$E:$E,$E153,合并抵消!$A:$A,M$2)+SUMIFS(合并抵消!$K:$K,合并抵消!$E:$E,$E153,合并抵消!$A:$A,M$2))</f>
        <v/>
      </c>
      <c r="N153" s="89">
        <f>浙江精准学!N153+知识跳跳!N153+海南精准学!N153+实时查!N153+目标准!N153+'SMART LEARNING HOLDING'!N153+'SMART AI LIMITED'!N153+'HK01'!N153-(-SUMIFS(合并抵消!$J:$J,合并抵消!$E:$E,$E153,合并抵消!$A:$A,N$2)+SUMIFS(合并抵消!$K:$K,合并抵消!$E:$E,$E153,合并抵消!$A:$A,N$2))</f>
        <v/>
      </c>
      <c r="O153" s="89">
        <f>浙江精准学!O153+知识跳跳!O153+海南精准学!O153+实时查!O153+目标准!O153+'SMART LEARNING HOLDING'!O153+'SMART AI LIMITED'!O153+'HK01'!O153-(-SUMIFS(合并抵消!$J:$J,合并抵消!$E:$E,$E153,合并抵消!$A:$A,O$2)+SUMIFS(合并抵消!$K:$K,合并抵消!$E:$E,$E153,合并抵消!$A:$A,O$2))</f>
        <v/>
      </c>
      <c r="P153" s="89">
        <f>浙江精准学!P153+知识跳跳!P153+海南精准学!P153+实时查!P153+目标准!P153+'SMART LEARNING HOLDING'!P153+'SMART AI LIMITED'!P153+'HK01'!P153-(-SUMIFS(合并抵消!$J:$J,合并抵消!$E:$E,$E153,合并抵消!$A:$A,P$2)+SUMIFS(合并抵消!$K:$K,合并抵消!$E:$E,$E153,合并抵消!$A:$A,P$2))</f>
        <v/>
      </c>
      <c r="Q153" s="89">
        <f>浙江精准学!Q153+知识跳跳!Q153+海南精准学!Q153+实时查!Q153+目标准!Q153+'SMART LEARNING HOLDING'!Q153+'SMART AI LIMITED'!Q153+'HK01'!Q153-(-SUMIFS(合并抵消!$J:$J,合并抵消!$E:$E,$E153,合并抵消!$A:$A,Q$2)+SUMIFS(合并抵消!$K:$K,合并抵消!$E:$E,$E153,合并抵消!$A:$A,Q$2))</f>
        <v/>
      </c>
      <c r="R153" s="89">
        <f>SUM(F153:Q153)</f>
        <v/>
      </c>
    </row>
    <row r="154" s="83">
      <c r="A154" s="5" t="inlineStr">
        <is>
          <t>管理费用</t>
        </is>
      </c>
      <c r="B154" s="6" t="inlineStr">
        <is>
          <t>办公费用</t>
        </is>
      </c>
      <c r="D154" s="5" t="inlineStr">
        <is>
          <t>办公用品采购</t>
        </is>
      </c>
      <c r="E154" s="6" t="inlineStr">
        <is>
          <t>Q2902</t>
        </is>
      </c>
      <c r="F154" s="89">
        <f>浙江精准学!F154+知识跳跳!F154+海南精准学!F154+实时查!F154+目标准!F154+'SMART LEARNING HOLDING'!F154+'SMART AI LIMITED'!F154+'HK01'!F154-(-SUMIFS(合并抵消!$J:$J,合并抵消!$E:$E,$E154,合并抵消!$A:$A,F$2)+SUMIFS(合并抵消!$K:$K,合并抵消!$E:$E,$E154,合并抵消!$A:$A,F$2))</f>
        <v/>
      </c>
      <c r="G154" s="89">
        <f>浙江精准学!G154+知识跳跳!G154+海南精准学!G154+实时查!G154+目标准!G154+'SMART LEARNING HOLDING'!G154+'SMART AI LIMITED'!G154+'HK01'!G154-(-SUMIFS(合并抵消!$J:$J,合并抵消!$E:$E,$E154,合并抵消!$A:$A,G$2)+SUMIFS(合并抵消!$K:$K,合并抵消!$E:$E,$E154,合并抵消!$A:$A,G$2))</f>
        <v/>
      </c>
      <c r="H154" s="89">
        <f>浙江精准学!H154+知识跳跳!H154+海南精准学!H154+实时查!H154+目标准!H154+'SMART LEARNING HOLDING'!H154+'SMART AI LIMITED'!H154+'HK01'!H154-(-SUMIFS(合并抵消!$J:$J,合并抵消!$E:$E,$E154,合并抵消!$A:$A,H$2)+SUMIFS(合并抵消!$K:$K,合并抵消!$E:$E,$E154,合并抵消!$A:$A,H$2))</f>
        <v/>
      </c>
      <c r="I154" s="89">
        <f>浙江精准学!I154+知识跳跳!I154+海南精准学!I154+实时查!I154+目标准!I154+'SMART LEARNING HOLDING'!I154+'SMART AI LIMITED'!I154+'HK01'!I154-(-SUMIFS(合并抵消!$J:$J,合并抵消!$E:$E,$E154,合并抵消!$A:$A,I$2)+SUMIFS(合并抵消!$K:$K,合并抵消!$E:$E,$E154,合并抵消!$A:$A,I$2))</f>
        <v/>
      </c>
      <c r="J154" s="89">
        <f>浙江精准学!J154+知识跳跳!J154+海南精准学!J154+实时查!J154+目标准!J154+'SMART LEARNING HOLDING'!J154+'SMART AI LIMITED'!J154+'HK01'!J154-(-SUMIFS(合并抵消!$J:$J,合并抵消!$E:$E,$E154,合并抵消!$A:$A,J$2)+SUMIFS(合并抵消!$K:$K,合并抵消!$E:$E,$E154,合并抵消!$A:$A,J$2))</f>
        <v/>
      </c>
      <c r="K154" s="89">
        <f>浙江精准学!K154+知识跳跳!K154+海南精准学!K154+实时查!K154+目标准!K154+'SMART LEARNING HOLDING'!K154+'SMART AI LIMITED'!K154+'HK01'!K154-(-SUMIFS(合并抵消!$J:$J,合并抵消!$E:$E,$E154,合并抵消!$A:$A,K$2)+SUMIFS(合并抵消!$K:$K,合并抵消!$E:$E,$E154,合并抵消!$A:$A,K$2))</f>
        <v/>
      </c>
      <c r="L154" s="89">
        <f>浙江精准学!L154+知识跳跳!L154+海南精准学!L154+实时查!L154+目标准!L154+'SMART LEARNING HOLDING'!L154+'SMART AI LIMITED'!L154+'HK01'!L154-(-SUMIFS(合并抵消!$J:$J,合并抵消!$E:$E,$E154,合并抵消!$A:$A,L$2)+SUMIFS(合并抵消!$K:$K,合并抵消!$E:$E,$E154,合并抵消!$A:$A,L$2))</f>
        <v/>
      </c>
      <c r="M154" s="89">
        <f>浙江精准学!M154+知识跳跳!M154+海南精准学!M154+实时查!M154+目标准!M154+'SMART LEARNING HOLDING'!M154+'SMART AI LIMITED'!M154+'HK01'!M154-(-SUMIFS(合并抵消!$J:$J,合并抵消!$E:$E,$E154,合并抵消!$A:$A,M$2)+SUMIFS(合并抵消!$K:$K,合并抵消!$E:$E,$E154,合并抵消!$A:$A,M$2))</f>
        <v/>
      </c>
      <c r="N154" s="89">
        <f>浙江精准学!N154+知识跳跳!N154+海南精准学!N154+实时查!N154+目标准!N154+'SMART LEARNING HOLDING'!N154+'SMART AI LIMITED'!N154+'HK01'!N154-(-SUMIFS(合并抵消!$J:$J,合并抵消!$E:$E,$E154,合并抵消!$A:$A,N$2)+SUMIFS(合并抵消!$K:$K,合并抵消!$E:$E,$E154,合并抵消!$A:$A,N$2))</f>
        <v/>
      </c>
      <c r="O154" s="89">
        <f>浙江精准学!O154+知识跳跳!O154+海南精准学!O154+实时查!O154+目标准!O154+'SMART LEARNING HOLDING'!O154+'SMART AI LIMITED'!O154+'HK01'!O154-(-SUMIFS(合并抵消!$J:$J,合并抵消!$E:$E,$E154,合并抵消!$A:$A,O$2)+SUMIFS(合并抵消!$K:$K,合并抵消!$E:$E,$E154,合并抵消!$A:$A,O$2))</f>
        <v/>
      </c>
      <c r="P154" s="89">
        <f>浙江精准学!P154+知识跳跳!P154+海南精准学!P154+实时查!P154+目标准!P154+'SMART LEARNING HOLDING'!P154+'SMART AI LIMITED'!P154+'HK01'!P154-(-SUMIFS(合并抵消!$J:$J,合并抵消!$E:$E,$E154,合并抵消!$A:$A,P$2)+SUMIFS(合并抵消!$K:$K,合并抵消!$E:$E,$E154,合并抵消!$A:$A,P$2))</f>
        <v/>
      </c>
      <c r="Q154" s="89">
        <f>浙江精准学!Q154+知识跳跳!Q154+海南精准学!Q154+实时查!Q154+目标准!Q154+'SMART LEARNING HOLDING'!Q154+'SMART AI LIMITED'!Q154+'HK01'!Q154-(-SUMIFS(合并抵消!$J:$J,合并抵消!$E:$E,$E154,合并抵消!$A:$A,Q$2)+SUMIFS(合并抵消!$K:$K,合并抵消!$E:$E,$E154,合并抵消!$A:$A,Q$2))</f>
        <v/>
      </c>
      <c r="R154" s="89">
        <f>SUM(F154:Q154)</f>
        <v/>
      </c>
    </row>
    <row r="155" s="83">
      <c r="A155" s="5" t="inlineStr">
        <is>
          <t>管理费用</t>
        </is>
      </c>
      <c r="B155" s="6" t="inlineStr">
        <is>
          <t>办公费用</t>
        </is>
      </c>
      <c r="D155" s="5" t="inlineStr">
        <is>
          <t>网络费</t>
        </is>
      </c>
      <c r="E155" s="6" t="inlineStr">
        <is>
          <t>Q2903</t>
        </is>
      </c>
      <c r="F155" s="89">
        <f>浙江精准学!F155+知识跳跳!F155+海南精准学!F155+实时查!F155+目标准!F155+'SMART LEARNING HOLDING'!F155+'SMART AI LIMITED'!F155+'HK01'!F155-(-SUMIFS(合并抵消!$J:$J,合并抵消!$E:$E,$E155,合并抵消!$A:$A,F$2)+SUMIFS(合并抵消!$K:$K,合并抵消!$E:$E,$E155,合并抵消!$A:$A,F$2))</f>
        <v/>
      </c>
      <c r="G155" s="89">
        <f>浙江精准学!G155+知识跳跳!G155+海南精准学!G155+实时查!G155+目标准!G155+'SMART LEARNING HOLDING'!G155+'SMART AI LIMITED'!G155+'HK01'!G155-(-SUMIFS(合并抵消!$J:$J,合并抵消!$E:$E,$E155,合并抵消!$A:$A,G$2)+SUMIFS(合并抵消!$K:$K,合并抵消!$E:$E,$E155,合并抵消!$A:$A,G$2))</f>
        <v/>
      </c>
      <c r="H155" s="89">
        <f>浙江精准学!H155+知识跳跳!H155+海南精准学!H155+实时查!H155+目标准!H155+'SMART LEARNING HOLDING'!H155+'SMART AI LIMITED'!H155+'HK01'!H155-(-SUMIFS(合并抵消!$J:$J,合并抵消!$E:$E,$E155,合并抵消!$A:$A,H$2)+SUMIFS(合并抵消!$K:$K,合并抵消!$E:$E,$E155,合并抵消!$A:$A,H$2))</f>
        <v/>
      </c>
      <c r="I155" s="89">
        <f>浙江精准学!I155+知识跳跳!I155+海南精准学!I155+实时查!I155+目标准!I155+'SMART LEARNING HOLDING'!I155+'SMART AI LIMITED'!I155+'HK01'!I155-(-SUMIFS(合并抵消!$J:$J,合并抵消!$E:$E,$E155,合并抵消!$A:$A,I$2)+SUMIFS(合并抵消!$K:$K,合并抵消!$E:$E,$E155,合并抵消!$A:$A,I$2))</f>
        <v/>
      </c>
      <c r="J155" s="89">
        <f>浙江精准学!J155+知识跳跳!J155+海南精准学!J155+实时查!J155+目标准!J155+'SMART LEARNING HOLDING'!J155+'SMART AI LIMITED'!J155+'HK01'!J155-(-SUMIFS(合并抵消!$J:$J,合并抵消!$E:$E,$E155,合并抵消!$A:$A,J$2)+SUMIFS(合并抵消!$K:$K,合并抵消!$E:$E,$E155,合并抵消!$A:$A,J$2))</f>
        <v/>
      </c>
      <c r="K155" s="89">
        <f>浙江精准学!K155+知识跳跳!K155+海南精准学!K155+实时查!K155+目标准!K155+'SMART LEARNING HOLDING'!K155+'SMART AI LIMITED'!K155+'HK01'!K155-(-SUMIFS(合并抵消!$J:$J,合并抵消!$E:$E,$E155,合并抵消!$A:$A,K$2)+SUMIFS(合并抵消!$K:$K,合并抵消!$E:$E,$E155,合并抵消!$A:$A,K$2))</f>
        <v/>
      </c>
      <c r="L155" s="89">
        <f>浙江精准学!L155+知识跳跳!L155+海南精准学!L155+实时查!L155+目标准!L155+'SMART LEARNING HOLDING'!L155+'SMART AI LIMITED'!L155+'HK01'!L155-(-SUMIFS(合并抵消!$J:$J,合并抵消!$E:$E,$E155,合并抵消!$A:$A,L$2)+SUMIFS(合并抵消!$K:$K,合并抵消!$E:$E,$E155,合并抵消!$A:$A,L$2))</f>
        <v/>
      </c>
      <c r="M155" s="89">
        <f>浙江精准学!M155+知识跳跳!M155+海南精准学!M155+实时查!M155+目标准!M155+'SMART LEARNING HOLDING'!M155+'SMART AI LIMITED'!M155+'HK01'!M155-(-SUMIFS(合并抵消!$J:$J,合并抵消!$E:$E,$E155,合并抵消!$A:$A,M$2)+SUMIFS(合并抵消!$K:$K,合并抵消!$E:$E,$E155,合并抵消!$A:$A,M$2))</f>
        <v/>
      </c>
      <c r="N155" s="89">
        <f>浙江精准学!N155+知识跳跳!N155+海南精准学!N155+实时查!N155+目标准!N155+'SMART LEARNING HOLDING'!N155+'SMART AI LIMITED'!N155+'HK01'!N155-(-SUMIFS(合并抵消!$J:$J,合并抵消!$E:$E,$E155,合并抵消!$A:$A,N$2)+SUMIFS(合并抵消!$K:$K,合并抵消!$E:$E,$E155,合并抵消!$A:$A,N$2))</f>
        <v/>
      </c>
      <c r="O155" s="89">
        <f>浙江精准学!O155+知识跳跳!O155+海南精准学!O155+实时查!O155+目标准!O155+'SMART LEARNING HOLDING'!O155+'SMART AI LIMITED'!O155+'HK01'!O155-(-SUMIFS(合并抵消!$J:$J,合并抵消!$E:$E,$E155,合并抵消!$A:$A,O$2)+SUMIFS(合并抵消!$K:$K,合并抵消!$E:$E,$E155,合并抵消!$A:$A,O$2))</f>
        <v/>
      </c>
      <c r="P155" s="89">
        <f>浙江精准学!P155+知识跳跳!P155+海南精准学!P155+实时查!P155+目标准!P155+'SMART LEARNING HOLDING'!P155+'SMART AI LIMITED'!P155+'HK01'!P155-(-SUMIFS(合并抵消!$J:$J,合并抵消!$E:$E,$E155,合并抵消!$A:$A,P$2)+SUMIFS(合并抵消!$K:$K,合并抵消!$E:$E,$E155,合并抵消!$A:$A,P$2))</f>
        <v/>
      </c>
      <c r="Q155" s="89">
        <f>浙江精准学!Q155+知识跳跳!Q155+海南精准学!Q155+实时查!Q155+目标准!Q155+'SMART LEARNING HOLDING'!Q155+'SMART AI LIMITED'!Q155+'HK01'!Q155-(-SUMIFS(合并抵消!$J:$J,合并抵消!$E:$E,$E155,合并抵消!$A:$A,Q$2)+SUMIFS(合并抵消!$K:$K,合并抵消!$E:$E,$E155,合并抵消!$A:$A,Q$2))</f>
        <v/>
      </c>
      <c r="R155" s="89">
        <f>SUM(F155:Q155)</f>
        <v/>
      </c>
    </row>
    <row r="156" s="83">
      <c r="A156" s="5" t="inlineStr">
        <is>
          <t>管理费用</t>
        </is>
      </c>
      <c r="B156" s="6" t="inlineStr">
        <is>
          <t>办公费用</t>
        </is>
      </c>
      <c r="D156" s="5" t="inlineStr">
        <is>
          <t>通讯费</t>
        </is>
      </c>
      <c r="E156" s="6" t="inlineStr">
        <is>
          <t>Q2904</t>
        </is>
      </c>
      <c r="F156" s="89">
        <f>浙江精准学!F156+知识跳跳!F156+海南精准学!F156+实时查!F156+目标准!F156+'SMART LEARNING HOLDING'!F156+'SMART AI LIMITED'!F156+'HK01'!F156-(-SUMIFS(合并抵消!$J:$J,合并抵消!$E:$E,$E156,合并抵消!$A:$A,F$2)+SUMIFS(合并抵消!$K:$K,合并抵消!$E:$E,$E156,合并抵消!$A:$A,F$2))</f>
        <v/>
      </c>
      <c r="G156" s="89">
        <f>浙江精准学!G156+知识跳跳!G156+海南精准学!G156+实时查!G156+目标准!G156+'SMART LEARNING HOLDING'!G156+'SMART AI LIMITED'!G156+'HK01'!G156-(-SUMIFS(合并抵消!$J:$J,合并抵消!$E:$E,$E156,合并抵消!$A:$A,G$2)+SUMIFS(合并抵消!$K:$K,合并抵消!$E:$E,$E156,合并抵消!$A:$A,G$2))</f>
        <v/>
      </c>
      <c r="H156" s="89">
        <f>浙江精准学!H156+知识跳跳!H156+海南精准学!H156+实时查!H156+目标准!H156+'SMART LEARNING HOLDING'!H156+'SMART AI LIMITED'!H156+'HK01'!H156-(-SUMIFS(合并抵消!$J:$J,合并抵消!$E:$E,$E156,合并抵消!$A:$A,H$2)+SUMIFS(合并抵消!$K:$K,合并抵消!$E:$E,$E156,合并抵消!$A:$A,H$2))</f>
        <v/>
      </c>
      <c r="I156" s="89">
        <f>浙江精准学!I156+知识跳跳!I156+海南精准学!I156+实时查!I156+目标准!I156+'SMART LEARNING HOLDING'!I156+'SMART AI LIMITED'!I156+'HK01'!I156-(-SUMIFS(合并抵消!$J:$J,合并抵消!$E:$E,$E156,合并抵消!$A:$A,I$2)+SUMIFS(合并抵消!$K:$K,合并抵消!$E:$E,$E156,合并抵消!$A:$A,I$2))</f>
        <v/>
      </c>
      <c r="J156" s="89">
        <f>浙江精准学!J156+知识跳跳!J156+海南精准学!J156+实时查!J156+目标准!J156+'SMART LEARNING HOLDING'!J156+'SMART AI LIMITED'!J156+'HK01'!J156-(-SUMIFS(合并抵消!$J:$J,合并抵消!$E:$E,$E156,合并抵消!$A:$A,J$2)+SUMIFS(合并抵消!$K:$K,合并抵消!$E:$E,$E156,合并抵消!$A:$A,J$2))</f>
        <v/>
      </c>
      <c r="K156" s="89">
        <f>浙江精准学!K156+知识跳跳!K156+海南精准学!K156+实时查!K156+目标准!K156+'SMART LEARNING HOLDING'!K156+'SMART AI LIMITED'!K156+'HK01'!K156-(-SUMIFS(合并抵消!$J:$J,合并抵消!$E:$E,$E156,合并抵消!$A:$A,K$2)+SUMIFS(合并抵消!$K:$K,合并抵消!$E:$E,$E156,合并抵消!$A:$A,K$2))</f>
        <v/>
      </c>
      <c r="L156" s="89">
        <f>浙江精准学!L156+知识跳跳!L156+海南精准学!L156+实时查!L156+目标准!L156+'SMART LEARNING HOLDING'!L156+'SMART AI LIMITED'!L156+'HK01'!L156-(-SUMIFS(合并抵消!$J:$J,合并抵消!$E:$E,$E156,合并抵消!$A:$A,L$2)+SUMIFS(合并抵消!$K:$K,合并抵消!$E:$E,$E156,合并抵消!$A:$A,L$2))</f>
        <v/>
      </c>
      <c r="M156" s="89">
        <f>浙江精准学!M156+知识跳跳!M156+海南精准学!M156+实时查!M156+目标准!M156+'SMART LEARNING HOLDING'!M156+'SMART AI LIMITED'!M156+'HK01'!M156-(-SUMIFS(合并抵消!$J:$J,合并抵消!$E:$E,$E156,合并抵消!$A:$A,M$2)+SUMIFS(合并抵消!$K:$K,合并抵消!$E:$E,$E156,合并抵消!$A:$A,M$2))</f>
        <v/>
      </c>
      <c r="N156" s="89">
        <f>浙江精准学!N156+知识跳跳!N156+海南精准学!N156+实时查!N156+目标准!N156+'SMART LEARNING HOLDING'!N156+'SMART AI LIMITED'!N156+'HK01'!N156-(-SUMIFS(合并抵消!$J:$J,合并抵消!$E:$E,$E156,合并抵消!$A:$A,N$2)+SUMIFS(合并抵消!$K:$K,合并抵消!$E:$E,$E156,合并抵消!$A:$A,N$2))</f>
        <v/>
      </c>
      <c r="O156" s="89">
        <f>浙江精准学!O156+知识跳跳!O156+海南精准学!O156+实时查!O156+目标准!O156+'SMART LEARNING HOLDING'!O156+'SMART AI LIMITED'!O156+'HK01'!O156-(-SUMIFS(合并抵消!$J:$J,合并抵消!$E:$E,$E156,合并抵消!$A:$A,O$2)+SUMIFS(合并抵消!$K:$K,合并抵消!$E:$E,$E156,合并抵消!$A:$A,O$2))</f>
        <v/>
      </c>
      <c r="P156" s="89">
        <f>浙江精准学!P156+知识跳跳!P156+海南精准学!P156+实时查!P156+目标准!P156+'SMART LEARNING HOLDING'!P156+'SMART AI LIMITED'!P156+'HK01'!P156-(-SUMIFS(合并抵消!$J:$J,合并抵消!$E:$E,$E156,合并抵消!$A:$A,P$2)+SUMIFS(合并抵消!$K:$K,合并抵消!$E:$E,$E156,合并抵消!$A:$A,P$2))</f>
        <v/>
      </c>
      <c r="Q156" s="89">
        <f>浙江精准学!Q156+知识跳跳!Q156+海南精准学!Q156+实时查!Q156+目标准!Q156+'SMART LEARNING HOLDING'!Q156+'SMART AI LIMITED'!Q156+'HK01'!Q156-(-SUMIFS(合并抵消!$J:$J,合并抵消!$E:$E,$E156,合并抵消!$A:$A,Q$2)+SUMIFS(合并抵消!$K:$K,合并抵消!$E:$E,$E156,合并抵消!$A:$A,Q$2))</f>
        <v/>
      </c>
      <c r="R156" s="89">
        <f>SUM(F156:Q156)</f>
        <v/>
      </c>
    </row>
    <row r="157" s="83">
      <c r="A157" s="5" t="inlineStr">
        <is>
          <t>管理费用</t>
        </is>
      </c>
      <c r="B157" s="6" t="inlineStr">
        <is>
          <t>办公费用</t>
        </is>
      </c>
      <c r="D157" s="5" t="inlineStr">
        <is>
          <t>快递费</t>
        </is>
      </c>
      <c r="E157" s="6" t="inlineStr">
        <is>
          <t>Q2905</t>
        </is>
      </c>
      <c r="F157" s="89">
        <f>浙江精准学!F157+知识跳跳!F157+海南精准学!F157+实时查!F157+目标准!F157+'SMART LEARNING HOLDING'!F157+'SMART AI LIMITED'!F157+'HK01'!F157-(-SUMIFS(合并抵消!$J:$J,合并抵消!$E:$E,$E157,合并抵消!$A:$A,F$2)+SUMIFS(合并抵消!$K:$K,合并抵消!$E:$E,$E157,合并抵消!$A:$A,F$2))</f>
        <v/>
      </c>
      <c r="G157" s="89">
        <f>浙江精准学!G157+知识跳跳!G157+海南精准学!G157+实时查!G157+目标准!G157+'SMART LEARNING HOLDING'!G157+'SMART AI LIMITED'!G157+'HK01'!G157-(-SUMIFS(合并抵消!$J:$J,合并抵消!$E:$E,$E157,合并抵消!$A:$A,G$2)+SUMIFS(合并抵消!$K:$K,合并抵消!$E:$E,$E157,合并抵消!$A:$A,G$2))</f>
        <v/>
      </c>
      <c r="H157" s="89">
        <f>浙江精准学!H157+知识跳跳!H157+海南精准学!H157+实时查!H157+目标准!H157+'SMART LEARNING HOLDING'!H157+'SMART AI LIMITED'!H157+'HK01'!H157-(-SUMIFS(合并抵消!$J:$J,合并抵消!$E:$E,$E157,合并抵消!$A:$A,H$2)+SUMIFS(合并抵消!$K:$K,合并抵消!$E:$E,$E157,合并抵消!$A:$A,H$2))</f>
        <v/>
      </c>
      <c r="I157" s="89">
        <f>浙江精准学!I157+知识跳跳!I157+海南精准学!I157+实时查!I157+目标准!I157+'SMART LEARNING HOLDING'!I157+'SMART AI LIMITED'!I157+'HK01'!I157-(-SUMIFS(合并抵消!$J:$J,合并抵消!$E:$E,$E157,合并抵消!$A:$A,I$2)+SUMIFS(合并抵消!$K:$K,合并抵消!$E:$E,$E157,合并抵消!$A:$A,I$2))</f>
        <v/>
      </c>
      <c r="J157" s="89">
        <f>浙江精准学!J157+知识跳跳!J157+海南精准学!J157+实时查!J157+目标准!J157+'SMART LEARNING HOLDING'!J157+'SMART AI LIMITED'!J157+'HK01'!J157-(-SUMIFS(合并抵消!$J:$J,合并抵消!$E:$E,$E157,合并抵消!$A:$A,J$2)+SUMIFS(合并抵消!$K:$K,合并抵消!$E:$E,$E157,合并抵消!$A:$A,J$2))</f>
        <v/>
      </c>
      <c r="K157" s="89">
        <f>浙江精准学!K157+知识跳跳!K157+海南精准学!K157+实时查!K157+目标准!K157+'SMART LEARNING HOLDING'!K157+'SMART AI LIMITED'!K157+'HK01'!K157-(-SUMIFS(合并抵消!$J:$J,合并抵消!$E:$E,$E157,合并抵消!$A:$A,K$2)+SUMIFS(合并抵消!$K:$K,合并抵消!$E:$E,$E157,合并抵消!$A:$A,K$2))</f>
        <v/>
      </c>
      <c r="L157" s="89">
        <f>浙江精准学!L157+知识跳跳!L157+海南精准学!L157+实时查!L157+目标准!L157+'SMART LEARNING HOLDING'!L157+'SMART AI LIMITED'!L157+'HK01'!L157-(-SUMIFS(合并抵消!$J:$J,合并抵消!$E:$E,$E157,合并抵消!$A:$A,L$2)+SUMIFS(合并抵消!$K:$K,合并抵消!$E:$E,$E157,合并抵消!$A:$A,L$2))</f>
        <v/>
      </c>
      <c r="M157" s="89">
        <f>浙江精准学!M157+知识跳跳!M157+海南精准学!M157+实时查!M157+目标准!M157+'SMART LEARNING HOLDING'!M157+'SMART AI LIMITED'!M157+'HK01'!M157-(-SUMIFS(合并抵消!$J:$J,合并抵消!$E:$E,$E157,合并抵消!$A:$A,M$2)+SUMIFS(合并抵消!$K:$K,合并抵消!$E:$E,$E157,合并抵消!$A:$A,M$2))</f>
        <v/>
      </c>
      <c r="N157" s="89">
        <f>浙江精准学!N157+知识跳跳!N157+海南精准学!N157+实时查!N157+目标准!N157+'SMART LEARNING HOLDING'!N157+'SMART AI LIMITED'!N157+'HK01'!N157-(-SUMIFS(合并抵消!$J:$J,合并抵消!$E:$E,$E157,合并抵消!$A:$A,N$2)+SUMIFS(合并抵消!$K:$K,合并抵消!$E:$E,$E157,合并抵消!$A:$A,N$2))</f>
        <v/>
      </c>
      <c r="O157" s="89">
        <f>浙江精准学!O157+知识跳跳!O157+海南精准学!O157+实时查!O157+目标准!O157+'SMART LEARNING HOLDING'!O157+'SMART AI LIMITED'!O157+'HK01'!O157-(-SUMIFS(合并抵消!$J:$J,合并抵消!$E:$E,$E157,合并抵消!$A:$A,O$2)+SUMIFS(合并抵消!$K:$K,合并抵消!$E:$E,$E157,合并抵消!$A:$A,O$2))</f>
        <v/>
      </c>
      <c r="P157" s="89">
        <f>浙江精准学!P157+知识跳跳!P157+海南精准学!P157+实时查!P157+目标准!P157+'SMART LEARNING HOLDING'!P157+'SMART AI LIMITED'!P157+'HK01'!P157-(-SUMIFS(合并抵消!$J:$J,合并抵消!$E:$E,$E157,合并抵消!$A:$A,P$2)+SUMIFS(合并抵消!$K:$K,合并抵消!$E:$E,$E157,合并抵消!$A:$A,P$2))</f>
        <v/>
      </c>
      <c r="Q157" s="89">
        <f>浙江精准学!Q157+知识跳跳!Q157+海南精准学!Q157+实时查!Q157+目标准!Q157+'SMART LEARNING HOLDING'!Q157+'SMART AI LIMITED'!Q157+'HK01'!Q157-(-SUMIFS(合并抵消!$J:$J,合并抵消!$E:$E,$E157,合并抵消!$A:$A,Q$2)+SUMIFS(合并抵消!$K:$K,合并抵消!$E:$E,$E157,合并抵消!$A:$A,Q$2))</f>
        <v/>
      </c>
      <c r="R157" s="89">
        <f>SUM(F157:Q157)</f>
        <v/>
      </c>
    </row>
    <row r="158" s="83">
      <c r="A158" s="5" t="inlineStr">
        <is>
          <t>管理费用</t>
        </is>
      </c>
      <c r="B158" s="6" t="inlineStr">
        <is>
          <t>办公费用</t>
        </is>
      </c>
      <c r="D158" s="5" t="inlineStr">
        <is>
          <t>其他员工报销</t>
        </is>
      </c>
      <c r="E158" s="6" t="inlineStr">
        <is>
          <t>Q2907</t>
        </is>
      </c>
      <c r="F158" s="89">
        <f>浙江精准学!F158+知识跳跳!F158+海南精准学!F158+实时查!F158+目标准!F158+'SMART LEARNING HOLDING'!F158+'SMART AI LIMITED'!F158+'HK01'!F158-(-SUMIFS(合并抵消!$J:$J,合并抵消!$E:$E,$E158,合并抵消!$A:$A,F$2)+SUMIFS(合并抵消!$K:$K,合并抵消!$E:$E,$E158,合并抵消!$A:$A,F$2))</f>
        <v/>
      </c>
      <c r="G158" s="89">
        <f>浙江精准学!G158+知识跳跳!G158+海南精准学!G158+实时查!G158+目标准!G158+'SMART LEARNING HOLDING'!G158+'SMART AI LIMITED'!G158+'HK01'!G158-(-SUMIFS(合并抵消!$J:$J,合并抵消!$E:$E,$E158,合并抵消!$A:$A,G$2)+SUMIFS(合并抵消!$K:$K,合并抵消!$E:$E,$E158,合并抵消!$A:$A,G$2))</f>
        <v/>
      </c>
      <c r="H158" s="89">
        <f>浙江精准学!H158+知识跳跳!H158+海南精准学!H158+实时查!H158+目标准!H158+'SMART LEARNING HOLDING'!H158+'SMART AI LIMITED'!H158+'HK01'!H158-(-SUMIFS(合并抵消!$J:$J,合并抵消!$E:$E,$E158,合并抵消!$A:$A,H$2)+SUMIFS(合并抵消!$K:$K,合并抵消!$E:$E,$E158,合并抵消!$A:$A,H$2))</f>
        <v/>
      </c>
      <c r="I158" s="89">
        <f>浙江精准学!I158+知识跳跳!I158+海南精准学!I158+实时查!I158+目标准!I158+'SMART LEARNING HOLDING'!I158+'SMART AI LIMITED'!I158+'HK01'!I158-(-SUMIFS(合并抵消!$J:$J,合并抵消!$E:$E,$E158,合并抵消!$A:$A,I$2)+SUMIFS(合并抵消!$K:$K,合并抵消!$E:$E,$E158,合并抵消!$A:$A,I$2))</f>
        <v/>
      </c>
      <c r="J158" s="89">
        <f>浙江精准学!J158+知识跳跳!J158+海南精准学!J158+实时查!J158+目标准!J158+'SMART LEARNING HOLDING'!J158+'SMART AI LIMITED'!J158+'HK01'!J158-(-SUMIFS(合并抵消!$J:$J,合并抵消!$E:$E,$E158,合并抵消!$A:$A,J$2)+SUMIFS(合并抵消!$K:$K,合并抵消!$E:$E,$E158,合并抵消!$A:$A,J$2))</f>
        <v/>
      </c>
      <c r="K158" s="89">
        <f>浙江精准学!K158+知识跳跳!K158+海南精准学!K158+实时查!K158+目标准!K158+'SMART LEARNING HOLDING'!K158+'SMART AI LIMITED'!K158+'HK01'!K158-(-SUMIFS(合并抵消!$J:$J,合并抵消!$E:$E,$E158,合并抵消!$A:$A,K$2)+SUMIFS(合并抵消!$K:$K,合并抵消!$E:$E,$E158,合并抵消!$A:$A,K$2))</f>
        <v/>
      </c>
      <c r="L158" s="89">
        <f>浙江精准学!L158+知识跳跳!L158+海南精准学!L158+实时查!L158+目标准!L158+'SMART LEARNING HOLDING'!L158+'SMART AI LIMITED'!L158+'HK01'!L158-(-SUMIFS(合并抵消!$J:$J,合并抵消!$E:$E,$E158,合并抵消!$A:$A,L$2)+SUMIFS(合并抵消!$K:$K,合并抵消!$E:$E,$E158,合并抵消!$A:$A,L$2))</f>
        <v/>
      </c>
      <c r="M158" s="89">
        <f>浙江精准学!M158+知识跳跳!M158+海南精准学!M158+实时查!M158+目标准!M158+'SMART LEARNING HOLDING'!M158+'SMART AI LIMITED'!M158+'HK01'!M158-(-SUMIFS(合并抵消!$J:$J,合并抵消!$E:$E,$E158,合并抵消!$A:$A,M$2)+SUMIFS(合并抵消!$K:$K,合并抵消!$E:$E,$E158,合并抵消!$A:$A,M$2))</f>
        <v/>
      </c>
      <c r="N158" s="89">
        <f>浙江精准学!N158+知识跳跳!N158+海南精准学!N158+实时查!N158+目标准!N158+'SMART LEARNING HOLDING'!N158+'SMART AI LIMITED'!N158+'HK01'!N158-(-SUMIFS(合并抵消!$J:$J,合并抵消!$E:$E,$E158,合并抵消!$A:$A,N$2)+SUMIFS(合并抵消!$K:$K,合并抵消!$E:$E,$E158,合并抵消!$A:$A,N$2))</f>
        <v/>
      </c>
      <c r="O158" s="89">
        <f>浙江精准学!O158+知识跳跳!O158+海南精准学!O158+实时查!O158+目标准!O158+'SMART LEARNING HOLDING'!O158+'SMART AI LIMITED'!O158+'HK01'!O158-(-SUMIFS(合并抵消!$J:$J,合并抵消!$E:$E,$E158,合并抵消!$A:$A,O$2)+SUMIFS(合并抵消!$K:$K,合并抵消!$E:$E,$E158,合并抵消!$A:$A,O$2))</f>
        <v/>
      </c>
      <c r="P158" s="89">
        <f>浙江精准学!P158+知识跳跳!P158+海南精准学!P158+实时查!P158+目标准!P158+'SMART LEARNING HOLDING'!P158+'SMART AI LIMITED'!P158+'HK01'!P158-(-SUMIFS(合并抵消!$J:$J,合并抵消!$E:$E,$E158,合并抵消!$A:$A,P$2)+SUMIFS(合并抵消!$K:$K,合并抵消!$E:$E,$E158,合并抵消!$A:$A,P$2))</f>
        <v/>
      </c>
      <c r="Q158" s="89">
        <f>浙江精准学!Q158+知识跳跳!Q158+海南精准学!Q158+实时查!Q158+目标准!Q158+'SMART LEARNING HOLDING'!Q158+'SMART AI LIMITED'!Q158+'HK01'!Q158-(-SUMIFS(合并抵消!$J:$J,合并抵消!$E:$E,$E158,合并抵消!$A:$A,Q$2)+SUMIFS(合并抵消!$K:$K,合并抵消!$E:$E,$E158,合并抵消!$A:$A,Q$2))</f>
        <v/>
      </c>
      <c r="R158" s="89">
        <f>SUM(F158:Q158)</f>
        <v/>
      </c>
    </row>
    <row r="159" s="83">
      <c r="A159" s="5" t="inlineStr">
        <is>
          <t>管理费用</t>
        </is>
      </c>
      <c r="B159" s="6" t="inlineStr">
        <is>
          <t>办公费用</t>
        </is>
      </c>
      <c r="D159" s="5" t="inlineStr">
        <is>
          <t>办公设备租赁费</t>
        </is>
      </c>
      <c r="E159" s="6" t="inlineStr">
        <is>
          <t>Q2908</t>
        </is>
      </c>
      <c r="F159" s="89">
        <f>浙江精准学!F159+知识跳跳!F159+海南精准学!F159+实时查!F159+目标准!F159+'SMART LEARNING HOLDING'!F159+'SMART AI LIMITED'!F159+'HK01'!F159-(-SUMIFS(合并抵消!$J:$J,合并抵消!$E:$E,$E159,合并抵消!$A:$A,F$2)+SUMIFS(合并抵消!$K:$K,合并抵消!$E:$E,$E159,合并抵消!$A:$A,F$2))</f>
        <v/>
      </c>
      <c r="G159" s="89">
        <f>浙江精准学!G159+知识跳跳!G159+海南精准学!G159+实时查!G159+目标准!G159+'SMART LEARNING HOLDING'!G159+'SMART AI LIMITED'!G159+'HK01'!G159-(-SUMIFS(合并抵消!$J:$J,合并抵消!$E:$E,$E159,合并抵消!$A:$A,G$2)+SUMIFS(合并抵消!$K:$K,合并抵消!$E:$E,$E159,合并抵消!$A:$A,G$2))</f>
        <v/>
      </c>
      <c r="H159" s="89">
        <f>浙江精准学!H159+知识跳跳!H159+海南精准学!H159+实时查!H159+目标准!H159+'SMART LEARNING HOLDING'!H159+'SMART AI LIMITED'!H159+'HK01'!H159-(-SUMIFS(合并抵消!$J:$J,合并抵消!$E:$E,$E159,合并抵消!$A:$A,H$2)+SUMIFS(合并抵消!$K:$K,合并抵消!$E:$E,$E159,合并抵消!$A:$A,H$2))</f>
        <v/>
      </c>
      <c r="I159" s="89">
        <f>浙江精准学!I159+知识跳跳!I159+海南精准学!I159+实时查!I159+目标准!I159+'SMART LEARNING HOLDING'!I159+'SMART AI LIMITED'!I159+'HK01'!I159-(-SUMIFS(合并抵消!$J:$J,合并抵消!$E:$E,$E159,合并抵消!$A:$A,I$2)+SUMIFS(合并抵消!$K:$K,合并抵消!$E:$E,$E159,合并抵消!$A:$A,I$2))</f>
        <v/>
      </c>
      <c r="J159" s="89">
        <f>浙江精准学!J159+知识跳跳!J159+海南精准学!J159+实时查!J159+目标准!J159+'SMART LEARNING HOLDING'!J159+'SMART AI LIMITED'!J159+'HK01'!J159-(-SUMIFS(合并抵消!$J:$J,合并抵消!$E:$E,$E159,合并抵消!$A:$A,J$2)+SUMIFS(合并抵消!$K:$K,合并抵消!$E:$E,$E159,合并抵消!$A:$A,J$2))</f>
        <v/>
      </c>
      <c r="K159" s="89">
        <f>浙江精准学!K159+知识跳跳!K159+海南精准学!K159+实时查!K159+目标准!K159+'SMART LEARNING HOLDING'!K159+'SMART AI LIMITED'!K159+'HK01'!K159-(-SUMIFS(合并抵消!$J:$J,合并抵消!$E:$E,$E159,合并抵消!$A:$A,K$2)+SUMIFS(合并抵消!$K:$K,合并抵消!$E:$E,$E159,合并抵消!$A:$A,K$2))</f>
        <v/>
      </c>
      <c r="L159" s="89">
        <f>浙江精准学!L159+知识跳跳!L159+海南精准学!L159+实时查!L159+目标准!L159+'SMART LEARNING HOLDING'!L159+'SMART AI LIMITED'!L159+'HK01'!L159-(-SUMIFS(合并抵消!$J:$J,合并抵消!$E:$E,$E159,合并抵消!$A:$A,L$2)+SUMIFS(合并抵消!$K:$K,合并抵消!$E:$E,$E159,合并抵消!$A:$A,L$2))</f>
        <v/>
      </c>
      <c r="M159" s="89">
        <f>浙江精准学!M159+知识跳跳!M159+海南精准学!M159+实时查!M159+目标准!M159+'SMART LEARNING HOLDING'!M159+'SMART AI LIMITED'!M159+'HK01'!M159-(-SUMIFS(合并抵消!$J:$J,合并抵消!$E:$E,$E159,合并抵消!$A:$A,M$2)+SUMIFS(合并抵消!$K:$K,合并抵消!$E:$E,$E159,合并抵消!$A:$A,M$2))</f>
        <v/>
      </c>
      <c r="N159" s="89">
        <f>浙江精准学!N159+知识跳跳!N159+海南精准学!N159+实时查!N159+目标准!N159+'SMART LEARNING HOLDING'!N159+'SMART AI LIMITED'!N159+'HK01'!N159-(-SUMIFS(合并抵消!$J:$J,合并抵消!$E:$E,$E159,合并抵消!$A:$A,N$2)+SUMIFS(合并抵消!$K:$K,合并抵消!$E:$E,$E159,合并抵消!$A:$A,N$2))</f>
        <v/>
      </c>
      <c r="O159" s="89">
        <f>浙江精准学!O159+知识跳跳!O159+海南精准学!O159+实时查!O159+目标准!O159+'SMART LEARNING HOLDING'!O159+'SMART AI LIMITED'!O159+'HK01'!O159-(-SUMIFS(合并抵消!$J:$J,合并抵消!$E:$E,$E159,合并抵消!$A:$A,O$2)+SUMIFS(合并抵消!$K:$K,合并抵消!$E:$E,$E159,合并抵消!$A:$A,O$2))</f>
        <v/>
      </c>
      <c r="P159" s="89">
        <f>浙江精准学!P159+知识跳跳!P159+海南精准学!P159+实时查!P159+目标准!P159+'SMART LEARNING HOLDING'!P159+'SMART AI LIMITED'!P159+'HK01'!P159-(-SUMIFS(合并抵消!$J:$J,合并抵消!$E:$E,$E159,合并抵消!$A:$A,P$2)+SUMIFS(合并抵消!$K:$K,合并抵消!$E:$E,$E159,合并抵消!$A:$A,P$2))</f>
        <v/>
      </c>
      <c r="Q159" s="89">
        <f>浙江精准学!Q159+知识跳跳!Q159+海南精准学!Q159+实时查!Q159+目标准!Q159+'SMART LEARNING HOLDING'!Q159+'SMART AI LIMITED'!Q159+'HK01'!Q159-(-SUMIFS(合并抵消!$J:$J,合并抵消!$E:$E,$E159,合并抵消!$A:$A,Q$2)+SUMIFS(合并抵消!$K:$K,合并抵消!$E:$E,$E159,合并抵消!$A:$A,Q$2))</f>
        <v/>
      </c>
      <c r="R159" s="89">
        <f>SUM(F159:Q159)</f>
        <v/>
      </c>
    </row>
    <row r="160" s="83">
      <c r="A160" s="5" t="inlineStr">
        <is>
          <t>管理费用</t>
        </is>
      </c>
      <c r="B160" s="6" t="inlineStr">
        <is>
          <t>办公费用</t>
        </is>
      </c>
      <c r="D160" s="5" t="inlineStr">
        <is>
          <t>总经办报销费用</t>
        </is>
      </c>
      <c r="E160" s="6" t="inlineStr">
        <is>
          <t>Q2909</t>
        </is>
      </c>
      <c r="F160" s="89">
        <f>浙江精准学!F160+知识跳跳!F160+海南精准学!F160+实时查!F160+目标准!F160+'SMART LEARNING HOLDING'!F160+'SMART AI LIMITED'!F160+'HK01'!F160-(-SUMIFS(合并抵消!$J:$J,合并抵消!$E:$E,$E160,合并抵消!$A:$A,F$2)+SUMIFS(合并抵消!$K:$K,合并抵消!$E:$E,$E160,合并抵消!$A:$A,F$2))</f>
        <v/>
      </c>
      <c r="G160" s="89">
        <f>浙江精准学!G160+知识跳跳!G160+海南精准学!G160+实时查!G160+目标准!G160+'SMART LEARNING HOLDING'!G160+'SMART AI LIMITED'!G160+'HK01'!G160-(-SUMIFS(合并抵消!$J:$J,合并抵消!$E:$E,$E160,合并抵消!$A:$A,G$2)+SUMIFS(合并抵消!$K:$K,合并抵消!$E:$E,$E160,合并抵消!$A:$A,G$2))</f>
        <v/>
      </c>
      <c r="H160" s="89">
        <f>浙江精准学!H160+知识跳跳!H160+海南精准学!H160+实时查!H160+目标准!H160+'SMART LEARNING HOLDING'!H160+'SMART AI LIMITED'!H160+'HK01'!H160-(-SUMIFS(合并抵消!$J:$J,合并抵消!$E:$E,$E160,合并抵消!$A:$A,H$2)+SUMIFS(合并抵消!$K:$K,合并抵消!$E:$E,$E160,合并抵消!$A:$A,H$2))</f>
        <v/>
      </c>
      <c r="I160" s="89">
        <f>浙江精准学!I160+知识跳跳!I160+海南精准学!I160+实时查!I160+目标准!I160+'SMART LEARNING HOLDING'!I160+'SMART AI LIMITED'!I160+'HK01'!I160-(-SUMIFS(合并抵消!$J:$J,合并抵消!$E:$E,$E160,合并抵消!$A:$A,I$2)+SUMIFS(合并抵消!$K:$K,合并抵消!$E:$E,$E160,合并抵消!$A:$A,I$2))</f>
        <v/>
      </c>
      <c r="J160" s="89">
        <f>浙江精准学!J160+知识跳跳!J160+海南精准学!J160+实时查!J160+目标准!J160+'SMART LEARNING HOLDING'!J160+'SMART AI LIMITED'!J160+'HK01'!J160-(-SUMIFS(合并抵消!$J:$J,合并抵消!$E:$E,$E160,合并抵消!$A:$A,J$2)+SUMIFS(合并抵消!$K:$K,合并抵消!$E:$E,$E160,合并抵消!$A:$A,J$2))</f>
        <v/>
      </c>
      <c r="K160" s="89">
        <f>浙江精准学!K160+知识跳跳!K160+海南精准学!K160+实时查!K160+目标准!K160+'SMART LEARNING HOLDING'!K160+'SMART AI LIMITED'!K160+'HK01'!K160-(-SUMIFS(合并抵消!$J:$J,合并抵消!$E:$E,$E160,合并抵消!$A:$A,K$2)+SUMIFS(合并抵消!$K:$K,合并抵消!$E:$E,$E160,合并抵消!$A:$A,K$2))</f>
        <v/>
      </c>
      <c r="L160" s="89">
        <f>浙江精准学!L160+知识跳跳!L160+海南精准学!L160+实时查!L160+目标准!L160+'SMART LEARNING HOLDING'!L160+'SMART AI LIMITED'!L160+'HK01'!L160-(-SUMIFS(合并抵消!$J:$J,合并抵消!$E:$E,$E160,合并抵消!$A:$A,L$2)+SUMIFS(合并抵消!$K:$K,合并抵消!$E:$E,$E160,合并抵消!$A:$A,L$2))</f>
        <v/>
      </c>
      <c r="M160" s="89">
        <f>浙江精准学!M160+知识跳跳!M160+海南精准学!M160+实时查!M160+目标准!M160+'SMART LEARNING HOLDING'!M160+'SMART AI LIMITED'!M160+'HK01'!M160-(-SUMIFS(合并抵消!$J:$J,合并抵消!$E:$E,$E160,合并抵消!$A:$A,M$2)+SUMIFS(合并抵消!$K:$K,合并抵消!$E:$E,$E160,合并抵消!$A:$A,M$2))</f>
        <v/>
      </c>
      <c r="N160" s="89">
        <f>浙江精准学!N160+知识跳跳!N160+海南精准学!N160+实时查!N160+目标准!N160+'SMART LEARNING HOLDING'!N160+'SMART AI LIMITED'!N160+'HK01'!N160-(-SUMIFS(合并抵消!$J:$J,合并抵消!$E:$E,$E160,合并抵消!$A:$A,N$2)+SUMIFS(合并抵消!$K:$K,合并抵消!$E:$E,$E160,合并抵消!$A:$A,N$2))</f>
        <v/>
      </c>
      <c r="O160" s="89">
        <f>浙江精准学!O160+知识跳跳!O160+海南精准学!O160+实时查!O160+目标准!O160+'SMART LEARNING HOLDING'!O160+'SMART AI LIMITED'!O160+'HK01'!O160-(-SUMIFS(合并抵消!$J:$J,合并抵消!$E:$E,$E160,合并抵消!$A:$A,O$2)+SUMIFS(合并抵消!$K:$K,合并抵消!$E:$E,$E160,合并抵消!$A:$A,O$2))</f>
        <v/>
      </c>
      <c r="P160" s="89">
        <f>浙江精准学!P160+知识跳跳!P160+海南精准学!P160+实时查!P160+目标准!P160+'SMART LEARNING HOLDING'!P160+'SMART AI LIMITED'!P160+'HK01'!P160-(-SUMIFS(合并抵消!$J:$J,合并抵消!$E:$E,$E160,合并抵消!$A:$A,P$2)+SUMIFS(合并抵消!$K:$K,合并抵消!$E:$E,$E160,合并抵消!$A:$A,P$2))</f>
        <v/>
      </c>
      <c r="Q160" s="89">
        <f>浙江精准学!Q160+知识跳跳!Q160+海南精准学!Q160+实时查!Q160+目标准!Q160+'SMART LEARNING HOLDING'!Q160+'SMART AI LIMITED'!Q160+'HK01'!Q160-(-SUMIFS(合并抵消!$J:$J,合并抵消!$E:$E,$E160,合并抵消!$A:$A,Q$2)+SUMIFS(合并抵消!$K:$K,合并抵消!$E:$E,$E160,合并抵消!$A:$A,Q$2))</f>
        <v/>
      </c>
      <c r="R160" s="89">
        <f>SUM(F160:Q160)</f>
        <v/>
      </c>
    </row>
    <row r="161" s="83">
      <c r="A161" s="5" t="inlineStr">
        <is>
          <t>管理费用</t>
        </is>
      </c>
      <c r="B161" s="6" t="inlineStr">
        <is>
          <t>办公费用</t>
        </is>
      </c>
      <c r="D161" s="5" t="inlineStr">
        <is>
          <t>其他办公费用</t>
        </is>
      </c>
      <c r="E161" s="6" t="inlineStr">
        <is>
          <t>Q29010</t>
        </is>
      </c>
      <c r="F161" s="89">
        <f>浙江精准学!F161+知识跳跳!F161+海南精准学!F161+实时查!F161+目标准!F161+'SMART LEARNING HOLDING'!F161+'SMART AI LIMITED'!F161+'HK01'!F161-(-SUMIFS(合并抵消!$J:$J,合并抵消!$E:$E,$E161,合并抵消!$A:$A,F$2)+SUMIFS(合并抵消!$K:$K,合并抵消!$E:$E,$E161,合并抵消!$A:$A,F$2))</f>
        <v/>
      </c>
      <c r="G161" s="89">
        <f>浙江精准学!G161+知识跳跳!G161+海南精准学!G161+实时查!G161+目标准!G161+'SMART LEARNING HOLDING'!G161+'SMART AI LIMITED'!G161+'HK01'!G161-(-SUMIFS(合并抵消!$J:$J,合并抵消!$E:$E,$E161,合并抵消!$A:$A,G$2)+SUMIFS(合并抵消!$K:$K,合并抵消!$E:$E,$E161,合并抵消!$A:$A,G$2))</f>
        <v/>
      </c>
      <c r="H161" s="89">
        <f>浙江精准学!H161+知识跳跳!H161+海南精准学!H161+实时查!H161+目标准!H161+'SMART LEARNING HOLDING'!H161+'SMART AI LIMITED'!H161+'HK01'!H161-(-SUMIFS(合并抵消!$J:$J,合并抵消!$E:$E,$E161,合并抵消!$A:$A,H$2)+SUMIFS(合并抵消!$K:$K,合并抵消!$E:$E,$E161,合并抵消!$A:$A,H$2))</f>
        <v/>
      </c>
      <c r="I161" s="89">
        <f>浙江精准学!I161+知识跳跳!I161+海南精准学!I161+实时查!I161+目标准!I161+'SMART LEARNING HOLDING'!I161+'SMART AI LIMITED'!I161+'HK01'!I161-(-SUMIFS(合并抵消!$J:$J,合并抵消!$E:$E,$E161,合并抵消!$A:$A,I$2)+SUMIFS(合并抵消!$K:$K,合并抵消!$E:$E,$E161,合并抵消!$A:$A,I$2))</f>
        <v/>
      </c>
      <c r="J161" s="89">
        <f>浙江精准学!J161+知识跳跳!J161+海南精准学!J161+实时查!J161+目标准!J161+'SMART LEARNING HOLDING'!J161+'SMART AI LIMITED'!J161+'HK01'!J161-(-SUMIFS(合并抵消!$J:$J,合并抵消!$E:$E,$E161,合并抵消!$A:$A,J$2)+SUMIFS(合并抵消!$K:$K,合并抵消!$E:$E,$E161,合并抵消!$A:$A,J$2))</f>
        <v/>
      </c>
      <c r="K161" s="89">
        <f>浙江精准学!K161+知识跳跳!K161+海南精准学!K161+实时查!K161+目标准!K161+'SMART LEARNING HOLDING'!K161+'SMART AI LIMITED'!K161+'HK01'!K161-(-SUMIFS(合并抵消!$J:$J,合并抵消!$E:$E,$E161,合并抵消!$A:$A,K$2)+SUMIFS(合并抵消!$K:$K,合并抵消!$E:$E,$E161,合并抵消!$A:$A,K$2))</f>
        <v/>
      </c>
      <c r="L161" s="89">
        <f>浙江精准学!L161+知识跳跳!L161+海南精准学!L161+实时查!L161+目标准!L161+'SMART LEARNING HOLDING'!L161+'SMART AI LIMITED'!L161+'HK01'!L161-(-SUMIFS(合并抵消!$J:$J,合并抵消!$E:$E,$E161,合并抵消!$A:$A,L$2)+SUMIFS(合并抵消!$K:$K,合并抵消!$E:$E,$E161,合并抵消!$A:$A,L$2))</f>
        <v/>
      </c>
      <c r="M161" s="89">
        <f>浙江精准学!M161+知识跳跳!M161+海南精准学!M161+实时查!M161+目标准!M161+'SMART LEARNING HOLDING'!M161+'SMART AI LIMITED'!M161+'HK01'!M161-(-SUMIFS(合并抵消!$J:$J,合并抵消!$E:$E,$E161,合并抵消!$A:$A,M$2)+SUMIFS(合并抵消!$K:$K,合并抵消!$E:$E,$E161,合并抵消!$A:$A,M$2))</f>
        <v/>
      </c>
      <c r="N161" s="89">
        <f>浙江精准学!N161+知识跳跳!N161+海南精准学!N161+实时查!N161+目标准!N161+'SMART LEARNING HOLDING'!N161+'SMART AI LIMITED'!N161+'HK01'!N161-(-SUMIFS(合并抵消!$J:$J,合并抵消!$E:$E,$E161,合并抵消!$A:$A,N$2)+SUMIFS(合并抵消!$K:$K,合并抵消!$E:$E,$E161,合并抵消!$A:$A,N$2))</f>
        <v/>
      </c>
      <c r="O161" s="89">
        <f>浙江精准学!O161+知识跳跳!O161+海南精准学!O161+实时查!O161+目标准!O161+'SMART LEARNING HOLDING'!O161+'SMART AI LIMITED'!O161+'HK01'!O161-(-SUMIFS(合并抵消!$J:$J,合并抵消!$E:$E,$E161,合并抵消!$A:$A,O$2)+SUMIFS(合并抵消!$K:$K,合并抵消!$E:$E,$E161,合并抵消!$A:$A,O$2))</f>
        <v/>
      </c>
      <c r="P161" s="89">
        <f>浙江精准学!P161+知识跳跳!P161+海南精准学!P161+实时查!P161+目标准!P161+'SMART LEARNING HOLDING'!P161+'SMART AI LIMITED'!P161+'HK01'!P161-(-SUMIFS(合并抵消!$J:$J,合并抵消!$E:$E,$E161,合并抵消!$A:$A,P$2)+SUMIFS(合并抵消!$K:$K,合并抵消!$E:$E,$E161,合并抵消!$A:$A,P$2))</f>
        <v/>
      </c>
      <c r="Q161" s="89">
        <f>浙江精准学!Q161+知识跳跳!Q161+海南精准学!Q161+实时查!Q161+目标准!Q161+'SMART LEARNING HOLDING'!Q161+'SMART AI LIMITED'!Q161+'HK01'!Q161-(-SUMIFS(合并抵消!$J:$J,合并抵消!$E:$E,$E161,合并抵消!$A:$A,Q$2)+SUMIFS(合并抵消!$K:$K,合并抵消!$E:$E,$E161,合并抵消!$A:$A,Q$2))</f>
        <v/>
      </c>
      <c r="R161" s="89">
        <f>SUM(F161:Q161)</f>
        <v/>
      </c>
    </row>
    <row r="162" s="83">
      <c r="A162" s="49" t="inlineStr">
        <is>
          <t>管理费用合计</t>
        </is>
      </c>
      <c r="B162" s="50" t="n"/>
      <c r="C162" s="50" t="n"/>
      <c r="D162" s="49" t="n"/>
      <c r="E162" s="49" t="n"/>
      <c r="F162" s="89">
        <f>SUM(F138:F161)</f>
        <v/>
      </c>
      <c r="G162" s="89">
        <f>SUM(G138:G161)</f>
        <v/>
      </c>
      <c r="H162" s="89">
        <f>SUM(H138:H161)</f>
        <v/>
      </c>
      <c r="I162" s="89">
        <f>SUM(I138:I161)</f>
        <v/>
      </c>
      <c r="J162" s="89">
        <f>SUM(J138:J161)</f>
        <v/>
      </c>
      <c r="K162" s="89">
        <f>SUM(K138:K161)</f>
        <v/>
      </c>
      <c r="L162" s="89">
        <f>SUM(L138:L161)</f>
        <v/>
      </c>
      <c r="M162" s="89">
        <f>SUM(M138:M161)</f>
        <v/>
      </c>
      <c r="N162" s="89">
        <f>SUM(N138:N161)</f>
        <v/>
      </c>
      <c r="O162" s="89">
        <f>SUM(O138:O161)</f>
        <v/>
      </c>
      <c r="P162" s="89">
        <f>SUM(P138:P161)</f>
        <v/>
      </c>
      <c r="Q162" s="89">
        <f>SUM(Q138:Q161)</f>
        <v/>
      </c>
      <c r="R162" s="89">
        <f>SUM(F162:Q162)</f>
        <v/>
      </c>
    </row>
    <row r="163" s="83">
      <c r="A163" s="5" t="inlineStr">
        <is>
          <t>税费成本</t>
        </is>
      </c>
      <c r="B163" s="63" t="inlineStr">
        <is>
          <t>税费成本</t>
        </is>
      </c>
      <c r="C163" s="6" t="inlineStr">
        <is>
          <t>税费成本</t>
        </is>
      </c>
      <c r="D163" s="5" t="inlineStr">
        <is>
          <t>增值税</t>
        </is>
      </c>
      <c r="E163" s="6" t="inlineStr">
        <is>
          <t>Q3001</t>
        </is>
      </c>
      <c r="F163" s="89">
        <f>浙江精准学!F163+知识跳跳!F163+海南精准学!F163+实时查!F163+目标准!F163+'SMART LEARNING HOLDING'!F163+'SMART AI LIMITED'!F163+'HK01'!F163-(-SUMIFS(合并抵消!$J:$J,合并抵消!$E:$E,$E163,合并抵消!$A:$A,F$2)+SUMIFS(合并抵消!$K:$K,合并抵消!$E:$E,$E163,合并抵消!$A:$A,F$2))</f>
        <v/>
      </c>
      <c r="G163" s="89">
        <f>浙江精准学!G163+知识跳跳!G163+海南精准学!G163+实时查!G163+目标准!G163+'SMART LEARNING HOLDING'!G163+'SMART AI LIMITED'!G163+'HK01'!G163-(-SUMIFS(合并抵消!$J:$J,合并抵消!$E:$E,$E163,合并抵消!$A:$A,G$2)+SUMIFS(合并抵消!$K:$K,合并抵消!$E:$E,$E163,合并抵消!$A:$A,G$2))</f>
        <v/>
      </c>
      <c r="H163" s="89">
        <f>浙江精准学!H163+知识跳跳!H163+海南精准学!H163+实时查!H163+目标准!H163+'SMART LEARNING HOLDING'!H163+'SMART AI LIMITED'!H163+'HK01'!H163-(-SUMIFS(合并抵消!$J:$J,合并抵消!$E:$E,$E163,合并抵消!$A:$A,H$2)+SUMIFS(合并抵消!$K:$K,合并抵消!$E:$E,$E163,合并抵消!$A:$A,H$2))</f>
        <v/>
      </c>
      <c r="I163" s="89">
        <f>浙江精准学!I163+知识跳跳!I163+海南精准学!I163+实时查!I163+目标准!I163+'SMART LEARNING HOLDING'!I163+'SMART AI LIMITED'!I163+'HK01'!I163-(-SUMIFS(合并抵消!$J:$J,合并抵消!$E:$E,$E163,合并抵消!$A:$A,I$2)+SUMIFS(合并抵消!$K:$K,合并抵消!$E:$E,$E163,合并抵消!$A:$A,I$2))</f>
        <v/>
      </c>
      <c r="J163" s="89">
        <f>浙江精准学!J163+知识跳跳!J163+海南精准学!J163+实时查!J163+目标准!J163+'SMART LEARNING HOLDING'!J163+'SMART AI LIMITED'!J163+'HK01'!J163-(-SUMIFS(合并抵消!$J:$J,合并抵消!$E:$E,$E163,合并抵消!$A:$A,J$2)+SUMIFS(合并抵消!$K:$K,合并抵消!$E:$E,$E163,合并抵消!$A:$A,J$2))</f>
        <v/>
      </c>
      <c r="K163" s="89">
        <f>浙江精准学!K163+知识跳跳!K163+海南精准学!K163+实时查!K163+目标准!K163+'SMART LEARNING HOLDING'!K163+'SMART AI LIMITED'!K163+'HK01'!K163-(-SUMIFS(合并抵消!$J:$J,合并抵消!$E:$E,$E163,合并抵消!$A:$A,K$2)+SUMIFS(合并抵消!$K:$K,合并抵消!$E:$E,$E163,合并抵消!$A:$A,K$2))</f>
        <v/>
      </c>
      <c r="L163" s="89">
        <f>浙江精准学!L163+知识跳跳!L163+海南精准学!L163+实时查!L163+目标准!L163+'SMART LEARNING HOLDING'!L163+'SMART AI LIMITED'!L163+'HK01'!L163-(-SUMIFS(合并抵消!$J:$J,合并抵消!$E:$E,$E163,合并抵消!$A:$A,L$2)+SUMIFS(合并抵消!$K:$K,合并抵消!$E:$E,$E163,合并抵消!$A:$A,L$2))</f>
        <v/>
      </c>
      <c r="M163" s="89">
        <f>浙江精准学!M163+知识跳跳!M163+海南精准学!M163+实时查!M163+目标准!M163+'SMART LEARNING HOLDING'!M163+'SMART AI LIMITED'!M163+'HK01'!M163-(-SUMIFS(合并抵消!$J:$J,合并抵消!$E:$E,$E163,合并抵消!$A:$A,M$2)+SUMIFS(合并抵消!$K:$K,合并抵消!$E:$E,$E163,合并抵消!$A:$A,M$2))</f>
        <v/>
      </c>
      <c r="N163" s="89">
        <f>浙江精准学!N163+知识跳跳!N163+海南精准学!N163+实时查!N163+目标准!N163+'SMART LEARNING HOLDING'!N163+'SMART AI LIMITED'!N163+'HK01'!N163-(-SUMIFS(合并抵消!$J:$J,合并抵消!$E:$E,$E163,合并抵消!$A:$A,N$2)+SUMIFS(合并抵消!$K:$K,合并抵消!$E:$E,$E163,合并抵消!$A:$A,N$2))</f>
        <v/>
      </c>
      <c r="O163" s="89">
        <f>浙江精准学!O163+知识跳跳!O163+海南精准学!O163+实时查!O163+目标准!O163+'SMART LEARNING HOLDING'!O163+'SMART AI LIMITED'!O163+'HK01'!O163-(-SUMIFS(合并抵消!$J:$J,合并抵消!$E:$E,$E163,合并抵消!$A:$A,O$2)+SUMIFS(合并抵消!$K:$K,合并抵消!$E:$E,$E163,合并抵消!$A:$A,O$2))</f>
        <v/>
      </c>
      <c r="P163" s="89">
        <f>浙江精准学!P163+知识跳跳!P163+海南精准学!P163+实时查!P163+目标准!P163+'SMART LEARNING HOLDING'!P163+'SMART AI LIMITED'!P163+'HK01'!P163-(-SUMIFS(合并抵消!$J:$J,合并抵消!$E:$E,$E163,合并抵消!$A:$A,P$2)+SUMIFS(合并抵消!$K:$K,合并抵消!$E:$E,$E163,合并抵消!$A:$A,P$2))</f>
        <v/>
      </c>
      <c r="Q163" s="89">
        <f>浙江精准学!Q163+知识跳跳!Q163+海南精准学!Q163+实时查!Q163+目标准!Q163+'SMART LEARNING HOLDING'!Q163+'SMART AI LIMITED'!Q163+'HK01'!Q163-(-SUMIFS(合并抵消!$J:$J,合并抵消!$E:$E,$E163,合并抵消!$A:$A,Q$2)+SUMIFS(合并抵消!$K:$K,合并抵消!$E:$E,$E163,合并抵消!$A:$A,Q$2))</f>
        <v/>
      </c>
      <c r="R163" s="89">
        <f>SUM(F163:Q163)</f>
        <v/>
      </c>
    </row>
    <row r="164" s="83">
      <c r="A164" s="5" t="inlineStr">
        <is>
          <t>税费成本</t>
        </is>
      </c>
      <c r="B164" s="63" t="inlineStr">
        <is>
          <t>税费成本</t>
        </is>
      </c>
      <c r="D164" s="5" t="inlineStr">
        <is>
          <t>附加税</t>
        </is>
      </c>
      <c r="E164" s="6" t="inlineStr">
        <is>
          <t>Q3002</t>
        </is>
      </c>
      <c r="F164" s="89">
        <f>浙江精准学!F164+知识跳跳!F164+海南精准学!F164+实时查!F164+目标准!F164+'SMART LEARNING HOLDING'!F164+'SMART AI LIMITED'!F164+'HK01'!F164-(-SUMIFS(合并抵消!$J:$J,合并抵消!$E:$E,$E164,合并抵消!$A:$A,F$2)+SUMIFS(合并抵消!$K:$K,合并抵消!$E:$E,$E164,合并抵消!$A:$A,F$2))</f>
        <v/>
      </c>
      <c r="G164" s="89">
        <f>浙江精准学!G164+知识跳跳!G164+海南精准学!G164+实时查!G164+目标准!G164+'SMART LEARNING HOLDING'!G164+'SMART AI LIMITED'!G164+'HK01'!G164-(-SUMIFS(合并抵消!$J:$J,合并抵消!$E:$E,$E164,合并抵消!$A:$A,G$2)+SUMIFS(合并抵消!$K:$K,合并抵消!$E:$E,$E164,合并抵消!$A:$A,G$2))</f>
        <v/>
      </c>
      <c r="H164" s="89">
        <f>浙江精准学!H164+知识跳跳!H164+海南精准学!H164+实时查!H164+目标准!H164+'SMART LEARNING HOLDING'!H164+'SMART AI LIMITED'!H164+'HK01'!H164-(-SUMIFS(合并抵消!$J:$J,合并抵消!$E:$E,$E164,合并抵消!$A:$A,H$2)+SUMIFS(合并抵消!$K:$K,合并抵消!$E:$E,$E164,合并抵消!$A:$A,H$2))</f>
        <v/>
      </c>
      <c r="I164" s="89">
        <f>浙江精准学!I164+知识跳跳!I164+海南精准学!I164+实时查!I164+目标准!I164+'SMART LEARNING HOLDING'!I164+'SMART AI LIMITED'!I164+'HK01'!I164-(-SUMIFS(合并抵消!$J:$J,合并抵消!$E:$E,$E164,合并抵消!$A:$A,I$2)+SUMIFS(合并抵消!$K:$K,合并抵消!$E:$E,$E164,合并抵消!$A:$A,I$2))</f>
        <v/>
      </c>
      <c r="J164" s="89">
        <f>浙江精准学!J164+知识跳跳!J164+海南精准学!J164+实时查!J164+目标准!J164+'SMART LEARNING HOLDING'!J164+'SMART AI LIMITED'!J164+'HK01'!J164-(-SUMIFS(合并抵消!$J:$J,合并抵消!$E:$E,$E164,合并抵消!$A:$A,J$2)+SUMIFS(合并抵消!$K:$K,合并抵消!$E:$E,$E164,合并抵消!$A:$A,J$2))</f>
        <v/>
      </c>
      <c r="K164" s="89">
        <f>浙江精准学!K164+知识跳跳!K164+海南精准学!K164+实时查!K164+目标准!K164+'SMART LEARNING HOLDING'!K164+'SMART AI LIMITED'!K164+'HK01'!K164-(-SUMIFS(合并抵消!$J:$J,合并抵消!$E:$E,$E164,合并抵消!$A:$A,K$2)+SUMIFS(合并抵消!$K:$K,合并抵消!$E:$E,$E164,合并抵消!$A:$A,K$2))</f>
        <v/>
      </c>
      <c r="L164" s="89">
        <f>浙江精准学!L164+知识跳跳!L164+海南精准学!L164+实时查!L164+目标准!L164+'SMART LEARNING HOLDING'!L164+'SMART AI LIMITED'!L164+'HK01'!L164-(-SUMIFS(合并抵消!$J:$J,合并抵消!$E:$E,$E164,合并抵消!$A:$A,L$2)+SUMIFS(合并抵消!$K:$K,合并抵消!$E:$E,$E164,合并抵消!$A:$A,L$2))</f>
        <v/>
      </c>
      <c r="M164" s="89">
        <f>浙江精准学!M164+知识跳跳!M164+海南精准学!M164+实时查!M164+目标准!M164+'SMART LEARNING HOLDING'!M164+'SMART AI LIMITED'!M164+'HK01'!M164-(-SUMIFS(合并抵消!$J:$J,合并抵消!$E:$E,$E164,合并抵消!$A:$A,M$2)+SUMIFS(合并抵消!$K:$K,合并抵消!$E:$E,$E164,合并抵消!$A:$A,M$2))</f>
        <v/>
      </c>
      <c r="N164" s="89">
        <f>浙江精准学!N164+知识跳跳!N164+海南精准学!N164+实时查!N164+目标准!N164+'SMART LEARNING HOLDING'!N164+'SMART AI LIMITED'!N164+'HK01'!N164-(-SUMIFS(合并抵消!$J:$J,合并抵消!$E:$E,$E164,合并抵消!$A:$A,N$2)+SUMIFS(合并抵消!$K:$K,合并抵消!$E:$E,$E164,合并抵消!$A:$A,N$2))</f>
        <v/>
      </c>
      <c r="O164" s="89">
        <f>浙江精准学!O164+知识跳跳!O164+海南精准学!O164+实时查!O164+目标准!O164+'SMART LEARNING HOLDING'!O164+'SMART AI LIMITED'!O164+'HK01'!O164-(-SUMIFS(合并抵消!$J:$J,合并抵消!$E:$E,$E164,合并抵消!$A:$A,O$2)+SUMIFS(合并抵消!$K:$K,合并抵消!$E:$E,$E164,合并抵消!$A:$A,O$2))</f>
        <v/>
      </c>
      <c r="P164" s="89">
        <f>浙江精准学!P164+知识跳跳!P164+海南精准学!P164+实时查!P164+目标准!P164+'SMART LEARNING HOLDING'!P164+'SMART AI LIMITED'!P164+'HK01'!P164-(-SUMIFS(合并抵消!$J:$J,合并抵消!$E:$E,$E164,合并抵消!$A:$A,P$2)+SUMIFS(合并抵消!$K:$K,合并抵消!$E:$E,$E164,合并抵消!$A:$A,P$2))</f>
        <v/>
      </c>
      <c r="Q164" s="89">
        <f>浙江精准学!Q164+知识跳跳!Q164+海南精准学!Q164+实时查!Q164+目标准!Q164+'SMART LEARNING HOLDING'!Q164+'SMART AI LIMITED'!Q164+'HK01'!Q164-(-SUMIFS(合并抵消!$J:$J,合并抵消!$E:$E,$E164,合并抵消!$A:$A,Q$2)+SUMIFS(合并抵消!$K:$K,合并抵消!$E:$E,$E164,合并抵消!$A:$A,Q$2))</f>
        <v/>
      </c>
      <c r="R164" s="89">
        <f>SUM(F164:Q164)</f>
        <v/>
      </c>
    </row>
    <row r="165" s="83">
      <c r="A165" s="5" t="inlineStr">
        <is>
          <t>税费成本</t>
        </is>
      </c>
      <c r="B165" s="63" t="inlineStr">
        <is>
          <t>税费成本</t>
        </is>
      </c>
      <c r="D165" s="5" t="inlineStr">
        <is>
          <t>印花税</t>
        </is>
      </c>
      <c r="E165" s="6" t="inlineStr">
        <is>
          <t>Q3003</t>
        </is>
      </c>
      <c r="F165" s="89">
        <f>浙江精准学!F165+知识跳跳!F165+海南精准学!F165+实时查!F165+目标准!F165+'SMART LEARNING HOLDING'!F165+'SMART AI LIMITED'!F165+'HK01'!F165-(-SUMIFS(合并抵消!$J:$J,合并抵消!$E:$E,$E165,合并抵消!$A:$A,F$2)+SUMIFS(合并抵消!$K:$K,合并抵消!$E:$E,$E165,合并抵消!$A:$A,F$2))</f>
        <v/>
      </c>
      <c r="G165" s="89">
        <f>浙江精准学!G165+知识跳跳!G165+海南精准学!G165+实时查!G165+目标准!G165+'SMART LEARNING HOLDING'!G165+'SMART AI LIMITED'!G165+'HK01'!G165-(-SUMIFS(合并抵消!$J:$J,合并抵消!$E:$E,$E165,合并抵消!$A:$A,G$2)+SUMIFS(合并抵消!$K:$K,合并抵消!$E:$E,$E165,合并抵消!$A:$A,G$2))</f>
        <v/>
      </c>
      <c r="H165" s="89">
        <f>浙江精准学!H165+知识跳跳!H165+海南精准学!H165+实时查!H165+目标准!H165+'SMART LEARNING HOLDING'!H165+'SMART AI LIMITED'!H165+'HK01'!H165-(-SUMIFS(合并抵消!$J:$J,合并抵消!$E:$E,$E165,合并抵消!$A:$A,H$2)+SUMIFS(合并抵消!$K:$K,合并抵消!$E:$E,$E165,合并抵消!$A:$A,H$2))</f>
        <v/>
      </c>
      <c r="I165" s="89">
        <f>浙江精准学!I165+知识跳跳!I165+海南精准学!I165+实时查!I165+目标准!I165+'SMART LEARNING HOLDING'!I165+'SMART AI LIMITED'!I165+'HK01'!I165-(-SUMIFS(合并抵消!$J:$J,合并抵消!$E:$E,$E165,合并抵消!$A:$A,I$2)+SUMIFS(合并抵消!$K:$K,合并抵消!$E:$E,$E165,合并抵消!$A:$A,I$2))</f>
        <v/>
      </c>
      <c r="J165" s="89">
        <f>浙江精准学!J165+知识跳跳!J165+海南精准学!J165+实时查!J165+目标准!J165+'SMART LEARNING HOLDING'!J165+'SMART AI LIMITED'!J165+'HK01'!J165-(-SUMIFS(合并抵消!$J:$J,合并抵消!$E:$E,$E165,合并抵消!$A:$A,J$2)+SUMIFS(合并抵消!$K:$K,合并抵消!$E:$E,$E165,合并抵消!$A:$A,J$2))</f>
        <v/>
      </c>
      <c r="K165" s="89">
        <f>浙江精准学!K165+知识跳跳!K165+海南精准学!K165+实时查!K165+目标准!K165+'SMART LEARNING HOLDING'!K165+'SMART AI LIMITED'!K165+'HK01'!K165-(-SUMIFS(合并抵消!$J:$J,合并抵消!$E:$E,$E165,合并抵消!$A:$A,K$2)+SUMIFS(合并抵消!$K:$K,合并抵消!$E:$E,$E165,合并抵消!$A:$A,K$2))</f>
        <v/>
      </c>
      <c r="L165" s="89">
        <f>浙江精准学!L165+知识跳跳!L165+海南精准学!L165+实时查!L165+目标准!L165+'SMART LEARNING HOLDING'!L165+'SMART AI LIMITED'!L165+'HK01'!L165-(-SUMIFS(合并抵消!$J:$J,合并抵消!$E:$E,$E165,合并抵消!$A:$A,L$2)+SUMIFS(合并抵消!$K:$K,合并抵消!$E:$E,$E165,合并抵消!$A:$A,L$2))</f>
        <v/>
      </c>
      <c r="M165" s="89">
        <f>浙江精准学!M165+知识跳跳!M165+海南精准学!M165+实时查!M165+目标准!M165+'SMART LEARNING HOLDING'!M165+'SMART AI LIMITED'!M165+'HK01'!M165-(-SUMIFS(合并抵消!$J:$J,合并抵消!$E:$E,$E165,合并抵消!$A:$A,M$2)+SUMIFS(合并抵消!$K:$K,合并抵消!$E:$E,$E165,合并抵消!$A:$A,M$2))</f>
        <v/>
      </c>
      <c r="N165" s="89">
        <f>浙江精准学!N165+知识跳跳!N165+海南精准学!N165+实时查!N165+目标准!N165+'SMART LEARNING HOLDING'!N165+'SMART AI LIMITED'!N165+'HK01'!N165-(-SUMIFS(合并抵消!$J:$J,合并抵消!$E:$E,$E165,合并抵消!$A:$A,N$2)+SUMIFS(合并抵消!$K:$K,合并抵消!$E:$E,$E165,合并抵消!$A:$A,N$2))</f>
        <v/>
      </c>
      <c r="O165" s="89">
        <f>浙江精准学!O165+知识跳跳!O165+海南精准学!O165+实时查!O165+目标准!O165+'SMART LEARNING HOLDING'!O165+'SMART AI LIMITED'!O165+'HK01'!O165-(-SUMIFS(合并抵消!$J:$J,合并抵消!$E:$E,$E165,合并抵消!$A:$A,O$2)+SUMIFS(合并抵消!$K:$K,合并抵消!$E:$E,$E165,合并抵消!$A:$A,O$2))</f>
        <v/>
      </c>
      <c r="P165" s="89">
        <f>浙江精准学!P165+知识跳跳!P165+海南精准学!P165+实时查!P165+目标准!P165+'SMART LEARNING HOLDING'!P165+'SMART AI LIMITED'!P165+'HK01'!P165-(-SUMIFS(合并抵消!$J:$J,合并抵消!$E:$E,$E165,合并抵消!$A:$A,P$2)+SUMIFS(合并抵消!$K:$K,合并抵消!$E:$E,$E165,合并抵消!$A:$A,P$2))</f>
        <v/>
      </c>
      <c r="Q165" s="89">
        <f>浙江精准学!Q165+知识跳跳!Q165+海南精准学!Q165+实时查!Q165+目标准!Q165+'SMART LEARNING HOLDING'!Q165+'SMART AI LIMITED'!Q165+'HK01'!Q165-(-SUMIFS(合并抵消!$J:$J,合并抵消!$E:$E,$E165,合并抵消!$A:$A,Q$2)+SUMIFS(合并抵消!$K:$K,合并抵消!$E:$E,$E165,合并抵消!$A:$A,Q$2))</f>
        <v/>
      </c>
      <c r="R165" s="89">
        <f>SUM(F165:Q165)</f>
        <v/>
      </c>
    </row>
    <row r="166" s="83">
      <c r="A166" s="5" t="inlineStr">
        <is>
          <t>税费成本</t>
        </is>
      </c>
      <c r="B166" s="63" t="inlineStr">
        <is>
          <t>税费成本</t>
        </is>
      </c>
      <c r="D166" s="5" t="inlineStr">
        <is>
          <t>企业所得税</t>
        </is>
      </c>
      <c r="E166" s="6" t="inlineStr">
        <is>
          <t>Q3004</t>
        </is>
      </c>
      <c r="F166" s="89">
        <f>浙江精准学!F166+知识跳跳!F166+海南精准学!F166+实时查!F166+目标准!F166+'SMART LEARNING HOLDING'!F166+'SMART AI LIMITED'!F166+'HK01'!F166-(-SUMIFS(合并抵消!$J:$J,合并抵消!$E:$E,$E166,合并抵消!$A:$A,F$2)+SUMIFS(合并抵消!$K:$K,合并抵消!$E:$E,$E166,合并抵消!$A:$A,F$2))</f>
        <v/>
      </c>
      <c r="G166" s="89">
        <f>浙江精准学!G166+知识跳跳!G166+海南精准学!G166+实时查!G166+目标准!G166+'SMART LEARNING HOLDING'!G166+'SMART AI LIMITED'!G166+'HK01'!G166-(-SUMIFS(合并抵消!$J:$J,合并抵消!$E:$E,$E166,合并抵消!$A:$A,G$2)+SUMIFS(合并抵消!$K:$K,合并抵消!$E:$E,$E166,合并抵消!$A:$A,G$2))</f>
        <v/>
      </c>
      <c r="H166" s="89">
        <f>浙江精准学!H166+知识跳跳!H166+海南精准学!H166+实时查!H166+目标准!H166+'SMART LEARNING HOLDING'!H166+'SMART AI LIMITED'!H166+'HK01'!H166-(-SUMIFS(合并抵消!$J:$J,合并抵消!$E:$E,$E166,合并抵消!$A:$A,H$2)+SUMIFS(合并抵消!$K:$K,合并抵消!$E:$E,$E166,合并抵消!$A:$A,H$2))</f>
        <v/>
      </c>
      <c r="I166" s="89">
        <f>浙江精准学!I166+知识跳跳!I166+海南精准学!I166+实时查!I166+目标准!I166+'SMART LEARNING HOLDING'!I166+'SMART AI LIMITED'!I166+'HK01'!I166-(-SUMIFS(合并抵消!$J:$J,合并抵消!$E:$E,$E166,合并抵消!$A:$A,I$2)+SUMIFS(合并抵消!$K:$K,合并抵消!$E:$E,$E166,合并抵消!$A:$A,I$2))</f>
        <v/>
      </c>
      <c r="J166" s="89">
        <f>浙江精准学!J166+知识跳跳!J166+海南精准学!J166+实时查!J166+目标准!J166+'SMART LEARNING HOLDING'!J166+'SMART AI LIMITED'!J166+'HK01'!J166-(-SUMIFS(合并抵消!$J:$J,合并抵消!$E:$E,$E166,合并抵消!$A:$A,J$2)+SUMIFS(合并抵消!$K:$K,合并抵消!$E:$E,$E166,合并抵消!$A:$A,J$2))</f>
        <v/>
      </c>
      <c r="K166" s="89">
        <f>浙江精准学!K166+知识跳跳!K166+海南精准学!K166+实时查!K166+目标准!K166+'SMART LEARNING HOLDING'!K166+'SMART AI LIMITED'!K166+'HK01'!K166-(-SUMIFS(合并抵消!$J:$J,合并抵消!$E:$E,$E166,合并抵消!$A:$A,K$2)+SUMIFS(合并抵消!$K:$K,合并抵消!$E:$E,$E166,合并抵消!$A:$A,K$2))</f>
        <v/>
      </c>
      <c r="L166" s="89">
        <f>浙江精准学!L166+知识跳跳!L166+海南精准学!L166+实时查!L166+目标准!L166+'SMART LEARNING HOLDING'!L166+'SMART AI LIMITED'!L166+'HK01'!L166-(-SUMIFS(合并抵消!$J:$J,合并抵消!$E:$E,$E166,合并抵消!$A:$A,L$2)+SUMIFS(合并抵消!$K:$K,合并抵消!$E:$E,$E166,合并抵消!$A:$A,L$2))</f>
        <v/>
      </c>
      <c r="M166" s="89">
        <f>浙江精准学!M166+知识跳跳!M166+海南精准学!M166+实时查!M166+目标准!M166+'SMART LEARNING HOLDING'!M166+'SMART AI LIMITED'!M166+'HK01'!M166-(-SUMIFS(合并抵消!$J:$J,合并抵消!$E:$E,$E166,合并抵消!$A:$A,M$2)+SUMIFS(合并抵消!$K:$K,合并抵消!$E:$E,$E166,合并抵消!$A:$A,M$2))</f>
        <v/>
      </c>
      <c r="N166" s="89">
        <f>浙江精准学!N166+知识跳跳!N166+海南精准学!N166+实时查!N166+目标准!N166+'SMART LEARNING HOLDING'!N166+'SMART AI LIMITED'!N166+'HK01'!N166-(-SUMIFS(合并抵消!$J:$J,合并抵消!$E:$E,$E166,合并抵消!$A:$A,N$2)+SUMIFS(合并抵消!$K:$K,合并抵消!$E:$E,$E166,合并抵消!$A:$A,N$2))</f>
        <v/>
      </c>
      <c r="O166" s="89">
        <f>浙江精准学!O166+知识跳跳!O166+海南精准学!O166+实时查!O166+目标准!O166+'SMART LEARNING HOLDING'!O166+'SMART AI LIMITED'!O166+'HK01'!O166-(-SUMIFS(合并抵消!$J:$J,合并抵消!$E:$E,$E166,合并抵消!$A:$A,O$2)+SUMIFS(合并抵消!$K:$K,合并抵消!$E:$E,$E166,合并抵消!$A:$A,O$2))</f>
        <v/>
      </c>
      <c r="P166" s="89">
        <f>浙江精准学!P166+知识跳跳!P166+海南精准学!P166+实时查!P166+目标准!P166+'SMART LEARNING HOLDING'!P166+'SMART AI LIMITED'!P166+'HK01'!P166-(-SUMIFS(合并抵消!$J:$J,合并抵消!$E:$E,$E166,合并抵消!$A:$A,P$2)+SUMIFS(合并抵消!$K:$K,合并抵消!$E:$E,$E166,合并抵消!$A:$A,P$2))</f>
        <v/>
      </c>
      <c r="Q166" s="89">
        <f>浙江精准学!Q166+知识跳跳!Q166+海南精准学!Q166+实时查!Q166+目标准!Q166+'SMART LEARNING HOLDING'!Q166+'SMART AI LIMITED'!Q166+'HK01'!Q166-(-SUMIFS(合并抵消!$J:$J,合并抵消!$E:$E,$E166,合并抵消!$A:$A,Q$2)+SUMIFS(合并抵消!$K:$K,合并抵消!$E:$E,$E166,合并抵消!$A:$A,Q$2))</f>
        <v/>
      </c>
      <c r="R166" s="89">
        <f>SUM(F166:Q166)</f>
        <v/>
      </c>
    </row>
    <row r="167" s="83">
      <c r="A167" s="49" t="inlineStr">
        <is>
          <t>税费成本合计</t>
        </is>
      </c>
      <c r="B167" s="50" t="n"/>
      <c r="C167" s="50" t="n"/>
      <c r="D167" s="49" t="n"/>
      <c r="E167" s="49" t="n"/>
      <c r="F167" s="89">
        <f>SUM(F163:F166)</f>
        <v/>
      </c>
      <c r="G167" s="89">
        <f>SUM(G163:G166)</f>
        <v/>
      </c>
      <c r="H167" s="89">
        <f>SUM(H163:H166)</f>
        <v/>
      </c>
      <c r="I167" s="89">
        <f>SUM(I163:I166)</f>
        <v/>
      </c>
      <c r="J167" s="89">
        <f>SUM(J163:J166)</f>
        <v/>
      </c>
      <c r="K167" s="89">
        <f>SUM(K163:K166)</f>
        <v/>
      </c>
      <c r="L167" s="89">
        <f>SUM(L163:L166)</f>
        <v/>
      </c>
      <c r="M167" s="89">
        <f>SUM(M163:M166)</f>
        <v/>
      </c>
      <c r="N167" s="89">
        <f>SUM(N163:N166)</f>
        <v/>
      </c>
      <c r="O167" s="89">
        <f>SUM(O163:O166)</f>
        <v/>
      </c>
      <c r="P167" s="89">
        <f>SUM(P163:P166)</f>
        <v/>
      </c>
      <c r="Q167" s="89">
        <f>SUM(Q163:Q166)</f>
        <v/>
      </c>
      <c r="R167" s="89">
        <f>SUM(F167:Q167)</f>
        <v/>
      </c>
    </row>
    <row r="168" s="83">
      <c r="A168" s="5" t="inlineStr">
        <is>
          <t>营业外支出</t>
        </is>
      </c>
      <c r="B168" s="63" t="inlineStr">
        <is>
          <t>营业外支出</t>
        </is>
      </c>
      <c r="C168" s="6" t="inlineStr">
        <is>
          <t>营业外支出</t>
        </is>
      </c>
      <c r="D168" s="5" t="inlineStr">
        <is>
          <t>手续费</t>
        </is>
      </c>
      <c r="E168" s="6" t="inlineStr">
        <is>
          <t>Q3101</t>
        </is>
      </c>
      <c r="F168" s="89">
        <f>浙江精准学!F168+知识跳跳!F168+海南精准学!F168+实时查!F168+目标准!F168+'SMART LEARNING HOLDING'!F168+'SMART AI LIMITED'!F168+'HK01'!F168-(-SUMIFS(合并抵消!$J:$J,合并抵消!$E:$E,$E168,合并抵消!$A:$A,F$2)+SUMIFS(合并抵消!$K:$K,合并抵消!$E:$E,$E168,合并抵消!$A:$A,F$2))</f>
        <v/>
      </c>
      <c r="G168" s="89">
        <f>浙江精准学!G168+知识跳跳!G168+海南精准学!G168+实时查!G168+目标准!G168+'SMART LEARNING HOLDING'!G168+'SMART AI LIMITED'!G168+'HK01'!G168-(-SUMIFS(合并抵消!$J:$J,合并抵消!$E:$E,$E168,合并抵消!$A:$A,G$2)+SUMIFS(合并抵消!$K:$K,合并抵消!$E:$E,$E168,合并抵消!$A:$A,G$2))</f>
        <v/>
      </c>
      <c r="H168" s="89">
        <f>浙江精准学!H168+知识跳跳!H168+海南精准学!H168+实时查!H168+目标准!H168+'SMART LEARNING HOLDING'!H168+'SMART AI LIMITED'!H168+'HK01'!H168-(-SUMIFS(合并抵消!$J:$J,合并抵消!$E:$E,$E168,合并抵消!$A:$A,H$2)+SUMIFS(合并抵消!$K:$K,合并抵消!$E:$E,$E168,合并抵消!$A:$A,H$2))</f>
        <v/>
      </c>
      <c r="I168" s="89">
        <f>浙江精准学!I168+知识跳跳!I168+海南精准学!I168+实时查!I168+目标准!I168+'SMART LEARNING HOLDING'!I168+'SMART AI LIMITED'!I168+'HK01'!I168-(-SUMIFS(合并抵消!$J:$J,合并抵消!$E:$E,$E168,合并抵消!$A:$A,I$2)+SUMIFS(合并抵消!$K:$K,合并抵消!$E:$E,$E168,合并抵消!$A:$A,I$2))</f>
        <v/>
      </c>
      <c r="J168" s="89">
        <f>浙江精准学!J168+知识跳跳!J168+海南精准学!J168+实时查!J168+目标准!J168+'SMART LEARNING HOLDING'!J168+'SMART AI LIMITED'!J168+'HK01'!J168-(-SUMIFS(合并抵消!$J:$J,合并抵消!$E:$E,$E168,合并抵消!$A:$A,J$2)+SUMIFS(合并抵消!$K:$K,合并抵消!$E:$E,$E168,合并抵消!$A:$A,J$2))</f>
        <v/>
      </c>
      <c r="K168" s="89">
        <f>浙江精准学!K168+知识跳跳!K168+海南精准学!K168+实时查!K168+目标准!K168+'SMART LEARNING HOLDING'!K168+'SMART AI LIMITED'!K168+'HK01'!K168-(-SUMIFS(合并抵消!$J:$J,合并抵消!$E:$E,$E168,合并抵消!$A:$A,K$2)+SUMIFS(合并抵消!$K:$K,合并抵消!$E:$E,$E168,合并抵消!$A:$A,K$2))</f>
        <v/>
      </c>
      <c r="L168" s="89">
        <f>浙江精准学!L168+知识跳跳!L168+海南精准学!L168+实时查!L168+目标准!L168+'SMART LEARNING HOLDING'!L168+'SMART AI LIMITED'!L168+'HK01'!L168-(-SUMIFS(合并抵消!$J:$J,合并抵消!$E:$E,$E168,合并抵消!$A:$A,L$2)+SUMIFS(合并抵消!$K:$K,合并抵消!$E:$E,$E168,合并抵消!$A:$A,L$2))</f>
        <v/>
      </c>
      <c r="M168" s="89">
        <f>浙江精准学!M168+知识跳跳!M168+海南精准学!M168+实时查!M168+目标准!M168+'SMART LEARNING HOLDING'!M168+'SMART AI LIMITED'!M168+'HK01'!M168-(-SUMIFS(合并抵消!$J:$J,合并抵消!$E:$E,$E168,合并抵消!$A:$A,M$2)+SUMIFS(合并抵消!$K:$K,合并抵消!$E:$E,$E168,合并抵消!$A:$A,M$2))</f>
        <v/>
      </c>
      <c r="N168" s="89">
        <f>浙江精准学!N168+知识跳跳!N168+海南精准学!N168+实时查!N168+目标准!N168+'SMART LEARNING HOLDING'!N168+'SMART AI LIMITED'!N168+'HK01'!N168-(-SUMIFS(合并抵消!$J:$J,合并抵消!$E:$E,$E168,合并抵消!$A:$A,N$2)+SUMIFS(合并抵消!$K:$K,合并抵消!$E:$E,$E168,合并抵消!$A:$A,N$2))</f>
        <v/>
      </c>
      <c r="O168" s="89">
        <f>浙江精准学!O168+知识跳跳!O168+海南精准学!O168+实时查!O168+目标准!O168+'SMART LEARNING HOLDING'!O168+'SMART AI LIMITED'!O168+'HK01'!O168-(-SUMIFS(合并抵消!$J:$J,合并抵消!$E:$E,$E168,合并抵消!$A:$A,O$2)+SUMIFS(合并抵消!$K:$K,合并抵消!$E:$E,$E168,合并抵消!$A:$A,O$2))</f>
        <v/>
      </c>
      <c r="P168" s="89">
        <f>浙江精准学!P168+知识跳跳!P168+海南精准学!P168+实时查!P168+目标准!P168+'SMART LEARNING HOLDING'!P168+'SMART AI LIMITED'!P168+'HK01'!P168-(-SUMIFS(合并抵消!$J:$J,合并抵消!$E:$E,$E168,合并抵消!$A:$A,P$2)+SUMIFS(合并抵消!$K:$K,合并抵消!$E:$E,$E168,合并抵消!$A:$A,P$2))</f>
        <v/>
      </c>
      <c r="Q168" s="89">
        <f>浙江精准学!Q168+知识跳跳!Q168+海南精准学!Q168+实时查!Q168+目标准!Q168+'SMART LEARNING HOLDING'!Q168+'SMART AI LIMITED'!Q168+'HK01'!Q168-(-SUMIFS(合并抵消!$J:$J,合并抵消!$E:$E,$E168,合并抵消!$A:$A,Q$2)+SUMIFS(合并抵消!$K:$K,合并抵消!$E:$E,$E168,合并抵消!$A:$A,Q$2))</f>
        <v/>
      </c>
      <c r="R168" s="89">
        <f>SUM(F168:Q168)</f>
        <v/>
      </c>
    </row>
    <row r="169" s="83">
      <c r="A169" s="5" t="inlineStr">
        <is>
          <t>营业外支出</t>
        </is>
      </c>
      <c r="B169" s="63" t="inlineStr">
        <is>
          <t>营业外支出</t>
        </is>
      </c>
      <c r="D169" s="5" t="inlineStr">
        <is>
          <t>罚款支出</t>
        </is>
      </c>
      <c r="E169" s="6" t="inlineStr">
        <is>
          <t>Q3102</t>
        </is>
      </c>
      <c r="F169" s="89">
        <f>浙江精准学!F169+知识跳跳!F169+海南精准学!F169+实时查!F169+目标准!F169+'SMART LEARNING HOLDING'!F169+'SMART AI LIMITED'!F169+'HK01'!F169-(-SUMIFS(合并抵消!$J:$J,合并抵消!$E:$E,$E169,合并抵消!$A:$A,F$2)+SUMIFS(合并抵消!$K:$K,合并抵消!$E:$E,$E169,合并抵消!$A:$A,F$2))</f>
        <v/>
      </c>
      <c r="G169" s="89">
        <f>浙江精准学!G169+知识跳跳!G169+海南精准学!G169+实时查!G169+目标准!G169+'SMART LEARNING HOLDING'!G169+'SMART AI LIMITED'!G169+'HK01'!G169-(-SUMIFS(合并抵消!$J:$J,合并抵消!$E:$E,$E169,合并抵消!$A:$A,G$2)+SUMIFS(合并抵消!$K:$K,合并抵消!$E:$E,$E169,合并抵消!$A:$A,G$2))</f>
        <v/>
      </c>
      <c r="H169" s="89">
        <f>浙江精准学!H169+知识跳跳!H169+海南精准学!H169+实时查!H169+目标准!H169+'SMART LEARNING HOLDING'!H169+'SMART AI LIMITED'!H169+'HK01'!H169-(-SUMIFS(合并抵消!$J:$J,合并抵消!$E:$E,$E169,合并抵消!$A:$A,H$2)+SUMIFS(合并抵消!$K:$K,合并抵消!$E:$E,$E169,合并抵消!$A:$A,H$2))</f>
        <v/>
      </c>
      <c r="I169" s="89">
        <f>浙江精准学!I169+知识跳跳!I169+海南精准学!I169+实时查!I169+目标准!I169+'SMART LEARNING HOLDING'!I169+'SMART AI LIMITED'!I169+'HK01'!I169-(-SUMIFS(合并抵消!$J:$J,合并抵消!$E:$E,$E169,合并抵消!$A:$A,I$2)+SUMIFS(合并抵消!$K:$K,合并抵消!$E:$E,$E169,合并抵消!$A:$A,I$2))</f>
        <v/>
      </c>
      <c r="J169" s="89">
        <f>浙江精准学!J169+知识跳跳!J169+海南精准学!J169+实时查!J169+目标准!J169+'SMART LEARNING HOLDING'!J169+'SMART AI LIMITED'!J169+'HK01'!J169-(-SUMIFS(合并抵消!$J:$J,合并抵消!$E:$E,$E169,合并抵消!$A:$A,J$2)+SUMIFS(合并抵消!$K:$K,合并抵消!$E:$E,$E169,合并抵消!$A:$A,J$2))</f>
        <v/>
      </c>
      <c r="K169" s="89">
        <f>浙江精准学!K169+知识跳跳!K169+海南精准学!K169+实时查!K169+目标准!K169+'SMART LEARNING HOLDING'!K169+'SMART AI LIMITED'!K169+'HK01'!K169-(-SUMIFS(合并抵消!$J:$J,合并抵消!$E:$E,$E169,合并抵消!$A:$A,K$2)+SUMIFS(合并抵消!$K:$K,合并抵消!$E:$E,$E169,合并抵消!$A:$A,K$2))</f>
        <v/>
      </c>
      <c r="L169" s="89">
        <f>浙江精准学!L169+知识跳跳!L169+海南精准学!L169+实时查!L169+目标准!L169+'SMART LEARNING HOLDING'!L169+'SMART AI LIMITED'!L169+'HK01'!L169-(-SUMIFS(合并抵消!$J:$J,合并抵消!$E:$E,$E169,合并抵消!$A:$A,L$2)+SUMIFS(合并抵消!$K:$K,合并抵消!$E:$E,$E169,合并抵消!$A:$A,L$2))</f>
        <v/>
      </c>
      <c r="M169" s="89">
        <f>浙江精准学!M169+知识跳跳!M169+海南精准学!M169+实时查!M169+目标准!M169+'SMART LEARNING HOLDING'!M169+'SMART AI LIMITED'!M169+'HK01'!M169-(-SUMIFS(合并抵消!$J:$J,合并抵消!$E:$E,$E169,合并抵消!$A:$A,M$2)+SUMIFS(合并抵消!$K:$K,合并抵消!$E:$E,$E169,合并抵消!$A:$A,M$2))</f>
        <v/>
      </c>
      <c r="N169" s="89">
        <f>浙江精准学!N169+知识跳跳!N169+海南精准学!N169+实时查!N169+目标准!N169+'SMART LEARNING HOLDING'!N169+'SMART AI LIMITED'!N169+'HK01'!N169-(-SUMIFS(合并抵消!$J:$J,合并抵消!$E:$E,$E169,合并抵消!$A:$A,N$2)+SUMIFS(合并抵消!$K:$K,合并抵消!$E:$E,$E169,合并抵消!$A:$A,N$2))</f>
        <v/>
      </c>
      <c r="O169" s="89">
        <f>浙江精准学!O169+知识跳跳!O169+海南精准学!O169+实时查!O169+目标准!O169+'SMART LEARNING HOLDING'!O169+'SMART AI LIMITED'!O169+'HK01'!O169-(-SUMIFS(合并抵消!$J:$J,合并抵消!$E:$E,$E169,合并抵消!$A:$A,O$2)+SUMIFS(合并抵消!$K:$K,合并抵消!$E:$E,$E169,合并抵消!$A:$A,O$2))</f>
        <v/>
      </c>
      <c r="P169" s="89">
        <f>浙江精准学!P169+知识跳跳!P169+海南精准学!P169+实时查!P169+目标准!P169+'SMART LEARNING HOLDING'!P169+'SMART AI LIMITED'!P169+'HK01'!P169-(-SUMIFS(合并抵消!$J:$J,合并抵消!$E:$E,$E169,合并抵消!$A:$A,P$2)+SUMIFS(合并抵消!$K:$K,合并抵消!$E:$E,$E169,合并抵消!$A:$A,P$2))</f>
        <v/>
      </c>
      <c r="Q169" s="89">
        <f>浙江精准学!Q169+知识跳跳!Q169+海南精准学!Q169+实时查!Q169+目标准!Q169+'SMART LEARNING HOLDING'!Q169+'SMART AI LIMITED'!Q169+'HK01'!Q169-(-SUMIFS(合并抵消!$J:$J,合并抵消!$E:$E,$E169,合并抵消!$A:$A,Q$2)+SUMIFS(合并抵消!$K:$K,合并抵消!$E:$E,$E169,合并抵消!$A:$A,Q$2))</f>
        <v/>
      </c>
      <c r="R169" s="89">
        <f>SUM(F169:Q169)</f>
        <v/>
      </c>
    </row>
    <row r="170" s="83">
      <c r="A170" s="5" t="inlineStr">
        <is>
          <t>营业外支出</t>
        </is>
      </c>
      <c r="B170" s="63" t="inlineStr">
        <is>
          <t>营业外支出</t>
        </is>
      </c>
      <c r="D170" s="5" t="inlineStr">
        <is>
          <t>违约金支出</t>
        </is>
      </c>
      <c r="E170" s="6" t="inlineStr">
        <is>
          <t>Q3104</t>
        </is>
      </c>
      <c r="F170" s="89">
        <f>浙江精准学!F170+知识跳跳!F170+海南精准学!F170+实时查!F170+目标准!F170+'SMART LEARNING HOLDING'!F170+'SMART AI LIMITED'!F170+'HK01'!F170-(-SUMIFS(合并抵消!$J:$J,合并抵消!$E:$E,$E170,合并抵消!$A:$A,F$2)+SUMIFS(合并抵消!$K:$K,合并抵消!$E:$E,$E170,合并抵消!$A:$A,F$2))</f>
        <v/>
      </c>
      <c r="G170" s="89">
        <f>浙江精准学!G170+知识跳跳!G170+海南精准学!G170+实时查!G170+目标准!G170+'SMART LEARNING HOLDING'!G170+'SMART AI LIMITED'!G170+'HK01'!G170-(-SUMIFS(合并抵消!$J:$J,合并抵消!$E:$E,$E170,合并抵消!$A:$A,G$2)+SUMIFS(合并抵消!$K:$K,合并抵消!$E:$E,$E170,合并抵消!$A:$A,G$2))</f>
        <v/>
      </c>
      <c r="H170" s="89">
        <f>浙江精准学!H170+知识跳跳!H170+海南精准学!H170+实时查!H170+目标准!H170+'SMART LEARNING HOLDING'!H170+'SMART AI LIMITED'!H170+'HK01'!H170-(-SUMIFS(合并抵消!$J:$J,合并抵消!$E:$E,$E170,合并抵消!$A:$A,H$2)+SUMIFS(合并抵消!$K:$K,合并抵消!$E:$E,$E170,合并抵消!$A:$A,H$2))</f>
        <v/>
      </c>
      <c r="I170" s="89">
        <f>浙江精准学!I170+知识跳跳!I170+海南精准学!I170+实时查!I170+目标准!I170+'SMART LEARNING HOLDING'!I170+'SMART AI LIMITED'!I170+'HK01'!I170-(-SUMIFS(合并抵消!$J:$J,合并抵消!$E:$E,$E170,合并抵消!$A:$A,I$2)+SUMIFS(合并抵消!$K:$K,合并抵消!$E:$E,$E170,合并抵消!$A:$A,I$2))</f>
        <v/>
      </c>
      <c r="J170" s="89">
        <f>浙江精准学!J170+知识跳跳!J170+海南精准学!J170+实时查!J170+目标准!J170+'SMART LEARNING HOLDING'!J170+'SMART AI LIMITED'!J170+'HK01'!J170-(-SUMIFS(合并抵消!$J:$J,合并抵消!$E:$E,$E170,合并抵消!$A:$A,J$2)+SUMIFS(合并抵消!$K:$K,合并抵消!$E:$E,$E170,合并抵消!$A:$A,J$2))</f>
        <v/>
      </c>
      <c r="K170" s="89">
        <f>浙江精准学!K170+知识跳跳!K170+海南精准学!K170+实时查!K170+目标准!K170+'SMART LEARNING HOLDING'!K170+'SMART AI LIMITED'!K170+'HK01'!K170-(-SUMIFS(合并抵消!$J:$J,合并抵消!$E:$E,$E170,合并抵消!$A:$A,K$2)+SUMIFS(合并抵消!$K:$K,合并抵消!$E:$E,$E170,合并抵消!$A:$A,K$2))</f>
        <v/>
      </c>
      <c r="L170" s="89">
        <f>浙江精准学!L170+知识跳跳!L170+海南精准学!L170+实时查!L170+目标准!L170+'SMART LEARNING HOLDING'!L170+'SMART AI LIMITED'!L170+'HK01'!L170-(-SUMIFS(合并抵消!$J:$J,合并抵消!$E:$E,$E170,合并抵消!$A:$A,L$2)+SUMIFS(合并抵消!$K:$K,合并抵消!$E:$E,$E170,合并抵消!$A:$A,L$2))</f>
        <v/>
      </c>
      <c r="M170" s="89">
        <f>浙江精准学!M170+知识跳跳!M170+海南精准学!M170+实时查!M170+目标准!M170+'SMART LEARNING HOLDING'!M170+'SMART AI LIMITED'!M170+'HK01'!M170-(-SUMIFS(合并抵消!$J:$J,合并抵消!$E:$E,$E170,合并抵消!$A:$A,M$2)+SUMIFS(合并抵消!$K:$K,合并抵消!$E:$E,$E170,合并抵消!$A:$A,M$2))</f>
        <v/>
      </c>
      <c r="N170" s="89">
        <f>浙江精准学!N170+知识跳跳!N170+海南精准学!N170+实时查!N170+目标准!N170+'SMART LEARNING HOLDING'!N170+'SMART AI LIMITED'!N170+'HK01'!N170-(-SUMIFS(合并抵消!$J:$J,合并抵消!$E:$E,$E170,合并抵消!$A:$A,N$2)+SUMIFS(合并抵消!$K:$K,合并抵消!$E:$E,$E170,合并抵消!$A:$A,N$2))</f>
        <v/>
      </c>
      <c r="O170" s="89">
        <f>浙江精准学!O170+知识跳跳!O170+海南精准学!O170+实时查!O170+目标准!O170+'SMART LEARNING HOLDING'!O170+'SMART AI LIMITED'!O170+'HK01'!O170-(-SUMIFS(合并抵消!$J:$J,合并抵消!$E:$E,$E170,合并抵消!$A:$A,O$2)+SUMIFS(合并抵消!$K:$K,合并抵消!$E:$E,$E170,合并抵消!$A:$A,O$2))</f>
        <v/>
      </c>
      <c r="P170" s="89">
        <f>浙江精准学!P170+知识跳跳!P170+海南精准学!P170+实时查!P170+目标准!P170+'SMART LEARNING HOLDING'!P170+'SMART AI LIMITED'!P170+'HK01'!P170-(-SUMIFS(合并抵消!$J:$J,合并抵消!$E:$E,$E170,合并抵消!$A:$A,P$2)+SUMIFS(合并抵消!$K:$K,合并抵消!$E:$E,$E170,合并抵消!$A:$A,P$2))</f>
        <v/>
      </c>
      <c r="Q170" s="89">
        <f>浙江精准学!Q170+知识跳跳!Q170+海南精准学!Q170+实时查!Q170+目标准!Q170+'SMART LEARNING HOLDING'!Q170+'SMART AI LIMITED'!Q170+'HK01'!Q170-(-SUMIFS(合并抵消!$J:$J,合并抵消!$E:$E,$E170,合并抵消!$A:$A,Q$2)+SUMIFS(合并抵消!$K:$K,合并抵消!$E:$E,$E170,合并抵消!$A:$A,Q$2))</f>
        <v/>
      </c>
      <c r="R170" s="89">
        <f>SUM(F170:Q170)</f>
        <v/>
      </c>
    </row>
    <row r="171" s="83">
      <c r="A171" s="5" t="inlineStr">
        <is>
          <t>营业外支出</t>
        </is>
      </c>
      <c r="B171" s="63" t="inlineStr">
        <is>
          <t>营业外支出</t>
        </is>
      </c>
      <c r="D171" s="5" t="inlineStr">
        <is>
          <t>滞纳金支出</t>
        </is>
      </c>
      <c r="E171" s="6" t="inlineStr">
        <is>
          <t>Q3103</t>
        </is>
      </c>
      <c r="F171" s="89">
        <f>浙江精准学!F171+知识跳跳!F171+海南精准学!F171+实时查!F171+目标准!F171+'SMART LEARNING HOLDING'!F171+'SMART AI LIMITED'!F171+'HK01'!F171-(-SUMIFS(合并抵消!$J:$J,合并抵消!$E:$E,$E171,合并抵消!$A:$A,F$2)+SUMIFS(合并抵消!$K:$K,合并抵消!$E:$E,$E171,合并抵消!$A:$A,F$2))</f>
        <v/>
      </c>
      <c r="G171" s="89">
        <f>浙江精准学!G171+知识跳跳!G171+海南精准学!G171+实时查!G171+目标准!G171+'SMART LEARNING HOLDING'!G171+'SMART AI LIMITED'!G171+'HK01'!G171-(-SUMIFS(合并抵消!$J:$J,合并抵消!$E:$E,$E171,合并抵消!$A:$A,G$2)+SUMIFS(合并抵消!$K:$K,合并抵消!$E:$E,$E171,合并抵消!$A:$A,G$2))</f>
        <v/>
      </c>
      <c r="H171" s="89">
        <f>浙江精准学!H171+知识跳跳!H171+海南精准学!H171+实时查!H171+目标准!H171+'SMART LEARNING HOLDING'!H171+'SMART AI LIMITED'!H171+'HK01'!H171-(-SUMIFS(合并抵消!$J:$J,合并抵消!$E:$E,$E171,合并抵消!$A:$A,H$2)+SUMIFS(合并抵消!$K:$K,合并抵消!$E:$E,$E171,合并抵消!$A:$A,H$2))</f>
        <v/>
      </c>
      <c r="I171" s="89">
        <f>浙江精准学!I171+知识跳跳!I171+海南精准学!I171+实时查!I171+目标准!I171+'SMART LEARNING HOLDING'!I171+'SMART AI LIMITED'!I171+'HK01'!I171-(-SUMIFS(合并抵消!$J:$J,合并抵消!$E:$E,$E171,合并抵消!$A:$A,I$2)+SUMIFS(合并抵消!$K:$K,合并抵消!$E:$E,$E171,合并抵消!$A:$A,I$2))</f>
        <v/>
      </c>
      <c r="J171" s="89">
        <f>浙江精准学!J171+知识跳跳!J171+海南精准学!J171+实时查!J171+目标准!J171+'SMART LEARNING HOLDING'!J171+'SMART AI LIMITED'!J171+'HK01'!J171-(-SUMIFS(合并抵消!$J:$J,合并抵消!$E:$E,$E171,合并抵消!$A:$A,J$2)+SUMIFS(合并抵消!$K:$K,合并抵消!$E:$E,$E171,合并抵消!$A:$A,J$2))</f>
        <v/>
      </c>
      <c r="K171" s="89">
        <f>浙江精准学!K171+知识跳跳!K171+海南精准学!K171+实时查!K171+目标准!K171+'SMART LEARNING HOLDING'!K171+'SMART AI LIMITED'!K171+'HK01'!K171-(-SUMIFS(合并抵消!$J:$J,合并抵消!$E:$E,$E171,合并抵消!$A:$A,K$2)+SUMIFS(合并抵消!$K:$K,合并抵消!$E:$E,$E171,合并抵消!$A:$A,K$2))</f>
        <v/>
      </c>
      <c r="L171" s="89">
        <f>浙江精准学!L171+知识跳跳!L171+海南精准学!L171+实时查!L171+目标准!L171+'SMART LEARNING HOLDING'!L171+'SMART AI LIMITED'!L171+'HK01'!L171-(-SUMIFS(合并抵消!$J:$J,合并抵消!$E:$E,$E171,合并抵消!$A:$A,L$2)+SUMIFS(合并抵消!$K:$K,合并抵消!$E:$E,$E171,合并抵消!$A:$A,L$2))</f>
        <v/>
      </c>
      <c r="M171" s="89">
        <f>浙江精准学!M171+知识跳跳!M171+海南精准学!M171+实时查!M171+目标准!M171+'SMART LEARNING HOLDING'!M171+'SMART AI LIMITED'!M171+'HK01'!M171-(-SUMIFS(合并抵消!$J:$J,合并抵消!$E:$E,$E171,合并抵消!$A:$A,M$2)+SUMIFS(合并抵消!$K:$K,合并抵消!$E:$E,$E171,合并抵消!$A:$A,M$2))</f>
        <v/>
      </c>
      <c r="N171" s="89">
        <f>浙江精准学!N171+知识跳跳!N171+海南精准学!N171+实时查!N171+目标准!N171+'SMART LEARNING HOLDING'!N171+'SMART AI LIMITED'!N171+'HK01'!N171-(-SUMIFS(合并抵消!$J:$J,合并抵消!$E:$E,$E171,合并抵消!$A:$A,N$2)+SUMIFS(合并抵消!$K:$K,合并抵消!$E:$E,$E171,合并抵消!$A:$A,N$2))</f>
        <v/>
      </c>
      <c r="O171" s="89">
        <f>浙江精准学!O171+知识跳跳!O171+海南精准学!O171+实时查!O171+目标准!O171+'SMART LEARNING HOLDING'!O171+'SMART AI LIMITED'!O171+'HK01'!O171-(-SUMIFS(合并抵消!$J:$J,合并抵消!$E:$E,$E171,合并抵消!$A:$A,O$2)+SUMIFS(合并抵消!$K:$K,合并抵消!$E:$E,$E171,合并抵消!$A:$A,O$2))</f>
        <v/>
      </c>
      <c r="P171" s="89">
        <f>浙江精准学!P171+知识跳跳!P171+海南精准学!P171+实时查!P171+目标准!P171+'SMART LEARNING HOLDING'!P171+'SMART AI LIMITED'!P171+'HK01'!P171-(-SUMIFS(合并抵消!$J:$J,合并抵消!$E:$E,$E171,合并抵消!$A:$A,P$2)+SUMIFS(合并抵消!$K:$K,合并抵消!$E:$E,$E171,合并抵消!$A:$A,P$2))</f>
        <v/>
      </c>
      <c r="Q171" s="89">
        <f>浙江精准学!Q171+知识跳跳!Q171+海南精准学!Q171+实时查!Q171+目标准!Q171+'SMART LEARNING HOLDING'!Q171+'SMART AI LIMITED'!Q171+'HK01'!Q171-(-SUMIFS(合并抵消!$J:$J,合并抵消!$E:$E,$E171,合并抵消!$A:$A,Q$2)+SUMIFS(合并抵消!$K:$K,合并抵消!$E:$E,$E171,合并抵消!$A:$A,Q$2))</f>
        <v/>
      </c>
      <c r="R171" s="89">
        <f>SUM(F171:Q171)</f>
        <v/>
      </c>
    </row>
    <row r="172" s="83">
      <c r="A172" s="5" t="inlineStr">
        <is>
          <t>营业外支出</t>
        </is>
      </c>
      <c r="B172" s="63" t="inlineStr">
        <is>
          <t>营业外支出</t>
        </is>
      </c>
      <c r="D172" s="5" t="inlineStr">
        <is>
          <t>汇兑损益</t>
        </is>
      </c>
      <c r="E172" s="6" t="inlineStr">
        <is>
          <t>Q3105</t>
        </is>
      </c>
      <c r="F172" s="89">
        <f>浙江精准学!F172+知识跳跳!F172+海南精准学!F172+实时查!F172+目标准!F172+'SMART LEARNING HOLDING'!F172+'SMART AI LIMITED'!F172+'HK01'!F172-(-SUMIFS(合并抵消!$J:$J,合并抵消!$E:$E,$E172,合并抵消!$A:$A,F$2)+SUMIFS(合并抵消!$K:$K,合并抵消!$E:$E,$E172,合并抵消!$A:$A,F$2))</f>
        <v/>
      </c>
      <c r="G172" s="89">
        <f>浙江精准学!G172+知识跳跳!G172+海南精准学!G172+实时查!G172+目标准!G172+'SMART LEARNING HOLDING'!G172+'SMART AI LIMITED'!G172+'HK01'!G172-(-SUMIFS(合并抵消!$J:$J,合并抵消!$E:$E,$E172,合并抵消!$A:$A,G$2)+SUMIFS(合并抵消!$K:$K,合并抵消!$E:$E,$E172,合并抵消!$A:$A,G$2))</f>
        <v/>
      </c>
      <c r="H172" s="89">
        <f>浙江精准学!H172+知识跳跳!H172+海南精准学!H172+实时查!H172+目标准!H172+'SMART LEARNING HOLDING'!H172+'SMART AI LIMITED'!H172+'HK01'!H172-(-SUMIFS(合并抵消!$J:$J,合并抵消!$E:$E,$E172,合并抵消!$A:$A,H$2)+SUMIFS(合并抵消!$K:$K,合并抵消!$E:$E,$E172,合并抵消!$A:$A,H$2))</f>
        <v/>
      </c>
      <c r="I172" s="89">
        <f>浙江精准学!I172+知识跳跳!I172+海南精准学!I172+实时查!I172+目标准!I172+'SMART LEARNING HOLDING'!I172+'SMART AI LIMITED'!I172+'HK01'!I172-(-SUMIFS(合并抵消!$J:$J,合并抵消!$E:$E,$E172,合并抵消!$A:$A,I$2)+SUMIFS(合并抵消!$K:$K,合并抵消!$E:$E,$E172,合并抵消!$A:$A,I$2))</f>
        <v/>
      </c>
      <c r="J172" s="89">
        <f>浙江精准学!J172+知识跳跳!J172+海南精准学!J172+实时查!J172+目标准!J172+'SMART LEARNING HOLDING'!J172+'SMART AI LIMITED'!J172+'HK01'!J172-(-SUMIFS(合并抵消!$J:$J,合并抵消!$E:$E,$E172,合并抵消!$A:$A,J$2)+SUMIFS(合并抵消!$K:$K,合并抵消!$E:$E,$E172,合并抵消!$A:$A,J$2))</f>
        <v/>
      </c>
      <c r="K172" s="89">
        <f>浙江精准学!K172+知识跳跳!K172+海南精准学!K172+实时查!K172+目标准!K172+'SMART LEARNING HOLDING'!K172+'SMART AI LIMITED'!K172+'HK01'!K172-(-SUMIFS(合并抵消!$J:$J,合并抵消!$E:$E,$E172,合并抵消!$A:$A,K$2)+SUMIFS(合并抵消!$K:$K,合并抵消!$E:$E,$E172,合并抵消!$A:$A,K$2))</f>
        <v/>
      </c>
      <c r="L172" s="89">
        <f>浙江精准学!L172+知识跳跳!L172+海南精准学!L172+实时查!L172+目标准!L172+'SMART LEARNING HOLDING'!L172+'SMART AI LIMITED'!L172+'HK01'!L172-(-SUMIFS(合并抵消!$J:$J,合并抵消!$E:$E,$E172,合并抵消!$A:$A,L$2)+SUMIFS(合并抵消!$K:$K,合并抵消!$E:$E,$E172,合并抵消!$A:$A,L$2))</f>
        <v/>
      </c>
      <c r="M172" s="89">
        <f>浙江精准学!M172+知识跳跳!M172+海南精准学!M172+实时查!M172+目标准!M172+'SMART LEARNING HOLDING'!M172+'SMART AI LIMITED'!M172+'HK01'!M172-(-SUMIFS(合并抵消!$J:$J,合并抵消!$E:$E,$E172,合并抵消!$A:$A,M$2)+SUMIFS(合并抵消!$K:$K,合并抵消!$E:$E,$E172,合并抵消!$A:$A,M$2))</f>
        <v/>
      </c>
      <c r="N172" s="89">
        <f>浙江精准学!N172+知识跳跳!N172+海南精准学!N172+实时查!N172+目标准!N172+'SMART LEARNING HOLDING'!N172+'SMART AI LIMITED'!N172+'HK01'!N172-(-SUMIFS(合并抵消!$J:$J,合并抵消!$E:$E,$E172,合并抵消!$A:$A,N$2)+SUMIFS(合并抵消!$K:$K,合并抵消!$E:$E,$E172,合并抵消!$A:$A,N$2))</f>
        <v/>
      </c>
      <c r="O172" s="89">
        <f>浙江精准学!O172+知识跳跳!O172+海南精准学!O172+实时查!O172+目标准!O172+'SMART LEARNING HOLDING'!O172+'SMART AI LIMITED'!O172+'HK01'!O172-(-SUMIFS(合并抵消!$J:$J,合并抵消!$E:$E,$E172,合并抵消!$A:$A,O$2)+SUMIFS(合并抵消!$K:$K,合并抵消!$E:$E,$E172,合并抵消!$A:$A,O$2))</f>
        <v/>
      </c>
      <c r="P172" s="89">
        <f>浙江精准学!P172+知识跳跳!P172+海南精准学!P172+实时查!P172+目标准!P172+'SMART LEARNING HOLDING'!P172+'SMART AI LIMITED'!P172+'HK01'!P172-(-SUMIFS(合并抵消!$J:$J,合并抵消!$E:$E,$E172,合并抵消!$A:$A,P$2)+SUMIFS(合并抵消!$K:$K,合并抵消!$E:$E,$E172,合并抵消!$A:$A,P$2))</f>
        <v/>
      </c>
      <c r="Q172" s="89">
        <f>浙江精准学!Q172+知识跳跳!Q172+海南精准学!Q172+实时查!Q172+目标准!Q172+'SMART LEARNING HOLDING'!Q172+'SMART AI LIMITED'!Q172+'HK01'!Q172-(-SUMIFS(合并抵消!$J:$J,合并抵消!$E:$E,$E172,合并抵消!$A:$A,Q$2)+SUMIFS(合并抵消!$K:$K,合并抵消!$E:$E,$E172,合并抵消!$A:$A,Q$2))</f>
        <v/>
      </c>
      <c r="R172" s="89">
        <f>SUM(F172:Q172)</f>
        <v/>
      </c>
    </row>
    <row r="173" s="83">
      <c r="A173" s="49" t="inlineStr">
        <is>
          <t>营业外支出合计</t>
        </is>
      </c>
      <c r="B173" s="50" t="n"/>
      <c r="C173" s="50" t="n"/>
      <c r="D173" s="49" t="n"/>
      <c r="E173" s="49" t="n"/>
      <c r="F173" s="89">
        <f>SUM(F168:F172)</f>
        <v/>
      </c>
      <c r="G173" s="89">
        <f>SUM(G168:G172)</f>
        <v/>
      </c>
      <c r="H173" s="89">
        <f>SUM(H168:H172)</f>
        <v/>
      </c>
      <c r="I173" s="89">
        <f>SUM(I168:I172)</f>
        <v/>
      </c>
      <c r="J173" s="89">
        <f>SUM(J168:J172)</f>
        <v/>
      </c>
      <c r="K173" s="89">
        <f>SUM(K168:K172)</f>
        <v/>
      </c>
      <c r="L173" s="89">
        <f>SUM(L168:L172)</f>
        <v/>
      </c>
      <c r="M173" s="89">
        <f>SUM(M168:M172)</f>
        <v/>
      </c>
      <c r="N173" s="89">
        <f>SUM(N168:N172)</f>
        <v/>
      </c>
      <c r="O173" s="89">
        <f>SUM(O168:O172)</f>
        <v/>
      </c>
      <c r="P173" s="89">
        <f>SUM(P168:P172)</f>
        <v/>
      </c>
      <c r="Q173" s="89">
        <f>SUM(Q168:Q172)</f>
        <v/>
      </c>
      <c r="R173" s="89">
        <f>SUM(F173:Q173)</f>
        <v/>
      </c>
    </row>
    <row r="174" s="83">
      <c r="A174" s="5" t="inlineStr">
        <is>
          <t>理财收支</t>
        </is>
      </c>
      <c r="B174" s="6" t="inlineStr">
        <is>
          <t>理财收支</t>
        </is>
      </c>
      <c r="C174" s="6" t="inlineStr">
        <is>
          <t>理财支出</t>
        </is>
      </c>
      <c r="D174" s="5" t="inlineStr">
        <is>
          <t>理财收支</t>
        </is>
      </c>
      <c r="E174" s="6" t="inlineStr">
        <is>
          <t>Q3301</t>
        </is>
      </c>
      <c r="F174" s="89">
        <f>浙江精准学!F174+知识跳跳!F174+海南精准学!F174+实时查!F174+目标准!F174+'SMART LEARNING HOLDING'!F174+'SMART AI LIMITED'!F174+'HK01'!F174-(-SUMIFS(合并抵消!$J:$J,合并抵消!$E:$E,$E174,合并抵消!$A:$A,F$2)+SUMIFS(合并抵消!$K:$K,合并抵消!$E:$E,$E174,合并抵消!$A:$A,F$2))</f>
        <v/>
      </c>
      <c r="G174" s="89">
        <f>浙江精准学!G174+知识跳跳!G174+海南精准学!G174+实时查!G174+目标准!G174+'SMART LEARNING HOLDING'!G174+'SMART AI LIMITED'!G174+'HK01'!G174-(-SUMIFS(合并抵消!$J:$J,合并抵消!$E:$E,$E174,合并抵消!$A:$A,G$2)+SUMIFS(合并抵消!$K:$K,合并抵消!$E:$E,$E174,合并抵消!$A:$A,G$2))</f>
        <v/>
      </c>
      <c r="H174" s="89">
        <f>浙江精准学!H174+知识跳跳!H174+海南精准学!H174+实时查!H174+目标准!H174+'SMART LEARNING HOLDING'!H174+'SMART AI LIMITED'!H174+'HK01'!H174-(-SUMIFS(合并抵消!$J:$J,合并抵消!$E:$E,$E174,合并抵消!$A:$A,H$2)+SUMIFS(合并抵消!$K:$K,合并抵消!$E:$E,$E174,合并抵消!$A:$A,H$2))</f>
        <v/>
      </c>
      <c r="I174" s="89">
        <f>浙江精准学!I174+知识跳跳!I174+海南精准学!I174+实时查!I174+目标准!I174+'SMART LEARNING HOLDING'!I174+'SMART AI LIMITED'!I174+'HK01'!I174-(-SUMIFS(合并抵消!$J:$J,合并抵消!$E:$E,$E174,合并抵消!$A:$A,I$2)+SUMIFS(合并抵消!$K:$K,合并抵消!$E:$E,$E174,合并抵消!$A:$A,I$2))</f>
        <v/>
      </c>
      <c r="J174" s="89">
        <f>浙江精准学!J174+知识跳跳!J174+海南精准学!J174+实时查!J174+目标准!J174+'SMART LEARNING HOLDING'!J174+'SMART AI LIMITED'!J174+'HK01'!J174-(-SUMIFS(合并抵消!$J:$J,合并抵消!$E:$E,$E174,合并抵消!$A:$A,J$2)+SUMIFS(合并抵消!$K:$K,合并抵消!$E:$E,$E174,合并抵消!$A:$A,J$2))</f>
        <v/>
      </c>
      <c r="K174" s="89">
        <f>浙江精准学!K174+知识跳跳!K174+海南精准学!K174+实时查!K174+目标准!K174+'SMART LEARNING HOLDING'!K174+'SMART AI LIMITED'!K174+'HK01'!K174-(-SUMIFS(合并抵消!$J:$J,合并抵消!$E:$E,$E174,合并抵消!$A:$A,K$2)+SUMIFS(合并抵消!$K:$K,合并抵消!$E:$E,$E174,合并抵消!$A:$A,K$2))</f>
        <v/>
      </c>
      <c r="L174" s="89">
        <f>浙江精准学!L174+知识跳跳!L174+海南精准学!L174+实时查!L174+目标准!L174+'SMART LEARNING HOLDING'!L174+'SMART AI LIMITED'!L174+'HK01'!L174-(-SUMIFS(合并抵消!$J:$J,合并抵消!$E:$E,$E174,合并抵消!$A:$A,L$2)+SUMIFS(合并抵消!$K:$K,合并抵消!$E:$E,$E174,合并抵消!$A:$A,L$2))</f>
        <v/>
      </c>
      <c r="M174" s="89">
        <f>浙江精准学!M174+知识跳跳!M174+海南精准学!M174+实时查!M174+目标准!M174+'SMART LEARNING HOLDING'!M174+'SMART AI LIMITED'!M174+'HK01'!M174-(-SUMIFS(合并抵消!$J:$J,合并抵消!$E:$E,$E174,合并抵消!$A:$A,M$2)+SUMIFS(合并抵消!$K:$K,合并抵消!$E:$E,$E174,合并抵消!$A:$A,M$2))</f>
        <v/>
      </c>
      <c r="N174" s="89">
        <f>浙江精准学!N174+知识跳跳!N174+海南精准学!N174+实时查!N174+目标准!N174+'SMART LEARNING HOLDING'!N174+'SMART AI LIMITED'!N174+'HK01'!N174-(-SUMIFS(合并抵消!$J:$J,合并抵消!$E:$E,$E174,合并抵消!$A:$A,N$2)+SUMIFS(合并抵消!$K:$K,合并抵消!$E:$E,$E174,合并抵消!$A:$A,N$2))</f>
        <v/>
      </c>
      <c r="O174" s="89">
        <f>浙江精准学!O174+知识跳跳!O174+海南精准学!O174+实时查!O174+目标准!O174+'SMART LEARNING HOLDING'!O174+'SMART AI LIMITED'!O174+'HK01'!O174-(-SUMIFS(合并抵消!$J:$J,合并抵消!$E:$E,$E174,合并抵消!$A:$A,O$2)+SUMIFS(合并抵消!$K:$K,合并抵消!$E:$E,$E174,合并抵消!$A:$A,O$2))</f>
        <v/>
      </c>
      <c r="P174" s="89">
        <f>浙江精准学!P174+知识跳跳!P174+海南精准学!P174+实时查!P174+目标准!P174+'SMART LEARNING HOLDING'!P174+'SMART AI LIMITED'!P174+'HK01'!P174-(-SUMIFS(合并抵消!$J:$J,合并抵消!$E:$E,$E174,合并抵消!$A:$A,P$2)+SUMIFS(合并抵消!$K:$K,合并抵消!$E:$E,$E174,合并抵消!$A:$A,P$2))</f>
        <v/>
      </c>
      <c r="Q174" s="89">
        <f>浙江精准学!Q174+知识跳跳!Q174+海南精准学!Q174+实时查!Q174+目标准!Q174+'SMART LEARNING HOLDING'!Q174+'SMART AI LIMITED'!Q174+'HK01'!Q174-(-SUMIFS(合并抵消!$J:$J,合并抵消!$E:$E,$E174,合并抵消!$A:$A,Q$2)+SUMIFS(合并抵消!$K:$K,合并抵消!$E:$E,$E174,合并抵消!$A:$A,Q$2))</f>
        <v/>
      </c>
      <c r="R174" s="89">
        <f>SUM(F174:Q174)</f>
        <v/>
      </c>
    </row>
    <row r="175" s="83">
      <c r="A175" s="49" t="inlineStr">
        <is>
          <t>理财收支合计</t>
        </is>
      </c>
      <c r="B175" s="50" t="n"/>
      <c r="C175" s="50" t="n"/>
      <c r="D175" s="49" t="n"/>
      <c r="E175" s="49" t="n"/>
      <c r="F175" s="89">
        <f>SUM(F174:F174)</f>
        <v/>
      </c>
      <c r="G175" s="89">
        <f>SUM(G174:G174)</f>
        <v/>
      </c>
      <c r="H175" s="89">
        <f>SUM(H174:H174)</f>
        <v/>
      </c>
      <c r="I175" s="89">
        <f>SUM(I174:I174)</f>
        <v/>
      </c>
      <c r="J175" s="89">
        <f>SUM(J174:J174)</f>
        <v/>
      </c>
      <c r="K175" s="89">
        <f>SUM(K174:K174)</f>
        <v/>
      </c>
      <c r="L175" s="89">
        <f>SUM(L174:L174)</f>
        <v/>
      </c>
      <c r="M175" s="89">
        <f>SUM(M174:M174)</f>
        <v/>
      </c>
      <c r="N175" s="89">
        <f>SUM(N174:N174)</f>
        <v/>
      </c>
      <c r="O175" s="89">
        <f>SUM(O174:O174)</f>
        <v/>
      </c>
      <c r="P175" s="89">
        <f>SUM(P174:P174)</f>
        <v/>
      </c>
      <c r="Q175" s="89">
        <f>SUM(Q174:Q174)</f>
        <v/>
      </c>
      <c r="R175" s="89">
        <f>SUM(F175:Q175)</f>
        <v/>
      </c>
    </row>
    <row r="176" s="83">
      <c r="A176" s="51" t="inlineStr">
        <is>
          <t>付款合计</t>
        </is>
      </c>
      <c r="B176" s="52" t="n"/>
      <c r="C176" s="52" t="n"/>
      <c r="D176" s="51" t="n"/>
      <c r="E176" s="51" t="n"/>
      <c r="F176" s="89">
        <f>ROUND(F22+F24+F35+F50+F63+F98+F137+F162+F167+F173+F175,2)</f>
        <v/>
      </c>
      <c r="G176" s="89">
        <f>ROUND(G22+G24+G35+G50+G63+G98+G137+G162+G167+G173+G175,2)</f>
        <v/>
      </c>
      <c r="H176" s="89">
        <f>ROUND(H22+H24+H35+H50+H63+H98+H137+H162+H167+H173+H175,2)</f>
        <v/>
      </c>
      <c r="I176" s="89">
        <f>ROUND(I22+I24+I35+I50+I63+I98+I137+I162+I167+I173+I175,2)</f>
        <v/>
      </c>
      <c r="J176" s="89">
        <f>ROUND(J22+J24+J35+J50+J63+J98+J137+J162+J167+J173+J175,2)</f>
        <v/>
      </c>
      <c r="K176" s="89">
        <f>ROUND(K22+K24+K35+K50+K63+K98+K137+K162+K167+K173+K175,2)</f>
        <v/>
      </c>
      <c r="L176" s="89">
        <f>ROUND(L22+L24+L35+L50+L63+L98+L137+L162+L167+L173+L175,2)</f>
        <v/>
      </c>
      <c r="M176" s="89">
        <f>ROUND(M22+M24+M35+M50+M63+M98+M137+M162+M167+M173+M175,2)</f>
        <v/>
      </c>
      <c r="N176" s="89">
        <f>ROUND(N22+N24+N35+N50+N63+N98+N137+N162+N167+N173+N175,2)</f>
        <v/>
      </c>
      <c r="O176" s="89">
        <f>ROUND(O22+O24+O35+O50+O63+O98+O137+O162+O167+O173+O175,2)</f>
        <v/>
      </c>
      <c r="P176" s="89">
        <f>ROUND(P22+P24+P35+P50+P63+P98+P137+P162+P167+P173+P175,2)</f>
        <v/>
      </c>
      <c r="Q176" s="89">
        <f>ROUND(Q22+Q24+Q35+Q50+Q63+Q98+Q137+Q162+Q167+Q173+Q175,2)</f>
        <v/>
      </c>
      <c r="R176" s="89">
        <f>SUM(F176:Q176)</f>
        <v/>
      </c>
    </row>
    <row r="177" s="83">
      <c r="A177" s="51" t="inlineStr">
        <is>
          <t>现金净流入</t>
        </is>
      </c>
      <c r="B177" s="54" t="n"/>
      <c r="C177" s="54" t="n"/>
      <c r="D177" s="51" t="n"/>
      <c r="E177" s="51" t="n"/>
      <c r="F177" s="89">
        <f>ROUND(F19-F176,2)</f>
        <v/>
      </c>
      <c r="G177" s="89">
        <f>ROUND(G19-G176,2)</f>
        <v/>
      </c>
      <c r="H177" s="89">
        <f>ROUND(H19-H176,2)</f>
        <v/>
      </c>
      <c r="I177" s="89">
        <f>ROUND(I19-I176,2)</f>
        <v/>
      </c>
      <c r="J177" s="89">
        <f>ROUND(J19-J176,2)</f>
        <v/>
      </c>
      <c r="K177" s="89">
        <f>ROUND(K19-K176,2)</f>
        <v/>
      </c>
      <c r="L177" s="89">
        <f>ROUND(L19-L176,2)</f>
        <v/>
      </c>
      <c r="M177" s="89">
        <f>ROUND(M19-M176,2)</f>
        <v/>
      </c>
      <c r="N177" s="89">
        <f>ROUND(N19-N176,2)</f>
        <v/>
      </c>
      <c r="O177" s="89">
        <f>ROUND(O19-O176,2)</f>
        <v/>
      </c>
      <c r="P177" s="89">
        <f>ROUND(P19-P176,2)</f>
        <v/>
      </c>
      <c r="Q177" s="89">
        <f>ROUND(Q19-Q176,2)</f>
        <v/>
      </c>
      <c r="R177" s="89">
        <f>SUM(F177:Q177)</f>
        <v/>
      </c>
    </row>
    <row r="178" s="83">
      <c r="A178" s="51" t="inlineStr">
        <is>
          <t>现金期初数</t>
        </is>
      </c>
      <c r="B178" s="54" t="n"/>
      <c r="C178" s="54" t="n"/>
      <c r="D178" s="51" t="n"/>
      <c r="E178" s="51" t="n"/>
      <c r="F178" s="89">
        <f>ROUND(浙江精准学!F178+知识跳跳!F178+海南精准学!F178+实时查!F178+目标准!F178+驷海宾朋!F168+'SMART LEARNING HOLDING'!F178+'SMART AI LIMITED'!F178+'HK01'!F178,2)</f>
        <v/>
      </c>
      <c r="G178" s="89">
        <f>ROUND(浙江精准学!G178+知识跳跳!G178+海南精准学!G178+实时查!G178+目标准!G178+驷海宾朋!G168+'SMART LEARNING HOLDING'!G178+'SMART AI LIMITED'!G178+'HK01'!G178,2)</f>
        <v/>
      </c>
      <c r="H178" s="89">
        <f>ROUND(浙江精准学!H178+知识跳跳!H178+海南精准学!H178+实时查!H178+目标准!H178+驷海宾朋!H168+'SMART LEARNING HOLDING'!H178+'SMART AI LIMITED'!H178+'HK01'!H178,2)</f>
        <v/>
      </c>
      <c r="I178" s="89">
        <f>ROUND(浙江精准学!I178+知识跳跳!I178+海南精准学!I178+实时查!I178+目标准!I178+驷海宾朋!I168+'SMART LEARNING HOLDING'!I178+'SMART AI LIMITED'!I178+'HK01'!I178,2)</f>
        <v/>
      </c>
      <c r="J178" s="89">
        <f>ROUND(浙江精准学!J178+知识跳跳!J178+海南精准学!J178+实时查!J178+目标准!J178+驷海宾朋!J168+'SMART LEARNING HOLDING'!J178+'SMART AI LIMITED'!J178+'HK01'!J178,2)</f>
        <v/>
      </c>
      <c r="K178" s="89">
        <f>ROUND(浙江精准学!K178+知识跳跳!K178+海南精准学!K178+实时查!K178+目标准!K178+驷海宾朋!K168+'SMART LEARNING HOLDING'!K178+'SMART AI LIMITED'!K178+'HK01'!K178,2)</f>
        <v/>
      </c>
      <c r="L178" s="89">
        <f>ROUND(浙江精准学!L178+知识跳跳!L178+海南精准学!L178+实时查!L178+目标准!L178+驷海宾朋!L168+'SMART LEARNING HOLDING'!L178+'SMART AI LIMITED'!L178+'HK01'!L178,2)</f>
        <v/>
      </c>
      <c r="M178" s="89">
        <f>ROUND(浙江精准学!M178+知识跳跳!M178+海南精准学!M178+实时查!M178+目标准!M178+驷海宾朋!M168+'SMART LEARNING HOLDING'!M178+'SMART AI LIMITED'!M178+'HK01'!M178,2)</f>
        <v/>
      </c>
      <c r="N178" s="89">
        <f>ROUND(浙江精准学!N178+知识跳跳!N178+海南精准学!N178+实时查!N178+目标准!N178+驷海宾朋!N168+'SMART LEARNING HOLDING'!N178+'SMART AI LIMITED'!N178+'HK01'!N178,2)</f>
        <v/>
      </c>
      <c r="O178" s="89">
        <f>ROUND(浙江精准学!O178+知识跳跳!O178+海南精准学!O178+实时查!O178+目标准!O178+驷海宾朋!O168+'SMART LEARNING HOLDING'!O178+'SMART AI LIMITED'!O178+'HK01'!O178,2)</f>
        <v/>
      </c>
      <c r="P178" s="89">
        <f>ROUND(浙江精准学!P178+知识跳跳!P178+海南精准学!P178+实时查!P178+目标准!P178+驷海宾朋!P168+'SMART LEARNING HOLDING'!P178+'SMART AI LIMITED'!P178+'HK01'!P178,2)</f>
        <v/>
      </c>
      <c r="Q178" s="89">
        <f>ROUND(浙江精准学!Q178+知识跳跳!Q178+海南精准学!Q178+实时查!Q178+目标准!Q178+驷海宾朋!Q168+'SMART LEARNING HOLDING'!Q178+'SMART AI LIMITED'!Q178+'HK01'!Q178,2)</f>
        <v/>
      </c>
      <c r="R178" s="89">
        <f>SUM(F178:Q178)</f>
        <v/>
      </c>
    </row>
    <row r="179" s="83">
      <c r="A179" s="51" t="inlineStr">
        <is>
          <t>现金期末数</t>
        </is>
      </c>
      <c r="B179" s="54" t="n"/>
      <c r="C179" s="54" t="n"/>
      <c r="D179" s="51" t="n"/>
      <c r="E179" s="51" t="n"/>
      <c r="F179" s="89">
        <f>ROUND(F178+F177,2)</f>
        <v/>
      </c>
      <c r="G179" s="89">
        <f>ROUND(G178+G177,2)</f>
        <v/>
      </c>
      <c r="H179" s="89">
        <f>ROUND(H178+H177,2)</f>
        <v/>
      </c>
      <c r="I179" s="89">
        <f>ROUND(I178+I177,2)</f>
        <v/>
      </c>
      <c r="J179" s="89">
        <f>ROUND(J178+J177,2)</f>
        <v/>
      </c>
      <c r="K179" s="89">
        <f>ROUND(K178+K177,2)</f>
        <v/>
      </c>
      <c r="L179" s="89">
        <f>ROUND(L178+L177,2)</f>
        <v/>
      </c>
      <c r="M179" s="89">
        <f>ROUND(M178+M177,2)</f>
        <v/>
      </c>
      <c r="N179" s="89">
        <f>ROUND(N178+N177,2)</f>
        <v/>
      </c>
      <c r="O179" s="89">
        <f>ROUND(O178+O177,2)</f>
        <v/>
      </c>
      <c r="P179" s="89">
        <f>ROUND(P178+P177,2)</f>
        <v/>
      </c>
      <c r="Q179" s="89">
        <f>ROUND(Q178+Q177,2)</f>
        <v/>
      </c>
      <c r="R179" s="89">
        <f>SUM(F179:Q179)</f>
        <v/>
      </c>
    </row>
    <row r="180" s="83">
      <c r="A180" s="51" t="inlineStr">
        <is>
          <t>报表期末数</t>
        </is>
      </c>
      <c r="B180" s="54" t="n"/>
      <c r="C180" s="54" t="n"/>
      <c r="D180" s="51" t="n"/>
      <c r="E180" s="51" t="n"/>
      <c r="F180" s="89">
        <f>ROUND(浙江精准学!F180+知识跳跳!F180+海南精准学!F180+实时查!F180+目标准!F180+驷海宾朋!F170+'SMART LEARNING HOLDING'!F180+'SMART AI LIMITED'!F180+'HK01'!F180,2)</f>
        <v/>
      </c>
      <c r="G180" s="89">
        <f>ROUND(浙江精准学!G180+知识跳跳!G180+海南精准学!G180+实时查!G180+目标准!G180+驷海宾朋!G170+'SMART LEARNING HOLDING'!G180+'SMART AI LIMITED'!G180+'HK01'!G180,2)</f>
        <v/>
      </c>
      <c r="H180" s="89">
        <f>ROUND(浙江精准学!H180+知识跳跳!H180+海南精准学!H180+实时查!H180+目标准!H180+驷海宾朋!H170+'SMART LEARNING HOLDING'!H180+'SMART AI LIMITED'!H180+'HK01'!H180,2)</f>
        <v/>
      </c>
      <c r="I180" s="89">
        <f>ROUND(浙江精准学!I180+知识跳跳!I180+海南精准学!I180+实时查!I180+目标准!I180+驷海宾朋!I170+'SMART LEARNING HOLDING'!I180+'SMART AI LIMITED'!I180+'HK01'!I180,2)</f>
        <v/>
      </c>
      <c r="J180" s="89">
        <f>ROUND(浙江精准学!J180+知识跳跳!J180+海南精准学!J180+实时查!J180+目标准!J180+驷海宾朋!J170+'SMART LEARNING HOLDING'!J180+'SMART AI LIMITED'!J180+'HK01'!J180,2)</f>
        <v/>
      </c>
      <c r="K180" s="89">
        <f>ROUND(浙江精准学!K180+知识跳跳!K180+海南精准学!K180+实时查!K180+目标准!K180+驷海宾朋!K170+'SMART LEARNING HOLDING'!K180+'SMART AI LIMITED'!K180+'HK01'!K180,2)</f>
        <v/>
      </c>
      <c r="L180" s="89">
        <f>ROUND(浙江精准学!L180+知识跳跳!L180+海南精准学!L180+实时查!L180+目标准!L180+驷海宾朋!L170+'SMART LEARNING HOLDING'!L180+'SMART AI LIMITED'!L180+'HK01'!L180,2)</f>
        <v/>
      </c>
      <c r="M180" s="89">
        <f>ROUND(浙江精准学!M180+知识跳跳!M180+海南精准学!M180+实时查!M180+目标准!M180+驷海宾朋!M170+'SMART LEARNING HOLDING'!M180+'SMART AI LIMITED'!M180+'HK01'!M180,2)</f>
        <v/>
      </c>
      <c r="N180" s="89">
        <f>ROUND(浙江精准学!N180+知识跳跳!N180+海南精准学!N180+实时查!N180+目标准!N180+驷海宾朋!N170+'SMART LEARNING HOLDING'!N180+'SMART AI LIMITED'!N180+'HK01'!N180,2)</f>
        <v/>
      </c>
      <c r="O180" s="89">
        <f>ROUND(浙江精准学!O180+知识跳跳!O180+海南精准学!O180+实时查!O180+目标准!O180+驷海宾朋!O170+'SMART LEARNING HOLDING'!O180+'SMART AI LIMITED'!O180+'HK01'!O180,2)</f>
        <v/>
      </c>
      <c r="P180" s="89">
        <f>ROUND(浙江精准学!P180+知识跳跳!P180+海南精准学!P180+实时查!P180+目标准!P180+驷海宾朋!P170+'SMART LEARNING HOLDING'!P180+'SMART AI LIMITED'!P180+'HK01'!P180,2)</f>
        <v/>
      </c>
      <c r="Q180" s="89">
        <f>ROUND(浙江精准学!Q180+知识跳跳!Q180+海南精准学!Q180+实时查!Q180+目标准!Q180+驷海宾朋!Q170+'SMART LEARNING HOLDING'!Q180+'SMART AI LIMITED'!Q180+'HK01'!Q180,2)</f>
        <v/>
      </c>
      <c r="R180" s="89">
        <f>SUM(F180:Q180)</f>
        <v/>
      </c>
    </row>
    <row r="181" s="83">
      <c r="A181" s="51" t="inlineStr">
        <is>
          <t>余额check</t>
        </is>
      </c>
      <c r="B181" s="54" t="n"/>
      <c r="C181" s="54" t="n"/>
      <c r="D181" s="51" t="n"/>
      <c r="E181" s="51" t="n"/>
      <c r="F181" s="89">
        <f>F180-F179</f>
        <v/>
      </c>
      <c r="G181" s="89">
        <f>G180-G179</f>
        <v/>
      </c>
      <c r="H181" s="89">
        <f>H180-H179</f>
        <v/>
      </c>
      <c r="I181" s="89">
        <f>I180-I179</f>
        <v/>
      </c>
      <c r="J181" s="89">
        <f>J180-J179</f>
        <v/>
      </c>
      <c r="K181" s="89">
        <f>K180-K179</f>
        <v/>
      </c>
      <c r="L181" s="89">
        <f>L180-L179</f>
        <v/>
      </c>
      <c r="M181" s="89">
        <f>M180-M179</f>
        <v/>
      </c>
      <c r="N181" s="89">
        <f>N180-N179</f>
        <v/>
      </c>
      <c r="O181" s="89">
        <f>O180-O179</f>
        <v/>
      </c>
      <c r="P181" s="89">
        <f>P180-P179</f>
        <v/>
      </c>
      <c r="Q181" s="89">
        <f>Q180-Q179</f>
        <v/>
      </c>
      <c r="R181" s="89">
        <f>SUM(F181:Q181)</f>
        <v/>
      </c>
    </row>
    <row r="182" s="83">
      <c r="A182" s="51" t="inlineStr">
        <is>
          <t>内部往来check</t>
        </is>
      </c>
      <c r="B182" s="54" t="n"/>
      <c r="C182" s="54" t="n"/>
      <c r="D182" s="51" t="n"/>
      <c r="E182" s="51" t="n"/>
      <c r="F182" s="89">
        <f>F13-F20</f>
        <v/>
      </c>
      <c r="G182" s="89">
        <f>G13-G20</f>
        <v/>
      </c>
      <c r="H182" s="89">
        <f>H13-H20</f>
        <v/>
      </c>
      <c r="I182" s="89">
        <f>I13-I20</f>
        <v/>
      </c>
      <c r="J182" s="89">
        <f>J13-J20</f>
        <v/>
      </c>
      <c r="K182" s="89">
        <f>K13-K20</f>
        <v/>
      </c>
      <c r="L182" s="89">
        <f>L13-L20</f>
        <v/>
      </c>
      <c r="M182" s="89">
        <f>M13-M20</f>
        <v/>
      </c>
      <c r="N182" s="89">
        <f>N13-N20</f>
        <v/>
      </c>
      <c r="O182" s="89">
        <f>O13-O20</f>
        <v/>
      </c>
      <c r="P182" s="89">
        <f>P13-P20</f>
        <v/>
      </c>
      <c r="Q182" s="89">
        <f>Q13-Q20</f>
        <v/>
      </c>
      <c r="R182" s="89">
        <f>SUM(F182:Q182)</f>
        <v/>
      </c>
    </row>
    <row r="185" s="83">
      <c r="H185" s="89" t="n"/>
      <c r="L185" s="89">
        <f>浙江精准学!L180+知识跳跳!L180+海南精准学!L180+实时查!L180+目标准!L180+'SMART LEARNING HOLDING'!L180+'SMART AI LIMITED'!L180+'HK01'!L180</f>
        <v/>
      </c>
    </row>
    <row r="186" s="83">
      <c r="G186" s="89" t="n"/>
      <c r="H186" s="89" t="n"/>
      <c r="I186" s="89" t="n"/>
      <c r="J186" s="89" t="n"/>
    </row>
    <row r="187" s="83">
      <c r="G187" s="89" t="n"/>
      <c r="H187" s="89" t="n"/>
      <c r="I187" s="89" t="n"/>
      <c r="J187" s="89" t="n"/>
    </row>
    <row r="188" s="83">
      <c r="E188" s="34" t="inlineStr">
        <is>
          <t>项目</t>
        </is>
      </c>
      <c r="F188" s="91" t="inlineStr">
        <is>
          <t>1月</t>
        </is>
      </c>
      <c r="G188" s="91" t="inlineStr">
        <is>
          <t>2月</t>
        </is>
      </c>
      <c r="H188" s="91" t="inlineStr">
        <is>
          <t>3月</t>
        </is>
      </c>
      <c r="I188" s="91" t="inlineStr">
        <is>
          <t>4月</t>
        </is>
      </c>
      <c r="J188" s="91" t="inlineStr">
        <is>
          <t>5月</t>
        </is>
      </c>
      <c r="K188" s="91" t="inlineStr">
        <is>
          <t>6月</t>
        </is>
      </c>
      <c r="L188" s="34" t="inlineStr">
        <is>
          <t>7月</t>
        </is>
      </c>
      <c r="M188" s="91" t="inlineStr">
        <is>
          <t>8月</t>
        </is>
      </c>
      <c r="N188" s="34" t="inlineStr">
        <is>
          <t>9月</t>
        </is>
      </c>
      <c r="O188" s="91" t="inlineStr">
        <is>
          <t>10月</t>
        </is>
      </c>
      <c r="P188" s="34" t="inlineStr">
        <is>
          <t>11月</t>
        </is>
      </c>
      <c r="Q188" s="91" t="inlineStr">
        <is>
          <t>12月</t>
        </is>
      </c>
      <c r="R188" s="34" t="inlineStr">
        <is>
          <t>合计</t>
        </is>
      </c>
    </row>
    <row r="189" s="83">
      <c r="E189" s="5" t="inlineStr">
        <is>
          <t>业务收入</t>
        </is>
      </c>
      <c r="F189" s="89">
        <f>SUM(F3:F5)</f>
        <v/>
      </c>
      <c r="G189" s="89">
        <f>SUM(G3:G5)</f>
        <v/>
      </c>
      <c r="H189" s="89">
        <f>SUM(H3:H5)</f>
        <v/>
      </c>
      <c r="I189" s="89">
        <f>SUM(I3:I5)</f>
        <v/>
      </c>
      <c r="J189" s="89">
        <f>SUM(J3:J5)</f>
        <v/>
      </c>
      <c r="K189" s="89">
        <f>SUM(K3:K5)</f>
        <v/>
      </c>
      <c r="L189" s="89">
        <f>SUM(L3:L5)</f>
        <v/>
      </c>
      <c r="R189" s="57">
        <f>ROUND(SUM(F189:Q189),2)</f>
        <v/>
      </c>
      <c r="S189" s="89" t="n"/>
    </row>
    <row r="190" s="83">
      <c r="E190" s="5" t="inlineStr">
        <is>
          <t>政府补贴收入</t>
        </is>
      </c>
      <c r="F190" s="89">
        <f>F9</f>
        <v/>
      </c>
      <c r="G190" s="89">
        <f>G9</f>
        <v/>
      </c>
      <c r="H190" s="89">
        <f>H9</f>
        <v/>
      </c>
      <c r="I190" s="89">
        <f>I9</f>
        <v/>
      </c>
      <c r="J190" s="89">
        <f>J9</f>
        <v/>
      </c>
      <c r="K190" s="89">
        <f>K9</f>
        <v/>
      </c>
      <c r="L190" s="89">
        <f>L9</f>
        <v/>
      </c>
      <c r="R190" s="57">
        <f>ROUND(SUM(F190:Q190),2)</f>
        <v/>
      </c>
      <c r="S190" s="89" t="n"/>
    </row>
    <row r="191" s="83">
      <c r="E191" s="5" t="inlineStr">
        <is>
          <t>利息收入</t>
        </is>
      </c>
      <c r="F191" s="89">
        <f>F10</f>
        <v/>
      </c>
      <c r="G191" s="89">
        <f>G10</f>
        <v/>
      </c>
      <c r="H191" s="89">
        <f>H10</f>
        <v/>
      </c>
      <c r="I191" s="89">
        <f>I10</f>
        <v/>
      </c>
      <c r="J191" s="89">
        <f>J10</f>
        <v/>
      </c>
      <c r="K191" s="89">
        <f>K10</f>
        <v/>
      </c>
      <c r="L191" s="89">
        <f>L10</f>
        <v/>
      </c>
      <c r="R191" s="57">
        <f>ROUND(SUM(F191:Q191),2)</f>
        <v/>
      </c>
      <c r="S191" s="89" t="n"/>
    </row>
    <row r="192" s="83">
      <c r="E192" s="5" t="inlineStr">
        <is>
          <t>往来款项收入</t>
        </is>
      </c>
      <c r="F192" s="89">
        <f>F15</f>
        <v/>
      </c>
      <c r="G192" s="89">
        <f>G15</f>
        <v/>
      </c>
      <c r="H192" s="89">
        <f>H15</f>
        <v/>
      </c>
      <c r="I192" s="89">
        <f>I15</f>
        <v/>
      </c>
      <c r="J192" s="89">
        <f>J15</f>
        <v/>
      </c>
      <c r="K192" s="89">
        <f>K15</f>
        <v/>
      </c>
      <c r="L192" s="89">
        <f>L15</f>
        <v/>
      </c>
      <c r="R192" s="57">
        <f>ROUND(SUM(F192:Q192),2)</f>
        <v/>
      </c>
      <c r="S192" s="89" t="n"/>
    </row>
    <row r="193" s="83">
      <c r="E193" s="5" t="inlineStr">
        <is>
          <t>投资款收入</t>
        </is>
      </c>
      <c r="F193" s="89">
        <f>F18</f>
        <v/>
      </c>
      <c r="G193" s="89">
        <f>G18</f>
        <v/>
      </c>
      <c r="H193" s="89">
        <f>H18</f>
        <v/>
      </c>
      <c r="I193" s="89">
        <f>I18</f>
        <v/>
      </c>
      <c r="J193" s="89">
        <f>J18</f>
        <v/>
      </c>
      <c r="K193" s="89">
        <f>K18</f>
        <v/>
      </c>
      <c r="L193" s="89">
        <f>L18</f>
        <v/>
      </c>
      <c r="R193" s="57">
        <f>ROUND(SUM(F193:Q193),2)</f>
        <v/>
      </c>
      <c r="S193" s="89" t="n"/>
    </row>
    <row r="194" s="83">
      <c r="E194" s="5" t="inlineStr">
        <is>
          <t>其他收入</t>
        </is>
      </c>
      <c r="F194" s="89">
        <f>F7+F8+F11</f>
        <v/>
      </c>
      <c r="G194" s="89">
        <f>G7+G8+G11</f>
        <v/>
      </c>
      <c r="H194" s="89">
        <f>H7+H8+H11</f>
        <v/>
      </c>
      <c r="I194" s="89">
        <f>I7+I8+I11</f>
        <v/>
      </c>
      <c r="J194" s="89">
        <f>J7+J8+J11</f>
        <v/>
      </c>
      <c r="K194" s="89">
        <f>K7+K8+K11</f>
        <v/>
      </c>
      <c r="L194" s="89">
        <f>L7+L8+L11</f>
        <v/>
      </c>
      <c r="R194" s="57">
        <f>ROUND(SUM(F194:Q194),2)</f>
        <v/>
      </c>
      <c r="S194" s="89" t="n"/>
    </row>
    <row r="195" s="83">
      <c r="E195" s="5" t="inlineStr">
        <is>
          <t>硬件采购</t>
        </is>
      </c>
      <c r="F195" s="89">
        <f>F50</f>
        <v/>
      </c>
      <c r="G195" s="89">
        <f>G50</f>
        <v/>
      </c>
      <c r="H195" s="89">
        <f>H50</f>
        <v/>
      </c>
      <c r="I195" s="89">
        <f>I50</f>
        <v/>
      </c>
      <c r="J195" s="89">
        <f>J50</f>
        <v/>
      </c>
      <c r="K195" s="89">
        <f>K50</f>
        <v/>
      </c>
      <c r="L195" s="89">
        <f>L50</f>
        <v/>
      </c>
      <c r="R195" s="57">
        <f>ROUND(SUM(F195:Q195),2)</f>
        <v/>
      </c>
      <c r="S195" s="89" t="n"/>
    </row>
    <row r="196" s="83">
      <c r="E196" s="5" t="inlineStr">
        <is>
          <t>硬件研发</t>
        </is>
      </c>
      <c r="F196" s="89">
        <f>SUM(F70:F86)</f>
        <v/>
      </c>
      <c r="G196" s="89">
        <f>SUM(G70:G86)</f>
        <v/>
      </c>
      <c r="H196" s="89">
        <f>SUM(H70:H86)</f>
        <v/>
      </c>
      <c r="I196" s="89">
        <f>SUM(I70:I86)</f>
        <v/>
      </c>
      <c r="J196" s="89">
        <f>SUM(J70:J86)</f>
        <v/>
      </c>
      <c r="K196" s="89">
        <f>SUM(K70:K86)</f>
        <v/>
      </c>
      <c r="L196" s="89">
        <f>SUM(L70:L86)</f>
        <v/>
      </c>
      <c r="R196" s="57">
        <f>ROUND(SUM(F196:Q196),2)</f>
        <v/>
      </c>
      <c r="S196" s="89" t="n"/>
    </row>
    <row r="197" s="83">
      <c r="E197" s="5" t="inlineStr">
        <is>
          <t>软件研发</t>
        </is>
      </c>
      <c r="F197" s="89">
        <f>SUM(F87:F97)</f>
        <v/>
      </c>
      <c r="G197" s="89">
        <f>SUM(G87:G97)</f>
        <v/>
      </c>
      <c r="H197" s="89">
        <f>SUM(H87:H97)</f>
        <v/>
      </c>
      <c r="I197" s="89">
        <f>SUM(I87:I97)</f>
        <v/>
      </c>
      <c r="J197" s="89">
        <f>SUM(J87:J97)</f>
        <v/>
      </c>
      <c r="K197" s="89">
        <f>SUM(K87:K97)</f>
        <v/>
      </c>
      <c r="L197" s="89">
        <f>SUM(L87:L97)</f>
        <v/>
      </c>
      <c r="R197" s="57">
        <f>ROUND(SUM(F197:Q197),2)</f>
        <v/>
      </c>
      <c r="S197" s="89" t="n"/>
    </row>
    <row r="198" s="83">
      <c r="E198" s="5" t="inlineStr">
        <is>
          <t>营销支出</t>
        </is>
      </c>
      <c r="F198" s="89">
        <f>F137-F134-F135</f>
        <v/>
      </c>
      <c r="G198" s="89">
        <f>G137-G134-G135</f>
        <v/>
      </c>
      <c r="H198" s="89">
        <f>H137-H134-H135</f>
        <v/>
      </c>
      <c r="I198" s="89">
        <f>I137-I134-I135</f>
        <v/>
      </c>
      <c r="J198" s="89">
        <f>J137-J134-J135</f>
        <v/>
      </c>
      <c r="K198" s="89">
        <f>K137-K134-K135</f>
        <v/>
      </c>
      <c r="L198" s="89">
        <f>L137-L134-L135</f>
        <v/>
      </c>
      <c r="R198" s="57">
        <f>ROUND(SUM(F198:Q198),2)</f>
        <v/>
      </c>
      <c r="S198" s="89" t="n"/>
    </row>
    <row r="199" s="83">
      <c r="E199" s="5" t="inlineStr">
        <is>
          <t>人工成本</t>
        </is>
      </c>
      <c r="F199" s="89">
        <f>F35</f>
        <v/>
      </c>
      <c r="G199" s="89">
        <f>G35</f>
        <v/>
      </c>
      <c r="H199" s="89">
        <f>H35</f>
        <v/>
      </c>
      <c r="I199" s="89">
        <f>I35</f>
        <v/>
      </c>
      <c r="J199" s="89">
        <f>J35</f>
        <v/>
      </c>
      <c r="K199" s="89">
        <f>K35</f>
        <v/>
      </c>
      <c r="L199" s="89">
        <f>L35</f>
        <v/>
      </c>
      <c r="R199" s="57">
        <f>ROUND(SUM(F199:Q199),2)</f>
        <v/>
      </c>
      <c r="S199" s="89" t="n"/>
    </row>
    <row r="200" s="83">
      <c r="E200" s="5" t="inlineStr">
        <is>
          <t>其他经营支出</t>
        </is>
      </c>
      <c r="F200" s="89">
        <f>ROUND(F63+F134+F135+F162+F167+F173,2)</f>
        <v/>
      </c>
      <c r="G200" s="89">
        <f>ROUND(G63+G134+G135+G162+G167+G173,2)</f>
        <v/>
      </c>
      <c r="H200" s="89">
        <f>ROUND(H63+H134+H135+H162+H167+H173,2)</f>
        <v/>
      </c>
      <c r="I200" s="89">
        <f>ROUND(I63+I134+I135+I162+I167+I173+I22,2)</f>
        <v/>
      </c>
      <c r="J200" s="89">
        <f>ROUND(J63+J134+J135+J162+J167+J173,2)</f>
        <v/>
      </c>
      <c r="K200" s="89">
        <f>ROUND(K63+K134+K135+K162+K167+K173,2)</f>
        <v/>
      </c>
      <c r="L200" s="89">
        <f>ROUND(L63+L134+L135+L162+L167+L173+L22,2)</f>
        <v/>
      </c>
      <c r="R200" s="57">
        <f>ROUND(SUM(F200:Q200),2)</f>
        <v/>
      </c>
      <c r="S200" s="89" t="n"/>
    </row>
    <row r="201" s="83">
      <c r="E201" s="5" t="inlineStr">
        <is>
          <t>收入合计</t>
        </is>
      </c>
      <c r="F201" s="89">
        <f>SUM(F189:F194)</f>
        <v/>
      </c>
      <c r="G201" s="89">
        <f>SUM(G189:G194)</f>
        <v/>
      </c>
      <c r="H201" s="89">
        <f>SUM(H189:H194)</f>
        <v/>
      </c>
      <c r="I201" s="89">
        <f>SUM(I189:I194)</f>
        <v/>
      </c>
      <c r="J201" s="89">
        <f>SUM(J189:J194)</f>
        <v/>
      </c>
      <c r="K201" s="89">
        <f>SUM(K189:K194)</f>
        <v/>
      </c>
      <c r="L201" s="89">
        <f>SUM(L189:L194)</f>
        <v/>
      </c>
    </row>
    <row r="202" s="83">
      <c r="E202" s="5" t="inlineStr">
        <is>
          <t>支出合计</t>
        </is>
      </c>
      <c r="F202" s="89">
        <f>SUM(F195:F200)</f>
        <v/>
      </c>
      <c r="G202" s="89">
        <f>SUM(G195:G200)</f>
        <v/>
      </c>
      <c r="H202" s="89">
        <f>SUM(H195:H200)</f>
        <v/>
      </c>
      <c r="I202" s="89">
        <f>SUM(I195:I200)</f>
        <v/>
      </c>
      <c r="J202" s="89">
        <f>SUM(J195:J200)</f>
        <v/>
      </c>
      <c r="K202" s="89">
        <f>SUM(K195:K200)</f>
        <v/>
      </c>
      <c r="L202" s="89">
        <f>SUM(L195:L200)</f>
        <v/>
      </c>
    </row>
    <row r="203" s="83">
      <c r="E203" s="5" t="inlineStr">
        <is>
          <t>当月现金净流入</t>
        </is>
      </c>
      <c r="F203" s="89">
        <f>F201-F202</f>
        <v/>
      </c>
      <c r="G203" s="89">
        <f>G201-G202</f>
        <v/>
      </c>
      <c r="H203" s="89">
        <f>H201-H202</f>
        <v/>
      </c>
      <c r="I203" s="89">
        <f>I201-I202</f>
        <v/>
      </c>
      <c r="J203" s="89">
        <f>J201-J202</f>
        <v/>
      </c>
      <c r="K203" s="89">
        <f>K201-K202</f>
        <v/>
      </c>
      <c r="L203" s="89">
        <f>L201-L202</f>
        <v/>
      </c>
    </row>
    <row r="204" s="83">
      <c r="E204" s="5" t="inlineStr">
        <is>
          <t>累计现金净流入</t>
        </is>
      </c>
      <c r="F204" s="89">
        <f>F203</f>
        <v/>
      </c>
      <c r="G204" s="89">
        <f>G203+F204</f>
        <v/>
      </c>
      <c r="H204" s="89">
        <f>H203+G204</f>
        <v/>
      </c>
      <c r="I204" s="89">
        <f>I203+H204</f>
        <v/>
      </c>
      <c r="J204" s="89">
        <f>J203+I204</f>
        <v/>
      </c>
      <c r="K204" s="89">
        <f>K203+J204</f>
        <v/>
      </c>
      <c r="L204" s="89">
        <f>L203+K204</f>
        <v/>
      </c>
    </row>
    <row r="205" s="83">
      <c r="E205" s="5" t="inlineStr">
        <is>
          <t>月末资金余额</t>
        </is>
      </c>
      <c r="F205" s="89">
        <f>F180</f>
        <v/>
      </c>
      <c r="G205" s="89">
        <f>G180</f>
        <v/>
      </c>
      <c r="H205" s="89">
        <f>H180</f>
        <v/>
      </c>
      <c r="I205" s="89">
        <f>I180</f>
        <v/>
      </c>
      <c r="J205" s="89">
        <f>J180</f>
        <v/>
      </c>
      <c r="K205" s="89">
        <f>K180</f>
        <v/>
      </c>
      <c r="L205" s="89">
        <f>L180</f>
        <v/>
      </c>
    </row>
    <row r="206" s="83">
      <c r="F206" s="89">
        <f>F201-F19</f>
        <v/>
      </c>
      <c r="G206" s="89">
        <f>G201-G19</f>
        <v/>
      </c>
      <c r="H206" s="89">
        <f>H201-H19</f>
        <v/>
      </c>
      <c r="I206" s="89">
        <f>I201-I19</f>
        <v/>
      </c>
      <c r="J206" s="89">
        <f>J201-J19</f>
        <v/>
      </c>
      <c r="K206" s="89">
        <f>K201-K19</f>
        <v/>
      </c>
      <c r="L206" s="89">
        <f>L201-L19</f>
        <v/>
      </c>
    </row>
    <row r="207" s="83">
      <c r="F207" s="89">
        <f>F202-F176</f>
        <v/>
      </c>
      <c r="G207" s="89">
        <f>G202-G176</f>
        <v/>
      </c>
      <c r="H207" s="89">
        <f>H202-H176</f>
        <v/>
      </c>
      <c r="I207" s="89">
        <f>I202-I176</f>
        <v/>
      </c>
      <c r="J207" s="89">
        <f>J202-J176</f>
        <v/>
      </c>
      <c r="K207" s="89">
        <f>K202-K176</f>
        <v/>
      </c>
      <c r="L207" s="89">
        <f>L202-L176</f>
        <v/>
      </c>
    </row>
    <row r="208" s="83">
      <c r="F208" s="64" t="n"/>
      <c r="G208" s="64" t="n"/>
      <c r="H208" s="64" t="n"/>
      <c r="I208" s="64" t="n"/>
      <c r="J208" s="64" t="n"/>
      <c r="K208" s="64" t="n"/>
    </row>
    <row r="209" s="83">
      <c r="F209" s="64" t="n"/>
      <c r="G209" s="64" t="n"/>
      <c r="H209" s="64" t="n"/>
      <c r="I209" s="64" t="n"/>
      <c r="J209" s="64" t="n"/>
      <c r="K209" s="64" t="n"/>
    </row>
    <row r="210" s="83">
      <c r="E210" s="34" t="inlineStr">
        <is>
          <t>项目</t>
        </is>
      </c>
      <c r="F210" s="91" t="inlineStr">
        <is>
          <t>1月</t>
        </is>
      </c>
      <c r="G210" s="91" t="inlineStr">
        <is>
          <t>2月</t>
        </is>
      </c>
      <c r="H210" s="91" t="inlineStr">
        <is>
          <t>3月</t>
        </is>
      </c>
      <c r="I210" s="91" t="inlineStr">
        <is>
          <t>4月</t>
        </is>
      </c>
      <c r="J210" s="91" t="inlineStr">
        <is>
          <t>5月</t>
        </is>
      </c>
      <c r="K210" s="91" t="inlineStr">
        <is>
          <t>6月</t>
        </is>
      </c>
      <c r="L210" s="34" t="inlineStr">
        <is>
          <t>7月</t>
        </is>
      </c>
      <c r="M210" s="91" t="inlineStr">
        <is>
          <t>8月</t>
        </is>
      </c>
      <c r="N210" s="34" t="inlineStr">
        <is>
          <t>9月</t>
        </is>
      </c>
      <c r="O210" s="91" t="inlineStr">
        <is>
          <t>10月</t>
        </is>
      </c>
      <c r="P210" s="34" t="inlineStr">
        <is>
          <t>11月</t>
        </is>
      </c>
      <c r="Q210" s="91" t="inlineStr">
        <is>
          <t>12月</t>
        </is>
      </c>
      <c r="R210" s="34" t="inlineStr">
        <is>
          <t>合计</t>
        </is>
      </c>
    </row>
    <row r="211" s="83">
      <c r="E211" s="34" t="inlineStr">
        <is>
          <t>收入</t>
        </is>
      </c>
      <c r="G211" s="89" t="n"/>
      <c r="H211" s="89" t="n"/>
      <c r="I211" s="89" t="n"/>
      <c r="J211" s="89" t="n"/>
      <c r="K211" s="89" t="n"/>
      <c r="L211" s="89" t="n"/>
      <c r="O211" s="89" t="n"/>
      <c r="P211" s="89" t="n"/>
      <c r="Q211" s="89" t="n"/>
      <c r="R211" s="89" t="n"/>
    </row>
    <row r="212" s="83">
      <c r="E212" s="5" t="inlineStr">
        <is>
          <t>学习机销售业务</t>
        </is>
      </c>
      <c r="F212" s="89">
        <f>F3+F4+F5</f>
        <v/>
      </c>
      <c r="G212" s="89">
        <f>G3+G4+G5</f>
        <v/>
      </c>
      <c r="H212" s="89">
        <f>H3+H4+H5</f>
        <v/>
      </c>
      <c r="I212" s="89">
        <f>I3+I4+I5</f>
        <v/>
      </c>
      <c r="J212" s="89">
        <f>J3+J4+J5</f>
        <v/>
      </c>
      <c r="K212" s="89">
        <f>K3+K4+K5</f>
        <v/>
      </c>
      <c r="L212" s="89">
        <f>L3+L4+L5</f>
        <v/>
      </c>
      <c r="M212" s="89">
        <f>M3+M4+M5</f>
        <v/>
      </c>
      <c r="N212" s="89">
        <f>N3+N4+N5</f>
        <v/>
      </c>
      <c r="O212" s="89">
        <f>O3+O4+O5</f>
        <v/>
      </c>
      <c r="P212" s="89">
        <f>P3+P4+P5</f>
        <v/>
      </c>
      <c r="Q212" s="89">
        <f>Q3+Q4+Q5</f>
        <v/>
      </c>
      <c r="R212" s="89">
        <f>ROUND(SUM(F212:Q212),2)</f>
        <v/>
      </c>
    </row>
    <row r="213" s="83">
      <c r="E213" s="5" t="inlineStr">
        <is>
          <t>自习室业务</t>
        </is>
      </c>
      <c r="G213" s="89" t="n"/>
      <c r="H213" s="89" t="n"/>
      <c r="I213" s="89" t="n"/>
      <c r="J213" s="89" t="n"/>
      <c r="K213" s="89" t="n"/>
      <c r="L213" s="89" t="n"/>
      <c r="O213" s="89" t="n"/>
      <c r="P213" s="89" t="n"/>
      <c r="Q213" s="89" t="n"/>
      <c r="R213" s="89">
        <f>ROUND(SUM(F213:Q213),2)</f>
        <v/>
      </c>
    </row>
    <row r="214" s="83">
      <c r="E214" s="5" t="inlineStr">
        <is>
          <t>非业务类</t>
        </is>
      </c>
      <c r="F214" s="89">
        <f>F7+F8+F9+F10+F11+F15+F18</f>
        <v/>
      </c>
      <c r="G214" s="89">
        <f>G7+G8+G9+G10+G11+G15+G18</f>
        <v/>
      </c>
      <c r="H214" s="89">
        <f>H7+H8+H9+H10+H11+H15+H18</f>
        <v/>
      </c>
      <c r="I214" s="89">
        <f>I7+I8+I9+I10+I11+I15+I18</f>
        <v/>
      </c>
      <c r="J214" s="89">
        <f>J7+J8+J9+J10+J11+J15+J18</f>
        <v/>
      </c>
      <c r="K214" s="89">
        <f>K7+K8+K9+K10+K11+K15+K18</f>
        <v/>
      </c>
      <c r="L214" s="89">
        <f>L7+L8+L9+L10+L11+L15+L18</f>
        <v/>
      </c>
      <c r="M214" s="89">
        <f>M7+M8+M9+M10+M11+M15+M18</f>
        <v/>
      </c>
      <c r="N214" s="89">
        <f>N7+N8+N9+N10+N11+N15+N18</f>
        <v/>
      </c>
      <c r="O214" s="89">
        <f>O7+O8+O9+O10+O11+O15+O18</f>
        <v/>
      </c>
      <c r="P214" s="89">
        <f>P7+P8+P9+P10+P11+P15+P18</f>
        <v/>
      </c>
      <c r="Q214" s="89">
        <f>Q7+Q8+Q9+Q10+Q11+Q15+Q18</f>
        <v/>
      </c>
      <c r="R214" s="89">
        <f>ROUND(SUM(F214:Q214),2)</f>
        <v/>
      </c>
    </row>
    <row r="215" s="83">
      <c r="E215" s="34" t="inlineStr">
        <is>
          <t>支出</t>
        </is>
      </c>
      <c r="G215" s="89" t="n"/>
      <c r="H215" s="89" t="n"/>
      <c r="I215" s="89" t="n"/>
      <c r="J215" s="89" t="n"/>
      <c r="K215" s="89" t="n"/>
      <c r="L215" s="89" t="n"/>
      <c r="O215" s="89" t="n"/>
      <c r="P215" s="89" t="n"/>
      <c r="Q215" s="89" t="n"/>
      <c r="R215" s="89" t="n"/>
    </row>
    <row r="216" s="83">
      <c r="E216" s="65" t="inlineStr">
        <is>
          <t>学习机销售业务</t>
        </is>
      </c>
      <c r="F216" s="89">
        <f>F35+F50+F63+F98+F137+F162</f>
        <v/>
      </c>
      <c r="G216" s="89">
        <f>G35+G50+G63+G98+G137+G162</f>
        <v/>
      </c>
      <c r="H216" s="89">
        <f>H35+H50+H63+H98+H137+H162</f>
        <v/>
      </c>
      <c r="I216" s="89">
        <f>I35+I50+I63+I98+I137+I162</f>
        <v/>
      </c>
      <c r="J216" s="89">
        <f>J35+J50+J63+J98+J137+J162</f>
        <v/>
      </c>
      <c r="K216" s="89">
        <f>K35+K50+K63+K98+K137+K162</f>
        <v/>
      </c>
      <c r="L216" s="89">
        <f>L35+L50+L63+L98+L137+L162</f>
        <v/>
      </c>
      <c r="M216" s="89">
        <f>M35+M50+M63+M98+M137+M162</f>
        <v/>
      </c>
      <c r="N216" s="89">
        <f>N35+N50+N63+N98+N137+N162</f>
        <v/>
      </c>
      <c r="O216" s="89">
        <f>O35+O50+O63+O98+O137+O162</f>
        <v/>
      </c>
      <c r="P216" s="89">
        <f>P35+P50+P63+P98+P137+P162</f>
        <v/>
      </c>
      <c r="Q216" s="89">
        <f>Q35+Q50+Q63+Q98+Q137+Q162</f>
        <v/>
      </c>
      <c r="R216" s="89">
        <f>ROUND(SUM(F216:Q216),2)</f>
        <v/>
      </c>
    </row>
    <row r="217" s="83">
      <c r="E217" s="5" t="inlineStr">
        <is>
          <t>硬件采购</t>
        </is>
      </c>
      <c r="F217" s="89">
        <f>F50</f>
        <v/>
      </c>
      <c r="G217" s="89">
        <f>G50</f>
        <v/>
      </c>
      <c r="H217" s="89">
        <f>H50</f>
        <v/>
      </c>
      <c r="I217" s="89">
        <f>I50</f>
        <v/>
      </c>
      <c r="J217" s="89">
        <f>J50</f>
        <v/>
      </c>
      <c r="K217" s="89">
        <f>K50</f>
        <v/>
      </c>
      <c r="L217" s="89">
        <f>L50</f>
        <v/>
      </c>
      <c r="O217" s="89" t="n"/>
      <c r="P217" s="89" t="n"/>
      <c r="Q217" s="89" t="n"/>
      <c r="R217" s="89">
        <f>ROUND(SUM(F217:Q217),2)</f>
        <v/>
      </c>
    </row>
    <row r="218" s="83">
      <c r="E218" s="5" t="inlineStr">
        <is>
          <t>硬件研发</t>
        </is>
      </c>
      <c r="F218" s="89">
        <f>SUM(F70:F86)</f>
        <v/>
      </c>
      <c r="G218" s="89">
        <f>SUM(G70:G86)</f>
        <v/>
      </c>
      <c r="H218" s="89">
        <f>SUM(H70:H86)</f>
        <v/>
      </c>
      <c r="I218" s="89">
        <f>SUM(I70:I86)</f>
        <v/>
      </c>
      <c r="J218" s="89">
        <f>SUM(J70:J86)</f>
        <v/>
      </c>
      <c r="K218" s="89">
        <f>SUM(K70:K86)</f>
        <v/>
      </c>
      <c r="L218" s="89">
        <f>SUM(L70:L86)</f>
        <v/>
      </c>
      <c r="O218" s="89" t="n"/>
      <c r="P218" s="89" t="n"/>
      <c r="Q218" s="89" t="n"/>
      <c r="R218" s="89">
        <f>ROUND(SUM(F218:Q218),2)</f>
        <v/>
      </c>
    </row>
    <row r="219" s="83">
      <c r="E219" s="5" t="inlineStr">
        <is>
          <t>软件研发</t>
        </is>
      </c>
      <c r="F219" s="89">
        <f>SUM(F87:F97)</f>
        <v/>
      </c>
      <c r="G219" s="89">
        <f>SUM(G87:G97)</f>
        <v/>
      </c>
      <c r="H219" s="89">
        <f>SUM(H87:H97)</f>
        <v/>
      </c>
      <c r="I219" s="89">
        <f>SUM(I87:I97)</f>
        <v/>
      </c>
      <c r="J219" s="89">
        <f>SUM(J87:J97)</f>
        <v/>
      </c>
      <c r="K219" s="89">
        <f>SUM(K87:K97)</f>
        <v/>
      </c>
      <c r="L219" s="89">
        <f>SUM(L87:L97)</f>
        <v/>
      </c>
      <c r="O219" s="89" t="n"/>
      <c r="P219" s="89" t="n"/>
      <c r="Q219" s="89" t="n"/>
      <c r="R219" s="89">
        <f>ROUND(SUM(F219:Q219),2)</f>
        <v/>
      </c>
    </row>
    <row r="220" s="83">
      <c r="E220" s="5" t="inlineStr">
        <is>
          <t>营销支出</t>
        </is>
      </c>
      <c r="F220" s="89">
        <f>F137</f>
        <v/>
      </c>
      <c r="G220" s="89">
        <f>G137</f>
        <v/>
      </c>
      <c r="H220" s="89">
        <f>H137</f>
        <v/>
      </c>
      <c r="I220" s="89">
        <f>I137</f>
        <v/>
      </c>
      <c r="J220" s="89">
        <f>J137</f>
        <v/>
      </c>
      <c r="K220" s="89">
        <f>K137</f>
        <v/>
      </c>
      <c r="L220" s="89">
        <f>L137</f>
        <v/>
      </c>
      <c r="O220" s="89" t="n"/>
      <c r="P220" s="89" t="n"/>
      <c r="Q220" s="89" t="n"/>
      <c r="R220" s="89">
        <f>ROUND(SUM(F220:Q220),2)</f>
        <v/>
      </c>
    </row>
    <row r="221" s="83">
      <c r="E221" s="5" t="inlineStr">
        <is>
          <t>人工成本</t>
        </is>
      </c>
      <c r="F221" s="89">
        <f>F35</f>
        <v/>
      </c>
      <c r="G221" s="89">
        <f>G35</f>
        <v/>
      </c>
      <c r="H221" s="89">
        <f>H35</f>
        <v/>
      </c>
      <c r="I221" s="89">
        <f>I35</f>
        <v/>
      </c>
      <c r="J221" s="89">
        <f>J35</f>
        <v/>
      </c>
      <c r="K221" s="89">
        <f>K35</f>
        <v/>
      </c>
      <c r="L221" s="89">
        <f>L35</f>
        <v/>
      </c>
      <c r="O221" s="89" t="n"/>
      <c r="P221" s="89" t="n"/>
      <c r="Q221" s="89" t="n"/>
      <c r="R221" s="89">
        <f>ROUND(SUM(F221:Q221),2)</f>
        <v/>
      </c>
    </row>
    <row r="222" s="83">
      <c r="E222" s="5" t="inlineStr">
        <is>
          <t>其他经营支出</t>
        </is>
      </c>
      <c r="F222" s="89">
        <f>F63+F162</f>
        <v/>
      </c>
      <c r="G222" s="89">
        <f>G63+G162</f>
        <v/>
      </c>
      <c r="H222" s="89">
        <f>H63+H162</f>
        <v/>
      </c>
      <c r="I222" s="89">
        <f>I63+I162</f>
        <v/>
      </c>
      <c r="J222" s="89">
        <f>J63+J162</f>
        <v/>
      </c>
      <c r="K222" s="89">
        <f>K63+K162</f>
        <v/>
      </c>
      <c r="L222" s="89">
        <f>L63+L162</f>
        <v/>
      </c>
      <c r="O222" s="89" t="n"/>
      <c r="P222" s="89" t="n"/>
      <c r="Q222" s="89" t="n"/>
      <c r="R222" s="89">
        <f>ROUND(SUM(F222:Q222),2)</f>
        <v/>
      </c>
    </row>
    <row r="223" s="83">
      <c r="E223" s="65" t="inlineStr">
        <is>
          <t>自习室业务</t>
        </is>
      </c>
      <c r="G223" s="89" t="n"/>
      <c r="H223" s="89" t="n"/>
      <c r="I223" s="89" t="n"/>
      <c r="J223" s="89" t="n"/>
      <c r="K223" s="89" t="n"/>
      <c r="L223" s="89" t="n"/>
      <c r="O223" s="89" t="n"/>
      <c r="P223" s="89" t="n"/>
      <c r="Q223" s="89" t="n"/>
      <c r="R223" s="89">
        <f>ROUND(SUM(F223:Q223),2)</f>
        <v/>
      </c>
    </row>
    <row r="224" s="83">
      <c r="E224" s="65" t="inlineStr">
        <is>
          <t>非业务类</t>
        </is>
      </c>
      <c r="F224" s="89">
        <f>F22+F24+F167+F173</f>
        <v/>
      </c>
      <c r="G224" s="89">
        <f>G22+G24+G167+G173</f>
        <v/>
      </c>
      <c r="H224" s="89">
        <f>H22+H24+H167+H173</f>
        <v/>
      </c>
      <c r="I224" s="89">
        <f>I22+I24+I167+I173</f>
        <v/>
      </c>
      <c r="J224" s="89">
        <f>J22+J24+J167+J173</f>
        <v/>
      </c>
      <c r="K224" s="89">
        <f>K22+K24+K167+K173</f>
        <v/>
      </c>
      <c r="L224" s="89">
        <f>L22+L24+L167+L173</f>
        <v/>
      </c>
      <c r="M224" s="89">
        <f>M22+M24+M167+M173</f>
        <v/>
      </c>
      <c r="N224" s="89">
        <f>N22+N24+N167+N173</f>
        <v/>
      </c>
      <c r="O224" s="89">
        <f>O22+O24+O167+O173</f>
        <v/>
      </c>
      <c r="P224" s="89">
        <f>P22+P24+P167+P173</f>
        <v/>
      </c>
      <c r="Q224" s="89">
        <f>Q22+Q24+Q167+Q173</f>
        <v/>
      </c>
      <c r="R224" s="89">
        <f>ROUND(SUM(F224:Q224),2)</f>
        <v/>
      </c>
    </row>
    <row r="225" s="83">
      <c r="F225" s="64" t="n"/>
      <c r="G225" s="64" t="n"/>
      <c r="H225" s="64" t="n"/>
      <c r="I225" s="64" t="n"/>
      <c r="J225" s="64" t="n"/>
      <c r="K225" s="64" t="n"/>
    </row>
    <row r="226" s="83">
      <c r="F226" s="57" t="n"/>
      <c r="G226" s="57" t="n"/>
      <c r="H226" s="57" t="n"/>
      <c r="I226" s="57" t="n"/>
      <c r="J226" s="57" t="n"/>
      <c r="K226" s="57" t="n"/>
      <c r="L226" s="57" t="n"/>
    </row>
    <row r="227" s="83">
      <c r="F227" s="64" t="n"/>
      <c r="G227" s="64" t="n"/>
      <c r="H227" s="64" t="n"/>
      <c r="I227" s="64" t="n"/>
      <c r="J227" s="64" t="n"/>
      <c r="K227" s="64" t="n"/>
    </row>
    <row r="228" s="83">
      <c r="F228" s="64" t="n"/>
      <c r="G228" s="64" t="n"/>
      <c r="H228" s="64" t="n"/>
      <c r="I228" s="64" t="n"/>
      <c r="J228" s="64" t="n"/>
      <c r="K228" s="64" t="n"/>
    </row>
    <row r="229" s="83">
      <c r="G229" s="89" t="n"/>
      <c r="H229" s="89" t="n"/>
      <c r="I229" s="89" t="n"/>
      <c r="J229" s="89" t="n"/>
    </row>
    <row r="230" s="83">
      <c r="G230" s="89" t="n"/>
      <c r="H230" s="89" t="n"/>
      <c r="I230" s="89" t="n"/>
      <c r="J230" s="89" t="n"/>
    </row>
    <row r="232" s="83">
      <c r="G232" s="89" t="n"/>
      <c r="H232" s="89" t="n"/>
      <c r="I232" s="89" t="n"/>
      <c r="J232" s="89" t="n"/>
    </row>
    <row r="233" s="83">
      <c r="G233" s="89" t="n"/>
      <c r="H233" s="89" t="n"/>
      <c r="I233" s="89" t="n"/>
      <c r="J233" s="89" t="n"/>
    </row>
    <row r="234" s="83">
      <c r="G234" s="89" t="n"/>
      <c r="H234" s="89" t="n"/>
      <c r="I234" s="89" t="n"/>
      <c r="J234" s="89" t="n"/>
    </row>
    <row r="235" s="83">
      <c r="G235" s="89" t="n"/>
      <c r="H235" s="89" t="n"/>
      <c r="I235" s="89" t="n"/>
      <c r="J235" s="89" t="n"/>
    </row>
    <row r="236" s="83">
      <c r="G236" s="89" t="n"/>
      <c r="H236" s="89" t="n"/>
      <c r="I236" s="89" t="n"/>
      <c r="J236" s="89" t="n"/>
    </row>
    <row r="237" s="83">
      <c r="G237" s="89" t="n"/>
      <c r="H237" s="89" t="n"/>
      <c r="I237" s="89" t="n"/>
      <c r="J237" s="89" t="n"/>
    </row>
    <row r="238" s="83">
      <c r="G238" s="89" t="n"/>
      <c r="H238" s="89" t="n"/>
      <c r="I238" s="89" t="n"/>
      <c r="J238" s="89" t="n"/>
    </row>
    <row r="239" s="83">
      <c r="G239" s="89" t="n"/>
      <c r="H239" s="89" t="n"/>
      <c r="I239" s="89" t="n"/>
      <c r="J239" s="89" t="n"/>
    </row>
    <row r="240" s="83">
      <c r="G240" s="89" t="n"/>
      <c r="H240" s="89" t="n"/>
      <c r="I240" s="89" t="n"/>
      <c r="J240" s="89" t="n"/>
    </row>
    <row r="241" s="83">
      <c r="G241" s="89" t="n"/>
      <c r="H241" s="89" t="n"/>
      <c r="I241" s="89" t="n"/>
      <c r="J241" s="89" t="n"/>
    </row>
    <row r="242" s="83">
      <c r="G242" s="89" t="n"/>
      <c r="H242" s="89" t="n"/>
      <c r="I242" s="89" t="n"/>
      <c r="J242" s="89" t="n"/>
    </row>
    <row r="243" s="83">
      <c r="G243" s="89" t="n"/>
      <c r="H243" s="89" t="n"/>
      <c r="I243" s="89" t="n"/>
      <c r="J243" s="89" t="n"/>
    </row>
    <row r="244" s="83">
      <c r="G244" s="89" t="n"/>
      <c r="H244" s="89" t="n"/>
      <c r="I244" s="89" t="n"/>
      <c r="J244" s="89" t="n"/>
    </row>
    <row r="245" s="83">
      <c r="F245" s="64" t="n"/>
      <c r="G245" s="64" t="n"/>
      <c r="H245" s="64" t="n"/>
      <c r="I245" s="64" t="n"/>
      <c r="J245" s="64" t="n"/>
      <c r="K245" s="64" t="n"/>
      <c r="L245" s="64" t="n"/>
    </row>
    <row r="246" s="83">
      <c r="F246" s="64" t="n"/>
      <c r="G246" s="64" t="n"/>
      <c r="H246" s="64" t="n"/>
      <c r="I246" s="64" t="n"/>
      <c r="J246" s="64" t="n"/>
      <c r="K246" s="64" t="n"/>
      <c r="L246" s="64" t="n"/>
    </row>
    <row r="248" s="83">
      <c r="F248" s="89">
        <f>SUM(F42:F47)</f>
        <v/>
      </c>
      <c r="G248" s="89">
        <f>SUM(G42:G47)</f>
        <v/>
      </c>
      <c r="H248" s="89">
        <f>SUM(H42:H47)</f>
        <v/>
      </c>
      <c r="I248" s="89">
        <f>SUM(I42:I47)</f>
        <v/>
      </c>
      <c r="J248" s="89">
        <f>SUM(J42:J47)</f>
        <v/>
      </c>
      <c r="K248" s="89">
        <f>SUM(K42:K47)</f>
        <v/>
      </c>
      <c r="L248" s="89">
        <f>SUM(L42:L47)</f>
        <v/>
      </c>
      <c r="M248" s="89">
        <f>AVERAGE(F248:L248)</f>
        <v/>
      </c>
    </row>
    <row r="249" s="83">
      <c r="F249" s="89">
        <f>SUM(F48:F49)</f>
        <v/>
      </c>
      <c r="G249" s="89">
        <f>SUM(G48:G49)</f>
        <v/>
      </c>
      <c r="H249" s="89">
        <f>SUM(H48:H49)</f>
        <v/>
      </c>
      <c r="I249" s="89">
        <f>SUM(I48:I49)</f>
        <v/>
      </c>
      <c r="J249" s="89">
        <f>SUM(J48:J49)</f>
        <v/>
      </c>
      <c r="K249" s="89">
        <f>SUM(K48:K49)</f>
        <v/>
      </c>
      <c r="L249" s="89">
        <f>SUM(L48:L49)</f>
        <v/>
      </c>
      <c r="M249" s="89">
        <f>AVERAGE(F249:L249)</f>
        <v/>
      </c>
    </row>
    <row r="250" s="83">
      <c r="F250" s="89">
        <f>SUM(F138:F144)</f>
        <v/>
      </c>
      <c r="G250" s="89">
        <f>SUM(G138:G144)</f>
        <v/>
      </c>
      <c r="H250" s="89">
        <f>SUM(H138:H144)</f>
        <v/>
      </c>
      <c r="I250" s="89">
        <f>SUM(I138:I144)</f>
        <v/>
      </c>
      <c r="J250" s="89">
        <f>SUM(J138:J144)</f>
        <v/>
      </c>
      <c r="K250" s="89">
        <f>SUM(K138:K144)</f>
        <v/>
      </c>
      <c r="L250" s="89">
        <f>SUM(L138:L144)</f>
        <v/>
      </c>
      <c r="M250" s="89">
        <f>AVERAGE(F250:L250)</f>
        <v/>
      </c>
    </row>
  </sheetData>
  <autoFilter ref="A2:R182"/>
  <mergeCells count="30">
    <mergeCell ref="C20:C21"/>
    <mergeCell ref="C131:C133"/>
    <mergeCell ref="C116:C119"/>
    <mergeCell ref="C85:C86"/>
    <mergeCell ref="C134:C135"/>
    <mergeCell ref="C16:C17"/>
    <mergeCell ref="C42:C47"/>
    <mergeCell ref="C78:C84"/>
    <mergeCell ref="C120:C128"/>
    <mergeCell ref="C129:C130"/>
    <mergeCell ref="C111:C115"/>
    <mergeCell ref="C153:C161"/>
    <mergeCell ref="C163:C166"/>
    <mergeCell ref="C87:C93"/>
    <mergeCell ref="C105:C110"/>
    <mergeCell ref="C25:C34"/>
    <mergeCell ref="C99:C104"/>
    <mergeCell ref="C7:C8"/>
    <mergeCell ref="C94:C96"/>
    <mergeCell ref="C36:C41"/>
    <mergeCell ref="C48:C49"/>
    <mergeCell ref="C13:C14"/>
    <mergeCell ref="C70:C77"/>
    <mergeCell ref="C64:C68"/>
    <mergeCell ref="C146:C152"/>
    <mergeCell ref="C138:C145"/>
    <mergeCell ref="C3:C6"/>
    <mergeCell ref="C51:C62"/>
    <mergeCell ref="C168:C172"/>
    <mergeCell ref="C9:C11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R181"/>
  <sheetViews>
    <sheetView zoomScale="90" zoomScaleNormal="90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H27" sqref="H27"/>
    </sheetView>
  </sheetViews>
  <sheetFormatPr baseColWidth="8" defaultColWidth="8.838461538461541" defaultRowHeight="16.05" customHeight="1"/>
  <cols>
    <col width="10.3384615384615" customWidth="1" style="5" min="1" max="1"/>
    <col width="11.9615384615385" customWidth="1" style="6" min="2" max="2"/>
    <col width="10.8307692307692" customWidth="1" style="6" min="3" max="3"/>
    <col width="15.2153846153846" customWidth="1" style="5" min="4" max="4"/>
    <col width="10.5076923076923" customWidth="1" style="5" min="5" max="5"/>
    <col width="17.8384615384615" customWidth="1" style="89" min="6" max="17"/>
    <col width="17.8384615384615" customWidth="1" style="5" min="18" max="18"/>
    <col width="8.838461538461541" customWidth="1" style="5" min="19" max="40"/>
  </cols>
  <sheetData>
    <row r="1" s="83">
      <c r="A1" s="6" t="inlineStr">
        <is>
          <t>公司：浙江精准学</t>
        </is>
      </c>
    </row>
    <row r="2" customFormat="1" s="34">
      <c r="A2" s="34" t="inlineStr">
        <is>
          <t>一级</t>
        </is>
      </c>
      <c r="B2" s="34" t="inlineStr">
        <is>
          <t>二级</t>
        </is>
      </c>
      <c r="C2" s="34" t="inlineStr">
        <is>
          <t>二级</t>
        </is>
      </c>
      <c r="D2" s="34" t="inlineStr">
        <is>
          <t>三级</t>
        </is>
      </c>
      <c r="E2" s="34" t="inlineStr">
        <is>
          <t>三级科目对应编码</t>
        </is>
      </c>
      <c r="F2" s="91" t="inlineStr">
        <is>
          <t>1月</t>
        </is>
      </c>
      <c r="G2" s="91" t="inlineStr">
        <is>
          <t>2月</t>
        </is>
      </c>
      <c r="H2" s="91" t="inlineStr">
        <is>
          <t>3月</t>
        </is>
      </c>
      <c r="I2" s="91" t="inlineStr">
        <is>
          <t>4月</t>
        </is>
      </c>
      <c r="J2" s="91" t="inlineStr">
        <is>
          <t>5月</t>
        </is>
      </c>
      <c r="K2" s="91" t="inlineStr">
        <is>
          <t>6月</t>
        </is>
      </c>
      <c r="L2" s="91" t="inlineStr">
        <is>
          <t>7月</t>
        </is>
      </c>
      <c r="M2" s="91" t="inlineStr">
        <is>
          <t>8月</t>
        </is>
      </c>
      <c r="N2" s="91" t="inlineStr">
        <is>
          <t>9月</t>
        </is>
      </c>
      <c r="O2" s="91" t="inlineStr">
        <is>
          <t>10月</t>
        </is>
      </c>
      <c r="P2" s="91" t="inlineStr">
        <is>
          <t>11月</t>
        </is>
      </c>
      <c r="Q2" s="91" t="inlineStr">
        <is>
          <t>12月</t>
        </is>
      </c>
      <c r="R2" s="34" t="inlineStr">
        <is>
          <t>本年合计</t>
        </is>
      </c>
    </row>
    <row r="3" s="83">
      <c r="A3" s="5" t="inlineStr">
        <is>
          <t>收入</t>
        </is>
      </c>
      <c r="B3" s="6" t="inlineStr">
        <is>
          <t>业务收入</t>
        </is>
      </c>
      <c r="C3" s="6" t="inlineStr">
        <is>
          <t>业务收入</t>
        </is>
      </c>
      <c r="D3" s="6" t="inlineStr">
        <is>
          <t>平台硬件销售收入</t>
        </is>
      </c>
      <c r="E3" s="6" t="inlineStr">
        <is>
          <t>Q0101</t>
        </is>
      </c>
      <c r="F3" s="89">
        <f>SUMIFS('1月数据源'!I:I,'1月数据源'!D:D,E3,'1月数据源'!F:F,"浙江精准学科技有限公司")-SUMIFS('1月数据源'!J:J,'1月数据源'!D:D,E3,'1月数据源'!F:F,"浙江精准学科技有限公司")</f>
        <v/>
      </c>
      <c r="G3" s="89">
        <f>SUMIFS('2月数据源'!I:I,'2月数据源'!D:D,E3,'2月数据源'!F:F,"浙江精准学科技有限公司")-SUMIFS('2月数据源'!J:J,'2月数据源'!D:D,E3,'2月数据源'!F:F,"浙江精准学科技有限公司")</f>
        <v/>
      </c>
      <c r="H3" s="89">
        <f>SUMIFS('3月数据源'!I:I,'3月数据源'!D:D,E3,'3月数据源'!F:F,"浙江精准学科技有限公司")-SUMIFS('3月数据源'!J:J,'3月数据源'!D:D,E3,'3月数据源'!F:F,"浙江精准学科技有限公司")</f>
        <v/>
      </c>
      <c r="I3" s="89">
        <f>SUMIFS('4月数据源'!I:I,'4月数据源'!D:D,E3,'4月数据源'!F:F,"浙江精准学科技有限公司")-SUMIFS('4月数据源'!J:J,'4月数据源'!D:D,E3,'4月数据源'!F:F,"浙江精准学科技有限公司")</f>
        <v/>
      </c>
      <c r="J3" s="89">
        <f>SUMIFS('5月数据源'!I:I,'5月数据源'!D:D,E3,'5月数据源'!F:F,"浙江精准学科技有限公司")-SUMIFS('5月数据源'!J:J,'5月数据源'!D:D,E3,'5月数据源'!F:F,"浙江精准学科技有限公司")</f>
        <v/>
      </c>
      <c r="K3" s="89">
        <f>SUMIFS('6月数据源'!$I:$I,'6月数据源'!$D:$D,$E3,'6月数据源'!$F:$F,"浙江精准学科技有限公司")-SUMIFS('6月数据源'!$J:$J,'6月数据源'!$D:$D,$E3,'6月数据源'!$F:$F,"浙江精准学科技有限公司")</f>
        <v/>
      </c>
      <c r="L3" s="89">
        <f>SUMIFS('7月数据源'!$I:$I,'7月数据源'!$D:$D,$E3,'7月数据源'!$F:$F,"浙江精准学科技有限公司")-SUMIFS('7月数据源'!$J:$J,'7月数据源'!$D:$D,$E3,'7月数据源'!$F:$F,"浙江精准学科技有限公司")</f>
        <v/>
      </c>
      <c r="M3" s="89">
        <f>SUMIFS('8月数据源'!$I:$I,'8月数据源'!$D:$D,$E3,'8月数据源'!$F:$F,"浙江精准学科技有限公司")-SUMIFS('8月数据源'!$J:$J,'8月数据源'!$D:$D,$E3,'8月数据源'!$F:$F,"浙江精准学科技有限公司")</f>
        <v/>
      </c>
      <c r="N3" s="89">
        <f>SUMIFS('9月数据源'!$I:$I,'9月数据源'!$D:$D,$E3,'9月数据源'!$F:$F,"浙江精准学科技有限公司")-SUMIFS('9月数据源'!$J:$J,'9月数据源'!$D:$D,$E3,'9月数据源'!$F:$F,"浙江精准学科技有限公司")</f>
        <v/>
      </c>
      <c r="O3" s="89">
        <f>SUMIFS('10月数据源'!$I:$I,'10月数据源'!$D:$D,$E3,'10月数据源'!$F:$F,"浙江精准学科技有限公司")-SUMIFS('10月数据源'!$J:$J,'10月数据源'!$D:$D,$E3,'10月数据源'!$F:$F,"浙江精准学科技有限公司")</f>
        <v/>
      </c>
      <c r="P3" s="89">
        <f>SUMIFS('11月数据源'!$I:$I,'11月数据源'!$D:$D,$E3,'11月数据源'!$F:$F,"浙江精准学科技有限公司")-SUMIFS('11月数据源'!$J:$J,'11月数据源'!$D:$D,$E3,'11月数据源'!$F:$F,"浙江精准学科技有限公司")</f>
        <v/>
      </c>
      <c r="Q3" s="89">
        <f>SUMIFS('12月数据源'!$I:$I,'12月数据源'!$D:$D,$E3,'12月数据源'!$F:$F,"浙江精准学科技有限公司")-SUMIFS('12月数据源'!$J:$J,'12月数据源'!$D:$D,$E3,'12月数据源'!$F:$F,"浙江精准学科技有限公司")</f>
        <v/>
      </c>
    </row>
    <row r="4" s="83">
      <c r="A4" s="5" t="inlineStr">
        <is>
          <t>收入</t>
        </is>
      </c>
      <c r="B4" s="6" t="inlineStr">
        <is>
          <t>业务收入</t>
        </is>
      </c>
      <c r="D4" s="6" t="inlineStr">
        <is>
          <t>服务收款</t>
        </is>
      </c>
      <c r="E4" s="6" t="inlineStr">
        <is>
          <t>Q0102</t>
        </is>
      </c>
      <c r="F4" s="89">
        <f>SUMIFS('1月数据源'!I:I,'1月数据源'!D:D,E4,'1月数据源'!F:F,"浙江精准学科技有限公司")-SUMIFS('1月数据源'!J:J,'1月数据源'!D:D,E4,'1月数据源'!F:F,"浙江精准学科技有限公司")</f>
        <v/>
      </c>
      <c r="G4" s="89">
        <f>SUMIFS('2月数据源'!I:I,'2月数据源'!D:D,E4,'2月数据源'!F:F,"浙江精准学科技有限公司")-SUMIFS('2月数据源'!J:J,'2月数据源'!D:D,E4,'2月数据源'!F:F,"浙江精准学科技有限公司")</f>
        <v/>
      </c>
      <c r="H4" s="89">
        <f>SUMIFS('3月数据源'!I:I,'3月数据源'!D:D,E4,'3月数据源'!F:F,"浙江精准学科技有限公司")-SUMIFS('3月数据源'!J:J,'3月数据源'!D:D,E4,'3月数据源'!F:F,"浙江精准学科技有限公司")</f>
        <v/>
      </c>
      <c r="I4" s="89">
        <f>SUMIFS('4月数据源'!I:I,'4月数据源'!D:D,E4,'4月数据源'!F:F,"浙江精准学科技有限公司")-SUMIFS('4月数据源'!J:J,'4月数据源'!D:D,E4,'4月数据源'!F:F,"浙江精准学科技有限公司")</f>
        <v/>
      </c>
      <c r="J4" s="89">
        <f>SUMIFS('5月数据源'!I:I,'5月数据源'!D:D,E4,'5月数据源'!F:F,"浙江精准学科技有限公司")-SUMIFS('5月数据源'!J:J,'5月数据源'!D:D,E4,'5月数据源'!F:F,"浙江精准学科技有限公司")</f>
        <v/>
      </c>
      <c r="K4" s="89">
        <f>SUMIFS('6月数据源'!$I:$I,'6月数据源'!$D:$D,$E4,'6月数据源'!$F:$F,"浙江精准学科技有限公司")-SUMIFS('6月数据源'!$J:$J,'6月数据源'!$D:$D,$E4,'6月数据源'!$F:$F,"浙江精准学科技有限公司")</f>
        <v/>
      </c>
      <c r="L4" s="89">
        <f>SUMIFS('7月数据源'!$I:$I,'7月数据源'!$D:$D,$E4,'7月数据源'!$F:$F,"浙江精准学科技有限公司")-SUMIFS('7月数据源'!$J:$J,'7月数据源'!$D:$D,$E4,'7月数据源'!$F:$F,"浙江精准学科技有限公司")</f>
        <v/>
      </c>
      <c r="M4" s="89">
        <f>SUMIFS('8月数据源'!$I:$I,'8月数据源'!$D:$D,$E4,'8月数据源'!$F:$F,"浙江精准学科技有限公司")-SUMIFS('8月数据源'!$J:$J,'8月数据源'!$D:$D,$E4,'8月数据源'!$F:$F,"浙江精准学科技有限公司")</f>
        <v/>
      </c>
      <c r="N4" s="89">
        <f>SUMIFS('9月数据源'!$I:$I,'9月数据源'!$D:$D,$E4,'9月数据源'!$F:$F,"浙江精准学科技有限公司")-SUMIFS('9月数据源'!$J:$J,'9月数据源'!$D:$D,$E4,'9月数据源'!$F:$F,"浙江精准学科技有限公司")</f>
        <v/>
      </c>
      <c r="O4" s="89">
        <f>SUMIFS('10月数据源'!$I:$I,'10月数据源'!$D:$D,$E4,'10月数据源'!$F:$F,"浙江精准学科技有限公司")-SUMIFS('10月数据源'!$J:$J,'10月数据源'!$D:$D,$E4,'10月数据源'!$F:$F,"浙江精准学科技有限公司")</f>
        <v/>
      </c>
      <c r="P4" s="89">
        <f>SUMIFS('11月数据源'!$I:$I,'11月数据源'!$D:$D,$E4,'11月数据源'!$F:$F,"浙江精准学科技有限公司")-SUMIFS('11月数据源'!$J:$J,'11月数据源'!$D:$D,$E4,'11月数据源'!$F:$F,"浙江精准学科技有限公司")</f>
        <v/>
      </c>
      <c r="Q4" s="89">
        <f>SUMIFS('12月数据源'!$I:$I,'12月数据源'!$D:$D,$E4,'12月数据源'!$F:$F,"浙江精准学科技有限公司")-SUMIFS('12月数据源'!$J:$J,'12月数据源'!$D:$D,$E4,'12月数据源'!$F:$F,"浙江精准学科技有限公司")</f>
        <v/>
      </c>
    </row>
    <row r="5" s="83">
      <c r="A5" s="5" t="inlineStr">
        <is>
          <t>收入</t>
        </is>
      </c>
      <c r="B5" s="6" t="inlineStr">
        <is>
          <t>业务收入</t>
        </is>
      </c>
      <c r="D5" s="6" t="inlineStr">
        <is>
          <t>平台补贴收入</t>
        </is>
      </c>
      <c r="E5" s="6" t="inlineStr">
        <is>
          <t>Q0103</t>
        </is>
      </c>
      <c r="F5" s="89">
        <f>SUMIFS('1月数据源'!I:I,'1月数据源'!D:D,E5,'1月数据源'!F:F,"浙江精准学科技有限公司")-SUMIFS('1月数据源'!J:J,'1月数据源'!D:D,E5,'1月数据源'!F:F,"浙江精准学科技有限公司")</f>
        <v/>
      </c>
      <c r="G5" s="89">
        <f>SUMIFS('2月数据源'!I:I,'2月数据源'!D:D,E5,'2月数据源'!F:F,"浙江精准学科技有限公司")-SUMIFS('2月数据源'!J:J,'2月数据源'!D:D,E5,'2月数据源'!F:F,"浙江精准学科技有限公司")</f>
        <v/>
      </c>
      <c r="H5" s="89">
        <f>SUMIFS('3月数据源'!I:I,'3月数据源'!D:D,E5,'3月数据源'!F:F,"浙江精准学科技有限公司")-SUMIFS('3月数据源'!J:J,'3月数据源'!D:D,E5,'3月数据源'!F:F,"浙江精准学科技有限公司")</f>
        <v/>
      </c>
      <c r="I5" s="89">
        <f>SUMIFS('4月数据源'!I:I,'4月数据源'!D:D,E5,'4月数据源'!F:F,"浙江精准学科技有限公司")-SUMIFS('4月数据源'!J:J,'4月数据源'!D:D,E5,'4月数据源'!F:F,"浙江精准学科技有限公司")</f>
        <v/>
      </c>
      <c r="J5" s="89">
        <f>SUMIFS('5月数据源'!I:I,'5月数据源'!D:D,E5,'5月数据源'!F:F,"浙江精准学科技有限公司")-SUMIFS('5月数据源'!J:J,'5月数据源'!D:D,E5,'5月数据源'!F:F,"浙江精准学科技有限公司")</f>
        <v/>
      </c>
      <c r="K5" s="89">
        <f>SUMIFS('6月数据源'!$I:$I,'6月数据源'!$D:$D,$E5,'6月数据源'!$F:$F,"浙江精准学科技有限公司")-SUMIFS('6月数据源'!$J:$J,'6月数据源'!$D:$D,$E5,'6月数据源'!$F:$F,"浙江精准学科技有限公司")</f>
        <v/>
      </c>
      <c r="L5" s="89">
        <f>SUMIFS('7月数据源'!$I:$I,'7月数据源'!$D:$D,$E5,'7月数据源'!$F:$F,"浙江精准学科技有限公司")-SUMIFS('7月数据源'!$J:$J,'7月数据源'!$D:$D,$E5,'7月数据源'!$F:$F,"浙江精准学科技有限公司")</f>
        <v/>
      </c>
      <c r="M5" s="89">
        <f>SUMIFS('8月数据源'!$I:$I,'8月数据源'!$D:$D,$E5,'8月数据源'!$F:$F,"浙江精准学科技有限公司")-SUMIFS('8月数据源'!$J:$J,'8月数据源'!$D:$D,$E5,'8月数据源'!$F:$F,"浙江精准学科技有限公司")</f>
        <v/>
      </c>
      <c r="N5" s="89">
        <f>SUMIFS('9月数据源'!$I:$I,'9月数据源'!$D:$D,$E5,'9月数据源'!$F:$F,"浙江精准学科技有限公司")-SUMIFS('9月数据源'!$J:$J,'9月数据源'!$D:$D,$E5,'9月数据源'!$F:$F,"浙江精准学科技有限公司")</f>
        <v/>
      </c>
      <c r="O5" s="89">
        <f>SUMIFS('10月数据源'!$I:$I,'10月数据源'!$D:$D,$E5,'10月数据源'!$F:$F,"浙江精准学科技有限公司")-SUMIFS('10月数据源'!$J:$J,'10月数据源'!$D:$D,$E5,'10月数据源'!$F:$F,"浙江精准学科技有限公司")</f>
        <v/>
      </c>
      <c r="P5" s="89">
        <f>SUMIFS('11月数据源'!$I:$I,'11月数据源'!$D:$D,$E5,'11月数据源'!$F:$F,"浙江精准学科技有限公司")-SUMIFS('11月数据源'!$J:$J,'11月数据源'!$D:$D,$E5,'11月数据源'!$F:$F,"浙江精准学科技有限公司")</f>
        <v/>
      </c>
      <c r="Q5" s="89">
        <f>SUMIFS('12月数据源'!$I:$I,'12月数据源'!$D:$D,$E5,'12月数据源'!$F:$F,"浙江精准学科技有限公司")-SUMIFS('12月数据源'!$J:$J,'12月数据源'!$D:$D,$E5,'12月数据源'!$F:$F,"浙江精准学科技有限公司")</f>
        <v/>
      </c>
    </row>
    <row r="6" s="83">
      <c r="A6" s="5" t="inlineStr">
        <is>
          <t>收入</t>
        </is>
      </c>
      <c r="B6" s="6" t="inlineStr">
        <is>
          <t>业务收入</t>
        </is>
      </c>
      <c r="D6" s="6" t="inlineStr">
        <is>
          <t>自习室收入</t>
        </is>
      </c>
      <c r="E6" s="6" t="inlineStr">
        <is>
          <t>Q0104</t>
        </is>
      </c>
      <c r="F6" s="89">
        <f>SUMIFS('1月数据源'!I:I,'1月数据源'!D:D,E6,'1月数据源'!F:F,"浙江精准学科技有限公司")-SUMIFS('1月数据源'!J:J,'1月数据源'!D:D,E6,'1月数据源'!F:F,"浙江精准学科技有限公司")</f>
        <v/>
      </c>
      <c r="G6" s="89">
        <f>SUMIFS('2月数据源'!I:I,'2月数据源'!D:D,E6,'2月数据源'!F:F,"浙江精准学科技有限公司")-SUMIFS('2月数据源'!J:J,'2月数据源'!D:D,E6,'2月数据源'!F:F,"浙江精准学科技有限公司")</f>
        <v/>
      </c>
      <c r="H6" s="89">
        <f>SUMIFS('3月数据源'!I:I,'3月数据源'!D:D,E6,'3月数据源'!F:F,"浙江精准学科技有限公司")-SUMIFS('3月数据源'!J:J,'3月数据源'!D:D,E6,'3月数据源'!F:F,"浙江精准学科技有限公司")</f>
        <v/>
      </c>
      <c r="I6" s="89">
        <f>SUMIFS('4月数据源'!I:I,'4月数据源'!D:D,E6,'4月数据源'!F:F,"浙江精准学科技有限公司")-SUMIFS('4月数据源'!J:J,'4月数据源'!D:D,E6,'4月数据源'!F:F,"浙江精准学科技有限公司")</f>
        <v/>
      </c>
      <c r="J6" s="89">
        <f>SUMIFS('5月数据源'!I:I,'5月数据源'!D:D,E6,'5月数据源'!F:F,"浙江精准学科技有限公司")-SUMIFS('5月数据源'!J:J,'5月数据源'!D:D,E6,'5月数据源'!F:F,"浙江精准学科技有限公司")</f>
        <v/>
      </c>
      <c r="K6" s="89">
        <f>SUMIFS('6月数据源'!$I:$I,'6月数据源'!$D:$D,$E6,'6月数据源'!$F:$F,"浙江精准学科技有限公司")-SUMIFS('6月数据源'!$J:$J,'6月数据源'!$D:$D,$E6,'6月数据源'!$F:$F,"浙江精准学科技有限公司")</f>
        <v/>
      </c>
      <c r="L6" s="89">
        <f>SUMIFS('7月数据源'!$I:$I,'7月数据源'!$D:$D,$E6,'7月数据源'!$F:$F,"浙江精准学科技有限公司")-SUMIFS('7月数据源'!$J:$J,'7月数据源'!$D:$D,$E6,'7月数据源'!$F:$F,"浙江精准学科技有限公司")</f>
        <v/>
      </c>
      <c r="M6" s="89">
        <f>SUMIFS('8月数据源'!$I:$I,'8月数据源'!$D:$D,$E6,'8月数据源'!$F:$F,"浙江精准学科技有限公司")-SUMIFS('8月数据源'!$J:$J,'8月数据源'!$D:$D,$E6,'8月数据源'!$F:$F,"浙江精准学科技有限公司")</f>
        <v/>
      </c>
      <c r="N6" s="89">
        <f>SUMIFS('9月数据源'!$I:$I,'9月数据源'!$D:$D,$E6,'9月数据源'!$F:$F,"浙江精准学科技有限公司")-SUMIFS('9月数据源'!$J:$J,'9月数据源'!$D:$D,$E6,'9月数据源'!$F:$F,"浙江精准学科技有限公司")</f>
        <v/>
      </c>
      <c r="O6" s="89">
        <f>SUMIFS('10月数据源'!$I:$I,'10月数据源'!$D:$D,$E6,'10月数据源'!$F:$F,"浙江精准学科技有限公司")-SUMIFS('10月数据源'!$J:$J,'10月数据源'!$D:$D,$E6,'10月数据源'!$F:$F,"浙江精准学科技有限公司")</f>
        <v/>
      </c>
      <c r="P6" s="89">
        <f>SUMIFS('11月数据源'!$I:$I,'11月数据源'!$D:$D,$E6,'11月数据源'!$F:$F,"浙江精准学科技有限公司")-SUMIFS('11月数据源'!$J:$J,'11月数据源'!$D:$D,$E6,'11月数据源'!$F:$F,"浙江精准学科技有限公司")</f>
        <v/>
      </c>
      <c r="Q6" s="89">
        <f>SUMIFS('12月数据源'!$I:$I,'12月数据源'!$D:$D,$E6,'12月数据源'!$F:$F,"浙江精准学科技有限公司")-SUMIFS('12月数据源'!$J:$J,'12月数据源'!$D:$D,$E6,'12月数据源'!$F:$F,"浙江精准学科技有限公司")</f>
        <v/>
      </c>
    </row>
    <row r="7" s="83">
      <c r="A7" s="5" t="inlineStr">
        <is>
          <t>收入</t>
        </is>
      </c>
      <c r="B7" s="6" t="inlineStr">
        <is>
          <t>售后收入</t>
        </is>
      </c>
      <c r="C7" s="6" t="inlineStr">
        <is>
          <t>售后收入</t>
        </is>
      </c>
      <c r="D7" s="6" t="inlineStr">
        <is>
          <t>客户赔偿款</t>
        </is>
      </c>
      <c r="E7" s="6" t="inlineStr">
        <is>
          <t>Q0201</t>
        </is>
      </c>
      <c r="F7" s="89">
        <f>SUMIFS('1月数据源'!I:I,'1月数据源'!D:D,E7,'1月数据源'!F:F,"浙江精准学科技有限公司")-SUMIFS('1月数据源'!J:J,'1月数据源'!D:D,E7,'1月数据源'!F:F,"浙江精准学科技有限公司")</f>
        <v/>
      </c>
      <c r="G7" s="89">
        <f>SUMIFS('2月数据源'!I:I,'2月数据源'!D:D,E7,'2月数据源'!F:F,"浙江精准学科技有限公司")-SUMIFS('2月数据源'!J:J,'2月数据源'!D:D,E7,'2月数据源'!F:F,"浙江精准学科技有限公司")</f>
        <v/>
      </c>
      <c r="H7" s="89">
        <f>SUMIFS('3月数据源'!I:I,'3月数据源'!D:D,E7,'3月数据源'!F:F,"浙江精准学科技有限公司")-SUMIFS('3月数据源'!J:J,'3月数据源'!D:D,E7,'3月数据源'!F:F,"浙江精准学科技有限公司")</f>
        <v/>
      </c>
      <c r="I7" s="89">
        <f>SUMIFS('4月数据源'!I:I,'4月数据源'!D:D,E7,'4月数据源'!F:F,"浙江精准学科技有限公司")-SUMIFS('4月数据源'!J:J,'4月数据源'!D:D,E7,'4月数据源'!F:F,"浙江精准学科技有限公司")</f>
        <v/>
      </c>
      <c r="J7" s="89">
        <f>SUMIFS('5月数据源'!I:I,'5月数据源'!D:D,E7,'5月数据源'!F:F,"浙江精准学科技有限公司")-SUMIFS('5月数据源'!J:J,'5月数据源'!D:D,E7,'5月数据源'!F:F,"浙江精准学科技有限公司")</f>
        <v/>
      </c>
      <c r="K7" s="89">
        <f>SUMIFS('6月数据源'!$I:$I,'6月数据源'!$D:$D,$E7,'6月数据源'!$F:$F,"浙江精准学科技有限公司")-SUMIFS('6月数据源'!$J:$J,'6月数据源'!$D:$D,$E7,'6月数据源'!$F:$F,"浙江精准学科技有限公司")</f>
        <v/>
      </c>
      <c r="L7" s="89">
        <f>SUMIFS('7月数据源'!$I:$I,'7月数据源'!$D:$D,$E7,'7月数据源'!$F:$F,"浙江精准学科技有限公司")-SUMIFS('7月数据源'!$J:$J,'7月数据源'!$D:$D,$E7,'7月数据源'!$F:$F,"浙江精准学科技有限公司")</f>
        <v/>
      </c>
      <c r="M7" s="89">
        <f>SUMIFS('8月数据源'!$I:$I,'8月数据源'!$D:$D,$E7,'8月数据源'!$F:$F,"浙江精准学科技有限公司")-SUMIFS('8月数据源'!$J:$J,'8月数据源'!$D:$D,$E7,'8月数据源'!$F:$F,"浙江精准学科技有限公司")</f>
        <v/>
      </c>
      <c r="N7" s="89">
        <f>SUMIFS('9月数据源'!$I:$I,'9月数据源'!$D:$D,$E7,'9月数据源'!$F:$F,"浙江精准学科技有限公司")-SUMIFS('9月数据源'!$J:$J,'9月数据源'!$D:$D,$E7,'9月数据源'!$F:$F,"浙江精准学科技有限公司")</f>
        <v/>
      </c>
      <c r="O7" s="89">
        <f>SUMIFS('10月数据源'!$I:$I,'10月数据源'!$D:$D,$E7,'10月数据源'!$F:$F,"浙江精准学科技有限公司")-SUMIFS('10月数据源'!$J:$J,'10月数据源'!$D:$D,$E7,'10月数据源'!$F:$F,"浙江精准学科技有限公司")</f>
        <v/>
      </c>
      <c r="P7" s="89">
        <f>SUMIFS('11月数据源'!$I:$I,'11月数据源'!$D:$D,$E7,'11月数据源'!$F:$F,"浙江精准学科技有限公司")-SUMIFS('11月数据源'!$J:$J,'11月数据源'!$D:$D,$E7,'11月数据源'!$F:$F,"浙江精准学科技有限公司")</f>
        <v/>
      </c>
      <c r="Q7" s="89">
        <f>SUMIFS('12月数据源'!$I:$I,'12月数据源'!$D:$D,$E7,'12月数据源'!$F:$F,"浙江精准学科技有限公司")-SUMIFS('12月数据源'!$J:$J,'12月数据源'!$D:$D,$E7,'12月数据源'!$F:$F,"浙江精准学科技有限公司")</f>
        <v/>
      </c>
    </row>
    <row r="8" s="83">
      <c r="A8" s="5" t="inlineStr">
        <is>
          <t>收入</t>
        </is>
      </c>
      <c r="B8" s="6" t="inlineStr">
        <is>
          <t>售后收入</t>
        </is>
      </c>
      <c r="D8" s="6" t="inlineStr">
        <is>
          <t>供应商赔偿款</t>
        </is>
      </c>
      <c r="E8" s="6" t="inlineStr">
        <is>
          <t>Q0202</t>
        </is>
      </c>
      <c r="F8" s="89">
        <f>SUMIFS('1月数据源'!I:I,'1月数据源'!D:D,E8,'1月数据源'!F:F,"浙江精准学科技有限公司")-SUMIFS('1月数据源'!J:J,'1月数据源'!D:D,E8,'1月数据源'!F:F,"浙江精准学科技有限公司")</f>
        <v/>
      </c>
      <c r="G8" s="89">
        <f>SUMIFS('2月数据源'!I:I,'2月数据源'!D:D,E8,'2月数据源'!F:F,"浙江精准学科技有限公司")-SUMIFS('2月数据源'!J:J,'2月数据源'!D:D,E8,'2月数据源'!F:F,"浙江精准学科技有限公司")</f>
        <v/>
      </c>
      <c r="H8" s="89">
        <f>SUMIFS('3月数据源'!I:I,'3月数据源'!D:D,E8,'3月数据源'!F:F,"浙江精准学科技有限公司")-SUMIFS('3月数据源'!J:J,'3月数据源'!D:D,E8,'3月数据源'!F:F,"浙江精准学科技有限公司")</f>
        <v/>
      </c>
      <c r="I8" s="89">
        <f>SUMIFS('4月数据源'!I:I,'4月数据源'!D:D,E8,'4月数据源'!F:F,"浙江精准学科技有限公司")-SUMIFS('4月数据源'!J:J,'4月数据源'!D:D,E8,'4月数据源'!F:F,"浙江精准学科技有限公司")</f>
        <v/>
      </c>
      <c r="J8" s="89">
        <f>SUMIFS('5月数据源'!I:I,'5月数据源'!D:D,E8,'5月数据源'!F:F,"浙江精准学科技有限公司")-SUMIFS('5月数据源'!J:J,'5月数据源'!D:D,E8,'5月数据源'!F:F,"浙江精准学科技有限公司")</f>
        <v/>
      </c>
      <c r="K8" s="89">
        <f>SUMIFS('6月数据源'!$I:$I,'6月数据源'!$D:$D,$E8,'6月数据源'!$F:$F,"浙江精准学科技有限公司")-SUMIFS('6月数据源'!$J:$J,'6月数据源'!$D:$D,$E8,'6月数据源'!$F:$F,"浙江精准学科技有限公司")</f>
        <v/>
      </c>
      <c r="L8" s="89">
        <f>SUMIFS('7月数据源'!$I:$I,'7月数据源'!$D:$D,$E8,'7月数据源'!$F:$F,"浙江精准学科技有限公司")-SUMIFS('7月数据源'!$J:$J,'7月数据源'!$D:$D,$E8,'7月数据源'!$F:$F,"浙江精准学科技有限公司")</f>
        <v/>
      </c>
      <c r="M8" s="89">
        <f>SUMIFS('8月数据源'!$I:$I,'8月数据源'!$D:$D,$E8,'8月数据源'!$F:$F,"浙江精准学科技有限公司")-SUMIFS('8月数据源'!$J:$J,'8月数据源'!$D:$D,$E8,'8月数据源'!$F:$F,"浙江精准学科技有限公司")</f>
        <v/>
      </c>
      <c r="N8" s="89">
        <f>SUMIFS('9月数据源'!$I:$I,'9月数据源'!$D:$D,$E8,'9月数据源'!$F:$F,"浙江精准学科技有限公司")-SUMIFS('9月数据源'!$J:$J,'9月数据源'!$D:$D,$E8,'9月数据源'!$F:$F,"浙江精准学科技有限公司")</f>
        <v/>
      </c>
      <c r="O8" s="89">
        <f>SUMIFS('10月数据源'!$I:$I,'10月数据源'!$D:$D,$E8,'10月数据源'!$F:$F,"浙江精准学科技有限公司")-SUMIFS('10月数据源'!$J:$J,'10月数据源'!$D:$D,$E8,'10月数据源'!$F:$F,"浙江精准学科技有限公司")</f>
        <v/>
      </c>
      <c r="P8" s="89">
        <f>SUMIFS('11月数据源'!$I:$I,'11月数据源'!$D:$D,$E8,'11月数据源'!$F:$F,"浙江精准学科技有限公司")-SUMIFS('11月数据源'!$J:$J,'11月数据源'!$D:$D,$E8,'11月数据源'!$F:$F,"浙江精准学科技有限公司")</f>
        <v/>
      </c>
      <c r="Q8" s="89">
        <f>SUMIFS('12月数据源'!$I:$I,'12月数据源'!$D:$D,$E8,'12月数据源'!$F:$F,"浙江精准学科技有限公司")-SUMIFS('12月数据源'!$J:$J,'12月数据源'!$D:$D,$E8,'12月数据源'!$F:$F,"浙江精准学科技有限公司")</f>
        <v/>
      </c>
    </row>
    <row r="9" s="83">
      <c r="A9" s="5" t="inlineStr">
        <is>
          <t>收入</t>
        </is>
      </c>
      <c r="B9" s="6" t="inlineStr">
        <is>
          <t>营业外收入</t>
        </is>
      </c>
      <c r="C9" s="6" t="inlineStr">
        <is>
          <t>营业外收入</t>
        </is>
      </c>
      <c r="D9" s="6" t="inlineStr">
        <is>
          <t>政府补贴收入</t>
        </is>
      </c>
      <c r="E9" s="6" t="inlineStr">
        <is>
          <t>Q0301</t>
        </is>
      </c>
      <c r="F9" s="89">
        <f>SUMIFS('1月数据源'!I:I,'1月数据源'!D:D,E9,'1月数据源'!F:F,"浙江精准学科技有限公司")-SUMIFS('1月数据源'!J:J,'1月数据源'!D:D,E9,'1月数据源'!F:F,"浙江精准学科技有限公司")</f>
        <v/>
      </c>
      <c r="G9" s="89">
        <f>SUMIFS('2月数据源'!I:I,'2月数据源'!D:D,E9,'2月数据源'!F:F,"浙江精准学科技有限公司")-SUMIFS('2月数据源'!J:J,'2月数据源'!D:D,E9,'2月数据源'!F:F,"浙江精准学科技有限公司")</f>
        <v/>
      </c>
      <c r="H9" s="89">
        <f>SUMIFS('3月数据源'!I:I,'3月数据源'!D:D,E9,'3月数据源'!F:F,"浙江精准学科技有限公司")-SUMIFS('3月数据源'!J:J,'3月数据源'!D:D,E9,'3月数据源'!F:F,"浙江精准学科技有限公司")</f>
        <v/>
      </c>
      <c r="I9" s="89">
        <f>SUMIFS('4月数据源'!I:I,'4月数据源'!D:D,E9,'4月数据源'!F:F,"浙江精准学科技有限公司")-SUMIFS('4月数据源'!J:J,'4月数据源'!D:D,E9,'4月数据源'!F:F,"浙江精准学科技有限公司")</f>
        <v/>
      </c>
      <c r="J9" s="89">
        <f>SUMIFS('5月数据源'!I:I,'5月数据源'!D:D,E9,'5月数据源'!F:F,"浙江精准学科技有限公司")-SUMIFS('5月数据源'!J:J,'5月数据源'!D:D,E9,'5月数据源'!F:F,"浙江精准学科技有限公司")</f>
        <v/>
      </c>
      <c r="K9" s="89">
        <f>SUMIFS('6月数据源'!$I:$I,'6月数据源'!$D:$D,$E9,'6月数据源'!$F:$F,"浙江精准学科技有限公司")-SUMIFS('6月数据源'!$J:$J,'6月数据源'!$D:$D,$E9,'6月数据源'!$F:$F,"浙江精准学科技有限公司")</f>
        <v/>
      </c>
      <c r="L9" s="89">
        <f>SUMIFS('7月数据源'!$I:$I,'7月数据源'!$D:$D,$E9,'7月数据源'!$F:$F,"浙江精准学科技有限公司")-SUMIFS('7月数据源'!$J:$J,'7月数据源'!$D:$D,$E9,'7月数据源'!$F:$F,"浙江精准学科技有限公司")</f>
        <v/>
      </c>
      <c r="M9" s="89">
        <f>SUMIFS('8月数据源'!$I:$I,'8月数据源'!$D:$D,$E9,'8月数据源'!$F:$F,"浙江精准学科技有限公司")-SUMIFS('8月数据源'!$J:$J,'8月数据源'!$D:$D,$E9,'8月数据源'!$F:$F,"浙江精准学科技有限公司")</f>
        <v/>
      </c>
      <c r="N9" s="89">
        <f>SUMIFS('9月数据源'!$I:$I,'9月数据源'!$D:$D,$E9,'9月数据源'!$F:$F,"浙江精准学科技有限公司")-SUMIFS('9月数据源'!$J:$J,'9月数据源'!$D:$D,$E9,'9月数据源'!$F:$F,"浙江精准学科技有限公司")</f>
        <v/>
      </c>
      <c r="O9" s="89">
        <f>SUMIFS('10月数据源'!$I:$I,'10月数据源'!$D:$D,$E9,'10月数据源'!$F:$F,"浙江精准学科技有限公司")-SUMIFS('10月数据源'!$J:$J,'10月数据源'!$D:$D,$E9,'10月数据源'!$F:$F,"浙江精准学科技有限公司")</f>
        <v/>
      </c>
      <c r="P9" s="89">
        <f>SUMIFS('11月数据源'!$I:$I,'11月数据源'!$D:$D,$E9,'11月数据源'!$F:$F,"浙江精准学科技有限公司")-SUMIFS('11月数据源'!$J:$J,'11月数据源'!$D:$D,$E9,'11月数据源'!$F:$F,"浙江精准学科技有限公司")</f>
        <v/>
      </c>
      <c r="Q9" s="89">
        <f>SUMIFS('12月数据源'!$I:$I,'12月数据源'!$D:$D,$E9,'12月数据源'!$F:$F,"浙江精准学科技有限公司")-SUMIFS('12月数据源'!$J:$J,'12月数据源'!$D:$D,$E9,'12月数据源'!$F:$F,"浙江精准学科技有限公司")</f>
        <v/>
      </c>
    </row>
    <row r="10" s="83">
      <c r="A10" s="5" t="inlineStr">
        <is>
          <t>收入</t>
        </is>
      </c>
      <c r="B10" s="6" t="inlineStr">
        <is>
          <t>营业外收入</t>
        </is>
      </c>
      <c r="D10" s="6" t="inlineStr">
        <is>
          <t>利息收入</t>
        </is>
      </c>
      <c r="E10" s="6" t="inlineStr">
        <is>
          <t>Q0302</t>
        </is>
      </c>
      <c r="F10" s="89">
        <f>SUMIFS('1月数据源'!I:I,'1月数据源'!D:D,E10,'1月数据源'!F:F,"浙江精准学科技有限公司")-SUMIFS('1月数据源'!J:J,'1月数据源'!D:D,E10,'1月数据源'!F:F,"浙江精准学科技有限公司")</f>
        <v/>
      </c>
      <c r="G10" s="89">
        <f>SUMIFS('2月数据源'!I:I,'2月数据源'!D:D,E10,'2月数据源'!F:F,"浙江精准学科技有限公司")-SUMIFS('2月数据源'!J:J,'2月数据源'!D:D,E10,'2月数据源'!F:F,"浙江精准学科技有限公司")</f>
        <v/>
      </c>
      <c r="H10" s="89">
        <f>SUMIFS('3月数据源'!I:I,'3月数据源'!D:D,E10,'3月数据源'!F:F,"浙江精准学科技有限公司")-SUMIFS('3月数据源'!J:J,'3月数据源'!D:D,E10,'3月数据源'!F:F,"浙江精准学科技有限公司")</f>
        <v/>
      </c>
      <c r="I10" s="89">
        <f>SUMIFS('4月数据源'!I:I,'4月数据源'!D:D,E10,'4月数据源'!F:F,"浙江精准学科技有限公司")-SUMIFS('4月数据源'!J:J,'4月数据源'!D:D,E10,'4月数据源'!F:F,"浙江精准学科技有限公司")</f>
        <v/>
      </c>
      <c r="J10" s="89">
        <f>SUMIFS('5月数据源'!I:I,'5月数据源'!D:D,E10,'5月数据源'!F:F,"浙江精准学科技有限公司")-SUMIFS('5月数据源'!J:J,'5月数据源'!D:D,E10,'5月数据源'!F:F,"浙江精准学科技有限公司")</f>
        <v/>
      </c>
      <c r="K10" s="89">
        <f>SUMIFS('6月数据源'!$I:$I,'6月数据源'!$D:$D,$E10,'6月数据源'!$F:$F,"浙江精准学科技有限公司")-SUMIFS('6月数据源'!$J:$J,'6月数据源'!$D:$D,$E10,'6月数据源'!$F:$F,"浙江精准学科技有限公司")</f>
        <v/>
      </c>
      <c r="L10" s="89">
        <f>SUMIFS('7月数据源'!$I:$I,'7月数据源'!$D:$D,$E10,'7月数据源'!$F:$F,"浙江精准学科技有限公司")-SUMIFS('7月数据源'!$J:$J,'7月数据源'!$D:$D,$E10,'7月数据源'!$F:$F,"浙江精准学科技有限公司")</f>
        <v/>
      </c>
      <c r="M10" s="89">
        <f>SUMIFS('8月数据源'!$I:$I,'8月数据源'!$D:$D,$E10,'8月数据源'!$F:$F,"浙江精准学科技有限公司")-SUMIFS('8月数据源'!$J:$J,'8月数据源'!$D:$D,$E10,'8月数据源'!$F:$F,"浙江精准学科技有限公司")</f>
        <v/>
      </c>
      <c r="N10" s="89">
        <f>SUMIFS('9月数据源'!$I:$I,'9月数据源'!$D:$D,$E10,'9月数据源'!$F:$F,"浙江精准学科技有限公司")-SUMIFS('9月数据源'!$J:$J,'9月数据源'!$D:$D,$E10,'9月数据源'!$F:$F,"浙江精准学科技有限公司")</f>
        <v/>
      </c>
      <c r="O10" s="89">
        <f>SUMIFS('10月数据源'!$I:$I,'10月数据源'!$D:$D,$E10,'10月数据源'!$F:$F,"浙江精准学科技有限公司")-SUMIFS('10月数据源'!$J:$J,'10月数据源'!$D:$D,$E10,'10月数据源'!$F:$F,"浙江精准学科技有限公司")</f>
        <v/>
      </c>
      <c r="P10" s="89">
        <f>SUMIFS('11月数据源'!$I:$I,'11月数据源'!$D:$D,$E10,'11月数据源'!$F:$F,"浙江精准学科技有限公司")-SUMIFS('11月数据源'!$J:$J,'11月数据源'!$D:$D,$E10,'11月数据源'!$F:$F,"浙江精准学科技有限公司")</f>
        <v/>
      </c>
      <c r="Q10" s="89">
        <f>SUMIFS('12月数据源'!$I:$I,'12月数据源'!$D:$D,$E10,'12月数据源'!$F:$F,"浙江精准学科技有限公司")-SUMIFS('12月数据源'!$J:$J,'12月数据源'!$D:$D,$E10,'12月数据源'!$F:$F,"浙江精准学科技有限公司")</f>
        <v/>
      </c>
    </row>
    <row r="11" s="83">
      <c r="A11" s="5" t="inlineStr">
        <is>
          <t>收入</t>
        </is>
      </c>
      <c r="B11" s="6" t="inlineStr">
        <is>
          <t>营业外收入</t>
        </is>
      </c>
      <c r="D11" s="6" t="inlineStr">
        <is>
          <t>其他收入</t>
        </is>
      </c>
      <c r="E11" s="6" t="inlineStr">
        <is>
          <t>Q0303</t>
        </is>
      </c>
      <c r="F11" s="89">
        <f>SUMIFS('1月数据源'!I:I,'1月数据源'!D:D,E11,'1月数据源'!F:F,"浙江精准学科技有限公司")-SUMIFS('1月数据源'!J:J,'1月数据源'!D:D,E11,'1月数据源'!F:F,"浙江精准学科技有限公司")</f>
        <v/>
      </c>
      <c r="G11" s="89">
        <f>SUMIFS('2月数据源'!I:I,'2月数据源'!D:D,E11,'2月数据源'!F:F,"浙江精准学科技有限公司")-SUMIFS('2月数据源'!J:J,'2月数据源'!D:D,E11,'2月数据源'!F:F,"浙江精准学科技有限公司")</f>
        <v/>
      </c>
      <c r="H11" s="89">
        <f>SUMIFS('3月数据源'!I:I,'3月数据源'!D:D,E11,'3月数据源'!F:F,"浙江精准学科技有限公司")-SUMIFS('3月数据源'!J:J,'3月数据源'!D:D,E11,'3月数据源'!F:F,"浙江精准学科技有限公司")</f>
        <v/>
      </c>
      <c r="I11" s="89">
        <f>SUMIFS('4月数据源'!I:I,'4月数据源'!D:D,E11,'4月数据源'!F:F,"浙江精准学科技有限公司")-SUMIFS('4月数据源'!J:J,'4月数据源'!D:D,E11,'4月数据源'!F:F,"浙江精准学科技有限公司")</f>
        <v/>
      </c>
      <c r="J11" s="89">
        <f>SUMIFS('5月数据源'!I:I,'5月数据源'!D:D,E11,'5月数据源'!F:F,"浙江精准学科技有限公司")-SUMIFS('5月数据源'!J:J,'5月数据源'!D:D,E11,'5月数据源'!F:F,"浙江精准学科技有限公司")</f>
        <v/>
      </c>
      <c r="K11" s="89">
        <f>SUMIFS('6月数据源'!$I:$I,'6月数据源'!$D:$D,$E11,'6月数据源'!$F:$F,"浙江精准学科技有限公司")-SUMIFS('6月数据源'!$J:$J,'6月数据源'!$D:$D,$E11,'6月数据源'!$F:$F,"浙江精准学科技有限公司")</f>
        <v/>
      </c>
      <c r="L11" s="89">
        <f>SUMIFS('7月数据源'!$I:$I,'7月数据源'!$D:$D,$E11,'7月数据源'!$F:$F,"浙江精准学科技有限公司")-SUMIFS('7月数据源'!$J:$J,'7月数据源'!$D:$D,$E11,'7月数据源'!$F:$F,"浙江精准学科技有限公司")</f>
        <v/>
      </c>
      <c r="M11" s="89">
        <f>SUMIFS('8月数据源'!$I:$I,'8月数据源'!$D:$D,$E11,'8月数据源'!$F:$F,"浙江精准学科技有限公司")-SUMIFS('8月数据源'!$J:$J,'8月数据源'!$D:$D,$E11,'8月数据源'!$F:$F,"浙江精准学科技有限公司")</f>
        <v/>
      </c>
      <c r="N11" s="89">
        <f>SUMIFS('9月数据源'!$I:$I,'9月数据源'!$D:$D,$E11,'9月数据源'!$F:$F,"浙江精准学科技有限公司")-SUMIFS('9月数据源'!$J:$J,'9月数据源'!$D:$D,$E11,'9月数据源'!$F:$F,"浙江精准学科技有限公司")</f>
        <v/>
      </c>
      <c r="O11" s="89">
        <f>SUMIFS('10月数据源'!$I:$I,'10月数据源'!$D:$D,$E11,'10月数据源'!$F:$F,"浙江精准学科技有限公司")-SUMIFS('10月数据源'!$J:$J,'10月数据源'!$D:$D,$E11,'10月数据源'!$F:$F,"浙江精准学科技有限公司")</f>
        <v/>
      </c>
      <c r="P11" s="89">
        <f>SUMIFS('11月数据源'!$I:$I,'11月数据源'!$D:$D,$E11,'11月数据源'!$F:$F,"浙江精准学科技有限公司")-SUMIFS('11月数据源'!$J:$J,'11月数据源'!$D:$D,$E11,'11月数据源'!$F:$F,"浙江精准学科技有限公司")</f>
        <v/>
      </c>
      <c r="Q11" s="89">
        <f>SUMIFS('12月数据源'!$I:$I,'12月数据源'!$D:$D,$E11,'12月数据源'!$F:$F,"浙江精准学科技有限公司")-SUMIFS('12月数据源'!$J:$J,'12月数据源'!$D:$D,$E11,'12月数据源'!$F:$F,"浙江精准学科技有限公司")</f>
        <v/>
      </c>
    </row>
    <row r="12" s="83">
      <c r="A12" s="49" t="inlineStr">
        <is>
          <t>收入合计</t>
        </is>
      </c>
      <c r="B12" s="50" t="n"/>
      <c r="C12" s="50" t="n"/>
      <c r="D12" s="49" t="n"/>
      <c r="E12" s="49" t="n"/>
      <c r="F12" s="89">
        <f>SUM(F3:F11)</f>
        <v/>
      </c>
      <c r="G12" s="89">
        <f>SUM(G3:G11)</f>
        <v/>
      </c>
      <c r="H12" s="89">
        <f>SUM(H3:H11)</f>
        <v/>
      </c>
      <c r="I12" s="89">
        <f>SUM(I3:I11)</f>
        <v/>
      </c>
      <c r="J12" s="89">
        <f>SUM(J3:J11)</f>
        <v/>
      </c>
      <c r="K12" s="89">
        <f>SUM(K3:K11)</f>
        <v/>
      </c>
      <c r="L12" s="89">
        <f>SUM(L3:L11)</f>
        <v/>
      </c>
      <c r="M12" s="89">
        <f>SUM(M3:M11)</f>
        <v/>
      </c>
      <c r="N12" s="89">
        <f>SUM(N3:N11)</f>
        <v/>
      </c>
      <c r="O12" s="89">
        <f>SUM(O3:O11)</f>
        <v/>
      </c>
      <c r="P12" s="89">
        <f>SUM(P3:P11)</f>
        <v/>
      </c>
      <c r="Q12" s="89">
        <f>SUM(Q3:Q11)</f>
        <v/>
      </c>
    </row>
    <row r="13" s="83">
      <c r="A13" s="5" t="inlineStr">
        <is>
          <t>往来款项收入</t>
        </is>
      </c>
      <c r="B13" s="6" t="inlineStr">
        <is>
          <t>往来款项收入</t>
        </is>
      </c>
      <c r="C13" s="6" t="inlineStr">
        <is>
          <t>往来款项收入</t>
        </is>
      </c>
      <c r="D13" s="5" t="inlineStr">
        <is>
          <t>内部往来收入</t>
        </is>
      </c>
      <c r="E13" s="6" t="inlineStr">
        <is>
          <t>Q0401</t>
        </is>
      </c>
      <c r="F13" s="89">
        <f>SUMIFS('1月数据源'!I:I,'1月数据源'!D:D,E13,'1月数据源'!F:F,"浙江精准学科技有限公司")-SUMIFS('1月数据源'!J:J,'1月数据源'!D:D,E13,'1月数据源'!F:F,"浙江精准学科技有限公司")</f>
        <v/>
      </c>
      <c r="G13" s="89">
        <f>SUMIFS('2月数据源'!I:I,'2月数据源'!D:D,E13,'2月数据源'!F:F,"浙江精准学科技有限公司")-SUMIFS('2月数据源'!J:J,'2月数据源'!D:D,E13,'2月数据源'!F:F,"浙江精准学科技有限公司")</f>
        <v/>
      </c>
      <c r="H13" s="89">
        <f>SUMIFS('3月数据源'!I:I,'3月数据源'!D:D,E13,'3月数据源'!F:F,"浙江精准学科技有限公司")-SUMIFS('3月数据源'!J:J,'3月数据源'!D:D,E13,'3月数据源'!F:F,"浙江精准学科技有限公司")</f>
        <v/>
      </c>
      <c r="I13" s="89">
        <f>SUMIFS('4月数据源'!I:I,'4月数据源'!D:D,E13,'4月数据源'!F:F,"浙江精准学科技有限公司")-SUMIFS('4月数据源'!J:J,'4月数据源'!D:D,E13,'4月数据源'!F:F,"浙江精准学科技有限公司")</f>
        <v/>
      </c>
      <c r="J13" s="89">
        <f>SUMIFS('5月数据源'!I:I,'5月数据源'!D:D,E13,'5月数据源'!F:F,"浙江精准学科技有限公司")-SUMIFS('5月数据源'!J:J,'5月数据源'!D:D,E13,'5月数据源'!F:F,"浙江精准学科技有限公司")</f>
        <v/>
      </c>
      <c r="K13" s="89">
        <f>SUMIFS('6月数据源'!$I:$I,'6月数据源'!$D:$D,$E13,'6月数据源'!$F:$F,"浙江精准学科技有限公司")-SUMIFS('6月数据源'!$J:$J,'6月数据源'!$D:$D,$E13,'6月数据源'!$F:$F,"浙江精准学科技有限公司")</f>
        <v/>
      </c>
      <c r="L13" s="89">
        <f>SUMIFS('7月数据源'!$I:$I,'7月数据源'!$D:$D,$E13,'7月数据源'!$F:$F,"浙江精准学科技有限公司")-SUMIFS('7月数据源'!$J:$J,'7月数据源'!$D:$D,$E13,'7月数据源'!$F:$F,"浙江精准学科技有限公司")</f>
        <v/>
      </c>
      <c r="M13" s="89">
        <f>SUMIFS('8月数据源'!$I:$I,'8月数据源'!$D:$D,$E13,'8月数据源'!$F:$F,"浙江精准学科技有限公司")-SUMIFS('8月数据源'!$J:$J,'8月数据源'!$D:$D,$E13,'8月数据源'!$F:$F,"浙江精准学科技有限公司")</f>
        <v/>
      </c>
      <c r="N13" s="89">
        <f>SUMIFS('9月数据源'!$I:$I,'9月数据源'!$D:$D,$E13,'9月数据源'!$F:$F,"浙江精准学科技有限公司")-SUMIFS('9月数据源'!$J:$J,'9月数据源'!$D:$D,$E13,'9月数据源'!$F:$F,"浙江精准学科技有限公司")</f>
        <v/>
      </c>
      <c r="O13" s="89">
        <f>SUMIFS('10月数据源'!$I:$I,'10月数据源'!$D:$D,$E13,'10月数据源'!$F:$F,"浙江精准学科技有限公司")-SUMIFS('10月数据源'!$J:$J,'10月数据源'!$D:$D,$E13,'10月数据源'!$F:$F,"浙江精准学科技有限公司")</f>
        <v/>
      </c>
      <c r="P13" s="89">
        <f>SUMIFS('11月数据源'!$I:$I,'11月数据源'!$D:$D,$E13,'11月数据源'!$F:$F,"浙江精准学科技有限公司")-SUMIFS('11月数据源'!$J:$J,'11月数据源'!$D:$D,$E13,'11月数据源'!$F:$F,"浙江精准学科技有限公司")</f>
        <v/>
      </c>
      <c r="Q13" s="89">
        <f>SUMIFS('12月数据源'!$I:$I,'12月数据源'!$D:$D,$E13,'12月数据源'!$F:$F,"浙江精准学科技有限公司")-SUMIFS('12月数据源'!$J:$J,'12月数据源'!$D:$D,$E13,'12月数据源'!$F:$F,"浙江精准学科技有限公司")</f>
        <v/>
      </c>
    </row>
    <row r="14" s="83">
      <c r="A14" s="5" t="inlineStr">
        <is>
          <t>往来款项收入</t>
        </is>
      </c>
      <c r="B14" s="6" t="inlineStr">
        <is>
          <t>往来款项收入</t>
        </is>
      </c>
      <c r="D14" s="5" t="inlineStr">
        <is>
          <t>外部往来收入</t>
        </is>
      </c>
      <c r="E14" s="6" t="inlineStr">
        <is>
          <t>Q0402</t>
        </is>
      </c>
      <c r="F14" s="89">
        <f>SUMIFS('1月数据源'!I:I,'1月数据源'!D:D,E14,'1月数据源'!F:F,"浙江精准学科技有限公司")-SUMIFS('1月数据源'!J:J,'1月数据源'!D:D,E14,'1月数据源'!F:F,"浙江精准学科技有限公司")</f>
        <v/>
      </c>
      <c r="G14" s="89">
        <f>SUMIFS('2月数据源'!I:I,'2月数据源'!D:D,E14,'2月数据源'!F:F,"浙江精准学科技有限公司")-SUMIFS('2月数据源'!J:J,'2月数据源'!D:D,E14,'2月数据源'!F:F,"浙江精准学科技有限公司")</f>
        <v/>
      </c>
      <c r="H14" s="89">
        <f>SUMIFS('3月数据源'!I:I,'3月数据源'!D:D,E14,'3月数据源'!F:F,"浙江精准学科技有限公司")-SUMIFS('3月数据源'!J:J,'3月数据源'!D:D,E14,'3月数据源'!F:F,"浙江精准学科技有限公司")</f>
        <v/>
      </c>
      <c r="I14" s="89">
        <f>SUMIFS('4月数据源'!I:I,'4月数据源'!D:D,E14,'4月数据源'!F:F,"浙江精准学科技有限公司")-SUMIFS('4月数据源'!J:J,'4月数据源'!D:D,E14,'4月数据源'!F:F,"浙江精准学科技有限公司")</f>
        <v/>
      </c>
      <c r="J14" s="89">
        <f>SUMIFS('5月数据源'!I:I,'5月数据源'!D:D,E14,'5月数据源'!F:F,"浙江精准学科技有限公司")-SUMIFS('5月数据源'!J:J,'5月数据源'!D:D,E14,'5月数据源'!F:F,"浙江精准学科技有限公司")</f>
        <v/>
      </c>
      <c r="K14" s="89">
        <f>SUMIFS('6月数据源'!$I:$I,'6月数据源'!$D:$D,$E14,'6月数据源'!$F:$F,"浙江精准学科技有限公司")-SUMIFS('6月数据源'!$J:$J,'6月数据源'!$D:$D,$E14,'6月数据源'!$F:$F,"浙江精准学科技有限公司")</f>
        <v/>
      </c>
      <c r="L14" s="89">
        <f>SUMIFS('7月数据源'!$I:$I,'7月数据源'!$D:$D,$E14,'7月数据源'!$F:$F,"浙江精准学科技有限公司")-SUMIFS('7月数据源'!$J:$J,'7月数据源'!$D:$D,$E14,'7月数据源'!$F:$F,"浙江精准学科技有限公司")</f>
        <v/>
      </c>
      <c r="M14" s="89">
        <f>SUMIFS('8月数据源'!$I:$I,'8月数据源'!$D:$D,$E14,'8月数据源'!$F:$F,"浙江精准学科技有限公司")-SUMIFS('8月数据源'!$J:$J,'8月数据源'!$D:$D,$E14,'8月数据源'!$F:$F,"浙江精准学科技有限公司")</f>
        <v/>
      </c>
      <c r="N14" s="89">
        <f>SUMIFS('9月数据源'!$I:$I,'9月数据源'!$D:$D,$E14,'9月数据源'!$F:$F,"浙江精准学科技有限公司")-SUMIFS('9月数据源'!$J:$J,'9月数据源'!$D:$D,$E14,'9月数据源'!$F:$F,"浙江精准学科技有限公司")</f>
        <v/>
      </c>
      <c r="O14" s="89">
        <f>SUMIFS('10月数据源'!$I:$I,'10月数据源'!$D:$D,$E14,'10月数据源'!$F:$F,"浙江精准学科技有限公司")-SUMIFS('10月数据源'!$J:$J,'10月数据源'!$D:$D,$E14,'10月数据源'!$F:$F,"浙江精准学科技有限公司")</f>
        <v/>
      </c>
      <c r="P14" s="89">
        <f>SUMIFS('11月数据源'!$I:$I,'11月数据源'!$D:$D,$E14,'11月数据源'!$F:$F,"浙江精准学科技有限公司")-SUMIFS('11月数据源'!$J:$J,'11月数据源'!$D:$D,$E14,'11月数据源'!$F:$F,"浙江精准学科技有限公司")</f>
        <v/>
      </c>
      <c r="Q14" s="89">
        <f>SUMIFS('12月数据源'!$I:$I,'12月数据源'!$D:$D,$E14,'12月数据源'!$F:$F,"浙江精准学科技有限公司")-SUMIFS('12月数据源'!$J:$J,'12月数据源'!$D:$D,$E14,'12月数据源'!$F:$F,"浙江精准学科技有限公司")</f>
        <v/>
      </c>
    </row>
    <row r="15" s="83">
      <c r="A15" s="49" t="inlineStr">
        <is>
          <t>往来款项收入合计</t>
        </is>
      </c>
      <c r="B15" s="50" t="n"/>
      <c r="C15" s="50" t="n"/>
      <c r="D15" s="49" t="n"/>
      <c r="E15" s="49" t="n"/>
      <c r="F15" s="89">
        <f>SUM(F13:F14)</f>
        <v/>
      </c>
      <c r="G15" s="89">
        <f>SUM(G13:G14)</f>
        <v/>
      </c>
      <c r="H15" s="89">
        <f>SUM(H13:H14)</f>
        <v/>
      </c>
      <c r="I15" s="89">
        <f>SUM(I13:I14)</f>
        <v/>
      </c>
      <c r="J15" s="89">
        <f>SUM(J13:J14)</f>
        <v/>
      </c>
      <c r="K15" s="89">
        <f>SUM(K13:K14)</f>
        <v/>
      </c>
      <c r="L15" s="89">
        <f>SUM(L13:L14)</f>
        <v/>
      </c>
      <c r="M15" s="89">
        <f>SUM(M13:M14)</f>
        <v/>
      </c>
      <c r="N15" s="89">
        <f>SUM(N13:N14)</f>
        <v/>
      </c>
      <c r="O15" s="89">
        <f>SUM(O13:O14)</f>
        <v/>
      </c>
      <c r="P15" s="89">
        <f>SUM(P13:P14)</f>
        <v/>
      </c>
      <c r="Q15" s="89">
        <f>SUM(Q13:Q14)</f>
        <v/>
      </c>
    </row>
    <row r="16" s="83">
      <c r="A16" s="5" t="inlineStr">
        <is>
          <t>投资款收入</t>
        </is>
      </c>
      <c r="B16" s="6" t="inlineStr">
        <is>
          <t>投资款收入</t>
        </is>
      </c>
      <c r="C16" s="6" t="inlineStr">
        <is>
          <t>投资款收入</t>
        </is>
      </c>
      <c r="D16" s="5" t="inlineStr">
        <is>
          <t>内部投资款收入</t>
        </is>
      </c>
      <c r="E16" s="6" t="inlineStr">
        <is>
          <t>Q0501</t>
        </is>
      </c>
      <c r="F16" s="89">
        <f>SUMIFS('1月数据源'!I:I,'1月数据源'!D:D,E16,'1月数据源'!F:F,"浙江精准学科技有限公司")-SUMIFS('1月数据源'!J:J,'1月数据源'!D:D,E16,'1月数据源'!F:F,"浙江精准学科技有限公司")</f>
        <v/>
      </c>
      <c r="G16" s="89">
        <f>SUMIFS('2月数据源'!I:I,'2月数据源'!D:D,E16,'2月数据源'!F:F,"浙江精准学科技有限公司")-SUMIFS('2月数据源'!J:J,'2月数据源'!D:D,E16,'2月数据源'!F:F,"浙江精准学科技有限公司")</f>
        <v/>
      </c>
      <c r="H16" s="89">
        <f>SUMIFS('3月数据源'!I:I,'3月数据源'!D:D,E16,'3月数据源'!F:F,"浙江精准学科技有限公司")-SUMIFS('3月数据源'!J:J,'3月数据源'!D:D,E16,'3月数据源'!F:F,"浙江精准学科技有限公司")</f>
        <v/>
      </c>
      <c r="I16" s="89">
        <f>SUMIFS('4月数据源'!I:I,'4月数据源'!D:D,E16,'4月数据源'!F:F,"浙江精准学科技有限公司")-SUMIFS('4月数据源'!J:J,'4月数据源'!D:D,E16,'4月数据源'!F:F,"浙江精准学科技有限公司")</f>
        <v/>
      </c>
      <c r="J16" s="89">
        <f>SUMIFS('5月数据源'!I:I,'5月数据源'!D:D,E16,'5月数据源'!F:F,"浙江精准学科技有限公司")-SUMIFS('5月数据源'!J:J,'5月数据源'!D:D,E16,'5月数据源'!F:F,"浙江精准学科技有限公司")</f>
        <v/>
      </c>
      <c r="K16" s="89">
        <f>SUMIFS('6月数据源'!$I:$I,'6月数据源'!$D:$D,$E16,'6月数据源'!$F:$F,"浙江精准学科技有限公司")-SUMIFS('6月数据源'!$J:$J,'6月数据源'!$D:$D,$E16,'6月数据源'!$F:$F,"浙江精准学科技有限公司")</f>
        <v/>
      </c>
      <c r="L16" s="89">
        <f>SUMIFS('7月数据源'!$I:$I,'7月数据源'!$D:$D,$E16,'7月数据源'!$F:$F,"浙江精准学科技有限公司")-SUMIFS('7月数据源'!$J:$J,'7月数据源'!$D:$D,$E16,'7月数据源'!$F:$F,"浙江精准学科技有限公司")</f>
        <v/>
      </c>
      <c r="M16" s="89">
        <f>SUMIFS('8月数据源'!$I:$I,'8月数据源'!$D:$D,$E16,'8月数据源'!$F:$F,"浙江精准学科技有限公司")-SUMIFS('8月数据源'!$J:$J,'8月数据源'!$D:$D,$E16,'8月数据源'!$F:$F,"浙江精准学科技有限公司")</f>
        <v/>
      </c>
      <c r="N16" s="89">
        <f>SUMIFS('9月数据源'!$I:$I,'9月数据源'!$D:$D,$E16,'9月数据源'!$F:$F,"浙江精准学科技有限公司")-SUMIFS('9月数据源'!$J:$J,'9月数据源'!$D:$D,$E16,'9月数据源'!$F:$F,"浙江精准学科技有限公司")</f>
        <v/>
      </c>
      <c r="O16" s="89">
        <f>SUMIFS('10月数据源'!$I:$I,'10月数据源'!$D:$D,$E16,'10月数据源'!$F:$F,"浙江精准学科技有限公司")-SUMIFS('10月数据源'!$J:$J,'10月数据源'!$D:$D,$E16,'10月数据源'!$F:$F,"浙江精准学科技有限公司")</f>
        <v/>
      </c>
      <c r="P16" s="89">
        <f>SUMIFS('11月数据源'!$I:$I,'11月数据源'!$D:$D,$E16,'11月数据源'!$F:$F,"浙江精准学科技有限公司")-SUMIFS('11月数据源'!$J:$J,'11月数据源'!$D:$D,$E16,'11月数据源'!$F:$F,"浙江精准学科技有限公司")</f>
        <v/>
      </c>
      <c r="Q16" s="89">
        <f>SUMIFS('12月数据源'!$I:$I,'12月数据源'!$D:$D,$E16,'12月数据源'!$F:$F,"浙江精准学科技有限公司")-SUMIFS('12月数据源'!$J:$J,'12月数据源'!$D:$D,$E16,'12月数据源'!$F:$F,"浙江精准学科技有限公司")</f>
        <v/>
      </c>
    </row>
    <row r="17" s="83">
      <c r="A17" s="5" t="inlineStr">
        <is>
          <t>投资款收入</t>
        </is>
      </c>
      <c r="B17" s="6" t="inlineStr">
        <is>
          <t>投资款收入</t>
        </is>
      </c>
      <c r="D17" s="5" t="inlineStr">
        <is>
          <t>外部投资款收入</t>
        </is>
      </c>
      <c r="E17" s="6" t="inlineStr">
        <is>
          <t>Q0502</t>
        </is>
      </c>
      <c r="F17" s="89">
        <f>SUMIFS('1月数据源'!I:I,'1月数据源'!D:D,E17,'1月数据源'!F:F,"浙江精准学科技有限公司")-SUMIFS('1月数据源'!J:J,'1月数据源'!D:D,E17,'1月数据源'!F:F,"浙江精准学科技有限公司")</f>
        <v/>
      </c>
      <c r="G17" s="89">
        <f>SUMIFS('2月数据源'!I:I,'2月数据源'!D:D,E17,'2月数据源'!F:F,"浙江精准学科技有限公司")-SUMIFS('2月数据源'!J:J,'2月数据源'!D:D,E17,'2月数据源'!F:F,"浙江精准学科技有限公司")</f>
        <v/>
      </c>
      <c r="H17" s="89">
        <f>SUMIFS('3月数据源'!I:I,'3月数据源'!D:D,E17,'3月数据源'!F:F,"浙江精准学科技有限公司")-SUMIFS('3月数据源'!J:J,'3月数据源'!D:D,E17,'3月数据源'!F:F,"浙江精准学科技有限公司")</f>
        <v/>
      </c>
      <c r="I17" s="89">
        <f>SUMIFS('4月数据源'!I:I,'4月数据源'!D:D,E17,'4月数据源'!F:F,"浙江精准学科技有限公司")-SUMIFS('4月数据源'!J:J,'4月数据源'!D:D,E17,'4月数据源'!F:F,"浙江精准学科技有限公司")</f>
        <v/>
      </c>
      <c r="J17" s="89">
        <f>SUMIFS('5月数据源'!I:I,'5月数据源'!D:D,E17,'5月数据源'!F:F,"浙江精准学科技有限公司")-SUMIFS('5月数据源'!J:J,'5月数据源'!D:D,E17,'5月数据源'!F:F,"浙江精准学科技有限公司")</f>
        <v/>
      </c>
      <c r="K17" s="89">
        <f>SUMIFS('6月数据源'!$I:$I,'6月数据源'!$D:$D,$E17,'6月数据源'!$F:$F,"浙江精准学科技有限公司")-SUMIFS('6月数据源'!$J:$J,'6月数据源'!$D:$D,$E17,'6月数据源'!$F:$F,"浙江精准学科技有限公司")</f>
        <v/>
      </c>
      <c r="L17" s="89">
        <f>SUMIFS('7月数据源'!$I:$I,'7月数据源'!$D:$D,$E17,'7月数据源'!$F:$F,"浙江精准学科技有限公司")-SUMIFS('7月数据源'!$J:$J,'7月数据源'!$D:$D,$E17,'7月数据源'!$F:$F,"浙江精准学科技有限公司")</f>
        <v/>
      </c>
      <c r="M17" s="89">
        <f>SUMIFS('8月数据源'!$I:$I,'8月数据源'!$D:$D,$E17,'8月数据源'!$F:$F,"浙江精准学科技有限公司")-SUMIFS('8月数据源'!$J:$J,'8月数据源'!$D:$D,$E17,'8月数据源'!$F:$F,"浙江精准学科技有限公司")</f>
        <v/>
      </c>
      <c r="N17" s="89">
        <f>SUMIFS('9月数据源'!$I:$I,'9月数据源'!$D:$D,$E17,'9月数据源'!$F:$F,"浙江精准学科技有限公司")-SUMIFS('9月数据源'!$J:$J,'9月数据源'!$D:$D,$E17,'9月数据源'!$F:$F,"浙江精准学科技有限公司")</f>
        <v/>
      </c>
      <c r="O17" s="89">
        <f>SUMIFS('10月数据源'!$I:$I,'10月数据源'!$D:$D,$E17,'10月数据源'!$F:$F,"浙江精准学科技有限公司")-SUMIFS('10月数据源'!$J:$J,'10月数据源'!$D:$D,$E17,'10月数据源'!$F:$F,"浙江精准学科技有限公司")</f>
        <v/>
      </c>
      <c r="P17" s="89">
        <f>SUMIFS('11月数据源'!$I:$I,'11月数据源'!$D:$D,$E17,'11月数据源'!$F:$F,"浙江精准学科技有限公司")-SUMIFS('11月数据源'!$J:$J,'11月数据源'!$D:$D,$E17,'11月数据源'!$F:$F,"浙江精准学科技有限公司")</f>
        <v/>
      </c>
      <c r="Q17" s="89">
        <f>SUMIFS('12月数据源'!$I:$I,'12月数据源'!$D:$D,$E17,'12月数据源'!$F:$F,"浙江精准学科技有限公司")-SUMIFS('12月数据源'!$J:$J,'12月数据源'!$D:$D,$E17,'12月数据源'!$F:$F,"浙江精准学科技有限公司")</f>
        <v/>
      </c>
    </row>
    <row r="18" s="83">
      <c r="A18" s="49" t="inlineStr">
        <is>
          <t>投资款收入合计</t>
        </is>
      </c>
      <c r="B18" s="50" t="n"/>
      <c r="C18" s="50" t="n"/>
      <c r="D18" s="49" t="n"/>
      <c r="E18" s="49" t="n"/>
      <c r="F18" s="89">
        <f>SUM(F16:F17)</f>
        <v/>
      </c>
      <c r="G18" s="89">
        <f>SUM(G16:G17)</f>
        <v/>
      </c>
      <c r="H18" s="89">
        <f>SUM(H16:H17)</f>
        <v/>
      </c>
      <c r="I18" s="89">
        <f>SUM(I16:I17)</f>
        <v/>
      </c>
      <c r="J18" s="89">
        <f>SUM(J16:J17)</f>
        <v/>
      </c>
      <c r="K18" s="89">
        <f>SUM(K16:K17)</f>
        <v/>
      </c>
      <c r="L18" s="89">
        <f>SUM(L16:L17)</f>
        <v/>
      </c>
      <c r="M18" s="89">
        <f>SUM(M16:M17)</f>
        <v/>
      </c>
      <c r="N18" s="89">
        <f>SUM(N16:N17)</f>
        <v/>
      </c>
      <c r="O18" s="89">
        <f>SUM(O16:O17)</f>
        <v/>
      </c>
      <c r="P18" s="89">
        <f>SUM(P16:P17)</f>
        <v/>
      </c>
      <c r="Q18" s="89">
        <f>SUM(Q16:Q17)</f>
        <v/>
      </c>
    </row>
    <row r="19" s="83">
      <c r="A19" s="51" t="inlineStr">
        <is>
          <t>收款合计</t>
        </is>
      </c>
      <c r="B19" s="52" t="n"/>
      <c r="C19" s="52" t="n"/>
      <c r="D19" s="51" t="n"/>
      <c r="E19" s="51" t="n"/>
      <c r="F19" s="89">
        <f>F12+F15+F18</f>
        <v/>
      </c>
      <c r="G19" s="89">
        <f>G12+G15+G18</f>
        <v/>
      </c>
      <c r="H19" s="89">
        <f>H12+H15+H18</f>
        <v/>
      </c>
      <c r="I19" s="89">
        <f>I12+I15+I18</f>
        <v/>
      </c>
      <c r="J19" s="89">
        <f>J12+J15+J18</f>
        <v/>
      </c>
      <c r="K19" s="89">
        <f>K12+K15+K18</f>
        <v/>
      </c>
      <c r="L19" s="89">
        <f>L12+L15+L18</f>
        <v/>
      </c>
      <c r="M19" s="89">
        <f>M12+M15+M18</f>
        <v/>
      </c>
      <c r="N19" s="89">
        <f>N12+N15+N18</f>
        <v/>
      </c>
      <c r="O19" s="89">
        <f>O12+O15+O18</f>
        <v/>
      </c>
      <c r="P19" s="89">
        <f>P12+P15+P18</f>
        <v/>
      </c>
      <c r="Q19" s="89">
        <f>Q12+Q15+Q18</f>
        <v/>
      </c>
    </row>
    <row r="20" s="83">
      <c r="A20" s="5" t="inlineStr">
        <is>
          <t>往来款项支出</t>
        </is>
      </c>
      <c r="B20" s="6" t="inlineStr">
        <is>
          <t>往来款项支出</t>
        </is>
      </c>
      <c r="C20" s="6" t="inlineStr">
        <is>
          <t>往来款项支出</t>
        </is>
      </c>
      <c r="D20" s="5" t="inlineStr">
        <is>
          <t>内部往来支出</t>
        </is>
      </c>
      <c r="E20" s="6" t="inlineStr">
        <is>
          <t>Q0601</t>
        </is>
      </c>
      <c r="F20" s="89">
        <f>-SUMIFS('1月数据源'!I:I,'1月数据源'!D:D,E20,'1月数据源'!F:F,"浙江精准学科技有限公司")+SUMIFS('1月数据源'!J:J,'1月数据源'!D:D,E20,'1月数据源'!F:F,"浙江精准学科技有限公司")</f>
        <v/>
      </c>
      <c r="G20" s="89">
        <f>-SUMIFS('2月数据源'!I:I,'2月数据源'!D:D,E20,'2月数据源'!F:F,"浙江精准学科技有限公司")+SUMIFS('2月数据源'!J:J,'2月数据源'!D:D,E20,'2月数据源'!F:F,"浙江精准学科技有限公司")</f>
        <v/>
      </c>
      <c r="H20" s="89">
        <f>-SUMIFS('3月数据源'!I:I,'3月数据源'!D:D,E20,'3月数据源'!F:F,"浙江精准学科技有限公司")+SUMIFS('3月数据源'!J:J,'3月数据源'!D:D,E20,'3月数据源'!F:F,"浙江精准学科技有限公司")</f>
        <v/>
      </c>
      <c r="I20" s="89">
        <f>-SUMIFS('4月数据源'!I:I,'4月数据源'!D:D,E20,'4月数据源'!F:F,"浙江精准学科技有限公司")+SUMIFS('4月数据源'!J:J,'4月数据源'!D:D,E20,'4月数据源'!F:F,"浙江精准学科技有限公司")</f>
        <v/>
      </c>
      <c r="J20" s="89">
        <f>-SUMIFS('5月数据源'!I:I,'5月数据源'!D:D,E20,'5月数据源'!F:F,"浙江精准学科技有限公司")+SUMIFS('5月数据源'!J:J,'5月数据源'!D:D,E20,'5月数据源'!F:F,"浙江精准学科技有限公司")</f>
        <v/>
      </c>
      <c r="K20" s="89">
        <f>-SUMIFS('6月数据源'!$I:$I,'6月数据源'!$D:$D,$E20,'6月数据源'!$F:$F,"浙江精准学科技有限公司")+SUMIFS('6月数据源'!$J:$J,'6月数据源'!$D:$D,$E20,'6月数据源'!$F:$F,"浙江精准学科技有限公司")</f>
        <v/>
      </c>
      <c r="L20" s="89">
        <f>-SUMIFS('7月数据源'!$I:$I,'7月数据源'!$D:$D,$E20,'7月数据源'!$F:$F,"浙江精准学科技有限公司")+SUMIFS('7月数据源'!$J:$J,'7月数据源'!$D:$D,$E20,'7月数据源'!$F:$F,"浙江精准学科技有限公司")</f>
        <v/>
      </c>
      <c r="M20" s="89">
        <f>-SUMIFS('8月数据源'!$I:$I,'8月数据源'!$D:$D,$E20,'8月数据源'!$F:$F,"浙江精准学科技有限公司")+SUMIFS('8月数据源'!$J:$J,'8月数据源'!$D:$D,$E20,'8月数据源'!$F:$F,"浙江精准学科技有限公司")</f>
        <v/>
      </c>
      <c r="N20" s="89">
        <f>-SUMIFS('9月数据源'!$I:$I,'9月数据源'!$D:$D,$E20,'9月数据源'!$F:$F,"浙江精准学科技有限公司")+SUMIFS('9月数据源'!$J:$J,'9月数据源'!$D:$D,$E20,'9月数据源'!$F:$F,"浙江精准学科技有限公司")</f>
        <v/>
      </c>
      <c r="O20" s="89">
        <f>-SUMIFS('10月数据源'!$I:$I,'10月数据源'!$D:$D,$E20,'10月数据源'!$F:$F,"浙江精准学科技有限公司")+SUMIFS('10月数据源'!$J:$J,'10月数据源'!$D:$D,$E20,'10月数据源'!$F:$F,"浙江精准学科技有限公司")</f>
        <v/>
      </c>
      <c r="P20" s="89">
        <f>-SUMIFS('11月数据源'!$I:$I,'11月数据源'!$D:$D,$E20,'11月数据源'!$F:$F,"浙江精准学科技有限公司")+SUMIFS('11月数据源'!$J:$J,'11月数据源'!$D:$D,$E20,'11月数据源'!$F:$F,"浙江精准学科技有限公司")</f>
        <v/>
      </c>
      <c r="Q20" s="89">
        <f>-SUMIFS('12月数据源'!$I:$I,'12月数据源'!$D:$D,$E20,'12月数据源'!$F:$F,"浙江精准学科技有限公司")+SUMIFS('12月数据源'!$J:$J,'12月数据源'!$D:$D,$E20,'12月数据源'!$F:$F,"浙江精准学科技有限公司")</f>
        <v/>
      </c>
    </row>
    <row r="21" s="83">
      <c r="A21" s="5" t="inlineStr">
        <is>
          <t>往来款项支出</t>
        </is>
      </c>
      <c r="B21" s="6" t="inlineStr">
        <is>
          <t>往来款项支出</t>
        </is>
      </c>
      <c r="D21" s="5" t="inlineStr">
        <is>
          <t>外部往来支出</t>
        </is>
      </c>
      <c r="E21" s="6" t="inlineStr">
        <is>
          <t>Q0602</t>
        </is>
      </c>
      <c r="F21" s="89">
        <f>-SUMIFS('1月数据源'!I:I,'1月数据源'!D:D,E21,'1月数据源'!F:F,"浙江精准学科技有限公司")+SUMIFS('1月数据源'!J:J,'1月数据源'!D:D,E21,'1月数据源'!F:F,"浙江精准学科技有限公司")</f>
        <v/>
      </c>
      <c r="G21" s="89">
        <f>-SUMIFS('2月数据源'!I:I,'2月数据源'!D:D,E21,'2月数据源'!F:F,"浙江精准学科技有限公司")+SUMIFS('2月数据源'!J:J,'2月数据源'!D:D,E21,'2月数据源'!F:F,"浙江精准学科技有限公司")</f>
        <v/>
      </c>
      <c r="H21" s="89">
        <f>-SUMIFS('3月数据源'!I:I,'3月数据源'!D:D,E21,'3月数据源'!F:F,"浙江精准学科技有限公司")+SUMIFS('3月数据源'!J:J,'3月数据源'!D:D,E21,'3月数据源'!F:F,"浙江精准学科技有限公司")</f>
        <v/>
      </c>
      <c r="I21" s="89">
        <f>-SUMIFS('4月数据源'!I:I,'4月数据源'!D:D,E21,'4月数据源'!F:F,"浙江精准学科技有限公司")+SUMIFS('4月数据源'!J:J,'4月数据源'!D:D,E21,'4月数据源'!F:F,"浙江精准学科技有限公司")</f>
        <v/>
      </c>
      <c r="J21" s="89">
        <f>-SUMIFS('5月数据源'!I:I,'5月数据源'!D:D,E21,'5月数据源'!F:F,"浙江精准学科技有限公司")+SUMIFS('5月数据源'!J:J,'5月数据源'!D:D,E21,'5月数据源'!F:F,"浙江精准学科技有限公司")</f>
        <v/>
      </c>
      <c r="K21" s="89">
        <f>-SUMIFS('6月数据源'!$I:$I,'6月数据源'!$D:$D,$E21,'6月数据源'!$F:$F,"浙江精准学科技有限公司")+SUMIFS('6月数据源'!$J:$J,'6月数据源'!$D:$D,$E21,'6月数据源'!$F:$F,"浙江精准学科技有限公司")</f>
        <v/>
      </c>
      <c r="L21" s="89">
        <f>-SUMIFS('7月数据源'!$I:$I,'7月数据源'!$D:$D,$E21,'7月数据源'!$F:$F,"浙江精准学科技有限公司")+SUMIFS('7月数据源'!$J:$J,'7月数据源'!$D:$D,$E21,'7月数据源'!$F:$F,"浙江精准学科技有限公司")</f>
        <v/>
      </c>
      <c r="M21" s="89">
        <f>-SUMIFS('8月数据源'!$I:$I,'8月数据源'!$D:$D,$E21,'8月数据源'!$F:$F,"浙江精准学科技有限公司")+SUMIFS('8月数据源'!$J:$J,'8月数据源'!$D:$D,$E21,'8月数据源'!$F:$F,"浙江精准学科技有限公司")</f>
        <v/>
      </c>
      <c r="N21" s="89">
        <f>-SUMIFS('9月数据源'!$I:$I,'9月数据源'!$D:$D,$E21,'9月数据源'!$F:$F,"浙江精准学科技有限公司")+SUMIFS('9月数据源'!$J:$J,'9月数据源'!$D:$D,$E21,'9月数据源'!$F:$F,"浙江精准学科技有限公司")</f>
        <v/>
      </c>
      <c r="O21" s="89">
        <f>-SUMIFS('10月数据源'!$I:$I,'10月数据源'!$D:$D,$E21,'10月数据源'!$F:$F,"浙江精准学科技有限公司")+SUMIFS('10月数据源'!$J:$J,'10月数据源'!$D:$D,$E21,'10月数据源'!$F:$F,"浙江精准学科技有限公司")</f>
        <v/>
      </c>
      <c r="P21" s="89">
        <f>-SUMIFS('11月数据源'!$I:$I,'11月数据源'!$D:$D,$E21,'11月数据源'!$F:$F,"浙江精准学科技有限公司")+SUMIFS('11月数据源'!$J:$J,'11月数据源'!$D:$D,$E21,'11月数据源'!$F:$F,"浙江精准学科技有限公司")</f>
        <v/>
      </c>
      <c r="Q21" s="89">
        <f>-SUMIFS('12月数据源'!$I:$I,'12月数据源'!$D:$D,$E21,'12月数据源'!$F:$F,"浙江精准学科技有限公司")+SUMIFS('12月数据源'!$J:$J,'12月数据源'!$D:$D,$E21,'12月数据源'!$F:$F,"浙江精准学科技有限公司")</f>
        <v/>
      </c>
    </row>
    <row r="22" s="83">
      <c r="A22" s="49" t="inlineStr">
        <is>
          <t>往来款项支出合计</t>
        </is>
      </c>
      <c r="B22" s="50" t="n"/>
      <c r="C22" s="50" t="n"/>
      <c r="D22" s="49" t="n"/>
      <c r="E22" s="49" t="n"/>
      <c r="F22" s="89">
        <f>SUM(F20:F21)</f>
        <v/>
      </c>
      <c r="G22" s="89">
        <f>SUM(G20:G21)</f>
        <v/>
      </c>
      <c r="H22" s="89">
        <f>SUM(H20:H21)</f>
        <v/>
      </c>
      <c r="I22" s="89">
        <f>SUM(I20:I21)</f>
        <v/>
      </c>
      <c r="J22" s="89">
        <f>SUM(J20:J21)</f>
        <v/>
      </c>
      <c r="K22" s="89">
        <f>SUM(K20:K21)</f>
        <v/>
      </c>
      <c r="L22" s="89">
        <f>SUM(L20:L21)</f>
        <v/>
      </c>
      <c r="M22" s="89">
        <f>SUM(M20:M21)</f>
        <v/>
      </c>
      <c r="N22" s="89">
        <f>SUM(N20:N21)</f>
        <v/>
      </c>
      <c r="O22" s="89">
        <f>SUM(O20:O21)</f>
        <v/>
      </c>
      <c r="P22" s="89">
        <f>SUM(P20:P21)</f>
        <v/>
      </c>
      <c r="Q22" s="89">
        <f>SUM(Q20:Q21)</f>
        <v/>
      </c>
    </row>
    <row r="23" s="83">
      <c r="A23" s="5" t="inlineStr">
        <is>
          <t>投资款支出</t>
        </is>
      </c>
      <c r="B23" s="6" t="inlineStr">
        <is>
          <t>投资款支出</t>
        </is>
      </c>
      <c r="C23" s="6" t="inlineStr">
        <is>
          <t>投资款支出</t>
        </is>
      </c>
      <c r="D23" s="5" t="inlineStr">
        <is>
          <t>内部投资款支出</t>
        </is>
      </c>
      <c r="E23" s="6" t="inlineStr">
        <is>
          <t>Q0701</t>
        </is>
      </c>
      <c r="F23" s="89">
        <f>-SUMIFS('1月数据源'!I:I,'1月数据源'!D:D,E23,'1月数据源'!F:F,"浙江精准学科技有限公司")+SUMIFS('1月数据源'!J:J,'1月数据源'!D:D,E23,'1月数据源'!F:F,"浙江精准学科技有限公司")</f>
        <v/>
      </c>
      <c r="G23" s="89">
        <f>-SUMIFS('2月数据源'!I:I,'2月数据源'!D:D,E23,'2月数据源'!F:F,"浙江精准学科技有限公司")+SUMIFS('2月数据源'!J:J,'2月数据源'!D:D,E23,'2月数据源'!F:F,"浙江精准学科技有限公司")</f>
        <v/>
      </c>
      <c r="H23" s="89">
        <f>-SUMIFS('3月数据源'!I:I,'3月数据源'!D:D,E23,'3月数据源'!F:F,"浙江精准学科技有限公司")+SUMIFS('3月数据源'!J:J,'3月数据源'!D:D,E23,'3月数据源'!F:F,"浙江精准学科技有限公司")</f>
        <v/>
      </c>
      <c r="I23" s="89">
        <f>-SUMIFS('4月数据源'!I:I,'4月数据源'!D:D,E23,'4月数据源'!F:F,"浙江精准学科技有限公司")+SUMIFS('4月数据源'!J:J,'4月数据源'!D:D,E23,'4月数据源'!F:F,"浙江精准学科技有限公司")</f>
        <v/>
      </c>
      <c r="J23" s="89">
        <f>-SUMIFS('5月数据源'!I:I,'5月数据源'!D:D,E23,'5月数据源'!F:F,"浙江精准学科技有限公司")+SUMIFS('5月数据源'!J:J,'5月数据源'!D:D,E23,'5月数据源'!F:F,"浙江精准学科技有限公司")</f>
        <v/>
      </c>
      <c r="K23" s="89">
        <f>-SUMIFS('6月数据源'!$I:$I,'6月数据源'!$D:$D,$E23,'6月数据源'!$F:$F,"浙江精准学科技有限公司")+SUMIFS('6月数据源'!$J:$J,'6月数据源'!$D:$D,$E23,'6月数据源'!$F:$F,"浙江精准学科技有限公司")</f>
        <v/>
      </c>
      <c r="L23" s="89">
        <f>-SUMIFS('7月数据源'!$I:$I,'7月数据源'!$D:$D,$E23,'7月数据源'!$F:$F,"浙江精准学科技有限公司")+SUMIFS('7月数据源'!$J:$J,'7月数据源'!$D:$D,$E23,'7月数据源'!$F:$F,"浙江精准学科技有限公司")</f>
        <v/>
      </c>
      <c r="M23" s="89">
        <f>-SUMIFS('8月数据源'!$I:$I,'8月数据源'!$D:$D,$E23,'8月数据源'!$F:$F,"浙江精准学科技有限公司")+SUMIFS('8月数据源'!$J:$J,'8月数据源'!$D:$D,$E23,'8月数据源'!$F:$F,"浙江精准学科技有限公司")</f>
        <v/>
      </c>
      <c r="N23" s="89">
        <f>-SUMIFS('9月数据源'!$I:$I,'9月数据源'!$D:$D,$E23,'9月数据源'!$F:$F,"浙江精准学科技有限公司")+SUMIFS('9月数据源'!$J:$J,'9月数据源'!$D:$D,$E23,'9月数据源'!$F:$F,"浙江精准学科技有限公司")</f>
        <v/>
      </c>
      <c r="O23" s="89">
        <f>-SUMIFS('10月数据源'!$I:$I,'10月数据源'!$D:$D,$E23,'10月数据源'!$F:$F,"浙江精准学科技有限公司")+SUMIFS('10月数据源'!$J:$J,'10月数据源'!$D:$D,$E23,'10月数据源'!$F:$F,"浙江精准学科技有限公司")</f>
        <v/>
      </c>
      <c r="P23" s="89">
        <f>-SUMIFS('11月数据源'!$I:$I,'11月数据源'!$D:$D,$E23,'11月数据源'!$F:$F,"浙江精准学科技有限公司")+SUMIFS('11月数据源'!$J:$J,'11月数据源'!$D:$D,$E23,'11月数据源'!$F:$F,"浙江精准学科技有限公司")</f>
        <v/>
      </c>
      <c r="Q23" s="89">
        <f>-SUMIFS('12月数据源'!$I:$I,'12月数据源'!$D:$D,$E23,'12月数据源'!$F:$F,"浙江精准学科技有限公司")+SUMIFS('12月数据源'!$J:$J,'12月数据源'!$D:$D,$E23,'12月数据源'!$F:$F,"浙江精准学科技有限公司")</f>
        <v/>
      </c>
    </row>
    <row r="24" s="83">
      <c r="A24" s="49" t="inlineStr">
        <is>
          <t>投资款支出合计</t>
        </is>
      </c>
      <c r="B24" s="50" t="n"/>
      <c r="C24" s="50" t="n"/>
      <c r="D24" s="49" t="n"/>
      <c r="E24" s="49" t="n"/>
      <c r="F24" s="89">
        <f>SUM(F23:F23)</f>
        <v/>
      </c>
      <c r="G24" s="89">
        <f>SUM(G23:G23)</f>
        <v/>
      </c>
      <c r="H24" s="89">
        <f>SUM(H23:H23)</f>
        <v/>
      </c>
      <c r="I24" s="89">
        <f>SUM(I23:I23)</f>
        <v/>
      </c>
      <c r="J24" s="89">
        <f>SUM(J23:J23)</f>
        <v/>
      </c>
      <c r="K24" s="89">
        <f>SUM(K23:K23)</f>
        <v/>
      </c>
      <c r="L24" s="89">
        <f>SUM(L23:L23)</f>
        <v/>
      </c>
      <c r="M24" s="89">
        <f>SUM(M23:M23)</f>
        <v/>
      </c>
      <c r="N24" s="89">
        <f>SUM(N23:N23)</f>
        <v/>
      </c>
      <c r="O24" s="89">
        <f>SUM(O23:O23)</f>
        <v/>
      </c>
      <c r="P24" s="89">
        <f>SUM(P23:P23)</f>
        <v/>
      </c>
      <c r="Q24" s="89">
        <f>SUM(Q23:Q23)</f>
        <v/>
      </c>
    </row>
    <row r="25" s="83">
      <c r="A25" s="5" t="inlineStr">
        <is>
          <t>人工成本</t>
        </is>
      </c>
      <c r="B25" s="6" t="inlineStr">
        <is>
          <t>人工成本</t>
        </is>
      </c>
      <c r="C25" s="6" t="inlineStr">
        <is>
          <t>人工成本</t>
        </is>
      </c>
      <c r="D25" s="5" t="inlineStr">
        <is>
          <t>实发工资</t>
        </is>
      </c>
      <c r="E25" s="6" t="inlineStr">
        <is>
          <t>Q0801</t>
        </is>
      </c>
      <c r="F25" s="89">
        <f>-SUMIFS('1月数据源'!I:I,'1月数据源'!D:D,E25,'1月数据源'!F:F,"浙江精准学科技有限公司")+SUMIFS('1月数据源'!J:J,'1月数据源'!D:D,E25,'1月数据源'!F:F,"浙江精准学科技有限公司")</f>
        <v/>
      </c>
      <c r="G25" s="89">
        <f>-SUMIFS('2月数据源'!I:I,'2月数据源'!D:D,E25,'2月数据源'!F:F,"浙江精准学科技有限公司")+SUMIFS('2月数据源'!J:J,'2月数据源'!D:D,E25,'2月数据源'!F:F,"浙江精准学科技有限公司")</f>
        <v/>
      </c>
      <c r="H25" s="89">
        <f>-SUMIFS('3月数据源'!I:I,'3月数据源'!D:D,E25,'3月数据源'!F:F,"浙江精准学科技有限公司")+SUMIFS('3月数据源'!J:J,'3月数据源'!D:D,E25,'3月数据源'!F:F,"浙江精准学科技有限公司")</f>
        <v/>
      </c>
      <c r="I25" s="89">
        <f>-SUMIFS('4月数据源'!I:I,'4月数据源'!D:D,E25,'4月数据源'!F:F,"浙江精准学科技有限公司")+SUMIFS('4月数据源'!J:J,'4月数据源'!D:D,E25,'4月数据源'!F:F,"浙江精准学科技有限公司")</f>
        <v/>
      </c>
      <c r="J25" s="89">
        <f>-SUMIFS('5月数据源'!I:I,'5月数据源'!D:D,E25,'5月数据源'!F:F,"浙江精准学科技有限公司")+SUMIFS('5月数据源'!J:J,'5月数据源'!D:D,E25,'5月数据源'!F:F,"浙江精准学科技有限公司")</f>
        <v/>
      </c>
      <c r="K25" s="89">
        <f>-SUMIFS('6月数据源'!$I:$I,'6月数据源'!$D:$D,$E25,'6月数据源'!$F:$F,"浙江精准学科技有限公司")+SUMIFS('6月数据源'!$J:$J,'6月数据源'!$D:$D,$E25,'6月数据源'!$F:$F,"浙江精准学科技有限公司")</f>
        <v/>
      </c>
      <c r="L25" s="89">
        <f>-SUMIFS('7月数据源'!$I:$I,'7月数据源'!$D:$D,$E25,'7月数据源'!$F:$F,"浙江精准学科技有限公司")+SUMIFS('7月数据源'!$J:$J,'7月数据源'!$D:$D,$E25,'7月数据源'!$F:$F,"浙江精准学科技有限公司")</f>
        <v/>
      </c>
      <c r="M25" s="89">
        <f>-SUMIFS('8月数据源'!$I:$I,'8月数据源'!$D:$D,$E25,'8月数据源'!$F:$F,"浙江精准学科技有限公司")+SUMIFS('8月数据源'!$J:$J,'8月数据源'!$D:$D,$E25,'8月数据源'!$F:$F,"浙江精准学科技有限公司")</f>
        <v/>
      </c>
      <c r="N25" s="89">
        <f>-SUMIFS('9月数据源'!$I:$I,'9月数据源'!$D:$D,$E25,'9月数据源'!$F:$F,"浙江精准学科技有限公司")+SUMIFS('9月数据源'!$J:$J,'9月数据源'!$D:$D,$E25,'9月数据源'!$F:$F,"浙江精准学科技有限公司")</f>
        <v/>
      </c>
      <c r="O25" s="89">
        <f>-SUMIFS('10月数据源'!$I:$I,'10月数据源'!$D:$D,$E25,'10月数据源'!$F:$F,"浙江精准学科技有限公司")+SUMIFS('10月数据源'!$J:$J,'10月数据源'!$D:$D,$E25,'10月数据源'!$F:$F,"浙江精准学科技有限公司")</f>
        <v/>
      </c>
      <c r="P25" s="89">
        <f>-SUMIFS('11月数据源'!$I:$I,'11月数据源'!$D:$D,$E25,'11月数据源'!$F:$F,"浙江精准学科技有限公司")+SUMIFS('11月数据源'!$J:$J,'11月数据源'!$D:$D,$E25,'11月数据源'!$F:$F,"浙江精准学科技有限公司")</f>
        <v/>
      </c>
      <c r="Q25" s="89">
        <f>-SUMIFS('12月数据源'!$I:$I,'12月数据源'!$D:$D,$E25,'12月数据源'!$F:$F,"浙江精准学科技有限公司")+SUMIFS('12月数据源'!$J:$J,'12月数据源'!$D:$D,$E25,'12月数据源'!$F:$F,"浙江精准学科技有限公司")</f>
        <v/>
      </c>
    </row>
    <row r="26" s="83">
      <c r="A26" s="5" t="inlineStr">
        <is>
          <t>人工成本</t>
        </is>
      </c>
      <c r="B26" s="6" t="inlineStr">
        <is>
          <t>人工成本</t>
        </is>
      </c>
      <c r="D26" s="5" t="inlineStr">
        <is>
          <t>奖金</t>
        </is>
      </c>
      <c r="E26" s="6" t="inlineStr">
        <is>
          <t>Q0802</t>
        </is>
      </c>
      <c r="F26" s="89">
        <f>-SUMIFS('1月数据源'!I:I,'1月数据源'!D:D,E26,'1月数据源'!F:F,"浙江精准学科技有限公司")+SUMIFS('1月数据源'!J:J,'1月数据源'!D:D,E26,'1月数据源'!F:F,"浙江精准学科技有限公司")</f>
        <v/>
      </c>
      <c r="G26" s="89">
        <f>-SUMIFS('2月数据源'!I:I,'2月数据源'!D:D,E26,'2月数据源'!F:F,"浙江精准学科技有限公司")+SUMIFS('2月数据源'!J:J,'2月数据源'!D:D,E26,'2月数据源'!F:F,"浙江精准学科技有限公司")</f>
        <v/>
      </c>
      <c r="H26" s="89">
        <f>-SUMIFS('3月数据源'!I:I,'3月数据源'!D:D,E26,'3月数据源'!F:F,"浙江精准学科技有限公司")+SUMIFS('3月数据源'!J:J,'3月数据源'!D:D,E26,'3月数据源'!F:F,"浙江精准学科技有限公司")</f>
        <v/>
      </c>
      <c r="I26" s="89">
        <f>-SUMIFS('4月数据源'!I:I,'4月数据源'!D:D,E26,'4月数据源'!F:F,"浙江精准学科技有限公司")+SUMIFS('4月数据源'!J:J,'4月数据源'!D:D,E26,'4月数据源'!F:F,"浙江精准学科技有限公司")</f>
        <v/>
      </c>
      <c r="J26" s="89">
        <f>-SUMIFS('5月数据源'!I:I,'5月数据源'!D:D,E26,'5月数据源'!F:F,"浙江精准学科技有限公司")+SUMIFS('5月数据源'!J:J,'5月数据源'!D:D,E26,'5月数据源'!F:F,"浙江精准学科技有限公司")</f>
        <v/>
      </c>
      <c r="K26" s="89">
        <f>-SUMIFS('6月数据源'!$I:$I,'6月数据源'!$D:$D,$E26,'6月数据源'!$F:$F,"浙江精准学科技有限公司")+SUMIFS('6月数据源'!$J:$J,'6月数据源'!$D:$D,$E26,'6月数据源'!$F:$F,"浙江精准学科技有限公司")</f>
        <v/>
      </c>
      <c r="L26" s="89">
        <f>-SUMIFS('7月数据源'!$I:$I,'7月数据源'!$D:$D,$E26,'7月数据源'!$F:$F,"浙江精准学科技有限公司")+SUMIFS('7月数据源'!$J:$J,'7月数据源'!$D:$D,$E26,'7月数据源'!$F:$F,"浙江精准学科技有限公司")</f>
        <v/>
      </c>
      <c r="M26" s="89">
        <f>-SUMIFS('8月数据源'!$I:$I,'8月数据源'!$D:$D,$E26,'8月数据源'!$F:$F,"浙江精准学科技有限公司")+SUMIFS('8月数据源'!$J:$J,'8月数据源'!$D:$D,$E26,'8月数据源'!$F:$F,"浙江精准学科技有限公司")</f>
        <v/>
      </c>
      <c r="N26" s="89">
        <f>-SUMIFS('9月数据源'!$I:$I,'9月数据源'!$D:$D,$E26,'9月数据源'!$F:$F,"浙江精准学科技有限公司")+SUMIFS('9月数据源'!$J:$J,'9月数据源'!$D:$D,$E26,'9月数据源'!$F:$F,"浙江精准学科技有限公司")</f>
        <v/>
      </c>
      <c r="O26" s="89">
        <f>-SUMIFS('10月数据源'!$I:$I,'10月数据源'!$D:$D,$E26,'10月数据源'!$F:$F,"浙江精准学科技有限公司")+SUMIFS('10月数据源'!$J:$J,'10月数据源'!$D:$D,$E26,'10月数据源'!$F:$F,"浙江精准学科技有限公司")</f>
        <v/>
      </c>
      <c r="P26" s="89">
        <f>-SUMIFS('11月数据源'!$I:$I,'11月数据源'!$D:$D,$E26,'11月数据源'!$F:$F,"浙江精准学科技有限公司")+SUMIFS('11月数据源'!$J:$J,'11月数据源'!$D:$D,$E26,'11月数据源'!$F:$F,"浙江精准学科技有限公司")</f>
        <v/>
      </c>
      <c r="Q26" s="89">
        <f>-SUMIFS('12月数据源'!$I:$I,'12月数据源'!$D:$D,$E26,'12月数据源'!$F:$F,"浙江精准学科技有限公司")+SUMIFS('12月数据源'!$J:$J,'12月数据源'!$D:$D,$E26,'12月数据源'!$F:$F,"浙江精准学科技有限公司")</f>
        <v/>
      </c>
    </row>
    <row r="27" s="83">
      <c r="A27" s="5" t="inlineStr">
        <is>
          <t>人工成本</t>
        </is>
      </c>
      <c r="B27" s="6" t="inlineStr">
        <is>
          <t>人工成本</t>
        </is>
      </c>
      <c r="D27" s="5" t="inlineStr">
        <is>
          <t>社保（单位+个人）</t>
        </is>
      </c>
      <c r="E27" s="6" t="inlineStr">
        <is>
          <t>Q0803</t>
        </is>
      </c>
      <c r="F27" s="89">
        <f>-SUMIFS('1月数据源'!I:I,'1月数据源'!D:D,E27,'1月数据源'!F:F,"浙江精准学科技有限公司")+SUMIFS('1月数据源'!J:J,'1月数据源'!D:D,E27,'1月数据源'!F:F,"浙江精准学科技有限公司")</f>
        <v/>
      </c>
      <c r="G27" s="89">
        <f>-SUMIFS('2月数据源'!I:I,'2月数据源'!D:D,E27,'2月数据源'!F:F,"浙江精准学科技有限公司")+SUMIFS('2月数据源'!J:J,'2月数据源'!D:D,E27,'2月数据源'!F:F,"浙江精准学科技有限公司")</f>
        <v/>
      </c>
      <c r="H27" s="89">
        <f>-SUMIFS('3月数据源'!I:I,'3月数据源'!D:D,E27,'3月数据源'!F:F,"浙江精准学科技有限公司")+SUMIFS('3月数据源'!J:J,'3月数据源'!D:D,E27,'3月数据源'!F:F,"浙江精准学科技有限公司")</f>
        <v/>
      </c>
      <c r="I27" s="89">
        <f>-SUMIFS('4月数据源'!I:I,'4月数据源'!D:D,E27,'4月数据源'!F:F,"浙江精准学科技有限公司")+SUMIFS('4月数据源'!J:J,'4月数据源'!D:D,E27,'4月数据源'!F:F,"浙江精准学科技有限公司")</f>
        <v/>
      </c>
      <c r="J27" s="89">
        <f>-SUMIFS('5月数据源'!I:I,'5月数据源'!D:D,E27,'5月数据源'!F:F,"浙江精准学科技有限公司")+SUMIFS('5月数据源'!J:J,'5月数据源'!D:D,E27,'5月数据源'!F:F,"浙江精准学科技有限公司")</f>
        <v/>
      </c>
      <c r="K27" s="89">
        <f>-SUMIFS('6月数据源'!$I:$I,'6月数据源'!$D:$D,$E27,'6月数据源'!$F:$F,"浙江精准学科技有限公司")+SUMIFS('6月数据源'!$J:$J,'6月数据源'!$D:$D,$E27,'6月数据源'!$F:$F,"浙江精准学科技有限公司")</f>
        <v/>
      </c>
      <c r="L27" s="89">
        <f>-SUMIFS('7月数据源'!$I:$I,'7月数据源'!$D:$D,$E27,'7月数据源'!$F:$F,"浙江精准学科技有限公司")+SUMIFS('7月数据源'!$J:$J,'7月数据源'!$D:$D,$E27,'7月数据源'!$F:$F,"浙江精准学科技有限公司")</f>
        <v/>
      </c>
      <c r="M27" s="89">
        <f>-SUMIFS('8月数据源'!$I:$I,'8月数据源'!$D:$D,$E27,'8月数据源'!$F:$F,"浙江精准学科技有限公司")+SUMIFS('8月数据源'!$J:$J,'8月数据源'!$D:$D,$E27,'8月数据源'!$F:$F,"浙江精准学科技有限公司")</f>
        <v/>
      </c>
      <c r="N27" s="89">
        <f>-SUMIFS('9月数据源'!$I:$I,'9月数据源'!$D:$D,$E27,'9月数据源'!$F:$F,"浙江精准学科技有限公司")+SUMIFS('9月数据源'!$J:$J,'9月数据源'!$D:$D,$E27,'9月数据源'!$F:$F,"浙江精准学科技有限公司")</f>
        <v/>
      </c>
      <c r="O27" s="89">
        <f>-SUMIFS('10月数据源'!$I:$I,'10月数据源'!$D:$D,$E27,'10月数据源'!$F:$F,"浙江精准学科技有限公司")+SUMIFS('10月数据源'!$J:$J,'10月数据源'!$D:$D,$E27,'10月数据源'!$F:$F,"浙江精准学科技有限公司")</f>
        <v/>
      </c>
      <c r="P27" s="89">
        <f>-SUMIFS('11月数据源'!$I:$I,'11月数据源'!$D:$D,$E27,'11月数据源'!$F:$F,"浙江精准学科技有限公司")+SUMIFS('11月数据源'!$J:$J,'11月数据源'!$D:$D,$E27,'11月数据源'!$F:$F,"浙江精准学科技有限公司")</f>
        <v/>
      </c>
      <c r="Q27" s="89">
        <f>-SUMIFS('12月数据源'!$I:$I,'12月数据源'!$D:$D,$E27,'12月数据源'!$F:$F,"浙江精准学科技有限公司")+SUMIFS('12月数据源'!$J:$J,'12月数据源'!$D:$D,$E27,'12月数据源'!$F:$F,"浙江精准学科技有限公司")</f>
        <v/>
      </c>
    </row>
    <row r="28" s="83">
      <c r="A28" s="5" t="inlineStr">
        <is>
          <t>人工成本</t>
        </is>
      </c>
      <c r="B28" s="6" t="inlineStr">
        <is>
          <t>人工成本</t>
        </is>
      </c>
      <c r="D28" s="5" t="inlineStr">
        <is>
          <t>公积金（单位+个人）</t>
        </is>
      </c>
      <c r="E28" s="6" t="inlineStr">
        <is>
          <t>Q0804</t>
        </is>
      </c>
      <c r="F28" s="89">
        <f>-SUMIFS('1月数据源'!I:I,'1月数据源'!D:D,E28,'1月数据源'!F:F,"浙江精准学科技有限公司")+SUMIFS('1月数据源'!J:J,'1月数据源'!D:D,E28,'1月数据源'!F:F,"浙江精准学科技有限公司")</f>
        <v/>
      </c>
      <c r="G28" s="89">
        <f>-SUMIFS('2月数据源'!I:I,'2月数据源'!D:D,E28,'2月数据源'!F:F,"浙江精准学科技有限公司")+SUMIFS('2月数据源'!J:J,'2月数据源'!D:D,E28,'2月数据源'!F:F,"浙江精准学科技有限公司")</f>
        <v/>
      </c>
      <c r="H28" s="89">
        <f>-SUMIFS('3月数据源'!I:I,'3月数据源'!D:D,E28,'3月数据源'!F:F,"浙江精准学科技有限公司")+SUMIFS('3月数据源'!J:J,'3月数据源'!D:D,E28,'3月数据源'!F:F,"浙江精准学科技有限公司")</f>
        <v/>
      </c>
      <c r="I28" s="89">
        <f>-SUMIFS('4月数据源'!I:I,'4月数据源'!D:D,E28,'4月数据源'!F:F,"浙江精准学科技有限公司")+SUMIFS('4月数据源'!J:J,'4月数据源'!D:D,E28,'4月数据源'!F:F,"浙江精准学科技有限公司")</f>
        <v/>
      </c>
      <c r="J28" s="89">
        <f>-SUMIFS('5月数据源'!I:I,'5月数据源'!D:D,E28,'5月数据源'!F:F,"浙江精准学科技有限公司")+SUMIFS('5月数据源'!J:J,'5月数据源'!D:D,E28,'5月数据源'!F:F,"浙江精准学科技有限公司")</f>
        <v/>
      </c>
      <c r="K28" s="89">
        <f>-SUMIFS('6月数据源'!$I:$I,'6月数据源'!$D:$D,$E28,'6月数据源'!$F:$F,"浙江精准学科技有限公司")+SUMIFS('6月数据源'!$J:$J,'6月数据源'!$D:$D,$E28,'6月数据源'!$F:$F,"浙江精准学科技有限公司")</f>
        <v/>
      </c>
      <c r="L28" s="89">
        <f>-SUMIFS('7月数据源'!$I:$I,'7月数据源'!$D:$D,$E28,'7月数据源'!$F:$F,"浙江精准学科技有限公司")+SUMIFS('7月数据源'!$J:$J,'7月数据源'!$D:$D,$E28,'7月数据源'!$F:$F,"浙江精准学科技有限公司")</f>
        <v/>
      </c>
      <c r="M28" s="89">
        <f>-SUMIFS('8月数据源'!$I:$I,'8月数据源'!$D:$D,$E28,'8月数据源'!$F:$F,"浙江精准学科技有限公司")+SUMIFS('8月数据源'!$J:$J,'8月数据源'!$D:$D,$E28,'8月数据源'!$F:$F,"浙江精准学科技有限公司")</f>
        <v/>
      </c>
      <c r="N28" s="89">
        <f>-SUMIFS('9月数据源'!$I:$I,'9月数据源'!$D:$D,$E28,'9月数据源'!$F:$F,"浙江精准学科技有限公司")+SUMIFS('9月数据源'!$J:$J,'9月数据源'!$D:$D,$E28,'9月数据源'!$F:$F,"浙江精准学科技有限公司")</f>
        <v/>
      </c>
      <c r="O28" s="89">
        <f>-SUMIFS('10月数据源'!$I:$I,'10月数据源'!$D:$D,$E28,'10月数据源'!$F:$F,"浙江精准学科技有限公司")+SUMIFS('10月数据源'!$J:$J,'10月数据源'!$D:$D,$E28,'10月数据源'!$F:$F,"浙江精准学科技有限公司")</f>
        <v/>
      </c>
      <c r="P28" s="89">
        <f>-SUMIFS('11月数据源'!$I:$I,'11月数据源'!$D:$D,$E28,'11月数据源'!$F:$F,"浙江精准学科技有限公司")+SUMIFS('11月数据源'!$J:$J,'11月数据源'!$D:$D,$E28,'11月数据源'!$F:$F,"浙江精准学科技有限公司")</f>
        <v/>
      </c>
      <c r="Q28" s="89">
        <f>-SUMIFS('12月数据源'!$I:$I,'12月数据源'!$D:$D,$E28,'12月数据源'!$F:$F,"浙江精准学科技有限公司")+SUMIFS('12月数据源'!$J:$J,'12月数据源'!$D:$D,$E28,'12月数据源'!$F:$F,"浙江精准学科技有限公司")</f>
        <v/>
      </c>
    </row>
    <row r="29" s="83">
      <c r="A29" s="5" t="inlineStr">
        <is>
          <t>人工成本</t>
        </is>
      </c>
      <c r="B29" s="6" t="inlineStr">
        <is>
          <t>人工成本</t>
        </is>
      </c>
      <c r="D29" s="5" t="inlineStr">
        <is>
          <t>个税</t>
        </is>
      </c>
      <c r="E29" s="6" t="inlineStr">
        <is>
          <t>Q0805</t>
        </is>
      </c>
      <c r="F29" s="89">
        <f>-SUMIFS('1月数据源'!I:I,'1月数据源'!D:D,E29,'1月数据源'!F:F,"浙江精准学科技有限公司")+SUMIFS('1月数据源'!J:J,'1月数据源'!D:D,E29,'1月数据源'!F:F,"浙江精准学科技有限公司")</f>
        <v/>
      </c>
      <c r="G29" s="89">
        <f>-SUMIFS('2月数据源'!I:I,'2月数据源'!D:D,E29,'2月数据源'!F:F,"浙江精准学科技有限公司")+SUMIFS('2月数据源'!J:J,'2月数据源'!D:D,E29,'2月数据源'!F:F,"浙江精准学科技有限公司")</f>
        <v/>
      </c>
      <c r="H29" s="89">
        <f>-SUMIFS('3月数据源'!I:I,'3月数据源'!D:D,E29,'3月数据源'!F:F,"浙江精准学科技有限公司")+SUMIFS('3月数据源'!J:J,'3月数据源'!D:D,E29,'3月数据源'!F:F,"浙江精准学科技有限公司")</f>
        <v/>
      </c>
      <c r="I29" s="89">
        <f>-SUMIFS('4月数据源'!I:I,'4月数据源'!D:D,E29,'4月数据源'!F:F,"浙江精准学科技有限公司")+SUMIFS('4月数据源'!J:J,'4月数据源'!D:D,E29,'4月数据源'!F:F,"浙江精准学科技有限公司")</f>
        <v/>
      </c>
      <c r="J29" s="89">
        <f>-SUMIFS('5月数据源'!I:I,'5月数据源'!D:D,E29,'5月数据源'!F:F,"浙江精准学科技有限公司")+SUMIFS('5月数据源'!J:J,'5月数据源'!D:D,E29,'5月数据源'!F:F,"浙江精准学科技有限公司")</f>
        <v/>
      </c>
      <c r="K29" s="89">
        <f>-SUMIFS('6月数据源'!$I:$I,'6月数据源'!$D:$D,$E29,'6月数据源'!$F:$F,"浙江精准学科技有限公司")+SUMIFS('6月数据源'!$J:$J,'6月数据源'!$D:$D,$E29,'6月数据源'!$F:$F,"浙江精准学科技有限公司")</f>
        <v/>
      </c>
      <c r="L29" s="89">
        <f>-SUMIFS('7月数据源'!$I:$I,'7月数据源'!$D:$D,$E29,'7月数据源'!$F:$F,"浙江精准学科技有限公司")+SUMIFS('7月数据源'!$J:$J,'7月数据源'!$D:$D,$E29,'7月数据源'!$F:$F,"浙江精准学科技有限公司")</f>
        <v/>
      </c>
      <c r="M29" s="89">
        <f>-SUMIFS('8月数据源'!$I:$I,'8月数据源'!$D:$D,$E29,'8月数据源'!$F:$F,"浙江精准学科技有限公司")+SUMIFS('8月数据源'!$J:$J,'8月数据源'!$D:$D,$E29,'8月数据源'!$F:$F,"浙江精准学科技有限公司")</f>
        <v/>
      </c>
      <c r="N29" s="89">
        <f>-SUMIFS('9月数据源'!$I:$I,'9月数据源'!$D:$D,$E29,'9月数据源'!$F:$F,"浙江精准学科技有限公司")+SUMIFS('9月数据源'!$J:$J,'9月数据源'!$D:$D,$E29,'9月数据源'!$F:$F,"浙江精准学科技有限公司")</f>
        <v/>
      </c>
      <c r="O29" s="89">
        <f>-SUMIFS('10月数据源'!$I:$I,'10月数据源'!$D:$D,$E29,'10月数据源'!$F:$F,"浙江精准学科技有限公司")+SUMIFS('10月数据源'!$J:$J,'10月数据源'!$D:$D,$E29,'10月数据源'!$F:$F,"浙江精准学科技有限公司")</f>
        <v/>
      </c>
      <c r="P29" s="89">
        <f>-SUMIFS('11月数据源'!$I:$I,'11月数据源'!$D:$D,$E29,'11月数据源'!$F:$F,"浙江精准学科技有限公司")+SUMIFS('11月数据源'!$J:$J,'11月数据源'!$D:$D,$E29,'11月数据源'!$F:$F,"浙江精准学科技有限公司")</f>
        <v/>
      </c>
      <c r="Q29" s="89">
        <f>-SUMIFS('12月数据源'!$I:$I,'12月数据源'!$D:$D,$E29,'12月数据源'!$F:$F,"浙江精准学科技有限公司")+SUMIFS('12月数据源'!$J:$J,'12月数据源'!$D:$D,$E29,'12月数据源'!$F:$F,"浙江精准学科技有限公司")</f>
        <v/>
      </c>
    </row>
    <row r="30" s="83">
      <c r="A30" s="5" t="inlineStr">
        <is>
          <t>人工成本</t>
        </is>
      </c>
      <c r="B30" s="6" t="inlineStr">
        <is>
          <t>人工成本</t>
        </is>
      </c>
      <c r="D30" s="5" t="inlineStr">
        <is>
          <t>福利费</t>
        </is>
      </c>
      <c r="E30" s="6" t="inlineStr">
        <is>
          <t>Q0806</t>
        </is>
      </c>
      <c r="F30" s="89">
        <f>-SUMIFS('1月数据源'!I:I,'1月数据源'!D:D,E30,'1月数据源'!F:F,"浙江精准学科技有限公司")+SUMIFS('1月数据源'!J:J,'1月数据源'!D:D,E30,'1月数据源'!F:F,"浙江精准学科技有限公司")</f>
        <v/>
      </c>
      <c r="G30" s="89">
        <f>-SUMIFS('2月数据源'!I:I,'2月数据源'!D:D,E30,'2月数据源'!F:F,"浙江精准学科技有限公司")+SUMIFS('2月数据源'!J:J,'2月数据源'!D:D,E30,'2月数据源'!F:F,"浙江精准学科技有限公司")</f>
        <v/>
      </c>
      <c r="H30" s="89">
        <f>-SUMIFS('3月数据源'!I:I,'3月数据源'!D:D,E30,'3月数据源'!F:F,"浙江精准学科技有限公司")+SUMIFS('3月数据源'!J:J,'3月数据源'!D:D,E30,'3月数据源'!F:F,"浙江精准学科技有限公司")</f>
        <v/>
      </c>
      <c r="I30" s="89">
        <f>-SUMIFS('4月数据源'!I:I,'4月数据源'!D:D,E30,'4月数据源'!F:F,"浙江精准学科技有限公司")+SUMIFS('4月数据源'!J:J,'4月数据源'!D:D,E30,'4月数据源'!F:F,"浙江精准学科技有限公司")</f>
        <v/>
      </c>
      <c r="J30" s="89">
        <f>-SUMIFS('5月数据源'!I:I,'5月数据源'!D:D,E30,'5月数据源'!F:F,"浙江精准学科技有限公司")+SUMIFS('5月数据源'!J:J,'5月数据源'!D:D,E30,'5月数据源'!F:F,"浙江精准学科技有限公司")</f>
        <v/>
      </c>
      <c r="K30" s="89">
        <f>-SUMIFS('6月数据源'!$I:$I,'6月数据源'!$D:$D,$E30,'6月数据源'!$F:$F,"浙江精准学科技有限公司")+SUMIFS('6月数据源'!$J:$J,'6月数据源'!$D:$D,$E30,'6月数据源'!$F:$F,"浙江精准学科技有限公司")</f>
        <v/>
      </c>
      <c r="L30" s="89">
        <f>-SUMIFS('7月数据源'!$I:$I,'7月数据源'!$D:$D,$E30,'7月数据源'!$F:$F,"浙江精准学科技有限公司")+SUMIFS('7月数据源'!$J:$J,'7月数据源'!$D:$D,$E30,'7月数据源'!$F:$F,"浙江精准学科技有限公司")</f>
        <v/>
      </c>
      <c r="M30" s="89">
        <f>-SUMIFS('8月数据源'!$I:$I,'8月数据源'!$D:$D,$E30,'8月数据源'!$F:$F,"浙江精准学科技有限公司")+SUMIFS('8月数据源'!$J:$J,'8月数据源'!$D:$D,$E30,'8月数据源'!$F:$F,"浙江精准学科技有限公司")</f>
        <v/>
      </c>
      <c r="N30" s="89">
        <f>-SUMIFS('9月数据源'!$I:$I,'9月数据源'!$D:$D,$E30,'9月数据源'!$F:$F,"浙江精准学科技有限公司")+SUMIFS('9月数据源'!$J:$J,'9月数据源'!$D:$D,$E30,'9月数据源'!$F:$F,"浙江精准学科技有限公司")</f>
        <v/>
      </c>
      <c r="O30" s="89">
        <f>-SUMIFS('10月数据源'!$I:$I,'10月数据源'!$D:$D,$E30,'10月数据源'!$F:$F,"浙江精准学科技有限公司")+SUMIFS('10月数据源'!$J:$J,'10月数据源'!$D:$D,$E30,'10月数据源'!$F:$F,"浙江精准学科技有限公司")</f>
        <v/>
      </c>
      <c r="P30" s="89">
        <f>-SUMIFS('11月数据源'!$I:$I,'11月数据源'!$D:$D,$E30,'11月数据源'!$F:$F,"浙江精准学科技有限公司")+SUMIFS('11月数据源'!$J:$J,'11月数据源'!$D:$D,$E30,'11月数据源'!$F:$F,"浙江精准学科技有限公司")</f>
        <v/>
      </c>
      <c r="Q30" s="89">
        <f>-SUMIFS('12月数据源'!$I:$I,'12月数据源'!$D:$D,$E30,'12月数据源'!$F:$F,"浙江精准学科技有限公司")+SUMIFS('12月数据源'!$J:$J,'12月数据源'!$D:$D,$E30,'12月数据源'!$F:$F,"浙江精准学科技有限公司")</f>
        <v/>
      </c>
    </row>
    <row r="31" s="83">
      <c r="A31" s="5" t="inlineStr">
        <is>
          <t>人工成本</t>
        </is>
      </c>
      <c r="B31" s="6" t="inlineStr">
        <is>
          <t>人工成本</t>
        </is>
      </c>
      <c r="D31" s="5" t="inlineStr">
        <is>
          <t>补偿金</t>
        </is>
      </c>
      <c r="E31" s="6" t="inlineStr">
        <is>
          <t>Q0807</t>
        </is>
      </c>
      <c r="F31" s="89">
        <f>-SUMIFS('1月数据源'!I:I,'1月数据源'!D:D,E31,'1月数据源'!F:F,"浙江精准学科技有限公司")+SUMIFS('1月数据源'!J:J,'1月数据源'!D:D,E31,'1月数据源'!F:F,"浙江精准学科技有限公司")</f>
        <v/>
      </c>
      <c r="G31" s="89">
        <f>-SUMIFS('2月数据源'!I:I,'2月数据源'!D:D,E31,'2月数据源'!F:F,"浙江精准学科技有限公司")+SUMIFS('2月数据源'!J:J,'2月数据源'!D:D,E31,'2月数据源'!F:F,"浙江精准学科技有限公司")</f>
        <v/>
      </c>
      <c r="H31" s="89">
        <f>-SUMIFS('3月数据源'!I:I,'3月数据源'!D:D,E31,'3月数据源'!F:F,"浙江精准学科技有限公司")+SUMIFS('3月数据源'!J:J,'3月数据源'!D:D,E31,'3月数据源'!F:F,"浙江精准学科技有限公司")</f>
        <v/>
      </c>
      <c r="I31" s="89">
        <f>-SUMIFS('4月数据源'!I:I,'4月数据源'!D:D,E31,'4月数据源'!F:F,"浙江精准学科技有限公司")+SUMIFS('4月数据源'!J:J,'4月数据源'!D:D,E31,'4月数据源'!F:F,"浙江精准学科技有限公司")</f>
        <v/>
      </c>
      <c r="J31" s="89">
        <f>-SUMIFS('5月数据源'!I:I,'5月数据源'!D:D,E31,'5月数据源'!F:F,"浙江精准学科技有限公司")+SUMIFS('5月数据源'!J:J,'5月数据源'!D:D,E31,'5月数据源'!F:F,"浙江精准学科技有限公司")</f>
        <v/>
      </c>
      <c r="K31" s="89">
        <f>-SUMIFS('6月数据源'!$I:$I,'6月数据源'!$D:$D,$E31,'6月数据源'!$F:$F,"浙江精准学科技有限公司")+SUMIFS('6月数据源'!$J:$J,'6月数据源'!$D:$D,$E31,'6月数据源'!$F:$F,"浙江精准学科技有限公司")</f>
        <v/>
      </c>
      <c r="L31" s="89">
        <f>-SUMIFS('7月数据源'!$I:$I,'7月数据源'!$D:$D,$E31,'7月数据源'!$F:$F,"浙江精准学科技有限公司")+SUMIFS('7月数据源'!$J:$J,'7月数据源'!$D:$D,$E31,'7月数据源'!$F:$F,"浙江精准学科技有限公司")</f>
        <v/>
      </c>
      <c r="M31" s="89">
        <f>-SUMIFS('8月数据源'!$I:$I,'8月数据源'!$D:$D,$E31,'8月数据源'!$F:$F,"浙江精准学科技有限公司")+SUMIFS('8月数据源'!$J:$J,'8月数据源'!$D:$D,$E31,'8月数据源'!$F:$F,"浙江精准学科技有限公司")</f>
        <v/>
      </c>
      <c r="N31" s="89">
        <f>-SUMIFS('9月数据源'!$I:$I,'9月数据源'!$D:$D,$E31,'9月数据源'!$F:$F,"浙江精准学科技有限公司")+SUMIFS('9月数据源'!$J:$J,'9月数据源'!$D:$D,$E31,'9月数据源'!$F:$F,"浙江精准学科技有限公司")</f>
        <v/>
      </c>
      <c r="O31" s="89">
        <f>-SUMIFS('10月数据源'!$I:$I,'10月数据源'!$D:$D,$E31,'10月数据源'!$F:$F,"浙江精准学科技有限公司")+SUMIFS('10月数据源'!$J:$J,'10月数据源'!$D:$D,$E31,'10月数据源'!$F:$F,"浙江精准学科技有限公司")</f>
        <v/>
      </c>
      <c r="P31" s="89">
        <f>-SUMIFS('11月数据源'!$I:$I,'11月数据源'!$D:$D,$E31,'11月数据源'!$F:$F,"浙江精准学科技有限公司")+SUMIFS('11月数据源'!$J:$J,'11月数据源'!$D:$D,$E31,'11月数据源'!$F:$F,"浙江精准学科技有限公司")</f>
        <v/>
      </c>
      <c r="Q31" s="89">
        <f>-SUMIFS('12月数据源'!$I:$I,'12月数据源'!$D:$D,$E31,'12月数据源'!$F:$F,"浙江精准学科技有限公司")+SUMIFS('12月数据源'!$J:$J,'12月数据源'!$D:$D,$E31,'12月数据源'!$F:$F,"浙江精准学科技有限公司")</f>
        <v/>
      </c>
    </row>
    <row r="32" s="83">
      <c r="A32" s="5" t="inlineStr">
        <is>
          <t>人工成本</t>
        </is>
      </c>
      <c r="B32" s="6" t="inlineStr">
        <is>
          <t>人工成本</t>
        </is>
      </c>
      <c r="D32" s="5" t="inlineStr">
        <is>
          <t>派遣费用</t>
        </is>
      </c>
      <c r="E32" s="6" t="inlineStr">
        <is>
          <t>Q0808</t>
        </is>
      </c>
      <c r="F32" s="89">
        <f>-SUMIFS('1月数据源'!I:I,'1月数据源'!D:D,E32,'1月数据源'!F:F,"浙江精准学科技有限公司")+SUMIFS('1月数据源'!J:J,'1月数据源'!D:D,E32,'1月数据源'!F:F,"浙江精准学科技有限公司")</f>
        <v/>
      </c>
      <c r="G32" s="89">
        <f>-SUMIFS('2月数据源'!I:I,'2月数据源'!D:D,E32,'2月数据源'!F:F,"浙江精准学科技有限公司")+SUMIFS('2月数据源'!J:J,'2月数据源'!D:D,E32,'2月数据源'!F:F,"浙江精准学科技有限公司")</f>
        <v/>
      </c>
      <c r="H32" s="89">
        <f>-SUMIFS('3月数据源'!I:I,'3月数据源'!D:D,E32,'3月数据源'!F:F,"浙江精准学科技有限公司")+SUMIFS('3月数据源'!J:J,'3月数据源'!D:D,E32,'3月数据源'!F:F,"浙江精准学科技有限公司")</f>
        <v/>
      </c>
      <c r="I32" s="89">
        <f>-SUMIFS('4月数据源'!I:I,'4月数据源'!D:D,E32,'4月数据源'!F:F,"浙江精准学科技有限公司")+SUMIFS('4月数据源'!J:J,'4月数据源'!D:D,E32,'4月数据源'!F:F,"浙江精准学科技有限公司")</f>
        <v/>
      </c>
      <c r="J32" s="89">
        <f>-SUMIFS('5月数据源'!I:I,'5月数据源'!D:D,E32,'5月数据源'!F:F,"浙江精准学科技有限公司")+SUMIFS('5月数据源'!J:J,'5月数据源'!D:D,E32,'5月数据源'!F:F,"浙江精准学科技有限公司")</f>
        <v/>
      </c>
      <c r="K32" s="89">
        <f>-SUMIFS('6月数据源'!$I:$I,'6月数据源'!$D:$D,$E32,'6月数据源'!$F:$F,"浙江精准学科技有限公司")+SUMIFS('6月数据源'!$J:$J,'6月数据源'!$D:$D,$E32,'6月数据源'!$F:$F,"浙江精准学科技有限公司")</f>
        <v/>
      </c>
      <c r="L32" s="89">
        <f>-SUMIFS('7月数据源'!$I:$I,'7月数据源'!$D:$D,$E32,'7月数据源'!$F:$F,"浙江精准学科技有限公司")+SUMIFS('7月数据源'!$J:$J,'7月数据源'!$D:$D,$E32,'7月数据源'!$F:$F,"浙江精准学科技有限公司")</f>
        <v/>
      </c>
      <c r="M32" s="89">
        <f>-SUMIFS('8月数据源'!$I:$I,'8月数据源'!$D:$D,$E32,'8月数据源'!$F:$F,"浙江精准学科技有限公司")+SUMIFS('8月数据源'!$J:$J,'8月数据源'!$D:$D,$E32,'8月数据源'!$F:$F,"浙江精准学科技有限公司")</f>
        <v/>
      </c>
      <c r="N32" s="89">
        <f>-SUMIFS('9月数据源'!$I:$I,'9月数据源'!$D:$D,$E32,'9月数据源'!$F:$F,"浙江精准学科技有限公司")+SUMIFS('9月数据源'!$J:$J,'9月数据源'!$D:$D,$E32,'9月数据源'!$F:$F,"浙江精准学科技有限公司")</f>
        <v/>
      </c>
      <c r="O32" s="89">
        <f>-SUMIFS('10月数据源'!$I:$I,'10月数据源'!$D:$D,$E32,'10月数据源'!$F:$F,"浙江精准学科技有限公司")+SUMIFS('10月数据源'!$J:$J,'10月数据源'!$D:$D,$E32,'10月数据源'!$F:$F,"浙江精准学科技有限公司")</f>
        <v/>
      </c>
      <c r="P32" s="89">
        <f>-SUMIFS('11月数据源'!$I:$I,'11月数据源'!$D:$D,$E32,'11月数据源'!$F:$F,"浙江精准学科技有限公司")+SUMIFS('11月数据源'!$J:$J,'11月数据源'!$D:$D,$E32,'11月数据源'!$F:$F,"浙江精准学科技有限公司")</f>
        <v/>
      </c>
      <c r="Q32" s="89">
        <f>-SUMIFS('12月数据源'!$I:$I,'12月数据源'!$D:$D,$E32,'12月数据源'!$F:$F,"浙江精准学科技有限公司")+SUMIFS('12月数据源'!$J:$J,'12月数据源'!$D:$D,$E32,'12月数据源'!$F:$F,"浙江精准学科技有限公司")</f>
        <v/>
      </c>
    </row>
    <row r="33" s="83">
      <c r="A33" s="5" t="inlineStr">
        <is>
          <t>人工成本</t>
        </is>
      </c>
      <c r="B33" s="6" t="inlineStr">
        <is>
          <t>人工成本</t>
        </is>
      </c>
      <c r="D33" s="5" t="inlineStr">
        <is>
          <t>顾问费</t>
        </is>
      </c>
      <c r="E33" s="6" t="inlineStr">
        <is>
          <t>Q0809</t>
        </is>
      </c>
      <c r="F33" s="89">
        <f>-SUMIFS('1月数据源'!I:I,'1月数据源'!D:D,E33,'1月数据源'!F:F,"浙江精准学科技有限公司")+SUMIFS('1月数据源'!J:J,'1月数据源'!D:D,E33,'1月数据源'!F:F,"浙江精准学科技有限公司")</f>
        <v/>
      </c>
      <c r="G33" s="89">
        <f>-SUMIFS('2月数据源'!I:I,'2月数据源'!D:D,E33,'2月数据源'!F:F,"浙江精准学科技有限公司")+SUMIFS('2月数据源'!J:J,'2月数据源'!D:D,E33,'2月数据源'!F:F,"浙江精准学科技有限公司")</f>
        <v/>
      </c>
      <c r="H33" s="89">
        <f>-SUMIFS('3月数据源'!I:I,'3月数据源'!D:D,E33,'3月数据源'!F:F,"浙江精准学科技有限公司")+SUMIFS('3月数据源'!J:J,'3月数据源'!D:D,E33,'3月数据源'!F:F,"浙江精准学科技有限公司")</f>
        <v/>
      </c>
      <c r="I33" s="89">
        <f>-SUMIFS('4月数据源'!I:I,'4月数据源'!D:D,E33,'4月数据源'!F:F,"浙江精准学科技有限公司")+SUMIFS('4月数据源'!J:J,'4月数据源'!D:D,E33,'4月数据源'!F:F,"浙江精准学科技有限公司")</f>
        <v/>
      </c>
      <c r="J33" s="89">
        <f>-SUMIFS('5月数据源'!I:I,'5月数据源'!D:D,E33,'5月数据源'!F:F,"浙江精准学科技有限公司")+SUMIFS('5月数据源'!J:J,'5月数据源'!D:D,E33,'5月数据源'!F:F,"浙江精准学科技有限公司")</f>
        <v/>
      </c>
      <c r="K33" s="89">
        <f>-SUMIFS('6月数据源'!$I:$I,'6月数据源'!$D:$D,$E33,'6月数据源'!$F:$F,"浙江精准学科技有限公司")+SUMIFS('6月数据源'!$J:$J,'6月数据源'!$D:$D,$E33,'6月数据源'!$F:$F,"浙江精准学科技有限公司")</f>
        <v/>
      </c>
      <c r="L33" s="89">
        <f>-SUMIFS('7月数据源'!$I:$I,'7月数据源'!$D:$D,$E33,'7月数据源'!$F:$F,"浙江精准学科技有限公司")+SUMIFS('7月数据源'!$J:$J,'7月数据源'!$D:$D,$E33,'7月数据源'!$F:$F,"浙江精准学科技有限公司")</f>
        <v/>
      </c>
      <c r="M33" s="89">
        <f>-SUMIFS('8月数据源'!$I:$I,'8月数据源'!$D:$D,$E33,'8月数据源'!$F:$F,"浙江精准学科技有限公司")+SUMIFS('8月数据源'!$J:$J,'8月数据源'!$D:$D,$E33,'8月数据源'!$F:$F,"浙江精准学科技有限公司")</f>
        <v/>
      </c>
      <c r="N33" s="89">
        <f>-SUMIFS('9月数据源'!$I:$I,'9月数据源'!$D:$D,$E33,'9月数据源'!$F:$F,"浙江精准学科技有限公司")+SUMIFS('9月数据源'!$J:$J,'9月数据源'!$D:$D,$E33,'9月数据源'!$F:$F,"浙江精准学科技有限公司")</f>
        <v/>
      </c>
      <c r="O33" s="89">
        <f>-SUMIFS('10月数据源'!$I:$I,'10月数据源'!$D:$D,$E33,'10月数据源'!$F:$F,"浙江精准学科技有限公司")+SUMIFS('10月数据源'!$J:$J,'10月数据源'!$D:$D,$E33,'10月数据源'!$F:$F,"浙江精准学科技有限公司")</f>
        <v/>
      </c>
      <c r="P33" s="89">
        <f>-SUMIFS('11月数据源'!$I:$I,'11月数据源'!$D:$D,$E33,'11月数据源'!$F:$F,"浙江精准学科技有限公司")+SUMIFS('11月数据源'!$J:$J,'11月数据源'!$D:$D,$E33,'11月数据源'!$F:$F,"浙江精准学科技有限公司")</f>
        <v/>
      </c>
      <c r="Q33" s="89">
        <f>-SUMIFS('12月数据源'!$I:$I,'12月数据源'!$D:$D,$E33,'12月数据源'!$F:$F,"浙江精准学科技有限公司")+SUMIFS('12月数据源'!$J:$J,'12月数据源'!$D:$D,$E33,'12月数据源'!$F:$F,"浙江精准学科技有限公司")</f>
        <v/>
      </c>
    </row>
    <row r="34" s="83">
      <c r="A34" s="5" t="inlineStr">
        <is>
          <t>人工成本</t>
        </is>
      </c>
      <c r="B34" s="6" t="inlineStr">
        <is>
          <t>人工成本</t>
        </is>
      </c>
      <c r="D34" s="5" t="inlineStr">
        <is>
          <t>其他人工成本</t>
        </is>
      </c>
      <c r="E34" s="6" t="inlineStr">
        <is>
          <t>Q08010</t>
        </is>
      </c>
      <c r="F34" s="89">
        <f>-SUMIFS('1月数据源'!I:I,'1月数据源'!D:D,E34,'1月数据源'!F:F,"浙江精准学科技有限公司")+SUMIFS('1月数据源'!J:J,'1月数据源'!D:D,E34,'1月数据源'!F:F,"浙江精准学科技有限公司")</f>
        <v/>
      </c>
      <c r="G34" s="89">
        <f>-SUMIFS('2月数据源'!I:I,'2月数据源'!D:D,E34,'2月数据源'!F:F,"浙江精准学科技有限公司")+SUMIFS('2月数据源'!J:J,'2月数据源'!D:D,E34,'2月数据源'!F:F,"浙江精准学科技有限公司")</f>
        <v/>
      </c>
      <c r="H34" s="89">
        <f>-SUMIFS('3月数据源'!I:I,'3月数据源'!D:D,E34,'3月数据源'!F:F,"浙江精准学科技有限公司")+SUMIFS('3月数据源'!J:J,'3月数据源'!D:D,E34,'3月数据源'!F:F,"浙江精准学科技有限公司")</f>
        <v/>
      </c>
      <c r="I34" s="89">
        <f>-SUMIFS('4月数据源'!I:I,'4月数据源'!D:D,E34,'4月数据源'!F:F,"浙江精准学科技有限公司")+SUMIFS('4月数据源'!J:J,'4月数据源'!D:D,E34,'4月数据源'!F:F,"浙江精准学科技有限公司")</f>
        <v/>
      </c>
      <c r="J34" s="89">
        <f>-SUMIFS('5月数据源'!I:I,'5月数据源'!D:D,E34,'5月数据源'!F:F,"浙江精准学科技有限公司")+SUMIFS('5月数据源'!J:J,'5月数据源'!D:D,E34,'5月数据源'!F:F,"浙江精准学科技有限公司")</f>
        <v/>
      </c>
      <c r="K34" s="89">
        <f>-SUMIFS('6月数据源'!$I:$I,'6月数据源'!$D:$D,$E34,'6月数据源'!$F:$F,"浙江精准学科技有限公司")+SUMIFS('6月数据源'!$J:$J,'6月数据源'!$D:$D,$E34,'6月数据源'!$F:$F,"浙江精准学科技有限公司")</f>
        <v/>
      </c>
      <c r="L34" s="89">
        <f>-SUMIFS('7月数据源'!$I:$I,'7月数据源'!$D:$D,$E34,'7月数据源'!$F:$F,"浙江精准学科技有限公司")+SUMIFS('7月数据源'!$J:$J,'7月数据源'!$D:$D,$E34,'7月数据源'!$F:$F,"浙江精准学科技有限公司")</f>
        <v/>
      </c>
      <c r="M34" s="89">
        <f>-SUMIFS('8月数据源'!$I:$I,'8月数据源'!$D:$D,$E34,'8月数据源'!$F:$F,"浙江精准学科技有限公司")+SUMIFS('8月数据源'!$J:$J,'8月数据源'!$D:$D,$E34,'8月数据源'!$F:$F,"浙江精准学科技有限公司")</f>
        <v/>
      </c>
      <c r="N34" s="89">
        <f>-SUMIFS('9月数据源'!$I:$I,'9月数据源'!$D:$D,$E34,'9月数据源'!$F:$F,"浙江精准学科技有限公司")+SUMIFS('9月数据源'!$J:$J,'9月数据源'!$D:$D,$E34,'9月数据源'!$F:$F,"浙江精准学科技有限公司")</f>
        <v/>
      </c>
      <c r="O34" s="89">
        <f>-SUMIFS('10月数据源'!$I:$I,'10月数据源'!$D:$D,$E34,'10月数据源'!$F:$F,"浙江精准学科技有限公司")+SUMIFS('10月数据源'!$J:$J,'10月数据源'!$D:$D,$E34,'10月数据源'!$F:$F,"浙江精准学科技有限公司")</f>
        <v/>
      </c>
      <c r="P34" s="89">
        <f>-SUMIFS('11月数据源'!$I:$I,'11月数据源'!$D:$D,$E34,'11月数据源'!$F:$F,"浙江精准学科技有限公司")+SUMIFS('11月数据源'!$J:$J,'11月数据源'!$D:$D,$E34,'11月数据源'!$F:$F,"浙江精准学科技有限公司")</f>
        <v/>
      </c>
      <c r="Q34" s="89">
        <f>-SUMIFS('12月数据源'!$I:$I,'12月数据源'!$D:$D,$E34,'12月数据源'!$F:$F,"浙江精准学科技有限公司")+SUMIFS('12月数据源'!$J:$J,'12月数据源'!$D:$D,$E34,'12月数据源'!$F:$F,"浙江精准学科技有限公司")</f>
        <v/>
      </c>
    </row>
    <row r="35" s="83">
      <c r="A35" s="49" t="inlineStr">
        <is>
          <t>人工成本合计</t>
        </is>
      </c>
      <c r="B35" s="50" t="n"/>
      <c r="C35" s="50" t="n"/>
      <c r="D35" s="49" t="n"/>
      <c r="E35" s="49" t="n"/>
      <c r="F35" s="89">
        <f>SUM(F25:F34)</f>
        <v/>
      </c>
      <c r="G35" s="89">
        <f>SUM(G25:G34)</f>
        <v/>
      </c>
      <c r="H35" s="89">
        <f>SUM(H25:H34)</f>
        <v/>
      </c>
      <c r="I35" s="89">
        <f>SUM(I25:I34)</f>
        <v/>
      </c>
      <c r="J35" s="89">
        <f>SUM(J25:J34)</f>
        <v/>
      </c>
      <c r="K35" s="89">
        <f>SUM(K25:K34)</f>
        <v/>
      </c>
      <c r="L35" s="89">
        <f>SUM(L25:L34)</f>
        <v/>
      </c>
      <c r="M35" s="89">
        <f>SUM(M25:M34)</f>
        <v/>
      </c>
      <c r="N35" s="89">
        <f>SUM(N25:N34)</f>
        <v/>
      </c>
      <c r="O35" s="89">
        <f>SUM(O25:O34)</f>
        <v/>
      </c>
      <c r="P35" s="89">
        <f>SUM(P25:P34)</f>
        <v/>
      </c>
      <c r="Q35" s="89">
        <f>SUM(Q25:Q34)</f>
        <v/>
      </c>
    </row>
    <row r="36" s="83">
      <c r="A36" s="5" t="inlineStr">
        <is>
          <t>硬件支出</t>
        </is>
      </c>
      <c r="B36" s="6" t="inlineStr">
        <is>
          <t>BONG MAX</t>
        </is>
      </c>
      <c r="C36" s="6" t="inlineStr">
        <is>
          <t>BONG MAX</t>
        </is>
      </c>
      <c r="D36" s="5" t="inlineStr">
        <is>
          <t>TCL平板电脑款项</t>
        </is>
      </c>
      <c r="E36" s="6" t="inlineStr">
        <is>
          <t>Q0901</t>
        </is>
      </c>
      <c r="F36" s="89">
        <f>-SUMIFS('1月数据源'!I:I,'1月数据源'!D:D,E36,'1月数据源'!F:F,"浙江精准学科技有限公司")+SUMIFS('1月数据源'!J:J,'1月数据源'!D:D,E36,'1月数据源'!F:F,"浙江精准学科技有限公司")</f>
        <v/>
      </c>
      <c r="G36" s="89">
        <f>-SUMIFS('2月数据源'!I:I,'2月数据源'!D:D,E36,'2月数据源'!F:F,"浙江精准学科技有限公司")+SUMIFS('2月数据源'!J:J,'2月数据源'!D:D,E36,'2月数据源'!F:F,"浙江精准学科技有限公司")</f>
        <v/>
      </c>
      <c r="H36" s="89">
        <f>-SUMIFS('3月数据源'!I:I,'3月数据源'!D:D,E36,'3月数据源'!F:F,"浙江精准学科技有限公司")+SUMIFS('3月数据源'!J:J,'3月数据源'!D:D,E36,'3月数据源'!F:F,"浙江精准学科技有限公司")</f>
        <v/>
      </c>
      <c r="I36" s="89">
        <f>-SUMIFS('4月数据源'!I:I,'4月数据源'!D:D,E36,'4月数据源'!F:F,"浙江精准学科技有限公司")+SUMIFS('4月数据源'!J:J,'4月数据源'!D:D,E36,'4月数据源'!F:F,"浙江精准学科技有限公司")</f>
        <v/>
      </c>
      <c r="J36" s="89">
        <f>-SUMIFS('5月数据源'!I:I,'5月数据源'!D:D,E36,'5月数据源'!F:F,"浙江精准学科技有限公司")+SUMIFS('5月数据源'!J:J,'5月数据源'!D:D,E36,'5月数据源'!F:F,"浙江精准学科技有限公司")</f>
        <v/>
      </c>
      <c r="K36" s="89">
        <f>-SUMIFS('6月数据源'!$I:$I,'6月数据源'!$D:$D,$E36,'6月数据源'!$F:$F,"浙江精准学科技有限公司")+SUMIFS('6月数据源'!$J:$J,'6月数据源'!$D:$D,$E36,'6月数据源'!$F:$F,"浙江精准学科技有限公司")</f>
        <v/>
      </c>
      <c r="L36" s="89">
        <f>-SUMIFS('7月数据源'!$I:$I,'7月数据源'!$D:$D,$E36,'7月数据源'!$F:$F,"浙江精准学科技有限公司")+SUMIFS('7月数据源'!$J:$J,'7月数据源'!$D:$D,$E36,'7月数据源'!$F:$F,"浙江精准学科技有限公司")</f>
        <v/>
      </c>
      <c r="M36" s="89">
        <f>-SUMIFS('8月数据源'!$I:$I,'8月数据源'!$D:$D,$E36,'8月数据源'!$F:$F,"浙江精准学科技有限公司")+SUMIFS('8月数据源'!$J:$J,'8月数据源'!$D:$D,$E36,'8月数据源'!$F:$F,"浙江精准学科技有限公司")</f>
        <v/>
      </c>
      <c r="N36" s="89">
        <f>-SUMIFS('9月数据源'!$I:$I,'9月数据源'!$D:$D,$E36,'9月数据源'!$F:$F,"浙江精准学科技有限公司")+SUMIFS('9月数据源'!$J:$J,'9月数据源'!$D:$D,$E36,'9月数据源'!$F:$F,"浙江精准学科技有限公司")</f>
        <v/>
      </c>
      <c r="O36" s="89">
        <f>-SUMIFS('10月数据源'!$I:$I,'10月数据源'!$D:$D,$E36,'10月数据源'!$F:$F,"浙江精准学科技有限公司")+SUMIFS('10月数据源'!$J:$J,'10月数据源'!$D:$D,$E36,'10月数据源'!$F:$F,"浙江精准学科技有限公司")</f>
        <v/>
      </c>
      <c r="P36" s="89">
        <f>-SUMIFS('11月数据源'!$I:$I,'11月数据源'!$D:$D,$E36,'11月数据源'!$F:$F,"浙江精准学科技有限公司")+SUMIFS('11月数据源'!$J:$J,'11月数据源'!$D:$D,$E36,'11月数据源'!$F:$F,"浙江精准学科技有限公司")</f>
        <v/>
      </c>
      <c r="Q36" s="89">
        <f>-SUMIFS('12月数据源'!$I:$I,'12月数据源'!$D:$D,$E36,'12月数据源'!$F:$F,"浙江精准学科技有限公司")+SUMIFS('12月数据源'!$J:$J,'12月数据源'!$D:$D,$E36,'12月数据源'!$F:$F,"浙江精准学科技有限公司")</f>
        <v/>
      </c>
    </row>
    <row r="37" s="83">
      <c r="A37" s="5" t="inlineStr">
        <is>
          <t>硬件支出</t>
        </is>
      </c>
      <c r="B37" s="6" t="inlineStr">
        <is>
          <t>BONG MAX</t>
        </is>
      </c>
      <c r="D37" s="5" t="inlineStr">
        <is>
          <t>保护套</t>
        </is>
      </c>
      <c r="E37" s="6" t="inlineStr">
        <is>
          <t>Q0902</t>
        </is>
      </c>
      <c r="F37" s="89">
        <f>-SUMIFS('1月数据源'!I:I,'1月数据源'!D:D,E37,'1月数据源'!F:F,"浙江精准学科技有限公司")+SUMIFS('1月数据源'!J:J,'1月数据源'!D:D,E37,'1月数据源'!F:F,"浙江精准学科技有限公司")</f>
        <v/>
      </c>
      <c r="G37" s="89">
        <f>-SUMIFS('2月数据源'!I:I,'2月数据源'!D:D,E37,'2月数据源'!F:F,"浙江精准学科技有限公司")+SUMIFS('2月数据源'!J:J,'2月数据源'!D:D,E37,'2月数据源'!F:F,"浙江精准学科技有限公司")</f>
        <v/>
      </c>
      <c r="H37" s="89">
        <f>-SUMIFS('3月数据源'!I:I,'3月数据源'!D:D,E37,'3月数据源'!F:F,"浙江精准学科技有限公司")+SUMIFS('3月数据源'!J:J,'3月数据源'!D:D,E37,'3月数据源'!F:F,"浙江精准学科技有限公司")</f>
        <v/>
      </c>
      <c r="I37" s="89">
        <f>-SUMIFS('4月数据源'!I:I,'4月数据源'!D:D,E37,'4月数据源'!F:F,"浙江精准学科技有限公司")+SUMIFS('4月数据源'!J:J,'4月数据源'!D:D,E37,'4月数据源'!F:F,"浙江精准学科技有限公司")</f>
        <v/>
      </c>
      <c r="J37" s="89">
        <f>-SUMIFS('5月数据源'!I:I,'5月数据源'!D:D,E37,'5月数据源'!F:F,"浙江精准学科技有限公司")+SUMIFS('5月数据源'!J:J,'5月数据源'!D:D,E37,'5月数据源'!F:F,"浙江精准学科技有限公司")</f>
        <v/>
      </c>
      <c r="K37" s="89">
        <f>-SUMIFS('6月数据源'!$I:$I,'6月数据源'!$D:$D,$E37,'6月数据源'!$F:$F,"浙江精准学科技有限公司")+SUMIFS('6月数据源'!$J:$J,'6月数据源'!$D:$D,$E37,'6月数据源'!$F:$F,"浙江精准学科技有限公司")</f>
        <v/>
      </c>
      <c r="L37" s="89">
        <f>-SUMIFS('7月数据源'!$I:$I,'7月数据源'!$D:$D,$E37,'7月数据源'!$F:$F,"浙江精准学科技有限公司")+SUMIFS('7月数据源'!$J:$J,'7月数据源'!$D:$D,$E37,'7月数据源'!$F:$F,"浙江精准学科技有限公司")</f>
        <v/>
      </c>
      <c r="M37" s="89">
        <f>-SUMIFS('8月数据源'!$I:$I,'8月数据源'!$D:$D,$E37,'8月数据源'!$F:$F,"浙江精准学科技有限公司")+SUMIFS('8月数据源'!$J:$J,'8月数据源'!$D:$D,$E37,'8月数据源'!$F:$F,"浙江精准学科技有限公司")</f>
        <v/>
      </c>
      <c r="N37" s="89">
        <f>-SUMIFS('9月数据源'!$I:$I,'9月数据源'!$D:$D,$E37,'9月数据源'!$F:$F,"浙江精准学科技有限公司")+SUMIFS('9月数据源'!$J:$J,'9月数据源'!$D:$D,$E37,'9月数据源'!$F:$F,"浙江精准学科技有限公司")</f>
        <v/>
      </c>
      <c r="O37" s="89">
        <f>-SUMIFS('10月数据源'!$I:$I,'10月数据源'!$D:$D,$E37,'10月数据源'!$F:$F,"浙江精准学科技有限公司")+SUMIFS('10月数据源'!$J:$J,'10月数据源'!$D:$D,$E37,'10月数据源'!$F:$F,"浙江精准学科技有限公司")</f>
        <v/>
      </c>
      <c r="P37" s="89">
        <f>-SUMIFS('11月数据源'!$I:$I,'11月数据源'!$D:$D,$E37,'11月数据源'!$F:$F,"浙江精准学科技有限公司")+SUMIFS('11月数据源'!$J:$J,'11月数据源'!$D:$D,$E37,'11月数据源'!$F:$F,"浙江精准学科技有限公司")</f>
        <v/>
      </c>
      <c r="Q37" s="89">
        <f>-SUMIFS('12月数据源'!$I:$I,'12月数据源'!$D:$D,$E37,'12月数据源'!$F:$F,"浙江精准学科技有限公司")+SUMIFS('12月数据源'!$J:$J,'12月数据源'!$D:$D,$E37,'12月数据源'!$F:$F,"浙江精准学科技有限公司")</f>
        <v/>
      </c>
    </row>
    <row r="38" s="83">
      <c r="A38" s="5" t="inlineStr">
        <is>
          <t>硬件支出</t>
        </is>
      </c>
      <c r="B38" s="6" t="inlineStr">
        <is>
          <t>BONG MAX</t>
        </is>
      </c>
      <c r="D38" s="5" t="inlineStr">
        <is>
          <t>包装盒</t>
        </is>
      </c>
      <c r="E38" s="6" t="inlineStr">
        <is>
          <t>Q0903</t>
        </is>
      </c>
      <c r="F38" s="89">
        <f>-SUMIFS('1月数据源'!I:I,'1月数据源'!D:D,E38,'1月数据源'!F:F,"浙江精准学科技有限公司")+SUMIFS('1月数据源'!J:J,'1月数据源'!D:D,E38,'1月数据源'!F:F,"浙江精准学科技有限公司")</f>
        <v/>
      </c>
      <c r="G38" s="89">
        <f>-SUMIFS('2月数据源'!I:I,'2月数据源'!D:D,E38,'2月数据源'!F:F,"浙江精准学科技有限公司")+SUMIFS('2月数据源'!J:J,'2月数据源'!D:D,E38,'2月数据源'!F:F,"浙江精准学科技有限公司")</f>
        <v/>
      </c>
      <c r="H38" s="89">
        <f>-SUMIFS('3月数据源'!I:I,'3月数据源'!D:D,E38,'3月数据源'!F:F,"浙江精准学科技有限公司")+SUMIFS('3月数据源'!J:J,'3月数据源'!D:D,E38,'3月数据源'!F:F,"浙江精准学科技有限公司")</f>
        <v/>
      </c>
      <c r="I38" s="89">
        <f>-SUMIFS('4月数据源'!I:I,'4月数据源'!D:D,E38,'4月数据源'!F:F,"浙江精准学科技有限公司")+SUMIFS('4月数据源'!J:J,'4月数据源'!D:D,E38,'4月数据源'!F:F,"浙江精准学科技有限公司")</f>
        <v/>
      </c>
      <c r="J38" s="89">
        <f>-SUMIFS('5月数据源'!I:I,'5月数据源'!D:D,E38,'5月数据源'!F:F,"浙江精准学科技有限公司")+SUMIFS('5月数据源'!J:J,'5月数据源'!D:D,E38,'5月数据源'!F:F,"浙江精准学科技有限公司")</f>
        <v/>
      </c>
      <c r="K38" s="89">
        <f>-SUMIFS('6月数据源'!$I:$I,'6月数据源'!$D:$D,$E38,'6月数据源'!$F:$F,"浙江精准学科技有限公司")+SUMIFS('6月数据源'!$J:$J,'6月数据源'!$D:$D,$E38,'6月数据源'!$F:$F,"浙江精准学科技有限公司")</f>
        <v/>
      </c>
      <c r="L38" s="89">
        <f>-SUMIFS('7月数据源'!$I:$I,'7月数据源'!$D:$D,$E38,'7月数据源'!$F:$F,"浙江精准学科技有限公司")+SUMIFS('7月数据源'!$J:$J,'7月数据源'!$D:$D,$E38,'7月数据源'!$F:$F,"浙江精准学科技有限公司")</f>
        <v/>
      </c>
      <c r="M38" s="89">
        <f>-SUMIFS('8月数据源'!$I:$I,'8月数据源'!$D:$D,$E38,'8月数据源'!$F:$F,"浙江精准学科技有限公司")+SUMIFS('8月数据源'!$J:$J,'8月数据源'!$D:$D,$E38,'8月数据源'!$F:$F,"浙江精准学科技有限公司")</f>
        <v/>
      </c>
      <c r="N38" s="89">
        <f>-SUMIFS('9月数据源'!$I:$I,'9月数据源'!$D:$D,$E38,'9月数据源'!$F:$F,"浙江精准学科技有限公司")+SUMIFS('9月数据源'!$J:$J,'9月数据源'!$D:$D,$E38,'9月数据源'!$F:$F,"浙江精准学科技有限公司")</f>
        <v/>
      </c>
      <c r="O38" s="89">
        <f>-SUMIFS('10月数据源'!$I:$I,'10月数据源'!$D:$D,$E38,'10月数据源'!$F:$F,"浙江精准学科技有限公司")+SUMIFS('10月数据源'!$J:$J,'10月数据源'!$D:$D,$E38,'10月数据源'!$F:$F,"浙江精准学科技有限公司")</f>
        <v/>
      </c>
      <c r="P38" s="89">
        <f>-SUMIFS('11月数据源'!$I:$I,'11月数据源'!$D:$D,$E38,'11月数据源'!$F:$F,"浙江精准学科技有限公司")+SUMIFS('11月数据源'!$J:$J,'11月数据源'!$D:$D,$E38,'11月数据源'!$F:$F,"浙江精准学科技有限公司")</f>
        <v/>
      </c>
      <c r="Q38" s="89">
        <f>-SUMIFS('12月数据源'!$I:$I,'12月数据源'!$D:$D,$E38,'12月数据源'!$F:$F,"浙江精准学科技有限公司")+SUMIFS('12月数据源'!$J:$J,'12月数据源'!$D:$D,$E38,'12月数据源'!$F:$F,"浙江精准学科技有限公司")</f>
        <v/>
      </c>
    </row>
    <row r="39" s="83">
      <c r="A39" s="5" t="inlineStr">
        <is>
          <t>硬件支出</t>
        </is>
      </c>
      <c r="B39" s="6" t="inlineStr">
        <is>
          <t>BONG MAX</t>
        </is>
      </c>
      <c r="D39" s="5" t="inlineStr">
        <is>
          <t>充电器</t>
        </is>
      </c>
      <c r="E39" s="6" t="inlineStr">
        <is>
          <t>Q0904</t>
        </is>
      </c>
      <c r="F39" s="89">
        <f>-SUMIFS('1月数据源'!I:I,'1月数据源'!D:D,E39,'1月数据源'!F:F,"浙江精准学科技有限公司")+SUMIFS('1月数据源'!J:J,'1月数据源'!D:D,E39,'1月数据源'!F:F,"浙江精准学科技有限公司")</f>
        <v/>
      </c>
      <c r="G39" s="89">
        <f>-SUMIFS('2月数据源'!I:I,'2月数据源'!D:D,E39,'2月数据源'!F:F,"浙江精准学科技有限公司")+SUMIFS('2月数据源'!J:J,'2月数据源'!D:D,E39,'2月数据源'!F:F,"浙江精准学科技有限公司")</f>
        <v/>
      </c>
      <c r="H39" s="89">
        <f>-SUMIFS('3月数据源'!I:I,'3月数据源'!D:D,E39,'3月数据源'!F:F,"浙江精准学科技有限公司")+SUMIFS('3月数据源'!J:J,'3月数据源'!D:D,E39,'3月数据源'!F:F,"浙江精准学科技有限公司")</f>
        <v/>
      </c>
      <c r="I39" s="89">
        <f>-SUMIFS('4月数据源'!I:I,'4月数据源'!D:D,E39,'4月数据源'!F:F,"浙江精准学科技有限公司")+SUMIFS('4月数据源'!J:J,'4月数据源'!D:D,E39,'4月数据源'!F:F,"浙江精准学科技有限公司")</f>
        <v/>
      </c>
      <c r="J39" s="89">
        <f>-SUMIFS('5月数据源'!I:I,'5月数据源'!D:D,E39,'5月数据源'!F:F,"浙江精准学科技有限公司")+SUMIFS('5月数据源'!J:J,'5月数据源'!D:D,E39,'5月数据源'!F:F,"浙江精准学科技有限公司")</f>
        <v/>
      </c>
      <c r="K39" s="89">
        <f>-SUMIFS('6月数据源'!$I:$I,'6月数据源'!$D:$D,$E39,'6月数据源'!$F:$F,"浙江精准学科技有限公司")+SUMIFS('6月数据源'!$J:$J,'6月数据源'!$D:$D,$E39,'6月数据源'!$F:$F,"浙江精准学科技有限公司")</f>
        <v/>
      </c>
      <c r="L39" s="89">
        <f>-SUMIFS('7月数据源'!$I:$I,'7月数据源'!$D:$D,$E39,'7月数据源'!$F:$F,"浙江精准学科技有限公司")+SUMIFS('7月数据源'!$J:$J,'7月数据源'!$D:$D,$E39,'7月数据源'!$F:$F,"浙江精准学科技有限公司")</f>
        <v/>
      </c>
      <c r="M39" s="89">
        <f>-SUMIFS('8月数据源'!$I:$I,'8月数据源'!$D:$D,$E39,'8月数据源'!$F:$F,"浙江精准学科技有限公司")+SUMIFS('8月数据源'!$J:$J,'8月数据源'!$D:$D,$E39,'8月数据源'!$F:$F,"浙江精准学科技有限公司")</f>
        <v/>
      </c>
      <c r="N39" s="89">
        <f>-SUMIFS('9月数据源'!$I:$I,'9月数据源'!$D:$D,$E39,'9月数据源'!$F:$F,"浙江精准学科技有限公司")+SUMIFS('9月数据源'!$J:$J,'9月数据源'!$D:$D,$E39,'9月数据源'!$F:$F,"浙江精准学科技有限公司")</f>
        <v/>
      </c>
      <c r="O39" s="89">
        <f>-SUMIFS('10月数据源'!$I:$I,'10月数据源'!$D:$D,$E39,'10月数据源'!$F:$F,"浙江精准学科技有限公司")+SUMIFS('10月数据源'!$J:$J,'10月数据源'!$D:$D,$E39,'10月数据源'!$F:$F,"浙江精准学科技有限公司")</f>
        <v/>
      </c>
      <c r="P39" s="89">
        <f>-SUMIFS('11月数据源'!$I:$I,'11月数据源'!$D:$D,$E39,'11月数据源'!$F:$F,"浙江精准学科技有限公司")+SUMIFS('11月数据源'!$J:$J,'11月数据源'!$D:$D,$E39,'11月数据源'!$F:$F,"浙江精准学科技有限公司")</f>
        <v/>
      </c>
      <c r="Q39" s="89">
        <f>-SUMIFS('12月数据源'!$I:$I,'12月数据源'!$D:$D,$E39,'12月数据源'!$F:$F,"浙江精准学科技有限公司")+SUMIFS('12月数据源'!$J:$J,'12月数据源'!$D:$D,$E39,'12月数据源'!$F:$F,"浙江精准学科技有限公司")</f>
        <v/>
      </c>
    </row>
    <row r="40" s="83">
      <c r="A40" s="5" t="inlineStr">
        <is>
          <t>硬件支出</t>
        </is>
      </c>
      <c r="B40" s="6" t="inlineStr">
        <is>
          <t>BONG MAX</t>
        </is>
      </c>
      <c r="D40" s="5" t="inlineStr">
        <is>
          <t>指学镜</t>
        </is>
      </c>
      <c r="E40" s="6" t="inlineStr">
        <is>
          <t>Q0905</t>
        </is>
      </c>
      <c r="F40" s="89">
        <f>-SUMIFS('1月数据源'!I:I,'1月数据源'!D:D,E40,'1月数据源'!F:F,"浙江精准学科技有限公司")+SUMIFS('1月数据源'!J:J,'1月数据源'!D:D,E40,'1月数据源'!F:F,"浙江精准学科技有限公司")</f>
        <v/>
      </c>
      <c r="G40" s="89">
        <f>-SUMIFS('2月数据源'!I:I,'2月数据源'!D:D,E40,'2月数据源'!F:F,"浙江精准学科技有限公司")+SUMIFS('2月数据源'!J:J,'2月数据源'!D:D,E40,'2月数据源'!F:F,"浙江精准学科技有限公司")</f>
        <v/>
      </c>
      <c r="H40" s="89">
        <f>-SUMIFS('3月数据源'!I:I,'3月数据源'!D:D,E40,'3月数据源'!F:F,"浙江精准学科技有限公司")+SUMIFS('3月数据源'!J:J,'3月数据源'!D:D,E40,'3月数据源'!F:F,"浙江精准学科技有限公司")</f>
        <v/>
      </c>
      <c r="I40" s="89">
        <f>-SUMIFS('4月数据源'!I:I,'4月数据源'!D:D,E40,'4月数据源'!F:F,"浙江精准学科技有限公司")+SUMIFS('4月数据源'!J:J,'4月数据源'!D:D,E40,'4月数据源'!F:F,"浙江精准学科技有限公司")</f>
        <v/>
      </c>
      <c r="J40" s="89">
        <f>-SUMIFS('5月数据源'!I:I,'5月数据源'!D:D,E40,'5月数据源'!F:F,"浙江精准学科技有限公司")+SUMIFS('5月数据源'!J:J,'5月数据源'!D:D,E40,'5月数据源'!F:F,"浙江精准学科技有限公司")</f>
        <v/>
      </c>
      <c r="K40" s="89">
        <f>-SUMIFS('6月数据源'!$I:$I,'6月数据源'!$D:$D,$E40,'6月数据源'!$F:$F,"浙江精准学科技有限公司")+SUMIFS('6月数据源'!$J:$J,'6月数据源'!$D:$D,$E40,'6月数据源'!$F:$F,"浙江精准学科技有限公司")</f>
        <v/>
      </c>
      <c r="L40" s="89">
        <f>-SUMIFS('7月数据源'!$I:$I,'7月数据源'!$D:$D,$E40,'7月数据源'!$F:$F,"浙江精准学科技有限公司")+SUMIFS('7月数据源'!$J:$J,'7月数据源'!$D:$D,$E40,'7月数据源'!$F:$F,"浙江精准学科技有限公司")</f>
        <v/>
      </c>
      <c r="M40" s="89">
        <f>-SUMIFS('8月数据源'!$I:$I,'8月数据源'!$D:$D,$E40,'8月数据源'!$F:$F,"浙江精准学科技有限公司")+SUMIFS('8月数据源'!$J:$J,'8月数据源'!$D:$D,$E40,'8月数据源'!$F:$F,"浙江精准学科技有限公司")</f>
        <v/>
      </c>
      <c r="N40" s="89">
        <f>-SUMIFS('9月数据源'!$I:$I,'9月数据源'!$D:$D,$E40,'9月数据源'!$F:$F,"浙江精准学科技有限公司")+SUMIFS('9月数据源'!$J:$J,'9月数据源'!$D:$D,$E40,'9月数据源'!$F:$F,"浙江精准学科技有限公司")</f>
        <v/>
      </c>
      <c r="O40" s="89">
        <f>-SUMIFS('10月数据源'!$I:$I,'10月数据源'!$D:$D,$E40,'10月数据源'!$F:$F,"浙江精准学科技有限公司")+SUMIFS('10月数据源'!$J:$J,'10月数据源'!$D:$D,$E40,'10月数据源'!$F:$F,"浙江精准学科技有限公司")</f>
        <v/>
      </c>
      <c r="P40" s="89">
        <f>-SUMIFS('11月数据源'!$I:$I,'11月数据源'!$D:$D,$E40,'11月数据源'!$F:$F,"浙江精准学科技有限公司")+SUMIFS('11月数据源'!$J:$J,'11月数据源'!$D:$D,$E40,'11月数据源'!$F:$F,"浙江精准学科技有限公司")</f>
        <v/>
      </c>
      <c r="Q40" s="89">
        <f>-SUMIFS('12月数据源'!$I:$I,'12月数据源'!$D:$D,$E40,'12月数据源'!$F:$F,"浙江精准学科技有限公司")+SUMIFS('12月数据源'!$J:$J,'12月数据源'!$D:$D,$E40,'12月数据源'!$F:$F,"浙江精准学科技有限公司")</f>
        <v/>
      </c>
    </row>
    <row r="41" s="83">
      <c r="A41" s="5" t="inlineStr">
        <is>
          <t>硬件支出</t>
        </is>
      </c>
      <c r="B41" s="6" t="inlineStr">
        <is>
          <t>BONG MAX</t>
        </is>
      </c>
      <c r="D41" s="5" t="inlineStr">
        <is>
          <t>学习机系统授权费</t>
        </is>
      </c>
      <c r="E41" s="6" t="inlineStr">
        <is>
          <t>Q0906</t>
        </is>
      </c>
      <c r="F41" s="89">
        <f>-SUMIFS('1月数据源'!I:I,'1月数据源'!D:D,E41,'1月数据源'!F:F,"浙江精准学科技有限公司")+SUMIFS('1月数据源'!J:J,'1月数据源'!D:D,E41,'1月数据源'!F:F,"浙江精准学科技有限公司")</f>
        <v/>
      </c>
      <c r="G41" s="89">
        <f>-SUMIFS('2月数据源'!I:I,'2月数据源'!D:D,E41,'2月数据源'!F:F,"浙江精准学科技有限公司")+SUMIFS('2月数据源'!J:J,'2月数据源'!D:D,E41,'2月数据源'!F:F,"浙江精准学科技有限公司")</f>
        <v/>
      </c>
      <c r="H41" s="89">
        <f>-SUMIFS('3月数据源'!I:I,'3月数据源'!D:D,E41,'3月数据源'!F:F,"浙江精准学科技有限公司")+SUMIFS('3月数据源'!J:J,'3月数据源'!D:D,E41,'3月数据源'!F:F,"浙江精准学科技有限公司")</f>
        <v/>
      </c>
      <c r="I41" s="89">
        <f>-SUMIFS('4月数据源'!I:I,'4月数据源'!D:D,E41,'4月数据源'!F:F,"浙江精准学科技有限公司")+SUMIFS('4月数据源'!J:J,'4月数据源'!D:D,E41,'4月数据源'!F:F,"浙江精准学科技有限公司")</f>
        <v/>
      </c>
      <c r="J41" s="89">
        <f>-SUMIFS('5月数据源'!I:I,'5月数据源'!D:D,E41,'5月数据源'!F:F,"浙江精准学科技有限公司")+SUMIFS('5月数据源'!J:J,'5月数据源'!D:D,E41,'5月数据源'!F:F,"浙江精准学科技有限公司")</f>
        <v/>
      </c>
      <c r="K41" s="89">
        <f>-SUMIFS('6月数据源'!$I:$I,'6月数据源'!$D:$D,$E41,'6月数据源'!$F:$F,"浙江精准学科技有限公司")+SUMIFS('6月数据源'!$J:$J,'6月数据源'!$D:$D,$E41,'6月数据源'!$F:$F,"浙江精准学科技有限公司")</f>
        <v/>
      </c>
      <c r="L41" s="89">
        <f>-SUMIFS('7月数据源'!$I:$I,'7月数据源'!$D:$D,$E41,'7月数据源'!$F:$F,"浙江精准学科技有限公司")+SUMIFS('7月数据源'!$J:$J,'7月数据源'!$D:$D,$E41,'7月数据源'!$F:$F,"浙江精准学科技有限公司")</f>
        <v/>
      </c>
      <c r="M41" s="89">
        <f>-SUMIFS('8月数据源'!$I:$I,'8月数据源'!$D:$D,$E41,'8月数据源'!$F:$F,"浙江精准学科技有限公司")+SUMIFS('8月数据源'!$J:$J,'8月数据源'!$D:$D,$E41,'8月数据源'!$F:$F,"浙江精准学科技有限公司")</f>
        <v/>
      </c>
      <c r="N41" s="89">
        <f>-SUMIFS('9月数据源'!$I:$I,'9月数据源'!$D:$D,$E41,'9月数据源'!$F:$F,"浙江精准学科技有限公司")+SUMIFS('9月数据源'!$J:$J,'9月数据源'!$D:$D,$E41,'9月数据源'!$F:$F,"浙江精准学科技有限公司")</f>
        <v/>
      </c>
      <c r="O41" s="89">
        <f>-SUMIFS('10月数据源'!$I:$I,'10月数据源'!$D:$D,$E41,'10月数据源'!$F:$F,"浙江精准学科技有限公司")+SUMIFS('10月数据源'!$J:$J,'10月数据源'!$D:$D,$E41,'10月数据源'!$F:$F,"浙江精准学科技有限公司")</f>
        <v/>
      </c>
      <c r="P41" s="89">
        <f>-SUMIFS('11月数据源'!$I:$I,'11月数据源'!$D:$D,$E41,'11月数据源'!$F:$F,"浙江精准学科技有限公司")+SUMIFS('11月数据源'!$J:$J,'11月数据源'!$D:$D,$E41,'11月数据源'!$F:$F,"浙江精准学科技有限公司")</f>
        <v/>
      </c>
      <c r="Q41" s="89">
        <f>-SUMIFS('12月数据源'!$I:$I,'12月数据源'!$D:$D,$E41,'12月数据源'!$F:$F,"浙江精准学科技有限公司")+SUMIFS('12月数据源'!$J:$J,'12月数据源'!$D:$D,$E41,'12月数据源'!$F:$F,"浙江精准学科技有限公司")</f>
        <v/>
      </c>
    </row>
    <row r="42" s="83">
      <c r="A42" s="5" t="inlineStr">
        <is>
          <t>硬件支出</t>
        </is>
      </c>
      <c r="B42" s="6" t="inlineStr">
        <is>
          <t>BONG PRO</t>
        </is>
      </c>
      <c r="C42" s="6" t="inlineStr">
        <is>
          <t>BONG PRO</t>
        </is>
      </c>
      <c r="D42" s="5" t="inlineStr">
        <is>
          <t>BOE平板电脑款项</t>
        </is>
      </c>
      <c r="E42" s="6" t="inlineStr">
        <is>
          <t>Q1001</t>
        </is>
      </c>
      <c r="F42" s="89">
        <f>-SUMIFS('1月数据源'!I:I,'1月数据源'!D:D,E42,'1月数据源'!F:F,"浙江精准学科技有限公司")+SUMIFS('1月数据源'!J:J,'1月数据源'!D:D,E42,'1月数据源'!F:F,"浙江精准学科技有限公司")</f>
        <v/>
      </c>
      <c r="G42" s="89">
        <f>-SUMIFS('2月数据源'!I:I,'2月数据源'!D:D,E42,'2月数据源'!F:F,"浙江精准学科技有限公司")+SUMIFS('2月数据源'!J:J,'2月数据源'!D:D,E42,'2月数据源'!F:F,"浙江精准学科技有限公司")</f>
        <v/>
      </c>
      <c r="H42" s="89">
        <f>-SUMIFS('3月数据源'!I:I,'3月数据源'!D:D,E42,'3月数据源'!F:F,"浙江精准学科技有限公司")+SUMIFS('3月数据源'!J:J,'3月数据源'!D:D,E42,'3月数据源'!F:F,"浙江精准学科技有限公司")</f>
        <v/>
      </c>
      <c r="I42" s="89">
        <f>-SUMIFS('4月数据源'!I:I,'4月数据源'!D:D,E42,'4月数据源'!F:F,"浙江精准学科技有限公司")+SUMIFS('4月数据源'!J:J,'4月数据源'!D:D,E42,'4月数据源'!F:F,"浙江精准学科技有限公司")</f>
        <v/>
      </c>
      <c r="J42" s="89">
        <f>-SUMIFS('5月数据源'!I:I,'5月数据源'!D:D,E42,'5月数据源'!F:F,"浙江精准学科技有限公司")+SUMIFS('5月数据源'!J:J,'5月数据源'!D:D,E42,'5月数据源'!F:F,"浙江精准学科技有限公司")</f>
        <v/>
      </c>
      <c r="K42" s="89">
        <f>-SUMIFS('6月数据源'!$I:$I,'6月数据源'!$D:$D,$E42,'6月数据源'!$F:$F,"浙江精准学科技有限公司")+SUMIFS('6月数据源'!$J:$J,'6月数据源'!$D:$D,$E42,'6月数据源'!$F:$F,"浙江精准学科技有限公司")</f>
        <v/>
      </c>
      <c r="L42" s="89">
        <f>-SUMIFS('7月数据源'!$I:$I,'7月数据源'!$D:$D,$E42,'7月数据源'!$F:$F,"浙江精准学科技有限公司")+SUMIFS('7月数据源'!$J:$J,'7月数据源'!$D:$D,$E42,'7月数据源'!$F:$F,"浙江精准学科技有限公司")</f>
        <v/>
      </c>
      <c r="M42" s="89">
        <f>-SUMIFS('8月数据源'!$I:$I,'8月数据源'!$D:$D,$E42,'8月数据源'!$F:$F,"浙江精准学科技有限公司")+SUMIFS('8月数据源'!$J:$J,'8月数据源'!$D:$D,$E42,'8月数据源'!$F:$F,"浙江精准学科技有限公司")</f>
        <v/>
      </c>
      <c r="N42" s="89">
        <f>-SUMIFS('9月数据源'!$I:$I,'9月数据源'!$D:$D,$E42,'9月数据源'!$F:$F,"浙江精准学科技有限公司")+SUMIFS('9月数据源'!$J:$J,'9月数据源'!$D:$D,$E42,'9月数据源'!$F:$F,"浙江精准学科技有限公司")</f>
        <v/>
      </c>
      <c r="O42" s="89">
        <f>-SUMIFS('10月数据源'!$I:$I,'10月数据源'!$D:$D,$E42,'10月数据源'!$F:$F,"浙江精准学科技有限公司")+SUMIFS('10月数据源'!$J:$J,'10月数据源'!$D:$D,$E42,'10月数据源'!$F:$F,"浙江精准学科技有限公司")</f>
        <v/>
      </c>
      <c r="P42" s="89">
        <f>-SUMIFS('11月数据源'!$I:$I,'11月数据源'!$D:$D,$E42,'11月数据源'!$F:$F,"浙江精准学科技有限公司")+SUMIFS('11月数据源'!$J:$J,'11月数据源'!$D:$D,$E42,'11月数据源'!$F:$F,"浙江精准学科技有限公司")</f>
        <v/>
      </c>
      <c r="Q42" s="89">
        <f>-SUMIFS('12月数据源'!$I:$I,'12月数据源'!$D:$D,$E42,'12月数据源'!$F:$F,"浙江精准学科技有限公司")+SUMIFS('12月数据源'!$J:$J,'12月数据源'!$D:$D,$E42,'12月数据源'!$F:$F,"浙江精准学科技有限公司")</f>
        <v/>
      </c>
    </row>
    <row r="43" s="83">
      <c r="A43" s="5" t="inlineStr">
        <is>
          <t>硬件支出</t>
        </is>
      </c>
      <c r="B43" s="6" t="inlineStr">
        <is>
          <t>BONG PRO</t>
        </is>
      </c>
      <c r="D43" s="5" t="inlineStr">
        <is>
          <t>保护套</t>
        </is>
      </c>
      <c r="E43" s="6" t="inlineStr">
        <is>
          <t>Q1002</t>
        </is>
      </c>
      <c r="F43" s="89">
        <f>-SUMIFS('1月数据源'!I:I,'1月数据源'!D:D,E43,'1月数据源'!F:F,"浙江精准学科技有限公司")+SUMIFS('1月数据源'!J:J,'1月数据源'!D:D,E43,'1月数据源'!F:F,"浙江精准学科技有限公司")</f>
        <v/>
      </c>
      <c r="G43" s="89">
        <f>-SUMIFS('2月数据源'!I:I,'2月数据源'!D:D,E43,'2月数据源'!F:F,"浙江精准学科技有限公司")+SUMIFS('2月数据源'!J:J,'2月数据源'!D:D,E43,'2月数据源'!F:F,"浙江精准学科技有限公司")</f>
        <v/>
      </c>
      <c r="H43" s="89">
        <f>-SUMIFS('3月数据源'!I:I,'3月数据源'!D:D,E43,'3月数据源'!F:F,"浙江精准学科技有限公司")+SUMIFS('3月数据源'!J:J,'3月数据源'!D:D,E43,'3月数据源'!F:F,"浙江精准学科技有限公司")</f>
        <v/>
      </c>
      <c r="I43" s="89">
        <f>-SUMIFS('4月数据源'!I:I,'4月数据源'!D:D,E43,'4月数据源'!F:F,"浙江精准学科技有限公司")+SUMIFS('4月数据源'!J:J,'4月数据源'!D:D,E43,'4月数据源'!F:F,"浙江精准学科技有限公司")</f>
        <v/>
      </c>
      <c r="J43" s="89">
        <f>-SUMIFS('5月数据源'!I:I,'5月数据源'!D:D,E43,'5月数据源'!F:F,"浙江精准学科技有限公司")+SUMIFS('5月数据源'!J:J,'5月数据源'!D:D,E43,'5月数据源'!F:F,"浙江精准学科技有限公司")</f>
        <v/>
      </c>
      <c r="K43" s="89">
        <f>-SUMIFS('6月数据源'!$I:$I,'6月数据源'!$D:$D,$E43,'6月数据源'!$F:$F,"浙江精准学科技有限公司")+SUMIFS('6月数据源'!$J:$J,'6月数据源'!$D:$D,$E43,'6月数据源'!$F:$F,"浙江精准学科技有限公司")</f>
        <v/>
      </c>
      <c r="L43" s="89">
        <f>-SUMIFS('7月数据源'!$I:$I,'7月数据源'!$D:$D,$E43,'7月数据源'!$F:$F,"浙江精准学科技有限公司")+SUMIFS('7月数据源'!$J:$J,'7月数据源'!$D:$D,$E43,'7月数据源'!$F:$F,"浙江精准学科技有限公司")</f>
        <v/>
      </c>
      <c r="M43" s="89">
        <f>-SUMIFS('8月数据源'!$I:$I,'8月数据源'!$D:$D,$E43,'8月数据源'!$F:$F,"浙江精准学科技有限公司")+SUMIFS('8月数据源'!$J:$J,'8月数据源'!$D:$D,$E43,'8月数据源'!$F:$F,"浙江精准学科技有限公司")</f>
        <v/>
      </c>
      <c r="N43" s="89">
        <f>-SUMIFS('9月数据源'!$I:$I,'9月数据源'!$D:$D,$E43,'9月数据源'!$F:$F,"浙江精准学科技有限公司")+SUMIFS('9月数据源'!$J:$J,'9月数据源'!$D:$D,$E43,'9月数据源'!$F:$F,"浙江精准学科技有限公司")</f>
        <v/>
      </c>
      <c r="O43" s="89">
        <f>-SUMIFS('10月数据源'!$I:$I,'10月数据源'!$D:$D,$E43,'10月数据源'!$F:$F,"浙江精准学科技有限公司")+SUMIFS('10月数据源'!$J:$J,'10月数据源'!$D:$D,$E43,'10月数据源'!$F:$F,"浙江精准学科技有限公司")</f>
        <v/>
      </c>
      <c r="P43" s="89">
        <f>-SUMIFS('11月数据源'!$I:$I,'11月数据源'!$D:$D,$E43,'11月数据源'!$F:$F,"浙江精准学科技有限公司")+SUMIFS('11月数据源'!$J:$J,'11月数据源'!$D:$D,$E43,'11月数据源'!$F:$F,"浙江精准学科技有限公司")</f>
        <v/>
      </c>
      <c r="Q43" s="89">
        <f>-SUMIFS('12月数据源'!$I:$I,'12月数据源'!$D:$D,$E43,'12月数据源'!$F:$F,"浙江精准学科技有限公司")+SUMIFS('12月数据源'!$J:$J,'12月数据源'!$D:$D,$E43,'12月数据源'!$F:$F,"浙江精准学科技有限公司")</f>
        <v/>
      </c>
    </row>
    <row r="44" s="83">
      <c r="A44" s="5" t="inlineStr">
        <is>
          <t>硬件支出</t>
        </is>
      </c>
      <c r="B44" s="6" t="inlineStr">
        <is>
          <t>BONG PRO</t>
        </is>
      </c>
      <c r="D44" s="5" t="inlineStr">
        <is>
          <t>包装盒</t>
        </is>
      </c>
      <c r="E44" s="6" t="inlineStr">
        <is>
          <t>Q1003</t>
        </is>
      </c>
      <c r="F44" s="89">
        <f>-SUMIFS('1月数据源'!I:I,'1月数据源'!D:D,E44,'1月数据源'!F:F,"浙江精准学科技有限公司")+SUMIFS('1月数据源'!J:J,'1月数据源'!D:D,E44,'1月数据源'!F:F,"浙江精准学科技有限公司")</f>
        <v/>
      </c>
      <c r="G44" s="89">
        <f>-SUMIFS('2月数据源'!I:I,'2月数据源'!D:D,E44,'2月数据源'!F:F,"浙江精准学科技有限公司")+SUMIFS('2月数据源'!J:J,'2月数据源'!D:D,E44,'2月数据源'!F:F,"浙江精准学科技有限公司")</f>
        <v/>
      </c>
      <c r="H44" s="89">
        <f>-SUMIFS('3月数据源'!I:I,'3月数据源'!D:D,E44,'3月数据源'!F:F,"浙江精准学科技有限公司")+SUMIFS('3月数据源'!J:J,'3月数据源'!D:D,E44,'3月数据源'!F:F,"浙江精准学科技有限公司")</f>
        <v/>
      </c>
      <c r="I44" s="89">
        <f>-SUMIFS('4月数据源'!I:I,'4月数据源'!D:D,E44,'4月数据源'!F:F,"浙江精准学科技有限公司")+SUMIFS('4月数据源'!J:J,'4月数据源'!D:D,E44,'4月数据源'!F:F,"浙江精准学科技有限公司")</f>
        <v/>
      </c>
      <c r="J44" s="89">
        <f>-SUMIFS('5月数据源'!I:I,'5月数据源'!D:D,E44,'5月数据源'!F:F,"浙江精准学科技有限公司")+SUMIFS('5月数据源'!J:J,'5月数据源'!D:D,E44,'5月数据源'!F:F,"浙江精准学科技有限公司")</f>
        <v/>
      </c>
      <c r="K44" s="89">
        <f>-SUMIFS('6月数据源'!$I:$I,'6月数据源'!$D:$D,$E44,'6月数据源'!$F:$F,"浙江精准学科技有限公司")+SUMIFS('6月数据源'!$J:$J,'6月数据源'!$D:$D,$E44,'6月数据源'!$F:$F,"浙江精准学科技有限公司")</f>
        <v/>
      </c>
      <c r="L44" s="89">
        <f>-SUMIFS('7月数据源'!$I:$I,'7月数据源'!$D:$D,$E44,'7月数据源'!$F:$F,"浙江精准学科技有限公司")+SUMIFS('7月数据源'!$J:$J,'7月数据源'!$D:$D,$E44,'7月数据源'!$F:$F,"浙江精准学科技有限公司")</f>
        <v/>
      </c>
      <c r="M44" s="89">
        <f>-SUMIFS('8月数据源'!$I:$I,'8月数据源'!$D:$D,$E44,'8月数据源'!$F:$F,"浙江精准学科技有限公司")+SUMIFS('8月数据源'!$J:$J,'8月数据源'!$D:$D,$E44,'8月数据源'!$F:$F,"浙江精准学科技有限公司")</f>
        <v/>
      </c>
      <c r="N44" s="89">
        <f>-SUMIFS('9月数据源'!$I:$I,'9月数据源'!$D:$D,$E44,'9月数据源'!$F:$F,"浙江精准学科技有限公司")+SUMIFS('9月数据源'!$J:$J,'9月数据源'!$D:$D,$E44,'9月数据源'!$F:$F,"浙江精准学科技有限公司")</f>
        <v/>
      </c>
      <c r="O44" s="89">
        <f>-SUMIFS('10月数据源'!$I:$I,'10月数据源'!$D:$D,$E44,'10月数据源'!$F:$F,"浙江精准学科技有限公司")+SUMIFS('10月数据源'!$J:$J,'10月数据源'!$D:$D,$E44,'10月数据源'!$F:$F,"浙江精准学科技有限公司")</f>
        <v/>
      </c>
      <c r="P44" s="89">
        <f>-SUMIFS('11月数据源'!$I:$I,'11月数据源'!$D:$D,$E44,'11月数据源'!$F:$F,"浙江精准学科技有限公司")+SUMIFS('11月数据源'!$J:$J,'11月数据源'!$D:$D,$E44,'11月数据源'!$F:$F,"浙江精准学科技有限公司")</f>
        <v/>
      </c>
      <c r="Q44" s="89">
        <f>-SUMIFS('12月数据源'!$I:$I,'12月数据源'!$D:$D,$E44,'12月数据源'!$F:$F,"浙江精准学科技有限公司")+SUMIFS('12月数据源'!$J:$J,'12月数据源'!$D:$D,$E44,'12月数据源'!$F:$F,"浙江精准学科技有限公司")</f>
        <v/>
      </c>
    </row>
    <row r="45" s="83">
      <c r="A45" s="5" t="inlineStr">
        <is>
          <t>硬件支出</t>
        </is>
      </c>
      <c r="B45" s="6" t="inlineStr">
        <is>
          <t>BONG PRO</t>
        </is>
      </c>
      <c r="D45" s="5" t="inlineStr">
        <is>
          <t>充电器</t>
        </is>
      </c>
      <c r="E45" s="6" t="inlineStr">
        <is>
          <t>Q1004</t>
        </is>
      </c>
      <c r="F45" s="89">
        <f>-SUMIFS('1月数据源'!I:I,'1月数据源'!D:D,E45,'1月数据源'!F:F,"浙江精准学科技有限公司")+SUMIFS('1月数据源'!J:J,'1月数据源'!D:D,E45,'1月数据源'!F:F,"浙江精准学科技有限公司")</f>
        <v/>
      </c>
      <c r="G45" s="89">
        <f>-SUMIFS('2月数据源'!I:I,'2月数据源'!D:D,E45,'2月数据源'!F:F,"浙江精准学科技有限公司")+SUMIFS('2月数据源'!J:J,'2月数据源'!D:D,E45,'2月数据源'!F:F,"浙江精准学科技有限公司")</f>
        <v/>
      </c>
      <c r="H45" s="89">
        <f>-SUMIFS('3月数据源'!I:I,'3月数据源'!D:D,E45,'3月数据源'!F:F,"浙江精准学科技有限公司")+SUMIFS('3月数据源'!J:J,'3月数据源'!D:D,E45,'3月数据源'!F:F,"浙江精准学科技有限公司")</f>
        <v/>
      </c>
      <c r="I45" s="89">
        <f>-SUMIFS('4月数据源'!I:I,'4月数据源'!D:D,E45,'4月数据源'!F:F,"浙江精准学科技有限公司")+SUMIFS('4月数据源'!J:J,'4月数据源'!D:D,E45,'4月数据源'!F:F,"浙江精准学科技有限公司")</f>
        <v/>
      </c>
      <c r="J45" s="89">
        <f>-SUMIFS('5月数据源'!I:I,'5月数据源'!D:D,E45,'5月数据源'!F:F,"浙江精准学科技有限公司")+SUMIFS('5月数据源'!J:J,'5月数据源'!D:D,E45,'5月数据源'!F:F,"浙江精准学科技有限公司")</f>
        <v/>
      </c>
      <c r="K45" s="89">
        <f>-SUMIFS('6月数据源'!$I:$I,'6月数据源'!$D:$D,$E45,'6月数据源'!$F:$F,"浙江精准学科技有限公司")+SUMIFS('6月数据源'!$J:$J,'6月数据源'!$D:$D,$E45,'6月数据源'!$F:$F,"浙江精准学科技有限公司")</f>
        <v/>
      </c>
      <c r="L45" s="89">
        <f>-SUMIFS('7月数据源'!$I:$I,'7月数据源'!$D:$D,$E45,'7月数据源'!$F:$F,"浙江精准学科技有限公司")+SUMIFS('7月数据源'!$J:$J,'7月数据源'!$D:$D,$E45,'7月数据源'!$F:$F,"浙江精准学科技有限公司")</f>
        <v/>
      </c>
      <c r="M45" s="89">
        <f>-SUMIFS('8月数据源'!$I:$I,'8月数据源'!$D:$D,$E45,'8月数据源'!$F:$F,"浙江精准学科技有限公司")+SUMIFS('8月数据源'!$J:$J,'8月数据源'!$D:$D,$E45,'8月数据源'!$F:$F,"浙江精准学科技有限公司")</f>
        <v/>
      </c>
      <c r="N45" s="89">
        <f>-SUMIFS('9月数据源'!$I:$I,'9月数据源'!$D:$D,$E45,'9月数据源'!$F:$F,"浙江精准学科技有限公司")+SUMIFS('9月数据源'!$J:$J,'9月数据源'!$D:$D,$E45,'9月数据源'!$F:$F,"浙江精准学科技有限公司")</f>
        <v/>
      </c>
      <c r="O45" s="89">
        <f>-SUMIFS('10月数据源'!$I:$I,'10月数据源'!$D:$D,$E45,'10月数据源'!$F:$F,"浙江精准学科技有限公司")+SUMIFS('10月数据源'!$J:$J,'10月数据源'!$D:$D,$E45,'10月数据源'!$F:$F,"浙江精准学科技有限公司")</f>
        <v/>
      </c>
      <c r="P45" s="89">
        <f>-SUMIFS('11月数据源'!$I:$I,'11月数据源'!$D:$D,$E45,'11月数据源'!$F:$F,"浙江精准学科技有限公司")+SUMIFS('11月数据源'!$J:$J,'11月数据源'!$D:$D,$E45,'11月数据源'!$F:$F,"浙江精准学科技有限公司")</f>
        <v/>
      </c>
      <c r="Q45" s="89">
        <f>-SUMIFS('12月数据源'!$I:$I,'12月数据源'!$D:$D,$E45,'12月数据源'!$F:$F,"浙江精准学科技有限公司")+SUMIFS('12月数据源'!$J:$J,'12月数据源'!$D:$D,$E45,'12月数据源'!$F:$F,"浙江精准学科技有限公司")</f>
        <v/>
      </c>
    </row>
    <row r="46" s="83">
      <c r="A46" s="5" t="inlineStr">
        <is>
          <t>硬件支出</t>
        </is>
      </c>
      <c r="B46" s="6" t="inlineStr">
        <is>
          <t>BONG PRO</t>
        </is>
      </c>
      <c r="D46" s="5" t="inlineStr">
        <is>
          <t>指学镜</t>
        </is>
      </c>
      <c r="E46" s="6" t="inlineStr">
        <is>
          <t>Q1005</t>
        </is>
      </c>
      <c r="F46" s="89">
        <f>-SUMIFS('1月数据源'!I:I,'1月数据源'!D:D,E46,'1月数据源'!F:F,"浙江精准学科技有限公司")+SUMIFS('1月数据源'!J:J,'1月数据源'!D:D,E46,'1月数据源'!F:F,"浙江精准学科技有限公司")</f>
        <v/>
      </c>
      <c r="G46" s="89">
        <f>-SUMIFS('2月数据源'!I:I,'2月数据源'!D:D,E46,'2月数据源'!F:F,"浙江精准学科技有限公司")+SUMIFS('2月数据源'!J:J,'2月数据源'!D:D,E46,'2月数据源'!F:F,"浙江精准学科技有限公司")</f>
        <v/>
      </c>
      <c r="H46" s="89">
        <f>-SUMIFS('3月数据源'!I:I,'3月数据源'!D:D,E46,'3月数据源'!F:F,"浙江精准学科技有限公司")+SUMIFS('3月数据源'!J:J,'3月数据源'!D:D,E46,'3月数据源'!F:F,"浙江精准学科技有限公司")</f>
        <v/>
      </c>
      <c r="I46" s="89">
        <f>-SUMIFS('4月数据源'!I:I,'4月数据源'!D:D,E46,'4月数据源'!F:F,"浙江精准学科技有限公司")+SUMIFS('4月数据源'!J:J,'4月数据源'!D:D,E46,'4月数据源'!F:F,"浙江精准学科技有限公司")</f>
        <v/>
      </c>
      <c r="J46" s="89">
        <f>-SUMIFS('5月数据源'!I:I,'5月数据源'!D:D,E46,'5月数据源'!F:F,"浙江精准学科技有限公司")+SUMIFS('5月数据源'!J:J,'5月数据源'!D:D,E46,'5月数据源'!F:F,"浙江精准学科技有限公司")</f>
        <v/>
      </c>
      <c r="K46" s="89">
        <f>-SUMIFS('6月数据源'!$I:$I,'6月数据源'!$D:$D,$E46,'6月数据源'!$F:$F,"浙江精准学科技有限公司")+SUMIFS('6月数据源'!$J:$J,'6月数据源'!$D:$D,$E46,'6月数据源'!$F:$F,"浙江精准学科技有限公司")</f>
        <v/>
      </c>
      <c r="L46" s="89">
        <f>-SUMIFS('7月数据源'!$I:$I,'7月数据源'!$D:$D,$E46,'7月数据源'!$F:$F,"浙江精准学科技有限公司")+SUMIFS('7月数据源'!$J:$J,'7月数据源'!$D:$D,$E46,'7月数据源'!$F:$F,"浙江精准学科技有限公司")</f>
        <v/>
      </c>
      <c r="M46" s="89">
        <f>-SUMIFS('8月数据源'!$I:$I,'8月数据源'!$D:$D,$E46,'8月数据源'!$F:$F,"浙江精准学科技有限公司")+SUMIFS('8月数据源'!$J:$J,'8月数据源'!$D:$D,$E46,'8月数据源'!$F:$F,"浙江精准学科技有限公司")</f>
        <v/>
      </c>
      <c r="N46" s="89">
        <f>-SUMIFS('9月数据源'!$I:$I,'9月数据源'!$D:$D,$E46,'9月数据源'!$F:$F,"浙江精准学科技有限公司")+SUMIFS('9月数据源'!$J:$J,'9月数据源'!$D:$D,$E46,'9月数据源'!$F:$F,"浙江精准学科技有限公司")</f>
        <v/>
      </c>
      <c r="O46" s="89">
        <f>-SUMIFS('10月数据源'!$I:$I,'10月数据源'!$D:$D,$E46,'10月数据源'!$F:$F,"浙江精准学科技有限公司")+SUMIFS('10月数据源'!$J:$J,'10月数据源'!$D:$D,$E46,'10月数据源'!$F:$F,"浙江精准学科技有限公司")</f>
        <v/>
      </c>
      <c r="P46" s="89">
        <f>-SUMIFS('11月数据源'!$I:$I,'11月数据源'!$D:$D,$E46,'11月数据源'!$F:$F,"浙江精准学科技有限公司")+SUMIFS('11月数据源'!$J:$J,'11月数据源'!$D:$D,$E46,'11月数据源'!$F:$F,"浙江精准学科技有限公司")</f>
        <v/>
      </c>
      <c r="Q46" s="89">
        <f>-SUMIFS('12月数据源'!$I:$I,'12月数据源'!$D:$D,$E46,'12月数据源'!$F:$F,"浙江精准学科技有限公司")+SUMIFS('12月数据源'!$J:$J,'12月数据源'!$D:$D,$E46,'12月数据源'!$F:$F,"浙江精准学科技有限公司")</f>
        <v/>
      </c>
    </row>
    <row r="47" s="83">
      <c r="A47" s="5" t="inlineStr">
        <is>
          <t>硬件支出</t>
        </is>
      </c>
      <c r="B47" s="6" t="inlineStr">
        <is>
          <t>BONG PRO</t>
        </is>
      </c>
      <c r="D47" s="5" t="inlineStr">
        <is>
          <t>学习机系统授权费</t>
        </is>
      </c>
      <c r="E47" s="6" t="inlineStr">
        <is>
          <t>Q1006</t>
        </is>
      </c>
      <c r="F47" s="89">
        <f>-SUMIFS('1月数据源'!I:I,'1月数据源'!D:D,E47,'1月数据源'!F:F,"浙江精准学科技有限公司")+SUMIFS('1月数据源'!J:J,'1月数据源'!D:D,E47,'1月数据源'!F:F,"浙江精准学科技有限公司")</f>
        <v/>
      </c>
      <c r="G47" s="89">
        <f>-SUMIFS('2月数据源'!I:I,'2月数据源'!D:D,E47,'2月数据源'!F:F,"浙江精准学科技有限公司")+SUMIFS('2月数据源'!J:J,'2月数据源'!D:D,E47,'2月数据源'!F:F,"浙江精准学科技有限公司")</f>
        <v/>
      </c>
      <c r="H47" s="89">
        <f>-SUMIFS('3月数据源'!I:I,'3月数据源'!D:D,E47,'3月数据源'!F:F,"浙江精准学科技有限公司")+SUMIFS('3月数据源'!J:J,'3月数据源'!D:D,E47,'3月数据源'!F:F,"浙江精准学科技有限公司")</f>
        <v/>
      </c>
      <c r="I47" s="89">
        <f>-SUMIFS('4月数据源'!I:I,'4月数据源'!D:D,E47,'4月数据源'!F:F,"浙江精准学科技有限公司")+SUMIFS('4月数据源'!J:J,'4月数据源'!D:D,E47,'4月数据源'!F:F,"浙江精准学科技有限公司")</f>
        <v/>
      </c>
      <c r="J47" s="89">
        <f>-SUMIFS('5月数据源'!I:I,'5月数据源'!D:D,E47,'5月数据源'!F:F,"浙江精准学科技有限公司")+SUMIFS('5月数据源'!J:J,'5月数据源'!D:D,E47,'5月数据源'!F:F,"浙江精准学科技有限公司")</f>
        <v/>
      </c>
      <c r="K47" s="89">
        <f>-SUMIFS('6月数据源'!$I:$I,'6月数据源'!$D:$D,$E47,'6月数据源'!$F:$F,"浙江精准学科技有限公司")+SUMIFS('6月数据源'!$J:$J,'6月数据源'!$D:$D,$E47,'6月数据源'!$F:$F,"浙江精准学科技有限公司")</f>
        <v/>
      </c>
      <c r="L47" s="89">
        <f>-SUMIFS('7月数据源'!$I:$I,'7月数据源'!$D:$D,$E47,'7月数据源'!$F:$F,"浙江精准学科技有限公司")+SUMIFS('7月数据源'!$J:$J,'7月数据源'!$D:$D,$E47,'7月数据源'!$F:$F,"浙江精准学科技有限公司")</f>
        <v/>
      </c>
      <c r="M47" s="89">
        <f>-SUMIFS('8月数据源'!$I:$I,'8月数据源'!$D:$D,$E47,'8月数据源'!$F:$F,"浙江精准学科技有限公司")+SUMIFS('8月数据源'!$J:$J,'8月数据源'!$D:$D,$E47,'8月数据源'!$F:$F,"浙江精准学科技有限公司")</f>
        <v/>
      </c>
      <c r="N47" s="89">
        <f>-SUMIFS('9月数据源'!$I:$I,'9月数据源'!$D:$D,$E47,'9月数据源'!$F:$F,"浙江精准学科技有限公司")+SUMIFS('9月数据源'!$J:$J,'9月数据源'!$D:$D,$E47,'9月数据源'!$F:$F,"浙江精准学科技有限公司")</f>
        <v/>
      </c>
      <c r="O47" s="89">
        <f>-SUMIFS('10月数据源'!$I:$I,'10月数据源'!$D:$D,$E47,'10月数据源'!$F:$F,"浙江精准学科技有限公司")+SUMIFS('10月数据源'!$J:$J,'10月数据源'!$D:$D,$E47,'10月数据源'!$F:$F,"浙江精准学科技有限公司")</f>
        <v/>
      </c>
      <c r="P47" s="89">
        <f>-SUMIFS('11月数据源'!$I:$I,'11月数据源'!$D:$D,$E47,'11月数据源'!$F:$F,"浙江精准学科技有限公司")+SUMIFS('11月数据源'!$J:$J,'11月数据源'!$D:$D,$E47,'11月数据源'!$F:$F,"浙江精准学科技有限公司")</f>
        <v/>
      </c>
      <c r="Q47" s="89">
        <f>-SUMIFS('12月数据源'!$I:$I,'12月数据源'!$D:$D,$E47,'12月数据源'!$F:$F,"浙江精准学科技有限公司")+SUMIFS('12月数据源'!$J:$J,'12月数据源'!$D:$D,$E47,'12月数据源'!$F:$F,"浙江精准学科技有限公司")</f>
        <v/>
      </c>
    </row>
    <row r="48" s="83">
      <c r="A48" s="5" t="inlineStr">
        <is>
          <t>硬件支出</t>
        </is>
      </c>
      <c r="B48" s="6" t="inlineStr">
        <is>
          <t>其他硬件成本</t>
        </is>
      </c>
      <c r="C48" s="6" t="inlineStr">
        <is>
          <t>其他硬件成本</t>
        </is>
      </c>
      <c r="D48" s="5" t="inlineStr">
        <is>
          <t>电容笔</t>
        </is>
      </c>
      <c r="E48" s="6" t="inlineStr">
        <is>
          <t>Q1101</t>
        </is>
      </c>
      <c r="F48" s="89">
        <f>-SUMIFS('1月数据源'!I:I,'1月数据源'!D:D,E48,'1月数据源'!F:F,"浙江精准学科技有限公司")+SUMIFS('1月数据源'!J:J,'1月数据源'!D:D,E48,'1月数据源'!F:F,"浙江精准学科技有限公司")</f>
        <v/>
      </c>
      <c r="G48" s="89">
        <f>-SUMIFS('2月数据源'!I:I,'2月数据源'!D:D,E48,'2月数据源'!F:F,"浙江精准学科技有限公司")+SUMIFS('2月数据源'!J:J,'2月数据源'!D:D,E48,'2月数据源'!F:F,"浙江精准学科技有限公司")</f>
        <v/>
      </c>
      <c r="H48" s="89">
        <f>-SUMIFS('3月数据源'!I:I,'3月数据源'!D:D,E48,'3月数据源'!F:F,"浙江精准学科技有限公司")+SUMIFS('3月数据源'!J:J,'3月数据源'!D:D,E48,'3月数据源'!F:F,"浙江精准学科技有限公司")</f>
        <v/>
      </c>
      <c r="I48" s="89">
        <f>-SUMIFS('4月数据源'!I:I,'4月数据源'!D:D,E48,'4月数据源'!F:F,"浙江精准学科技有限公司")+SUMIFS('4月数据源'!J:J,'4月数据源'!D:D,E48,'4月数据源'!F:F,"浙江精准学科技有限公司")</f>
        <v/>
      </c>
      <c r="J48" s="89">
        <f>-SUMIFS('5月数据源'!I:I,'5月数据源'!D:D,E48,'5月数据源'!F:F,"浙江精准学科技有限公司")+SUMIFS('5月数据源'!J:J,'5月数据源'!D:D,E48,'5月数据源'!F:F,"浙江精准学科技有限公司")</f>
        <v/>
      </c>
      <c r="K48" s="89">
        <f>-SUMIFS('6月数据源'!$I:$I,'6月数据源'!$D:$D,$E48,'6月数据源'!$F:$F,"浙江精准学科技有限公司")+SUMIFS('6月数据源'!$J:$J,'6月数据源'!$D:$D,$E48,'6月数据源'!$F:$F,"浙江精准学科技有限公司")</f>
        <v/>
      </c>
      <c r="L48" s="89">
        <f>-SUMIFS('7月数据源'!$I:$I,'7月数据源'!$D:$D,$E48,'7月数据源'!$F:$F,"浙江精准学科技有限公司")+SUMIFS('7月数据源'!$J:$J,'7月数据源'!$D:$D,$E48,'7月数据源'!$F:$F,"浙江精准学科技有限公司")</f>
        <v/>
      </c>
      <c r="M48" s="89">
        <f>-SUMIFS('8月数据源'!$I:$I,'8月数据源'!$D:$D,$E48,'8月数据源'!$F:$F,"浙江精准学科技有限公司")+SUMIFS('8月数据源'!$J:$J,'8月数据源'!$D:$D,$E48,'8月数据源'!$F:$F,"浙江精准学科技有限公司")</f>
        <v/>
      </c>
      <c r="N48" s="89">
        <f>-SUMIFS('9月数据源'!$I:$I,'9月数据源'!$D:$D,$E48,'9月数据源'!$F:$F,"浙江精准学科技有限公司")+SUMIFS('9月数据源'!$J:$J,'9月数据源'!$D:$D,$E48,'9月数据源'!$F:$F,"浙江精准学科技有限公司")</f>
        <v/>
      </c>
      <c r="O48" s="89">
        <f>-SUMIFS('10月数据源'!$I:$I,'10月数据源'!$D:$D,$E48,'10月数据源'!$F:$F,"浙江精准学科技有限公司")+SUMIFS('10月数据源'!$J:$J,'10月数据源'!$D:$D,$E48,'10月数据源'!$F:$F,"浙江精准学科技有限公司")</f>
        <v/>
      </c>
      <c r="P48" s="89">
        <f>-SUMIFS('11月数据源'!$I:$I,'11月数据源'!$D:$D,$E48,'11月数据源'!$F:$F,"浙江精准学科技有限公司")+SUMIFS('11月数据源'!$J:$J,'11月数据源'!$D:$D,$E48,'11月数据源'!$F:$F,"浙江精准学科技有限公司")</f>
        <v/>
      </c>
      <c r="Q48" s="89">
        <f>-SUMIFS('12月数据源'!$I:$I,'12月数据源'!$D:$D,$E48,'12月数据源'!$F:$F,"浙江精准学科技有限公司")+SUMIFS('12月数据源'!$J:$J,'12月数据源'!$D:$D,$E48,'12月数据源'!$F:$F,"浙江精准学科技有限公司")</f>
        <v/>
      </c>
    </row>
    <row r="49" s="83">
      <c r="A49" s="5" t="inlineStr">
        <is>
          <t>硬件支出</t>
        </is>
      </c>
      <c r="B49" s="6" t="inlineStr">
        <is>
          <t>其他硬件成本</t>
        </is>
      </c>
      <c r="D49" s="5" t="inlineStr">
        <is>
          <t>支架</t>
        </is>
      </c>
      <c r="E49" s="6" t="inlineStr">
        <is>
          <t>Q1102</t>
        </is>
      </c>
      <c r="F49" s="89">
        <f>-SUMIFS('1月数据源'!I:I,'1月数据源'!D:D,E49,'1月数据源'!F:F,"浙江精准学科技有限公司")+SUMIFS('1月数据源'!J:J,'1月数据源'!D:D,E49,'1月数据源'!F:F,"浙江精准学科技有限公司")</f>
        <v/>
      </c>
      <c r="G49" s="89">
        <f>-SUMIFS('2月数据源'!I:I,'2月数据源'!D:D,E49,'2月数据源'!F:F,"浙江精准学科技有限公司")+SUMIFS('2月数据源'!J:J,'2月数据源'!D:D,E49,'2月数据源'!F:F,"浙江精准学科技有限公司")</f>
        <v/>
      </c>
      <c r="H49" s="89">
        <f>-SUMIFS('3月数据源'!I:I,'3月数据源'!D:D,E49,'3月数据源'!F:F,"浙江精准学科技有限公司")+SUMIFS('3月数据源'!J:J,'3月数据源'!D:D,E49,'3月数据源'!F:F,"浙江精准学科技有限公司")</f>
        <v/>
      </c>
      <c r="I49" s="89">
        <f>-SUMIFS('4月数据源'!I:I,'4月数据源'!D:D,E49,'4月数据源'!F:F,"浙江精准学科技有限公司")+SUMIFS('4月数据源'!J:J,'4月数据源'!D:D,E49,'4月数据源'!F:F,"浙江精准学科技有限公司")</f>
        <v/>
      </c>
      <c r="J49" s="89">
        <f>-SUMIFS('5月数据源'!I:I,'5月数据源'!D:D,E49,'5月数据源'!F:F,"浙江精准学科技有限公司")+SUMIFS('5月数据源'!J:J,'5月数据源'!D:D,E49,'5月数据源'!F:F,"浙江精准学科技有限公司")</f>
        <v/>
      </c>
      <c r="K49" s="89">
        <f>-SUMIFS('6月数据源'!$I:$I,'6月数据源'!$D:$D,$E49,'6月数据源'!$F:$F,"浙江精准学科技有限公司")+SUMIFS('6月数据源'!$J:$J,'6月数据源'!$D:$D,$E49,'6月数据源'!$F:$F,"浙江精准学科技有限公司")</f>
        <v/>
      </c>
      <c r="L49" s="89">
        <f>-SUMIFS('7月数据源'!$I:$I,'7月数据源'!$D:$D,$E49,'7月数据源'!$F:$F,"浙江精准学科技有限公司")+SUMIFS('7月数据源'!$J:$J,'7月数据源'!$D:$D,$E49,'7月数据源'!$F:$F,"浙江精准学科技有限公司")</f>
        <v/>
      </c>
      <c r="M49" s="89">
        <f>-SUMIFS('8月数据源'!$I:$I,'8月数据源'!$D:$D,$E49,'8月数据源'!$F:$F,"浙江精准学科技有限公司")+SUMIFS('8月数据源'!$J:$J,'8月数据源'!$D:$D,$E49,'8月数据源'!$F:$F,"浙江精准学科技有限公司")</f>
        <v/>
      </c>
      <c r="N49" s="89">
        <f>-SUMIFS('9月数据源'!$I:$I,'9月数据源'!$D:$D,$E49,'9月数据源'!$F:$F,"浙江精准学科技有限公司")+SUMIFS('9月数据源'!$J:$J,'9月数据源'!$D:$D,$E49,'9月数据源'!$F:$F,"浙江精准学科技有限公司")</f>
        <v/>
      </c>
      <c r="O49" s="89">
        <f>-SUMIFS('10月数据源'!$I:$I,'10月数据源'!$D:$D,$E49,'10月数据源'!$F:$F,"浙江精准学科技有限公司")+SUMIFS('10月数据源'!$J:$J,'10月数据源'!$D:$D,$E49,'10月数据源'!$F:$F,"浙江精准学科技有限公司")</f>
        <v/>
      </c>
      <c r="P49" s="89">
        <f>-SUMIFS('11月数据源'!$I:$I,'11月数据源'!$D:$D,$E49,'11月数据源'!$F:$F,"浙江精准学科技有限公司")+SUMIFS('11月数据源'!$J:$J,'11月数据源'!$D:$D,$E49,'11月数据源'!$F:$F,"浙江精准学科技有限公司")</f>
        <v/>
      </c>
      <c r="Q49" s="89">
        <f>-SUMIFS('12月数据源'!$I:$I,'12月数据源'!$D:$D,$E49,'12月数据源'!$F:$F,"浙江精准学科技有限公司")+SUMIFS('12月数据源'!$J:$J,'12月数据源'!$D:$D,$E49,'12月数据源'!$F:$F,"浙江精准学科技有限公司")</f>
        <v/>
      </c>
    </row>
    <row r="50" s="83">
      <c r="A50" s="49" t="inlineStr">
        <is>
          <t>硬件支出合计</t>
        </is>
      </c>
      <c r="B50" s="50" t="n"/>
      <c r="C50" s="50" t="n"/>
      <c r="D50" s="49" t="n"/>
      <c r="E50" s="49" t="n"/>
      <c r="F50" s="89">
        <f>SUM(F36:F49)</f>
        <v/>
      </c>
      <c r="G50" s="89">
        <f>SUM(G36:G49)</f>
        <v/>
      </c>
      <c r="H50" s="89">
        <f>SUM(H36:H49)</f>
        <v/>
      </c>
      <c r="I50" s="89">
        <f>SUM(I36:I49)</f>
        <v/>
      </c>
      <c r="J50" s="89">
        <f>SUM(J36:J49)</f>
        <v/>
      </c>
      <c r="K50" s="89">
        <f>SUM(K36:K49)</f>
        <v/>
      </c>
      <c r="L50" s="89">
        <f>SUM(L36:L49)</f>
        <v/>
      </c>
      <c r="M50" s="89">
        <f>SUM(M36:M49)</f>
        <v/>
      </c>
      <c r="N50" s="89">
        <f>SUM(N36:N49)</f>
        <v/>
      </c>
      <c r="O50" s="89">
        <f>SUM(O36:O49)</f>
        <v/>
      </c>
      <c r="P50" s="89">
        <f>SUM(P36:P49)</f>
        <v/>
      </c>
      <c r="Q50" s="89">
        <f>SUM(Q36:Q49)</f>
        <v/>
      </c>
    </row>
    <row r="51" s="83">
      <c r="A51" s="5" t="inlineStr">
        <is>
          <t>制造费用</t>
        </is>
      </c>
      <c r="B51" s="5" t="inlineStr">
        <is>
          <t>制造费用</t>
        </is>
      </c>
      <c r="C51" s="6" t="inlineStr">
        <is>
          <t>制造费用</t>
        </is>
      </c>
      <c r="D51" s="5" t="inlineStr">
        <is>
          <t>西溪首座仓库租金</t>
        </is>
      </c>
      <c r="E51" s="6" t="inlineStr">
        <is>
          <t>Q3201</t>
        </is>
      </c>
      <c r="F51" s="89">
        <f>-SUMIFS('1月数据源'!I:I,'1月数据源'!D:D,E51,'1月数据源'!F:F,"浙江精准学科技有限公司")+SUMIFS('1月数据源'!J:J,'1月数据源'!D:D,E51,'1月数据源'!F:F,"浙江精准学科技有限公司")</f>
        <v/>
      </c>
      <c r="G51" s="89">
        <f>-SUMIFS('2月数据源'!I:I,'2月数据源'!D:D,E51,'2月数据源'!F:F,"浙江精准学科技有限公司")+SUMIFS('2月数据源'!J:J,'2月数据源'!D:D,E51,'2月数据源'!F:F,"浙江精准学科技有限公司")</f>
        <v/>
      </c>
      <c r="H51" s="89">
        <f>-SUMIFS('3月数据源'!I:I,'3月数据源'!D:D,E51,'3月数据源'!F:F,"浙江精准学科技有限公司")+SUMIFS('3月数据源'!J:J,'3月数据源'!D:D,E51,'3月数据源'!F:F,"浙江精准学科技有限公司")</f>
        <v/>
      </c>
      <c r="I51" s="89">
        <f>-SUMIFS('4月数据源'!I:I,'4月数据源'!D:D,E51,'4月数据源'!F:F,"浙江精准学科技有限公司")+SUMIFS('4月数据源'!J:J,'4月数据源'!D:D,E51,'4月数据源'!F:F,"浙江精准学科技有限公司")</f>
        <v/>
      </c>
      <c r="J51" s="89">
        <f>-SUMIFS('5月数据源'!I:I,'5月数据源'!D:D,E51,'5月数据源'!F:F,"浙江精准学科技有限公司")+SUMIFS('5月数据源'!J:J,'5月数据源'!D:D,E51,'5月数据源'!F:F,"浙江精准学科技有限公司")</f>
        <v/>
      </c>
      <c r="K51" s="89">
        <f>-SUMIFS('6月数据源'!$I:$I,'6月数据源'!$D:$D,$E51,'6月数据源'!$F:$F,"浙江精准学科技有限公司")+SUMIFS('6月数据源'!$J:$J,'6月数据源'!$D:$D,$E51,'6月数据源'!$F:$F,"浙江精准学科技有限公司")</f>
        <v/>
      </c>
      <c r="L51" s="89">
        <f>-SUMIFS('7月数据源'!$I:$I,'7月数据源'!$D:$D,$E51,'7月数据源'!$F:$F,"浙江精准学科技有限公司")+SUMIFS('7月数据源'!$J:$J,'7月数据源'!$D:$D,$E51,'7月数据源'!$F:$F,"浙江精准学科技有限公司")</f>
        <v/>
      </c>
      <c r="M51" s="89">
        <f>-SUMIFS('8月数据源'!$I:$I,'8月数据源'!$D:$D,$E51,'8月数据源'!$F:$F,"浙江精准学科技有限公司")+SUMIFS('8月数据源'!$J:$J,'8月数据源'!$D:$D,$E51,'8月数据源'!$F:$F,"浙江精准学科技有限公司")</f>
        <v/>
      </c>
      <c r="N51" s="89">
        <f>-SUMIFS('9月数据源'!$I:$I,'9月数据源'!$D:$D,$E51,'9月数据源'!$F:$F,"浙江精准学科技有限公司")+SUMIFS('9月数据源'!$J:$J,'9月数据源'!$D:$D,$E51,'9月数据源'!$F:$F,"浙江精准学科技有限公司")</f>
        <v/>
      </c>
      <c r="O51" s="89">
        <f>-SUMIFS('10月数据源'!$I:$I,'10月数据源'!$D:$D,$E51,'10月数据源'!$F:$F,"浙江精准学科技有限公司")+SUMIFS('10月数据源'!$J:$J,'10月数据源'!$D:$D,$E51,'10月数据源'!$F:$F,"浙江精准学科技有限公司")</f>
        <v/>
      </c>
      <c r="P51" s="89">
        <f>-SUMIFS('11月数据源'!$I:$I,'11月数据源'!$D:$D,$E51,'11月数据源'!$F:$F,"浙江精准学科技有限公司")+SUMIFS('11月数据源'!$J:$J,'11月数据源'!$D:$D,$E51,'11月数据源'!$F:$F,"浙江精准学科技有限公司")</f>
        <v/>
      </c>
      <c r="Q51" s="89">
        <f>-SUMIFS('12月数据源'!$I:$I,'12月数据源'!$D:$D,$E51,'12月数据源'!$F:$F,"浙江精准学科技有限公司")+SUMIFS('12月数据源'!$J:$J,'12月数据源'!$D:$D,$E51,'12月数据源'!$F:$F,"浙江精准学科技有限公司")</f>
        <v/>
      </c>
    </row>
    <row r="52" s="83">
      <c r="A52" s="5" t="inlineStr">
        <is>
          <t>制造费用</t>
        </is>
      </c>
      <c r="B52" s="5" t="inlineStr">
        <is>
          <t>制造费用</t>
        </is>
      </c>
      <c r="D52" s="5" t="inlineStr">
        <is>
          <t>西溪首座仓库物业水电费</t>
        </is>
      </c>
      <c r="E52" s="6" t="inlineStr">
        <is>
          <t>Q3202</t>
        </is>
      </c>
      <c r="F52" s="89">
        <f>-SUMIFS('1月数据源'!I:I,'1月数据源'!D:D,E52,'1月数据源'!F:F,"浙江精准学科技有限公司")+SUMIFS('1月数据源'!J:J,'1月数据源'!D:D,E52,'1月数据源'!F:F,"浙江精准学科技有限公司")</f>
        <v/>
      </c>
      <c r="G52" s="89">
        <f>-SUMIFS('2月数据源'!I:I,'2月数据源'!D:D,E52,'2月数据源'!F:F,"浙江精准学科技有限公司")+SUMIFS('2月数据源'!J:J,'2月数据源'!D:D,E52,'2月数据源'!F:F,"浙江精准学科技有限公司")</f>
        <v/>
      </c>
      <c r="H52" s="89">
        <f>-SUMIFS('3月数据源'!I:I,'3月数据源'!D:D,E52,'3月数据源'!F:F,"浙江精准学科技有限公司")+SUMIFS('3月数据源'!J:J,'3月数据源'!D:D,E52,'3月数据源'!F:F,"浙江精准学科技有限公司")</f>
        <v/>
      </c>
      <c r="I52" s="89">
        <f>-SUMIFS('4月数据源'!I:I,'4月数据源'!D:D,E52,'4月数据源'!F:F,"浙江精准学科技有限公司")+SUMIFS('4月数据源'!J:J,'4月数据源'!D:D,E52,'4月数据源'!F:F,"浙江精准学科技有限公司")</f>
        <v/>
      </c>
      <c r="J52" s="89">
        <f>-SUMIFS('5月数据源'!I:I,'5月数据源'!D:D,E52,'5月数据源'!F:F,"浙江精准学科技有限公司")+SUMIFS('5月数据源'!J:J,'5月数据源'!D:D,E52,'5月数据源'!F:F,"浙江精准学科技有限公司")</f>
        <v/>
      </c>
      <c r="K52" s="89">
        <f>-SUMIFS('6月数据源'!$I:$I,'6月数据源'!$D:$D,$E52,'6月数据源'!$F:$F,"浙江精准学科技有限公司")+SUMIFS('6月数据源'!$J:$J,'6月数据源'!$D:$D,$E52,'6月数据源'!$F:$F,"浙江精准学科技有限公司")</f>
        <v/>
      </c>
      <c r="L52" s="89">
        <f>-SUMIFS('7月数据源'!$I:$I,'7月数据源'!$D:$D,$E52,'7月数据源'!$F:$F,"浙江精准学科技有限公司")+SUMIFS('7月数据源'!$J:$J,'7月数据源'!$D:$D,$E52,'7月数据源'!$F:$F,"浙江精准学科技有限公司")</f>
        <v/>
      </c>
      <c r="M52" s="89">
        <f>-SUMIFS('8月数据源'!$I:$I,'8月数据源'!$D:$D,$E52,'8月数据源'!$F:$F,"浙江精准学科技有限公司")+SUMIFS('8月数据源'!$J:$J,'8月数据源'!$D:$D,$E52,'8月数据源'!$F:$F,"浙江精准学科技有限公司")</f>
        <v/>
      </c>
      <c r="N52" s="89">
        <f>-SUMIFS('9月数据源'!$I:$I,'9月数据源'!$D:$D,$E52,'9月数据源'!$F:$F,"浙江精准学科技有限公司")+SUMIFS('9月数据源'!$J:$J,'9月数据源'!$D:$D,$E52,'9月数据源'!$F:$F,"浙江精准学科技有限公司")</f>
        <v/>
      </c>
      <c r="O52" s="89">
        <f>-SUMIFS('10月数据源'!$I:$I,'10月数据源'!$D:$D,$E52,'10月数据源'!$F:$F,"浙江精准学科技有限公司")+SUMIFS('10月数据源'!$J:$J,'10月数据源'!$D:$D,$E52,'10月数据源'!$F:$F,"浙江精准学科技有限公司")</f>
        <v/>
      </c>
      <c r="P52" s="89">
        <f>-SUMIFS('11月数据源'!$I:$I,'11月数据源'!$D:$D,$E52,'11月数据源'!$F:$F,"浙江精准学科技有限公司")+SUMIFS('11月数据源'!$J:$J,'11月数据源'!$D:$D,$E52,'11月数据源'!$F:$F,"浙江精准学科技有限公司")</f>
        <v/>
      </c>
      <c r="Q52" s="89">
        <f>-SUMIFS('12月数据源'!$I:$I,'12月数据源'!$D:$D,$E52,'12月数据源'!$F:$F,"浙江精准学科技有限公司")+SUMIFS('12月数据源'!$J:$J,'12月数据源'!$D:$D,$E52,'12月数据源'!$F:$F,"浙江精准学科技有限公司")</f>
        <v/>
      </c>
    </row>
    <row r="53" s="83">
      <c r="A53" s="5" t="inlineStr">
        <is>
          <t>制造费用</t>
        </is>
      </c>
      <c r="B53" s="5" t="inlineStr">
        <is>
          <t>制造费用</t>
        </is>
      </c>
      <c r="D53" s="5" t="inlineStr">
        <is>
          <t>西溪首座仓库装修费</t>
        </is>
      </c>
      <c r="E53" s="6" t="inlineStr">
        <is>
          <t>Q3203</t>
        </is>
      </c>
      <c r="F53" s="89">
        <f>-SUMIFS('1月数据源'!I:I,'1月数据源'!D:D,E53,'1月数据源'!F:F,"浙江精准学科技有限公司")+SUMIFS('1月数据源'!J:J,'1月数据源'!D:D,E53,'1月数据源'!F:F,"浙江精准学科技有限公司")</f>
        <v/>
      </c>
      <c r="G53" s="89">
        <f>-SUMIFS('2月数据源'!I:I,'2月数据源'!D:D,E53,'2月数据源'!F:F,"浙江精准学科技有限公司")+SUMIFS('2月数据源'!J:J,'2月数据源'!D:D,E53,'2月数据源'!F:F,"浙江精准学科技有限公司")</f>
        <v/>
      </c>
      <c r="H53" s="89">
        <f>-SUMIFS('3月数据源'!I:I,'3月数据源'!D:D,E53,'3月数据源'!F:F,"浙江精准学科技有限公司")+SUMIFS('3月数据源'!J:J,'3月数据源'!D:D,E53,'3月数据源'!F:F,"浙江精准学科技有限公司")</f>
        <v/>
      </c>
      <c r="I53" s="89">
        <f>-SUMIFS('4月数据源'!I:I,'4月数据源'!D:D,E53,'4月数据源'!F:F,"浙江精准学科技有限公司")+SUMIFS('4月数据源'!J:J,'4月数据源'!D:D,E53,'4月数据源'!F:F,"浙江精准学科技有限公司")</f>
        <v/>
      </c>
      <c r="J53" s="89">
        <f>-SUMIFS('5月数据源'!I:I,'5月数据源'!D:D,E53,'5月数据源'!F:F,"浙江精准学科技有限公司")+SUMIFS('5月数据源'!J:J,'5月数据源'!D:D,E53,'5月数据源'!F:F,"浙江精准学科技有限公司")</f>
        <v/>
      </c>
      <c r="K53" s="89">
        <f>-SUMIFS('6月数据源'!$I:$I,'6月数据源'!$D:$D,$E53,'6月数据源'!$F:$F,"浙江精准学科技有限公司")+SUMIFS('6月数据源'!$J:$J,'6月数据源'!$D:$D,$E53,'6月数据源'!$F:$F,"浙江精准学科技有限公司")</f>
        <v/>
      </c>
      <c r="L53" s="89">
        <f>-SUMIFS('7月数据源'!$I:$I,'7月数据源'!$D:$D,$E53,'7月数据源'!$F:$F,"浙江精准学科技有限公司")+SUMIFS('7月数据源'!$J:$J,'7月数据源'!$D:$D,$E53,'7月数据源'!$F:$F,"浙江精准学科技有限公司")</f>
        <v/>
      </c>
      <c r="M53" s="89">
        <f>-SUMIFS('8月数据源'!$I:$I,'8月数据源'!$D:$D,$E53,'8月数据源'!$F:$F,"浙江精准学科技有限公司")+SUMIFS('8月数据源'!$J:$J,'8月数据源'!$D:$D,$E53,'8月数据源'!$F:$F,"浙江精准学科技有限公司")</f>
        <v/>
      </c>
      <c r="N53" s="89">
        <f>-SUMIFS('9月数据源'!$I:$I,'9月数据源'!$D:$D,$E53,'9月数据源'!$F:$F,"浙江精准学科技有限公司")+SUMIFS('9月数据源'!$J:$J,'9月数据源'!$D:$D,$E53,'9月数据源'!$F:$F,"浙江精准学科技有限公司")</f>
        <v/>
      </c>
      <c r="O53" s="89">
        <f>-SUMIFS('10月数据源'!$I:$I,'10月数据源'!$D:$D,$E53,'10月数据源'!$F:$F,"浙江精准学科技有限公司")+SUMIFS('10月数据源'!$J:$J,'10月数据源'!$D:$D,$E53,'10月数据源'!$F:$F,"浙江精准学科技有限公司")</f>
        <v/>
      </c>
      <c r="P53" s="89">
        <f>-SUMIFS('11月数据源'!$I:$I,'11月数据源'!$D:$D,$E53,'11月数据源'!$F:$F,"浙江精准学科技有限公司")+SUMIFS('11月数据源'!$J:$J,'11月数据源'!$D:$D,$E53,'11月数据源'!$F:$F,"浙江精准学科技有限公司")</f>
        <v/>
      </c>
      <c r="Q53" s="89">
        <f>-SUMIFS('12月数据源'!$I:$I,'12月数据源'!$D:$D,$E53,'12月数据源'!$F:$F,"浙江精准学科技有限公司")+SUMIFS('12月数据源'!$J:$J,'12月数据源'!$D:$D,$E53,'12月数据源'!$F:$F,"浙江精准学科技有限公司")</f>
        <v/>
      </c>
    </row>
    <row r="54" s="83">
      <c r="A54" s="5" t="inlineStr">
        <is>
          <t>制造费用</t>
        </is>
      </c>
      <c r="B54" s="5" t="inlineStr">
        <is>
          <t>制造费用</t>
        </is>
      </c>
      <c r="D54" s="5" t="inlineStr">
        <is>
          <t>运输费</t>
        </is>
      </c>
      <c r="E54" s="6" t="inlineStr">
        <is>
          <t>Q3204</t>
        </is>
      </c>
      <c r="F54" s="89">
        <f>-SUMIFS('1月数据源'!I:I,'1月数据源'!D:D,E54,'1月数据源'!F:F,"浙江精准学科技有限公司")+SUMIFS('1月数据源'!J:J,'1月数据源'!D:D,E54,'1月数据源'!F:F,"浙江精准学科技有限公司")</f>
        <v/>
      </c>
      <c r="G54" s="89">
        <f>-SUMIFS('2月数据源'!I:I,'2月数据源'!D:D,E54,'2月数据源'!F:F,"浙江精准学科技有限公司")+SUMIFS('2月数据源'!J:J,'2月数据源'!D:D,E54,'2月数据源'!F:F,"浙江精准学科技有限公司")</f>
        <v/>
      </c>
      <c r="H54" s="89">
        <f>-SUMIFS('3月数据源'!I:I,'3月数据源'!D:D,E54,'3月数据源'!F:F,"浙江精准学科技有限公司")+SUMIFS('3月数据源'!J:J,'3月数据源'!D:D,E54,'3月数据源'!F:F,"浙江精准学科技有限公司")</f>
        <v/>
      </c>
      <c r="I54" s="89">
        <f>-SUMIFS('4月数据源'!I:I,'4月数据源'!D:D,E54,'4月数据源'!F:F,"浙江精准学科技有限公司")+SUMIFS('4月数据源'!J:J,'4月数据源'!D:D,E54,'4月数据源'!F:F,"浙江精准学科技有限公司")</f>
        <v/>
      </c>
      <c r="J54" s="89">
        <f>-SUMIFS('5月数据源'!I:I,'5月数据源'!D:D,E54,'5月数据源'!F:F,"浙江精准学科技有限公司")+SUMIFS('5月数据源'!J:J,'5月数据源'!D:D,E54,'5月数据源'!F:F,"浙江精准学科技有限公司")</f>
        <v/>
      </c>
      <c r="K54" s="89">
        <f>-SUMIFS('6月数据源'!$I:$I,'6月数据源'!$D:$D,$E54,'6月数据源'!$F:$F,"浙江精准学科技有限公司")+SUMIFS('6月数据源'!$J:$J,'6月数据源'!$D:$D,$E54,'6月数据源'!$F:$F,"浙江精准学科技有限公司")</f>
        <v/>
      </c>
      <c r="L54" s="89">
        <f>-SUMIFS('7月数据源'!$I:$I,'7月数据源'!$D:$D,$E54,'7月数据源'!$F:$F,"浙江精准学科技有限公司")+SUMIFS('7月数据源'!$J:$J,'7月数据源'!$D:$D,$E54,'7月数据源'!$F:$F,"浙江精准学科技有限公司")</f>
        <v/>
      </c>
      <c r="M54" s="89">
        <f>-SUMIFS('8月数据源'!$I:$I,'8月数据源'!$D:$D,$E54,'8月数据源'!$F:$F,"浙江精准学科技有限公司")+SUMIFS('8月数据源'!$J:$J,'8月数据源'!$D:$D,$E54,'8月数据源'!$F:$F,"浙江精准学科技有限公司")</f>
        <v/>
      </c>
      <c r="N54" s="89">
        <f>-SUMIFS('9月数据源'!$I:$I,'9月数据源'!$D:$D,$E54,'9月数据源'!$F:$F,"浙江精准学科技有限公司")+SUMIFS('9月数据源'!$J:$J,'9月数据源'!$D:$D,$E54,'9月数据源'!$F:$F,"浙江精准学科技有限公司")</f>
        <v/>
      </c>
      <c r="O54" s="89">
        <f>-SUMIFS('10月数据源'!$I:$I,'10月数据源'!$D:$D,$E54,'10月数据源'!$F:$F,"浙江精准学科技有限公司")+SUMIFS('10月数据源'!$J:$J,'10月数据源'!$D:$D,$E54,'10月数据源'!$F:$F,"浙江精准学科技有限公司")</f>
        <v/>
      </c>
      <c r="P54" s="89">
        <f>-SUMIFS('11月数据源'!$I:$I,'11月数据源'!$D:$D,$E54,'11月数据源'!$F:$F,"浙江精准学科技有限公司")+SUMIFS('11月数据源'!$J:$J,'11月数据源'!$D:$D,$E54,'11月数据源'!$F:$F,"浙江精准学科技有限公司")</f>
        <v/>
      </c>
      <c r="Q54" s="89">
        <f>-SUMIFS('12月数据源'!$I:$I,'12月数据源'!$D:$D,$E54,'12月数据源'!$F:$F,"浙江精准学科技有限公司")+SUMIFS('12月数据源'!$J:$J,'12月数据源'!$D:$D,$E54,'12月数据源'!$F:$F,"浙江精准学科技有限公司")</f>
        <v/>
      </c>
    </row>
    <row r="55" s="83">
      <c r="A55" s="5" t="inlineStr">
        <is>
          <t>制造费用</t>
        </is>
      </c>
      <c r="B55" s="5" t="inlineStr">
        <is>
          <t>制造费用</t>
        </is>
      </c>
      <c r="D55" s="5" t="inlineStr">
        <is>
          <t>低值易耗品采购</t>
        </is>
      </c>
      <c r="E55" s="6" t="inlineStr">
        <is>
          <t>Q3205</t>
        </is>
      </c>
      <c r="F55" s="89">
        <f>-SUMIFS('1月数据源'!I:I,'1月数据源'!D:D,E55,'1月数据源'!F:F,"浙江精准学科技有限公司")+SUMIFS('1月数据源'!J:J,'1月数据源'!D:D,E55,'1月数据源'!F:F,"浙江精准学科技有限公司")</f>
        <v/>
      </c>
      <c r="G55" s="89">
        <f>-SUMIFS('2月数据源'!I:I,'2月数据源'!D:D,E55,'2月数据源'!F:F,"浙江精准学科技有限公司")+SUMIFS('2月数据源'!J:J,'2月数据源'!D:D,E55,'2月数据源'!F:F,"浙江精准学科技有限公司")</f>
        <v/>
      </c>
      <c r="H55" s="89">
        <f>-SUMIFS('3月数据源'!I:I,'3月数据源'!D:D,E55,'3月数据源'!F:F,"浙江精准学科技有限公司")+SUMIFS('3月数据源'!J:J,'3月数据源'!D:D,E55,'3月数据源'!F:F,"浙江精准学科技有限公司")</f>
        <v/>
      </c>
      <c r="I55" s="89">
        <f>-SUMIFS('4月数据源'!I:I,'4月数据源'!D:D,E55,'4月数据源'!F:F,"浙江精准学科技有限公司")+SUMIFS('4月数据源'!J:J,'4月数据源'!D:D,E55,'4月数据源'!F:F,"浙江精准学科技有限公司")</f>
        <v/>
      </c>
      <c r="J55" s="89">
        <f>-SUMIFS('5月数据源'!I:I,'5月数据源'!D:D,E55,'5月数据源'!F:F,"浙江精准学科技有限公司")+SUMIFS('5月数据源'!J:J,'5月数据源'!D:D,E55,'5月数据源'!F:F,"浙江精准学科技有限公司")</f>
        <v/>
      </c>
      <c r="K55" s="89">
        <f>-SUMIFS('6月数据源'!$I:$I,'6月数据源'!$D:$D,$E55,'6月数据源'!$F:$F,"浙江精准学科技有限公司")+SUMIFS('6月数据源'!$J:$J,'6月数据源'!$D:$D,$E55,'6月数据源'!$F:$F,"浙江精准学科技有限公司")</f>
        <v/>
      </c>
      <c r="L55" s="89">
        <f>-SUMIFS('7月数据源'!$I:$I,'7月数据源'!$D:$D,$E55,'7月数据源'!$F:$F,"浙江精准学科技有限公司")+SUMIFS('7月数据源'!$J:$J,'7月数据源'!$D:$D,$E55,'7月数据源'!$F:$F,"浙江精准学科技有限公司")</f>
        <v/>
      </c>
      <c r="M55" s="89">
        <f>-SUMIFS('8月数据源'!$I:$I,'8月数据源'!$D:$D,$E55,'8月数据源'!$F:$F,"浙江精准学科技有限公司")+SUMIFS('8月数据源'!$J:$J,'8月数据源'!$D:$D,$E55,'8月数据源'!$F:$F,"浙江精准学科技有限公司")</f>
        <v/>
      </c>
      <c r="N55" s="89">
        <f>-SUMIFS('9月数据源'!$I:$I,'9月数据源'!$D:$D,$E55,'9月数据源'!$F:$F,"浙江精准学科技有限公司")+SUMIFS('9月数据源'!$J:$J,'9月数据源'!$D:$D,$E55,'9月数据源'!$F:$F,"浙江精准学科技有限公司")</f>
        <v/>
      </c>
      <c r="O55" s="89">
        <f>-SUMIFS('10月数据源'!$I:$I,'10月数据源'!$D:$D,$E55,'10月数据源'!$F:$F,"浙江精准学科技有限公司")+SUMIFS('10月数据源'!$J:$J,'10月数据源'!$D:$D,$E55,'10月数据源'!$F:$F,"浙江精准学科技有限公司")</f>
        <v/>
      </c>
      <c r="P55" s="89">
        <f>-SUMIFS('11月数据源'!$I:$I,'11月数据源'!$D:$D,$E55,'11月数据源'!$F:$F,"浙江精准学科技有限公司")+SUMIFS('11月数据源'!$J:$J,'11月数据源'!$D:$D,$E55,'11月数据源'!$F:$F,"浙江精准学科技有限公司")</f>
        <v/>
      </c>
      <c r="Q55" s="89">
        <f>-SUMIFS('12月数据源'!$I:$I,'12月数据源'!$D:$D,$E55,'12月数据源'!$F:$F,"浙江精准学科技有限公司")+SUMIFS('12月数据源'!$J:$J,'12月数据源'!$D:$D,$E55,'12月数据源'!$F:$F,"浙江精准学科技有限公司")</f>
        <v/>
      </c>
    </row>
    <row r="56" s="83">
      <c r="A56" s="5" t="inlineStr">
        <is>
          <t>制造费用</t>
        </is>
      </c>
      <c r="B56" s="5" t="inlineStr">
        <is>
          <t>制造费用</t>
        </is>
      </c>
      <c r="D56" s="5" t="inlineStr">
        <is>
          <t>生产成本-员工报销</t>
        </is>
      </c>
      <c r="E56" s="6" t="inlineStr">
        <is>
          <t>Q3206</t>
        </is>
      </c>
      <c r="F56" s="89">
        <f>-SUMIFS('1月数据源'!I:I,'1月数据源'!D:D,E56,'1月数据源'!F:F,"浙江精准学科技有限公司")+SUMIFS('1月数据源'!J:J,'1月数据源'!D:D,E56,'1月数据源'!F:F,"浙江精准学科技有限公司")</f>
        <v/>
      </c>
      <c r="G56" s="89">
        <f>-SUMIFS('2月数据源'!I:I,'2月数据源'!D:D,E56,'2月数据源'!F:F,"浙江精准学科技有限公司")+SUMIFS('2月数据源'!J:J,'2月数据源'!D:D,E56,'2月数据源'!F:F,"浙江精准学科技有限公司")</f>
        <v/>
      </c>
      <c r="H56" s="89">
        <f>-SUMIFS('3月数据源'!I:I,'3月数据源'!D:D,E56,'3月数据源'!F:F,"浙江精准学科技有限公司")+SUMIFS('3月数据源'!J:J,'3月数据源'!D:D,E56,'3月数据源'!F:F,"浙江精准学科技有限公司")</f>
        <v/>
      </c>
      <c r="I56" s="89">
        <f>-SUMIFS('4月数据源'!I:I,'4月数据源'!D:D,E56,'4月数据源'!F:F,"浙江精准学科技有限公司")+SUMIFS('4月数据源'!J:J,'4月数据源'!D:D,E56,'4月数据源'!F:F,"浙江精准学科技有限公司")</f>
        <v/>
      </c>
      <c r="J56" s="89">
        <f>-SUMIFS('5月数据源'!I:I,'5月数据源'!D:D,E56,'5月数据源'!F:F,"浙江精准学科技有限公司")+SUMIFS('5月数据源'!J:J,'5月数据源'!D:D,E56,'5月数据源'!F:F,"浙江精准学科技有限公司")</f>
        <v/>
      </c>
      <c r="K56" s="89">
        <f>-SUMIFS('6月数据源'!$I:$I,'6月数据源'!$D:$D,$E56,'6月数据源'!$F:$F,"浙江精准学科技有限公司")+SUMIFS('6月数据源'!$J:$J,'6月数据源'!$D:$D,$E56,'6月数据源'!$F:$F,"浙江精准学科技有限公司")</f>
        <v/>
      </c>
      <c r="L56" s="89">
        <f>-SUMIFS('7月数据源'!$I:$I,'7月数据源'!$D:$D,$E56,'7月数据源'!$F:$F,"浙江精准学科技有限公司")+SUMIFS('7月数据源'!$J:$J,'7月数据源'!$D:$D,$E56,'7月数据源'!$F:$F,"浙江精准学科技有限公司")</f>
        <v/>
      </c>
      <c r="M56" s="89">
        <f>-SUMIFS('8月数据源'!$I:$I,'8月数据源'!$D:$D,$E56,'8月数据源'!$F:$F,"浙江精准学科技有限公司")+SUMIFS('8月数据源'!$J:$J,'8月数据源'!$D:$D,$E56,'8月数据源'!$F:$F,"浙江精准学科技有限公司")</f>
        <v/>
      </c>
      <c r="N56" s="89">
        <f>-SUMIFS('9月数据源'!$I:$I,'9月数据源'!$D:$D,$E56,'9月数据源'!$F:$F,"浙江精准学科技有限公司")+SUMIFS('9月数据源'!$J:$J,'9月数据源'!$D:$D,$E56,'9月数据源'!$F:$F,"浙江精准学科技有限公司")</f>
        <v/>
      </c>
      <c r="O56" s="89">
        <f>-SUMIFS('10月数据源'!$I:$I,'10月数据源'!$D:$D,$E56,'10月数据源'!$F:$F,"浙江精准学科技有限公司")+SUMIFS('10月数据源'!$J:$J,'10月数据源'!$D:$D,$E56,'10月数据源'!$F:$F,"浙江精准学科技有限公司")</f>
        <v/>
      </c>
      <c r="P56" s="89">
        <f>-SUMIFS('11月数据源'!$I:$I,'11月数据源'!$D:$D,$E56,'11月数据源'!$F:$F,"浙江精准学科技有限公司")+SUMIFS('11月数据源'!$J:$J,'11月数据源'!$D:$D,$E56,'11月数据源'!$F:$F,"浙江精准学科技有限公司")</f>
        <v/>
      </c>
      <c r="Q56" s="89">
        <f>-SUMIFS('12月数据源'!$I:$I,'12月数据源'!$D:$D,$E56,'12月数据源'!$F:$F,"浙江精准学科技有限公司")+SUMIFS('12月数据源'!$J:$J,'12月数据源'!$D:$D,$E56,'12月数据源'!$F:$F,"浙江精准学科技有限公司")</f>
        <v/>
      </c>
    </row>
    <row r="57" s="83">
      <c r="A57" s="5" t="inlineStr">
        <is>
          <t>制造费用</t>
        </is>
      </c>
      <c r="B57" s="5" t="inlineStr">
        <is>
          <t>制造费用</t>
        </is>
      </c>
      <c r="D57" s="5" t="inlineStr">
        <is>
          <t>包机膜</t>
        </is>
      </c>
      <c r="E57" s="6" t="inlineStr">
        <is>
          <t>Q3207</t>
        </is>
      </c>
      <c r="F57" s="89">
        <f>-SUMIFS('1月数据源'!I:I,'1月数据源'!D:D,E57,'1月数据源'!F:F,"浙江精准学科技有限公司")+SUMIFS('1月数据源'!J:J,'1月数据源'!D:D,E57,'1月数据源'!F:F,"浙江精准学科技有限公司")</f>
        <v/>
      </c>
      <c r="G57" s="89">
        <f>-SUMIFS('2月数据源'!I:I,'2月数据源'!D:D,E57,'2月数据源'!F:F,"浙江精准学科技有限公司")+SUMIFS('2月数据源'!J:J,'2月数据源'!D:D,E57,'2月数据源'!F:F,"浙江精准学科技有限公司")</f>
        <v/>
      </c>
      <c r="H57" s="89">
        <f>-SUMIFS('3月数据源'!I:I,'3月数据源'!D:D,E57,'3月数据源'!F:F,"浙江精准学科技有限公司")+SUMIFS('3月数据源'!J:J,'3月数据源'!D:D,E57,'3月数据源'!F:F,"浙江精准学科技有限公司")</f>
        <v/>
      </c>
      <c r="I57" s="89">
        <f>-SUMIFS('4月数据源'!I:I,'4月数据源'!D:D,E57,'4月数据源'!F:F,"浙江精准学科技有限公司")+SUMIFS('4月数据源'!J:J,'4月数据源'!D:D,E57,'4月数据源'!F:F,"浙江精准学科技有限公司")</f>
        <v/>
      </c>
      <c r="J57" s="89">
        <f>-SUMIFS('5月数据源'!I:I,'5月数据源'!D:D,E57,'5月数据源'!F:F,"浙江精准学科技有限公司")+SUMIFS('5月数据源'!J:J,'5月数据源'!D:D,E57,'5月数据源'!F:F,"浙江精准学科技有限公司")</f>
        <v/>
      </c>
      <c r="K57" s="89">
        <f>-SUMIFS('6月数据源'!$I:$I,'6月数据源'!$D:$D,$E57,'6月数据源'!$F:$F,"浙江精准学科技有限公司")+SUMIFS('6月数据源'!$J:$J,'6月数据源'!$D:$D,$E57,'6月数据源'!$F:$F,"浙江精准学科技有限公司")</f>
        <v/>
      </c>
      <c r="L57" s="89">
        <f>-SUMIFS('7月数据源'!$I:$I,'7月数据源'!$D:$D,$E57,'7月数据源'!$F:$F,"浙江精准学科技有限公司")+SUMIFS('7月数据源'!$J:$J,'7月数据源'!$D:$D,$E57,'7月数据源'!$F:$F,"浙江精准学科技有限公司")</f>
        <v/>
      </c>
      <c r="M57" s="89">
        <f>-SUMIFS('8月数据源'!$I:$I,'8月数据源'!$D:$D,$E57,'8月数据源'!$F:$F,"浙江精准学科技有限公司")+SUMIFS('8月数据源'!$J:$J,'8月数据源'!$D:$D,$E57,'8月数据源'!$F:$F,"浙江精准学科技有限公司")</f>
        <v/>
      </c>
      <c r="N57" s="89">
        <f>-SUMIFS('9月数据源'!$I:$I,'9月数据源'!$D:$D,$E57,'9月数据源'!$F:$F,"浙江精准学科技有限公司")+SUMIFS('9月数据源'!$J:$J,'9月数据源'!$D:$D,$E57,'9月数据源'!$F:$F,"浙江精准学科技有限公司")</f>
        <v/>
      </c>
      <c r="O57" s="89">
        <f>-SUMIFS('10月数据源'!$I:$I,'10月数据源'!$D:$D,$E57,'10月数据源'!$F:$F,"浙江精准学科技有限公司")+SUMIFS('10月数据源'!$J:$J,'10月数据源'!$D:$D,$E57,'10月数据源'!$F:$F,"浙江精准学科技有限公司")</f>
        <v/>
      </c>
      <c r="P57" s="89">
        <f>-SUMIFS('11月数据源'!$I:$I,'11月数据源'!$D:$D,$E57,'11月数据源'!$F:$F,"浙江精准学科技有限公司")+SUMIFS('11月数据源'!$J:$J,'11月数据源'!$D:$D,$E57,'11月数据源'!$F:$F,"浙江精准学科技有限公司")</f>
        <v/>
      </c>
      <c r="Q57" s="89">
        <f>-SUMIFS('12月数据源'!$I:$I,'12月数据源'!$D:$D,$E57,'12月数据源'!$F:$F,"浙江精准学科技有限公司")+SUMIFS('12月数据源'!$J:$J,'12月数据源'!$D:$D,$E57,'12月数据源'!$F:$F,"浙江精准学科技有限公司")</f>
        <v/>
      </c>
    </row>
    <row r="58" s="83">
      <c r="A58" s="5" t="inlineStr">
        <is>
          <t>制造费用</t>
        </is>
      </c>
      <c r="B58" s="5" t="inlineStr">
        <is>
          <t>制造费用</t>
        </is>
      </c>
      <c r="D58" s="5" t="inlineStr">
        <is>
          <t>贴纸/说明书</t>
        </is>
      </c>
      <c r="E58" s="6" t="inlineStr">
        <is>
          <t>Q3208</t>
        </is>
      </c>
      <c r="F58" s="89">
        <f>-SUMIFS('1月数据源'!I:I,'1月数据源'!D:D,E58,'1月数据源'!F:F,"浙江精准学科技有限公司")+SUMIFS('1月数据源'!J:J,'1月数据源'!D:D,E58,'1月数据源'!F:F,"浙江精准学科技有限公司")</f>
        <v/>
      </c>
      <c r="G58" s="89">
        <f>-SUMIFS('2月数据源'!I:I,'2月数据源'!D:D,E58,'2月数据源'!F:F,"浙江精准学科技有限公司")+SUMIFS('2月数据源'!J:J,'2月数据源'!D:D,E58,'2月数据源'!F:F,"浙江精准学科技有限公司")</f>
        <v/>
      </c>
      <c r="H58" s="89">
        <f>-SUMIFS('3月数据源'!I:I,'3月数据源'!D:D,E58,'3月数据源'!F:F,"浙江精准学科技有限公司")+SUMIFS('3月数据源'!J:J,'3月数据源'!D:D,E58,'3月数据源'!F:F,"浙江精准学科技有限公司")</f>
        <v/>
      </c>
      <c r="I58" s="89">
        <f>-SUMIFS('4月数据源'!I:I,'4月数据源'!D:D,E58,'4月数据源'!F:F,"浙江精准学科技有限公司")+SUMIFS('4月数据源'!J:J,'4月数据源'!D:D,E58,'4月数据源'!F:F,"浙江精准学科技有限公司")</f>
        <v/>
      </c>
      <c r="J58" s="89">
        <f>-SUMIFS('5月数据源'!I:I,'5月数据源'!D:D,E58,'5月数据源'!F:F,"浙江精准学科技有限公司")+SUMIFS('5月数据源'!J:J,'5月数据源'!D:D,E58,'5月数据源'!F:F,"浙江精准学科技有限公司")</f>
        <v/>
      </c>
      <c r="K58" s="89">
        <f>-SUMIFS('6月数据源'!$I:$I,'6月数据源'!$D:$D,$E58,'6月数据源'!$F:$F,"浙江精准学科技有限公司")+SUMIFS('6月数据源'!$J:$J,'6月数据源'!$D:$D,$E58,'6月数据源'!$F:$F,"浙江精准学科技有限公司")</f>
        <v/>
      </c>
      <c r="L58" s="89">
        <f>-SUMIFS('7月数据源'!$I:$I,'7月数据源'!$D:$D,$E58,'7月数据源'!$F:$F,"浙江精准学科技有限公司")+SUMIFS('7月数据源'!$J:$J,'7月数据源'!$D:$D,$E58,'7月数据源'!$F:$F,"浙江精准学科技有限公司")</f>
        <v/>
      </c>
      <c r="M58" s="89">
        <f>-SUMIFS('8月数据源'!$I:$I,'8月数据源'!$D:$D,$E58,'8月数据源'!$F:$F,"浙江精准学科技有限公司")+SUMIFS('8月数据源'!$J:$J,'8月数据源'!$D:$D,$E58,'8月数据源'!$F:$F,"浙江精准学科技有限公司")</f>
        <v/>
      </c>
      <c r="N58" s="89">
        <f>-SUMIFS('9月数据源'!$I:$I,'9月数据源'!$D:$D,$E58,'9月数据源'!$F:$F,"浙江精准学科技有限公司")+SUMIFS('9月数据源'!$J:$J,'9月数据源'!$D:$D,$E58,'9月数据源'!$F:$F,"浙江精准学科技有限公司")</f>
        <v/>
      </c>
      <c r="O58" s="89">
        <f>-SUMIFS('10月数据源'!$I:$I,'10月数据源'!$D:$D,$E58,'10月数据源'!$F:$F,"浙江精准学科技有限公司")+SUMIFS('10月数据源'!$J:$J,'10月数据源'!$D:$D,$E58,'10月数据源'!$F:$F,"浙江精准学科技有限公司")</f>
        <v/>
      </c>
      <c r="P58" s="89">
        <f>-SUMIFS('11月数据源'!$I:$I,'11月数据源'!$D:$D,$E58,'11月数据源'!$F:$F,"浙江精准学科技有限公司")+SUMIFS('11月数据源'!$J:$J,'11月数据源'!$D:$D,$E58,'11月数据源'!$F:$F,"浙江精准学科技有限公司")</f>
        <v/>
      </c>
      <c r="Q58" s="89">
        <f>-SUMIFS('12月数据源'!$I:$I,'12月数据源'!$D:$D,$E58,'12月数据源'!$F:$F,"浙江精准学科技有限公司")+SUMIFS('12月数据源'!$J:$J,'12月数据源'!$D:$D,$E58,'12月数据源'!$F:$F,"浙江精准学科技有限公司")</f>
        <v/>
      </c>
    </row>
    <row r="59" s="83">
      <c r="A59" s="5" t="inlineStr">
        <is>
          <t>制造费用</t>
        </is>
      </c>
      <c r="B59" s="5" t="inlineStr">
        <is>
          <t>制造费用</t>
        </is>
      </c>
      <c r="D59" s="5" t="inlineStr">
        <is>
          <t>笔尖</t>
        </is>
      </c>
      <c r="E59" s="6" t="inlineStr">
        <is>
          <t>Q3209</t>
        </is>
      </c>
      <c r="F59" s="89">
        <f>-SUMIFS('1月数据源'!I:I,'1月数据源'!D:D,E59,'1月数据源'!F:F,"浙江精准学科技有限公司")+SUMIFS('1月数据源'!J:J,'1月数据源'!D:D,E59,'1月数据源'!F:F,"浙江精准学科技有限公司")</f>
        <v/>
      </c>
      <c r="G59" s="89">
        <f>-SUMIFS('2月数据源'!I:I,'2月数据源'!D:D,E59,'2月数据源'!F:F,"浙江精准学科技有限公司")+SUMIFS('2月数据源'!J:J,'2月数据源'!D:D,E59,'2月数据源'!F:F,"浙江精准学科技有限公司")</f>
        <v/>
      </c>
      <c r="H59" s="89">
        <f>-SUMIFS('3月数据源'!I:I,'3月数据源'!D:D,E59,'3月数据源'!F:F,"浙江精准学科技有限公司")+SUMIFS('3月数据源'!J:J,'3月数据源'!D:D,E59,'3月数据源'!F:F,"浙江精准学科技有限公司")</f>
        <v/>
      </c>
      <c r="I59" s="89">
        <f>-SUMIFS('4月数据源'!I:I,'4月数据源'!D:D,E59,'4月数据源'!F:F,"浙江精准学科技有限公司")+SUMIFS('4月数据源'!J:J,'4月数据源'!D:D,E59,'4月数据源'!F:F,"浙江精准学科技有限公司")</f>
        <v/>
      </c>
      <c r="J59" s="89">
        <f>-SUMIFS('5月数据源'!I:I,'5月数据源'!D:D,E59,'5月数据源'!F:F,"浙江精准学科技有限公司")+SUMIFS('5月数据源'!J:J,'5月数据源'!D:D,E59,'5月数据源'!F:F,"浙江精准学科技有限公司")</f>
        <v/>
      </c>
      <c r="K59" s="89">
        <f>-SUMIFS('6月数据源'!$I:$I,'6月数据源'!$D:$D,$E59,'6月数据源'!$F:$F,"浙江精准学科技有限公司")+SUMIFS('6月数据源'!$J:$J,'6月数据源'!$D:$D,$E59,'6月数据源'!$F:$F,"浙江精准学科技有限公司")</f>
        <v/>
      </c>
      <c r="L59" s="89">
        <f>-SUMIFS('7月数据源'!$I:$I,'7月数据源'!$D:$D,$E59,'7月数据源'!$F:$F,"浙江精准学科技有限公司")+SUMIFS('7月数据源'!$J:$J,'7月数据源'!$D:$D,$E59,'7月数据源'!$F:$F,"浙江精准学科技有限公司")</f>
        <v/>
      </c>
      <c r="M59" s="89">
        <f>-SUMIFS('8月数据源'!$I:$I,'8月数据源'!$D:$D,$E59,'8月数据源'!$F:$F,"浙江精准学科技有限公司")+SUMIFS('8月数据源'!$J:$J,'8月数据源'!$D:$D,$E59,'8月数据源'!$F:$F,"浙江精准学科技有限公司")</f>
        <v/>
      </c>
      <c r="N59" s="89">
        <f>-SUMIFS('9月数据源'!$I:$I,'9月数据源'!$D:$D,$E59,'9月数据源'!$F:$F,"浙江精准学科技有限公司")+SUMIFS('9月数据源'!$J:$J,'9月数据源'!$D:$D,$E59,'9月数据源'!$F:$F,"浙江精准学科技有限公司")</f>
        <v/>
      </c>
      <c r="O59" s="89">
        <f>-SUMIFS('10月数据源'!$I:$I,'10月数据源'!$D:$D,$E59,'10月数据源'!$F:$F,"浙江精准学科技有限公司")+SUMIFS('10月数据源'!$J:$J,'10月数据源'!$D:$D,$E59,'10月数据源'!$F:$F,"浙江精准学科技有限公司")</f>
        <v/>
      </c>
      <c r="P59" s="89">
        <f>-SUMIFS('11月数据源'!$I:$I,'11月数据源'!$D:$D,$E59,'11月数据源'!$F:$F,"浙江精准学科技有限公司")+SUMIFS('11月数据源'!$J:$J,'11月数据源'!$D:$D,$E59,'11月数据源'!$F:$F,"浙江精准学科技有限公司")</f>
        <v/>
      </c>
      <c r="Q59" s="89">
        <f>-SUMIFS('12月数据源'!$I:$I,'12月数据源'!$D:$D,$E59,'12月数据源'!$F:$F,"浙江精准学科技有限公司")+SUMIFS('12月数据源'!$J:$J,'12月数据源'!$D:$D,$E59,'12月数据源'!$F:$F,"浙江精准学科技有限公司")</f>
        <v/>
      </c>
    </row>
    <row r="60" s="83">
      <c r="A60" s="5" t="inlineStr">
        <is>
          <t>制造费用</t>
        </is>
      </c>
      <c r="B60" s="5" t="inlineStr">
        <is>
          <t>制造费用</t>
        </is>
      </c>
      <c r="D60" s="5" t="inlineStr">
        <is>
          <t>华泰租金</t>
        </is>
      </c>
      <c r="E60" s="6" t="inlineStr">
        <is>
          <t>Q3210</t>
        </is>
      </c>
      <c r="F60" s="89">
        <f>-SUMIFS('1月数据源'!I:I,'1月数据源'!D:D,E60,'1月数据源'!F:F,"浙江精准学科技有限公司")+SUMIFS('1月数据源'!J:J,'1月数据源'!D:D,E60,'1月数据源'!F:F,"浙江精准学科技有限公司")</f>
        <v/>
      </c>
      <c r="G60" s="89">
        <f>-SUMIFS('2月数据源'!I:I,'2月数据源'!D:D,E60,'2月数据源'!F:F,"浙江精准学科技有限公司")+SUMIFS('2月数据源'!J:J,'2月数据源'!D:D,E60,'2月数据源'!F:F,"浙江精准学科技有限公司")</f>
        <v/>
      </c>
      <c r="H60" s="89">
        <f>-SUMIFS('3月数据源'!I:I,'3月数据源'!D:D,E60,'3月数据源'!F:F,"浙江精准学科技有限公司")+SUMIFS('3月数据源'!J:J,'3月数据源'!D:D,E60,'3月数据源'!F:F,"浙江精准学科技有限公司")</f>
        <v/>
      </c>
      <c r="I60" s="89">
        <f>-SUMIFS('4月数据源'!I:I,'4月数据源'!D:D,E60,'4月数据源'!F:F,"浙江精准学科技有限公司")+SUMIFS('4月数据源'!J:J,'4月数据源'!D:D,E60,'4月数据源'!F:F,"浙江精准学科技有限公司")</f>
        <v/>
      </c>
      <c r="J60" s="89">
        <f>-SUMIFS('5月数据源'!I:I,'5月数据源'!D:D,E60,'5月数据源'!F:F,"浙江精准学科技有限公司")+SUMIFS('5月数据源'!J:J,'5月数据源'!D:D,E60,'5月数据源'!F:F,"浙江精准学科技有限公司")</f>
        <v/>
      </c>
      <c r="K60" s="89">
        <f>-SUMIFS('6月数据源'!$I:$I,'6月数据源'!$D:$D,$E60,'6月数据源'!$F:$F,"浙江精准学科技有限公司")+SUMIFS('6月数据源'!$J:$J,'6月数据源'!$D:$D,$E60,'6月数据源'!$F:$F,"浙江精准学科技有限公司")</f>
        <v/>
      </c>
      <c r="L60" s="89">
        <f>-SUMIFS('7月数据源'!$I:$I,'7月数据源'!$D:$D,$E60,'7月数据源'!$F:$F,"浙江精准学科技有限公司")+SUMIFS('7月数据源'!$J:$J,'7月数据源'!$D:$D,$E60,'7月数据源'!$F:$F,"浙江精准学科技有限公司")</f>
        <v/>
      </c>
      <c r="M60" s="89">
        <f>-SUMIFS('8月数据源'!$I:$I,'8月数据源'!$D:$D,$E60,'8月数据源'!$F:$F,"浙江精准学科技有限公司")+SUMIFS('8月数据源'!$J:$J,'8月数据源'!$D:$D,$E60,'8月数据源'!$F:$F,"浙江精准学科技有限公司")</f>
        <v/>
      </c>
      <c r="N60" s="89">
        <f>-SUMIFS('9月数据源'!$I:$I,'9月数据源'!$D:$D,$E60,'9月数据源'!$F:$F,"浙江精准学科技有限公司")+SUMIFS('9月数据源'!$J:$J,'9月数据源'!$D:$D,$E60,'9月数据源'!$F:$F,"浙江精准学科技有限公司")</f>
        <v/>
      </c>
      <c r="O60" s="89">
        <f>-SUMIFS('10月数据源'!$I:$I,'10月数据源'!$D:$D,$E60,'10月数据源'!$F:$F,"浙江精准学科技有限公司")+SUMIFS('10月数据源'!$J:$J,'10月数据源'!$D:$D,$E60,'10月数据源'!$F:$F,"浙江精准学科技有限公司")</f>
        <v/>
      </c>
      <c r="P60" s="89">
        <f>-SUMIFS('11月数据源'!$I:$I,'11月数据源'!$D:$D,$E60,'11月数据源'!$F:$F,"浙江精准学科技有限公司")+SUMIFS('11月数据源'!$J:$J,'11月数据源'!$D:$D,$E60,'11月数据源'!$F:$F,"浙江精准学科技有限公司")</f>
        <v/>
      </c>
      <c r="Q60" s="89">
        <f>-SUMIFS('12月数据源'!$I:$I,'12月数据源'!$D:$D,$E60,'12月数据源'!$F:$F,"浙江精准学科技有限公司")+SUMIFS('12月数据源'!$J:$J,'12月数据源'!$D:$D,$E60,'12月数据源'!$F:$F,"浙江精准学科技有限公司")</f>
        <v/>
      </c>
    </row>
    <row r="61" s="83">
      <c r="A61" s="5" t="inlineStr">
        <is>
          <t>制造费用</t>
        </is>
      </c>
      <c r="B61" s="5" t="inlineStr">
        <is>
          <t>制造费用</t>
        </is>
      </c>
      <c r="D61" s="5" t="inlineStr">
        <is>
          <t>华泰水电费</t>
        </is>
      </c>
      <c r="E61" s="6" t="inlineStr">
        <is>
          <t>Q3211</t>
        </is>
      </c>
      <c r="F61" s="89">
        <f>-SUMIFS('1月数据源'!I:I,'1月数据源'!D:D,E61,'1月数据源'!F:F,"浙江精准学科技有限公司")+SUMIFS('1月数据源'!J:J,'1月数据源'!D:D,E61,'1月数据源'!F:F,"浙江精准学科技有限公司")</f>
        <v/>
      </c>
      <c r="G61" s="89">
        <f>-SUMIFS('2月数据源'!I:I,'2月数据源'!D:D,E61,'2月数据源'!F:F,"浙江精准学科技有限公司")+SUMIFS('2月数据源'!J:J,'2月数据源'!D:D,E61,'2月数据源'!F:F,"浙江精准学科技有限公司")</f>
        <v/>
      </c>
      <c r="H61" s="89">
        <f>-SUMIFS('3月数据源'!I:I,'3月数据源'!D:D,E61,'3月数据源'!F:F,"浙江精准学科技有限公司")+SUMIFS('3月数据源'!J:J,'3月数据源'!D:D,E61,'3月数据源'!F:F,"浙江精准学科技有限公司")</f>
        <v/>
      </c>
      <c r="I61" s="89">
        <f>-SUMIFS('4月数据源'!I:I,'4月数据源'!D:D,E61,'4月数据源'!F:F,"浙江精准学科技有限公司")+SUMIFS('4月数据源'!J:J,'4月数据源'!D:D,E61,'4月数据源'!F:F,"浙江精准学科技有限公司")</f>
        <v/>
      </c>
      <c r="J61" s="89">
        <f>-SUMIFS('5月数据源'!I:I,'5月数据源'!D:D,E61,'5月数据源'!F:F,"浙江精准学科技有限公司")+SUMIFS('5月数据源'!J:J,'5月数据源'!D:D,E61,'5月数据源'!F:F,"浙江精准学科技有限公司")</f>
        <v/>
      </c>
      <c r="K61" s="89">
        <f>-SUMIFS('6月数据源'!$I:$I,'6月数据源'!$D:$D,$E61,'6月数据源'!$F:$F,"浙江精准学科技有限公司")+SUMIFS('6月数据源'!$J:$J,'6月数据源'!$D:$D,$E61,'6月数据源'!$F:$F,"浙江精准学科技有限公司")</f>
        <v/>
      </c>
      <c r="L61" s="89">
        <f>-SUMIFS('7月数据源'!$I:$I,'7月数据源'!$D:$D,$E61,'7月数据源'!$F:$F,"浙江精准学科技有限公司")+SUMIFS('7月数据源'!$J:$J,'7月数据源'!$D:$D,$E61,'7月数据源'!$F:$F,"浙江精准学科技有限公司")</f>
        <v/>
      </c>
      <c r="M61" s="89">
        <f>-SUMIFS('8月数据源'!$I:$I,'8月数据源'!$D:$D,$E61,'8月数据源'!$F:$F,"浙江精准学科技有限公司")+SUMIFS('8月数据源'!$J:$J,'8月数据源'!$D:$D,$E61,'8月数据源'!$F:$F,"浙江精准学科技有限公司")</f>
        <v/>
      </c>
      <c r="N61" s="89">
        <f>-SUMIFS('9月数据源'!$I:$I,'9月数据源'!$D:$D,$E61,'9月数据源'!$F:$F,"浙江精准学科技有限公司")+SUMIFS('9月数据源'!$J:$J,'9月数据源'!$D:$D,$E61,'9月数据源'!$F:$F,"浙江精准学科技有限公司")</f>
        <v/>
      </c>
      <c r="O61" s="89">
        <f>-SUMIFS('10月数据源'!$I:$I,'10月数据源'!$D:$D,$E61,'10月数据源'!$F:$F,"浙江精准学科技有限公司")+SUMIFS('10月数据源'!$J:$J,'10月数据源'!$D:$D,$E61,'10月数据源'!$F:$F,"浙江精准学科技有限公司")</f>
        <v/>
      </c>
      <c r="P61" s="89">
        <f>-SUMIFS('11月数据源'!$I:$I,'11月数据源'!$D:$D,$E61,'11月数据源'!$F:$F,"浙江精准学科技有限公司")+SUMIFS('11月数据源'!$J:$J,'11月数据源'!$D:$D,$E61,'11月数据源'!$F:$F,"浙江精准学科技有限公司")</f>
        <v/>
      </c>
      <c r="Q61" s="89">
        <f>-SUMIFS('12月数据源'!$I:$I,'12月数据源'!$D:$D,$E61,'12月数据源'!$F:$F,"浙江精准学科技有限公司")+SUMIFS('12月数据源'!$J:$J,'12月数据源'!$D:$D,$E61,'12月数据源'!$F:$F,"浙江精准学科技有限公司")</f>
        <v/>
      </c>
    </row>
    <row r="62" s="83">
      <c r="A62" s="5" t="inlineStr">
        <is>
          <t>制造费用</t>
        </is>
      </c>
      <c r="B62" s="5" t="inlineStr">
        <is>
          <t>制造费用</t>
        </is>
      </c>
      <c r="D62" s="5" t="inlineStr">
        <is>
          <t>华泰装修费</t>
        </is>
      </c>
      <c r="E62" s="6" t="inlineStr">
        <is>
          <t>Q3212</t>
        </is>
      </c>
      <c r="F62" s="89">
        <f>-SUMIFS('1月数据源'!I:I,'1月数据源'!D:D,E62,'1月数据源'!F:F,"浙江精准学科技有限公司")+SUMIFS('1月数据源'!J:J,'1月数据源'!D:D,E62,'1月数据源'!F:F,"浙江精准学科技有限公司")</f>
        <v/>
      </c>
      <c r="G62" s="89">
        <f>-SUMIFS('2月数据源'!I:I,'2月数据源'!D:D,E62,'2月数据源'!F:F,"浙江精准学科技有限公司")+SUMIFS('2月数据源'!J:J,'2月数据源'!D:D,E62,'2月数据源'!F:F,"浙江精准学科技有限公司")</f>
        <v/>
      </c>
      <c r="H62" s="89">
        <f>-SUMIFS('3月数据源'!I:I,'3月数据源'!D:D,E62,'3月数据源'!F:F,"浙江精准学科技有限公司")+SUMIFS('3月数据源'!J:J,'3月数据源'!D:D,E62,'3月数据源'!F:F,"浙江精准学科技有限公司")</f>
        <v/>
      </c>
      <c r="I62" s="89">
        <f>-SUMIFS('4月数据源'!I:I,'4月数据源'!D:D,E62,'4月数据源'!F:F,"浙江精准学科技有限公司")+SUMIFS('4月数据源'!J:J,'4月数据源'!D:D,E62,'4月数据源'!F:F,"浙江精准学科技有限公司")</f>
        <v/>
      </c>
      <c r="J62" s="89">
        <f>-SUMIFS('5月数据源'!I:I,'5月数据源'!D:D,E62,'5月数据源'!F:F,"浙江精准学科技有限公司")+SUMIFS('5月数据源'!J:J,'5月数据源'!D:D,E62,'5月数据源'!F:F,"浙江精准学科技有限公司")</f>
        <v/>
      </c>
      <c r="K62" s="89">
        <f>-SUMIFS('6月数据源'!$I:$I,'6月数据源'!$D:$D,$E62,'6月数据源'!$F:$F,"浙江精准学科技有限公司")+SUMIFS('6月数据源'!$J:$J,'6月数据源'!$D:$D,$E62,'6月数据源'!$F:$F,"浙江精准学科技有限公司")</f>
        <v/>
      </c>
      <c r="L62" s="89">
        <f>-SUMIFS('7月数据源'!$I:$I,'7月数据源'!$D:$D,$E62,'7月数据源'!$F:$F,"浙江精准学科技有限公司")+SUMIFS('7月数据源'!$J:$J,'7月数据源'!$D:$D,$E62,'7月数据源'!$F:$F,"浙江精准学科技有限公司")</f>
        <v/>
      </c>
      <c r="M62" s="89">
        <f>-SUMIFS('8月数据源'!$I:$I,'8月数据源'!$D:$D,$E62,'8月数据源'!$F:$F,"浙江精准学科技有限公司")+SUMIFS('8月数据源'!$J:$J,'8月数据源'!$D:$D,$E62,'8月数据源'!$F:$F,"浙江精准学科技有限公司")</f>
        <v/>
      </c>
      <c r="N62" s="89">
        <f>-SUMIFS('9月数据源'!$I:$I,'9月数据源'!$D:$D,$E62,'9月数据源'!$F:$F,"浙江精准学科技有限公司")+SUMIFS('9月数据源'!$J:$J,'9月数据源'!$D:$D,$E62,'9月数据源'!$F:$F,"浙江精准学科技有限公司")</f>
        <v/>
      </c>
      <c r="O62" s="89">
        <f>-SUMIFS('10月数据源'!$I:$I,'10月数据源'!$D:$D,$E62,'10月数据源'!$F:$F,"浙江精准学科技有限公司")+SUMIFS('10月数据源'!$J:$J,'10月数据源'!$D:$D,$E62,'10月数据源'!$F:$F,"浙江精准学科技有限公司")</f>
        <v/>
      </c>
      <c r="P62" s="89">
        <f>-SUMIFS('11月数据源'!$I:$I,'11月数据源'!$D:$D,$E62,'11月数据源'!$F:$F,"浙江精准学科技有限公司")+SUMIFS('11月数据源'!$J:$J,'11月数据源'!$D:$D,$E62,'11月数据源'!$F:$F,"浙江精准学科技有限公司")</f>
        <v/>
      </c>
      <c r="Q62" s="89">
        <f>-SUMIFS('12月数据源'!$I:$I,'12月数据源'!$D:$D,$E62,'12月数据源'!$F:$F,"浙江精准学科技有限公司")+SUMIFS('12月数据源'!$J:$J,'12月数据源'!$D:$D,$E62,'12月数据源'!$F:$F,"浙江精准学科技有限公司")</f>
        <v/>
      </c>
    </row>
    <row r="63" s="83">
      <c r="A63" s="49" t="inlineStr">
        <is>
          <t>制造费用合计</t>
        </is>
      </c>
      <c r="B63" s="50" t="n"/>
      <c r="C63" s="50" t="n"/>
      <c r="D63" s="49" t="n"/>
      <c r="E63" s="49" t="n"/>
      <c r="F63" s="89">
        <f>SUM(F51:F62)</f>
        <v/>
      </c>
      <c r="G63" s="89">
        <f>SUM(G51:G62)</f>
        <v/>
      </c>
      <c r="H63" s="89">
        <f>SUM(H51:H62)</f>
        <v/>
      </c>
      <c r="I63" s="89">
        <f>SUM(I51:I62)</f>
        <v/>
      </c>
      <c r="J63" s="89">
        <f>SUM(J51:J62)</f>
        <v/>
      </c>
      <c r="K63" s="89">
        <f>SUM(K51:K62)</f>
        <v/>
      </c>
      <c r="L63" s="89">
        <f>SUM(L51:L62)</f>
        <v/>
      </c>
      <c r="M63" s="89">
        <f>SUM(M51:M62)</f>
        <v/>
      </c>
      <c r="N63" s="89">
        <f>SUM(N51:N62)</f>
        <v/>
      </c>
      <c r="O63" s="89">
        <f>SUM(O51:O62)</f>
        <v/>
      </c>
      <c r="P63" s="89">
        <f>SUM(P51:P62)</f>
        <v/>
      </c>
      <c r="Q63" s="89">
        <f>SUM(Q51:Q62)</f>
        <v/>
      </c>
    </row>
    <row r="64" s="83">
      <c r="A64" s="5" t="inlineStr">
        <is>
          <t>自习室支出</t>
        </is>
      </c>
      <c r="B64" s="5" t="inlineStr">
        <is>
          <t>自习室支出</t>
        </is>
      </c>
      <c r="C64" s="6" t="inlineStr">
        <is>
          <t>自习室支出</t>
        </is>
      </c>
      <c r="D64" s="5" t="inlineStr">
        <is>
          <t>人力成本</t>
        </is>
      </c>
      <c r="E64" s="53" t="n"/>
      <c r="K64" s="89">
        <f>-SUMIFS('6月数据源'!$I:$I,'6月数据源'!$D:$D,$E64,'6月数据源'!$F:$F,"浙江精准学科技有限公司")+SUMIFS('6月数据源'!$J:$J,'6月数据源'!$D:$D,$E64,'6月数据源'!$F:$F,"浙江精准学科技有限公司")</f>
        <v/>
      </c>
      <c r="L64" s="89">
        <f>-SUMIFS('7月数据源'!$I:$I,'7月数据源'!$D:$D,$E64,'7月数据源'!$F:$F,"浙江精准学科技有限公司")+SUMIFS('7月数据源'!$J:$J,'7月数据源'!$D:$D,$E64,'7月数据源'!$F:$F,"浙江精准学科技有限公司")</f>
        <v/>
      </c>
      <c r="M64" s="89">
        <f>-SUMIFS('8月数据源'!$I:$I,'8月数据源'!$D:$D,$E64,'8月数据源'!$F:$F,"浙江精准学科技有限公司")+SUMIFS('8月数据源'!$J:$J,'8月数据源'!$D:$D,$E64,'8月数据源'!$F:$F,"浙江精准学科技有限公司")</f>
        <v/>
      </c>
      <c r="N64" s="89">
        <f>-SUMIFS('9月数据源'!$I:$I,'9月数据源'!$D:$D,$E64,'9月数据源'!$F:$F,"浙江精准学科技有限公司")+SUMIFS('9月数据源'!$J:$J,'9月数据源'!$D:$D,$E64,'9月数据源'!$F:$F,"浙江精准学科技有限公司")</f>
        <v/>
      </c>
      <c r="O64" s="89">
        <f>-SUMIFS('10月数据源'!$I:$I,'10月数据源'!$D:$D,$E64,'10月数据源'!$F:$F,"浙江精准学科技有限公司")+SUMIFS('10月数据源'!$J:$J,'10月数据源'!$D:$D,$E64,'10月数据源'!$F:$F,"浙江精准学科技有限公司")</f>
        <v/>
      </c>
      <c r="P64" s="89">
        <f>-SUMIFS('11月数据源'!$I:$I,'11月数据源'!$D:$D,$E64,'11月数据源'!$F:$F,"浙江精准学科技有限公司")+SUMIFS('11月数据源'!$J:$J,'11月数据源'!$D:$D,$E64,'11月数据源'!$F:$F,"浙江精准学科技有限公司")</f>
        <v/>
      </c>
      <c r="Q64" s="89">
        <f>-SUMIFS('12月数据源'!$I:$I,'12月数据源'!$D:$D,$E64,'12月数据源'!$F:$F,"浙江精准学科技有限公司")+SUMIFS('12月数据源'!$J:$J,'12月数据源'!$D:$D,$E64,'12月数据源'!$F:$F,"浙江精准学科技有限公司")</f>
        <v/>
      </c>
    </row>
    <row r="65" s="83">
      <c r="A65" s="5" t="inlineStr">
        <is>
          <t>自习室支出</t>
        </is>
      </c>
      <c r="B65" s="5" t="inlineStr">
        <is>
          <t>自习室支出</t>
        </is>
      </c>
      <c r="D65" s="5" t="inlineStr">
        <is>
          <t>装修支出</t>
        </is>
      </c>
      <c r="E65" s="53" t="n"/>
      <c r="K65" s="89">
        <f>-SUMIFS('6月数据源'!$I:$I,'6月数据源'!$D:$D,$E65,'6月数据源'!$F:$F,"浙江精准学科技有限公司")+SUMIFS('6月数据源'!$J:$J,'6月数据源'!$D:$D,$E65,'6月数据源'!$F:$F,"浙江精准学科技有限公司")</f>
        <v/>
      </c>
      <c r="L65" s="89">
        <f>-SUMIFS('7月数据源'!$I:$I,'7月数据源'!$D:$D,$E65,'7月数据源'!$F:$F,"浙江精准学科技有限公司")+SUMIFS('7月数据源'!$J:$J,'7月数据源'!$D:$D,$E65,'7月数据源'!$F:$F,"浙江精准学科技有限公司")</f>
        <v/>
      </c>
      <c r="M65" s="89">
        <f>-SUMIFS('8月数据源'!$I:$I,'8月数据源'!$D:$D,$E65,'8月数据源'!$F:$F,"浙江精准学科技有限公司")+SUMIFS('8月数据源'!$J:$J,'8月数据源'!$D:$D,$E65,'8月数据源'!$F:$F,"浙江精准学科技有限公司")</f>
        <v/>
      </c>
      <c r="N65" s="89">
        <f>-SUMIFS('9月数据源'!$I:$I,'9月数据源'!$D:$D,$E65,'9月数据源'!$F:$F,"浙江精准学科技有限公司")+SUMIFS('9月数据源'!$J:$J,'9月数据源'!$D:$D,$E65,'9月数据源'!$F:$F,"浙江精准学科技有限公司")</f>
        <v/>
      </c>
      <c r="O65" s="89">
        <f>-SUMIFS('10月数据源'!$I:$I,'10月数据源'!$D:$D,$E65,'10月数据源'!$F:$F,"浙江精准学科技有限公司")+SUMIFS('10月数据源'!$J:$J,'10月数据源'!$D:$D,$E65,'10月数据源'!$F:$F,"浙江精准学科技有限公司")</f>
        <v/>
      </c>
      <c r="P65" s="89">
        <f>-SUMIFS('11月数据源'!$I:$I,'11月数据源'!$D:$D,$E65,'11月数据源'!$F:$F,"浙江精准学科技有限公司")+SUMIFS('11月数据源'!$J:$J,'11月数据源'!$D:$D,$E65,'11月数据源'!$F:$F,"浙江精准学科技有限公司")</f>
        <v/>
      </c>
      <c r="Q65" s="89">
        <f>-SUMIFS('12月数据源'!$I:$I,'12月数据源'!$D:$D,$E65,'12月数据源'!$F:$F,"浙江精准学科技有限公司")+SUMIFS('12月数据源'!$J:$J,'12月数据源'!$D:$D,$E65,'12月数据源'!$F:$F,"浙江精准学科技有限公司")</f>
        <v/>
      </c>
    </row>
    <row r="66" s="83">
      <c r="A66" s="5" t="inlineStr">
        <is>
          <t>自习室支出</t>
        </is>
      </c>
      <c r="B66" s="5" t="inlineStr">
        <is>
          <t>自习室支出</t>
        </is>
      </c>
      <c r="D66" s="5" t="inlineStr">
        <is>
          <t>推广费用</t>
        </is>
      </c>
      <c r="E66" s="53" t="n"/>
      <c r="K66" s="89">
        <f>-SUMIFS('6月数据源'!$I:$I,'6月数据源'!$D:$D,$E66,'6月数据源'!$F:$F,"浙江精准学科技有限公司")+SUMIFS('6月数据源'!$J:$J,'6月数据源'!$D:$D,$E66,'6月数据源'!$F:$F,"浙江精准学科技有限公司")</f>
        <v/>
      </c>
      <c r="L66" s="89">
        <f>-SUMIFS('7月数据源'!$I:$I,'7月数据源'!$D:$D,$E66,'7月数据源'!$F:$F,"浙江精准学科技有限公司")+SUMIFS('7月数据源'!$J:$J,'7月数据源'!$D:$D,$E66,'7月数据源'!$F:$F,"浙江精准学科技有限公司")</f>
        <v/>
      </c>
      <c r="M66" s="89">
        <f>-SUMIFS('8月数据源'!$I:$I,'8月数据源'!$D:$D,$E66,'8月数据源'!$F:$F,"浙江精准学科技有限公司")+SUMIFS('8月数据源'!$J:$J,'8月数据源'!$D:$D,$E66,'8月数据源'!$F:$F,"浙江精准学科技有限公司")</f>
        <v/>
      </c>
      <c r="N66" s="89">
        <f>-SUMIFS('9月数据源'!$I:$I,'9月数据源'!$D:$D,$E66,'9月数据源'!$F:$F,"浙江精准学科技有限公司")+SUMIFS('9月数据源'!$J:$J,'9月数据源'!$D:$D,$E66,'9月数据源'!$F:$F,"浙江精准学科技有限公司")</f>
        <v/>
      </c>
      <c r="O66" s="89">
        <f>-SUMIFS('10月数据源'!$I:$I,'10月数据源'!$D:$D,$E66,'10月数据源'!$F:$F,"浙江精准学科技有限公司")+SUMIFS('10月数据源'!$J:$J,'10月数据源'!$D:$D,$E66,'10月数据源'!$F:$F,"浙江精准学科技有限公司")</f>
        <v/>
      </c>
      <c r="P66" s="89">
        <f>-SUMIFS('11月数据源'!$I:$I,'11月数据源'!$D:$D,$E66,'11月数据源'!$F:$F,"浙江精准学科技有限公司")+SUMIFS('11月数据源'!$J:$J,'11月数据源'!$D:$D,$E66,'11月数据源'!$F:$F,"浙江精准学科技有限公司")</f>
        <v/>
      </c>
      <c r="Q66" s="89">
        <f>-SUMIFS('12月数据源'!$I:$I,'12月数据源'!$D:$D,$E66,'12月数据源'!$F:$F,"浙江精准学科技有限公司")+SUMIFS('12月数据源'!$J:$J,'12月数据源'!$D:$D,$E66,'12月数据源'!$F:$F,"浙江精准学科技有限公司")</f>
        <v/>
      </c>
    </row>
    <row r="67" s="83">
      <c r="A67" s="5" t="inlineStr">
        <is>
          <t>自习室支出</t>
        </is>
      </c>
      <c r="B67" s="5" t="inlineStr">
        <is>
          <t>自习室支出</t>
        </is>
      </c>
      <c r="D67" s="5" t="inlineStr">
        <is>
          <t>管理系统</t>
        </is>
      </c>
      <c r="E67" s="53" t="n"/>
      <c r="K67" s="89">
        <f>-SUMIFS('6月数据源'!$I:$I,'6月数据源'!$D:$D,$E67,'6月数据源'!$F:$F,"浙江精准学科技有限公司")+SUMIFS('6月数据源'!$J:$J,'6月数据源'!$D:$D,$E67,'6月数据源'!$F:$F,"浙江精准学科技有限公司")</f>
        <v/>
      </c>
      <c r="L67" s="89">
        <f>-SUMIFS('7月数据源'!$I:$I,'7月数据源'!$D:$D,$E67,'7月数据源'!$F:$F,"浙江精准学科技有限公司")+SUMIFS('7月数据源'!$J:$J,'7月数据源'!$D:$D,$E67,'7月数据源'!$F:$F,"浙江精准学科技有限公司")</f>
        <v/>
      </c>
      <c r="M67" s="89">
        <f>-SUMIFS('8月数据源'!$I:$I,'8月数据源'!$D:$D,$E67,'8月数据源'!$F:$F,"浙江精准学科技有限公司")+SUMIFS('8月数据源'!$J:$J,'8月数据源'!$D:$D,$E67,'8月数据源'!$F:$F,"浙江精准学科技有限公司")</f>
        <v/>
      </c>
      <c r="N67" s="89">
        <f>-SUMIFS('9月数据源'!$I:$I,'9月数据源'!$D:$D,$E67,'9月数据源'!$F:$F,"浙江精准学科技有限公司")+SUMIFS('9月数据源'!$J:$J,'9月数据源'!$D:$D,$E67,'9月数据源'!$F:$F,"浙江精准学科技有限公司")</f>
        <v/>
      </c>
      <c r="O67" s="89">
        <f>-SUMIFS('10月数据源'!$I:$I,'10月数据源'!$D:$D,$E67,'10月数据源'!$F:$F,"浙江精准学科技有限公司")+SUMIFS('10月数据源'!$J:$J,'10月数据源'!$D:$D,$E67,'10月数据源'!$F:$F,"浙江精准学科技有限公司")</f>
        <v/>
      </c>
      <c r="P67" s="89">
        <f>-SUMIFS('11月数据源'!$I:$I,'11月数据源'!$D:$D,$E67,'11月数据源'!$F:$F,"浙江精准学科技有限公司")+SUMIFS('11月数据源'!$J:$J,'11月数据源'!$D:$D,$E67,'11月数据源'!$F:$F,"浙江精准学科技有限公司")</f>
        <v/>
      </c>
      <c r="Q67" s="89">
        <f>-SUMIFS('12月数据源'!$I:$I,'12月数据源'!$D:$D,$E67,'12月数据源'!$F:$F,"浙江精准学科技有限公司")+SUMIFS('12月数据源'!$J:$J,'12月数据源'!$D:$D,$E67,'12月数据源'!$F:$F,"浙江精准学科技有限公司")</f>
        <v/>
      </c>
    </row>
    <row r="68" s="83">
      <c r="A68" s="5" t="inlineStr">
        <is>
          <t>自习室支出</t>
        </is>
      </c>
      <c r="B68" s="5" t="inlineStr">
        <is>
          <t>自习室支出</t>
        </is>
      </c>
      <c r="D68" s="5" t="inlineStr">
        <is>
          <t>其他经营支出</t>
        </is>
      </c>
      <c r="E68" s="53" t="n"/>
      <c r="K68" s="89">
        <f>-SUMIFS('6月数据源'!$I:$I,'6月数据源'!$D:$D,$E68,'6月数据源'!$F:$F,"浙江精准学科技有限公司")+SUMIFS('6月数据源'!$J:$J,'6月数据源'!$D:$D,$E68,'6月数据源'!$F:$F,"浙江精准学科技有限公司")</f>
        <v/>
      </c>
      <c r="L68" s="89">
        <f>-SUMIFS('7月数据源'!$I:$I,'7月数据源'!$D:$D,$E68,'7月数据源'!$F:$F,"浙江精准学科技有限公司")+SUMIFS('7月数据源'!$J:$J,'7月数据源'!$D:$D,$E68,'7月数据源'!$F:$F,"浙江精准学科技有限公司")</f>
        <v/>
      </c>
      <c r="M68" s="89">
        <f>-SUMIFS('8月数据源'!$I:$I,'8月数据源'!$D:$D,$E68,'8月数据源'!$F:$F,"浙江精准学科技有限公司")+SUMIFS('8月数据源'!$J:$J,'8月数据源'!$D:$D,$E68,'8月数据源'!$F:$F,"浙江精准学科技有限公司")</f>
        <v/>
      </c>
      <c r="N68" s="89">
        <f>-SUMIFS('9月数据源'!$I:$I,'9月数据源'!$D:$D,$E68,'9月数据源'!$F:$F,"浙江精准学科技有限公司")+SUMIFS('9月数据源'!$J:$J,'9月数据源'!$D:$D,$E68,'9月数据源'!$F:$F,"浙江精准学科技有限公司")</f>
        <v/>
      </c>
      <c r="O68" s="89">
        <f>-SUMIFS('10月数据源'!$I:$I,'10月数据源'!$D:$D,$E68,'10月数据源'!$F:$F,"浙江精准学科技有限公司")+SUMIFS('10月数据源'!$J:$J,'10月数据源'!$D:$D,$E68,'10月数据源'!$F:$F,"浙江精准学科技有限公司")</f>
        <v/>
      </c>
      <c r="P68" s="89">
        <f>-SUMIFS('11月数据源'!$I:$I,'11月数据源'!$D:$D,$E68,'11月数据源'!$F:$F,"浙江精准学科技有限公司")+SUMIFS('11月数据源'!$J:$J,'11月数据源'!$D:$D,$E68,'11月数据源'!$F:$F,"浙江精准学科技有限公司")</f>
        <v/>
      </c>
      <c r="Q68" s="89">
        <f>-SUMIFS('12月数据源'!$I:$I,'12月数据源'!$D:$D,$E68,'12月数据源'!$F:$F,"浙江精准学科技有限公司")+SUMIFS('12月数据源'!$J:$J,'12月数据源'!$D:$D,$E68,'12月数据源'!$F:$F,"浙江精准学科技有限公司")</f>
        <v/>
      </c>
    </row>
    <row r="69" s="83">
      <c r="A69" s="49" t="inlineStr">
        <is>
          <t>自习室支出合计</t>
        </is>
      </c>
      <c r="B69" s="50" t="n"/>
      <c r="C69" s="50" t="n"/>
      <c r="D69" s="49" t="n"/>
      <c r="E69" s="49" t="n"/>
      <c r="F69" s="89">
        <f>SUM('SMART AI LIMITED:HK01'!F64:F68)</f>
        <v/>
      </c>
      <c r="G69" s="89">
        <f>SUM('SMART AI LIMITED:HK01'!G64:G68)</f>
        <v/>
      </c>
      <c r="H69" s="89">
        <f>SUM('SMART AI LIMITED:HK01'!H64:H68)</f>
        <v/>
      </c>
      <c r="I69" s="89">
        <f>SUM('SMART AI LIMITED:HK01'!I64:I68)</f>
        <v/>
      </c>
      <c r="J69" s="89">
        <f>SUM('SMART AI LIMITED:HK01'!J64:J68)</f>
        <v/>
      </c>
      <c r="K69" s="89">
        <f>SUM('SMART AI LIMITED:HK01'!K64:K68)</f>
        <v/>
      </c>
      <c r="L69" s="89">
        <f>SUM('SMART AI LIMITED:HK01'!L64:L68)</f>
        <v/>
      </c>
      <c r="M69" s="89">
        <f>SUM('SMART AI LIMITED:HK01'!M64:M68)</f>
        <v/>
      </c>
      <c r="N69" s="89">
        <f>SUM('SMART AI LIMITED:HK01'!N64:N68)</f>
        <v/>
      </c>
      <c r="O69" s="89">
        <f>SUM('SMART AI LIMITED:HK01'!O64:O68)</f>
        <v/>
      </c>
      <c r="P69" s="89">
        <f>SUM('SMART AI LIMITED:HK01'!P64:P68)</f>
        <v/>
      </c>
      <c r="Q69" s="89">
        <f>SUM('SMART AI LIMITED:HK01'!Q64:Q68)</f>
        <v/>
      </c>
    </row>
    <row r="70" s="83">
      <c r="A70" s="5" t="inlineStr">
        <is>
          <t>研发支出</t>
        </is>
      </c>
      <c r="B70" s="6" t="inlineStr">
        <is>
          <t>产品开发-MAX</t>
        </is>
      </c>
      <c r="C70" s="6" t="inlineStr">
        <is>
          <t>产品开发-MAX</t>
        </is>
      </c>
      <c r="D70" s="5" t="inlineStr">
        <is>
          <t>检测费</t>
        </is>
      </c>
      <c r="E70" s="6" t="inlineStr">
        <is>
          <t>Q1201</t>
        </is>
      </c>
      <c r="F70" s="89">
        <f>-SUMIFS('1月数据源'!I:I,'1月数据源'!D:D,E70,'1月数据源'!F:F,"浙江精准学科技有限公司")+SUMIFS('1月数据源'!J:J,'1月数据源'!D:D,E70,'1月数据源'!F:F,"浙江精准学科技有限公司")</f>
        <v/>
      </c>
      <c r="G70" s="89">
        <f>-SUMIFS('2月数据源'!I:I,'2月数据源'!D:D,E70,'2月数据源'!F:F,"浙江精准学科技有限公司")+SUMIFS('2月数据源'!J:J,'2月数据源'!D:D,E70,'2月数据源'!F:F,"浙江精准学科技有限公司")</f>
        <v/>
      </c>
      <c r="H70" s="89">
        <f>-SUMIFS('3月数据源'!I:I,'3月数据源'!D:D,E70,'3月数据源'!F:F,"浙江精准学科技有限公司")+SUMIFS('3月数据源'!J:J,'3月数据源'!D:D,E70,'3月数据源'!F:F,"浙江精准学科技有限公司")</f>
        <v/>
      </c>
      <c r="I70" s="89">
        <f>-SUMIFS('4月数据源'!I:I,'4月数据源'!D:D,E70,'4月数据源'!F:F,"浙江精准学科技有限公司")+SUMIFS('4月数据源'!J:J,'4月数据源'!D:D,E70,'4月数据源'!F:F,"浙江精准学科技有限公司")</f>
        <v/>
      </c>
      <c r="J70" s="89">
        <f>-SUMIFS('5月数据源'!I:I,'5月数据源'!D:D,E70,'5月数据源'!F:F,"浙江精准学科技有限公司")+SUMIFS('5月数据源'!J:J,'5月数据源'!D:D,E70,'5月数据源'!F:F,"浙江精准学科技有限公司")</f>
        <v/>
      </c>
      <c r="K70" s="89">
        <f>-SUMIFS('6月数据源'!$I:$I,'6月数据源'!$D:$D,$E70,'6月数据源'!$F:$F,"浙江精准学科技有限公司")+SUMIFS('6月数据源'!$J:$J,'6月数据源'!$D:$D,$E70,'6月数据源'!$F:$F,"浙江精准学科技有限公司")</f>
        <v/>
      </c>
      <c r="L70" s="89">
        <f>-SUMIFS('7月数据源'!$I:$I,'7月数据源'!$D:$D,$E70,'7月数据源'!$F:$F,"浙江精准学科技有限公司")+SUMIFS('7月数据源'!$J:$J,'7月数据源'!$D:$D,$E70,'7月数据源'!$F:$F,"浙江精准学科技有限公司")</f>
        <v/>
      </c>
      <c r="M70" s="89">
        <f>-SUMIFS('8月数据源'!$I:$I,'8月数据源'!$D:$D,$E70,'8月数据源'!$F:$F,"浙江精准学科技有限公司")+SUMIFS('8月数据源'!$J:$J,'8月数据源'!$D:$D,$E70,'8月数据源'!$F:$F,"浙江精准学科技有限公司")</f>
        <v/>
      </c>
      <c r="N70" s="89">
        <f>-SUMIFS('9月数据源'!$I:$I,'9月数据源'!$D:$D,$E70,'9月数据源'!$F:$F,"浙江精准学科技有限公司")+SUMIFS('9月数据源'!$J:$J,'9月数据源'!$D:$D,$E70,'9月数据源'!$F:$F,"浙江精准学科技有限公司")</f>
        <v/>
      </c>
      <c r="O70" s="89">
        <f>-SUMIFS('10月数据源'!$I:$I,'10月数据源'!$D:$D,$E70,'10月数据源'!$F:$F,"浙江精准学科技有限公司")+SUMIFS('10月数据源'!$J:$J,'10月数据源'!$D:$D,$E70,'10月数据源'!$F:$F,"浙江精准学科技有限公司")</f>
        <v/>
      </c>
      <c r="P70" s="89">
        <f>-SUMIFS('11月数据源'!$I:$I,'11月数据源'!$D:$D,$E70,'11月数据源'!$F:$F,"浙江精准学科技有限公司")+SUMIFS('11月数据源'!$J:$J,'11月数据源'!$D:$D,$E70,'11月数据源'!$F:$F,"浙江精准学科技有限公司")</f>
        <v/>
      </c>
      <c r="Q70" s="89">
        <f>-SUMIFS('12月数据源'!$I:$I,'12月数据源'!$D:$D,$E70,'12月数据源'!$F:$F,"浙江精准学科技有限公司")+SUMIFS('12月数据源'!$J:$J,'12月数据源'!$D:$D,$E70,'12月数据源'!$F:$F,"浙江精准学科技有限公司")</f>
        <v/>
      </c>
    </row>
    <row r="71" s="83">
      <c r="A71" s="5" t="inlineStr">
        <is>
          <t>研发支出</t>
        </is>
      </c>
      <c r="B71" s="6" t="inlineStr">
        <is>
          <t>产品开发-MAX</t>
        </is>
      </c>
      <c r="D71" s="5" t="inlineStr">
        <is>
          <t>认证费</t>
        </is>
      </c>
      <c r="E71" s="6" t="inlineStr">
        <is>
          <t>Q1202</t>
        </is>
      </c>
      <c r="F71" s="89">
        <f>-SUMIFS('1月数据源'!I:I,'1月数据源'!D:D,E71,'1月数据源'!F:F,"浙江精准学科技有限公司")+SUMIFS('1月数据源'!J:J,'1月数据源'!D:D,E71,'1月数据源'!F:F,"浙江精准学科技有限公司")</f>
        <v/>
      </c>
      <c r="G71" s="89">
        <f>-SUMIFS('2月数据源'!I:I,'2月数据源'!D:D,E71,'2月数据源'!F:F,"浙江精准学科技有限公司")+SUMIFS('2月数据源'!J:J,'2月数据源'!D:D,E71,'2月数据源'!F:F,"浙江精准学科技有限公司")</f>
        <v/>
      </c>
      <c r="H71" s="89">
        <f>-SUMIFS('3月数据源'!I:I,'3月数据源'!D:D,E71,'3月数据源'!F:F,"浙江精准学科技有限公司")+SUMIFS('3月数据源'!J:J,'3月数据源'!D:D,E71,'3月数据源'!F:F,"浙江精准学科技有限公司")</f>
        <v/>
      </c>
      <c r="I71" s="89">
        <f>-SUMIFS('4月数据源'!I:I,'4月数据源'!D:D,E71,'4月数据源'!F:F,"浙江精准学科技有限公司")+SUMIFS('4月数据源'!J:J,'4月数据源'!D:D,E71,'4月数据源'!F:F,"浙江精准学科技有限公司")</f>
        <v/>
      </c>
      <c r="J71" s="89">
        <f>-SUMIFS('5月数据源'!I:I,'5月数据源'!D:D,E71,'5月数据源'!F:F,"浙江精准学科技有限公司")+SUMIFS('5月数据源'!J:J,'5月数据源'!D:D,E71,'5月数据源'!F:F,"浙江精准学科技有限公司")</f>
        <v/>
      </c>
      <c r="K71" s="89">
        <f>-SUMIFS('6月数据源'!$I:$I,'6月数据源'!$D:$D,$E71,'6月数据源'!$F:$F,"浙江精准学科技有限公司")+SUMIFS('6月数据源'!$J:$J,'6月数据源'!$D:$D,$E71,'6月数据源'!$F:$F,"浙江精准学科技有限公司")</f>
        <v/>
      </c>
      <c r="L71" s="89">
        <f>-SUMIFS('7月数据源'!$I:$I,'7月数据源'!$D:$D,$E71,'7月数据源'!$F:$F,"浙江精准学科技有限公司")+SUMIFS('7月数据源'!$J:$J,'7月数据源'!$D:$D,$E71,'7月数据源'!$F:$F,"浙江精准学科技有限公司")</f>
        <v/>
      </c>
      <c r="M71" s="89">
        <f>-SUMIFS('8月数据源'!$I:$I,'8月数据源'!$D:$D,$E71,'8月数据源'!$F:$F,"浙江精准学科技有限公司")+SUMIFS('8月数据源'!$J:$J,'8月数据源'!$D:$D,$E71,'8月数据源'!$F:$F,"浙江精准学科技有限公司")</f>
        <v/>
      </c>
      <c r="N71" s="89">
        <f>-SUMIFS('9月数据源'!$I:$I,'9月数据源'!$D:$D,$E71,'9月数据源'!$F:$F,"浙江精准学科技有限公司")+SUMIFS('9月数据源'!$J:$J,'9月数据源'!$D:$D,$E71,'9月数据源'!$F:$F,"浙江精准学科技有限公司")</f>
        <v/>
      </c>
      <c r="O71" s="89">
        <f>-SUMIFS('10月数据源'!$I:$I,'10月数据源'!$D:$D,$E71,'10月数据源'!$F:$F,"浙江精准学科技有限公司")+SUMIFS('10月数据源'!$J:$J,'10月数据源'!$D:$D,$E71,'10月数据源'!$F:$F,"浙江精准学科技有限公司")</f>
        <v/>
      </c>
      <c r="P71" s="89">
        <f>-SUMIFS('11月数据源'!$I:$I,'11月数据源'!$D:$D,$E71,'11月数据源'!$F:$F,"浙江精准学科技有限公司")+SUMIFS('11月数据源'!$J:$J,'11月数据源'!$D:$D,$E71,'11月数据源'!$F:$F,"浙江精准学科技有限公司")</f>
        <v/>
      </c>
      <c r="Q71" s="89">
        <f>-SUMIFS('12月数据源'!$I:$I,'12月数据源'!$D:$D,$E71,'12月数据源'!$F:$F,"浙江精准学科技有限公司")+SUMIFS('12月数据源'!$J:$J,'12月数据源'!$D:$D,$E71,'12月数据源'!$F:$F,"浙江精准学科技有限公司")</f>
        <v/>
      </c>
    </row>
    <row r="72" s="83">
      <c r="A72" s="5" t="inlineStr">
        <is>
          <t>研发支出</t>
        </is>
      </c>
      <c r="B72" s="6" t="inlineStr">
        <is>
          <t>产品开发-MAX</t>
        </is>
      </c>
      <c r="D72" s="5" t="inlineStr">
        <is>
          <t>设计费</t>
        </is>
      </c>
      <c r="E72" s="6" t="inlineStr">
        <is>
          <t>Q1203</t>
        </is>
      </c>
      <c r="F72" s="89">
        <f>-SUMIFS('1月数据源'!I:I,'1月数据源'!D:D,E72,'1月数据源'!F:F,"浙江精准学科技有限公司")+SUMIFS('1月数据源'!J:J,'1月数据源'!D:D,E72,'1月数据源'!F:F,"浙江精准学科技有限公司")</f>
        <v/>
      </c>
      <c r="G72" s="89">
        <f>-SUMIFS('2月数据源'!I:I,'2月数据源'!D:D,E72,'2月数据源'!F:F,"浙江精准学科技有限公司")+SUMIFS('2月数据源'!J:J,'2月数据源'!D:D,E72,'2月数据源'!F:F,"浙江精准学科技有限公司")</f>
        <v/>
      </c>
      <c r="H72" s="89">
        <f>-SUMIFS('3月数据源'!I:I,'3月数据源'!D:D,E72,'3月数据源'!F:F,"浙江精准学科技有限公司")+SUMIFS('3月数据源'!J:J,'3月数据源'!D:D,E72,'3月数据源'!F:F,"浙江精准学科技有限公司")</f>
        <v/>
      </c>
      <c r="I72" s="89">
        <f>-SUMIFS('4月数据源'!I:I,'4月数据源'!D:D,E72,'4月数据源'!F:F,"浙江精准学科技有限公司")+SUMIFS('4月数据源'!J:J,'4月数据源'!D:D,E72,'4月数据源'!F:F,"浙江精准学科技有限公司")</f>
        <v/>
      </c>
      <c r="J72" s="89">
        <f>-SUMIFS('5月数据源'!I:I,'5月数据源'!D:D,E72,'5月数据源'!F:F,"浙江精准学科技有限公司")+SUMIFS('5月数据源'!J:J,'5月数据源'!D:D,E72,'5月数据源'!F:F,"浙江精准学科技有限公司")</f>
        <v/>
      </c>
      <c r="K72" s="89">
        <f>-SUMIFS('6月数据源'!$I:$I,'6月数据源'!$D:$D,$E72,'6月数据源'!$F:$F,"浙江精准学科技有限公司")+SUMIFS('6月数据源'!$J:$J,'6月数据源'!$D:$D,$E72,'6月数据源'!$F:$F,"浙江精准学科技有限公司")</f>
        <v/>
      </c>
      <c r="L72" s="89">
        <f>-SUMIFS('7月数据源'!$I:$I,'7月数据源'!$D:$D,$E72,'7月数据源'!$F:$F,"浙江精准学科技有限公司")+SUMIFS('7月数据源'!$J:$J,'7月数据源'!$D:$D,$E72,'7月数据源'!$F:$F,"浙江精准学科技有限公司")</f>
        <v/>
      </c>
      <c r="M72" s="89">
        <f>-SUMIFS('8月数据源'!$I:$I,'8月数据源'!$D:$D,$E72,'8月数据源'!$F:$F,"浙江精准学科技有限公司")+SUMIFS('8月数据源'!$J:$J,'8月数据源'!$D:$D,$E72,'8月数据源'!$F:$F,"浙江精准学科技有限公司")</f>
        <v/>
      </c>
      <c r="N72" s="89">
        <f>-SUMIFS('9月数据源'!$I:$I,'9月数据源'!$D:$D,$E72,'9月数据源'!$F:$F,"浙江精准学科技有限公司")+SUMIFS('9月数据源'!$J:$J,'9月数据源'!$D:$D,$E72,'9月数据源'!$F:$F,"浙江精准学科技有限公司")</f>
        <v/>
      </c>
      <c r="O72" s="89">
        <f>-SUMIFS('10月数据源'!$I:$I,'10月数据源'!$D:$D,$E72,'10月数据源'!$F:$F,"浙江精准学科技有限公司")+SUMIFS('10月数据源'!$J:$J,'10月数据源'!$D:$D,$E72,'10月数据源'!$F:$F,"浙江精准学科技有限公司")</f>
        <v/>
      </c>
      <c r="P72" s="89">
        <f>-SUMIFS('11月数据源'!$I:$I,'11月数据源'!$D:$D,$E72,'11月数据源'!$F:$F,"浙江精准学科技有限公司")+SUMIFS('11月数据源'!$J:$J,'11月数据源'!$D:$D,$E72,'11月数据源'!$F:$F,"浙江精准学科技有限公司")</f>
        <v/>
      </c>
      <c r="Q72" s="89">
        <f>-SUMIFS('12月数据源'!$I:$I,'12月数据源'!$D:$D,$E72,'12月数据源'!$F:$F,"浙江精准学科技有限公司")+SUMIFS('12月数据源'!$J:$J,'12月数据源'!$D:$D,$E72,'12月数据源'!$F:$F,"浙江精准学科技有限公司")</f>
        <v/>
      </c>
    </row>
    <row r="73" s="83">
      <c r="A73" s="5" t="inlineStr">
        <is>
          <t>研发支出</t>
        </is>
      </c>
      <c r="B73" s="6" t="inlineStr">
        <is>
          <t>产品开发-MAX</t>
        </is>
      </c>
      <c r="D73" s="5" t="inlineStr">
        <is>
          <t>OTA费用</t>
        </is>
      </c>
      <c r="E73" s="6" t="inlineStr">
        <is>
          <t>Q1204</t>
        </is>
      </c>
      <c r="F73" s="89">
        <f>-SUMIFS('1月数据源'!I:I,'1月数据源'!D:D,E73,'1月数据源'!F:F,"浙江精准学科技有限公司")+SUMIFS('1月数据源'!J:J,'1月数据源'!D:D,E73,'1月数据源'!F:F,"浙江精准学科技有限公司")</f>
        <v/>
      </c>
      <c r="G73" s="89">
        <f>-SUMIFS('2月数据源'!I:I,'2月数据源'!D:D,E73,'2月数据源'!F:F,"浙江精准学科技有限公司")+SUMIFS('2月数据源'!J:J,'2月数据源'!D:D,E73,'2月数据源'!F:F,"浙江精准学科技有限公司")</f>
        <v/>
      </c>
      <c r="H73" s="89">
        <f>-SUMIFS('3月数据源'!I:I,'3月数据源'!D:D,E73,'3月数据源'!F:F,"浙江精准学科技有限公司")+SUMIFS('3月数据源'!J:J,'3月数据源'!D:D,E73,'3月数据源'!F:F,"浙江精准学科技有限公司")</f>
        <v/>
      </c>
      <c r="I73" s="89">
        <f>-SUMIFS('4月数据源'!I:I,'4月数据源'!D:D,E73,'4月数据源'!F:F,"浙江精准学科技有限公司")+SUMIFS('4月数据源'!J:J,'4月数据源'!D:D,E73,'4月数据源'!F:F,"浙江精准学科技有限公司")</f>
        <v/>
      </c>
      <c r="J73" s="89">
        <f>-SUMIFS('5月数据源'!I:I,'5月数据源'!D:D,E73,'5月数据源'!F:F,"浙江精准学科技有限公司")+SUMIFS('5月数据源'!J:J,'5月数据源'!D:D,E73,'5月数据源'!F:F,"浙江精准学科技有限公司")</f>
        <v/>
      </c>
      <c r="K73" s="89">
        <f>-SUMIFS('6月数据源'!$I:$I,'6月数据源'!$D:$D,$E73,'6月数据源'!$F:$F,"浙江精准学科技有限公司")+SUMIFS('6月数据源'!$J:$J,'6月数据源'!$D:$D,$E73,'6月数据源'!$F:$F,"浙江精准学科技有限公司")</f>
        <v/>
      </c>
      <c r="L73" s="89">
        <f>-SUMIFS('7月数据源'!$I:$I,'7月数据源'!$D:$D,$E73,'7月数据源'!$F:$F,"浙江精准学科技有限公司")+SUMIFS('7月数据源'!$J:$J,'7月数据源'!$D:$D,$E73,'7月数据源'!$F:$F,"浙江精准学科技有限公司")</f>
        <v/>
      </c>
      <c r="M73" s="89">
        <f>-SUMIFS('8月数据源'!$I:$I,'8月数据源'!$D:$D,$E73,'8月数据源'!$F:$F,"浙江精准学科技有限公司")+SUMIFS('8月数据源'!$J:$J,'8月数据源'!$D:$D,$E73,'8月数据源'!$F:$F,"浙江精准学科技有限公司")</f>
        <v/>
      </c>
      <c r="N73" s="89">
        <f>-SUMIFS('9月数据源'!$I:$I,'9月数据源'!$D:$D,$E73,'9月数据源'!$F:$F,"浙江精准学科技有限公司")+SUMIFS('9月数据源'!$J:$J,'9月数据源'!$D:$D,$E73,'9月数据源'!$F:$F,"浙江精准学科技有限公司")</f>
        <v/>
      </c>
      <c r="O73" s="89">
        <f>-SUMIFS('10月数据源'!$I:$I,'10月数据源'!$D:$D,$E73,'10月数据源'!$F:$F,"浙江精准学科技有限公司")+SUMIFS('10月数据源'!$J:$J,'10月数据源'!$D:$D,$E73,'10月数据源'!$F:$F,"浙江精准学科技有限公司")</f>
        <v/>
      </c>
      <c r="P73" s="89">
        <f>-SUMIFS('11月数据源'!$I:$I,'11月数据源'!$D:$D,$E73,'11月数据源'!$F:$F,"浙江精准学科技有限公司")+SUMIFS('11月数据源'!$J:$J,'11月数据源'!$D:$D,$E73,'11月数据源'!$F:$F,"浙江精准学科技有限公司")</f>
        <v/>
      </c>
      <c r="Q73" s="89">
        <f>-SUMIFS('12月数据源'!$I:$I,'12月数据源'!$D:$D,$E73,'12月数据源'!$F:$F,"浙江精准学科技有限公司")+SUMIFS('12月数据源'!$J:$J,'12月数据源'!$D:$D,$E73,'12月数据源'!$F:$F,"浙江精准学科技有限公司")</f>
        <v/>
      </c>
    </row>
    <row r="74" s="83">
      <c r="A74" s="5" t="inlineStr">
        <is>
          <t>研发支出</t>
        </is>
      </c>
      <c r="B74" s="6" t="inlineStr">
        <is>
          <t>产品开发-MAX</t>
        </is>
      </c>
      <c r="D74" s="5" t="inlineStr">
        <is>
          <t>模具费用</t>
        </is>
      </c>
      <c r="E74" s="6" t="inlineStr">
        <is>
          <t>Q1205</t>
        </is>
      </c>
      <c r="F74" s="89">
        <f>-SUMIFS('1月数据源'!I:I,'1月数据源'!D:D,E74,'1月数据源'!F:F,"浙江精准学科技有限公司")+SUMIFS('1月数据源'!J:J,'1月数据源'!D:D,E74,'1月数据源'!F:F,"浙江精准学科技有限公司")</f>
        <v/>
      </c>
      <c r="G74" s="89">
        <f>-SUMIFS('2月数据源'!I:I,'2月数据源'!D:D,E74,'2月数据源'!F:F,"浙江精准学科技有限公司")+SUMIFS('2月数据源'!J:J,'2月数据源'!D:D,E74,'2月数据源'!F:F,"浙江精准学科技有限公司")</f>
        <v/>
      </c>
      <c r="H74" s="89">
        <f>-SUMIFS('3月数据源'!I:I,'3月数据源'!D:D,E74,'3月数据源'!F:F,"浙江精准学科技有限公司")+SUMIFS('3月数据源'!J:J,'3月数据源'!D:D,E74,'3月数据源'!F:F,"浙江精准学科技有限公司")</f>
        <v/>
      </c>
      <c r="I74" s="89">
        <f>-SUMIFS('4月数据源'!I:I,'4月数据源'!D:D,E74,'4月数据源'!F:F,"浙江精准学科技有限公司")+SUMIFS('4月数据源'!J:J,'4月数据源'!D:D,E74,'4月数据源'!F:F,"浙江精准学科技有限公司")</f>
        <v/>
      </c>
      <c r="J74" s="89">
        <f>-SUMIFS('5月数据源'!I:I,'5月数据源'!D:D,E74,'5月数据源'!F:F,"浙江精准学科技有限公司")+SUMIFS('5月数据源'!J:J,'5月数据源'!D:D,E74,'5月数据源'!F:F,"浙江精准学科技有限公司")</f>
        <v/>
      </c>
      <c r="K74" s="89">
        <f>-SUMIFS('6月数据源'!$I:$I,'6月数据源'!$D:$D,$E74,'6月数据源'!$F:$F,"浙江精准学科技有限公司")+SUMIFS('6月数据源'!$J:$J,'6月数据源'!$D:$D,$E74,'6月数据源'!$F:$F,"浙江精准学科技有限公司")</f>
        <v/>
      </c>
      <c r="L74" s="89">
        <f>-SUMIFS('7月数据源'!$I:$I,'7月数据源'!$D:$D,$E74,'7月数据源'!$F:$F,"浙江精准学科技有限公司")+SUMIFS('7月数据源'!$J:$J,'7月数据源'!$D:$D,$E74,'7月数据源'!$F:$F,"浙江精准学科技有限公司")</f>
        <v/>
      </c>
      <c r="M74" s="89">
        <f>-SUMIFS('8月数据源'!$I:$I,'8月数据源'!$D:$D,$E74,'8月数据源'!$F:$F,"浙江精准学科技有限公司")+SUMIFS('8月数据源'!$J:$J,'8月数据源'!$D:$D,$E74,'8月数据源'!$F:$F,"浙江精准学科技有限公司")</f>
        <v/>
      </c>
      <c r="N74" s="89">
        <f>-SUMIFS('9月数据源'!$I:$I,'9月数据源'!$D:$D,$E74,'9月数据源'!$F:$F,"浙江精准学科技有限公司")+SUMIFS('9月数据源'!$J:$J,'9月数据源'!$D:$D,$E74,'9月数据源'!$F:$F,"浙江精准学科技有限公司")</f>
        <v/>
      </c>
      <c r="O74" s="89">
        <f>-SUMIFS('10月数据源'!$I:$I,'10月数据源'!$D:$D,$E74,'10月数据源'!$F:$F,"浙江精准学科技有限公司")+SUMIFS('10月数据源'!$J:$J,'10月数据源'!$D:$D,$E74,'10月数据源'!$F:$F,"浙江精准学科技有限公司")</f>
        <v/>
      </c>
      <c r="P74" s="89">
        <f>-SUMIFS('11月数据源'!$I:$I,'11月数据源'!$D:$D,$E74,'11月数据源'!$F:$F,"浙江精准学科技有限公司")+SUMIFS('11月数据源'!$J:$J,'11月数据源'!$D:$D,$E74,'11月数据源'!$F:$F,"浙江精准学科技有限公司")</f>
        <v/>
      </c>
      <c r="Q74" s="89">
        <f>-SUMIFS('12月数据源'!$I:$I,'12月数据源'!$D:$D,$E74,'12月数据源'!$F:$F,"浙江精准学科技有限公司")+SUMIFS('12月数据源'!$J:$J,'12月数据源'!$D:$D,$E74,'12月数据源'!$F:$F,"浙江精准学科技有限公司")</f>
        <v/>
      </c>
    </row>
    <row r="75" s="83">
      <c r="A75" s="5" t="inlineStr">
        <is>
          <t>研发支出</t>
        </is>
      </c>
      <c r="B75" s="6" t="inlineStr">
        <is>
          <t>产品开发-MAX</t>
        </is>
      </c>
      <c r="D75" s="5" t="inlineStr">
        <is>
          <t>TCL研发费</t>
        </is>
      </c>
      <c r="E75" s="6" t="inlineStr">
        <is>
          <t>Q1206</t>
        </is>
      </c>
      <c r="F75" s="89">
        <f>-SUMIFS('1月数据源'!I:I,'1月数据源'!D:D,E75,'1月数据源'!F:F,"浙江精准学科技有限公司")+SUMIFS('1月数据源'!J:J,'1月数据源'!D:D,E75,'1月数据源'!F:F,"浙江精准学科技有限公司")</f>
        <v/>
      </c>
      <c r="G75" s="89">
        <f>-SUMIFS('2月数据源'!I:I,'2月数据源'!D:D,E75,'2月数据源'!F:F,"浙江精准学科技有限公司")+SUMIFS('2月数据源'!J:J,'2月数据源'!D:D,E75,'2月数据源'!F:F,"浙江精准学科技有限公司")</f>
        <v/>
      </c>
      <c r="H75" s="89">
        <f>-SUMIFS('3月数据源'!I:I,'3月数据源'!D:D,E75,'3月数据源'!F:F,"浙江精准学科技有限公司")+SUMIFS('3月数据源'!J:J,'3月数据源'!D:D,E75,'3月数据源'!F:F,"浙江精准学科技有限公司")</f>
        <v/>
      </c>
      <c r="I75" s="89">
        <f>-SUMIFS('4月数据源'!I:I,'4月数据源'!D:D,E75,'4月数据源'!F:F,"浙江精准学科技有限公司")+SUMIFS('4月数据源'!J:J,'4月数据源'!D:D,E75,'4月数据源'!F:F,"浙江精准学科技有限公司")</f>
        <v/>
      </c>
      <c r="J75" s="89">
        <f>-SUMIFS('5月数据源'!I:I,'5月数据源'!D:D,E75,'5月数据源'!F:F,"浙江精准学科技有限公司")+SUMIFS('5月数据源'!J:J,'5月数据源'!D:D,E75,'5月数据源'!F:F,"浙江精准学科技有限公司")</f>
        <v/>
      </c>
      <c r="K75" s="89">
        <f>-SUMIFS('6月数据源'!$I:$I,'6月数据源'!$D:$D,$E75,'6月数据源'!$F:$F,"浙江精准学科技有限公司")+SUMIFS('6月数据源'!$J:$J,'6月数据源'!$D:$D,$E75,'6月数据源'!$F:$F,"浙江精准学科技有限公司")</f>
        <v/>
      </c>
      <c r="L75" s="89">
        <f>-SUMIFS('7月数据源'!$I:$I,'7月数据源'!$D:$D,$E75,'7月数据源'!$F:$F,"浙江精准学科技有限公司")+SUMIFS('7月数据源'!$J:$J,'7月数据源'!$D:$D,$E75,'7月数据源'!$F:$F,"浙江精准学科技有限公司")</f>
        <v/>
      </c>
      <c r="M75" s="89">
        <f>-SUMIFS('8月数据源'!$I:$I,'8月数据源'!$D:$D,$E75,'8月数据源'!$F:$F,"浙江精准学科技有限公司")+SUMIFS('8月数据源'!$J:$J,'8月数据源'!$D:$D,$E75,'8月数据源'!$F:$F,"浙江精准学科技有限公司")</f>
        <v/>
      </c>
      <c r="N75" s="89">
        <f>-SUMIFS('9月数据源'!$I:$I,'9月数据源'!$D:$D,$E75,'9月数据源'!$F:$F,"浙江精准学科技有限公司")+SUMIFS('9月数据源'!$J:$J,'9月数据源'!$D:$D,$E75,'9月数据源'!$F:$F,"浙江精准学科技有限公司")</f>
        <v/>
      </c>
      <c r="O75" s="89">
        <f>-SUMIFS('10月数据源'!$I:$I,'10月数据源'!$D:$D,$E75,'10月数据源'!$F:$F,"浙江精准学科技有限公司")+SUMIFS('10月数据源'!$J:$J,'10月数据源'!$D:$D,$E75,'10月数据源'!$F:$F,"浙江精准学科技有限公司")</f>
        <v/>
      </c>
      <c r="P75" s="89">
        <f>-SUMIFS('11月数据源'!$I:$I,'11月数据源'!$D:$D,$E75,'11月数据源'!$F:$F,"浙江精准学科技有限公司")+SUMIFS('11月数据源'!$J:$J,'11月数据源'!$D:$D,$E75,'11月数据源'!$F:$F,"浙江精准学科技有限公司")</f>
        <v/>
      </c>
      <c r="Q75" s="89">
        <f>-SUMIFS('12月数据源'!$I:$I,'12月数据源'!$D:$D,$E75,'12月数据源'!$F:$F,"浙江精准学科技有限公司")+SUMIFS('12月数据源'!$J:$J,'12月数据源'!$D:$D,$E75,'12月数据源'!$F:$F,"浙江精准学科技有限公司")</f>
        <v/>
      </c>
    </row>
    <row r="76" s="83">
      <c r="A76" s="5" t="inlineStr">
        <is>
          <t>研发支出</t>
        </is>
      </c>
      <c r="B76" s="6" t="inlineStr">
        <is>
          <t>产品开发-MAX</t>
        </is>
      </c>
      <c r="D76" s="5" t="inlineStr">
        <is>
          <t>唤醒功能开发</t>
        </is>
      </c>
      <c r="E76" s="6" t="inlineStr">
        <is>
          <t>Q1207</t>
        </is>
      </c>
      <c r="F76" s="89">
        <f>-SUMIFS('1月数据源'!I:I,'1月数据源'!D:D,E76,'1月数据源'!F:F,"浙江精准学科技有限公司")+SUMIFS('1月数据源'!J:J,'1月数据源'!D:D,E76,'1月数据源'!F:F,"浙江精准学科技有限公司")</f>
        <v/>
      </c>
      <c r="G76" s="89">
        <f>-SUMIFS('2月数据源'!I:I,'2月数据源'!D:D,E76,'2月数据源'!F:F,"浙江精准学科技有限公司")+SUMIFS('2月数据源'!J:J,'2月数据源'!D:D,E76,'2月数据源'!F:F,"浙江精准学科技有限公司")</f>
        <v/>
      </c>
      <c r="H76" s="89">
        <f>-SUMIFS('3月数据源'!I:I,'3月数据源'!D:D,E76,'3月数据源'!F:F,"浙江精准学科技有限公司")+SUMIFS('3月数据源'!J:J,'3月数据源'!D:D,E76,'3月数据源'!F:F,"浙江精准学科技有限公司")</f>
        <v/>
      </c>
      <c r="I76" s="89">
        <f>-SUMIFS('4月数据源'!I:I,'4月数据源'!D:D,E76,'4月数据源'!F:F,"浙江精准学科技有限公司")+SUMIFS('4月数据源'!J:J,'4月数据源'!D:D,E76,'4月数据源'!F:F,"浙江精准学科技有限公司")</f>
        <v/>
      </c>
      <c r="J76" s="89">
        <f>-SUMIFS('5月数据源'!I:I,'5月数据源'!D:D,E76,'5月数据源'!F:F,"浙江精准学科技有限公司")+SUMIFS('5月数据源'!J:J,'5月数据源'!D:D,E76,'5月数据源'!F:F,"浙江精准学科技有限公司")</f>
        <v/>
      </c>
      <c r="K76" s="89">
        <f>-SUMIFS('6月数据源'!$I:$I,'6月数据源'!$D:$D,$E76,'6月数据源'!$F:$F,"浙江精准学科技有限公司")+SUMIFS('6月数据源'!$J:$J,'6月数据源'!$D:$D,$E76,'6月数据源'!$F:$F,"浙江精准学科技有限公司")</f>
        <v/>
      </c>
      <c r="L76" s="89">
        <f>-SUMIFS('7月数据源'!$I:$I,'7月数据源'!$D:$D,$E76,'7月数据源'!$F:$F,"浙江精准学科技有限公司")+SUMIFS('7月数据源'!$J:$J,'7月数据源'!$D:$D,$E76,'7月数据源'!$F:$F,"浙江精准学科技有限公司")</f>
        <v/>
      </c>
      <c r="M76" s="89">
        <f>-SUMIFS('8月数据源'!$I:$I,'8月数据源'!$D:$D,$E76,'8月数据源'!$F:$F,"浙江精准学科技有限公司")+SUMIFS('8月数据源'!$J:$J,'8月数据源'!$D:$D,$E76,'8月数据源'!$F:$F,"浙江精准学科技有限公司")</f>
        <v/>
      </c>
      <c r="N76" s="89">
        <f>-SUMIFS('9月数据源'!$I:$I,'9月数据源'!$D:$D,$E76,'9月数据源'!$F:$F,"浙江精准学科技有限公司")+SUMIFS('9月数据源'!$J:$J,'9月数据源'!$D:$D,$E76,'9月数据源'!$F:$F,"浙江精准学科技有限公司")</f>
        <v/>
      </c>
      <c r="O76" s="89">
        <f>-SUMIFS('10月数据源'!$I:$I,'10月数据源'!$D:$D,$E76,'10月数据源'!$F:$F,"浙江精准学科技有限公司")+SUMIFS('10月数据源'!$J:$J,'10月数据源'!$D:$D,$E76,'10月数据源'!$F:$F,"浙江精准学科技有限公司")</f>
        <v/>
      </c>
      <c r="P76" s="89">
        <f>-SUMIFS('11月数据源'!$I:$I,'11月数据源'!$D:$D,$E76,'11月数据源'!$F:$F,"浙江精准学科技有限公司")+SUMIFS('11月数据源'!$J:$J,'11月数据源'!$D:$D,$E76,'11月数据源'!$F:$F,"浙江精准学科技有限公司")</f>
        <v/>
      </c>
      <c r="Q76" s="89">
        <f>-SUMIFS('12月数据源'!$I:$I,'12月数据源'!$D:$D,$E76,'12月数据源'!$F:$F,"浙江精准学科技有限公司")+SUMIFS('12月数据源'!$J:$J,'12月数据源'!$D:$D,$E76,'12月数据源'!$F:$F,"浙江精准学科技有限公司")</f>
        <v/>
      </c>
    </row>
    <row r="77" s="83">
      <c r="A77" s="5" t="inlineStr">
        <is>
          <t>研发支出</t>
        </is>
      </c>
      <c r="B77" s="6" t="inlineStr">
        <is>
          <t>产品开发-MAX</t>
        </is>
      </c>
      <c r="D77" s="5" t="inlineStr">
        <is>
          <t>题库费</t>
        </is>
      </c>
      <c r="E77" s="6" t="inlineStr">
        <is>
          <t>Q1208</t>
        </is>
      </c>
      <c r="F77" s="89">
        <f>-SUMIFS('1月数据源'!I:I,'1月数据源'!D:D,E77,'1月数据源'!F:F,"浙江精准学科技有限公司")+SUMIFS('1月数据源'!J:J,'1月数据源'!D:D,E77,'1月数据源'!F:F,"浙江精准学科技有限公司")</f>
        <v/>
      </c>
      <c r="G77" s="89">
        <f>-SUMIFS('2月数据源'!I:I,'2月数据源'!D:D,E77,'2月数据源'!F:F,"浙江精准学科技有限公司")+SUMIFS('2月数据源'!J:J,'2月数据源'!D:D,E77,'2月数据源'!F:F,"浙江精准学科技有限公司")</f>
        <v/>
      </c>
      <c r="H77" s="89">
        <f>-SUMIFS('3月数据源'!I:I,'3月数据源'!D:D,E77,'3月数据源'!F:F,"浙江精准学科技有限公司")+SUMIFS('3月数据源'!J:J,'3月数据源'!D:D,E77,'3月数据源'!F:F,"浙江精准学科技有限公司")</f>
        <v/>
      </c>
      <c r="I77" s="89">
        <f>-SUMIFS('4月数据源'!I:I,'4月数据源'!D:D,E77,'4月数据源'!F:F,"浙江精准学科技有限公司")+SUMIFS('4月数据源'!J:J,'4月数据源'!D:D,E77,'4月数据源'!F:F,"浙江精准学科技有限公司")</f>
        <v/>
      </c>
      <c r="J77" s="89">
        <f>-SUMIFS('5月数据源'!I:I,'5月数据源'!D:D,E77,'5月数据源'!F:F,"浙江精准学科技有限公司")+SUMIFS('5月数据源'!J:J,'5月数据源'!D:D,E77,'5月数据源'!F:F,"浙江精准学科技有限公司")</f>
        <v/>
      </c>
      <c r="K77" s="89">
        <f>-SUMIFS('6月数据源'!$I:$I,'6月数据源'!$D:$D,$E77,'6月数据源'!$F:$F,"浙江精准学科技有限公司")+SUMIFS('6月数据源'!$J:$J,'6月数据源'!$D:$D,$E77,'6月数据源'!$F:$F,"浙江精准学科技有限公司")</f>
        <v/>
      </c>
      <c r="L77" s="89">
        <f>-SUMIFS('7月数据源'!$I:$I,'7月数据源'!$D:$D,$E77,'7月数据源'!$F:$F,"浙江精准学科技有限公司")+SUMIFS('7月数据源'!$J:$J,'7月数据源'!$D:$D,$E77,'7月数据源'!$F:$F,"浙江精准学科技有限公司")</f>
        <v/>
      </c>
      <c r="M77" s="89">
        <f>-SUMIFS('8月数据源'!$I:$I,'8月数据源'!$D:$D,$E77,'8月数据源'!$F:$F,"浙江精准学科技有限公司")+SUMIFS('8月数据源'!$J:$J,'8月数据源'!$D:$D,$E77,'8月数据源'!$F:$F,"浙江精准学科技有限公司")</f>
        <v/>
      </c>
      <c r="N77" s="89">
        <f>-SUMIFS('9月数据源'!$I:$I,'9月数据源'!$D:$D,$E77,'9月数据源'!$F:$F,"浙江精准学科技有限公司")+SUMIFS('9月数据源'!$J:$J,'9月数据源'!$D:$D,$E77,'9月数据源'!$F:$F,"浙江精准学科技有限公司")</f>
        <v/>
      </c>
      <c r="O77" s="89">
        <f>-SUMIFS('10月数据源'!$I:$I,'10月数据源'!$D:$D,$E77,'10月数据源'!$F:$F,"浙江精准学科技有限公司")+SUMIFS('10月数据源'!$J:$J,'10月数据源'!$D:$D,$E77,'10月数据源'!$F:$F,"浙江精准学科技有限公司")</f>
        <v/>
      </c>
      <c r="P77" s="89">
        <f>-SUMIFS('11月数据源'!$I:$I,'11月数据源'!$D:$D,$E77,'11月数据源'!$F:$F,"浙江精准学科技有限公司")+SUMIFS('11月数据源'!$J:$J,'11月数据源'!$D:$D,$E77,'11月数据源'!$F:$F,"浙江精准学科技有限公司")</f>
        <v/>
      </c>
      <c r="Q77" s="89">
        <f>-SUMIFS('12月数据源'!$I:$I,'12月数据源'!$D:$D,$E77,'12月数据源'!$F:$F,"浙江精准学科技有限公司")+SUMIFS('12月数据源'!$J:$J,'12月数据源'!$D:$D,$E77,'12月数据源'!$F:$F,"浙江精准学科技有限公司")</f>
        <v/>
      </c>
    </row>
    <row r="78" s="83">
      <c r="A78" s="5" t="inlineStr">
        <is>
          <t>研发支出</t>
        </is>
      </c>
      <c r="B78" s="6" t="inlineStr">
        <is>
          <t>产品开发-PRO</t>
        </is>
      </c>
      <c r="C78" s="6" t="inlineStr">
        <is>
          <t>产品开发-PRO</t>
        </is>
      </c>
      <c r="D78" s="5" t="inlineStr">
        <is>
          <t>检测费</t>
        </is>
      </c>
      <c r="E78" s="6" t="inlineStr">
        <is>
          <t>Q1301</t>
        </is>
      </c>
      <c r="F78" s="89">
        <f>-SUMIFS('1月数据源'!I:I,'1月数据源'!D:D,E78,'1月数据源'!F:F,"浙江精准学科技有限公司")+SUMIFS('1月数据源'!J:J,'1月数据源'!D:D,E78,'1月数据源'!F:F,"浙江精准学科技有限公司")</f>
        <v/>
      </c>
      <c r="G78" s="89">
        <f>-SUMIFS('2月数据源'!I:I,'2月数据源'!D:D,E78,'2月数据源'!F:F,"浙江精准学科技有限公司")+SUMIFS('2月数据源'!J:J,'2月数据源'!D:D,E78,'2月数据源'!F:F,"浙江精准学科技有限公司")</f>
        <v/>
      </c>
      <c r="H78" s="89">
        <f>-SUMIFS('3月数据源'!I:I,'3月数据源'!D:D,E78,'3月数据源'!F:F,"浙江精准学科技有限公司")+SUMIFS('3月数据源'!J:J,'3月数据源'!D:D,E78,'3月数据源'!F:F,"浙江精准学科技有限公司")</f>
        <v/>
      </c>
      <c r="I78" s="89">
        <f>-SUMIFS('4月数据源'!I:I,'4月数据源'!D:D,E78,'4月数据源'!F:F,"浙江精准学科技有限公司")+SUMIFS('4月数据源'!J:J,'4月数据源'!D:D,E78,'4月数据源'!F:F,"浙江精准学科技有限公司")</f>
        <v/>
      </c>
      <c r="J78" s="89">
        <f>-SUMIFS('5月数据源'!I:I,'5月数据源'!D:D,E78,'5月数据源'!F:F,"浙江精准学科技有限公司")+SUMIFS('5月数据源'!J:J,'5月数据源'!D:D,E78,'5月数据源'!F:F,"浙江精准学科技有限公司")</f>
        <v/>
      </c>
      <c r="K78" s="89">
        <f>-SUMIFS('6月数据源'!$I:$I,'6月数据源'!$D:$D,$E78,'6月数据源'!$F:$F,"浙江精准学科技有限公司")+SUMIFS('6月数据源'!$J:$J,'6月数据源'!$D:$D,$E78,'6月数据源'!$F:$F,"浙江精准学科技有限公司")</f>
        <v/>
      </c>
      <c r="L78" s="89">
        <f>-SUMIFS('7月数据源'!$I:$I,'7月数据源'!$D:$D,$E78,'7月数据源'!$F:$F,"浙江精准学科技有限公司")+SUMIFS('7月数据源'!$J:$J,'7月数据源'!$D:$D,$E78,'7月数据源'!$F:$F,"浙江精准学科技有限公司")</f>
        <v/>
      </c>
      <c r="M78" s="89">
        <f>-SUMIFS('8月数据源'!$I:$I,'8月数据源'!$D:$D,$E78,'8月数据源'!$F:$F,"浙江精准学科技有限公司")+SUMIFS('8月数据源'!$J:$J,'8月数据源'!$D:$D,$E78,'8月数据源'!$F:$F,"浙江精准学科技有限公司")</f>
        <v/>
      </c>
      <c r="N78" s="89">
        <f>-SUMIFS('9月数据源'!$I:$I,'9月数据源'!$D:$D,$E78,'9月数据源'!$F:$F,"浙江精准学科技有限公司")+SUMIFS('9月数据源'!$J:$J,'9月数据源'!$D:$D,$E78,'9月数据源'!$F:$F,"浙江精准学科技有限公司")</f>
        <v/>
      </c>
      <c r="O78" s="89">
        <f>-SUMIFS('10月数据源'!$I:$I,'10月数据源'!$D:$D,$E78,'10月数据源'!$F:$F,"浙江精准学科技有限公司")+SUMIFS('10月数据源'!$J:$J,'10月数据源'!$D:$D,$E78,'10月数据源'!$F:$F,"浙江精准学科技有限公司")</f>
        <v/>
      </c>
      <c r="P78" s="89">
        <f>-SUMIFS('11月数据源'!$I:$I,'11月数据源'!$D:$D,$E78,'11月数据源'!$F:$F,"浙江精准学科技有限公司")+SUMIFS('11月数据源'!$J:$J,'11月数据源'!$D:$D,$E78,'11月数据源'!$F:$F,"浙江精准学科技有限公司")</f>
        <v/>
      </c>
      <c r="Q78" s="89">
        <f>-SUMIFS('12月数据源'!$I:$I,'12月数据源'!$D:$D,$E78,'12月数据源'!$F:$F,"浙江精准学科技有限公司")+SUMIFS('12月数据源'!$J:$J,'12月数据源'!$D:$D,$E78,'12月数据源'!$F:$F,"浙江精准学科技有限公司")</f>
        <v/>
      </c>
    </row>
    <row r="79" s="83">
      <c r="A79" s="5" t="inlineStr">
        <is>
          <t>研发支出</t>
        </is>
      </c>
      <c r="B79" s="6" t="inlineStr">
        <is>
          <t>产品开发-PRO</t>
        </is>
      </c>
      <c r="D79" s="5" t="inlineStr">
        <is>
          <t>认证费</t>
        </is>
      </c>
      <c r="E79" s="6" t="inlineStr">
        <is>
          <t>Q1302</t>
        </is>
      </c>
      <c r="F79" s="89">
        <f>-SUMIFS('1月数据源'!I:I,'1月数据源'!D:D,E79,'1月数据源'!F:F,"浙江精准学科技有限公司")+SUMIFS('1月数据源'!J:J,'1月数据源'!D:D,E79,'1月数据源'!F:F,"浙江精准学科技有限公司")</f>
        <v/>
      </c>
      <c r="G79" s="89">
        <f>-SUMIFS('2月数据源'!I:I,'2月数据源'!D:D,E79,'2月数据源'!F:F,"浙江精准学科技有限公司")+SUMIFS('2月数据源'!J:J,'2月数据源'!D:D,E79,'2月数据源'!F:F,"浙江精准学科技有限公司")</f>
        <v/>
      </c>
      <c r="H79" s="89">
        <f>-SUMIFS('3月数据源'!I:I,'3月数据源'!D:D,E79,'3月数据源'!F:F,"浙江精准学科技有限公司")+SUMIFS('3月数据源'!J:J,'3月数据源'!D:D,E79,'3月数据源'!F:F,"浙江精准学科技有限公司")</f>
        <v/>
      </c>
      <c r="I79" s="89">
        <f>-SUMIFS('4月数据源'!I:I,'4月数据源'!D:D,E79,'4月数据源'!F:F,"浙江精准学科技有限公司")+SUMIFS('4月数据源'!J:J,'4月数据源'!D:D,E79,'4月数据源'!F:F,"浙江精准学科技有限公司")</f>
        <v/>
      </c>
      <c r="J79" s="89">
        <f>-SUMIFS('5月数据源'!I:I,'5月数据源'!D:D,E79,'5月数据源'!F:F,"浙江精准学科技有限公司")+SUMIFS('5月数据源'!J:J,'5月数据源'!D:D,E79,'5月数据源'!F:F,"浙江精准学科技有限公司")</f>
        <v/>
      </c>
      <c r="K79" s="89">
        <f>-SUMIFS('6月数据源'!$I:$I,'6月数据源'!$D:$D,$E79,'6月数据源'!$F:$F,"浙江精准学科技有限公司")+SUMIFS('6月数据源'!$J:$J,'6月数据源'!$D:$D,$E79,'6月数据源'!$F:$F,"浙江精准学科技有限公司")</f>
        <v/>
      </c>
      <c r="L79" s="89">
        <f>-SUMIFS('7月数据源'!$I:$I,'7月数据源'!$D:$D,$E79,'7月数据源'!$F:$F,"浙江精准学科技有限公司")+SUMIFS('7月数据源'!$J:$J,'7月数据源'!$D:$D,$E79,'7月数据源'!$F:$F,"浙江精准学科技有限公司")</f>
        <v/>
      </c>
      <c r="M79" s="89">
        <f>-SUMIFS('8月数据源'!$I:$I,'8月数据源'!$D:$D,$E79,'8月数据源'!$F:$F,"浙江精准学科技有限公司")+SUMIFS('8月数据源'!$J:$J,'8月数据源'!$D:$D,$E79,'8月数据源'!$F:$F,"浙江精准学科技有限公司")</f>
        <v/>
      </c>
      <c r="N79" s="89">
        <f>-SUMIFS('9月数据源'!$I:$I,'9月数据源'!$D:$D,$E79,'9月数据源'!$F:$F,"浙江精准学科技有限公司")+SUMIFS('9月数据源'!$J:$J,'9月数据源'!$D:$D,$E79,'9月数据源'!$F:$F,"浙江精准学科技有限公司")</f>
        <v/>
      </c>
      <c r="O79" s="89">
        <f>-SUMIFS('10月数据源'!$I:$I,'10月数据源'!$D:$D,$E79,'10月数据源'!$F:$F,"浙江精准学科技有限公司")+SUMIFS('10月数据源'!$J:$J,'10月数据源'!$D:$D,$E79,'10月数据源'!$F:$F,"浙江精准学科技有限公司")</f>
        <v/>
      </c>
      <c r="P79" s="89">
        <f>-SUMIFS('11月数据源'!$I:$I,'11月数据源'!$D:$D,$E79,'11月数据源'!$F:$F,"浙江精准学科技有限公司")+SUMIFS('11月数据源'!$J:$J,'11月数据源'!$D:$D,$E79,'11月数据源'!$F:$F,"浙江精准学科技有限公司")</f>
        <v/>
      </c>
      <c r="Q79" s="89">
        <f>-SUMIFS('12月数据源'!$I:$I,'12月数据源'!$D:$D,$E79,'12月数据源'!$F:$F,"浙江精准学科技有限公司")+SUMIFS('12月数据源'!$J:$J,'12月数据源'!$D:$D,$E79,'12月数据源'!$F:$F,"浙江精准学科技有限公司")</f>
        <v/>
      </c>
    </row>
    <row r="80" s="83">
      <c r="A80" s="5" t="inlineStr">
        <is>
          <t>研发支出</t>
        </is>
      </c>
      <c r="B80" s="6" t="inlineStr">
        <is>
          <t>产品开发-PRO</t>
        </is>
      </c>
      <c r="D80" s="5" t="inlineStr">
        <is>
          <t>设计费</t>
        </is>
      </c>
      <c r="E80" s="6" t="inlineStr">
        <is>
          <t>Q1303</t>
        </is>
      </c>
      <c r="F80" s="89">
        <f>-SUMIFS('1月数据源'!I:I,'1月数据源'!D:D,E80,'1月数据源'!F:F,"浙江精准学科技有限公司")+SUMIFS('1月数据源'!J:J,'1月数据源'!D:D,E80,'1月数据源'!F:F,"浙江精准学科技有限公司")</f>
        <v/>
      </c>
      <c r="G80" s="89">
        <f>-SUMIFS('2月数据源'!I:I,'2月数据源'!D:D,E80,'2月数据源'!F:F,"浙江精准学科技有限公司")+SUMIFS('2月数据源'!J:J,'2月数据源'!D:D,E80,'2月数据源'!F:F,"浙江精准学科技有限公司")</f>
        <v/>
      </c>
      <c r="H80" s="89">
        <f>-SUMIFS('3月数据源'!I:I,'3月数据源'!D:D,E80,'3月数据源'!F:F,"浙江精准学科技有限公司")+SUMIFS('3月数据源'!J:J,'3月数据源'!D:D,E80,'3月数据源'!F:F,"浙江精准学科技有限公司")</f>
        <v/>
      </c>
      <c r="I80" s="89">
        <f>-SUMIFS('4月数据源'!I:I,'4月数据源'!D:D,E80,'4月数据源'!F:F,"浙江精准学科技有限公司")+SUMIFS('4月数据源'!J:J,'4月数据源'!D:D,E80,'4月数据源'!F:F,"浙江精准学科技有限公司")</f>
        <v/>
      </c>
      <c r="J80" s="89">
        <f>-SUMIFS('5月数据源'!I:I,'5月数据源'!D:D,E80,'5月数据源'!F:F,"浙江精准学科技有限公司")+SUMIFS('5月数据源'!J:J,'5月数据源'!D:D,E80,'5月数据源'!F:F,"浙江精准学科技有限公司")</f>
        <v/>
      </c>
      <c r="K80" s="89">
        <f>-SUMIFS('6月数据源'!$I:$I,'6月数据源'!$D:$D,$E80,'6月数据源'!$F:$F,"浙江精准学科技有限公司")+SUMIFS('6月数据源'!$J:$J,'6月数据源'!$D:$D,$E80,'6月数据源'!$F:$F,"浙江精准学科技有限公司")</f>
        <v/>
      </c>
      <c r="L80" s="89">
        <f>-SUMIFS('7月数据源'!$I:$I,'7月数据源'!$D:$D,$E80,'7月数据源'!$F:$F,"浙江精准学科技有限公司")+SUMIFS('7月数据源'!$J:$J,'7月数据源'!$D:$D,$E80,'7月数据源'!$F:$F,"浙江精准学科技有限公司")</f>
        <v/>
      </c>
      <c r="M80" s="89">
        <f>-SUMIFS('8月数据源'!$I:$I,'8月数据源'!$D:$D,$E80,'8月数据源'!$F:$F,"浙江精准学科技有限公司")+SUMIFS('8月数据源'!$J:$J,'8月数据源'!$D:$D,$E80,'8月数据源'!$F:$F,"浙江精准学科技有限公司")</f>
        <v/>
      </c>
      <c r="N80" s="89">
        <f>-SUMIFS('9月数据源'!$I:$I,'9月数据源'!$D:$D,$E80,'9月数据源'!$F:$F,"浙江精准学科技有限公司")+SUMIFS('9月数据源'!$J:$J,'9月数据源'!$D:$D,$E80,'9月数据源'!$F:$F,"浙江精准学科技有限公司")</f>
        <v/>
      </c>
      <c r="O80" s="89">
        <f>-SUMIFS('10月数据源'!$I:$I,'10月数据源'!$D:$D,$E80,'10月数据源'!$F:$F,"浙江精准学科技有限公司")+SUMIFS('10月数据源'!$J:$J,'10月数据源'!$D:$D,$E80,'10月数据源'!$F:$F,"浙江精准学科技有限公司")</f>
        <v/>
      </c>
      <c r="P80" s="89">
        <f>-SUMIFS('11月数据源'!$I:$I,'11月数据源'!$D:$D,$E80,'11月数据源'!$F:$F,"浙江精准学科技有限公司")+SUMIFS('11月数据源'!$J:$J,'11月数据源'!$D:$D,$E80,'11月数据源'!$F:$F,"浙江精准学科技有限公司")</f>
        <v/>
      </c>
      <c r="Q80" s="89">
        <f>-SUMIFS('12月数据源'!$I:$I,'12月数据源'!$D:$D,$E80,'12月数据源'!$F:$F,"浙江精准学科技有限公司")+SUMIFS('12月数据源'!$J:$J,'12月数据源'!$D:$D,$E80,'12月数据源'!$F:$F,"浙江精准学科技有限公司")</f>
        <v/>
      </c>
    </row>
    <row r="81" s="83">
      <c r="A81" s="5" t="inlineStr">
        <is>
          <t>研发支出</t>
        </is>
      </c>
      <c r="B81" s="6" t="inlineStr">
        <is>
          <t>产品开发-PRO</t>
        </is>
      </c>
      <c r="D81" s="5" t="inlineStr">
        <is>
          <t>OTA费用</t>
        </is>
      </c>
      <c r="E81" s="6" t="inlineStr">
        <is>
          <t>Q1304</t>
        </is>
      </c>
      <c r="F81" s="89">
        <f>-SUMIFS('1月数据源'!I:I,'1月数据源'!D:D,E81,'1月数据源'!F:F,"浙江精准学科技有限公司")+SUMIFS('1月数据源'!J:J,'1月数据源'!D:D,E81,'1月数据源'!F:F,"浙江精准学科技有限公司")</f>
        <v/>
      </c>
      <c r="G81" s="89">
        <f>-SUMIFS('2月数据源'!I:I,'2月数据源'!D:D,E81,'2月数据源'!F:F,"浙江精准学科技有限公司")+SUMIFS('2月数据源'!J:J,'2月数据源'!D:D,E81,'2月数据源'!F:F,"浙江精准学科技有限公司")</f>
        <v/>
      </c>
      <c r="H81" s="89">
        <f>-SUMIFS('3月数据源'!I:I,'3月数据源'!D:D,E81,'3月数据源'!F:F,"浙江精准学科技有限公司")+SUMIFS('3月数据源'!J:J,'3月数据源'!D:D,E81,'3月数据源'!F:F,"浙江精准学科技有限公司")</f>
        <v/>
      </c>
      <c r="I81" s="89">
        <f>-SUMIFS('4月数据源'!I:I,'4月数据源'!D:D,E81,'4月数据源'!F:F,"浙江精准学科技有限公司")+SUMIFS('4月数据源'!J:J,'4月数据源'!D:D,E81,'4月数据源'!F:F,"浙江精准学科技有限公司")</f>
        <v/>
      </c>
      <c r="J81" s="89">
        <f>-SUMIFS('5月数据源'!I:I,'5月数据源'!D:D,E81,'5月数据源'!F:F,"浙江精准学科技有限公司")+SUMIFS('5月数据源'!J:J,'5月数据源'!D:D,E81,'5月数据源'!F:F,"浙江精准学科技有限公司")</f>
        <v/>
      </c>
      <c r="K81" s="89">
        <f>-SUMIFS('6月数据源'!$I:$I,'6月数据源'!$D:$D,$E81,'6月数据源'!$F:$F,"浙江精准学科技有限公司")+SUMIFS('6月数据源'!$J:$J,'6月数据源'!$D:$D,$E81,'6月数据源'!$F:$F,"浙江精准学科技有限公司")</f>
        <v/>
      </c>
      <c r="L81" s="89">
        <f>-SUMIFS('7月数据源'!$I:$I,'7月数据源'!$D:$D,$E81,'7月数据源'!$F:$F,"浙江精准学科技有限公司")+SUMIFS('7月数据源'!$J:$J,'7月数据源'!$D:$D,$E81,'7月数据源'!$F:$F,"浙江精准学科技有限公司")</f>
        <v/>
      </c>
      <c r="M81" s="89">
        <f>-SUMIFS('8月数据源'!$I:$I,'8月数据源'!$D:$D,$E81,'8月数据源'!$F:$F,"浙江精准学科技有限公司")+SUMIFS('8月数据源'!$J:$J,'8月数据源'!$D:$D,$E81,'8月数据源'!$F:$F,"浙江精准学科技有限公司")</f>
        <v/>
      </c>
      <c r="N81" s="89">
        <f>-SUMIFS('9月数据源'!$I:$I,'9月数据源'!$D:$D,$E81,'9月数据源'!$F:$F,"浙江精准学科技有限公司")+SUMIFS('9月数据源'!$J:$J,'9月数据源'!$D:$D,$E81,'9月数据源'!$F:$F,"浙江精准学科技有限公司")</f>
        <v/>
      </c>
      <c r="O81" s="89">
        <f>-SUMIFS('10月数据源'!$I:$I,'10月数据源'!$D:$D,$E81,'10月数据源'!$F:$F,"浙江精准学科技有限公司")+SUMIFS('10月数据源'!$J:$J,'10月数据源'!$D:$D,$E81,'10月数据源'!$F:$F,"浙江精准学科技有限公司")</f>
        <v/>
      </c>
      <c r="P81" s="89">
        <f>-SUMIFS('11月数据源'!$I:$I,'11月数据源'!$D:$D,$E81,'11月数据源'!$F:$F,"浙江精准学科技有限公司")+SUMIFS('11月数据源'!$J:$J,'11月数据源'!$D:$D,$E81,'11月数据源'!$F:$F,"浙江精准学科技有限公司")</f>
        <v/>
      </c>
      <c r="Q81" s="89">
        <f>-SUMIFS('12月数据源'!$I:$I,'12月数据源'!$D:$D,$E81,'12月数据源'!$F:$F,"浙江精准学科技有限公司")+SUMIFS('12月数据源'!$J:$J,'12月数据源'!$D:$D,$E81,'12月数据源'!$F:$F,"浙江精准学科技有限公司")</f>
        <v/>
      </c>
    </row>
    <row r="82" s="83">
      <c r="A82" s="5" t="inlineStr">
        <is>
          <t>研发支出</t>
        </is>
      </c>
      <c r="B82" s="6" t="inlineStr">
        <is>
          <t>产品开发-PRO</t>
        </is>
      </c>
      <c r="D82" s="5" t="inlineStr">
        <is>
          <t>模具费用</t>
        </is>
      </c>
      <c r="E82" s="6" t="inlineStr">
        <is>
          <t>Q1305</t>
        </is>
      </c>
      <c r="F82" s="89">
        <f>-SUMIFS('1月数据源'!I:I,'1月数据源'!D:D,E82,'1月数据源'!F:F,"浙江精准学科技有限公司")+SUMIFS('1月数据源'!J:J,'1月数据源'!D:D,E82,'1月数据源'!F:F,"浙江精准学科技有限公司")</f>
        <v/>
      </c>
      <c r="G82" s="89">
        <f>-SUMIFS('2月数据源'!I:I,'2月数据源'!D:D,E82,'2月数据源'!F:F,"浙江精准学科技有限公司")+SUMIFS('2月数据源'!J:J,'2月数据源'!D:D,E82,'2月数据源'!F:F,"浙江精准学科技有限公司")</f>
        <v/>
      </c>
      <c r="H82" s="89">
        <f>-SUMIFS('3月数据源'!I:I,'3月数据源'!D:D,E82,'3月数据源'!F:F,"浙江精准学科技有限公司")+SUMIFS('3月数据源'!J:J,'3月数据源'!D:D,E82,'3月数据源'!F:F,"浙江精准学科技有限公司")</f>
        <v/>
      </c>
      <c r="I82" s="89">
        <f>-SUMIFS('4月数据源'!I:I,'4月数据源'!D:D,E82,'4月数据源'!F:F,"浙江精准学科技有限公司")+SUMIFS('4月数据源'!J:J,'4月数据源'!D:D,E82,'4月数据源'!F:F,"浙江精准学科技有限公司")</f>
        <v/>
      </c>
      <c r="J82" s="89">
        <f>-SUMIFS('5月数据源'!I:I,'5月数据源'!D:D,E82,'5月数据源'!F:F,"浙江精准学科技有限公司")+SUMIFS('5月数据源'!J:J,'5月数据源'!D:D,E82,'5月数据源'!F:F,"浙江精准学科技有限公司")</f>
        <v/>
      </c>
      <c r="K82" s="89">
        <f>-SUMIFS('6月数据源'!$I:$I,'6月数据源'!$D:$D,$E82,'6月数据源'!$F:$F,"浙江精准学科技有限公司")+SUMIFS('6月数据源'!$J:$J,'6月数据源'!$D:$D,$E82,'6月数据源'!$F:$F,"浙江精准学科技有限公司")</f>
        <v/>
      </c>
      <c r="L82" s="89">
        <f>-SUMIFS('7月数据源'!$I:$I,'7月数据源'!$D:$D,$E82,'7月数据源'!$F:$F,"浙江精准学科技有限公司")+SUMIFS('7月数据源'!$J:$J,'7月数据源'!$D:$D,$E82,'7月数据源'!$F:$F,"浙江精准学科技有限公司")</f>
        <v/>
      </c>
      <c r="M82" s="89">
        <f>-SUMIFS('8月数据源'!$I:$I,'8月数据源'!$D:$D,$E82,'8月数据源'!$F:$F,"浙江精准学科技有限公司")+SUMIFS('8月数据源'!$J:$J,'8月数据源'!$D:$D,$E82,'8月数据源'!$F:$F,"浙江精准学科技有限公司")</f>
        <v/>
      </c>
      <c r="N82" s="89">
        <f>-SUMIFS('9月数据源'!$I:$I,'9月数据源'!$D:$D,$E82,'9月数据源'!$F:$F,"浙江精准学科技有限公司")+SUMIFS('9月数据源'!$J:$J,'9月数据源'!$D:$D,$E82,'9月数据源'!$F:$F,"浙江精准学科技有限公司")</f>
        <v/>
      </c>
      <c r="O82" s="89">
        <f>-SUMIFS('10月数据源'!$I:$I,'10月数据源'!$D:$D,$E82,'10月数据源'!$F:$F,"浙江精准学科技有限公司")+SUMIFS('10月数据源'!$J:$J,'10月数据源'!$D:$D,$E82,'10月数据源'!$F:$F,"浙江精准学科技有限公司")</f>
        <v/>
      </c>
      <c r="P82" s="89">
        <f>-SUMIFS('11月数据源'!$I:$I,'11月数据源'!$D:$D,$E82,'11月数据源'!$F:$F,"浙江精准学科技有限公司")+SUMIFS('11月数据源'!$J:$J,'11月数据源'!$D:$D,$E82,'11月数据源'!$F:$F,"浙江精准学科技有限公司")</f>
        <v/>
      </c>
      <c r="Q82" s="89">
        <f>-SUMIFS('12月数据源'!$I:$I,'12月数据源'!$D:$D,$E82,'12月数据源'!$F:$F,"浙江精准学科技有限公司")+SUMIFS('12月数据源'!$J:$J,'12月数据源'!$D:$D,$E82,'12月数据源'!$F:$F,"浙江精准学科技有限公司")</f>
        <v/>
      </c>
    </row>
    <row r="83" s="83">
      <c r="A83" s="5" t="inlineStr">
        <is>
          <t>研发支出</t>
        </is>
      </c>
      <c r="B83" s="6" t="inlineStr">
        <is>
          <t>产品开发-PRO</t>
        </is>
      </c>
      <c r="D83" s="5" t="inlineStr">
        <is>
          <t>BOE研发费</t>
        </is>
      </c>
      <c r="E83" s="6" t="inlineStr">
        <is>
          <t>Q1306</t>
        </is>
      </c>
      <c r="F83" s="89">
        <f>-SUMIFS('1月数据源'!I:I,'1月数据源'!D:D,E83,'1月数据源'!F:F,"浙江精准学科技有限公司")+SUMIFS('1月数据源'!J:J,'1月数据源'!D:D,E83,'1月数据源'!F:F,"浙江精准学科技有限公司")</f>
        <v/>
      </c>
      <c r="G83" s="89">
        <f>-SUMIFS('2月数据源'!I:I,'2月数据源'!D:D,E83,'2月数据源'!F:F,"浙江精准学科技有限公司")+SUMIFS('2月数据源'!J:J,'2月数据源'!D:D,E83,'2月数据源'!F:F,"浙江精准学科技有限公司")</f>
        <v/>
      </c>
      <c r="H83" s="89">
        <f>-SUMIFS('3月数据源'!I:I,'3月数据源'!D:D,E83,'3月数据源'!F:F,"浙江精准学科技有限公司")+SUMIFS('3月数据源'!J:J,'3月数据源'!D:D,E83,'3月数据源'!F:F,"浙江精准学科技有限公司")</f>
        <v/>
      </c>
      <c r="I83" s="89">
        <f>-SUMIFS('4月数据源'!I:I,'4月数据源'!D:D,E83,'4月数据源'!F:F,"浙江精准学科技有限公司")+SUMIFS('4月数据源'!J:J,'4月数据源'!D:D,E83,'4月数据源'!F:F,"浙江精准学科技有限公司")</f>
        <v/>
      </c>
      <c r="J83" s="89">
        <f>-SUMIFS('5月数据源'!I:I,'5月数据源'!D:D,E83,'5月数据源'!F:F,"浙江精准学科技有限公司")+SUMIFS('5月数据源'!J:J,'5月数据源'!D:D,E83,'5月数据源'!F:F,"浙江精准学科技有限公司")</f>
        <v/>
      </c>
      <c r="K83" s="89">
        <f>-SUMIFS('6月数据源'!$I:$I,'6月数据源'!$D:$D,$E83,'6月数据源'!$F:$F,"浙江精准学科技有限公司")+SUMIFS('6月数据源'!$J:$J,'6月数据源'!$D:$D,$E83,'6月数据源'!$F:$F,"浙江精准学科技有限公司")</f>
        <v/>
      </c>
      <c r="L83" s="89">
        <f>-SUMIFS('7月数据源'!$I:$I,'7月数据源'!$D:$D,$E83,'7月数据源'!$F:$F,"浙江精准学科技有限公司")+SUMIFS('7月数据源'!$J:$J,'7月数据源'!$D:$D,$E83,'7月数据源'!$F:$F,"浙江精准学科技有限公司")</f>
        <v/>
      </c>
      <c r="M83" s="89">
        <f>-SUMIFS('8月数据源'!$I:$I,'8月数据源'!$D:$D,$E83,'8月数据源'!$F:$F,"浙江精准学科技有限公司")+SUMIFS('8月数据源'!$J:$J,'8月数据源'!$D:$D,$E83,'8月数据源'!$F:$F,"浙江精准学科技有限公司")</f>
        <v/>
      </c>
      <c r="N83" s="89">
        <f>-SUMIFS('9月数据源'!$I:$I,'9月数据源'!$D:$D,$E83,'9月数据源'!$F:$F,"浙江精准学科技有限公司")+SUMIFS('9月数据源'!$J:$J,'9月数据源'!$D:$D,$E83,'9月数据源'!$F:$F,"浙江精准学科技有限公司")</f>
        <v/>
      </c>
      <c r="O83" s="89">
        <f>-SUMIFS('10月数据源'!$I:$I,'10月数据源'!$D:$D,$E83,'10月数据源'!$F:$F,"浙江精准学科技有限公司")+SUMIFS('10月数据源'!$J:$J,'10月数据源'!$D:$D,$E83,'10月数据源'!$F:$F,"浙江精准学科技有限公司")</f>
        <v/>
      </c>
      <c r="P83" s="89">
        <f>-SUMIFS('11月数据源'!$I:$I,'11月数据源'!$D:$D,$E83,'11月数据源'!$F:$F,"浙江精准学科技有限公司")+SUMIFS('11月数据源'!$J:$J,'11月数据源'!$D:$D,$E83,'11月数据源'!$F:$F,"浙江精准学科技有限公司")</f>
        <v/>
      </c>
      <c r="Q83" s="89">
        <f>-SUMIFS('12月数据源'!$I:$I,'12月数据源'!$D:$D,$E83,'12月数据源'!$F:$F,"浙江精准学科技有限公司")+SUMIFS('12月数据源'!$J:$J,'12月数据源'!$D:$D,$E83,'12月数据源'!$F:$F,"浙江精准学科技有限公司")</f>
        <v/>
      </c>
    </row>
    <row r="84" s="83">
      <c r="A84" s="5" t="inlineStr">
        <is>
          <t>研发支出</t>
        </is>
      </c>
      <c r="B84" s="6" t="inlineStr">
        <is>
          <t>产品开发-PRO</t>
        </is>
      </c>
      <c r="D84" s="5" t="inlineStr">
        <is>
          <t>题库费</t>
        </is>
      </c>
      <c r="E84" s="6" t="inlineStr">
        <is>
          <t>Q1307</t>
        </is>
      </c>
      <c r="F84" s="89">
        <f>-SUMIFS('1月数据源'!I:I,'1月数据源'!D:D,E84,'1月数据源'!F:F,"浙江精准学科技有限公司")+SUMIFS('1月数据源'!J:J,'1月数据源'!D:D,E84,'1月数据源'!F:F,"浙江精准学科技有限公司")</f>
        <v/>
      </c>
      <c r="G84" s="89">
        <f>-SUMIFS('2月数据源'!I:I,'2月数据源'!D:D,E84,'2月数据源'!F:F,"浙江精准学科技有限公司")+SUMIFS('2月数据源'!J:J,'2月数据源'!D:D,E84,'2月数据源'!F:F,"浙江精准学科技有限公司")</f>
        <v/>
      </c>
      <c r="H84" s="89">
        <f>-SUMIFS('3月数据源'!I:I,'3月数据源'!D:D,E84,'3月数据源'!F:F,"浙江精准学科技有限公司")+SUMIFS('3月数据源'!J:J,'3月数据源'!D:D,E84,'3月数据源'!F:F,"浙江精准学科技有限公司")</f>
        <v/>
      </c>
      <c r="I84" s="89">
        <f>-SUMIFS('4月数据源'!I:I,'4月数据源'!D:D,E84,'4月数据源'!F:F,"浙江精准学科技有限公司")+SUMIFS('4月数据源'!J:J,'4月数据源'!D:D,E84,'4月数据源'!F:F,"浙江精准学科技有限公司")</f>
        <v/>
      </c>
      <c r="J84" s="89">
        <f>-SUMIFS('5月数据源'!I:I,'5月数据源'!D:D,E84,'5月数据源'!F:F,"浙江精准学科技有限公司")+SUMIFS('5月数据源'!J:J,'5月数据源'!D:D,E84,'5月数据源'!F:F,"浙江精准学科技有限公司")</f>
        <v/>
      </c>
      <c r="K84" s="89">
        <f>-SUMIFS('6月数据源'!$I:$I,'6月数据源'!$D:$D,$E84,'6月数据源'!$F:$F,"浙江精准学科技有限公司")+SUMIFS('6月数据源'!$J:$J,'6月数据源'!$D:$D,$E84,'6月数据源'!$F:$F,"浙江精准学科技有限公司")</f>
        <v/>
      </c>
      <c r="L84" s="89">
        <f>-SUMIFS('7月数据源'!$I:$I,'7月数据源'!$D:$D,$E84,'7月数据源'!$F:$F,"浙江精准学科技有限公司")+SUMIFS('7月数据源'!$J:$J,'7月数据源'!$D:$D,$E84,'7月数据源'!$F:$F,"浙江精准学科技有限公司")</f>
        <v/>
      </c>
      <c r="M84" s="89">
        <f>-SUMIFS('8月数据源'!$I:$I,'8月数据源'!$D:$D,$E84,'8月数据源'!$F:$F,"浙江精准学科技有限公司")+SUMIFS('8月数据源'!$J:$J,'8月数据源'!$D:$D,$E84,'8月数据源'!$F:$F,"浙江精准学科技有限公司")</f>
        <v/>
      </c>
      <c r="N84" s="89">
        <f>-SUMIFS('9月数据源'!$I:$I,'9月数据源'!$D:$D,$E84,'9月数据源'!$F:$F,"浙江精准学科技有限公司")+SUMIFS('9月数据源'!$J:$J,'9月数据源'!$D:$D,$E84,'9月数据源'!$F:$F,"浙江精准学科技有限公司")</f>
        <v/>
      </c>
      <c r="O84" s="89">
        <f>-SUMIFS('10月数据源'!$I:$I,'10月数据源'!$D:$D,$E84,'10月数据源'!$F:$F,"浙江精准学科技有限公司")+SUMIFS('10月数据源'!$J:$J,'10月数据源'!$D:$D,$E84,'10月数据源'!$F:$F,"浙江精准学科技有限公司")</f>
        <v/>
      </c>
      <c r="P84" s="89">
        <f>-SUMIFS('11月数据源'!$I:$I,'11月数据源'!$D:$D,$E84,'11月数据源'!$F:$F,"浙江精准学科技有限公司")+SUMIFS('11月数据源'!$J:$J,'11月数据源'!$D:$D,$E84,'11月数据源'!$F:$F,"浙江精准学科技有限公司")</f>
        <v/>
      </c>
      <c r="Q84" s="89">
        <f>-SUMIFS('12月数据源'!$I:$I,'12月数据源'!$D:$D,$E84,'12月数据源'!$F:$F,"浙江精准学科技有限公司")+SUMIFS('12月数据源'!$J:$J,'12月数据源'!$D:$D,$E84,'12月数据源'!$F:$F,"浙江精准学科技有限公司")</f>
        <v/>
      </c>
    </row>
    <row r="85" s="83">
      <c r="A85" s="5" t="inlineStr">
        <is>
          <t>研发支出</t>
        </is>
      </c>
      <c r="B85" s="6" t="inlineStr">
        <is>
          <t>其他产品开发</t>
        </is>
      </c>
      <c r="C85" s="6" t="inlineStr">
        <is>
          <t>其他产品开发</t>
        </is>
      </c>
      <c r="D85" s="5" t="inlineStr">
        <is>
          <t>产品开发-员工报销</t>
        </is>
      </c>
      <c r="E85" s="6" t="inlineStr">
        <is>
          <t>Q1402</t>
        </is>
      </c>
      <c r="F85" s="89">
        <f>-SUMIFS('1月数据源'!I:I,'1月数据源'!D:D,E85,'1月数据源'!F:F,"浙江精准学科技有限公司")+SUMIFS('1月数据源'!J:J,'1月数据源'!D:D,E85,'1月数据源'!F:F,"浙江精准学科技有限公司")</f>
        <v/>
      </c>
      <c r="G85" s="89">
        <f>-SUMIFS('2月数据源'!I:I,'2月数据源'!D:D,E85,'2月数据源'!F:F,"浙江精准学科技有限公司")+SUMIFS('2月数据源'!J:J,'2月数据源'!D:D,E85,'2月数据源'!F:F,"浙江精准学科技有限公司")</f>
        <v/>
      </c>
      <c r="H85" s="89">
        <f>-SUMIFS('3月数据源'!I:I,'3月数据源'!D:D,E85,'3月数据源'!F:F,"浙江精准学科技有限公司")+SUMIFS('3月数据源'!J:J,'3月数据源'!D:D,E85,'3月数据源'!F:F,"浙江精准学科技有限公司")</f>
        <v/>
      </c>
      <c r="I85" s="89">
        <f>-SUMIFS('4月数据源'!I:I,'4月数据源'!D:D,E85,'4月数据源'!F:F,"浙江精准学科技有限公司")+SUMIFS('4月数据源'!J:J,'4月数据源'!D:D,E85,'4月数据源'!F:F,"浙江精准学科技有限公司")</f>
        <v/>
      </c>
      <c r="J85" s="89">
        <f>-SUMIFS('5月数据源'!I:I,'5月数据源'!D:D,E85,'5月数据源'!F:F,"浙江精准学科技有限公司")+SUMIFS('5月数据源'!J:J,'5月数据源'!D:D,E85,'5月数据源'!F:F,"浙江精准学科技有限公司")</f>
        <v/>
      </c>
      <c r="K85" s="89">
        <f>-SUMIFS('6月数据源'!$I:$I,'6月数据源'!$D:$D,$E85,'6月数据源'!$F:$F,"浙江精准学科技有限公司")+SUMIFS('6月数据源'!$J:$J,'6月数据源'!$D:$D,$E85,'6月数据源'!$F:$F,"浙江精准学科技有限公司")</f>
        <v/>
      </c>
      <c r="L85" s="89">
        <f>-SUMIFS('7月数据源'!$I:$I,'7月数据源'!$D:$D,$E85,'7月数据源'!$F:$F,"浙江精准学科技有限公司")+SUMIFS('7月数据源'!$J:$J,'7月数据源'!$D:$D,$E85,'7月数据源'!$F:$F,"浙江精准学科技有限公司")</f>
        <v/>
      </c>
      <c r="M85" s="89">
        <f>-SUMIFS('8月数据源'!$I:$I,'8月数据源'!$D:$D,$E85,'8月数据源'!$F:$F,"浙江精准学科技有限公司")+SUMIFS('8月数据源'!$J:$J,'8月数据源'!$D:$D,$E85,'8月数据源'!$F:$F,"浙江精准学科技有限公司")</f>
        <v/>
      </c>
      <c r="N85" s="89">
        <f>-SUMIFS('9月数据源'!$I:$I,'9月数据源'!$D:$D,$E85,'9月数据源'!$F:$F,"浙江精准学科技有限公司")+SUMIFS('9月数据源'!$J:$J,'9月数据源'!$D:$D,$E85,'9月数据源'!$F:$F,"浙江精准学科技有限公司")</f>
        <v/>
      </c>
      <c r="O85" s="89">
        <f>-SUMIFS('10月数据源'!$I:$I,'10月数据源'!$D:$D,$E85,'10月数据源'!$F:$F,"浙江精准学科技有限公司")+SUMIFS('10月数据源'!$J:$J,'10月数据源'!$D:$D,$E85,'10月数据源'!$F:$F,"浙江精准学科技有限公司")</f>
        <v/>
      </c>
      <c r="P85" s="89">
        <f>-SUMIFS('11月数据源'!$I:$I,'11月数据源'!$D:$D,$E85,'11月数据源'!$F:$F,"浙江精准学科技有限公司")+SUMIFS('11月数据源'!$J:$J,'11月数据源'!$D:$D,$E85,'11月数据源'!$F:$F,"浙江精准学科技有限公司")</f>
        <v/>
      </c>
      <c r="Q85" s="89">
        <f>-SUMIFS('12月数据源'!$I:$I,'12月数据源'!$D:$D,$E85,'12月数据源'!$F:$F,"浙江精准学科技有限公司")+SUMIFS('12月数据源'!$J:$J,'12月数据源'!$D:$D,$E85,'12月数据源'!$F:$F,"浙江精准学科技有限公司")</f>
        <v/>
      </c>
    </row>
    <row r="86" s="83">
      <c r="A86" s="5" t="inlineStr">
        <is>
          <t>研发支出</t>
        </is>
      </c>
      <c r="B86" s="6" t="inlineStr">
        <is>
          <t>其他产品开发</t>
        </is>
      </c>
      <c r="D86" s="5" t="inlineStr">
        <is>
          <t>软件使用费</t>
        </is>
      </c>
      <c r="E86" s="6" t="inlineStr">
        <is>
          <t>Q1401</t>
        </is>
      </c>
      <c r="F86" s="89">
        <f>-SUMIFS('1月数据源'!I:I,'1月数据源'!D:D,E86,'1月数据源'!F:F,"浙江精准学科技有限公司")+SUMIFS('1月数据源'!J:J,'1月数据源'!D:D,E86,'1月数据源'!F:F,"浙江精准学科技有限公司")</f>
        <v/>
      </c>
      <c r="G86" s="89">
        <f>-SUMIFS('2月数据源'!I:I,'2月数据源'!D:D,E86,'2月数据源'!F:F,"浙江精准学科技有限公司")+SUMIFS('2月数据源'!J:J,'2月数据源'!D:D,E86,'2月数据源'!F:F,"浙江精准学科技有限公司")</f>
        <v/>
      </c>
      <c r="H86" s="89">
        <f>-SUMIFS('3月数据源'!I:I,'3月数据源'!D:D,E86,'3月数据源'!F:F,"浙江精准学科技有限公司")+SUMIFS('3月数据源'!J:J,'3月数据源'!D:D,E86,'3月数据源'!F:F,"浙江精准学科技有限公司")</f>
        <v/>
      </c>
      <c r="I86" s="89">
        <f>-SUMIFS('4月数据源'!I:I,'4月数据源'!D:D,E86,'4月数据源'!F:F,"浙江精准学科技有限公司")+SUMIFS('4月数据源'!J:J,'4月数据源'!D:D,E86,'4月数据源'!F:F,"浙江精准学科技有限公司")</f>
        <v/>
      </c>
      <c r="J86" s="89">
        <f>-SUMIFS('5月数据源'!I:I,'5月数据源'!D:D,E86,'5月数据源'!F:F,"浙江精准学科技有限公司")+SUMIFS('5月数据源'!J:J,'5月数据源'!D:D,E86,'5月数据源'!F:F,"浙江精准学科技有限公司")</f>
        <v/>
      </c>
      <c r="K86" s="89">
        <f>-SUMIFS('6月数据源'!$I:$I,'6月数据源'!$D:$D,$E86,'6月数据源'!$F:$F,"浙江精准学科技有限公司")+SUMIFS('6月数据源'!$J:$J,'6月数据源'!$D:$D,$E86,'6月数据源'!$F:$F,"浙江精准学科技有限公司")</f>
        <v/>
      </c>
      <c r="L86" s="89">
        <f>-SUMIFS('7月数据源'!$I:$I,'7月数据源'!$D:$D,$E86,'7月数据源'!$F:$F,"浙江精准学科技有限公司")+SUMIFS('7月数据源'!$J:$J,'7月数据源'!$D:$D,$E86,'7月数据源'!$F:$F,"浙江精准学科技有限公司")</f>
        <v/>
      </c>
      <c r="M86" s="89">
        <f>-SUMIFS('8月数据源'!$I:$I,'8月数据源'!$D:$D,$E86,'8月数据源'!$F:$F,"浙江精准学科技有限公司")+SUMIFS('8月数据源'!$J:$J,'8月数据源'!$D:$D,$E86,'8月数据源'!$F:$F,"浙江精准学科技有限公司")</f>
        <v/>
      </c>
      <c r="N86" s="89">
        <f>-SUMIFS('9月数据源'!$I:$I,'9月数据源'!$D:$D,$E86,'9月数据源'!$F:$F,"浙江精准学科技有限公司")+SUMIFS('9月数据源'!$J:$J,'9月数据源'!$D:$D,$E86,'9月数据源'!$F:$F,"浙江精准学科技有限公司")</f>
        <v/>
      </c>
      <c r="O86" s="89">
        <f>-SUMIFS('10月数据源'!$I:$I,'10月数据源'!$D:$D,$E86,'10月数据源'!$F:$F,"浙江精准学科技有限公司")+SUMIFS('10月数据源'!$J:$J,'10月数据源'!$D:$D,$E86,'10月数据源'!$F:$F,"浙江精准学科技有限公司")</f>
        <v/>
      </c>
      <c r="P86" s="89">
        <f>-SUMIFS('11月数据源'!$I:$I,'11月数据源'!$D:$D,$E86,'11月数据源'!$F:$F,"浙江精准学科技有限公司")+SUMIFS('11月数据源'!$J:$J,'11月数据源'!$D:$D,$E86,'11月数据源'!$F:$F,"浙江精准学科技有限公司")</f>
        <v/>
      </c>
      <c r="Q86" s="89">
        <f>-SUMIFS('12月数据源'!$I:$I,'12月数据源'!$D:$D,$E86,'12月数据源'!$F:$F,"浙江精准学科技有限公司")+SUMIFS('12月数据源'!$J:$J,'12月数据源'!$D:$D,$E86,'12月数据源'!$F:$F,"浙江精准学科技有限公司")</f>
        <v/>
      </c>
    </row>
    <row r="87" s="83">
      <c r="A87" s="5" t="inlineStr">
        <is>
          <t>研发支出</t>
        </is>
      </c>
      <c r="B87" s="6" t="inlineStr">
        <is>
          <t>服务器算法充值</t>
        </is>
      </c>
      <c r="C87" s="6" t="inlineStr">
        <is>
          <t>服务器算法充值</t>
        </is>
      </c>
      <c r="D87" s="5" t="inlineStr">
        <is>
          <t>阿里云充值费用</t>
        </is>
      </c>
      <c r="E87" s="6" t="inlineStr">
        <is>
          <t>Q1501</t>
        </is>
      </c>
      <c r="F87" s="89">
        <f>-SUMIFS('1月数据源'!I:I,'1月数据源'!D:D,E87,'1月数据源'!F:F,"浙江精准学科技有限公司")+SUMIFS('1月数据源'!J:J,'1月数据源'!D:D,E87,'1月数据源'!F:F,"浙江精准学科技有限公司")</f>
        <v/>
      </c>
      <c r="G87" s="89">
        <f>-SUMIFS('2月数据源'!I:I,'2月数据源'!D:D,E87,'2月数据源'!F:F,"浙江精准学科技有限公司")+SUMIFS('2月数据源'!J:J,'2月数据源'!D:D,E87,'2月数据源'!F:F,"浙江精准学科技有限公司")</f>
        <v/>
      </c>
      <c r="H87" s="89">
        <f>-SUMIFS('3月数据源'!I:I,'3月数据源'!D:D,E87,'3月数据源'!F:F,"浙江精准学科技有限公司")+SUMIFS('3月数据源'!J:J,'3月数据源'!D:D,E87,'3月数据源'!F:F,"浙江精准学科技有限公司")</f>
        <v/>
      </c>
      <c r="I87" s="89">
        <f>-SUMIFS('4月数据源'!I:I,'4月数据源'!D:D,E87,'4月数据源'!F:F,"浙江精准学科技有限公司")+SUMIFS('4月数据源'!J:J,'4月数据源'!D:D,E87,'4月数据源'!F:F,"浙江精准学科技有限公司")</f>
        <v/>
      </c>
      <c r="J87" s="89">
        <f>-SUMIFS('5月数据源'!I:I,'5月数据源'!D:D,E87,'5月数据源'!F:F,"浙江精准学科技有限公司")+SUMIFS('5月数据源'!J:J,'5月数据源'!D:D,E87,'5月数据源'!F:F,"浙江精准学科技有限公司")</f>
        <v/>
      </c>
      <c r="K87" s="89">
        <f>-SUMIFS('6月数据源'!$I:$I,'6月数据源'!$D:$D,$E87,'6月数据源'!$F:$F,"浙江精准学科技有限公司")+SUMIFS('6月数据源'!$J:$J,'6月数据源'!$D:$D,$E87,'6月数据源'!$F:$F,"浙江精准学科技有限公司")</f>
        <v/>
      </c>
      <c r="L87" s="89">
        <f>-SUMIFS('7月数据源'!$I:$I,'7月数据源'!$D:$D,$E87,'7月数据源'!$F:$F,"浙江精准学科技有限公司")+SUMIFS('7月数据源'!$J:$J,'7月数据源'!$D:$D,$E87,'7月数据源'!$F:$F,"浙江精准学科技有限公司")</f>
        <v/>
      </c>
      <c r="M87" s="89">
        <f>-SUMIFS('8月数据源'!$I:$I,'8月数据源'!$D:$D,$E87,'8月数据源'!$F:$F,"浙江精准学科技有限公司")+SUMIFS('8月数据源'!$J:$J,'8月数据源'!$D:$D,$E87,'8月数据源'!$F:$F,"浙江精准学科技有限公司")</f>
        <v/>
      </c>
      <c r="N87" s="89">
        <f>-SUMIFS('9月数据源'!$I:$I,'9月数据源'!$D:$D,$E87,'9月数据源'!$F:$F,"浙江精准学科技有限公司")+SUMIFS('9月数据源'!$J:$J,'9月数据源'!$D:$D,$E87,'9月数据源'!$F:$F,"浙江精准学科技有限公司")</f>
        <v/>
      </c>
      <c r="O87" s="89">
        <f>-SUMIFS('10月数据源'!$I:$I,'10月数据源'!$D:$D,$E87,'10月数据源'!$F:$F,"浙江精准学科技有限公司")+SUMIFS('10月数据源'!$J:$J,'10月数据源'!$D:$D,$E87,'10月数据源'!$F:$F,"浙江精准学科技有限公司")</f>
        <v/>
      </c>
      <c r="P87" s="89">
        <f>-SUMIFS('11月数据源'!$I:$I,'11月数据源'!$D:$D,$E87,'11月数据源'!$F:$F,"浙江精准学科技有限公司")+SUMIFS('11月数据源'!$J:$J,'11月数据源'!$D:$D,$E87,'11月数据源'!$F:$F,"浙江精准学科技有限公司")</f>
        <v/>
      </c>
      <c r="Q87" s="89">
        <f>-SUMIFS('12月数据源'!$I:$I,'12月数据源'!$D:$D,$E87,'12月数据源'!$F:$F,"浙江精准学科技有限公司")+SUMIFS('12月数据源'!$J:$J,'12月数据源'!$D:$D,$E87,'12月数据源'!$F:$F,"浙江精准学科技有限公司")</f>
        <v/>
      </c>
    </row>
    <row r="88" s="83">
      <c r="A88" s="5" t="inlineStr">
        <is>
          <t>研发支出</t>
        </is>
      </c>
      <c r="B88" s="6" t="inlineStr">
        <is>
          <t>服务器算法充值</t>
        </is>
      </c>
      <c r="D88" s="5" t="inlineStr">
        <is>
          <t>微软充值费用</t>
        </is>
      </c>
      <c r="E88" s="6" t="inlineStr">
        <is>
          <t>Q1502</t>
        </is>
      </c>
      <c r="F88" s="89">
        <f>-SUMIFS('1月数据源'!I:I,'1月数据源'!D:D,E88,'1月数据源'!F:F,"浙江精准学科技有限公司")+SUMIFS('1月数据源'!J:J,'1月数据源'!D:D,E88,'1月数据源'!F:F,"浙江精准学科技有限公司")</f>
        <v/>
      </c>
      <c r="G88" s="89">
        <f>-SUMIFS('2月数据源'!I:I,'2月数据源'!D:D,E88,'2月数据源'!F:F,"浙江精准学科技有限公司")+SUMIFS('2月数据源'!J:J,'2月数据源'!D:D,E88,'2月数据源'!F:F,"浙江精准学科技有限公司")</f>
        <v/>
      </c>
      <c r="H88" s="89">
        <f>-SUMIFS('3月数据源'!I:I,'3月数据源'!D:D,E88,'3月数据源'!F:F,"浙江精准学科技有限公司")+SUMIFS('3月数据源'!J:J,'3月数据源'!D:D,E88,'3月数据源'!F:F,"浙江精准学科技有限公司")</f>
        <v/>
      </c>
      <c r="I88" s="89">
        <f>-SUMIFS('4月数据源'!I:I,'4月数据源'!D:D,E88,'4月数据源'!F:F,"浙江精准学科技有限公司")+SUMIFS('4月数据源'!J:J,'4月数据源'!D:D,E88,'4月数据源'!F:F,"浙江精准学科技有限公司")</f>
        <v/>
      </c>
      <c r="J88" s="89">
        <f>-SUMIFS('5月数据源'!I:I,'5月数据源'!D:D,E88,'5月数据源'!F:F,"浙江精准学科技有限公司")+SUMIFS('5月数据源'!J:J,'5月数据源'!D:D,E88,'5月数据源'!F:F,"浙江精准学科技有限公司")</f>
        <v/>
      </c>
      <c r="K88" s="89">
        <f>-SUMIFS('6月数据源'!$I:$I,'6月数据源'!$D:$D,$E88,'6月数据源'!$F:$F,"浙江精准学科技有限公司")+SUMIFS('6月数据源'!$J:$J,'6月数据源'!$D:$D,$E88,'6月数据源'!$F:$F,"浙江精准学科技有限公司")</f>
        <v/>
      </c>
      <c r="L88" s="89">
        <f>-SUMIFS('7月数据源'!$I:$I,'7月数据源'!$D:$D,$E88,'7月数据源'!$F:$F,"浙江精准学科技有限公司")+SUMIFS('7月数据源'!$J:$J,'7月数据源'!$D:$D,$E88,'7月数据源'!$F:$F,"浙江精准学科技有限公司")</f>
        <v/>
      </c>
      <c r="M88" s="89">
        <f>-SUMIFS('8月数据源'!$I:$I,'8月数据源'!$D:$D,$E88,'8月数据源'!$F:$F,"浙江精准学科技有限公司")+SUMIFS('8月数据源'!$J:$J,'8月数据源'!$D:$D,$E88,'8月数据源'!$F:$F,"浙江精准学科技有限公司")</f>
        <v/>
      </c>
      <c r="N88" s="89">
        <f>-SUMIFS('9月数据源'!$I:$I,'9月数据源'!$D:$D,$E88,'9月数据源'!$F:$F,"浙江精准学科技有限公司")+SUMIFS('9月数据源'!$J:$J,'9月数据源'!$D:$D,$E88,'9月数据源'!$F:$F,"浙江精准学科技有限公司")</f>
        <v/>
      </c>
      <c r="O88" s="89">
        <f>-SUMIFS('10月数据源'!$I:$I,'10月数据源'!$D:$D,$E88,'10月数据源'!$F:$F,"浙江精准学科技有限公司")+SUMIFS('10月数据源'!$J:$J,'10月数据源'!$D:$D,$E88,'10月数据源'!$F:$F,"浙江精准学科技有限公司")</f>
        <v/>
      </c>
      <c r="P88" s="89">
        <f>-SUMIFS('11月数据源'!$I:$I,'11月数据源'!$D:$D,$E88,'11月数据源'!$F:$F,"浙江精准学科技有限公司")+SUMIFS('11月数据源'!$J:$J,'11月数据源'!$D:$D,$E88,'11月数据源'!$F:$F,"浙江精准学科技有限公司")</f>
        <v/>
      </c>
      <c r="Q88" s="89">
        <f>-SUMIFS('12月数据源'!$I:$I,'12月数据源'!$D:$D,$E88,'12月数据源'!$F:$F,"浙江精准学科技有限公司")+SUMIFS('12月数据源'!$J:$J,'12月数据源'!$D:$D,$E88,'12月数据源'!$F:$F,"浙江精准学科技有限公司")</f>
        <v/>
      </c>
    </row>
    <row r="89" s="83">
      <c r="A89" s="5" t="inlineStr">
        <is>
          <t>研发支出</t>
        </is>
      </c>
      <c r="B89" s="6" t="inlineStr">
        <is>
          <t>服务器算法充值</t>
        </is>
      </c>
      <c r="D89" s="5" t="inlineStr">
        <is>
          <t>kimi充值费用</t>
        </is>
      </c>
      <c r="E89" s="6" t="inlineStr">
        <is>
          <t>Q1503</t>
        </is>
      </c>
      <c r="F89" s="89">
        <f>-SUMIFS('1月数据源'!I:I,'1月数据源'!D:D,E89,'1月数据源'!F:F,"浙江精准学科技有限公司")+SUMIFS('1月数据源'!J:J,'1月数据源'!D:D,E89,'1月数据源'!F:F,"浙江精准学科技有限公司")</f>
        <v/>
      </c>
      <c r="G89" s="89">
        <f>-SUMIFS('2月数据源'!I:I,'2月数据源'!D:D,E89,'2月数据源'!F:F,"浙江精准学科技有限公司")+SUMIFS('2月数据源'!J:J,'2月数据源'!D:D,E89,'2月数据源'!F:F,"浙江精准学科技有限公司")</f>
        <v/>
      </c>
      <c r="H89" s="89">
        <f>-SUMIFS('3月数据源'!I:I,'3月数据源'!D:D,E89,'3月数据源'!F:F,"浙江精准学科技有限公司")+SUMIFS('3月数据源'!J:J,'3月数据源'!D:D,E89,'3月数据源'!F:F,"浙江精准学科技有限公司")</f>
        <v/>
      </c>
      <c r="I89" s="89">
        <f>-SUMIFS('4月数据源'!I:I,'4月数据源'!D:D,E89,'4月数据源'!F:F,"浙江精准学科技有限公司")+SUMIFS('4月数据源'!J:J,'4月数据源'!D:D,E89,'4月数据源'!F:F,"浙江精准学科技有限公司")</f>
        <v/>
      </c>
      <c r="J89" s="89">
        <f>-SUMIFS('5月数据源'!I:I,'5月数据源'!D:D,E89,'5月数据源'!F:F,"浙江精准学科技有限公司")+SUMIFS('5月数据源'!J:J,'5月数据源'!D:D,E89,'5月数据源'!F:F,"浙江精准学科技有限公司")</f>
        <v/>
      </c>
      <c r="K89" s="89">
        <f>-SUMIFS('6月数据源'!$I:$I,'6月数据源'!$D:$D,$E89,'6月数据源'!$F:$F,"浙江精准学科技有限公司")+SUMIFS('6月数据源'!$J:$J,'6月数据源'!$D:$D,$E89,'6月数据源'!$F:$F,"浙江精准学科技有限公司")</f>
        <v/>
      </c>
      <c r="L89" s="89">
        <f>-SUMIFS('7月数据源'!$I:$I,'7月数据源'!$D:$D,$E89,'7月数据源'!$F:$F,"浙江精准学科技有限公司")+SUMIFS('7月数据源'!$J:$J,'7月数据源'!$D:$D,$E89,'7月数据源'!$F:$F,"浙江精准学科技有限公司")</f>
        <v/>
      </c>
      <c r="M89" s="89">
        <f>-SUMIFS('8月数据源'!$I:$I,'8月数据源'!$D:$D,$E89,'8月数据源'!$F:$F,"浙江精准学科技有限公司")+SUMIFS('8月数据源'!$J:$J,'8月数据源'!$D:$D,$E89,'8月数据源'!$F:$F,"浙江精准学科技有限公司")</f>
        <v/>
      </c>
      <c r="N89" s="89">
        <f>-SUMIFS('9月数据源'!$I:$I,'9月数据源'!$D:$D,$E89,'9月数据源'!$F:$F,"浙江精准学科技有限公司")+SUMIFS('9月数据源'!$J:$J,'9月数据源'!$D:$D,$E89,'9月数据源'!$F:$F,"浙江精准学科技有限公司")</f>
        <v/>
      </c>
      <c r="O89" s="89">
        <f>-SUMIFS('10月数据源'!$I:$I,'10月数据源'!$D:$D,$E89,'10月数据源'!$F:$F,"浙江精准学科技有限公司")+SUMIFS('10月数据源'!$J:$J,'10月数据源'!$D:$D,$E89,'10月数据源'!$F:$F,"浙江精准学科技有限公司")</f>
        <v/>
      </c>
      <c r="P89" s="89">
        <f>-SUMIFS('11月数据源'!$I:$I,'11月数据源'!$D:$D,$E89,'11月数据源'!$F:$F,"浙江精准学科技有限公司")+SUMIFS('11月数据源'!$J:$J,'11月数据源'!$D:$D,$E89,'11月数据源'!$F:$F,"浙江精准学科技有限公司")</f>
        <v/>
      </c>
      <c r="Q89" s="89">
        <f>-SUMIFS('12月数据源'!$I:$I,'12月数据源'!$D:$D,$E89,'12月数据源'!$F:$F,"浙江精准学科技有限公司")+SUMIFS('12月数据源'!$J:$J,'12月数据源'!$D:$D,$E89,'12月数据源'!$F:$F,"浙江精准学科技有限公司")</f>
        <v/>
      </c>
    </row>
    <row r="90" s="83">
      <c r="A90" s="5" t="inlineStr">
        <is>
          <t>研发支出</t>
        </is>
      </c>
      <c r="B90" s="6" t="inlineStr">
        <is>
          <t>服务器算法充值</t>
        </is>
      </c>
      <c r="D90" s="5" t="inlineStr">
        <is>
          <t>智普AI充值费用</t>
        </is>
      </c>
      <c r="E90" s="6" t="inlineStr">
        <is>
          <t>Q1504</t>
        </is>
      </c>
      <c r="F90" s="89">
        <f>-SUMIFS('1月数据源'!I:I,'1月数据源'!D:D,E90,'1月数据源'!F:F,"浙江精准学科技有限公司")+SUMIFS('1月数据源'!J:J,'1月数据源'!D:D,E90,'1月数据源'!F:F,"浙江精准学科技有限公司")</f>
        <v/>
      </c>
      <c r="G90" s="89">
        <f>-SUMIFS('2月数据源'!I:I,'2月数据源'!D:D,E90,'2月数据源'!F:F,"浙江精准学科技有限公司")+SUMIFS('2月数据源'!J:J,'2月数据源'!D:D,E90,'2月数据源'!F:F,"浙江精准学科技有限公司")</f>
        <v/>
      </c>
      <c r="H90" s="89">
        <f>-SUMIFS('3月数据源'!I:I,'3月数据源'!D:D,E90,'3月数据源'!F:F,"浙江精准学科技有限公司")+SUMIFS('3月数据源'!J:J,'3月数据源'!D:D,E90,'3月数据源'!F:F,"浙江精准学科技有限公司")</f>
        <v/>
      </c>
      <c r="I90" s="89">
        <f>-SUMIFS('4月数据源'!I:I,'4月数据源'!D:D,E90,'4月数据源'!F:F,"浙江精准学科技有限公司")+SUMIFS('4月数据源'!J:J,'4月数据源'!D:D,E90,'4月数据源'!F:F,"浙江精准学科技有限公司")</f>
        <v/>
      </c>
      <c r="J90" s="89">
        <f>-SUMIFS('5月数据源'!I:I,'5月数据源'!D:D,E90,'5月数据源'!F:F,"浙江精准学科技有限公司")+SUMIFS('5月数据源'!J:J,'5月数据源'!D:D,E90,'5月数据源'!F:F,"浙江精准学科技有限公司")</f>
        <v/>
      </c>
      <c r="K90" s="89">
        <f>-SUMIFS('6月数据源'!$I:$I,'6月数据源'!$D:$D,$E90,'6月数据源'!$F:$F,"浙江精准学科技有限公司")+SUMIFS('6月数据源'!$J:$J,'6月数据源'!$D:$D,$E90,'6月数据源'!$F:$F,"浙江精准学科技有限公司")</f>
        <v/>
      </c>
      <c r="L90" s="89">
        <f>-SUMIFS('7月数据源'!$I:$I,'7月数据源'!$D:$D,$E90,'7月数据源'!$F:$F,"浙江精准学科技有限公司")+SUMIFS('7月数据源'!$J:$J,'7月数据源'!$D:$D,$E90,'7月数据源'!$F:$F,"浙江精准学科技有限公司")</f>
        <v/>
      </c>
      <c r="M90" s="89">
        <f>-SUMIFS('8月数据源'!$I:$I,'8月数据源'!$D:$D,$E90,'8月数据源'!$F:$F,"浙江精准学科技有限公司")+SUMIFS('8月数据源'!$J:$J,'8月数据源'!$D:$D,$E90,'8月数据源'!$F:$F,"浙江精准学科技有限公司")</f>
        <v/>
      </c>
      <c r="N90" s="89">
        <f>-SUMIFS('9月数据源'!$I:$I,'9月数据源'!$D:$D,$E90,'9月数据源'!$F:$F,"浙江精准学科技有限公司")+SUMIFS('9月数据源'!$J:$J,'9月数据源'!$D:$D,$E90,'9月数据源'!$F:$F,"浙江精准学科技有限公司")</f>
        <v/>
      </c>
      <c r="O90" s="89">
        <f>-SUMIFS('10月数据源'!$I:$I,'10月数据源'!$D:$D,$E90,'10月数据源'!$F:$F,"浙江精准学科技有限公司")+SUMIFS('10月数据源'!$J:$J,'10月数据源'!$D:$D,$E90,'10月数据源'!$F:$F,"浙江精准学科技有限公司")</f>
        <v/>
      </c>
      <c r="P90" s="89">
        <f>-SUMIFS('11月数据源'!$I:$I,'11月数据源'!$D:$D,$E90,'11月数据源'!$F:$F,"浙江精准学科技有限公司")+SUMIFS('11月数据源'!$J:$J,'11月数据源'!$D:$D,$E90,'11月数据源'!$F:$F,"浙江精准学科技有限公司")</f>
        <v/>
      </c>
      <c r="Q90" s="89">
        <f>-SUMIFS('12月数据源'!$I:$I,'12月数据源'!$D:$D,$E90,'12月数据源'!$F:$F,"浙江精准学科技有限公司")+SUMIFS('12月数据源'!$J:$J,'12月数据源'!$D:$D,$E90,'12月数据源'!$F:$F,"浙江精准学科技有限公司")</f>
        <v/>
      </c>
    </row>
    <row r="91" s="83">
      <c r="A91" s="5" t="inlineStr">
        <is>
          <t>研发支出</t>
        </is>
      </c>
      <c r="B91" s="6" t="inlineStr">
        <is>
          <t>服务器算法充值</t>
        </is>
      </c>
      <c r="D91" s="5" t="inlineStr">
        <is>
          <t>硅基流动充值费用</t>
        </is>
      </c>
      <c r="E91" s="6" t="inlineStr">
        <is>
          <t>Q1506</t>
        </is>
      </c>
      <c r="F91" s="89">
        <f>-SUMIFS('1月数据源'!I:I,'1月数据源'!D:D,E91,'1月数据源'!F:F,"浙江精准学科技有限公司")+SUMIFS('1月数据源'!J:J,'1月数据源'!D:D,E91,'1月数据源'!F:F,"浙江精准学科技有限公司")</f>
        <v/>
      </c>
      <c r="G91" s="89">
        <f>-SUMIFS('2月数据源'!I:I,'2月数据源'!D:D,E91,'2月数据源'!F:F,"浙江精准学科技有限公司")+SUMIFS('2月数据源'!J:J,'2月数据源'!D:D,E91,'2月数据源'!F:F,"浙江精准学科技有限公司")</f>
        <v/>
      </c>
      <c r="H91" s="89">
        <f>-SUMIFS('3月数据源'!I:I,'3月数据源'!D:D,E91,'3月数据源'!F:F,"浙江精准学科技有限公司")+SUMIFS('3月数据源'!J:J,'3月数据源'!D:D,E91,'3月数据源'!F:F,"浙江精准学科技有限公司")</f>
        <v/>
      </c>
      <c r="I91" s="89">
        <f>-SUMIFS('4月数据源'!I:I,'4月数据源'!D:D,E91,'4月数据源'!F:F,"浙江精准学科技有限公司")+SUMIFS('4月数据源'!J:J,'4月数据源'!D:D,E91,'4月数据源'!F:F,"浙江精准学科技有限公司")</f>
        <v/>
      </c>
      <c r="J91" s="89">
        <f>-SUMIFS('5月数据源'!I:I,'5月数据源'!D:D,E91,'5月数据源'!F:F,"浙江精准学科技有限公司")+SUMIFS('5月数据源'!J:J,'5月数据源'!D:D,E91,'5月数据源'!F:F,"浙江精准学科技有限公司")</f>
        <v/>
      </c>
      <c r="K91" s="89">
        <f>-SUMIFS('6月数据源'!$I:$I,'6月数据源'!$D:$D,$E91,'6月数据源'!$F:$F,"浙江精准学科技有限公司")+SUMIFS('6月数据源'!$J:$J,'6月数据源'!$D:$D,$E91,'6月数据源'!$F:$F,"浙江精准学科技有限公司")</f>
        <v/>
      </c>
      <c r="L91" s="89">
        <f>-SUMIFS('7月数据源'!$I:$I,'7月数据源'!$D:$D,$E91,'7月数据源'!$F:$F,"浙江精准学科技有限公司")+SUMIFS('7月数据源'!$J:$J,'7月数据源'!$D:$D,$E91,'7月数据源'!$F:$F,"浙江精准学科技有限公司")</f>
        <v/>
      </c>
      <c r="M91" s="89">
        <f>-SUMIFS('8月数据源'!$I:$I,'8月数据源'!$D:$D,$E91,'8月数据源'!$F:$F,"浙江精准学科技有限公司")+SUMIFS('8月数据源'!$J:$J,'8月数据源'!$D:$D,$E91,'8月数据源'!$F:$F,"浙江精准学科技有限公司")</f>
        <v/>
      </c>
      <c r="N91" s="89">
        <f>-SUMIFS('9月数据源'!$I:$I,'9月数据源'!$D:$D,$E91,'9月数据源'!$F:$F,"浙江精准学科技有限公司")+SUMIFS('9月数据源'!$J:$J,'9月数据源'!$D:$D,$E91,'9月数据源'!$F:$F,"浙江精准学科技有限公司")</f>
        <v/>
      </c>
      <c r="O91" s="89">
        <f>-SUMIFS('10月数据源'!$I:$I,'10月数据源'!$D:$D,$E91,'10月数据源'!$F:$F,"浙江精准学科技有限公司")+SUMIFS('10月数据源'!$J:$J,'10月数据源'!$D:$D,$E91,'10月数据源'!$F:$F,"浙江精准学科技有限公司")</f>
        <v/>
      </c>
      <c r="P91" s="89">
        <f>-SUMIFS('11月数据源'!$I:$I,'11月数据源'!$D:$D,$E91,'11月数据源'!$F:$F,"浙江精准学科技有限公司")+SUMIFS('11月数据源'!$J:$J,'11月数据源'!$D:$D,$E91,'11月数据源'!$F:$F,"浙江精准学科技有限公司")</f>
        <v/>
      </c>
      <c r="Q91" s="89">
        <f>-SUMIFS('12月数据源'!$I:$I,'12月数据源'!$D:$D,$E91,'12月数据源'!$F:$F,"浙江精准学科技有限公司")+SUMIFS('12月数据源'!$J:$J,'12月数据源'!$D:$D,$E91,'12月数据源'!$F:$F,"浙江精准学科技有限公司")</f>
        <v/>
      </c>
    </row>
    <row r="92" s="83">
      <c r="A92" s="5" t="inlineStr">
        <is>
          <t>研发支出</t>
        </is>
      </c>
      <c r="B92" s="6" t="inlineStr">
        <is>
          <t>服务器算法充值</t>
        </is>
      </c>
      <c r="D92" s="5" t="inlineStr">
        <is>
          <t>无问芯穹充值费用</t>
        </is>
      </c>
      <c r="E92" s="6" t="inlineStr">
        <is>
          <t>Q1507</t>
        </is>
      </c>
      <c r="F92" s="89">
        <f>-SUMIFS('1月数据源'!I:I,'1月数据源'!D:D,E92,'1月数据源'!F:F,"浙江精准学科技有限公司")+SUMIFS('1月数据源'!J:J,'1月数据源'!D:D,E92,'1月数据源'!F:F,"浙江精准学科技有限公司")</f>
        <v/>
      </c>
      <c r="G92" s="89">
        <f>-SUMIFS('2月数据源'!I:I,'2月数据源'!D:D,E92,'2月数据源'!F:F,"浙江精准学科技有限公司")+SUMIFS('2月数据源'!J:J,'2月数据源'!D:D,E92,'2月数据源'!F:F,"浙江精准学科技有限公司")</f>
        <v/>
      </c>
      <c r="H92" s="89">
        <f>-SUMIFS('3月数据源'!I:I,'3月数据源'!D:D,E92,'3月数据源'!F:F,"浙江精准学科技有限公司")+SUMIFS('3月数据源'!J:J,'3月数据源'!D:D,E92,'3月数据源'!F:F,"浙江精准学科技有限公司")</f>
        <v/>
      </c>
      <c r="I92" s="89">
        <f>-SUMIFS('4月数据源'!I:I,'4月数据源'!D:D,E92,'4月数据源'!F:F,"浙江精准学科技有限公司")+SUMIFS('4月数据源'!J:J,'4月数据源'!D:D,E92,'4月数据源'!F:F,"浙江精准学科技有限公司")</f>
        <v/>
      </c>
      <c r="J92" s="89">
        <f>-SUMIFS('5月数据源'!I:I,'5月数据源'!D:D,E92,'5月数据源'!F:F,"浙江精准学科技有限公司")+SUMIFS('5月数据源'!J:J,'5月数据源'!D:D,E92,'5月数据源'!F:F,"浙江精准学科技有限公司")</f>
        <v/>
      </c>
      <c r="K92" s="89">
        <f>-SUMIFS('6月数据源'!$I:$I,'6月数据源'!$D:$D,$E92,'6月数据源'!$F:$F,"浙江精准学科技有限公司")+SUMIFS('6月数据源'!$J:$J,'6月数据源'!$D:$D,$E92,'6月数据源'!$F:$F,"浙江精准学科技有限公司")</f>
        <v/>
      </c>
      <c r="L92" s="89">
        <f>-SUMIFS('7月数据源'!$I:$I,'7月数据源'!$D:$D,$E92,'7月数据源'!$F:$F,"浙江精准学科技有限公司")+SUMIFS('7月数据源'!$J:$J,'7月数据源'!$D:$D,$E92,'7月数据源'!$F:$F,"浙江精准学科技有限公司")</f>
        <v/>
      </c>
      <c r="M92" s="89">
        <f>-SUMIFS('8月数据源'!$I:$I,'8月数据源'!$D:$D,$E92,'8月数据源'!$F:$F,"浙江精准学科技有限公司")+SUMIFS('8月数据源'!$J:$J,'8月数据源'!$D:$D,$E92,'8月数据源'!$F:$F,"浙江精准学科技有限公司")</f>
        <v/>
      </c>
      <c r="N92" s="89">
        <f>-SUMIFS('9月数据源'!$I:$I,'9月数据源'!$D:$D,$E92,'9月数据源'!$F:$F,"浙江精准学科技有限公司")+SUMIFS('9月数据源'!$J:$J,'9月数据源'!$D:$D,$E92,'9月数据源'!$F:$F,"浙江精准学科技有限公司")</f>
        <v/>
      </c>
      <c r="O92" s="89">
        <f>-SUMIFS('10月数据源'!$I:$I,'10月数据源'!$D:$D,$E92,'10月数据源'!$F:$F,"浙江精准学科技有限公司")+SUMIFS('10月数据源'!$J:$J,'10月数据源'!$D:$D,$E92,'10月数据源'!$F:$F,"浙江精准学科技有限公司")</f>
        <v/>
      </c>
      <c r="P92" s="89">
        <f>-SUMIFS('11月数据源'!$I:$I,'11月数据源'!$D:$D,$E92,'11月数据源'!$F:$F,"浙江精准学科技有限公司")+SUMIFS('11月数据源'!$J:$J,'11月数据源'!$D:$D,$E92,'11月数据源'!$F:$F,"浙江精准学科技有限公司")</f>
        <v/>
      </c>
      <c r="Q92" s="89">
        <f>-SUMIFS('12月数据源'!$I:$I,'12月数据源'!$D:$D,$E92,'12月数据源'!$F:$F,"浙江精准学科技有限公司")+SUMIFS('12月数据源'!$J:$J,'12月数据源'!$D:$D,$E92,'12月数据源'!$F:$F,"浙江精准学科技有限公司")</f>
        <v/>
      </c>
    </row>
    <row r="93" s="83">
      <c r="A93" s="5" t="inlineStr">
        <is>
          <t>研发支出</t>
        </is>
      </c>
      <c r="B93" s="6" t="inlineStr">
        <is>
          <t>服务器算法充值</t>
        </is>
      </c>
      <c r="D93" s="5" t="inlineStr">
        <is>
          <t>其他服务器算法充值</t>
        </is>
      </c>
      <c r="E93" s="6" t="inlineStr">
        <is>
          <t>Q1505</t>
        </is>
      </c>
      <c r="F93" s="89">
        <f>-SUMIFS('1月数据源'!I:I,'1月数据源'!D:D,E93,'1月数据源'!F:F,"浙江精准学科技有限公司")+SUMIFS('1月数据源'!J:J,'1月数据源'!D:D,E93,'1月数据源'!F:F,"浙江精准学科技有限公司")</f>
        <v/>
      </c>
      <c r="G93" s="89">
        <f>-SUMIFS('2月数据源'!I:I,'2月数据源'!D:D,E93,'2月数据源'!F:F,"浙江精准学科技有限公司")+SUMIFS('2月数据源'!J:J,'2月数据源'!D:D,E93,'2月数据源'!F:F,"浙江精准学科技有限公司")</f>
        <v/>
      </c>
      <c r="H93" s="89">
        <f>-SUMIFS('3月数据源'!I:I,'3月数据源'!D:D,E93,'3月数据源'!F:F,"浙江精准学科技有限公司")+SUMIFS('3月数据源'!J:J,'3月数据源'!D:D,E93,'3月数据源'!F:F,"浙江精准学科技有限公司")</f>
        <v/>
      </c>
      <c r="I93" s="89">
        <f>-SUMIFS('4月数据源'!I:I,'4月数据源'!D:D,E93,'4月数据源'!F:F,"浙江精准学科技有限公司")+SUMIFS('4月数据源'!J:J,'4月数据源'!D:D,E93,'4月数据源'!F:F,"浙江精准学科技有限公司")</f>
        <v/>
      </c>
      <c r="J93" s="89">
        <f>-SUMIFS('5月数据源'!I:I,'5月数据源'!D:D,E93,'5月数据源'!F:F,"浙江精准学科技有限公司")+SUMIFS('5月数据源'!J:J,'5月数据源'!D:D,E93,'5月数据源'!F:F,"浙江精准学科技有限公司")</f>
        <v/>
      </c>
      <c r="K93" s="89">
        <f>-SUMIFS('6月数据源'!$I:$I,'6月数据源'!$D:$D,$E93,'6月数据源'!$F:$F,"浙江精准学科技有限公司")+SUMIFS('6月数据源'!$J:$J,'6月数据源'!$D:$D,$E93,'6月数据源'!$F:$F,"浙江精准学科技有限公司")</f>
        <v/>
      </c>
      <c r="L93" s="89">
        <f>-SUMIFS('7月数据源'!$I:$I,'7月数据源'!$D:$D,$E93,'7月数据源'!$F:$F,"浙江精准学科技有限公司")+SUMIFS('7月数据源'!$J:$J,'7月数据源'!$D:$D,$E93,'7月数据源'!$F:$F,"浙江精准学科技有限公司")</f>
        <v/>
      </c>
      <c r="M93" s="89">
        <f>-SUMIFS('8月数据源'!$I:$I,'8月数据源'!$D:$D,$E93,'8月数据源'!$F:$F,"浙江精准学科技有限公司")+SUMIFS('8月数据源'!$J:$J,'8月数据源'!$D:$D,$E93,'8月数据源'!$F:$F,"浙江精准学科技有限公司")</f>
        <v/>
      </c>
      <c r="N93" s="89">
        <f>-SUMIFS('9月数据源'!$I:$I,'9月数据源'!$D:$D,$E93,'9月数据源'!$F:$F,"浙江精准学科技有限公司")+SUMIFS('9月数据源'!$J:$J,'9月数据源'!$D:$D,$E93,'9月数据源'!$F:$F,"浙江精准学科技有限公司")</f>
        <v/>
      </c>
      <c r="O93" s="89">
        <f>-SUMIFS('10月数据源'!$I:$I,'10月数据源'!$D:$D,$E93,'10月数据源'!$F:$F,"浙江精准学科技有限公司")+SUMIFS('10月数据源'!$J:$J,'10月数据源'!$D:$D,$E93,'10月数据源'!$F:$F,"浙江精准学科技有限公司")</f>
        <v/>
      </c>
      <c r="P93" s="89">
        <f>-SUMIFS('11月数据源'!$I:$I,'11月数据源'!$D:$D,$E93,'11月数据源'!$F:$F,"浙江精准学科技有限公司")+SUMIFS('11月数据源'!$J:$J,'11月数据源'!$D:$D,$E93,'11月数据源'!$F:$F,"浙江精准学科技有限公司")</f>
        <v/>
      </c>
      <c r="Q93" s="89">
        <f>-SUMIFS('12月数据源'!$I:$I,'12月数据源'!$D:$D,$E93,'12月数据源'!$F:$F,"浙江精准学科技有限公司")+SUMIFS('12月数据源'!$J:$J,'12月数据源'!$D:$D,$E93,'12月数据源'!$F:$F,"浙江精准学科技有限公司")</f>
        <v/>
      </c>
    </row>
    <row r="94" s="83">
      <c r="A94" s="5" t="inlineStr">
        <is>
          <t>研发支出</t>
        </is>
      </c>
      <c r="B94" s="6" t="inlineStr">
        <is>
          <t>研发-服务费</t>
        </is>
      </c>
      <c r="C94" s="6" t="inlineStr">
        <is>
          <t>研发-服务费</t>
        </is>
      </c>
      <c r="D94" s="5" t="inlineStr">
        <is>
          <t>设计外包服务费</t>
        </is>
      </c>
      <c r="E94" s="6" t="inlineStr">
        <is>
          <t>Q1601</t>
        </is>
      </c>
      <c r="F94" s="89">
        <f>-SUMIFS('1月数据源'!I:I,'1月数据源'!D:D,E94,'1月数据源'!F:F,"浙江精准学科技有限公司")+SUMIFS('1月数据源'!J:J,'1月数据源'!D:D,E94,'1月数据源'!F:F,"浙江精准学科技有限公司")</f>
        <v/>
      </c>
      <c r="G94" s="89">
        <f>-SUMIFS('2月数据源'!I:I,'2月数据源'!D:D,E94,'2月数据源'!F:F,"浙江精准学科技有限公司")+SUMIFS('2月数据源'!J:J,'2月数据源'!D:D,E94,'2月数据源'!F:F,"浙江精准学科技有限公司")</f>
        <v/>
      </c>
      <c r="H94" s="89">
        <f>-SUMIFS('3月数据源'!I:I,'3月数据源'!D:D,E94,'3月数据源'!F:F,"浙江精准学科技有限公司")+SUMIFS('3月数据源'!J:J,'3月数据源'!D:D,E94,'3月数据源'!F:F,"浙江精准学科技有限公司")</f>
        <v/>
      </c>
      <c r="I94" s="89">
        <f>-SUMIFS('4月数据源'!I:I,'4月数据源'!D:D,E94,'4月数据源'!F:F,"浙江精准学科技有限公司")+SUMIFS('4月数据源'!J:J,'4月数据源'!D:D,E94,'4月数据源'!F:F,"浙江精准学科技有限公司")</f>
        <v/>
      </c>
      <c r="J94" s="89">
        <f>-SUMIFS('5月数据源'!I:I,'5月数据源'!D:D,E94,'5月数据源'!F:F,"浙江精准学科技有限公司")+SUMIFS('5月数据源'!J:J,'5月数据源'!D:D,E94,'5月数据源'!F:F,"浙江精准学科技有限公司")</f>
        <v/>
      </c>
      <c r="K94" s="89">
        <f>-SUMIFS('6月数据源'!$I:$I,'6月数据源'!$D:$D,$E94,'6月数据源'!$F:$F,"浙江精准学科技有限公司")+SUMIFS('6月数据源'!$J:$J,'6月数据源'!$D:$D,$E94,'6月数据源'!$F:$F,"浙江精准学科技有限公司")</f>
        <v/>
      </c>
      <c r="L94" s="89">
        <f>-SUMIFS('7月数据源'!$I:$I,'7月数据源'!$D:$D,$E94,'7月数据源'!$F:$F,"浙江精准学科技有限公司")+SUMIFS('7月数据源'!$J:$J,'7月数据源'!$D:$D,$E94,'7月数据源'!$F:$F,"浙江精准学科技有限公司")</f>
        <v/>
      </c>
      <c r="M94" s="89">
        <f>-SUMIFS('8月数据源'!$I:$I,'8月数据源'!$D:$D,$E94,'8月数据源'!$F:$F,"浙江精准学科技有限公司")+SUMIFS('8月数据源'!$J:$J,'8月数据源'!$D:$D,$E94,'8月数据源'!$F:$F,"浙江精准学科技有限公司")</f>
        <v/>
      </c>
      <c r="N94" s="89">
        <f>-SUMIFS('9月数据源'!$I:$I,'9月数据源'!$D:$D,$E94,'9月数据源'!$F:$F,"浙江精准学科技有限公司")+SUMIFS('9月数据源'!$J:$J,'9月数据源'!$D:$D,$E94,'9月数据源'!$F:$F,"浙江精准学科技有限公司")</f>
        <v/>
      </c>
      <c r="O94" s="89">
        <f>-SUMIFS('10月数据源'!$I:$I,'10月数据源'!$D:$D,$E94,'10月数据源'!$F:$F,"浙江精准学科技有限公司")+SUMIFS('10月数据源'!$J:$J,'10月数据源'!$D:$D,$E94,'10月数据源'!$F:$F,"浙江精准学科技有限公司")</f>
        <v/>
      </c>
      <c r="P94" s="89">
        <f>-SUMIFS('11月数据源'!$I:$I,'11月数据源'!$D:$D,$E94,'11月数据源'!$F:$F,"浙江精准学科技有限公司")+SUMIFS('11月数据源'!$J:$J,'11月数据源'!$D:$D,$E94,'11月数据源'!$F:$F,"浙江精准学科技有限公司")</f>
        <v/>
      </c>
      <c r="Q94" s="89">
        <f>-SUMIFS('12月数据源'!$I:$I,'12月数据源'!$D:$D,$E94,'12月数据源'!$F:$F,"浙江精准学科技有限公司")+SUMIFS('12月数据源'!$J:$J,'12月数据源'!$D:$D,$E94,'12月数据源'!$F:$F,"浙江精准学科技有限公司")</f>
        <v/>
      </c>
    </row>
    <row r="95" s="83">
      <c r="A95" s="5" t="inlineStr">
        <is>
          <t>研发支出</t>
        </is>
      </c>
      <c r="B95" s="6" t="inlineStr">
        <is>
          <t>研发-服务费</t>
        </is>
      </c>
      <c r="D95" s="5" t="inlineStr">
        <is>
          <t>AI技术外包服务费</t>
        </is>
      </c>
      <c r="E95" s="6" t="inlineStr">
        <is>
          <t>Q1602</t>
        </is>
      </c>
      <c r="F95" s="89">
        <f>-SUMIFS('1月数据源'!I:I,'1月数据源'!D:D,E95,'1月数据源'!F:F,"浙江精准学科技有限公司")+SUMIFS('1月数据源'!J:J,'1月数据源'!D:D,E95,'1月数据源'!F:F,"浙江精准学科技有限公司")</f>
        <v/>
      </c>
      <c r="G95" s="89">
        <f>-SUMIFS('2月数据源'!I:I,'2月数据源'!D:D,E95,'2月数据源'!F:F,"浙江精准学科技有限公司")+SUMIFS('2月数据源'!J:J,'2月数据源'!D:D,E95,'2月数据源'!F:F,"浙江精准学科技有限公司")</f>
        <v/>
      </c>
      <c r="H95" s="89">
        <f>-SUMIFS('3月数据源'!I:I,'3月数据源'!D:D,E95,'3月数据源'!F:F,"浙江精准学科技有限公司")+SUMIFS('3月数据源'!J:J,'3月数据源'!D:D,E95,'3月数据源'!F:F,"浙江精准学科技有限公司")</f>
        <v/>
      </c>
      <c r="I95" s="89">
        <f>-SUMIFS('4月数据源'!I:I,'4月数据源'!D:D,E95,'4月数据源'!F:F,"浙江精准学科技有限公司")+SUMIFS('4月数据源'!J:J,'4月数据源'!D:D,E95,'4月数据源'!F:F,"浙江精准学科技有限公司")</f>
        <v/>
      </c>
      <c r="J95" s="89">
        <f>-SUMIFS('5月数据源'!I:I,'5月数据源'!D:D,E95,'5月数据源'!F:F,"浙江精准学科技有限公司")+SUMIFS('5月数据源'!J:J,'5月数据源'!D:D,E95,'5月数据源'!F:F,"浙江精准学科技有限公司")</f>
        <v/>
      </c>
      <c r="K95" s="89">
        <f>-SUMIFS('6月数据源'!$I:$I,'6月数据源'!$D:$D,$E95,'6月数据源'!$F:$F,"浙江精准学科技有限公司")+SUMIFS('6月数据源'!$J:$J,'6月数据源'!$D:$D,$E95,'6月数据源'!$F:$F,"浙江精准学科技有限公司")</f>
        <v/>
      </c>
      <c r="L95" s="89">
        <f>-SUMIFS('7月数据源'!$I:$I,'7月数据源'!$D:$D,$E95,'7月数据源'!$F:$F,"浙江精准学科技有限公司")+SUMIFS('7月数据源'!$J:$J,'7月数据源'!$D:$D,$E95,'7月数据源'!$F:$F,"浙江精准学科技有限公司")</f>
        <v/>
      </c>
      <c r="M95" s="89">
        <f>-SUMIFS('8月数据源'!$I:$I,'8月数据源'!$D:$D,$E95,'8月数据源'!$F:$F,"浙江精准学科技有限公司")+SUMIFS('8月数据源'!$J:$J,'8月数据源'!$D:$D,$E95,'8月数据源'!$F:$F,"浙江精准学科技有限公司")</f>
        <v/>
      </c>
      <c r="N95" s="89">
        <f>-SUMIFS('9月数据源'!$I:$I,'9月数据源'!$D:$D,$E95,'9月数据源'!$F:$F,"浙江精准学科技有限公司")+SUMIFS('9月数据源'!$J:$J,'9月数据源'!$D:$D,$E95,'9月数据源'!$F:$F,"浙江精准学科技有限公司")</f>
        <v/>
      </c>
      <c r="O95" s="89">
        <f>-SUMIFS('10月数据源'!$I:$I,'10月数据源'!$D:$D,$E95,'10月数据源'!$F:$F,"浙江精准学科技有限公司")+SUMIFS('10月数据源'!$J:$J,'10月数据源'!$D:$D,$E95,'10月数据源'!$F:$F,"浙江精准学科技有限公司")</f>
        <v/>
      </c>
      <c r="P95" s="89">
        <f>-SUMIFS('11月数据源'!$I:$I,'11月数据源'!$D:$D,$E95,'11月数据源'!$F:$F,"浙江精准学科技有限公司")+SUMIFS('11月数据源'!$J:$J,'11月数据源'!$D:$D,$E95,'11月数据源'!$F:$F,"浙江精准学科技有限公司")</f>
        <v/>
      </c>
      <c r="Q95" s="89">
        <f>-SUMIFS('12月数据源'!$I:$I,'12月数据源'!$D:$D,$E95,'12月数据源'!$F:$F,"浙江精准学科技有限公司")+SUMIFS('12月数据源'!$J:$J,'12月数据源'!$D:$D,$E95,'12月数据源'!$F:$F,"浙江精准学科技有限公司")</f>
        <v/>
      </c>
    </row>
    <row r="96" s="83">
      <c r="A96" s="5" t="inlineStr">
        <is>
          <t>研发支出</t>
        </is>
      </c>
      <c r="B96" s="6" t="inlineStr">
        <is>
          <t>研发-服务费</t>
        </is>
      </c>
      <c r="D96" s="5" t="inlineStr">
        <is>
          <t>知识产权服务费</t>
        </is>
      </c>
      <c r="E96" s="6" t="inlineStr">
        <is>
          <t>Q1603</t>
        </is>
      </c>
      <c r="F96" s="89">
        <f>-SUMIFS('1月数据源'!I:I,'1月数据源'!D:D,E96,'1月数据源'!F:F,"浙江精准学科技有限公司")+SUMIFS('1月数据源'!J:J,'1月数据源'!D:D,E96,'1月数据源'!F:F,"浙江精准学科技有限公司")</f>
        <v/>
      </c>
      <c r="G96" s="89">
        <f>-SUMIFS('2月数据源'!I:I,'2月数据源'!D:D,E96,'2月数据源'!F:F,"浙江精准学科技有限公司")+SUMIFS('2月数据源'!J:J,'2月数据源'!D:D,E96,'2月数据源'!F:F,"浙江精准学科技有限公司")</f>
        <v/>
      </c>
      <c r="H96" s="89">
        <f>-SUMIFS('3月数据源'!I:I,'3月数据源'!D:D,E96,'3月数据源'!F:F,"浙江精准学科技有限公司")+SUMIFS('3月数据源'!J:J,'3月数据源'!D:D,E96,'3月数据源'!F:F,"浙江精准学科技有限公司")</f>
        <v/>
      </c>
      <c r="I96" s="89">
        <f>-SUMIFS('4月数据源'!I:I,'4月数据源'!D:D,E96,'4月数据源'!F:F,"浙江精准学科技有限公司")+SUMIFS('4月数据源'!J:J,'4月数据源'!D:D,E96,'4月数据源'!F:F,"浙江精准学科技有限公司")</f>
        <v/>
      </c>
      <c r="J96" s="89">
        <f>-SUMIFS('5月数据源'!I:I,'5月数据源'!D:D,E96,'5月数据源'!F:F,"浙江精准学科技有限公司")+SUMIFS('5月数据源'!J:J,'5月数据源'!D:D,E96,'5月数据源'!F:F,"浙江精准学科技有限公司")</f>
        <v/>
      </c>
      <c r="K96" s="89">
        <f>-SUMIFS('6月数据源'!$I:$I,'6月数据源'!$D:$D,$E96,'6月数据源'!$F:$F,"浙江精准学科技有限公司")+SUMIFS('6月数据源'!$J:$J,'6月数据源'!$D:$D,$E96,'6月数据源'!$F:$F,"浙江精准学科技有限公司")</f>
        <v/>
      </c>
      <c r="L96" s="89">
        <f>-SUMIFS('7月数据源'!$I:$I,'7月数据源'!$D:$D,$E96,'7月数据源'!$F:$F,"浙江精准学科技有限公司")+SUMIFS('7月数据源'!$J:$J,'7月数据源'!$D:$D,$E96,'7月数据源'!$F:$F,"浙江精准学科技有限公司")</f>
        <v/>
      </c>
      <c r="M96" s="89">
        <f>-SUMIFS('8月数据源'!$I:$I,'8月数据源'!$D:$D,$E96,'8月数据源'!$F:$F,"浙江精准学科技有限公司")+SUMIFS('8月数据源'!$J:$J,'8月数据源'!$D:$D,$E96,'8月数据源'!$F:$F,"浙江精准学科技有限公司")</f>
        <v/>
      </c>
      <c r="N96" s="89">
        <f>-SUMIFS('9月数据源'!$I:$I,'9月数据源'!$D:$D,$E96,'9月数据源'!$F:$F,"浙江精准学科技有限公司")+SUMIFS('9月数据源'!$J:$J,'9月数据源'!$D:$D,$E96,'9月数据源'!$F:$F,"浙江精准学科技有限公司")</f>
        <v/>
      </c>
      <c r="O96" s="89">
        <f>-SUMIFS('10月数据源'!$I:$I,'10月数据源'!$D:$D,$E96,'10月数据源'!$F:$F,"浙江精准学科技有限公司")+SUMIFS('10月数据源'!$J:$J,'10月数据源'!$D:$D,$E96,'10月数据源'!$F:$F,"浙江精准学科技有限公司")</f>
        <v/>
      </c>
      <c r="P96" s="89">
        <f>-SUMIFS('11月数据源'!$I:$I,'11月数据源'!$D:$D,$E96,'11月数据源'!$F:$F,"浙江精准学科技有限公司")+SUMIFS('11月数据源'!$J:$J,'11月数据源'!$D:$D,$E96,'11月数据源'!$F:$F,"浙江精准学科技有限公司")</f>
        <v/>
      </c>
      <c r="Q96" s="89">
        <f>-SUMIFS('12月数据源'!$I:$I,'12月数据源'!$D:$D,$E96,'12月数据源'!$F:$F,"浙江精准学科技有限公司")+SUMIFS('12月数据源'!$J:$J,'12月数据源'!$D:$D,$E96,'12月数据源'!$F:$F,"浙江精准学科技有限公司")</f>
        <v/>
      </c>
    </row>
    <row r="97" s="83">
      <c r="A97" s="5" t="inlineStr">
        <is>
          <t>研发支出</t>
        </is>
      </c>
      <c r="B97" s="6" t="inlineStr">
        <is>
          <t>研发-费用报销</t>
        </is>
      </c>
      <c r="C97" s="6" t="inlineStr">
        <is>
          <t>研发-费用报销</t>
        </is>
      </c>
      <c r="D97" s="5" t="inlineStr">
        <is>
          <t>研发员工报销</t>
        </is>
      </c>
      <c r="E97" s="6" t="inlineStr">
        <is>
          <t>Q1701</t>
        </is>
      </c>
      <c r="F97" s="89">
        <f>-SUMIFS('1月数据源'!I:I,'1月数据源'!D:D,E97,'1月数据源'!F:F,"浙江精准学科技有限公司")+SUMIFS('1月数据源'!J:J,'1月数据源'!D:D,E97,'1月数据源'!F:F,"浙江精准学科技有限公司")</f>
        <v/>
      </c>
      <c r="G97" s="89">
        <f>-SUMIFS('2月数据源'!I:I,'2月数据源'!D:D,E97,'2月数据源'!F:F,"浙江精准学科技有限公司")+SUMIFS('2月数据源'!J:J,'2月数据源'!D:D,E97,'2月数据源'!F:F,"浙江精准学科技有限公司")</f>
        <v/>
      </c>
      <c r="H97" s="89">
        <f>-SUMIFS('3月数据源'!I:I,'3月数据源'!D:D,E97,'3月数据源'!F:F,"浙江精准学科技有限公司")+SUMIFS('3月数据源'!J:J,'3月数据源'!D:D,E97,'3月数据源'!F:F,"浙江精准学科技有限公司")</f>
        <v/>
      </c>
      <c r="I97" s="89">
        <f>-SUMIFS('4月数据源'!I:I,'4月数据源'!D:D,E97,'4月数据源'!F:F,"浙江精准学科技有限公司")+SUMIFS('4月数据源'!J:J,'4月数据源'!D:D,E97,'4月数据源'!F:F,"浙江精准学科技有限公司")</f>
        <v/>
      </c>
      <c r="J97" s="89">
        <f>-SUMIFS('5月数据源'!I:I,'5月数据源'!D:D,E97,'5月数据源'!F:F,"浙江精准学科技有限公司")+SUMIFS('5月数据源'!J:J,'5月数据源'!D:D,E97,'5月数据源'!F:F,"浙江精准学科技有限公司")</f>
        <v/>
      </c>
      <c r="K97" s="89">
        <f>-SUMIFS('6月数据源'!$I:$I,'6月数据源'!$D:$D,$E97,'6月数据源'!$F:$F,"浙江精准学科技有限公司")+SUMIFS('6月数据源'!$J:$J,'6月数据源'!$D:$D,$E97,'6月数据源'!$F:$F,"浙江精准学科技有限公司")</f>
        <v/>
      </c>
      <c r="L97" s="89">
        <f>-SUMIFS('7月数据源'!$I:$I,'7月数据源'!$D:$D,$E97,'7月数据源'!$F:$F,"浙江精准学科技有限公司")+SUMIFS('7月数据源'!$J:$J,'7月数据源'!$D:$D,$E97,'7月数据源'!$F:$F,"浙江精准学科技有限公司")</f>
        <v/>
      </c>
      <c r="M97" s="89">
        <f>-SUMIFS('8月数据源'!$I:$I,'8月数据源'!$D:$D,$E97,'8月数据源'!$F:$F,"浙江精准学科技有限公司")+SUMIFS('8月数据源'!$J:$J,'8月数据源'!$D:$D,$E97,'8月数据源'!$F:$F,"浙江精准学科技有限公司")</f>
        <v/>
      </c>
      <c r="N97" s="89">
        <f>-SUMIFS('9月数据源'!$I:$I,'9月数据源'!$D:$D,$E97,'9月数据源'!$F:$F,"浙江精准学科技有限公司")+SUMIFS('9月数据源'!$J:$J,'9月数据源'!$D:$D,$E97,'9月数据源'!$F:$F,"浙江精准学科技有限公司")</f>
        <v/>
      </c>
      <c r="O97" s="89">
        <f>-SUMIFS('10月数据源'!$I:$I,'10月数据源'!$D:$D,$E97,'10月数据源'!$F:$F,"浙江精准学科技有限公司")+SUMIFS('10月数据源'!$J:$J,'10月数据源'!$D:$D,$E97,'10月数据源'!$F:$F,"浙江精准学科技有限公司")</f>
        <v/>
      </c>
      <c r="P97" s="89">
        <f>-SUMIFS('11月数据源'!$I:$I,'11月数据源'!$D:$D,$E97,'11月数据源'!$F:$F,"浙江精准学科技有限公司")+SUMIFS('11月数据源'!$J:$J,'11月数据源'!$D:$D,$E97,'11月数据源'!$F:$F,"浙江精准学科技有限公司")</f>
        <v/>
      </c>
      <c r="Q97" s="89">
        <f>-SUMIFS('12月数据源'!$I:$I,'12月数据源'!$D:$D,$E97,'12月数据源'!$F:$F,"浙江精准学科技有限公司")+SUMIFS('12月数据源'!$J:$J,'12月数据源'!$D:$D,$E97,'12月数据源'!$F:$F,"浙江精准学科技有限公司")</f>
        <v/>
      </c>
    </row>
    <row r="98" s="83">
      <c r="A98" s="49" t="inlineStr">
        <is>
          <t>研发支出合计</t>
        </is>
      </c>
      <c r="B98" s="50" t="n"/>
      <c r="C98" s="50" t="n"/>
      <c r="D98" s="49" t="n"/>
      <c r="E98" s="49" t="n"/>
      <c r="F98" s="89">
        <f>SUM(F70:F97)</f>
        <v/>
      </c>
      <c r="G98" s="89">
        <f>SUM(G70:G97)</f>
        <v/>
      </c>
      <c r="H98" s="89">
        <f>SUM(H70:H97)</f>
        <v/>
      </c>
      <c r="I98" s="89">
        <f>SUM(I70:I97)</f>
        <v/>
      </c>
      <c r="J98" s="89">
        <f>SUM(J70:J97)</f>
        <v/>
      </c>
      <c r="K98" s="89">
        <f>SUM(K70:K97)</f>
        <v/>
      </c>
      <c r="L98" s="89">
        <f>SUM(L70:L97)</f>
        <v/>
      </c>
      <c r="M98" s="89">
        <f>SUM(M70:M97)</f>
        <v/>
      </c>
      <c r="N98" s="89">
        <f>SUM(N70:N97)</f>
        <v/>
      </c>
      <c r="O98" s="89">
        <f>SUM(O70:O97)</f>
        <v/>
      </c>
      <c r="P98" s="89">
        <f>SUM(P70:P97)</f>
        <v/>
      </c>
      <c r="Q98" s="89">
        <f>SUM(Q70:Q97)</f>
        <v/>
      </c>
    </row>
    <row r="99" s="83">
      <c r="A99" s="5" t="inlineStr">
        <is>
          <t>销售费用</t>
        </is>
      </c>
      <c r="B99" s="6" t="inlineStr">
        <is>
          <t>品牌建设</t>
        </is>
      </c>
      <c r="C99" s="6" t="inlineStr">
        <is>
          <t>品牌建设</t>
        </is>
      </c>
      <c r="D99" s="5" t="inlineStr">
        <is>
          <t>媒体采购</t>
        </is>
      </c>
      <c r="E99" s="6" t="inlineStr">
        <is>
          <t>Q1801</t>
        </is>
      </c>
      <c r="F99" s="89">
        <f>-SUMIFS('1月数据源'!I:I,'1月数据源'!D:D,E99,'1月数据源'!F:F,"浙江精准学科技有限公司")+SUMIFS('1月数据源'!J:J,'1月数据源'!D:D,E99,'1月数据源'!F:F,"浙江精准学科技有限公司")</f>
        <v/>
      </c>
      <c r="G99" s="89">
        <f>-SUMIFS('2月数据源'!I:I,'2月数据源'!D:D,E99,'2月数据源'!F:F,"浙江精准学科技有限公司")+SUMIFS('2月数据源'!J:J,'2月数据源'!D:D,E99,'2月数据源'!F:F,"浙江精准学科技有限公司")</f>
        <v/>
      </c>
      <c r="H99" s="89">
        <f>-SUMIFS('3月数据源'!I:I,'3月数据源'!D:D,E99,'3月数据源'!F:F,"浙江精准学科技有限公司")+SUMIFS('3月数据源'!J:J,'3月数据源'!D:D,E99,'3月数据源'!F:F,"浙江精准学科技有限公司")</f>
        <v/>
      </c>
      <c r="I99" s="89">
        <f>-SUMIFS('4月数据源'!I:I,'4月数据源'!D:D,E99,'4月数据源'!F:F,"浙江精准学科技有限公司")+SUMIFS('4月数据源'!J:J,'4月数据源'!D:D,E99,'4月数据源'!F:F,"浙江精准学科技有限公司")</f>
        <v/>
      </c>
      <c r="J99" s="89">
        <f>-SUMIFS('5月数据源'!I:I,'5月数据源'!D:D,E99,'5月数据源'!F:F,"浙江精准学科技有限公司")+SUMIFS('5月数据源'!J:J,'5月数据源'!D:D,E99,'5月数据源'!F:F,"浙江精准学科技有限公司")</f>
        <v/>
      </c>
      <c r="K99" s="89">
        <f>-SUMIFS('6月数据源'!$I:$I,'6月数据源'!$D:$D,$E99,'6月数据源'!$F:$F,"浙江精准学科技有限公司")+SUMIFS('6月数据源'!$J:$J,'6月数据源'!$D:$D,$E99,'6月数据源'!$F:$F,"浙江精准学科技有限公司")</f>
        <v/>
      </c>
      <c r="L99" s="89">
        <f>-SUMIFS('7月数据源'!$I:$I,'7月数据源'!$D:$D,$E99,'7月数据源'!$F:$F,"浙江精准学科技有限公司")+SUMIFS('7月数据源'!$J:$J,'7月数据源'!$D:$D,$E99,'7月数据源'!$F:$F,"浙江精准学科技有限公司")</f>
        <v/>
      </c>
      <c r="M99" s="89">
        <f>-SUMIFS('8月数据源'!$I:$I,'8月数据源'!$D:$D,$E99,'8月数据源'!$F:$F,"浙江精准学科技有限公司")+SUMIFS('8月数据源'!$J:$J,'8月数据源'!$D:$D,$E99,'8月数据源'!$F:$F,"浙江精准学科技有限公司")</f>
        <v/>
      </c>
      <c r="N99" s="89">
        <f>-SUMIFS('9月数据源'!$I:$I,'9月数据源'!$D:$D,$E99,'9月数据源'!$F:$F,"浙江精准学科技有限公司")+SUMIFS('9月数据源'!$J:$J,'9月数据源'!$D:$D,$E99,'9月数据源'!$F:$F,"浙江精准学科技有限公司")</f>
        <v/>
      </c>
      <c r="O99" s="89">
        <f>-SUMIFS('10月数据源'!$I:$I,'10月数据源'!$D:$D,$E99,'10月数据源'!$F:$F,"浙江精准学科技有限公司")+SUMIFS('10月数据源'!$J:$J,'10月数据源'!$D:$D,$E99,'10月数据源'!$F:$F,"浙江精准学科技有限公司")</f>
        <v/>
      </c>
      <c r="P99" s="89">
        <f>-SUMIFS('11月数据源'!$I:$I,'11月数据源'!$D:$D,$E99,'11月数据源'!$F:$F,"浙江精准学科技有限公司")+SUMIFS('11月数据源'!$J:$J,'11月数据源'!$D:$D,$E99,'11月数据源'!$F:$F,"浙江精准学科技有限公司")</f>
        <v/>
      </c>
      <c r="Q99" s="89">
        <f>-SUMIFS('12月数据源'!$I:$I,'12月数据源'!$D:$D,$E99,'12月数据源'!$F:$F,"浙江精准学科技有限公司")+SUMIFS('12月数据源'!$J:$J,'12月数据源'!$D:$D,$E99,'12月数据源'!$F:$F,"浙江精准学科技有限公司")</f>
        <v/>
      </c>
    </row>
    <row r="100" s="83">
      <c r="A100" s="5" t="inlineStr">
        <is>
          <t>销售费用</t>
        </is>
      </c>
      <c r="B100" s="6" t="inlineStr">
        <is>
          <t>品牌建设</t>
        </is>
      </c>
      <c r="D100" s="5" t="inlineStr">
        <is>
          <t>舆情服务</t>
        </is>
      </c>
      <c r="E100" s="6" t="inlineStr">
        <is>
          <t>Q1802</t>
        </is>
      </c>
      <c r="F100" s="89">
        <f>-SUMIFS('1月数据源'!I:I,'1月数据源'!D:D,E100,'1月数据源'!F:F,"浙江精准学科技有限公司")+SUMIFS('1月数据源'!J:J,'1月数据源'!D:D,E100,'1月数据源'!F:F,"浙江精准学科技有限公司")</f>
        <v/>
      </c>
      <c r="G100" s="89">
        <f>-SUMIFS('2月数据源'!I:I,'2月数据源'!D:D,E100,'2月数据源'!F:F,"浙江精准学科技有限公司")+SUMIFS('2月数据源'!J:J,'2月数据源'!D:D,E100,'2月数据源'!F:F,"浙江精准学科技有限公司")</f>
        <v/>
      </c>
      <c r="H100" s="89">
        <f>-SUMIFS('3月数据源'!I:I,'3月数据源'!D:D,E100,'3月数据源'!F:F,"浙江精准学科技有限公司")+SUMIFS('3月数据源'!J:J,'3月数据源'!D:D,E100,'3月数据源'!F:F,"浙江精准学科技有限公司")</f>
        <v/>
      </c>
      <c r="I100" s="89">
        <f>-SUMIFS('4月数据源'!I:I,'4月数据源'!D:D,E100,'4月数据源'!F:F,"浙江精准学科技有限公司")+SUMIFS('4月数据源'!J:J,'4月数据源'!D:D,E100,'4月数据源'!F:F,"浙江精准学科技有限公司")</f>
        <v/>
      </c>
      <c r="J100" s="89">
        <f>-SUMIFS('5月数据源'!I:I,'5月数据源'!D:D,E100,'5月数据源'!F:F,"浙江精准学科技有限公司")+SUMIFS('5月数据源'!J:J,'5月数据源'!D:D,E100,'5月数据源'!F:F,"浙江精准学科技有限公司")</f>
        <v/>
      </c>
      <c r="K100" s="89">
        <f>-SUMIFS('6月数据源'!$I:$I,'6月数据源'!$D:$D,$E100,'6月数据源'!$F:$F,"浙江精准学科技有限公司")+SUMIFS('6月数据源'!$J:$J,'6月数据源'!$D:$D,$E100,'6月数据源'!$F:$F,"浙江精准学科技有限公司")</f>
        <v/>
      </c>
      <c r="L100" s="89">
        <f>-SUMIFS('7月数据源'!$I:$I,'7月数据源'!$D:$D,$E100,'7月数据源'!$F:$F,"浙江精准学科技有限公司")+SUMIFS('7月数据源'!$J:$J,'7月数据源'!$D:$D,$E100,'7月数据源'!$F:$F,"浙江精准学科技有限公司")</f>
        <v/>
      </c>
      <c r="M100" s="89">
        <f>-SUMIFS('8月数据源'!$I:$I,'8月数据源'!$D:$D,$E100,'8月数据源'!$F:$F,"浙江精准学科技有限公司")+SUMIFS('8月数据源'!$J:$J,'8月数据源'!$D:$D,$E100,'8月数据源'!$F:$F,"浙江精准学科技有限公司")</f>
        <v/>
      </c>
      <c r="N100" s="89">
        <f>-SUMIFS('9月数据源'!$I:$I,'9月数据源'!$D:$D,$E100,'9月数据源'!$F:$F,"浙江精准学科技有限公司")+SUMIFS('9月数据源'!$J:$J,'9月数据源'!$D:$D,$E100,'9月数据源'!$F:$F,"浙江精准学科技有限公司")</f>
        <v/>
      </c>
      <c r="O100" s="89">
        <f>-SUMIFS('10月数据源'!$I:$I,'10月数据源'!$D:$D,$E100,'10月数据源'!$F:$F,"浙江精准学科技有限公司")+SUMIFS('10月数据源'!$J:$J,'10月数据源'!$D:$D,$E100,'10月数据源'!$F:$F,"浙江精准学科技有限公司")</f>
        <v/>
      </c>
      <c r="P100" s="89">
        <f>-SUMIFS('11月数据源'!$I:$I,'11月数据源'!$D:$D,$E100,'11月数据源'!$F:$F,"浙江精准学科技有限公司")+SUMIFS('11月数据源'!$J:$J,'11月数据源'!$D:$D,$E100,'11月数据源'!$F:$F,"浙江精准学科技有限公司")</f>
        <v/>
      </c>
      <c r="Q100" s="89">
        <f>-SUMIFS('12月数据源'!$I:$I,'12月数据源'!$D:$D,$E100,'12月数据源'!$F:$F,"浙江精准学科技有限公司")+SUMIFS('12月数据源'!$J:$J,'12月数据源'!$D:$D,$E100,'12月数据源'!$F:$F,"浙江精准学科技有限公司")</f>
        <v/>
      </c>
    </row>
    <row r="101" s="83">
      <c r="A101" s="5" t="inlineStr">
        <is>
          <t>销售费用</t>
        </is>
      </c>
      <c r="B101" s="6" t="inlineStr">
        <is>
          <t>品牌建设</t>
        </is>
      </c>
      <c r="D101" s="5" t="inlineStr">
        <is>
          <t>会务服务</t>
        </is>
      </c>
      <c r="E101" s="6" t="inlineStr">
        <is>
          <t>Q1803</t>
        </is>
      </c>
      <c r="F101" s="89">
        <f>-SUMIFS('1月数据源'!I:I,'1月数据源'!D:D,E101,'1月数据源'!F:F,"浙江精准学科技有限公司")+SUMIFS('1月数据源'!J:J,'1月数据源'!D:D,E101,'1月数据源'!F:F,"浙江精准学科技有限公司")</f>
        <v/>
      </c>
      <c r="G101" s="89">
        <f>-SUMIFS('2月数据源'!I:I,'2月数据源'!D:D,E101,'2月数据源'!F:F,"浙江精准学科技有限公司")+SUMIFS('2月数据源'!J:J,'2月数据源'!D:D,E101,'2月数据源'!F:F,"浙江精准学科技有限公司")</f>
        <v/>
      </c>
      <c r="H101" s="89">
        <f>-SUMIFS('3月数据源'!I:I,'3月数据源'!D:D,E101,'3月数据源'!F:F,"浙江精准学科技有限公司")+SUMIFS('3月数据源'!J:J,'3月数据源'!D:D,E101,'3月数据源'!F:F,"浙江精准学科技有限公司")</f>
        <v/>
      </c>
      <c r="I101" s="89">
        <f>-SUMIFS('4月数据源'!I:I,'4月数据源'!D:D,E101,'4月数据源'!F:F,"浙江精准学科技有限公司")+SUMIFS('4月数据源'!J:J,'4月数据源'!D:D,E101,'4月数据源'!F:F,"浙江精准学科技有限公司")</f>
        <v/>
      </c>
      <c r="J101" s="89">
        <f>-SUMIFS('5月数据源'!I:I,'5月数据源'!D:D,E101,'5月数据源'!F:F,"浙江精准学科技有限公司")+SUMIFS('5月数据源'!J:J,'5月数据源'!D:D,E101,'5月数据源'!F:F,"浙江精准学科技有限公司")</f>
        <v/>
      </c>
      <c r="K101" s="89">
        <f>-SUMIFS('6月数据源'!$I:$I,'6月数据源'!$D:$D,$E101,'6月数据源'!$F:$F,"浙江精准学科技有限公司")+SUMIFS('6月数据源'!$J:$J,'6月数据源'!$D:$D,$E101,'6月数据源'!$F:$F,"浙江精准学科技有限公司")</f>
        <v/>
      </c>
      <c r="L101" s="89">
        <f>-SUMIFS('7月数据源'!$I:$I,'7月数据源'!$D:$D,$E101,'7月数据源'!$F:$F,"浙江精准学科技有限公司")+SUMIFS('7月数据源'!$J:$J,'7月数据源'!$D:$D,$E101,'7月数据源'!$F:$F,"浙江精准学科技有限公司")</f>
        <v/>
      </c>
      <c r="M101" s="89">
        <f>-SUMIFS('8月数据源'!$I:$I,'8月数据源'!$D:$D,$E101,'8月数据源'!$F:$F,"浙江精准学科技有限公司")+SUMIFS('8月数据源'!$J:$J,'8月数据源'!$D:$D,$E101,'8月数据源'!$F:$F,"浙江精准学科技有限公司")</f>
        <v/>
      </c>
      <c r="N101" s="89">
        <f>-SUMIFS('9月数据源'!$I:$I,'9月数据源'!$D:$D,$E101,'9月数据源'!$F:$F,"浙江精准学科技有限公司")+SUMIFS('9月数据源'!$J:$J,'9月数据源'!$D:$D,$E101,'9月数据源'!$F:$F,"浙江精准学科技有限公司")</f>
        <v/>
      </c>
      <c r="O101" s="89">
        <f>-SUMIFS('10月数据源'!$I:$I,'10月数据源'!$D:$D,$E101,'10月数据源'!$F:$F,"浙江精准学科技有限公司")+SUMIFS('10月数据源'!$J:$J,'10月数据源'!$D:$D,$E101,'10月数据源'!$F:$F,"浙江精准学科技有限公司")</f>
        <v/>
      </c>
      <c r="P101" s="89">
        <f>-SUMIFS('11月数据源'!$I:$I,'11月数据源'!$D:$D,$E101,'11月数据源'!$F:$F,"浙江精准学科技有限公司")+SUMIFS('11月数据源'!$J:$J,'11月数据源'!$D:$D,$E101,'11月数据源'!$F:$F,"浙江精准学科技有限公司")</f>
        <v/>
      </c>
      <c r="Q101" s="89">
        <f>-SUMIFS('12月数据源'!$I:$I,'12月数据源'!$D:$D,$E101,'12月数据源'!$F:$F,"浙江精准学科技有限公司")+SUMIFS('12月数据源'!$J:$J,'12月数据源'!$D:$D,$E101,'12月数据源'!$F:$F,"浙江精准学科技有限公司")</f>
        <v/>
      </c>
    </row>
    <row r="102" s="83">
      <c r="A102" s="5" t="inlineStr">
        <is>
          <t>销售费用</t>
        </is>
      </c>
      <c r="B102" s="6" t="inlineStr">
        <is>
          <t>品牌建设</t>
        </is>
      </c>
      <c r="D102" s="5" t="inlineStr">
        <is>
          <t>场地搭建</t>
        </is>
      </c>
      <c r="E102" s="6" t="inlineStr">
        <is>
          <t>Q1804</t>
        </is>
      </c>
      <c r="F102" s="89">
        <f>-SUMIFS('1月数据源'!I:I,'1月数据源'!D:D,E102,'1月数据源'!F:F,"浙江精准学科技有限公司")+SUMIFS('1月数据源'!J:J,'1月数据源'!D:D,E102,'1月数据源'!F:F,"浙江精准学科技有限公司")</f>
        <v/>
      </c>
      <c r="G102" s="89">
        <f>-SUMIFS('2月数据源'!I:I,'2月数据源'!D:D,E102,'2月数据源'!F:F,"浙江精准学科技有限公司")+SUMIFS('2月数据源'!J:J,'2月数据源'!D:D,E102,'2月数据源'!F:F,"浙江精准学科技有限公司")</f>
        <v/>
      </c>
      <c r="H102" s="89">
        <f>-SUMIFS('3月数据源'!I:I,'3月数据源'!D:D,E102,'3月数据源'!F:F,"浙江精准学科技有限公司")+SUMIFS('3月数据源'!J:J,'3月数据源'!D:D,E102,'3月数据源'!F:F,"浙江精准学科技有限公司")</f>
        <v/>
      </c>
      <c r="I102" s="89">
        <f>-SUMIFS('4月数据源'!I:I,'4月数据源'!D:D,E102,'4月数据源'!F:F,"浙江精准学科技有限公司")+SUMIFS('4月数据源'!J:J,'4月数据源'!D:D,E102,'4月数据源'!F:F,"浙江精准学科技有限公司")</f>
        <v/>
      </c>
      <c r="J102" s="89">
        <f>-SUMIFS('5月数据源'!I:I,'5月数据源'!D:D,E102,'5月数据源'!F:F,"浙江精准学科技有限公司")+SUMIFS('5月数据源'!J:J,'5月数据源'!D:D,E102,'5月数据源'!F:F,"浙江精准学科技有限公司")</f>
        <v/>
      </c>
      <c r="K102" s="89">
        <f>-SUMIFS('6月数据源'!$I:$I,'6月数据源'!$D:$D,$E102,'6月数据源'!$F:$F,"浙江精准学科技有限公司")+SUMIFS('6月数据源'!$J:$J,'6月数据源'!$D:$D,$E102,'6月数据源'!$F:$F,"浙江精准学科技有限公司")</f>
        <v/>
      </c>
      <c r="L102" s="89">
        <f>-SUMIFS('7月数据源'!$I:$I,'7月数据源'!$D:$D,$E102,'7月数据源'!$F:$F,"浙江精准学科技有限公司")+SUMIFS('7月数据源'!$J:$J,'7月数据源'!$D:$D,$E102,'7月数据源'!$F:$F,"浙江精准学科技有限公司")</f>
        <v/>
      </c>
      <c r="M102" s="89">
        <f>-SUMIFS('8月数据源'!$I:$I,'8月数据源'!$D:$D,$E102,'8月数据源'!$F:$F,"浙江精准学科技有限公司")+SUMIFS('8月数据源'!$J:$J,'8月数据源'!$D:$D,$E102,'8月数据源'!$F:$F,"浙江精准学科技有限公司")</f>
        <v/>
      </c>
      <c r="N102" s="89">
        <f>-SUMIFS('9月数据源'!$I:$I,'9月数据源'!$D:$D,$E102,'9月数据源'!$F:$F,"浙江精准学科技有限公司")+SUMIFS('9月数据源'!$J:$J,'9月数据源'!$D:$D,$E102,'9月数据源'!$F:$F,"浙江精准学科技有限公司")</f>
        <v/>
      </c>
      <c r="O102" s="89">
        <f>-SUMIFS('10月数据源'!$I:$I,'10月数据源'!$D:$D,$E102,'10月数据源'!$F:$F,"浙江精准学科技有限公司")+SUMIFS('10月数据源'!$J:$J,'10月数据源'!$D:$D,$E102,'10月数据源'!$F:$F,"浙江精准学科技有限公司")</f>
        <v/>
      </c>
      <c r="P102" s="89">
        <f>-SUMIFS('11月数据源'!$I:$I,'11月数据源'!$D:$D,$E102,'11月数据源'!$F:$F,"浙江精准学科技有限公司")+SUMIFS('11月数据源'!$J:$J,'11月数据源'!$D:$D,$E102,'11月数据源'!$F:$F,"浙江精准学科技有限公司")</f>
        <v/>
      </c>
      <c r="Q102" s="89">
        <f>-SUMIFS('12月数据源'!$I:$I,'12月数据源'!$D:$D,$E102,'12月数据源'!$F:$F,"浙江精准学科技有限公司")+SUMIFS('12月数据源'!$J:$J,'12月数据源'!$D:$D,$E102,'12月数据源'!$F:$F,"浙江精准学科技有限公司")</f>
        <v/>
      </c>
    </row>
    <row r="103" s="83">
      <c r="A103" s="5" t="inlineStr">
        <is>
          <t>销售费用</t>
        </is>
      </c>
      <c r="B103" s="6" t="inlineStr">
        <is>
          <t>品牌建设</t>
        </is>
      </c>
      <c r="D103" s="5" t="inlineStr">
        <is>
          <t>素材拍摄</t>
        </is>
      </c>
      <c r="E103" s="6" t="inlineStr">
        <is>
          <t>Q1805</t>
        </is>
      </c>
      <c r="F103" s="89">
        <f>-SUMIFS('1月数据源'!I:I,'1月数据源'!D:D,E103,'1月数据源'!F:F,"浙江精准学科技有限公司")+SUMIFS('1月数据源'!J:J,'1月数据源'!D:D,E103,'1月数据源'!F:F,"浙江精准学科技有限公司")</f>
        <v/>
      </c>
      <c r="G103" s="89">
        <f>-SUMIFS('2月数据源'!I:I,'2月数据源'!D:D,E103,'2月数据源'!F:F,"浙江精准学科技有限公司")+SUMIFS('2月数据源'!J:J,'2月数据源'!D:D,E103,'2月数据源'!F:F,"浙江精准学科技有限公司")</f>
        <v/>
      </c>
      <c r="H103" s="89">
        <f>-SUMIFS('3月数据源'!I:I,'3月数据源'!D:D,E103,'3月数据源'!F:F,"浙江精准学科技有限公司")+SUMIFS('3月数据源'!J:J,'3月数据源'!D:D,E103,'3月数据源'!F:F,"浙江精准学科技有限公司")</f>
        <v/>
      </c>
      <c r="I103" s="89">
        <f>-SUMIFS('4月数据源'!I:I,'4月数据源'!D:D,E103,'4月数据源'!F:F,"浙江精准学科技有限公司")+SUMIFS('4月数据源'!J:J,'4月数据源'!D:D,E103,'4月数据源'!F:F,"浙江精准学科技有限公司")</f>
        <v/>
      </c>
      <c r="J103" s="89">
        <f>-SUMIFS('5月数据源'!I:I,'5月数据源'!D:D,E103,'5月数据源'!F:F,"浙江精准学科技有限公司")+SUMIFS('5月数据源'!J:J,'5月数据源'!D:D,E103,'5月数据源'!F:F,"浙江精准学科技有限公司")</f>
        <v/>
      </c>
      <c r="K103" s="89">
        <f>-SUMIFS('6月数据源'!$I:$I,'6月数据源'!$D:$D,$E103,'6月数据源'!$F:$F,"浙江精准学科技有限公司")+SUMIFS('6月数据源'!$J:$J,'6月数据源'!$D:$D,$E103,'6月数据源'!$F:$F,"浙江精准学科技有限公司")</f>
        <v/>
      </c>
      <c r="L103" s="89">
        <f>-SUMIFS('7月数据源'!$I:$I,'7月数据源'!$D:$D,$E103,'7月数据源'!$F:$F,"浙江精准学科技有限公司")+SUMIFS('7月数据源'!$J:$J,'7月数据源'!$D:$D,$E103,'7月数据源'!$F:$F,"浙江精准学科技有限公司")</f>
        <v/>
      </c>
      <c r="M103" s="89">
        <f>-SUMIFS('8月数据源'!$I:$I,'8月数据源'!$D:$D,$E103,'8月数据源'!$F:$F,"浙江精准学科技有限公司")+SUMIFS('8月数据源'!$J:$J,'8月数据源'!$D:$D,$E103,'8月数据源'!$F:$F,"浙江精准学科技有限公司")</f>
        <v/>
      </c>
      <c r="N103" s="89">
        <f>-SUMIFS('9月数据源'!$I:$I,'9月数据源'!$D:$D,$E103,'9月数据源'!$F:$F,"浙江精准学科技有限公司")+SUMIFS('9月数据源'!$J:$J,'9月数据源'!$D:$D,$E103,'9月数据源'!$F:$F,"浙江精准学科技有限公司")</f>
        <v/>
      </c>
      <c r="O103" s="89">
        <f>-SUMIFS('10月数据源'!$I:$I,'10月数据源'!$D:$D,$E103,'10月数据源'!$F:$F,"浙江精准学科技有限公司")+SUMIFS('10月数据源'!$J:$J,'10月数据源'!$D:$D,$E103,'10月数据源'!$F:$F,"浙江精准学科技有限公司")</f>
        <v/>
      </c>
      <c r="P103" s="89">
        <f>-SUMIFS('11月数据源'!$I:$I,'11月数据源'!$D:$D,$E103,'11月数据源'!$F:$F,"浙江精准学科技有限公司")+SUMIFS('11月数据源'!$J:$J,'11月数据源'!$D:$D,$E103,'11月数据源'!$F:$F,"浙江精准学科技有限公司")</f>
        <v/>
      </c>
      <c r="Q103" s="89">
        <f>-SUMIFS('12月数据源'!$I:$I,'12月数据源'!$D:$D,$E103,'12月数据源'!$F:$F,"浙江精准学科技有限公司")+SUMIFS('12月数据源'!$J:$J,'12月数据源'!$D:$D,$E103,'12月数据源'!$F:$F,"浙江精准学科技有限公司")</f>
        <v/>
      </c>
    </row>
    <row r="104" s="83">
      <c r="A104" s="5" t="inlineStr">
        <is>
          <t>销售费用</t>
        </is>
      </c>
      <c r="B104" s="6" t="inlineStr">
        <is>
          <t>品牌建设</t>
        </is>
      </c>
      <c r="D104" s="5" t="inlineStr">
        <is>
          <t>背书合作费用</t>
        </is>
      </c>
      <c r="E104" s="6" t="inlineStr">
        <is>
          <t>Q1806</t>
        </is>
      </c>
      <c r="F104" s="89">
        <f>-SUMIFS('1月数据源'!I:I,'1月数据源'!D:D,E104,'1月数据源'!F:F,"浙江精准学科技有限公司")+SUMIFS('1月数据源'!J:J,'1月数据源'!D:D,E104,'1月数据源'!F:F,"浙江精准学科技有限公司")</f>
        <v/>
      </c>
      <c r="G104" s="89">
        <f>-SUMIFS('2月数据源'!I:I,'2月数据源'!D:D,E104,'2月数据源'!F:F,"浙江精准学科技有限公司")+SUMIFS('2月数据源'!J:J,'2月数据源'!D:D,E104,'2月数据源'!F:F,"浙江精准学科技有限公司")</f>
        <v/>
      </c>
      <c r="H104" s="89">
        <f>-SUMIFS('3月数据源'!I:I,'3月数据源'!D:D,E104,'3月数据源'!F:F,"浙江精准学科技有限公司")+SUMIFS('3月数据源'!J:J,'3月数据源'!D:D,E104,'3月数据源'!F:F,"浙江精准学科技有限公司")</f>
        <v/>
      </c>
      <c r="I104" s="89">
        <f>-SUMIFS('4月数据源'!I:I,'4月数据源'!D:D,E104,'4月数据源'!F:F,"浙江精准学科技有限公司")+SUMIFS('4月数据源'!J:J,'4月数据源'!D:D,E104,'4月数据源'!F:F,"浙江精准学科技有限公司")</f>
        <v/>
      </c>
      <c r="J104" s="89">
        <f>-SUMIFS('5月数据源'!I:I,'5月数据源'!D:D,E104,'5月数据源'!F:F,"浙江精准学科技有限公司")+SUMIFS('5月数据源'!J:J,'5月数据源'!D:D,E104,'5月数据源'!F:F,"浙江精准学科技有限公司")</f>
        <v/>
      </c>
      <c r="K104" s="89">
        <f>-SUMIFS('6月数据源'!$I:$I,'6月数据源'!$D:$D,$E104,'6月数据源'!$F:$F,"浙江精准学科技有限公司")+SUMIFS('6月数据源'!$J:$J,'6月数据源'!$D:$D,$E104,'6月数据源'!$F:$F,"浙江精准学科技有限公司")</f>
        <v/>
      </c>
      <c r="L104" s="89">
        <f>-SUMIFS('7月数据源'!$I:$I,'7月数据源'!$D:$D,$E104,'7月数据源'!$F:$F,"浙江精准学科技有限公司")+SUMIFS('7月数据源'!$J:$J,'7月数据源'!$D:$D,$E104,'7月数据源'!$F:$F,"浙江精准学科技有限公司")</f>
        <v/>
      </c>
      <c r="M104" s="89">
        <f>-SUMIFS('8月数据源'!$I:$I,'8月数据源'!$D:$D,$E104,'8月数据源'!$F:$F,"浙江精准学科技有限公司")+SUMIFS('8月数据源'!$J:$J,'8月数据源'!$D:$D,$E104,'8月数据源'!$F:$F,"浙江精准学科技有限公司")</f>
        <v/>
      </c>
      <c r="N104" s="89">
        <f>-SUMIFS('9月数据源'!$I:$I,'9月数据源'!$D:$D,$E104,'9月数据源'!$F:$F,"浙江精准学科技有限公司")+SUMIFS('9月数据源'!$J:$J,'9月数据源'!$D:$D,$E104,'9月数据源'!$F:$F,"浙江精准学科技有限公司")</f>
        <v/>
      </c>
      <c r="O104" s="89">
        <f>-SUMIFS('10月数据源'!$I:$I,'10月数据源'!$D:$D,$E104,'10月数据源'!$F:$F,"浙江精准学科技有限公司")+SUMIFS('10月数据源'!$J:$J,'10月数据源'!$D:$D,$E104,'10月数据源'!$F:$F,"浙江精准学科技有限公司")</f>
        <v/>
      </c>
      <c r="P104" s="89">
        <f>-SUMIFS('11月数据源'!$I:$I,'11月数据源'!$D:$D,$E104,'11月数据源'!$F:$F,"浙江精准学科技有限公司")+SUMIFS('11月数据源'!$J:$J,'11月数据源'!$D:$D,$E104,'11月数据源'!$F:$F,"浙江精准学科技有限公司")</f>
        <v/>
      </c>
      <c r="Q104" s="89">
        <f>-SUMIFS('12月数据源'!$I:$I,'12月数据源'!$D:$D,$E104,'12月数据源'!$F:$F,"浙江精准学科技有限公司")+SUMIFS('12月数据源'!$J:$J,'12月数据源'!$D:$D,$E104,'12月数据源'!$F:$F,"浙江精准学科技有限公司")</f>
        <v/>
      </c>
    </row>
    <row r="105" s="83">
      <c r="A105" s="5" t="inlineStr">
        <is>
          <t>销售费用</t>
        </is>
      </c>
      <c r="B105" s="6" t="inlineStr">
        <is>
          <t>内容种草</t>
        </is>
      </c>
      <c r="C105" s="6" t="inlineStr">
        <is>
          <t>内容种草</t>
        </is>
      </c>
      <c r="D105" s="5" t="inlineStr">
        <is>
          <t>抖音平台种草-GD广告</t>
        </is>
      </c>
      <c r="E105" s="6" t="inlineStr">
        <is>
          <t>Q1901</t>
        </is>
      </c>
      <c r="F105" s="89">
        <f>-SUMIFS('1月数据源'!I:I,'1月数据源'!D:D,E105,'1月数据源'!F:F,"浙江精准学科技有限公司")+SUMIFS('1月数据源'!J:J,'1月数据源'!D:D,E105,'1月数据源'!F:F,"浙江精准学科技有限公司")</f>
        <v/>
      </c>
      <c r="G105" s="89">
        <f>-SUMIFS('2月数据源'!I:I,'2月数据源'!D:D,E105,'2月数据源'!F:F,"浙江精准学科技有限公司")+SUMIFS('2月数据源'!J:J,'2月数据源'!D:D,E105,'2月数据源'!F:F,"浙江精准学科技有限公司")</f>
        <v/>
      </c>
      <c r="H105" s="89">
        <f>-SUMIFS('3月数据源'!I:I,'3月数据源'!D:D,E105,'3月数据源'!F:F,"浙江精准学科技有限公司")+SUMIFS('3月数据源'!J:J,'3月数据源'!D:D,E105,'3月数据源'!F:F,"浙江精准学科技有限公司")</f>
        <v/>
      </c>
      <c r="I105" s="89">
        <f>-SUMIFS('4月数据源'!I:I,'4月数据源'!D:D,E105,'4月数据源'!F:F,"浙江精准学科技有限公司")+SUMIFS('4月数据源'!J:J,'4月数据源'!D:D,E105,'4月数据源'!F:F,"浙江精准学科技有限公司")</f>
        <v/>
      </c>
      <c r="J105" s="89">
        <f>-SUMIFS('5月数据源'!I:I,'5月数据源'!D:D,E105,'5月数据源'!F:F,"浙江精准学科技有限公司")+SUMIFS('5月数据源'!J:J,'5月数据源'!D:D,E105,'5月数据源'!F:F,"浙江精准学科技有限公司")</f>
        <v/>
      </c>
      <c r="K105" s="89">
        <f>-SUMIFS('6月数据源'!$I:$I,'6月数据源'!$D:$D,$E105,'6月数据源'!$F:$F,"浙江精准学科技有限公司")+SUMIFS('6月数据源'!$J:$J,'6月数据源'!$D:$D,$E105,'6月数据源'!$F:$F,"浙江精准学科技有限公司")</f>
        <v/>
      </c>
      <c r="L105" s="89">
        <f>-SUMIFS('7月数据源'!$I:$I,'7月数据源'!$D:$D,$E105,'7月数据源'!$F:$F,"浙江精准学科技有限公司")+SUMIFS('7月数据源'!$J:$J,'7月数据源'!$D:$D,$E105,'7月数据源'!$F:$F,"浙江精准学科技有限公司")</f>
        <v/>
      </c>
      <c r="M105" s="89">
        <f>-SUMIFS('8月数据源'!$I:$I,'8月数据源'!$D:$D,$E105,'8月数据源'!$F:$F,"浙江精准学科技有限公司")+SUMIFS('8月数据源'!$J:$J,'8月数据源'!$D:$D,$E105,'8月数据源'!$F:$F,"浙江精准学科技有限公司")</f>
        <v/>
      </c>
      <c r="N105" s="89">
        <f>-SUMIFS('9月数据源'!$I:$I,'9月数据源'!$D:$D,$E105,'9月数据源'!$F:$F,"浙江精准学科技有限公司")+SUMIFS('9月数据源'!$J:$J,'9月数据源'!$D:$D,$E105,'9月数据源'!$F:$F,"浙江精准学科技有限公司")</f>
        <v/>
      </c>
      <c r="O105" s="89">
        <f>-SUMIFS('10月数据源'!$I:$I,'10月数据源'!$D:$D,$E105,'10月数据源'!$F:$F,"浙江精准学科技有限公司")+SUMIFS('10月数据源'!$J:$J,'10月数据源'!$D:$D,$E105,'10月数据源'!$F:$F,"浙江精准学科技有限公司")</f>
        <v/>
      </c>
      <c r="P105" s="89">
        <f>-SUMIFS('11月数据源'!$I:$I,'11月数据源'!$D:$D,$E105,'11月数据源'!$F:$F,"浙江精准学科技有限公司")+SUMIFS('11月数据源'!$J:$J,'11月数据源'!$D:$D,$E105,'11月数据源'!$F:$F,"浙江精准学科技有限公司")</f>
        <v/>
      </c>
      <c r="Q105" s="89">
        <f>-SUMIFS('12月数据源'!$I:$I,'12月数据源'!$D:$D,$E105,'12月数据源'!$F:$F,"浙江精准学科技有限公司")+SUMIFS('12月数据源'!$J:$J,'12月数据源'!$D:$D,$E105,'12月数据源'!$F:$F,"浙江精准学科技有限公司")</f>
        <v/>
      </c>
    </row>
    <row r="106" s="83">
      <c r="A106" s="5" t="inlineStr">
        <is>
          <t>销售费用</t>
        </is>
      </c>
      <c r="B106" s="6" t="inlineStr">
        <is>
          <t>内容种草</t>
        </is>
      </c>
      <c r="D106" s="5" t="inlineStr">
        <is>
          <t>抖音平台种草-种草通</t>
        </is>
      </c>
      <c r="E106" s="6" t="inlineStr">
        <is>
          <t>Q1902</t>
        </is>
      </c>
      <c r="F106" s="89">
        <f>-SUMIFS('1月数据源'!I:I,'1月数据源'!D:D,E106,'1月数据源'!F:F,"浙江精准学科技有限公司")+SUMIFS('1月数据源'!J:J,'1月数据源'!D:D,E106,'1月数据源'!F:F,"浙江精准学科技有限公司")</f>
        <v/>
      </c>
      <c r="G106" s="89">
        <f>-SUMIFS('2月数据源'!I:I,'2月数据源'!D:D,E106,'2月数据源'!F:F,"浙江精准学科技有限公司")+SUMIFS('2月数据源'!J:J,'2月数据源'!D:D,E106,'2月数据源'!F:F,"浙江精准学科技有限公司")</f>
        <v/>
      </c>
      <c r="H106" s="89">
        <f>-SUMIFS('3月数据源'!I:I,'3月数据源'!D:D,E106,'3月数据源'!F:F,"浙江精准学科技有限公司")+SUMIFS('3月数据源'!J:J,'3月数据源'!D:D,E106,'3月数据源'!F:F,"浙江精准学科技有限公司")</f>
        <v/>
      </c>
      <c r="I106" s="89">
        <f>-SUMIFS('4月数据源'!I:I,'4月数据源'!D:D,E106,'4月数据源'!F:F,"浙江精准学科技有限公司")+SUMIFS('4月数据源'!J:J,'4月数据源'!D:D,E106,'4月数据源'!F:F,"浙江精准学科技有限公司")</f>
        <v/>
      </c>
      <c r="J106" s="89">
        <f>-SUMIFS('5月数据源'!I:I,'5月数据源'!D:D,E106,'5月数据源'!F:F,"浙江精准学科技有限公司")+SUMIFS('5月数据源'!J:J,'5月数据源'!D:D,E106,'5月数据源'!F:F,"浙江精准学科技有限公司")</f>
        <v/>
      </c>
      <c r="K106" s="89">
        <f>-SUMIFS('6月数据源'!$I:$I,'6月数据源'!$D:$D,$E106,'6月数据源'!$F:$F,"浙江精准学科技有限公司")+SUMIFS('6月数据源'!$J:$J,'6月数据源'!$D:$D,$E106,'6月数据源'!$F:$F,"浙江精准学科技有限公司")</f>
        <v/>
      </c>
      <c r="L106" s="89">
        <f>-SUMIFS('7月数据源'!$I:$I,'7月数据源'!$D:$D,$E106,'7月数据源'!$F:$F,"浙江精准学科技有限公司")+SUMIFS('7月数据源'!$J:$J,'7月数据源'!$D:$D,$E106,'7月数据源'!$F:$F,"浙江精准学科技有限公司")</f>
        <v/>
      </c>
      <c r="M106" s="89">
        <f>-SUMIFS('8月数据源'!$I:$I,'8月数据源'!$D:$D,$E106,'8月数据源'!$F:$F,"浙江精准学科技有限公司")+SUMIFS('8月数据源'!$J:$J,'8月数据源'!$D:$D,$E106,'8月数据源'!$F:$F,"浙江精准学科技有限公司")</f>
        <v/>
      </c>
      <c r="N106" s="89">
        <f>-SUMIFS('9月数据源'!$I:$I,'9月数据源'!$D:$D,$E106,'9月数据源'!$F:$F,"浙江精准学科技有限公司")+SUMIFS('9月数据源'!$J:$J,'9月数据源'!$D:$D,$E106,'9月数据源'!$F:$F,"浙江精准学科技有限公司")</f>
        <v/>
      </c>
      <c r="O106" s="89">
        <f>-SUMIFS('10月数据源'!$I:$I,'10月数据源'!$D:$D,$E106,'10月数据源'!$F:$F,"浙江精准学科技有限公司")+SUMIFS('10月数据源'!$J:$J,'10月数据源'!$D:$D,$E106,'10月数据源'!$F:$F,"浙江精准学科技有限公司")</f>
        <v/>
      </c>
      <c r="P106" s="89">
        <f>-SUMIFS('11月数据源'!$I:$I,'11月数据源'!$D:$D,$E106,'11月数据源'!$F:$F,"浙江精准学科技有限公司")+SUMIFS('11月数据源'!$J:$J,'11月数据源'!$D:$D,$E106,'11月数据源'!$F:$F,"浙江精准学科技有限公司")</f>
        <v/>
      </c>
      <c r="Q106" s="89">
        <f>-SUMIFS('12月数据源'!$I:$I,'12月数据源'!$D:$D,$E106,'12月数据源'!$F:$F,"浙江精准学科技有限公司")+SUMIFS('12月数据源'!$J:$J,'12月数据源'!$D:$D,$E106,'12月数据源'!$F:$F,"浙江精准学科技有限公司")</f>
        <v/>
      </c>
    </row>
    <row r="107" s="83">
      <c r="A107" s="5" t="inlineStr">
        <is>
          <t>销售费用</t>
        </is>
      </c>
      <c r="B107" s="6" t="inlineStr">
        <is>
          <t>内容种草</t>
        </is>
      </c>
      <c r="D107" s="5" t="inlineStr">
        <is>
          <t>抖音平台种草-达人合作</t>
        </is>
      </c>
      <c r="E107" s="6" t="inlineStr">
        <is>
          <t>Q1903</t>
        </is>
      </c>
      <c r="F107" s="89">
        <f>-SUMIFS('1月数据源'!I:I,'1月数据源'!D:D,E107,'1月数据源'!F:F,"浙江精准学科技有限公司")+SUMIFS('1月数据源'!J:J,'1月数据源'!D:D,E107,'1月数据源'!F:F,"浙江精准学科技有限公司")</f>
        <v/>
      </c>
      <c r="G107" s="89">
        <f>-SUMIFS('2月数据源'!I:I,'2月数据源'!D:D,E107,'2月数据源'!F:F,"浙江精准学科技有限公司")+SUMIFS('2月数据源'!J:J,'2月数据源'!D:D,E107,'2月数据源'!F:F,"浙江精准学科技有限公司")</f>
        <v/>
      </c>
      <c r="H107" s="89">
        <f>-SUMIFS('3月数据源'!I:I,'3月数据源'!D:D,E107,'3月数据源'!F:F,"浙江精准学科技有限公司")+SUMIFS('3月数据源'!J:J,'3月数据源'!D:D,E107,'3月数据源'!F:F,"浙江精准学科技有限公司")</f>
        <v/>
      </c>
      <c r="I107" s="89">
        <f>-SUMIFS('4月数据源'!I:I,'4月数据源'!D:D,E107,'4月数据源'!F:F,"浙江精准学科技有限公司")+SUMIFS('4月数据源'!J:J,'4月数据源'!D:D,E107,'4月数据源'!F:F,"浙江精准学科技有限公司")</f>
        <v/>
      </c>
      <c r="J107" s="89">
        <f>-SUMIFS('5月数据源'!I:I,'5月数据源'!D:D,E107,'5月数据源'!F:F,"浙江精准学科技有限公司")+SUMIFS('5月数据源'!J:J,'5月数据源'!D:D,E107,'5月数据源'!F:F,"浙江精准学科技有限公司")</f>
        <v/>
      </c>
      <c r="K107" s="89">
        <f>-SUMIFS('6月数据源'!$I:$I,'6月数据源'!$D:$D,$E107,'6月数据源'!$F:$F,"浙江精准学科技有限公司")+SUMIFS('6月数据源'!$J:$J,'6月数据源'!$D:$D,$E107,'6月数据源'!$F:$F,"浙江精准学科技有限公司")</f>
        <v/>
      </c>
      <c r="L107" s="89">
        <f>-SUMIFS('7月数据源'!$I:$I,'7月数据源'!$D:$D,$E107,'7月数据源'!$F:$F,"浙江精准学科技有限公司")+SUMIFS('7月数据源'!$J:$J,'7月数据源'!$D:$D,$E107,'7月数据源'!$F:$F,"浙江精准学科技有限公司")</f>
        <v/>
      </c>
      <c r="M107" s="89">
        <f>-SUMIFS('8月数据源'!$I:$I,'8月数据源'!$D:$D,$E107,'8月数据源'!$F:$F,"浙江精准学科技有限公司")+SUMIFS('8月数据源'!$J:$J,'8月数据源'!$D:$D,$E107,'8月数据源'!$F:$F,"浙江精准学科技有限公司")</f>
        <v/>
      </c>
      <c r="N107" s="89">
        <f>-SUMIFS('9月数据源'!$I:$I,'9月数据源'!$D:$D,$E107,'9月数据源'!$F:$F,"浙江精准学科技有限公司")+SUMIFS('9月数据源'!$J:$J,'9月数据源'!$D:$D,$E107,'9月数据源'!$F:$F,"浙江精准学科技有限公司")</f>
        <v/>
      </c>
      <c r="O107" s="89">
        <f>-SUMIFS('10月数据源'!$I:$I,'10月数据源'!$D:$D,$E107,'10月数据源'!$F:$F,"浙江精准学科技有限公司")+SUMIFS('10月数据源'!$J:$J,'10月数据源'!$D:$D,$E107,'10月数据源'!$F:$F,"浙江精准学科技有限公司")</f>
        <v/>
      </c>
      <c r="P107" s="89">
        <f>-SUMIFS('11月数据源'!$I:$I,'11月数据源'!$D:$D,$E107,'11月数据源'!$F:$F,"浙江精准学科技有限公司")+SUMIFS('11月数据源'!$J:$J,'11月数据源'!$D:$D,$E107,'11月数据源'!$F:$F,"浙江精准学科技有限公司")</f>
        <v/>
      </c>
      <c r="Q107" s="89">
        <f>-SUMIFS('12月数据源'!$I:$I,'12月数据源'!$D:$D,$E107,'12月数据源'!$F:$F,"浙江精准学科技有限公司")+SUMIFS('12月数据源'!$J:$J,'12月数据源'!$D:$D,$E107,'12月数据源'!$F:$F,"浙江精准学科技有限公司")</f>
        <v/>
      </c>
    </row>
    <row r="108" s="83">
      <c r="A108" s="5" t="inlineStr">
        <is>
          <t>销售费用</t>
        </is>
      </c>
      <c r="B108" s="6" t="inlineStr">
        <is>
          <t>内容种草</t>
        </is>
      </c>
      <c r="D108" s="5" t="inlineStr">
        <is>
          <t>小红书平台种草-达人合作</t>
        </is>
      </c>
      <c r="E108" s="6" t="inlineStr">
        <is>
          <t>Q1904</t>
        </is>
      </c>
      <c r="F108" s="89">
        <f>-SUMIFS('1月数据源'!I:I,'1月数据源'!D:D,E108,'1月数据源'!F:F,"浙江精准学科技有限公司")+SUMIFS('1月数据源'!J:J,'1月数据源'!D:D,E108,'1月数据源'!F:F,"浙江精准学科技有限公司")</f>
        <v/>
      </c>
      <c r="G108" s="89">
        <f>-SUMIFS('2月数据源'!I:I,'2月数据源'!D:D,E108,'2月数据源'!F:F,"浙江精准学科技有限公司")+SUMIFS('2月数据源'!J:J,'2月数据源'!D:D,E108,'2月数据源'!F:F,"浙江精准学科技有限公司")</f>
        <v/>
      </c>
      <c r="H108" s="89">
        <f>-SUMIFS('3月数据源'!I:I,'3月数据源'!D:D,E108,'3月数据源'!F:F,"浙江精准学科技有限公司")+SUMIFS('3月数据源'!J:J,'3月数据源'!D:D,E108,'3月数据源'!F:F,"浙江精准学科技有限公司")</f>
        <v/>
      </c>
      <c r="I108" s="89">
        <f>-SUMIFS('4月数据源'!I:I,'4月数据源'!D:D,E108,'4月数据源'!F:F,"浙江精准学科技有限公司")+SUMIFS('4月数据源'!J:J,'4月数据源'!D:D,E108,'4月数据源'!F:F,"浙江精准学科技有限公司")</f>
        <v/>
      </c>
      <c r="J108" s="89">
        <f>-SUMIFS('5月数据源'!I:I,'5月数据源'!D:D,E108,'5月数据源'!F:F,"浙江精准学科技有限公司")+SUMIFS('5月数据源'!J:J,'5月数据源'!D:D,E108,'5月数据源'!F:F,"浙江精准学科技有限公司")</f>
        <v/>
      </c>
      <c r="K108" s="89">
        <f>-SUMIFS('6月数据源'!$I:$I,'6月数据源'!$D:$D,$E108,'6月数据源'!$F:$F,"浙江精准学科技有限公司")+SUMIFS('6月数据源'!$J:$J,'6月数据源'!$D:$D,$E108,'6月数据源'!$F:$F,"浙江精准学科技有限公司")</f>
        <v/>
      </c>
      <c r="L108" s="89">
        <f>-SUMIFS('7月数据源'!$I:$I,'7月数据源'!$D:$D,$E108,'7月数据源'!$F:$F,"浙江精准学科技有限公司")+SUMIFS('7月数据源'!$J:$J,'7月数据源'!$D:$D,$E108,'7月数据源'!$F:$F,"浙江精准学科技有限公司")</f>
        <v/>
      </c>
      <c r="M108" s="89">
        <f>-SUMIFS('8月数据源'!$I:$I,'8月数据源'!$D:$D,$E108,'8月数据源'!$F:$F,"浙江精准学科技有限公司")+SUMIFS('8月数据源'!$J:$J,'8月数据源'!$D:$D,$E108,'8月数据源'!$F:$F,"浙江精准学科技有限公司")</f>
        <v/>
      </c>
      <c r="N108" s="89">
        <f>-SUMIFS('9月数据源'!$I:$I,'9月数据源'!$D:$D,$E108,'9月数据源'!$F:$F,"浙江精准学科技有限公司")+SUMIFS('9月数据源'!$J:$J,'9月数据源'!$D:$D,$E108,'9月数据源'!$F:$F,"浙江精准学科技有限公司")</f>
        <v/>
      </c>
      <c r="O108" s="89">
        <f>-SUMIFS('10月数据源'!$I:$I,'10月数据源'!$D:$D,$E108,'10月数据源'!$F:$F,"浙江精准学科技有限公司")+SUMIFS('10月数据源'!$J:$J,'10月数据源'!$D:$D,$E108,'10月数据源'!$F:$F,"浙江精准学科技有限公司")</f>
        <v/>
      </c>
      <c r="P108" s="89">
        <f>-SUMIFS('11月数据源'!$I:$I,'11月数据源'!$D:$D,$E108,'11月数据源'!$F:$F,"浙江精准学科技有限公司")+SUMIFS('11月数据源'!$J:$J,'11月数据源'!$D:$D,$E108,'11月数据源'!$F:$F,"浙江精准学科技有限公司")</f>
        <v/>
      </c>
      <c r="Q108" s="89">
        <f>-SUMIFS('12月数据源'!$I:$I,'12月数据源'!$D:$D,$E108,'12月数据源'!$F:$F,"浙江精准学科技有限公司")+SUMIFS('12月数据源'!$J:$J,'12月数据源'!$D:$D,$E108,'12月数据源'!$F:$F,"浙江精准学科技有限公司")</f>
        <v/>
      </c>
    </row>
    <row r="109" s="83">
      <c r="A109" s="5" t="inlineStr">
        <is>
          <t>销售费用</t>
        </is>
      </c>
      <c r="B109" s="6" t="inlineStr">
        <is>
          <t>内容种草</t>
        </is>
      </c>
      <c r="D109" s="5" t="inlineStr">
        <is>
          <t>全平台种草-达人合作</t>
        </is>
      </c>
      <c r="E109" s="6" t="inlineStr">
        <is>
          <t>Q1905</t>
        </is>
      </c>
      <c r="F109" s="89">
        <f>-SUMIFS('1月数据源'!I:I,'1月数据源'!D:D,E109,'1月数据源'!F:F,"浙江精准学科技有限公司")+SUMIFS('1月数据源'!J:J,'1月数据源'!D:D,E109,'1月数据源'!F:F,"浙江精准学科技有限公司")</f>
        <v/>
      </c>
      <c r="G109" s="89">
        <f>-SUMIFS('2月数据源'!I:I,'2月数据源'!D:D,E109,'2月数据源'!F:F,"浙江精准学科技有限公司")+SUMIFS('2月数据源'!J:J,'2月数据源'!D:D,E109,'2月数据源'!F:F,"浙江精准学科技有限公司")</f>
        <v/>
      </c>
      <c r="H109" s="89">
        <f>-SUMIFS('3月数据源'!I:I,'3月数据源'!D:D,E109,'3月数据源'!F:F,"浙江精准学科技有限公司")+SUMIFS('3月数据源'!J:J,'3月数据源'!D:D,E109,'3月数据源'!F:F,"浙江精准学科技有限公司")</f>
        <v/>
      </c>
      <c r="I109" s="89">
        <f>-SUMIFS('4月数据源'!I:I,'4月数据源'!D:D,E109,'4月数据源'!F:F,"浙江精准学科技有限公司")+SUMIFS('4月数据源'!J:J,'4月数据源'!D:D,E109,'4月数据源'!F:F,"浙江精准学科技有限公司")</f>
        <v/>
      </c>
      <c r="J109" s="89">
        <f>-SUMIFS('5月数据源'!I:I,'5月数据源'!D:D,E109,'5月数据源'!F:F,"浙江精准学科技有限公司")+SUMIFS('5月数据源'!J:J,'5月数据源'!D:D,E109,'5月数据源'!F:F,"浙江精准学科技有限公司")</f>
        <v/>
      </c>
      <c r="K109" s="89">
        <f>-SUMIFS('6月数据源'!$I:$I,'6月数据源'!$D:$D,$E109,'6月数据源'!$F:$F,"浙江精准学科技有限公司")+SUMIFS('6月数据源'!$J:$J,'6月数据源'!$D:$D,$E109,'6月数据源'!$F:$F,"浙江精准学科技有限公司")</f>
        <v/>
      </c>
      <c r="L109" s="89">
        <f>-SUMIFS('7月数据源'!$I:$I,'7月数据源'!$D:$D,$E109,'7月数据源'!$F:$F,"浙江精准学科技有限公司")+SUMIFS('7月数据源'!$J:$J,'7月数据源'!$D:$D,$E109,'7月数据源'!$F:$F,"浙江精准学科技有限公司")</f>
        <v/>
      </c>
      <c r="M109" s="89">
        <f>-SUMIFS('8月数据源'!$I:$I,'8月数据源'!$D:$D,$E109,'8月数据源'!$F:$F,"浙江精准学科技有限公司")+SUMIFS('8月数据源'!$J:$J,'8月数据源'!$D:$D,$E109,'8月数据源'!$F:$F,"浙江精准学科技有限公司")</f>
        <v/>
      </c>
      <c r="N109" s="89">
        <f>-SUMIFS('9月数据源'!$I:$I,'9月数据源'!$D:$D,$E109,'9月数据源'!$F:$F,"浙江精准学科技有限公司")+SUMIFS('9月数据源'!$J:$J,'9月数据源'!$D:$D,$E109,'9月数据源'!$F:$F,"浙江精准学科技有限公司")</f>
        <v/>
      </c>
      <c r="O109" s="89">
        <f>-SUMIFS('10月数据源'!$I:$I,'10月数据源'!$D:$D,$E109,'10月数据源'!$F:$F,"浙江精准学科技有限公司")+SUMIFS('10月数据源'!$J:$J,'10月数据源'!$D:$D,$E109,'10月数据源'!$F:$F,"浙江精准学科技有限公司")</f>
        <v/>
      </c>
      <c r="P109" s="89">
        <f>-SUMIFS('11月数据源'!$I:$I,'11月数据源'!$D:$D,$E109,'11月数据源'!$F:$F,"浙江精准学科技有限公司")+SUMIFS('11月数据源'!$J:$J,'11月数据源'!$D:$D,$E109,'11月数据源'!$F:$F,"浙江精准学科技有限公司")</f>
        <v/>
      </c>
      <c r="Q109" s="89">
        <f>-SUMIFS('12月数据源'!$I:$I,'12月数据源'!$D:$D,$E109,'12月数据源'!$F:$F,"浙江精准学科技有限公司")+SUMIFS('12月数据源'!$J:$J,'12月数据源'!$D:$D,$E109,'12月数据源'!$F:$F,"浙江精准学科技有限公司")</f>
        <v/>
      </c>
    </row>
    <row r="110" s="83">
      <c r="A110" s="5" t="inlineStr">
        <is>
          <t>销售费用</t>
        </is>
      </c>
      <c r="B110" s="6" t="inlineStr">
        <is>
          <t>内容种草</t>
        </is>
      </c>
      <c r="D110" s="5" t="inlineStr">
        <is>
          <t>小红书种草充值</t>
        </is>
      </c>
      <c r="E110" s="6" t="inlineStr">
        <is>
          <t>Q1906</t>
        </is>
      </c>
      <c r="F110" s="89">
        <f>-SUMIFS('1月数据源'!I:I,'1月数据源'!D:D,E110,'1月数据源'!F:F,"浙江精准学科技有限公司")+SUMIFS('1月数据源'!J:J,'1月数据源'!D:D,E110,'1月数据源'!F:F,"浙江精准学科技有限公司")</f>
        <v/>
      </c>
      <c r="G110" s="89">
        <f>-SUMIFS('2月数据源'!I:I,'2月数据源'!D:D,E110,'2月数据源'!F:F,"浙江精准学科技有限公司")+SUMIFS('2月数据源'!J:J,'2月数据源'!D:D,E110,'2月数据源'!F:F,"浙江精准学科技有限公司")</f>
        <v/>
      </c>
      <c r="H110" s="89">
        <f>-SUMIFS('3月数据源'!I:I,'3月数据源'!D:D,E110,'3月数据源'!F:F,"浙江精准学科技有限公司")+SUMIFS('3月数据源'!J:J,'3月数据源'!D:D,E110,'3月数据源'!F:F,"浙江精准学科技有限公司")</f>
        <v/>
      </c>
      <c r="I110" s="89">
        <f>-SUMIFS('4月数据源'!I:I,'4月数据源'!D:D,E110,'4月数据源'!F:F,"浙江精准学科技有限公司")+SUMIFS('4月数据源'!J:J,'4月数据源'!D:D,E110,'4月数据源'!F:F,"浙江精准学科技有限公司")</f>
        <v/>
      </c>
      <c r="J110" s="89">
        <f>-SUMIFS('5月数据源'!I:I,'5月数据源'!D:D,E110,'5月数据源'!F:F,"浙江精准学科技有限公司")+SUMIFS('5月数据源'!J:J,'5月数据源'!D:D,E110,'5月数据源'!F:F,"浙江精准学科技有限公司")</f>
        <v/>
      </c>
      <c r="K110" s="89">
        <f>-SUMIFS('6月数据源'!$I:$I,'6月数据源'!$D:$D,$E110,'6月数据源'!$F:$F,"浙江精准学科技有限公司")+SUMIFS('6月数据源'!$J:$J,'6月数据源'!$D:$D,$E110,'6月数据源'!$F:$F,"浙江精准学科技有限公司")</f>
        <v/>
      </c>
      <c r="L110" s="89">
        <f>-SUMIFS('7月数据源'!$I:$I,'7月数据源'!$D:$D,$E110,'7月数据源'!$F:$F,"浙江精准学科技有限公司")+SUMIFS('7月数据源'!$J:$J,'7月数据源'!$D:$D,$E110,'7月数据源'!$F:$F,"浙江精准学科技有限公司")</f>
        <v/>
      </c>
      <c r="M110" s="89">
        <f>-SUMIFS('8月数据源'!$I:$I,'8月数据源'!$D:$D,$E110,'8月数据源'!$F:$F,"浙江精准学科技有限公司")+SUMIFS('8月数据源'!$J:$J,'8月数据源'!$D:$D,$E110,'8月数据源'!$F:$F,"浙江精准学科技有限公司")</f>
        <v/>
      </c>
      <c r="N110" s="89">
        <f>-SUMIFS('9月数据源'!$I:$I,'9月数据源'!$D:$D,$E110,'9月数据源'!$F:$F,"浙江精准学科技有限公司")+SUMIFS('9月数据源'!$J:$J,'9月数据源'!$D:$D,$E110,'9月数据源'!$F:$F,"浙江精准学科技有限公司")</f>
        <v/>
      </c>
      <c r="O110" s="89">
        <f>-SUMIFS('10月数据源'!$I:$I,'10月数据源'!$D:$D,$E110,'10月数据源'!$F:$F,"浙江精准学科技有限公司")+SUMIFS('10月数据源'!$J:$J,'10月数据源'!$D:$D,$E110,'10月数据源'!$F:$F,"浙江精准学科技有限公司")</f>
        <v/>
      </c>
      <c r="P110" s="89">
        <f>-SUMIFS('11月数据源'!$I:$I,'11月数据源'!$D:$D,$E110,'11月数据源'!$F:$F,"浙江精准学科技有限公司")+SUMIFS('11月数据源'!$J:$J,'11月数据源'!$D:$D,$E110,'11月数据源'!$F:$F,"浙江精准学科技有限公司")</f>
        <v/>
      </c>
      <c r="Q110" s="89">
        <f>-SUMIFS('12月数据源'!$I:$I,'12月数据源'!$D:$D,$E110,'12月数据源'!$F:$F,"浙江精准学科技有限公司")+SUMIFS('12月数据源'!$J:$J,'12月数据源'!$D:$D,$E110,'12月数据源'!$F:$F,"浙江精准学科技有限公司")</f>
        <v/>
      </c>
    </row>
    <row r="111" s="83">
      <c r="A111" s="5" t="inlineStr">
        <is>
          <t>销售费用</t>
        </is>
      </c>
      <c r="B111" s="6" t="inlineStr">
        <is>
          <t>投放转化</t>
        </is>
      </c>
      <c r="C111" s="6" t="inlineStr">
        <is>
          <t>投放转化</t>
        </is>
      </c>
      <c r="D111" s="5" t="inlineStr">
        <is>
          <t>信息流视频制作</t>
        </is>
      </c>
      <c r="E111" s="6" t="inlineStr">
        <is>
          <t>Q2001</t>
        </is>
      </c>
      <c r="F111" s="89">
        <f>-SUMIFS('1月数据源'!I:I,'1月数据源'!D:D,E111,'1月数据源'!F:F,"浙江精准学科技有限公司")+SUMIFS('1月数据源'!J:J,'1月数据源'!D:D,E111,'1月数据源'!F:F,"浙江精准学科技有限公司")</f>
        <v/>
      </c>
      <c r="G111" s="89">
        <f>-SUMIFS('2月数据源'!I:I,'2月数据源'!D:D,E111,'2月数据源'!F:F,"浙江精准学科技有限公司")+SUMIFS('2月数据源'!J:J,'2月数据源'!D:D,E111,'2月数据源'!F:F,"浙江精准学科技有限公司")</f>
        <v/>
      </c>
      <c r="H111" s="89">
        <f>-SUMIFS('3月数据源'!I:I,'3月数据源'!D:D,E111,'3月数据源'!F:F,"浙江精准学科技有限公司")+SUMIFS('3月数据源'!J:J,'3月数据源'!D:D,E111,'3月数据源'!F:F,"浙江精准学科技有限公司")</f>
        <v/>
      </c>
      <c r="I111" s="89">
        <f>-SUMIFS('4月数据源'!I:I,'4月数据源'!D:D,E111,'4月数据源'!F:F,"浙江精准学科技有限公司")+SUMIFS('4月数据源'!J:J,'4月数据源'!D:D,E111,'4月数据源'!F:F,"浙江精准学科技有限公司")</f>
        <v/>
      </c>
      <c r="J111" s="89">
        <f>-SUMIFS('5月数据源'!I:I,'5月数据源'!D:D,E111,'5月数据源'!F:F,"浙江精准学科技有限公司")+SUMIFS('5月数据源'!J:J,'5月数据源'!D:D,E111,'5月数据源'!F:F,"浙江精准学科技有限公司")</f>
        <v/>
      </c>
      <c r="K111" s="89">
        <f>-SUMIFS('6月数据源'!$I:$I,'6月数据源'!$D:$D,$E111,'6月数据源'!$F:$F,"浙江精准学科技有限公司")+SUMIFS('6月数据源'!$J:$J,'6月数据源'!$D:$D,$E111,'6月数据源'!$F:$F,"浙江精准学科技有限公司")</f>
        <v/>
      </c>
      <c r="L111" s="89">
        <f>-SUMIFS('7月数据源'!$I:$I,'7月数据源'!$D:$D,$E111,'7月数据源'!$F:$F,"浙江精准学科技有限公司")+SUMIFS('7月数据源'!$J:$J,'7月数据源'!$D:$D,$E111,'7月数据源'!$F:$F,"浙江精准学科技有限公司")</f>
        <v/>
      </c>
      <c r="M111" s="89">
        <f>-SUMIFS('8月数据源'!$I:$I,'8月数据源'!$D:$D,$E111,'8月数据源'!$F:$F,"浙江精准学科技有限公司")+SUMIFS('8月数据源'!$J:$J,'8月数据源'!$D:$D,$E111,'8月数据源'!$F:$F,"浙江精准学科技有限公司")</f>
        <v/>
      </c>
      <c r="N111" s="89">
        <f>-SUMIFS('9月数据源'!$I:$I,'9月数据源'!$D:$D,$E111,'9月数据源'!$F:$F,"浙江精准学科技有限公司")+SUMIFS('9月数据源'!$J:$J,'9月数据源'!$D:$D,$E111,'9月数据源'!$F:$F,"浙江精准学科技有限公司")</f>
        <v/>
      </c>
      <c r="O111" s="89">
        <f>-SUMIFS('10月数据源'!$I:$I,'10月数据源'!$D:$D,$E111,'10月数据源'!$F:$F,"浙江精准学科技有限公司")+SUMIFS('10月数据源'!$J:$J,'10月数据源'!$D:$D,$E111,'10月数据源'!$F:$F,"浙江精准学科技有限公司")</f>
        <v/>
      </c>
      <c r="P111" s="89">
        <f>-SUMIFS('11月数据源'!$I:$I,'11月数据源'!$D:$D,$E111,'11月数据源'!$F:$F,"浙江精准学科技有限公司")+SUMIFS('11月数据源'!$J:$J,'11月数据源'!$D:$D,$E111,'11月数据源'!$F:$F,"浙江精准学科技有限公司")</f>
        <v/>
      </c>
      <c r="Q111" s="89">
        <f>-SUMIFS('12月数据源'!$I:$I,'12月数据源'!$D:$D,$E111,'12月数据源'!$F:$F,"浙江精准学科技有限公司")+SUMIFS('12月数据源'!$J:$J,'12月数据源'!$D:$D,$E111,'12月数据源'!$F:$F,"浙江精准学科技有限公司")</f>
        <v/>
      </c>
    </row>
    <row r="112" s="83">
      <c r="A112" s="5" t="inlineStr">
        <is>
          <t>销售费用</t>
        </is>
      </c>
      <c r="B112" s="6" t="inlineStr">
        <is>
          <t>投放转化</t>
        </is>
      </c>
      <c r="D112" s="5" t="inlineStr">
        <is>
          <t>抖音投放充值</t>
        </is>
      </c>
      <c r="E112" s="6" t="inlineStr">
        <is>
          <t>Q2002</t>
        </is>
      </c>
      <c r="F112" s="89">
        <f>-SUMIFS('1月数据源'!I:I,'1月数据源'!D:D,E112,'1月数据源'!F:F,"浙江精准学科技有限公司")+SUMIFS('1月数据源'!J:J,'1月数据源'!D:D,E112,'1月数据源'!F:F,"浙江精准学科技有限公司")</f>
        <v/>
      </c>
      <c r="G112" s="89">
        <f>-SUMIFS('2月数据源'!I:I,'2月数据源'!D:D,E112,'2月数据源'!F:F,"浙江精准学科技有限公司")+SUMIFS('2月数据源'!J:J,'2月数据源'!D:D,E112,'2月数据源'!F:F,"浙江精准学科技有限公司")</f>
        <v/>
      </c>
      <c r="H112" s="89">
        <f>-SUMIFS('3月数据源'!I:I,'3月数据源'!D:D,E112,'3月数据源'!F:F,"浙江精准学科技有限公司")+SUMIFS('3月数据源'!J:J,'3月数据源'!D:D,E112,'3月数据源'!F:F,"浙江精准学科技有限公司")</f>
        <v/>
      </c>
      <c r="I112" s="89">
        <f>-SUMIFS('4月数据源'!I:I,'4月数据源'!D:D,E112,'4月数据源'!F:F,"浙江精准学科技有限公司")+SUMIFS('4月数据源'!J:J,'4月数据源'!D:D,E112,'4月数据源'!F:F,"浙江精准学科技有限公司")</f>
        <v/>
      </c>
      <c r="J112" s="89">
        <f>-SUMIFS('5月数据源'!I:I,'5月数据源'!D:D,E112,'5月数据源'!F:F,"浙江精准学科技有限公司")+SUMIFS('5月数据源'!J:J,'5月数据源'!D:D,E112,'5月数据源'!F:F,"浙江精准学科技有限公司")</f>
        <v/>
      </c>
      <c r="K112" s="89">
        <f>-SUMIFS('6月数据源'!$I:$I,'6月数据源'!$D:$D,$E112,'6月数据源'!$F:$F,"浙江精准学科技有限公司")+SUMIFS('6月数据源'!$J:$J,'6月数据源'!$D:$D,$E112,'6月数据源'!$F:$F,"浙江精准学科技有限公司")</f>
        <v/>
      </c>
      <c r="L112" s="89">
        <f>-SUMIFS('7月数据源'!$I:$I,'7月数据源'!$D:$D,$E112,'7月数据源'!$F:$F,"浙江精准学科技有限公司")+SUMIFS('7月数据源'!$J:$J,'7月数据源'!$D:$D,$E112,'7月数据源'!$F:$F,"浙江精准学科技有限公司")</f>
        <v/>
      </c>
      <c r="M112" s="89">
        <f>-SUMIFS('8月数据源'!$I:$I,'8月数据源'!$D:$D,$E112,'8月数据源'!$F:$F,"浙江精准学科技有限公司")+SUMIFS('8月数据源'!$J:$J,'8月数据源'!$D:$D,$E112,'8月数据源'!$F:$F,"浙江精准学科技有限公司")</f>
        <v/>
      </c>
      <c r="N112" s="89">
        <f>-SUMIFS('9月数据源'!$I:$I,'9月数据源'!$D:$D,$E112,'9月数据源'!$F:$F,"浙江精准学科技有限公司")+SUMIFS('9月数据源'!$J:$J,'9月数据源'!$D:$D,$E112,'9月数据源'!$F:$F,"浙江精准学科技有限公司")</f>
        <v/>
      </c>
      <c r="O112" s="89">
        <f>-SUMIFS('10月数据源'!$I:$I,'10月数据源'!$D:$D,$E112,'10月数据源'!$F:$F,"浙江精准学科技有限公司")+SUMIFS('10月数据源'!$J:$J,'10月数据源'!$D:$D,$E112,'10月数据源'!$F:$F,"浙江精准学科技有限公司")</f>
        <v/>
      </c>
      <c r="P112" s="89">
        <f>-SUMIFS('11月数据源'!$I:$I,'11月数据源'!$D:$D,$E112,'11月数据源'!$F:$F,"浙江精准学科技有限公司")+SUMIFS('11月数据源'!$J:$J,'11月数据源'!$D:$D,$E112,'11月数据源'!$F:$F,"浙江精准学科技有限公司")</f>
        <v/>
      </c>
      <c r="Q112" s="89">
        <f>-SUMIFS('12月数据源'!$I:$I,'12月数据源'!$D:$D,$E112,'12月数据源'!$F:$F,"浙江精准学科技有限公司")+SUMIFS('12月数据源'!$J:$J,'12月数据源'!$D:$D,$E112,'12月数据源'!$F:$F,"浙江精准学科技有限公司")</f>
        <v/>
      </c>
    </row>
    <row r="113" s="83">
      <c r="A113" s="5" t="inlineStr">
        <is>
          <t>销售费用</t>
        </is>
      </c>
      <c r="B113" s="6" t="inlineStr">
        <is>
          <t>投放转化</t>
        </is>
      </c>
      <c r="D113" s="5" t="inlineStr">
        <is>
          <t>京东平台投放充值</t>
        </is>
      </c>
      <c r="E113" s="6" t="inlineStr">
        <is>
          <t>Q2003</t>
        </is>
      </c>
      <c r="F113" s="89">
        <f>-SUMIFS('1月数据源'!I:I,'1月数据源'!D:D,E113,'1月数据源'!F:F,"浙江精准学科技有限公司")+SUMIFS('1月数据源'!J:J,'1月数据源'!D:D,E113,'1月数据源'!F:F,"浙江精准学科技有限公司")</f>
        <v/>
      </c>
      <c r="G113" s="89">
        <f>-SUMIFS('2月数据源'!I:I,'2月数据源'!D:D,E113,'2月数据源'!F:F,"浙江精准学科技有限公司")+SUMIFS('2月数据源'!J:J,'2月数据源'!D:D,E113,'2月数据源'!F:F,"浙江精准学科技有限公司")</f>
        <v/>
      </c>
      <c r="H113" s="89">
        <f>-SUMIFS('3月数据源'!I:I,'3月数据源'!D:D,E113,'3月数据源'!F:F,"浙江精准学科技有限公司")+SUMIFS('3月数据源'!J:J,'3月数据源'!D:D,E113,'3月数据源'!F:F,"浙江精准学科技有限公司")</f>
        <v/>
      </c>
      <c r="I113" s="89">
        <f>-SUMIFS('4月数据源'!I:I,'4月数据源'!D:D,E113,'4月数据源'!F:F,"浙江精准学科技有限公司")+SUMIFS('4月数据源'!J:J,'4月数据源'!D:D,E113,'4月数据源'!F:F,"浙江精准学科技有限公司")</f>
        <v/>
      </c>
      <c r="J113" s="89">
        <f>-SUMIFS('5月数据源'!I:I,'5月数据源'!D:D,E113,'5月数据源'!F:F,"浙江精准学科技有限公司")+SUMIFS('5月数据源'!J:J,'5月数据源'!D:D,E113,'5月数据源'!F:F,"浙江精准学科技有限公司")</f>
        <v/>
      </c>
      <c r="K113" s="89">
        <f>-SUMIFS('6月数据源'!$I:$I,'6月数据源'!$D:$D,$E113,'6月数据源'!$F:$F,"浙江精准学科技有限公司")+SUMIFS('6月数据源'!$J:$J,'6月数据源'!$D:$D,$E113,'6月数据源'!$F:$F,"浙江精准学科技有限公司")</f>
        <v/>
      </c>
      <c r="L113" s="89">
        <f>-SUMIFS('7月数据源'!$I:$I,'7月数据源'!$D:$D,$E113,'7月数据源'!$F:$F,"浙江精准学科技有限公司")+SUMIFS('7月数据源'!$J:$J,'7月数据源'!$D:$D,$E113,'7月数据源'!$F:$F,"浙江精准学科技有限公司")</f>
        <v/>
      </c>
      <c r="M113" s="89">
        <f>-SUMIFS('8月数据源'!$I:$I,'8月数据源'!$D:$D,$E113,'8月数据源'!$F:$F,"浙江精准学科技有限公司")+SUMIFS('8月数据源'!$J:$J,'8月数据源'!$D:$D,$E113,'8月数据源'!$F:$F,"浙江精准学科技有限公司")</f>
        <v/>
      </c>
      <c r="N113" s="89">
        <f>-SUMIFS('9月数据源'!$I:$I,'9月数据源'!$D:$D,$E113,'9月数据源'!$F:$F,"浙江精准学科技有限公司")+SUMIFS('9月数据源'!$J:$J,'9月数据源'!$D:$D,$E113,'9月数据源'!$F:$F,"浙江精准学科技有限公司")</f>
        <v/>
      </c>
      <c r="O113" s="89">
        <f>-SUMIFS('10月数据源'!$I:$I,'10月数据源'!$D:$D,$E113,'10月数据源'!$F:$F,"浙江精准学科技有限公司")+SUMIFS('10月数据源'!$J:$J,'10月数据源'!$D:$D,$E113,'10月数据源'!$F:$F,"浙江精准学科技有限公司")</f>
        <v/>
      </c>
      <c r="P113" s="89">
        <f>-SUMIFS('11月数据源'!$I:$I,'11月数据源'!$D:$D,$E113,'11月数据源'!$F:$F,"浙江精准学科技有限公司")+SUMIFS('11月数据源'!$J:$J,'11月数据源'!$D:$D,$E113,'11月数据源'!$F:$F,"浙江精准学科技有限公司")</f>
        <v/>
      </c>
      <c r="Q113" s="89">
        <f>-SUMIFS('12月数据源'!$I:$I,'12月数据源'!$D:$D,$E113,'12月数据源'!$F:$F,"浙江精准学科技有限公司")+SUMIFS('12月数据源'!$J:$J,'12月数据源'!$D:$D,$E113,'12月数据源'!$F:$F,"浙江精准学科技有限公司")</f>
        <v/>
      </c>
    </row>
    <row r="114" s="83">
      <c r="A114" s="5" t="inlineStr">
        <is>
          <t>销售费用</t>
        </is>
      </c>
      <c r="B114" s="6" t="inlineStr">
        <is>
          <t>投放转化</t>
        </is>
      </c>
      <c r="D114" s="5" t="inlineStr">
        <is>
          <t>视频号投放充值</t>
        </is>
      </c>
      <c r="E114" s="6" t="inlineStr">
        <is>
          <t>Q2004</t>
        </is>
      </c>
      <c r="F114" s="89">
        <f>-SUMIFS('1月数据源'!I:I,'1月数据源'!D:D,E114,'1月数据源'!F:F,"浙江精准学科技有限公司")+SUMIFS('1月数据源'!J:J,'1月数据源'!D:D,E114,'1月数据源'!F:F,"浙江精准学科技有限公司")</f>
        <v/>
      </c>
      <c r="G114" s="89">
        <f>-SUMIFS('2月数据源'!I:I,'2月数据源'!D:D,E114,'2月数据源'!F:F,"浙江精准学科技有限公司")+SUMIFS('2月数据源'!J:J,'2月数据源'!D:D,E114,'2月数据源'!F:F,"浙江精准学科技有限公司")</f>
        <v/>
      </c>
      <c r="H114" s="89">
        <f>-SUMIFS('3月数据源'!I:I,'3月数据源'!D:D,E114,'3月数据源'!F:F,"浙江精准学科技有限公司")+SUMIFS('3月数据源'!J:J,'3月数据源'!D:D,E114,'3月数据源'!F:F,"浙江精准学科技有限公司")</f>
        <v/>
      </c>
      <c r="I114" s="89">
        <f>-SUMIFS('4月数据源'!I:I,'4月数据源'!D:D,E114,'4月数据源'!F:F,"浙江精准学科技有限公司")+SUMIFS('4月数据源'!J:J,'4月数据源'!D:D,E114,'4月数据源'!F:F,"浙江精准学科技有限公司")</f>
        <v/>
      </c>
      <c r="J114" s="89">
        <f>-SUMIFS('5月数据源'!I:I,'5月数据源'!D:D,E114,'5月数据源'!F:F,"浙江精准学科技有限公司")+SUMIFS('5月数据源'!J:J,'5月数据源'!D:D,E114,'5月数据源'!F:F,"浙江精准学科技有限公司")</f>
        <v/>
      </c>
      <c r="K114" s="89">
        <f>-SUMIFS('6月数据源'!$I:$I,'6月数据源'!$D:$D,$E114,'6月数据源'!$F:$F,"浙江精准学科技有限公司")+SUMIFS('6月数据源'!$J:$J,'6月数据源'!$D:$D,$E114,'6月数据源'!$F:$F,"浙江精准学科技有限公司")</f>
        <v/>
      </c>
      <c r="L114" s="89">
        <f>-SUMIFS('7月数据源'!$I:$I,'7月数据源'!$D:$D,$E114,'7月数据源'!$F:$F,"浙江精准学科技有限公司")+SUMIFS('7月数据源'!$J:$J,'7月数据源'!$D:$D,$E114,'7月数据源'!$F:$F,"浙江精准学科技有限公司")</f>
        <v/>
      </c>
      <c r="M114" s="89">
        <f>-SUMIFS('8月数据源'!$I:$I,'8月数据源'!$D:$D,$E114,'8月数据源'!$F:$F,"浙江精准学科技有限公司")+SUMIFS('8月数据源'!$J:$J,'8月数据源'!$D:$D,$E114,'8月数据源'!$F:$F,"浙江精准学科技有限公司")</f>
        <v/>
      </c>
      <c r="N114" s="89">
        <f>-SUMIFS('9月数据源'!$I:$I,'9月数据源'!$D:$D,$E114,'9月数据源'!$F:$F,"浙江精准学科技有限公司")+SUMIFS('9月数据源'!$J:$J,'9月数据源'!$D:$D,$E114,'9月数据源'!$F:$F,"浙江精准学科技有限公司")</f>
        <v/>
      </c>
      <c r="O114" s="89">
        <f>-SUMIFS('10月数据源'!$I:$I,'10月数据源'!$D:$D,$E114,'10月数据源'!$F:$F,"浙江精准学科技有限公司")+SUMIFS('10月数据源'!$J:$J,'10月数据源'!$D:$D,$E114,'10月数据源'!$F:$F,"浙江精准学科技有限公司")</f>
        <v/>
      </c>
      <c r="P114" s="89">
        <f>-SUMIFS('11月数据源'!$I:$I,'11月数据源'!$D:$D,$E114,'11月数据源'!$F:$F,"浙江精准学科技有限公司")+SUMIFS('11月数据源'!$J:$J,'11月数据源'!$D:$D,$E114,'11月数据源'!$F:$F,"浙江精准学科技有限公司")</f>
        <v/>
      </c>
      <c r="Q114" s="89">
        <f>-SUMIFS('12月数据源'!$I:$I,'12月数据源'!$D:$D,$E114,'12月数据源'!$F:$F,"浙江精准学科技有限公司")+SUMIFS('12月数据源'!$J:$J,'12月数据源'!$D:$D,$E114,'12月数据源'!$F:$F,"浙江精准学科技有限公司")</f>
        <v/>
      </c>
    </row>
    <row r="115" s="83">
      <c r="A115" s="5" t="inlineStr">
        <is>
          <t>销售费用</t>
        </is>
      </c>
      <c r="B115" s="6" t="inlineStr">
        <is>
          <t>投放转化</t>
        </is>
      </c>
      <c r="D115" s="5" t="inlineStr">
        <is>
          <t>天猫平台投放充值</t>
        </is>
      </c>
      <c r="E115" s="6" t="inlineStr">
        <is>
          <t>Q2005</t>
        </is>
      </c>
      <c r="F115" s="89">
        <f>-SUMIFS('1月数据源'!I:I,'1月数据源'!D:D,E115,'1月数据源'!F:F,"浙江精准学科技有限公司")+SUMIFS('1月数据源'!J:J,'1月数据源'!D:D,E115,'1月数据源'!F:F,"浙江精准学科技有限公司")</f>
        <v/>
      </c>
      <c r="G115" s="89">
        <f>-SUMIFS('2月数据源'!I:I,'2月数据源'!D:D,E115,'2月数据源'!F:F,"浙江精准学科技有限公司")+SUMIFS('2月数据源'!J:J,'2月数据源'!D:D,E115,'2月数据源'!F:F,"浙江精准学科技有限公司")</f>
        <v/>
      </c>
      <c r="H115" s="89">
        <f>-SUMIFS('3月数据源'!I:I,'3月数据源'!D:D,E115,'3月数据源'!F:F,"浙江精准学科技有限公司")+SUMIFS('3月数据源'!J:J,'3月数据源'!D:D,E115,'3月数据源'!F:F,"浙江精准学科技有限公司")</f>
        <v/>
      </c>
      <c r="I115" s="89">
        <f>-SUMIFS('4月数据源'!I:I,'4月数据源'!D:D,E115,'4月数据源'!F:F,"浙江精准学科技有限公司")+SUMIFS('4月数据源'!J:J,'4月数据源'!D:D,E115,'4月数据源'!F:F,"浙江精准学科技有限公司")</f>
        <v/>
      </c>
      <c r="J115" s="89">
        <f>-SUMIFS('5月数据源'!I:I,'5月数据源'!D:D,E115,'5月数据源'!F:F,"浙江精准学科技有限公司")+SUMIFS('5月数据源'!J:J,'5月数据源'!D:D,E115,'5月数据源'!F:F,"浙江精准学科技有限公司")</f>
        <v/>
      </c>
      <c r="K115" s="89">
        <f>-SUMIFS('6月数据源'!$I:$I,'6月数据源'!$D:$D,$E115,'6月数据源'!$F:$F,"浙江精准学科技有限公司")+SUMIFS('6月数据源'!$J:$J,'6月数据源'!$D:$D,$E115,'6月数据源'!$F:$F,"浙江精准学科技有限公司")</f>
        <v/>
      </c>
      <c r="L115" s="89">
        <f>-SUMIFS('7月数据源'!$I:$I,'7月数据源'!$D:$D,$E115,'7月数据源'!$F:$F,"浙江精准学科技有限公司")+SUMIFS('7月数据源'!$J:$J,'7月数据源'!$D:$D,$E115,'7月数据源'!$F:$F,"浙江精准学科技有限公司")</f>
        <v/>
      </c>
      <c r="M115" s="89">
        <f>-SUMIFS('8月数据源'!$I:$I,'8月数据源'!$D:$D,$E115,'8月数据源'!$F:$F,"浙江精准学科技有限公司")+SUMIFS('8月数据源'!$J:$J,'8月数据源'!$D:$D,$E115,'8月数据源'!$F:$F,"浙江精准学科技有限公司")</f>
        <v/>
      </c>
      <c r="N115" s="89">
        <f>-SUMIFS('9月数据源'!$I:$I,'9月数据源'!$D:$D,$E115,'9月数据源'!$F:$F,"浙江精准学科技有限公司")+SUMIFS('9月数据源'!$J:$J,'9月数据源'!$D:$D,$E115,'9月数据源'!$F:$F,"浙江精准学科技有限公司")</f>
        <v/>
      </c>
      <c r="O115" s="89">
        <f>-SUMIFS('10月数据源'!$I:$I,'10月数据源'!$D:$D,$E115,'10月数据源'!$F:$F,"浙江精准学科技有限公司")+SUMIFS('10月数据源'!$J:$J,'10月数据源'!$D:$D,$E115,'10月数据源'!$F:$F,"浙江精准学科技有限公司")</f>
        <v/>
      </c>
      <c r="P115" s="89">
        <f>-SUMIFS('11月数据源'!$I:$I,'11月数据源'!$D:$D,$E115,'11月数据源'!$F:$F,"浙江精准学科技有限公司")+SUMIFS('11月数据源'!$J:$J,'11月数据源'!$D:$D,$E115,'11月数据源'!$F:$F,"浙江精准学科技有限公司")</f>
        <v/>
      </c>
      <c r="Q115" s="89">
        <f>-SUMIFS('12月数据源'!$I:$I,'12月数据源'!$D:$D,$E115,'12月数据源'!$F:$F,"浙江精准学科技有限公司")+SUMIFS('12月数据源'!$J:$J,'12月数据源'!$D:$D,$E115,'12月数据源'!$F:$F,"浙江精准学科技有限公司")</f>
        <v/>
      </c>
    </row>
    <row r="116" s="83">
      <c r="A116" s="5" t="inlineStr">
        <is>
          <t>销售费用</t>
        </is>
      </c>
      <c r="B116" s="6" t="inlineStr">
        <is>
          <t>直播间运营</t>
        </is>
      </c>
      <c r="C116" s="6" t="inlineStr">
        <is>
          <t>直播间运营</t>
        </is>
      </c>
      <c r="D116" s="5" t="inlineStr">
        <is>
          <t>DP-有熊团队服务费</t>
        </is>
      </c>
      <c r="E116" s="6" t="inlineStr">
        <is>
          <t>Q2101</t>
        </is>
      </c>
      <c r="F116" s="89">
        <f>-SUMIFS('1月数据源'!I:I,'1月数据源'!D:D,E116,'1月数据源'!F:F,"浙江精准学科技有限公司")+SUMIFS('1月数据源'!J:J,'1月数据源'!D:D,E116,'1月数据源'!F:F,"浙江精准学科技有限公司")</f>
        <v/>
      </c>
      <c r="G116" s="89">
        <f>-SUMIFS('2月数据源'!I:I,'2月数据源'!D:D,E116,'2月数据源'!F:F,"浙江精准学科技有限公司")+SUMIFS('2月数据源'!J:J,'2月数据源'!D:D,E116,'2月数据源'!F:F,"浙江精准学科技有限公司")</f>
        <v/>
      </c>
      <c r="H116" s="89">
        <f>-SUMIFS('3月数据源'!I:I,'3月数据源'!D:D,E116,'3月数据源'!F:F,"浙江精准学科技有限公司")+SUMIFS('3月数据源'!J:J,'3月数据源'!D:D,E116,'3月数据源'!F:F,"浙江精准学科技有限公司")</f>
        <v/>
      </c>
      <c r="I116" s="89">
        <f>-SUMIFS('4月数据源'!I:I,'4月数据源'!D:D,E116,'4月数据源'!F:F,"浙江精准学科技有限公司")+SUMIFS('4月数据源'!J:J,'4月数据源'!D:D,E116,'4月数据源'!F:F,"浙江精准学科技有限公司")</f>
        <v/>
      </c>
      <c r="J116" s="89">
        <f>-SUMIFS('5月数据源'!I:I,'5月数据源'!D:D,E116,'5月数据源'!F:F,"浙江精准学科技有限公司")+SUMIFS('5月数据源'!J:J,'5月数据源'!D:D,E116,'5月数据源'!F:F,"浙江精准学科技有限公司")</f>
        <v/>
      </c>
      <c r="K116" s="89">
        <f>-SUMIFS('6月数据源'!$I:$I,'6月数据源'!$D:$D,$E116,'6月数据源'!$F:$F,"浙江精准学科技有限公司")+SUMIFS('6月数据源'!$J:$J,'6月数据源'!$D:$D,$E116,'6月数据源'!$F:$F,"浙江精准学科技有限公司")</f>
        <v/>
      </c>
      <c r="L116" s="89">
        <f>-SUMIFS('7月数据源'!$I:$I,'7月数据源'!$D:$D,$E116,'7月数据源'!$F:$F,"浙江精准学科技有限公司")+SUMIFS('7月数据源'!$J:$J,'7月数据源'!$D:$D,$E116,'7月数据源'!$F:$F,"浙江精准学科技有限公司")</f>
        <v/>
      </c>
      <c r="M116" s="89">
        <f>-SUMIFS('8月数据源'!$I:$I,'8月数据源'!$D:$D,$E116,'8月数据源'!$F:$F,"浙江精准学科技有限公司")+SUMIFS('8月数据源'!$J:$J,'8月数据源'!$D:$D,$E116,'8月数据源'!$F:$F,"浙江精准学科技有限公司")</f>
        <v/>
      </c>
      <c r="N116" s="89">
        <f>-SUMIFS('9月数据源'!$I:$I,'9月数据源'!$D:$D,$E116,'9月数据源'!$F:$F,"浙江精准学科技有限公司")+SUMIFS('9月数据源'!$J:$J,'9月数据源'!$D:$D,$E116,'9月数据源'!$F:$F,"浙江精准学科技有限公司")</f>
        <v/>
      </c>
      <c r="O116" s="89">
        <f>-SUMIFS('10月数据源'!$I:$I,'10月数据源'!$D:$D,$E116,'10月数据源'!$F:$F,"浙江精准学科技有限公司")+SUMIFS('10月数据源'!$J:$J,'10月数据源'!$D:$D,$E116,'10月数据源'!$F:$F,"浙江精准学科技有限公司")</f>
        <v/>
      </c>
      <c r="P116" s="89">
        <f>-SUMIFS('11月数据源'!$I:$I,'11月数据源'!$D:$D,$E116,'11月数据源'!$F:$F,"浙江精准学科技有限公司")+SUMIFS('11月数据源'!$J:$J,'11月数据源'!$D:$D,$E116,'11月数据源'!$F:$F,"浙江精准学科技有限公司")</f>
        <v/>
      </c>
      <c r="Q116" s="89">
        <f>-SUMIFS('12月数据源'!$I:$I,'12月数据源'!$D:$D,$E116,'12月数据源'!$F:$F,"浙江精准学科技有限公司")+SUMIFS('12月数据源'!$J:$J,'12月数据源'!$D:$D,$E116,'12月数据源'!$F:$F,"浙江精准学科技有限公司")</f>
        <v/>
      </c>
    </row>
    <row r="117" s="83">
      <c r="A117" s="5" t="inlineStr">
        <is>
          <t>销售费用</t>
        </is>
      </c>
      <c r="B117" s="6" t="inlineStr">
        <is>
          <t>直播间运营</t>
        </is>
      </c>
      <c r="D117" s="5" t="inlineStr">
        <is>
          <t>DP-黑哥团队服务费</t>
        </is>
      </c>
      <c r="E117" s="6" t="inlineStr">
        <is>
          <t>Q2102</t>
        </is>
      </c>
      <c r="F117" s="89">
        <f>-SUMIFS('1月数据源'!I:I,'1月数据源'!D:D,E117,'1月数据源'!F:F,"浙江精准学科技有限公司")+SUMIFS('1月数据源'!J:J,'1月数据源'!D:D,E117,'1月数据源'!F:F,"浙江精准学科技有限公司")</f>
        <v/>
      </c>
      <c r="G117" s="89">
        <f>-SUMIFS('2月数据源'!I:I,'2月数据源'!D:D,E117,'2月数据源'!F:F,"浙江精准学科技有限公司")+SUMIFS('2月数据源'!J:J,'2月数据源'!D:D,E117,'2月数据源'!F:F,"浙江精准学科技有限公司")</f>
        <v/>
      </c>
      <c r="H117" s="89">
        <f>-SUMIFS('3月数据源'!I:I,'3月数据源'!D:D,E117,'3月数据源'!F:F,"浙江精准学科技有限公司")+SUMIFS('3月数据源'!J:J,'3月数据源'!D:D,E117,'3月数据源'!F:F,"浙江精准学科技有限公司")</f>
        <v/>
      </c>
      <c r="I117" s="89">
        <f>-SUMIFS('4月数据源'!I:I,'4月数据源'!D:D,E117,'4月数据源'!F:F,"浙江精准学科技有限公司")+SUMIFS('4月数据源'!J:J,'4月数据源'!D:D,E117,'4月数据源'!F:F,"浙江精准学科技有限公司")</f>
        <v/>
      </c>
      <c r="J117" s="89">
        <f>-SUMIFS('5月数据源'!I:I,'5月数据源'!D:D,E117,'5月数据源'!F:F,"浙江精准学科技有限公司")+SUMIFS('5月数据源'!J:J,'5月数据源'!D:D,E117,'5月数据源'!F:F,"浙江精准学科技有限公司")</f>
        <v/>
      </c>
      <c r="K117" s="89">
        <f>-SUMIFS('6月数据源'!$I:$I,'6月数据源'!$D:$D,$E117,'6月数据源'!$F:$F,"浙江精准学科技有限公司")+SUMIFS('6月数据源'!$J:$J,'6月数据源'!$D:$D,$E117,'6月数据源'!$F:$F,"浙江精准学科技有限公司")</f>
        <v/>
      </c>
      <c r="L117" s="89">
        <f>-SUMIFS('7月数据源'!$I:$I,'7月数据源'!$D:$D,$E117,'7月数据源'!$F:$F,"浙江精准学科技有限公司")+SUMIFS('7月数据源'!$J:$J,'7月数据源'!$D:$D,$E117,'7月数据源'!$F:$F,"浙江精准学科技有限公司")</f>
        <v/>
      </c>
      <c r="M117" s="89">
        <f>-SUMIFS('8月数据源'!$I:$I,'8月数据源'!$D:$D,$E117,'8月数据源'!$F:$F,"浙江精准学科技有限公司")+SUMIFS('8月数据源'!$J:$J,'8月数据源'!$D:$D,$E117,'8月数据源'!$F:$F,"浙江精准学科技有限公司")</f>
        <v/>
      </c>
      <c r="N117" s="89">
        <f>-SUMIFS('9月数据源'!$I:$I,'9月数据源'!$D:$D,$E117,'9月数据源'!$F:$F,"浙江精准学科技有限公司")+SUMIFS('9月数据源'!$J:$J,'9月数据源'!$D:$D,$E117,'9月数据源'!$F:$F,"浙江精准学科技有限公司")</f>
        <v/>
      </c>
      <c r="O117" s="89">
        <f>-SUMIFS('10月数据源'!$I:$I,'10月数据源'!$D:$D,$E117,'10月数据源'!$F:$F,"浙江精准学科技有限公司")+SUMIFS('10月数据源'!$J:$J,'10月数据源'!$D:$D,$E117,'10月数据源'!$F:$F,"浙江精准学科技有限公司")</f>
        <v/>
      </c>
      <c r="P117" s="89">
        <f>-SUMIFS('11月数据源'!$I:$I,'11月数据源'!$D:$D,$E117,'11月数据源'!$F:$F,"浙江精准学科技有限公司")+SUMIFS('11月数据源'!$J:$J,'11月数据源'!$D:$D,$E117,'11月数据源'!$F:$F,"浙江精准学科技有限公司")</f>
        <v/>
      </c>
      <c r="Q117" s="89">
        <f>-SUMIFS('12月数据源'!$I:$I,'12月数据源'!$D:$D,$E117,'12月数据源'!$F:$F,"浙江精准学科技有限公司")+SUMIFS('12月数据源'!$J:$J,'12月数据源'!$D:$D,$E117,'12月数据源'!$F:$F,"浙江精准学科技有限公司")</f>
        <v/>
      </c>
    </row>
    <row r="118" s="83">
      <c r="A118" s="5" t="inlineStr">
        <is>
          <t>销售费用</t>
        </is>
      </c>
      <c r="B118" s="6" t="inlineStr">
        <is>
          <t>直播间运营</t>
        </is>
      </c>
      <c r="D118" s="5" t="inlineStr">
        <is>
          <t>DP-小太阳团队服务费</t>
        </is>
      </c>
      <c r="E118" s="6" t="inlineStr">
        <is>
          <t>Q2103</t>
        </is>
      </c>
      <c r="F118" s="89">
        <f>-SUMIFS('1月数据源'!I:I,'1月数据源'!D:D,E118,'1月数据源'!F:F,"浙江精准学科技有限公司")+SUMIFS('1月数据源'!J:J,'1月数据源'!D:D,E118,'1月数据源'!F:F,"浙江精准学科技有限公司")</f>
        <v/>
      </c>
      <c r="G118" s="89">
        <f>-SUMIFS('2月数据源'!I:I,'2月数据源'!D:D,E118,'2月数据源'!F:F,"浙江精准学科技有限公司")+SUMIFS('2月数据源'!J:J,'2月数据源'!D:D,E118,'2月数据源'!F:F,"浙江精准学科技有限公司")</f>
        <v/>
      </c>
      <c r="H118" s="89">
        <f>-SUMIFS('3月数据源'!I:I,'3月数据源'!D:D,E118,'3月数据源'!F:F,"浙江精准学科技有限公司")+SUMIFS('3月数据源'!J:J,'3月数据源'!D:D,E118,'3月数据源'!F:F,"浙江精准学科技有限公司")</f>
        <v/>
      </c>
      <c r="I118" s="89">
        <f>-SUMIFS('4月数据源'!I:I,'4月数据源'!D:D,E118,'4月数据源'!F:F,"浙江精准学科技有限公司")+SUMIFS('4月数据源'!J:J,'4月数据源'!D:D,E118,'4月数据源'!F:F,"浙江精准学科技有限公司")</f>
        <v/>
      </c>
      <c r="J118" s="89">
        <f>-SUMIFS('5月数据源'!I:I,'5月数据源'!D:D,E118,'5月数据源'!F:F,"浙江精准学科技有限公司")+SUMIFS('5月数据源'!J:J,'5月数据源'!D:D,E118,'5月数据源'!F:F,"浙江精准学科技有限公司")</f>
        <v/>
      </c>
      <c r="K118" s="89">
        <f>-SUMIFS('6月数据源'!$I:$I,'6月数据源'!$D:$D,$E118,'6月数据源'!$F:$F,"浙江精准学科技有限公司")+SUMIFS('6月数据源'!$J:$J,'6月数据源'!$D:$D,$E118,'6月数据源'!$F:$F,"浙江精准学科技有限公司")</f>
        <v/>
      </c>
      <c r="L118" s="89">
        <f>-SUMIFS('7月数据源'!$I:$I,'7月数据源'!$D:$D,$E118,'7月数据源'!$F:$F,"浙江精准学科技有限公司")+SUMIFS('7月数据源'!$J:$J,'7月数据源'!$D:$D,$E118,'7月数据源'!$F:$F,"浙江精准学科技有限公司")</f>
        <v/>
      </c>
      <c r="M118" s="89">
        <f>-SUMIFS('8月数据源'!$I:$I,'8月数据源'!$D:$D,$E118,'8月数据源'!$F:$F,"浙江精准学科技有限公司")+SUMIFS('8月数据源'!$J:$J,'8月数据源'!$D:$D,$E118,'8月数据源'!$F:$F,"浙江精准学科技有限公司")</f>
        <v/>
      </c>
      <c r="N118" s="89">
        <f>-SUMIFS('9月数据源'!$I:$I,'9月数据源'!$D:$D,$E118,'9月数据源'!$F:$F,"浙江精准学科技有限公司")+SUMIFS('9月数据源'!$J:$J,'9月数据源'!$D:$D,$E118,'9月数据源'!$F:$F,"浙江精准学科技有限公司")</f>
        <v/>
      </c>
      <c r="O118" s="89">
        <f>-SUMIFS('10月数据源'!$I:$I,'10月数据源'!$D:$D,$E118,'10月数据源'!$F:$F,"浙江精准学科技有限公司")+SUMIFS('10月数据源'!$J:$J,'10月数据源'!$D:$D,$E118,'10月数据源'!$F:$F,"浙江精准学科技有限公司")</f>
        <v/>
      </c>
      <c r="P118" s="89">
        <f>-SUMIFS('11月数据源'!$I:$I,'11月数据源'!$D:$D,$E118,'11月数据源'!$F:$F,"浙江精准学科技有限公司")+SUMIFS('11月数据源'!$J:$J,'11月数据源'!$D:$D,$E118,'11月数据源'!$F:$F,"浙江精准学科技有限公司")</f>
        <v/>
      </c>
      <c r="Q118" s="89">
        <f>-SUMIFS('12月数据源'!$I:$I,'12月数据源'!$D:$D,$E118,'12月数据源'!$F:$F,"浙江精准学科技有限公司")+SUMIFS('12月数据源'!$J:$J,'12月数据源'!$D:$D,$E118,'12月数据源'!$F:$F,"浙江精准学科技有限公司")</f>
        <v/>
      </c>
    </row>
    <row r="119" s="83">
      <c r="A119" s="5" t="inlineStr">
        <is>
          <t>销售费用</t>
        </is>
      </c>
      <c r="B119" s="6" t="inlineStr">
        <is>
          <t>直播间运营</t>
        </is>
      </c>
      <c r="D119" s="5" t="inlineStr">
        <is>
          <t>直播间搭建费用</t>
        </is>
      </c>
      <c r="E119" s="6" t="inlineStr">
        <is>
          <t>Q2104</t>
        </is>
      </c>
      <c r="F119" s="89">
        <f>-SUMIFS('1月数据源'!I:I,'1月数据源'!D:D,E119,'1月数据源'!F:F,"浙江精准学科技有限公司")+SUMIFS('1月数据源'!J:J,'1月数据源'!D:D,E119,'1月数据源'!F:F,"浙江精准学科技有限公司")</f>
        <v/>
      </c>
      <c r="G119" s="89">
        <f>-SUMIFS('2月数据源'!I:I,'2月数据源'!D:D,E119,'2月数据源'!F:F,"浙江精准学科技有限公司")+SUMIFS('2月数据源'!J:J,'2月数据源'!D:D,E119,'2月数据源'!F:F,"浙江精准学科技有限公司")</f>
        <v/>
      </c>
      <c r="H119" s="89">
        <f>-SUMIFS('3月数据源'!I:I,'3月数据源'!D:D,E119,'3月数据源'!F:F,"浙江精准学科技有限公司")+SUMIFS('3月数据源'!J:J,'3月数据源'!D:D,E119,'3月数据源'!F:F,"浙江精准学科技有限公司")</f>
        <v/>
      </c>
      <c r="I119" s="89">
        <f>-SUMIFS('4月数据源'!I:I,'4月数据源'!D:D,E119,'4月数据源'!F:F,"浙江精准学科技有限公司")+SUMIFS('4月数据源'!J:J,'4月数据源'!D:D,E119,'4月数据源'!F:F,"浙江精准学科技有限公司")</f>
        <v/>
      </c>
      <c r="J119" s="89">
        <f>-SUMIFS('5月数据源'!I:I,'5月数据源'!D:D,E119,'5月数据源'!F:F,"浙江精准学科技有限公司")+SUMIFS('5月数据源'!J:J,'5月数据源'!D:D,E119,'5月数据源'!F:F,"浙江精准学科技有限公司")</f>
        <v/>
      </c>
      <c r="K119" s="89">
        <f>-SUMIFS('6月数据源'!$I:$I,'6月数据源'!$D:$D,$E119,'6月数据源'!$F:$F,"浙江精准学科技有限公司")+SUMIFS('6月数据源'!$J:$J,'6月数据源'!$D:$D,$E119,'6月数据源'!$F:$F,"浙江精准学科技有限公司")</f>
        <v/>
      </c>
      <c r="L119" s="89">
        <f>-SUMIFS('7月数据源'!$I:$I,'7月数据源'!$D:$D,$E119,'7月数据源'!$F:$F,"浙江精准学科技有限公司")+SUMIFS('7月数据源'!$J:$J,'7月数据源'!$D:$D,$E119,'7月数据源'!$F:$F,"浙江精准学科技有限公司")</f>
        <v/>
      </c>
      <c r="M119" s="89">
        <f>-SUMIFS('8月数据源'!$I:$I,'8月数据源'!$D:$D,$E119,'8月数据源'!$F:$F,"浙江精准学科技有限公司")+SUMIFS('8月数据源'!$J:$J,'8月数据源'!$D:$D,$E119,'8月数据源'!$F:$F,"浙江精准学科技有限公司")</f>
        <v/>
      </c>
      <c r="N119" s="89">
        <f>-SUMIFS('9月数据源'!$I:$I,'9月数据源'!$D:$D,$E119,'9月数据源'!$F:$F,"浙江精准学科技有限公司")+SUMIFS('9月数据源'!$J:$J,'9月数据源'!$D:$D,$E119,'9月数据源'!$F:$F,"浙江精准学科技有限公司")</f>
        <v/>
      </c>
      <c r="O119" s="89">
        <f>-SUMIFS('10月数据源'!$I:$I,'10月数据源'!$D:$D,$E119,'10月数据源'!$F:$F,"浙江精准学科技有限公司")+SUMIFS('10月数据源'!$J:$J,'10月数据源'!$D:$D,$E119,'10月数据源'!$F:$F,"浙江精准学科技有限公司")</f>
        <v/>
      </c>
      <c r="P119" s="89">
        <f>-SUMIFS('11月数据源'!$I:$I,'11月数据源'!$D:$D,$E119,'11月数据源'!$F:$F,"浙江精准学科技有限公司")+SUMIFS('11月数据源'!$J:$J,'11月数据源'!$D:$D,$E119,'11月数据源'!$F:$F,"浙江精准学科技有限公司")</f>
        <v/>
      </c>
      <c r="Q119" s="89">
        <f>-SUMIFS('12月数据源'!$I:$I,'12月数据源'!$D:$D,$E119,'12月数据源'!$F:$F,"浙江精准学科技有限公司")+SUMIFS('12月数据源'!$J:$J,'12月数据源'!$D:$D,$E119,'12月数据源'!$F:$F,"浙江精准学科技有限公司")</f>
        <v/>
      </c>
    </row>
    <row r="120" s="83">
      <c r="A120" s="5" t="inlineStr">
        <is>
          <t>销售费用</t>
        </is>
      </c>
      <c r="B120" s="6" t="inlineStr">
        <is>
          <t>平台运营</t>
        </is>
      </c>
      <c r="C120" s="6" t="inlineStr">
        <is>
          <t>平台运营</t>
        </is>
      </c>
      <c r="D120" s="5" t="inlineStr">
        <is>
          <t>分期服务费</t>
        </is>
      </c>
      <c r="E120" s="6" t="inlineStr">
        <is>
          <t>Q2204</t>
        </is>
      </c>
      <c r="F120" s="89">
        <f>-SUMIFS('1月数据源'!I:I,'1月数据源'!D:D,E120,'1月数据源'!F:F,"浙江精准学科技有限公司")+SUMIFS('1月数据源'!J:J,'1月数据源'!D:D,E120,'1月数据源'!F:F,"浙江精准学科技有限公司")</f>
        <v/>
      </c>
      <c r="G120" s="89">
        <f>-SUMIFS('2月数据源'!I:I,'2月数据源'!D:D,E120,'2月数据源'!F:F,"浙江精准学科技有限公司")+SUMIFS('2月数据源'!J:J,'2月数据源'!D:D,E120,'2月数据源'!F:F,"浙江精准学科技有限公司")</f>
        <v/>
      </c>
      <c r="H120" s="89">
        <f>-SUMIFS('3月数据源'!I:I,'3月数据源'!D:D,E120,'3月数据源'!F:F,"浙江精准学科技有限公司")+SUMIFS('3月数据源'!J:J,'3月数据源'!D:D,E120,'3月数据源'!F:F,"浙江精准学科技有限公司")</f>
        <v/>
      </c>
      <c r="I120" s="89">
        <f>-SUMIFS('4月数据源'!I:I,'4月数据源'!D:D,E120,'4月数据源'!F:F,"浙江精准学科技有限公司")+SUMIFS('4月数据源'!J:J,'4月数据源'!D:D,E120,'4月数据源'!F:F,"浙江精准学科技有限公司")</f>
        <v/>
      </c>
      <c r="J120" s="89">
        <f>-SUMIFS('5月数据源'!I:I,'5月数据源'!D:D,E120,'5月数据源'!F:F,"浙江精准学科技有限公司")+SUMIFS('5月数据源'!J:J,'5月数据源'!D:D,E120,'5月数据源'!F:F,"浙江精准学科技有限公司")</f>
        <v/>
      </c>
      <c r="K120" s="89">
        <f>-SUMIFS('6月数据源'!$I:$I,'6月数据源'!$D:$D,$E120,'6月数据源'!$F:$F,"浙江精准学科技有限公司")+SUMIFS('6月数据源'!$J:$J,'6月数据源'!$D:$D,$E120,'6月数据源'!$F:$F,"浙江精准学科技有限公司")</f>
        <v/>
      </c>
      <c r="L120" s="89">
        <f>-SUMIFS('7月数据源'!$I:$I,'7月数据源'!$D:$D,$E120,'7月数据源'!$F:$F,"浙江精准学科技有限公司")+SUMIFS('7月数据源'!$J:$J,'7月数据源'!$D:$D,$E120,'7月数据源'!$F:$F,"浙江精准学科技有限公司")</f>
        <v/>
      </c>
      <c r="M120" s="89">
        <f>-SUMIFS('8月数据源'!$I:$I,'8月数据源'!$D:$D,$E120,'8月数据源'!$F:$F,"浙江精准学科技有限公司")+SUMIFS('8月数据源'!$J:$J,'8月数据源'!$D:$D,$E120,'8月数据源'!$F:$F,"浙江精准学科技有限公司")</f>
        <v/>
      </c>
      <c r="N120" s="89">
        <f>-SUMIFS('9月数据源'!$I:$I,'9月数据源'!$D:$D,$E120,'9月数据源'!$F:$F,"浙江精准学科技有限公司")+SUMIFS('9月数据源'!$J:$J,'9月数据源'!$D:$D,$E120,'9月数据源'!$F:$F,"浙江精准学科技有限公司")</f>
        <v/>
      </c>
      <c r="O120" s="89">
        <f>-SUMIFS('10月数据源'!$I:$I,'10月数据源'!$D:$D,$E120,'10月数据源'!$F:$F,"浙江精准学科技有限公司")+SUMIFS('10月数据源'!$J:$J,'10月数据源'!$D:$D,$E120,'10月数据源'!$F:$F,"浙江精准学科技有限公司")</f>
        <v/>
      </c>
      <c r="P120" s="89">
        <f>-SUMIFS('11月数据源'!$I:$I,'11月数据源'!$D:$D,$E120,'11月数据源'!$F:$F,"浙江精准学科技有限公司")+SUMIFS('11月数据源'!$J:$J,'11月数据源'!$D:$D,$E120,'11月数据源'!$F:$F,"浙江精准学科技有限公司")</f>
        <v/>
      </c>
      <c r="Q120" s="89">
        <f>-SUMIFS('12月数据源'!$I:$I,'12月数据源'!$D:$D,$E120,'12月数据源'!$F:$F,"浙江精准学科技有限公司")+SUMIFS('12月数据源'!$J:$J,'12月数据源'!$D:$D,$E120,'12月数据源'!$F:$F,"浙江精准学科技有限公司")</f>
        <v/>
      </c>
    </row>
    <row r="121" s="83">
      <c r="A121" s="5" t="inlineStr">
        <is>
          <t>销售费用</t>
        </is>
      </c>
      <c r="B121" s="6" t="inlineStr">
        <is>
          <t>平台运营</t>
        </is>
      </c>
      <c r="D121" s="5" t="inlineStr">
        <is>
          <t>平台服务费</t>
        </is>
      </c>
      <c r="E121" s="6" t="inlineStr">
        <is>
          <t>Q2201</t>
        </is>
      </c>
      <c r="F121" s="89">
        <f>-SUMIFS('1月数据源'!I:I,'1月数据源'!D:D,E121,'1月数据源'!F:F,"浙江精准学科技有限公司")+SUMIFS('1月数据源'!J:J,'1月数据源'!D:D,E121,'1月数据源'!F:F,"浙江精准学科技有限公司")</f>
        <v/>
      </c>
      <c r="G121" s="89">
        <f>-SUMIFS('2月数据源'!I:I,'2月数据源'!D:D,E121,'2月数据源'!F:F,"浙江精准学科技有限公司")+SUMIFS('2月数据源'!J:J,'2月数据源'!D:D,E121,'2月数据源'!F:F,"浙江精准学科技有限公司")</f>
        <v/>
      </c>
      <c r="H121" s="89">
        <f>-SUMIFS('3月数据源'!I:I,'3月数据源'!D:D,E121,'3月数据源'!F:F,"浙江精准学科技有限公司")+SUMIFS('3月数据源'!J:J,'3月数据源'!D:D,E121,'3月数据源'!F:F,"浙江精准学科技有限公司")</f>
        <v/>
      </c>
      <c r="I121" s="89">
        <f>-SUMIFS('4月数据源'!I:I,'4月数据源'!D:D,E121,'4月数据源'!F:F,"浙江精准学科技有限公司")+SUMIFS('4月数据源'!J:J,'4月数据源'!D:D,E121,'4月数据源'!F:F,"浙江精准学科技有限公司")</f>
        <v/>
      </c>
      <c r="J121" s="89">
        <f>-SUMIFS('5月数据源'!I:I,'5月数据源'!D:D,E121,'5月数据源'!F:F,"浙江精准学科技有限公司")+SUMIFS('5月数据源'!J:J,'5月数据源'!D:D,E121,'5月数据源'!F:F,"浙江精准学科技有限公司")</f>
        <v/>
      </c>
      <c r="K121" s="89">
        <f>-SUMIFS('6月数据源'!$I:$I,'6月数据源'!$D:$D,$E121,'6月数据源'!$F:$F,"浙江精准学科技有限公司")+SUMIFS('6月数据源'!$J:$J,'6月数据源'!$D:$D,$E121,'6月数据源'!$F:$F,"浙江精准学科技有限公司")</f>
        <v/>
      </c>
      <c r="L121" s="89">
        <f>-SUMIFS('7月数据源'!$I:$I,'7月数据源'!$D:$D,$E121,'7月数据源'!$F:$F,"浙江精准学科技有限公司")+SUMIFS('7月数据源'!$J:$J,'7月数据源'!$D:$D,$E121,'7月数据源'!$F:$F,"浙江精准学科技有限公司")</f>
        <v/>
      </c>
      <c r="M121" s="89">
        <f>-SUMIFS('8月数据源'!$I:$I,'8月数据源'!$D:$D,$E121,'8月数据源'!$F:$F,"浙江精准学科技有限公司")+SUMIFS('8月数据源'!$J:$J,'8月数据源'!$D:$D,$E121,'8月数据源'!$F:$F,"浙江精准学科技有限公司")</f>
        <v/>
      </c>
      <c r="N121" s="89">
        <f>-SUMIFS('9月数据源'!$I:$I,'9月数据源'!$D:$D,$E121,'9月数据源'!$F:$F,"浙江精准学科技有限公司")+SUMIFS('9月数据源'!$J:$J,'9月数据源'!$D:$D,$E121,'9月数据源'!$F:$F,"浙江精准学科技有限公司")</f>
        <v/>
      </c>
      <c r="O121" s="89">
        <f>-SUMIFS('10月数据源'!$I:$I,'10月数据源'!$D:$D,$E121,'10月数据源'!$F:$F,"浙江精准学科技有限公司")+SUMIFS('10月数据源'!$J:$J,'10月数据源'!$D:$D,$E121,'10月数据源'!$F:$F,"浙江精准学科技有限公司")</f>
        <v/>
      </c>
      <c r="P121" s="89">
        <f>-SUMIFS('11月数据源'!$I:$I,'11月数据源'!$D:$D,$E121,'11月数据源'!$F:$F,"浙江精准学科技有限公司")+SUMIFS('11月数据源'!$J:$J,'11月数据源'!$D:$D,$E121,'11月数据源'!$F:$F,"浙江精准学科技有限公司")</f>
        <v/>
      </c>
      <c r="Q121" s="89">
        <f>-SUMIFS('12月数据源'!$I:$I,'12月数据源'!$D:$D,$E121,'12月数据源'!$F:$F,"浙江精准学科技有限公司")+SUMIFS('12月数据源'!$J:$J,'12月数据源'!$D:$D,$E121,'12月数据源'!$F:$F,"浙江精准学科技有限公司")</f>
        <v/>
      </c>
    </row>
    <row r="122" s="83">
      <c r="A122" s="5" t="inlineStr">
        <is>
          <t>销售费用</t>
        </is>
      </c>
      <c r="B122" s="6" t="inlineStr">
        <is>
          <t>平台运营</t>
        </is>
      </c>
      <c r="D122" s="5" t="inlineStr">
        <is>
          <t>权益保险</t>
        </is>
      </c>
      <c r="E122" s="6" t="inlineStr">
        <is>
          <t>Q2205</t>
        </is>
      </c>
      <c r="F122" s="89">
        <f>-SUMIFS('1月数据源'!I:I,'1月数据源'!D:D,E122,'1月数据源'!F:F,"浙江精准学科技有限公司")+SUMIFS('1月数据源'!J:J,'1月数据源'!D:D,E122,'1月数据源'!F:F,"浙江精准学科技有限公司")</f>
        <v/>
      </c>
      <c r="G122" s="89">
        <f>-SUMIFS('2月数据源'!I:I,'2月数据源'!D:D,E122,'2月数据源'!F:F,"浙江精准学科技有限公司")+SUMIFS('2月数据源'!J:J,'2月数据源'!D:D,E122,'2月数据源'!F:F,"浙江精准学科技有限公司")</f>
        <v/>
      </c>
      <c r="H122" s="89">
        <f>-SUMIFS('3月数据源'!I:I,'3月数据源'!D:D,E122,'3月数据源'!F:F,"浙江精准学科技有限公司")+SUMIFS('3月数据源'!J:J,'3月数据源'!D:D,E122,'3月数据源'!F:F,"浙江精准学科技有限公司")</f>
        <v/>
      </c>
      <c r="I122" s="89">
        <f>-SUMIFS('4月数据源'!I:I,'4月数据源'!D:D,E122,'4月数据源'!F:F,"浙江精准学科技有限公司")+SUMIFS('4月数据源'!J:J,'4月数据源'!D:D,E122,'4月数据源'!F:F,"浙江精准学科技有限公司")</f>
        <v/>
      </c>
      <c r="J122" s="89">
        <f>-SUMIFS('5月数据源'!I:I,'5月数据源'!D:D,E122,'5月数据源'!F:F,"浙江精准学科技有限公司")+SUMIFS('5月数据源'!J:J,'5月数据源'!D:D,E122,'5月数据源'!F:F,"浙江精准学科技有限公司")</f>
        <v/>
      </c>
      <c r="K122" s="89">
        <f>-SUMIFS('6月数据源'!$I:$I,'6月数据源'!$D:$D,$E122,'6月数据源'!$F:$F,"浙江精准学科技有限公司")+SUMIFS('6月数据源'!$J:$J,'6月数据源'!$D:$D,$E122,'6月数据源'!$F:$F,"浙江精准学科技有限公司")</f>
        <v/>
      </c>
      <c r="L122" s="89">
        <f>-SUMIFS('7月数据源'!$I:$I,'7月数据源'!$D:$D,$E122,'7月数据源'!$F:$F,"浙江精准学科技有限公司")+SUMIFS('7月数据源'!$J:$J,'7月数据源'!$D:$D,$E122,'7月数据源'!$F:$F,"浙江精准学科技有限公司")</f>
        <v/>
      </c>
      <c r="M122" s="89">
        <f>-SUMIFS('8月数据源'!$I:$I,'8月数据源'!$D:$D,$E122,'8月数据源'!$F:$F,"浙江精准学科技有限公司")+SUMIFS('8月数据源'!$J:$J,'8月数据源'!$D:$D,$E122,'8月数据源'!$F:$F,"浙江精准学科技有限公司")</f>
        <v/>
      </c>
      <c r="N122" s="89">
        <f>-SUMIFS('9月数据源'!$I:$I,'9月数据源'!$D:$D,$E122,'9月数据源'!$F:$F,"浙江精准学科技有限公司")+SUMIFS('9月数据源'!$J:$J,'9月数据源'!$D:$D,$E122,'9月数据源'!$F:$F,"浙江精准学科技有限公司")</f>
        <v/>
      </c>
      <c r="O122" s="89">
        <f>-SUMIFS('10月数据源'!$I:$I,'10月数据源'!$D:$D,$E122,'10月数据源'!$F:$F,"浙江精准学科技有限公司")+SUMIFS('10月数据源'!$J:$J,'10月数据源'!$D:$D,$E122,'10月数据源'!$F:$F,"浙江精准学科技有限公司")</f>
        <v/>
      </c>
      <c r="P122" s="89">
        <f>-SUMIFS('11月数据源'!$I:$I,'11月数据源'!$D:$D,$E122,'11月数据源'!$F:$F,"浙江精准学科技有限公司")+SUMIFS('11月数据源'!$J:$J,'11月数据源'!$D:$D,$E122,'11月数据源'!$F:$F,"浙江精准学科技有限公司")</f>
        <v/>
      </c>
      <c r="Q122" s="89">
        <f>-SUMIFS('12月数据源'!$I:$I,'12月数据源'!$D:$D,$E122,'12月数据源'!$F:$F,"浙江精准学科技有限公司")+SUMIFS('12月数据源'!$J:$J,'12月数据源'!$D:$D,$E122,'12月数据源'!$F:$F,"浙江精准学科技有限公司")</f>
        <v/>
      </c>
    </row>
    <row r="123" s="83">
      <c r="A123" s="5" t="inlineStr">
        <is>
          <t>销售费用</t>
        </is>
      </c>
      <c r="B123" s="6" t="inlineStr">
        <is>
          <t>平台运营</t>
        </is>
      </c>
      <c r="D123" s="5" t="inlineStr">
        <is>
          <t>消费者赔付</t>
        </is>
      </c>
      <c r="E123" s="6" t="inlineStr">
        <is>
          <t>Q2206</t>
        </is>
      </c>
      <c r="F123" s="89">
        <f>-SUMIFS('1月数据源'!I:I,'1月数据源'!D:D,E123,'1月数据源'!F:F,"浙江精准学科技有限公司")+SUMIFS('1月数据源'!J:J,'1月数据源'!D:D,E123,'1月数据源'!F:F,"浙江精准学科技有限公司")</f>
        <v/>
      </c>
      <c r="G123" s="89">
        <f>-SUMIFS('2月数据源'!I:I,'2月数据源'!D:D,E123,'2月数据源'!F:F,"浙江精准学科技有限公司")+SUMIFS('2月数据源'!J:J,'2月数据源'!D:D,E123,'2月数据源'!F:F,"浙江精准学科技有限公司")</f>
        <v/>
      </c>
      <c r="H123" s="89">
        <f>-SUMIFS('3月数据源'!I:I,'3月数据源'!D:D,E123,'3月数据源'!F:F,"浙江精准学科技有限公司")+SUMIFS('3月数据源'!J:J,'3月数据源'!D:D,E123,'3月数据源'!F:F,"浙江精准学科技有限公司")</f>
        <v/>
      </c>
      <c r="I123" s="89">
        <f>-SUMIFS('4月数据源'!I:I,'4月数据源'!D:D,E123,'4月数据源'!F:F,"浙江精准学科技有限公司")+SUMIFS('4月数据源'!J:J,'4月数据源'!D:D,E123,'4月数据源'!F:F,"浙江精准学科技有限公司")</f>
        <v/>
      </c>
      <c r="J123" s="89">
        <f>-SUMIFS('5月数据源'!I:I,'5月数据源'!D:D,E123,'5月数据源'!F:F,"浙江精准学科技有限公司")+SUMIFS('5月数据源'!J:J,'5月数据源'!D:D,E123,'5月数据源'!F:F,"浙江精准学科技有限公司")</f>
        <v/>
      </c>
      <c r="K123" s="89">
        <f>-SUMIFS('6月数据源'!$I:$I,'6月数据源'!$D:$D,$E123,'6月数据源'!$F:$F,"浙江精准学科技有限公司")+SUMIFS('6月数据源'!$J:$J,'6月数据源'!$D:$D,$E123,'6月数据源'!$F:$F,"浙江精准学科技有限公司")</f>
        <v/>
      </c>
      <c r="L123" s="89">
        <f>-SUMIFS('7月数据源'!$I:$I,'7月数据源'!$D:$D,$E123,'7月数据源'!$F:$F,"浙江精准学科技有限公司")+SUMIFS('7月数据源'!$J:$J,'7月数据源'!$D:$D,$E123,'7月数据源'!$F:$F,"浙江精准学科技有限公司")</f>
        <v/>
      </c>
      <c r="M123" s="89">
        <f>-SUMIFS('8月数据源'!$I:$I,'8月数据源'!$D:$D,$E123,'8月数据源'!$F:$F,"浙江精准学科技有限公司")+SUMIFS('8月数据源'!$J:$J,'8月数据源'!$D:$D,$E123,'8月数据源'!$F:$F,"浙江精准学科技有限公司")</f>
        <v/>
      </c>
      <c r="N123" s="89">
        <f>-SUMIFS('9月数据源'!$I:$I,'9月数据源'!$D:$D,$E123,'9月数据源'!$F:$F,"浙江精准学科技有限公司")+SUMIFS('9月数据源'!$J:$J,'9月数据源'!$D:$D,$E123,'9月数据源'!$F:$F,"浙江精准学科技有限公司")</f>
        <v/>
      </c>
      <c r="O123" s="89">
        <f>-SUMIFS('10月数据源'!$I:$I,'10月数据源'!$D:$D,$E123,'10月数据源'!$F:$F,"浙江精准学科技有限公司")+SUMIFS('10月数据源'!$J:$J,'10月数据源'!$D:$D,$E123,'10月数据源'!$F:$F,"浙江精准学科技有限公司")</f>
        <v/>
      </c>
      <c r="P123" s="89">
        <f>-SUMIFS('11月数据源'!$I:$I,'11月数据源'!$D:$D,$E123,'11月数据源'!$F:$F,"浙江精准学科技有限公司")+SUMIFS('11月数据源'!$J:$J,'11月数据源'!$D:$D,$E123,'11月数据源'!$F:$F,"浙江精准学科技有限公司")</f>
        <v/>
      </c>
      <c r="Q123" s="89">
        <f>-SUMIFS('12月数据源'!$I:$I,'12月数据源'!$D:$D,$E123,'12月数据源'!$F:$F,"浙江精准学科技有限公司")+SUMIFS('12月数据源'!$J:$J,'12月数据源'!$D:$D,$E123,'12月数据源'!$F:$F,"浙江精准学科技有限公司")</f>
        <v/>
      </c>
    </row>
    <row r="124" s="83">
      <c r="A124" s="5" t="inlineStr">
        <is>
          <t>销售费用</t>
        </is>
      </c>
      <c r="B124" s="6" t="inlineStr">
        <is>
          <t>平台运营</t>
        </is>
      </c>
      <c r="D124" s="5" t="inlineStr">
        <is>
          <t>平台积分扣款</t>
        </is>
      </c>
      <c r="E124" s="6" t="inlineStr">
        <is>
          <t>Q2207</t>
        </is>
      </c>
      <c r="F124" s="89">
        <f>-SUMIFS('1月数据源'!I:I,'1月数据源'!D:D,E124,'1月数据源'!F:F,"浙江精准学科技有限公司")+SUMIFS('1月数据源'!J:J,'1月数据源'!D:D,E124,'1月数据源'!F:F,"浙江精准学科技有限公司")</f>
        <v/>
      </c>
      <c r="G124" s="89">
        <f>-SUMIFS('2月数据源'!I:I,'2月数据源'!D:D,E124,'2月数据源'!F:F,"浙江精准学科技有限公司")+SUMIFS('2月数据源'!J:J,'2月数据源'!D:D,E124,'2月数据源'!F:F,"浙江精准学科技有限公司")</f>
        <v/>
      </c>
      <c r="H124" s="89">
        <f>-SUMIFS('3月数据源'!I:I,'3月数据源'!D:D,E124,'3月数据源'!F:F,"浙江精准学科技有限公司")+SUMIFS('3月数据源'!J:J,'3月数据源'!D:D,E124,'3月数据源'!F:F,"浙江精准学科技有限公司")</f>
        <v/>
      </c>
      <c r="I124" s="89">
        <f>-SUMIFS('4月数据源'!I:I,'4月数据源'!D:D,E124,'4月数据源'!F:F,"浙江精准学科技有限公司")+SUMIFS('4月数据源'!J:J,'4月数据源'!D:D,E124,'4月数据源'!F:F,"浙江精准学科技有限公司")</f>
        <v/>
      </c>
      <c r="J124" s="89">
        <f>-SUMIFS('5月数据源'!I:I,'5月数据源'!D:D,E124,'5月数据源'!F:F,"浙江精准学科技有限公司")+SUMIFS('5月数据源'!J:J,'5月数据源'!D:D,E124,'5月数据源'!F:F,"浙江精准学科技有限公司")</f>
        <v/>
      </c>
      <c r="K124" s="89">
        <f>-SUMIFS('6月数据源'!$I:$I,'6月数据源'!$D:$D,$E124,'6月数据源'!$F:$F,"浙江精准学科技有限公司")+SUMIFS('6月数据源'!$J:$J,'6月数据源'!$D:$D,$E124,'6月数据源'!$F:$F,"浙江精准学科技有限公司")</f>
        <v/>
      </c>
      <c r="L124" s="89">
        <f>-SUMIFS('7月数据源'!$I:$I,'7月数据源'!$D:$D,$E124,'7月数据源'!$F:$F,"浙江精准学科技有限公司")+SUMIFS('7月数据源'!$J:$J,'7月数据源'!$D:$D,$E124,'7月数据源'!$F:$F,"浙江精准学科技有限公司")</f>
        <v/>
      </c>
      <c r="M124" s="89">
        <f>-SUMIFS('8月数据源'!$I:$I,'8月数据源'!$D:$D,$E124,'8月数据源'!$F:$F,"浙江精准学科技有限公司")+SUMIFS('8月数据源'!$J:$J,'8月数据源'!$D:$D,$E124,'8月数据源'!$F:$F,"浙江精准学科技有限公司")</f>
        <v/>
      </c>
      <c r="N124" s="89">
        <f>-SUMIFS('9月数据源'!$I:$I,'9月数据源'!$D:$D,$E124,'9月数据源'!$F:$F,"浙江精准学科技有限公司")+SUMIFS('9月数据源'!$J:$J,'9月数据源'!$D:$D,$E124,'9月数据源'!$F:$F,"浙江精准学科技有限公司")</f>
        <v/>
      </c>
      <c r="O124" s="89">
        <f>-SUMIFS('10月数据源'!$I:$I,'10月数据源'!$D:$D,$E124,'10月数据源'!$F:$F,"浙江精准学科技有限公司")+SUMIFS('10月数据源'!$J:$J,'10月数据源'!$D:$D,$E124,'10月数据源'!$F:$F,"浙江精准学科技有限公司")</f>
        <v/>
      </c>
      <c r="P124" s="89">
        <f>-SUMIFS('11月数据源'!$I:$I,'11月数据源'!$D:$D,$E124,'11月数据源'!$F:$F,"浙江精准学科技有限公司")+SUMIFS('11月数据源'!$J:$J,'11月数据源'!$D:$D,$E124,'11月数据源'!$F:$F,"浙江精准学科技有限公司")</f>
        <v/>
      </c>
      <c r="Q124" s="89">
        <f>-SUMIFS('12月数据源'!$I:$I,'12月数据源'!$D:$D,$E124,'12月数据源'!$F:$F,"浙江精准学科技有限公司")+SUMIFS('12月数据源'!$J:$J,'12月数据源'!$D:$D,$E124,'12月数据源'!$F:$F,"浙江精准学科技有限公司")</f>
        <v/>
      </c>
    </row>
    <row r="125" s="83">
      <c r="A125" s="5" t="inlineStr">
        <is>
          <t>销售费用</t>
        </is>
      </c>
      <c r="B125" s="6" t="inlineStr">
        <is>
          <t>平台运营</t>
        </is>
      </c>
      <c r="D125" s="5" t="inlineStr">
        <is>
          <t>平台推荐佣金</t>
        </is>
      </c>
      <c r="E125" s="6" t="inlineStr">
        <is>
          <t>Q2208</t>
        </is>
      </c>
      <c r="F125" s="89">
        <f>-SUMIFS('1月数据源'!I:I,'1月数据源'!D:D,E125,'1月数据源'!F:F,"浙江精准学科技有限公司")+SUMIFS('1月数据源'!J:J,'1月数据源'!D:D,E125,'1月数据源'!F:F,"浙江精准学科技有限公司")</f>
        <v/>
      </c>
      <c r="G125" s="89">
        <f>-SUMIFS('2月数据源'!I:I,'2月数据源'!D:D,E125,'2月数据源'!F:F,"浙江精准学科技有限公司")+SUMIFS('2月数据源'!J:J,'2月数据源'!D:D,E125,'2月数据源'!F:F,"浙江精准学科技有限公司")</f>
        <v/>
      </c>
      <c r="H125" s="89">
        <f>-SUMIFS('3月数据源'!I:I,'3月数据源'!D:D,E125,'3月数据源'!F:F,"浙江精准学科技有限公司")+SUMIFS('3月数据源'!J:J,'3月数据源'!D:D,E125,'3月数据源'!F:F,"浙江精准学科技有限公司")</f>
        <v/>
      </c>
      <c r="I125" s="89">
        <f>-SUMIFS('4月数据源'!I:I,'4月数据源'!D:D,E125,'4月数据源'!F:F,"浙江精准学科技有限公司")+SUMIFS('4月数据源'!J:J,'4月数据源'!D:D,E125,'4月数据源'!F:F,"浙江精准学科技有限公司")</f>
        <v/>
      </c>
      <c r="J125" s="89">
        <f>-SUMIFS('5月数据源'!I:I,'5月数据源'!D:D,E125,'5月数据源'!F:F,"浙江精准学科技有限公司")+SUMIFS('5月数据源'!J:J,'5月数据源'!D:D,E125,'5月数据源'!F:F,"浙江精准学科技有限公司")</f>
        <v/>
      </c>
      <c r="K125" s="89">
        <f>-SUMIFS('6月数据源'!$I:$I,'6月数据源'!$D:$D,$E125,'6月数据源'!$F:$F,"浙江精准学科技有限公司")+SUMIFS('6月数据源'!$J:$J,'6月数据源'!$D:$D,$E125,'6月数据源'!$F:$F,"浙江精准学科技有限公司")</f>
        <v/>
      </c>
      <c r="L125" s="89">
        <f>-SUMIFS('7月数据源'!$I:$I,'7月数据源'!$D:$D,$E125,'7月数据源'!$F:$F,"浙江精准学科技有限公司")+SUMIFS('7月数据源'!$J:$J,'7月数据源'!$D:$D,$E125,'7月数据源'!$F:$F,"浙江精准学科技有限公司")</f>
        <v/>
      </c>
      <c r="M125" s="89">
        <f>-SUMIFS('8月数据源'!$I:$I,'8月数据源'!$D:$D,$E125,'8月数据源'!$F:$F,"浙江精准学科技有限公司")+SUMIFS('8月数据源'!$J:$J,'8月数据源'!$D:$D,$E125,'8月数据源'!$F:$F,"浙江精准学科技有限公司")</f>
        <v/>
      </c>
      <c r="N125" s="89">
        <f>-SUMIFS('9月数据源'!$I:$I,'9月数据源'!$D:$D,$E125,'9月数据源'!$F:$F,"浙江精准学科技有限公司")+SUMIFS('9月数据源'!$J:$J,'9月数据源'!$D:$D,$E125,'9月数据源'!$F:$F,"浙江精准学科技有限公司")</f>
        <v/>
      </c>
      <c r="O125" s="89">
        <f>-SUMIFS('10月数据源'!$I:$I,'10月数据源'!$D:$D,$E125,'10月数据源'!$F:$F,"浙江精准学科技有限公司")+SUMIFS('10月数据源'!$J:$J,'10月数据源'!$D:$D,$E125,'10月数据源'!$F:$F,"浙江精准学科技有限公司")</f>
        <v/>
      </c>
      <c r="P125" s="89">
        <f>-SUMIFS('11月数据源'!$I:$I,'11月数据源'!$D:$D,$E125,'11月数据源'!$F:$F,"浙江精准学科技有限公司")+SUMIFS('11月数据源'!$J:$J,'11月数据源'!$D:$D,$E125,'11月数据源'!$F:$F,"浙江精准学科技有限公司")</f>
        <v/>
      </c>
      <c r="Q125" s="89">
        <f>-SUMIFS('12月数据源'!$I:$I,'12月数据源'!$D:$D,$E125,'12月数据源'!$F:$F,"浙江精准学科技有限公司")+SUMIFS('12月数据源'!$J:$J,'12月数据源'!$D:$D,$E125,'12月数据源'!$F:$F,"浙江精准学科技有限公司")</f>
        <v/>
      </c>
    </row>
    <row r="126" s="83">
      <c r="A126" s="5" t="inlineStr">
        <is>
          <t>销售费用</t>
        </is>
      </c>
      <c r="B126" s="6" t="inlineStr">
        <is>
          <t>平台运营</t>
        </is>
      </c>
      <c r="D126" s="5" t="inlineStr">
        <is>
          <t>保证金及认证费用</t>
        </is>
      </c>
      <c r="E126" s="6" t="inlineStr">
        <is>
          <t>Q2202</t>
        </is>
      </c>
      <c r="F126" s="89">
        <f>-SUMIFS('1月数据源'!I:I,'1月数据源'!D:D,E126,'1月数据源'!F:F,"浙江精准学科技有限公司")+SUMIFS('1月数据源'!J:J,'1月数据源'!D:D,E126,'1月数据源'!F:F,"浙江精准学科技有限公司")</f>
        <v/>
      </c>
      <c r="G126" s="89">
        <f>-SUMIFS('2月数据源'!I:I,'2月数据源'!D:D,E126,'2月数据源'!F:F,"浙江精准学科技有限公司")+SUMIFS('2月数据源'!J:J,'2月数据源'!D:D,E126,'2月数据源'!F:F,"浙江精准学科技有限公司")</f>
        <v/>
      </c>
      <c r="H126" s="89">
        <f>-SUMIFS('3月数据源'!I:I,'3月数据源'!D:D,E126,'3月数据源'!F:F,"浙江精准学科技有限公司")+SUMIFS('3月数据源'!J:J,'3月数据源'!D:D,E126,'3月数据源'!F:F,"浙江精准学科技有限公司")</f>
        <v/>
      </c>
      <c r="I126" s="89">
        <f>-SUMIFS('4月数据源'!I:I,'4月数据源'!D:D,E126,'4月数据源'!F:F,"浙江精准学科技有限公司")+SUMIFS('4月数据源'!J:J,'4月数据源'!D:D,E126,'4月数据源'!F:F,"浙江精准学科技有限公司")</f>
        <v/>
      </c>
      <c r="J126" s="89">
        <f>-SUMIFS('5月数据源'!I:I,'5月数据源'!D:D,E126,'5月数据源'!F:F,"浙江精准学科技有限公司")+SUMIFS('5月数据源'!J:J,'5月数据源'!D:D,E126,'5月数据源'!F:F,"浙江精准学科技有限公司")</f>
        <v/>
      </c>
      <c r="K126" s="89">
        <f>-SUMIFS('6月数据源'!$I:$I,'6月数据源'!$D:$D,$E126,'6月数据源'!$F:$F,"浙江精准学科技有限公司")+SUMIFS('6月数据源'!$J:$J,'6月数据源'!$D:$D,$E126,'6月数据源'!$F:$F,"浙江精准学科技有限公司")</f>
        <v/>
      </c>
      <c r="L126" s="89">
        <f>-SUMIFS('7月数据源'!$I:$I,'7月数据源'!$D:$D,$E126,'7月数据源'!$F:$F,"浙江精准学科技有限公司")+SUMIFS('7月数据源'!$J:$J,'7月数据源'!$D:$D,$E126,'7月数据源'!$F:$F,"浙江精准学科技有限公司")</f>
        <v/>
      </c>
      <c r="M126" s="89">
        <f>-SUMIFS('8月数据源'!$I:$I,'8月数据源'!$D:$D,$E126,'8月数据源'!$F:$F,"浙江精准学科技有限公司")+SUMIFS('8月数据源'!$J:$J,'8月数据源'!$D:$D,$E126,'8月数据源'!$F:$F,"浙江精准学科技有限公司")</f>
        <v/>
      </c>
      <c r="N126" s="89">
        <f>-SUMIFS('9月数据源'!$I:$I,'9月数据源'!$D:$D,$E126,'9月数据源'!$F:$F,"浙江精准学科技有限公司")+SUMIFS('9月数据源'!$J:$J,'9月数据源'!$D:$D,$E126,'9月数据源'!$F:$F,"浙江精准学科技有限公司")</f>
        <v/>
      </c>
      <c r="O126" s="89">
        <f>-SUMIFS('10月数据源'!$I:$I,'10月数据源'!$D:$D,$E126,'10月数据源'!$F:$F,"浙江精准学科技有限公司")+SUMIFS('10月数据源'!$J:$J,'10月数据源'!$D:$D,$E126,'10月数据源'!$F:$F,"浙江精准学科技有限公司")</f>
        <v/>
      </c>
      <c r="P126" s="89">
        <f>-SUMIFS('11月数据源'!$I:$I,'11月数据源'!$D:$D,$E126,'11月数据源'!$F:$F,"浙江精准学科技有限公司")+SUMIFS('11月数据源'!$J:$J,'11月数据源'!$D:$D,$E126,'11月数据源'!$F:$F,"浙江精准学科技有限公司")</f>
        <v/>
      </c>
      <c r="Q126" s="89">
        <f>-SUMIFS('12月数据源'!$I:$I,'12月数据源'!$D:$D,$E126,'12月数据源'!$F:$F,"浙江精准学科技有限公司")+SUMIFS('12月数据源'!$J:$J,'12月数据源'!$D:$D,$E126,'12月数据源'!$F:$F,"浙江精准学科技有限公司")</f>
        <v/>
      </c>
    </row>
    <row r="127" s="83">
      <c r="A127" s="5" t="inlineStr">
        <is>
          <t>销售费用</t>
        </is>
      </c>
      <c r="B127" s="6" t="inlineStr">
        <is>
          <t>平台运营</t>
        </is>
      </c>
      <c r="D127" s="5" t="inlineStr">
        <is>
          <t>品专支出</t>
        </is>
      </c>
      <c r="E127" s="6" t="inlineStr">
        <is>
          <t>Q2203</t>
        </is>
      </c>
      <c r="F127" s="89">
        <f>-SUMIFS('1月数据源'!I:I,'1月数据源'!D:D,E127,'1月数据源'!F:F,"浙江精准学科技有限公司")+SUMIFS('1月数据源'!J:J,'1月数据源'!D:D,E127,'1月数据源'!F:F,"浙江精准学科技有限公司")</f>
        <v/>
      </c>
      <c r="G127" s="89">
        <f>-SUMIFS('2月数据源'!I:I,'2月数据源'!D:D,E127,'2月数据源'!F:F,"浙江精准学科技有限公司")+SUMIFS('2月数据源'!J:J,'2月数据源'!D:D,E127,'2月数据源'!F:F,"浙江精准学科技有限公司")</f>
        <v/>
      </c>
      <c r="H127" s="89">
        <f>-SUMIFS('3月数据源'!I:I,'3月数据源'!D:D,E127,'3月数据源'!F:F,"浙江精准学科技有限公司")+SUMIFS('3月数据源'!J:J,'3月数据源'!D:D,E127,'3月数据源'!F:F,"浙江精准学科技有限公司")</f>
        <v/>
      </c>
      <c r="I127" s="89">
        <f>-SUMIFS('4月数据源'!I:I,'4月数据源'!D:D,E127,'4月数据源'!F:F,"浙江精准学科技有限公司")+SUMIFS('4月数据源'!J:J,'4月数据源'!D:D,E127,'4月数据源'!F:F,"浙江精准学科技有限公司")</f>
        <v/>
      </c>
      <c r="J127" s="89">
        <f>-SUMIFS('5月数据源'!I:I,'5月数据源'!D:D,E127,'5月数据源'!F:F,"浙江精准学科技有限公司")+SUMIFS('5月数据源'!J:J,'5月数据源'!D:D,E127,'5月数据源'!F:F,"浙江精准学科技有限公司")</f>
        <v/>
      </c>
      <c r="K127" s="89">
        <f>-SUMIFS('6月数据源'!$I:$I,'6月数据源'!$D:$D,$E127,'6月数据源'!$F:$F,"浙江精准学科技有限公司")+SUMIFS('6月数据源'!$J:$J,'6月数据源'!$D:$D,$E127,'6月数据源'!$F:$F,"浙江精准学科技有限公司")</f>
        <v/>
      </c>
      <c r="L127" s="89">
        <f>-SUMIFS('7月数据源'!$I:$I,'7月数据源'!$D:$D,$E127,'7月数据源'!$F:$F,"浙江精准学科技有限公司")+SUMIFS('7月数据源'!$J:$J,'7月数据源'!$D:$D,$E127,'7月数据源'!$F:$F,"浙江精准学科技有限公司")</f>
        <v/>
      </c>
      <c r="M127" s="89">
        <f>-SUMIFS('8月数据源'!$I:$I,'8月数据源'!$D:$D,$E127,'8月数据源'!$F:$F,"浙江精准学科技有限公司")+SUMIFS('8月数据源'!$J:$J,'8月数据源'!$D:$D,$E127,'8月数据源'!$F:$F,"浙江精准学科技有限公司")</f>
        <v/>
      </c>
      <c r="N127" s="89">
        <f>-SUMIFS('9月数据源'!$I:$I,'9月数据源'!$D:$D,$E127,'9月数据源'!$F:$F,"浙江精准学科技有限公司")+SUMIFS('9月数据源'!$J:$J,'9月数据源'!$D:$D,$E127,'9月数据源'!$F:$F,"浙江精准学科技有限公司")</f>
        <v/>
      </c>
      <c r="O127" s="89">
        <f>-SUMIFS('10月数据源'!$I:$I,'10月数据源'!$D:$D,$E127,'10月数据源'!$F:$F,"浙江精准学科技有限公司")+SUMIFS('10月数据源'!$J:$J,'10月数据源'!$D:$D,$E127,'10月数据源'!$F:$F,"浙江精准学科技有限公司")</f>
        <v/>
      </c>
      <c r="P127" s="89">
        <f>-SUMIFS('11月数据源'!$I:$I,'11月数据源'!$D:$D,$E127,'11月数据源'!$F:$F,"浙江精准学科技有限公司")+SUMIFS('11月数据源'!$J:$J,'11月数据源'!$D:$D,$E127,'11月数据源'!$F:$F,"浙江精准学科技有限公司")</f>
        <v/>
      </c>
      <c r="Q127" s="89">
        <f>-SUMIFS('12月数据源'!$I:$I,'12月数据源'!$D:$D,$E127,'12月数据源'!$F:$F,"浙江精准学科技有限公司")+SUMIFS('12月数据源'!$J:$J,'12月数据源'!$D:$D,$E127,'12月数据源'!$F:$F,"浙江精准学科技有限公司")</f>
        <v/>
      </c>
    </row>
    <row r="128" s="83">
      <c r="A128" s="5" t="inlineStr">
        <is>
          <t>销售费用</t>
        </is>
      </c>
      <c r="B128" s="6" t="inlineStr">
        <is>
          <t>平台运营</t>
        </is>
      </c>
      <c r="D128" s="5" t="inlineStr">
        <is>
          <t>其他平台扣款</t>
        </is>
      </c>
      <c r="E128" s="6" t="inlineStr">
        <is>
          <t>Q2209</t>
        </is>
      </c>
      <c r="F128" s="89">
        <f>-SUMIFS('1月数据源'!I:I,'1月数据源'!D:D,E128,'1月数据源'!F:F,"浙江精准学科技有限公司")+SUMIFS('1月数据源'!J:J,'1月数据源'!D:D,E128,'1月数据源'!F:F,"浙江精准学科技有限公司")</f>
        <v/>
      </c>
      <c r="G128" s="89">
        <f>-SUMIFS('2月数据源'!I:I,'2月数据源'!D:D,E128,'2月数据源'!F:F,"浙江精准学科技有限公司")+SUMIFS('2月数据源'!J:J,'2月数据源'!D:D,E128,'2月数据源'!F:F,"浙江精准学科技有限公司")</f>
        <v/>
      </c>
      <c r="H128" s="89">
        <f>-SUMIFS('3月数据源'!I:I,'3月数据源'!D:D,E128,'3月数据源'!F:F,"浙江精准学科技有限公司")+SUMIFS('3月数据源'!J:J,'3月数据源'!D:D,E128,'3月数据源'!F:F,"浙江精准学科技有限公司")</f>
        <v/>
      </c>
      <c r="I128" s="89">
        <f>-SUMIFS('4月数据源'!I:I,'4月数据源'!D:D,E128,'4月数据源'!F:F,"浙江精准学科技有限公司")+SUMIFS('4月数据源'!J:J,'4月数据源'!D:D,E128,'4月数据源'!F:F,"浙江精准学科技有限公司")</f>
        <v/>
      </c>
      <c r="J128" s="89">
        <f>-SUMIFS('5月数据源'!I:I,'5月数据源'!D:D,E128,'5月数据源'!F:F,"浙江精准学科技有限公司")+SUMIFS('5月数据源'!J:J,'5月数据源'!D:D,E128,'5月数据源'!F:F,"浙江精准学科技有限公司")</f>
        <v/>
      </c>
      <c r="K128" s="89">
        <f>-SUMIFS('6月数据源'!$I:$I,'6月数据源'!$D:$D,$E128,'6月数据源'!$F:$F,"浙江精准学科技有限公司")+SUMIFS('6月数据源'!$J:$J,'6月数据源'!$D:$D,$E128,'6月数据源'!$F:$F,"浙江精准学科技有限公司")</f>
        <v/>
      </c>
      <c r="L128" s="89">
        <f>-SUMIFS('7月数据源'!$I:$I,'7月数据源'!$D:$D,$E128,'7月数据源'!$F:$F,"浙江精准学科技有限公司")+SUMIFS('7月数据源'!$J:$J,'7月数据源'!$D:$D,$E128,'7月数据源'!$F:$F,"浙江精准学科技有限公司")</f>
        <v/>
      </c>
      <c r="M128" s="89">
        <f>-SUMIFS('8月数据源'!$I:$I,'8月数据源'!$D:$D,$E128,'8月数据源'!$F:$F,"浙江精准学科技有限公司")+SUMIFS('8月数据源'!$J:$J,'8月数据源'!$D:$D,$E128,'8月数据源'!$F:$F,"浙江精准学科技有限公司")</f>
        <v/>
      </c>
      <c r="N128" s="89">
        <f>-SUMIFS('9月数据源'!$I:$I,'9月数据源'!$D:$D,$E128,'9月数据源'!$F:$F,"浙江精准学科技有限公司")+SUMIFS('9月数据源'!$J:$J,'9月数据源'!$D:$D,$E128,'9月数据源'!$F:$F,"浙江精准学科技有限公司")</f>
        <v/>
      </c>
      <c r="O128" s="89">
        <f>-SUMIFS('10月数据源'!$I:$I,'10月数据源'!$D:$D,$E128,'10月数据源'!$F:$F,"浙江精准学科技有限公司")+SUMIFS('10月数据源'!$J:$J,'10月数据源'!$D:$D,$E128,'10月数据源'!$F:$F,"浙江精准学科技有限公司")</f>
        <v/>
      </c>
      <c r="P128" s="89">
        <f>-SUMIFS('11月数据源'!$I:$I,'11月数据源'!$D:$D,$E128,'11月数据源'!$F:$F,"浙江精准学科技有限公司")+SUMIFS('11月数据源'!$J:$J,'11月数据源'!$D:$D,$E128,'11月数据源'!$F:$F,"浙江精准学科技有限公司")</f>
        <v/>
      </c>
      <c r="Q128" s="89">
        <f>-SUMIFS('12月数据源'!$I:$I,'12月数据源'!$D:$D,$E128,'12月数据源'!$F:$F,"浙江精准学科技有限公司")+SUMIFS('12月数据源'!$J:$J,'12月数据源'!$D:$D,$E128,'12月数据源'!$F:$F,"浙江精准学科技有限公司")</f>
        <v/>
      </c>
    </row>
    <row r="129" s="83">
      <c r="A129" s="5" t="inlineStr">
        <is>
          <t>销售费用</t>
        </is>
      </c>
      <c r="B129" s="6" t="inlineStr">
        <is>
          <t>私域运营</t>
        </is>
      </c>
      <c r="C129" s="6" t="inlineStr">
        <is>
          <t>私域运营</t>
        </is>
      </c>
      <c r="D129" s="5" t="inlineStr">
        <is>
          <t>返现活动</t>
        </is>
      </c>
      <c r="E129" s="6" t="inlineStr">
        <is>
          <t>Q2301</t>
        </is>
      </c>
      <c r="F129" s="89">
        <f>-SUMIFS('1月数据源'!I:I,'1月数据源'!D:D,E129,'1月数据源'!F:F,"浙江精准学科技有限公司")+SUMIFS('1月数据源'!J:J,'1月数据源'!D:D,E129,'1月数据源'!F:F,"浙江精准学科技有限公司")</f>
        <v/>
      </c>
      <c r="G129" s="89">
        <f>-SUMIFS('2月数据源'!I:I,'2月数据源'!D:D,E129,'2月数据源'!F:F,"浙江精准学科技有限公司")+SUMIFS('2月数据源'!J:J,'2月数据源'!D:D,E129,'2月数据源'!F:F,"浙江精准学科技有限公司")</f>
        <v/>
      </c>
      <c r="H129" s="89">
        <f>-SUMIFS('3月数据源'!I:I,'3月数据源'!D:D,E129,'3月数据源'!F:F,"浙江精准学科技有限公司")+SUMIFS('3月数据源'!J:J,'3月数据源'!D:D,E129,'3月数据源'!F:F,"浙江精准学科技有限公司")</f>
        <v/>
      </c>
      <c r="I129" s="89">
        <f>-SUMIFS('4月数据源'!I:I,'4月数据源'!D:D,E129,'4月数据源'!F:F,"浙江精准学科技有限公司")+SUMIFS('4月数据源'!J:J,'4月数据源'!D:D,E129,'4月数据源'!F:F,"浙江精准学科技有限公司")</f>
        <v/>
      </c>
      <c r="J129" s="89">
        <f>-SUMIFS('5月数据源'!I:I,'5月数据源'!D:D,E129,'5月数据源'!F:F,"浙江精准学科技有限公司")+SUMIFS('5月数据源'!J:J,'5月数据源'!D:D,E129,'5月数据源'!F:F,"浙江精准学科技有限公司")</f>
        <v/>
      </c>
      <c r="K129" s="89">
        <f>-SUMIFS('6月数据源'!$I:$I,'6月数据源'!$D:$D,$E129,'6月数据源'!$F:$F,"浙江精准学科技有限公司")+SUMIFS('6月数据源'!$J:$J,'6月数据源'!$D:$D,$E129,'6月数据源'!$F:$F,"浙江精准学科技有限公司")</f>
        <v/>
      </c>
      <c r="L129" s="89">
        <f>-SUMIFS('7月数据源'!$I:$I,'7月数据源'!$D:$D,$E129,'7月数据源'!$F:$F,"浙江精准学科技有限公司")+SUMIFS('7月数据源'!$J:$J,'7月数据源'!$D:$D,$E129,'7月数据源'!$F:$F,"浙江精准学科技有限公司")</f>
        <v/>
      </c>
      <c r="M129" s="89">
        <f>-SUMIFS('8月数据源'!$I:$I,'8月数据源'!$D:$D,$E129,'8月数据源'!$F:$F,"浙江精准学科技有限公司")+SUMIFS('8月数据源'!$J:$J,'8月数据源'!$D:$D,$E129,'8月数据源'!$F:$F,"浙江精准学科技有限公司")</f>
        <v/>
      </c>
      <c r="N129" s="89">
        <f>-SUMIFS('9月数据源'!$I:$I,'9月数据源'!$D:$D,$E129,'9月数据源'!$F:$F,"浙江精准学科技有限公司")+SUMIFS('9月数据源'!$J:$J,'9月数据源'!$D:$D,$E129,'9月数据源'!$F:$F,"浙江精准学科技有限公司")</f>
        <v/>
      </c>
      <c r="O129" s="89">
        <f>-SUMIFS('10月数据源'!$I:$I,'10月数据源'!$D:$D,$E129,'10月数据源'!$F:$F,"浙江精准学科技有限公司")+SUMIFS('10月数据源'!$J:$J,'10月数据源'!$D:$D,$E129,'10月数据源'!$F:$F,"浙江精准学科技有限公司")</f>
        <v/>
      </c>
      <c r="P129" s="89">
        <f>-SUMIFS('11月数据源'!$I:$I,'11月数据源'!$D:$D,$E129,'11月数据源'!$F:$F,"浙江精准学科技有限公司")+SUMIFS('11月数据源'!$J:$J,'11月数据源'!$D:$D,$E129,'11月数据源'!$F:$F,"浙江精准学科技有限公司")</f>
        <v/>
      </c>
      <c r="Q129" s="89">
        <f>-SUMIFS('12月数据源'!$I:$I,'12月数据源'!$D:$D,$E129,'12月数据源'!$F:$F,"浙江精准学科技有限公司")+SUMIFS('12月数据源'!$J:$J,'12月数据源'!$D:$D,$E129,'12月数据源'!$F:$F,"浙江精准学科技有限公司")</f>
        <v/>
      </c>
    </row>
    <row r="130" s="83">
      <c r="A130" s="5" t="inlineStr">
        <is>
          <t>销售费用</t>
        </is>
      </c>
      <c r="B130" s="6" t="inlineStr">
        <is>
          <t>私域运营</t>
        </is>
      </c>
      <c r="D130" s="5" t="inlineStr">
        <is>
          <t>转介绍佣金</t>
        </is>
      </c>
      <c r="E130" s="6" t="inlineStr">
        <is>
          <t>Q2302</t>
        </is>
      </c>
      <c r="F130" s="89">
        <f>-SUMIFS('1月数据源'!I:I,'1月数据源'!D:D,E130,'1月数据源'!F:F,"浙江精准学科技有限公司")+SUMIFS('1月数据源'!J:J,'1月数据源'!D:D,E130,'1月数据源'!F:F,"浙江精准学科技有限公司")</f>
        <v/>
      </c>
      <c r="G130" s="89">
        <f>-SUMIFS('2月数据源'!I:I,'2月数据源'!D:D,E130,'2月数据源'!F:F,"浙江精准学科技有限公司")+SUMIFS('2月数据源'!J:J,'2月数据源'!D:D,E130,'2月数据源'!F:F,"浙江精准学科技有限公司")</f>
        <v/>
      </c>
      <c r="H130" s="89">
        <f>-SUMIFS('3月数据源'!I:I,'3月数据源'!D:D,E130,'3月数据源'!F:F,"浙江精准学科技有限公司")+SUMIFS('3月数据源'!J:J,'3月数据源'!D:D,E130,'3月数据源'!F:F,"浙江精准学科技有限公司")</f>
        <v/>
      </c>
      <c r="I130" s="89">
        <f>-SUMIFS('4月数据源'!I:I,'4月数据源'!D:D,E130,'4月数据源'!F:F,"浙江精准学科技有限公司")+SUMIFS('4月数据源'!J:J,'4月数据源'!D:D,E130,'4月数据源'!F:F,"浙江精准学科技有限公司")</f>
        <v/>
      </c>
      <c r="J130" s="89">
        <f>-SUMIFS('5月数据源'!I:I,'5月数据源'!D:D,E130,'5月数据源'!F:F,"浙江精准学科技有限公司")+SUMIFS('5月数据源'!J:J,'5月数据源'!D:D,E130,'5月数据源'!F:F,"浙江精准学科技有限公司")</f>
        <v/>
      </c>
      <c r="K130" s="89">
        <f>-SUMIFS('6月数据源'!$I:$I,'6月数据源'!$D:$D,$E130,'6月数据源'!$F:$F,"浙江精准学科技有限公司")+SUMIFS('6月数据源'!$J:$J,'6月数据源'!$D:$D,$E130,'6月数据源'!$F:$F,"浙江精准学科技有限公司")</f>
        <v/>
      </c>
      <c r="L130" s="89">
        <f>-SUMIFS('7月数据源'!$I:$I,'7月数据源'!$D:$D,$E130,'7月数据源'!$F:$F,"浙江精准学科技有限公司")+SUMIFS('7月数据源'!$J:$J,'7月数据源'!$D:$D,$E130,'7月数据源'!$F:$F,"浙江精准学科技有限公司")</f>
        <v/>
      </c>
      <c r="M130" s="89">
        <f>-SUMIFS('8月数据源'!$I:$I,'8月数据源'!$D:$D,$E130,'8月数据源'!$F:$F,"浙江精准学科技有限公司")+SUMIFS('8月数据源'!$J:$J,'8月数据源'!$D:$D,$E130,'8月数据源'!$F:$F,"浙江精准学科技有限公司")</f>
        <v/>
      </c>
      <c r="N130" s="89">
        <f>-SUMIFS('9月数据源'!$I:$I,'9月数据源'!$D:$D,$E130,'9月数据源'!$F:$F,"浙江精准学科技有限公司")+SUMIFS('9月数据源'!$J:$J,'9月数据源'!$D:$D,$E130,'9月数据源'!$F:$F,"浙江精准学科技有限公司")</f>
        <v/>
      </c>
      <c r="O130" s="89">
        <f>-SUMIFS('10月数据源'!$I:$I,'10月数据源'!$D:$D,$E130,'10月数据源'!$F:$F,"浙江精准学科技有限公司")+SUMIFS('10月数据源'!$J:$J,'10月数据源'!$D:$D,$E130,'10月数据源'!$F:$F,"浙江精准学科技有限公司")</f>
        <v/>
      </c>
      <c r="P130" s="89">
        <f>-SUMIFS('11月数据源'!$I:$I,'11月数据源'!$D:$D,$E130,'11月数据源'!$F:$F,"浙江精准学科技有限公司")+SUMIFS('11月数据源'!$J:$J,'11月数据源'!$D:$D,$E130,'11月数据源'!$F:$F,"浙江精准学科技有限公司")</f>
        <v/>
      </c>
      <c r="Q130" s="89">
        <f>-SUMIFS('12月数据源'!$I:$I,'12月数据源'!$D:$D,$E130,'12月数据源'!$F:$F,"浙江精准学科技有限公司")+SUMIFS('12月数据源'!$J:$J,'12月数据源'!$D:$D,$E130,'12月数据源'!$F:$F,"浙江精准学科技有限公司")</f>
        <v/>
      </c>
    </row>
    <row r="131" s="83">
      <c r="A131" s="5" t="inlineStr">
        <is>
          <t>销售费用</t>
        </is>
      </c>
      <c r="B131" s="6" t="inlineStr">
        <is>
          <t>达人带货</t>
        </is>
      </c>
      <c r="C131" s="6" t="inlineStr">
        <is>
          <t>达人带货</t>
        </is>
      </c>
      <c r="D131" s="5" t="inlineStr">
        <is>
          <t>坑位费</t>
        </is>
      </c>
      <c r="E131" s="6" t="inlineStr">
        <is>
          <t>Q2401</t>
        </is>
      </c>
      <c r="F131" s="89">
        <f>-SUMIFS('1月数据源'!I:I,'1月数据源'!D:D,E131,'1月数据源'!F:F,"浙江精准学科技有限公司")+SUMIFS('1月数据源'!J:J,'1月数据源'!D:D,E131,'1月数据源'!F:F,"浙江精准学科技有限公司")</f>
        <v/>
      </c>
      <c r="G131" s="89">
        <f>-SUMIFS('2月数据源'!I:I,'2月数据源'!D:D,E131,'2月数据源'!F:F,"浙江精准学科技有限公司")+SUMIFS('2月数据源'!J:J,'2月数据源'!D:D,E131,'2月数据源'!F:F,"浙江精准学科技有限公司")</f>
        <v/>
      </c>
      <c r="H131" s="89">
        <f>-SUMIFS('3月数据源'!I:I,'3月数据源'!D:D,E131,'3月数据源'!F:F,"浙江精准学科技有限公司")+SUMIFS('3月数据源'!J:J,'3月数据源'!D:D,E131,'3月数据源'!F:F,"浙江精准学科技有限公司")</f>
        <v/>
      </c>
      <c r="I131" s="89">
        <f>-SUMIFS('4月数据源'!I:I,'4月数据源'!D:D,E131,'4月数据源'!F:F,"浙江精准学科技有限公司")+SUMIFS('4月数据源'!J:J,'4月数据源'!D:D,E131,'4月数据源'!F:F,"浙江精准学科技有限公司")</f>
        <v/>
      </c>
      <c r="J131" s="89">
        <f>-SUMIFS('5月数据源'!I:I,'5月数据源'!D:D,E131,'5月数据源'!F:F,"浙江精准学科技有限公司")+SUMIFS('5月数据源'!J:J,'5月数据源'!D:D,E131,'5月数据源'!F:F,"浙江精准学科技有限公司")</f>
        <v/>
      </c>
      <c r="K131" s="89">
        <f>-SUMIFS('6月数据源'!$I:$I,'6月数据源'!$D:$D,$E131,'6月数据源'!$F:$F,"浙江精准学科技有限公司")+SUMIFS('6月数据源'!$J:$J,'6月数据源'!$D:$D,$E131,'6月数据源'!$F:$F,"浙江精准学科技有限公司")</f>
        <v/>
      </c>
      <c r="L131" s="89">
        <f>-SUMIFS('7月数据源'!$I:$I,'7月数据源'!$D:$D,$E131,'7月数据源'!$F:$F,"浙江精准学科技有限公司")+SUMIFS('7月数据源'!$J:$J,'7月数据源'!$D:$D,$E131,'7月数据源'!$F:$F,"浙江精准学科技有限公司")</f>
        <v/>
      </c>
      <c r="M131" s="89">
        <f>-SUMIFS('8月数据源'!$I:$I,'8月数据源'!$D:$D,$E131,'8月数据源'!$F:$F,"浙江精准学科技有限公司")+SUMIFS('8月数据源'!$J:$J,'8月数据源'!$D:$D,$E131,'8月数据源'!$F:$F,"浙江精准学科技有限公司")</f>
        <v/>
      </c>
      <c r="N131" s="89">
        <f>-SUMIFS('9月数据源'!$I:$I,'9月数据源'!$D:$D,$E131,'9月数据源'!$F:$F,"浙江精准学科技有限公司")+SUMIFS('9月数据源'!$J:$J,'9月数据源'!$D:$D,$E131,'9月数据源'!$F:$F,"浙江精准学科技有限公司")</f>
        <v/>
      </c>
      <c r="O131" s="89">
        <f>-SUMIFS('10月数据源'!$I:$I,'10月数据源'!$D:$D,$E131,'10月数据源'!$F:$F,"浙江精准学科技有限公司")+SUMIFS('10月数据源'!$J:$J,'10月数据源'!$D:$D,$E131,'10月数据源'!$F:$F,"浙江精准学科技有限公司")</f>
        <v/>
      </c>
      <c r="P131" s="89">
        <f>-SUMIFS('11月数据源'!$I:$I,'11月数据源'!$D:$D,$E131,'11月数据源'!$F:$F,"浙江精准学科技有限公司")+SUMIFS('11月数据源'!$J:$J,'11月数据源'!$D:$D,$E131,'11月数据源'!$F:$F,"浙江精准学科技有限公司")</f>
        <v/>
      </c>
      <c r="Q131" s="89">
        <f>-SUMIFS('12月数据源'!$I:$I,'12月数据源'!$D:$D,$E131,'12月数据源'!$F:$F,"浙江精准学科技有限公司")+SUMIFS('12月数据源'!$J:$J,'12月数据源'!$D:$D,$E131,'12月数据源'!$F:$F,"浙江精准学科技有限公司")</f>
        <v/>
      </c>
    </row>
    <row r="132" s="83">
      <c r="A132" s="5" t="inlineStr">
        <is>
          <t>销售费用</t>
        </is>
      </c>
      <c r="B132" s="6" t="inlineStr">
        <is>
          <t>达人带货</t>
        </is>
      </c>
      <c r="D132" s="5" t="inlineStr">
        <is>
          <t>佣金</t>
        </is>
      </c>
      <c r="E132" s="6" t="inlineStr">
        <is>
          <t>Q2402</t>
        </is>
      </c>
      <c r="F132" s="89">
        <f>-SUMIFS('1月数据源'!I:I,'1月数据源'!D:D,E132,'1月数据源'!F:F,"浙江精准学科技有限公司")+SUMIFS('1月数据源'!J:J,'1月数据源'!D:D,E132,'1月数据源'!F:F,"浙江精准学科技有限公司")</f>
        <v/>
      </c>
      <c r="G132" s="89">
        <f>-SUMIFS('2月数据源'!I:I,'2月数据源'!D:D,E132,'2月数据源'!F:F,"浙江精准学科技有限公司")+SUMIFS('2月数据源'!J:J,'2月数据源'!D:D,E132,'2月数据源'!F:F,"浙江精准学科技有限公司")</f>
        <v/>
      </c>
      <c r="H132" s="89">
        <f>-SUMIFS('3月数据源'!I:I,'3月数据源'!D:D,E132,'3月数据源'!F:F,"浙江精准学科技有限公司")+SUMIFS('3月数据源'!J:J,'3月数据源'!D:D,E132,'3月数据源'!F:F,"浙江精准学科技有限公司")</f>
        <v/>
      </c>
      <c r="I132" s="89">
        <f>-SUMIFS('4月数据源'!I:I,'4月数据源'!D:D,E132,'4月数据源'!F:F,"浙江精准学科技有限公司")+SUMIFS('4月数据源'!J:J,'4月数据源'!D:D,E132,'4月数据源'!F:F,"浙江精准学科技有限公司")</f>
        <v/>
      </c>
      <c r="J132" s="89">
        <f>-SUMIFS('5月数据源'!I:I,'5月数据源'!D:D,E132,'5月数据源'!F:F,"浙江精准学科技有限公司")+SUMIFS('5月数据源'!J:J,'5月数据源'!D:D,E132,'5月数据源'!F:F,"浙江精准学科技有限公司")</f>
        <v/>
      </c>
      <c r="K132" s="89">
        <f>-SUMIFS('6月数据源'!$I:$I,'6月数据源'!$D:$D,$E132,'6月数据源'!$F:$F,"浙江精准学科技有限公司")+SUMIFS('6月数据源'!$J:$J,'6月数据源'!$D:$D,$E132,'6月数据源'!$F:$F,"浙江精准学科技有限公司")</f>
        <v/>
      </c>
      <c r="L132" s="89">
        <f>-SUMIFS('7月数据源'!$I:$I,'7月数据源'!$D:$D,$E132,'7月数据源'!$F:$F,"浙江精准学科技有限公司")+SUMIFS('7月数据源'!$J:$J,'7月数据源'!$D:$D,$E132,'7月数据源'!$F:$F,"浙江精准学科技有限公司")</f>
        <v/>
      </c>
      <c r="M132" s="89">
        <f>-SUMIFS('8月数据源'!$I:$I,'8月数据源'!$D:$D,$E132,'8月数据源'!$F:$F,"浙江精准学科技有限公司")+SUMIFS('8月数据源'!$J:$J,'8月数据源'!$D:$D,$E132,'8月数据源'!$F:$F,"浙江精准学科技有限公司")</f>
        <v/>
      </c>
      <c r="N132" s="89">
        <f>-SUMIFS('9月数据源'!$I:$I,'9月数据源'!$D:$D,$E132,'9月数据源'!$F:$F,"浙江精准学科技有限公司")+SUMIFS('9月数据源'!$J:$J,'9月数据源'!$D:$D,$E132,'9月数据源'!$F:$F,"浙江精准学科技有限公司")</f>
        <v/>
      </c>
      <c r="O132" s="89">
        <f>-SUMIFS('10月数据源'!$I:$I,'10月数据源'!$D:$D,$E132,'10月数据源'!$F:$F,"浙江精准学科技有限公司")+SUMIFS('10月数据源'!$J:$J,'10月数据源'!$D:$D,$E132,'10月数据源'!$F:$F,"浙江精准学科技有限公司")</f>
        <v/>
      </c>
      <c r="P132" s="89">
        <f>-SUMIFS('11月数据源'!$I:$I,'11月数据源'!$D:$D,$E132,'11月数据源'!$F:$F,"浙江精准学科技有限公司")+SUMIFS('11月数据源'!$J:$J,'11月数据源'!$D:$D,$E132,'11月数据源'!$F:$F,"浙江精准学科技有限公司")</f>
        <v/>
      </c>
      <c r="Q132" s="89">
        <f>-SUMIFS('12月数据源'!$I:$I,'12月数据源'!$D:$D,$E132,'12月数据源'!$F:$F,"浙江精准学科技有限公司")+SUMIFS('12月数据源'!$J:$J,'12月数据源'!$D:$D,$E132,'12月数据源'!$F:$F,"浙江精准学科技有限公司")</f>
        <v/>
      </c>
    </row>
    <row r="133" s="83">
      <c r="A133" s="5" t="inlineStr">
        <is>
          <t>销售费用</t>
        </is>
      </c>
      <c r="B133" s="6" t="inlineStr">
        <is>
          <t>达人带货</t>
        </is>
      </c>
      <c r="D133" s="5" t="inlineStr">
        <is>
          <t>助播费用</t>
        </is>
      </c>
      <c r="E133" s="6" t="inlineStr">
        <is>
          <t>Q2403</t>
        </is>
      </c>
      <c r="F133" s="89">
        <f>-SUMIFS('1月数据源'!I:I,'1月数据源'!D:D,E133,'1月数据源'!F:F,"浙江精准学科技有限公司")+SUMIFS('1月数据源'!J:J,'1月数据源'!D:D,E133,'1月数据源'!F:F,"浙江精准学科技有限公司")</f>
        <v/>
      </c>
      <c r="G133" s="89">
        <f>-SUMIFS('2月数据源'!I:I,'2月数据源'!D:D,E133,'2月数据源'!F:F,"浙江精准学科技有限公司")+SUMIFS('2月数据源'!J:J,'2月数据源'!D:D,E133,'2月数据源'!F:F,"浙江精准学科技有限公司")</f>
        <v/>
      </c>
      <c r="H133" s="89">
        <f>-SUMIFS('3月数据源'!I:I,'3月数据源'!D:D,E133,'3月数据源'!F:F,"浙江精准学科技有限公司")+SUMIFS('3月数据源'!J:J,'3月数据源'!D:D,E133,'3月数据源'!F:F,"浙江精准学科技有限公司")</f>
        <v/>
      </c>
      <c r="I133" s="89">
        <f>-SUMIFS('4月数据源'!I:I,'4月数据源'!D:D,E133,'4月数据源'!F:F,"浙江精准学科技有限公司")+SUMIFS('4月数据源'!J:J,'4月数据源'!D:D,E133,'4月数据源'!F:F,"浙江精准学科技有限公司")</f>
        <v/>
      </c>
      <c r="J133" s="89">
        <f>-SUMIFS('5月数据源'!I:I,'5月数据源'!D:D,E133,'5月数据源'!F:F,"浙江精准学科技有限公司")+SUMIFS('5月数据源'!J:J,'5月数据源'!D:D,E133,'5月数据源'!F:F,"浙江精准学科技有限公司")</f>
        <v/>
      </c>
      <c r="K133" s="89">
        <f>-SUMIFS('6月数据源'!$I:$I,'6月数据源'!$D:$D,$E133,'6月数据源'!$F:$F,"浙江精准学科技有限公司")+SUMIFS('6月数据源'!$J:$J,'6月数据源'!$D:$D,$E133,'6月数据源'!$F:$F,"浙江精准学科技有限公司")</f>
        <v/>
      </c>
      <c r="L133" s="89">
        <f>-SUMIFS('7月数据源'!$I:$I,'7月数据源'!$D:$D,$E133,'7月数据源'!$F:$F,"浙江精准学科技有限公司")+SUMIFS('7月数据源'!$J:$J,'7月数据源'!$D:$D,$E133,'7月数据源'!$F:$F,"浙江精准学科技有限公司")</f>
        <v/>
      </c>
      <c r="M133" s="89">
        <f>-SUMIFS('8月数据源'!$I:$I,'8月数据源'!$D:$D,$E133,'8月数据源'!$F:$F,"浙江精准学科技有限公司")+SUMIFS('8月数据源'!$J:$J,'8月数据源'!$D:$D,$E133,'8月数据源'!$F:$F,"浙江精准学科技有限公司")</f>
        <v/>
      </c>
      <c r="N133" s="89">
        <f>-SUMIFS('9月数据源'!$I:$I,'9月数据源'!$D:$D,$E133,'9月数据源'!$F:$F,"浙江精准学科技有限公司")+SUMIFS('9月数据源'!$J:$J,'9月数据源'!$D:$D,$E133,'9月数据源'!$F:$F,"浙江精准学科技有限公司")</f>
        <v/>
      </c>
      <c r="O133" s="89">
        <f>-SUMIFS('10月数据源'!$I:$I,'10月数据源'!$D:$D,$E133,'10月数据源'!$F:$F,"浙江精准学科技有限公司")+SUMIFS('10月数据源'!$J:$J,'10月数据源'!$D:$D,$E133,'10月数据源'!$F:$F,"浙江精准学科技有限公司")</f>
        <v/>
      </c>
      <c r="P133" s="89">
        <f>-SUMIFS('11月数据源'!$I:$I,'11月数据源'!$D:$D,$E133,'11月数据源'!$F:$F,"浙江精准学科技有限公司")+SUMIFS('11月数据源'!$J:$J,'11月数据源'!$D:$D,$E133,'11月数据源'!$F:$F,"浙江精准学科技有限公司")</f>
        <v/>
      </c>
      <c r="Q133" s="89">
        <f>-SUMIFS('12月数据源'!$I:$I,'12月数据源'!$D:$D,$E133,'12月数据源'!$F:$F,"浙江精准学科技有限公司")+SUMIFS('12月数据源'!$J:$J,'12月数据源'!$D:$D,$E133,'12月数据源'!$F:$F,"浙江精准学科技有限公司")</f>
        <v/>
      </c>
    </row>
    <row r="134" s="83">
      <c r="A134" s="5" t="inlineStr">
        <is>
          <t>销售费用</t>
        </is>
      </c>
      <c r="B134" s="6" t="inlineStr">
        <is>
          <t>发货成本</t>
        </is>
      </c>
      <c r="C134" s="6" t="inlineStr">
        <is>
          <t>发货成本</t>
        </is>
      </c>
      <c r="D134" s="5" t="inlineStr">
        <is>
          <t>快递费</t>
        </is>
      </c>
      <c r="E134" s="6" t="inlineStr">
        <is>
          <t>Q2501</t>
        </is>
      </c>
      <c r="F134" s="89">
        <f>-SUMIFS('1月数据源'!I:I,'1月数据源'!D:D,E134,'1月数据源'!F:F,"浙江精准学科技有限公司")+SUMIFS('1月数据源'!J:J,'1月数据源'!D:D,E134,'1月数据源'!F:F,"浙江精准学科技有限公司")</f>
        <v/>
      </c>
      <c r="G134" s="89">
        <f>-SUMIFS('2月数据源'!I:I,'2月数据源'!D:D,E134,'2月数据源'!F:F,"浙江精准学科技有限公司")+SUMIFS('2月数据源'!J:J,'2月数据源'!D:D,E134,'2月数据源'!F:F,"浙江精准学科技有限公司")</f>
        <v/>
      </c>
      <c r="H134" s="89">
        <f>-SUMIFS('3月数据源'!I:I,'3月数据源'!D:D,E134,'3月数据源'!F:F,"浙江精准学科技有限公司")+SUMIFS('3月数据源'!J:J,'3月数据源'!D:D,E134,'3月数据源'!F:F,"浙江精准学科技有限公司")</f>
        <v/>
      </c>
      <c r="I134" s="89">
        <f>-SUMIFS('4月数据源'!I:I,'4月数据源'!D:D,E134,'4月数据源'!F:F,"浙江精准学科技有限公司")+SUMIFS('4月数据源'!J:J,'4月数据源'!D:D,E134,'4月数据源'!F:F,"浙江精准学科技有限公司")</f>
        <v/>
      </c>
      <c r="J134" s="89">
        <f>-SUMIFS('5月数据源'!I:I,'5月数据源'!D:D,E134,'5月数据源'!F:F,"浙江精准学科技有限公司")+SUMIFS('5月数据源'!J:J,'5月数据源'!D:D,E134,'5月数据源'!F:F,"浙江精准学科技有限公司")</f>
        <v/>
      </c>
      <c r="K134" s="89">
        <f>-SUMIFS('6月数据源'!$I:$I,'6月数据源'!$D:$D,$E134,'6月数据源'!$F:$F,"浙江精准学科技有限公司")+SUMIFS('6月数据源'!$J:$J,'6月数据源'!$D:$D,$E134,'6月数据源'!$F:$F,"浙江精准学科技有限公司")</f>
        <v/>
      </c>
      <c r="L134" s="89">
        <f>-SUMIFS('7月数据源'!$I:$I,'7月数据源'!$D:$D,$E134,'7月数据源'!$F:$F,"浙江精准学科技有限公司")+SUMIFS('7月数据源'!$J:$J,'7月数据源'!$D:$D,$E134,'7月数据源'!$F:$F,"浙江精准学科技有限公司")</f>
        <v/>
      </c>
      <c r="M134" s="89">
        <f>-SUMIFS('8月数据源'!$I:$I,'8月数据源'!$D:$D,$E134,'8月数据源'!$F:$F,"浙江精准学科技有限公司")+SUMIFS('8月数据源'!$J:$J,'8月数据源'!$D:$D,$E134,'8月数据源'!$F:$F,"浙江精准学科技有限公司")</f>
        <v/>
      </c>
      <c r="N134" s="89">
        <f>-SUMIFS('9月数据源'!$I:$I,'9月数据源'!$D:$D,$E134,'9月数据源'!$F:$F,"浙江精准学科技有限公司")+SUMIFS('9月数据源'!$J:$J,'9月数据源'!$D:$D,$E134,'9月数据源'!$F:$F,"浙江精准学科技有限公司")</f>
        <v/>
      </c>
      <c r="O134" s="89">
        <f>-SUMIFS('10月数据源'!$I:$I,'10月数据源'!$D:$D,$E134,'10月数据源'!$F:$F,"浙江精准学科技有限公司")+SUMIFS('10月数据源'!$J:$J,'10月数据源'!$D:$D,$E134,'10月数据源'!$F:$F,"浙江精准学科技有限公司")</f>
        <v/>
      </c>
      <c r="P134" s="89">
        <f>-SUMIFS('11月数据源'!$I:$I,'11月数据源'!$D:$D,$E134,'11月数据源'!$F:$F,"浙江精准学科技有限公司")+SUMIFS('11月数据源'!$J:$J,'11月数据源'!$D:$D,$E134,'11月数据源'!$F:$F,"浙江精准学科技有限公司")</f>
        <v/>
      </c>
      <c r="Q134" s="89">
        <f>-SUMIFS('12月数据源'!$I:$I,'12月数据源'!$D:$D,$E134,'12月数据源'!$F:$F,"浙江精准学科技有限公司")+SUMIFS('12月数据源'!$J:$J,'12月数据源'!$D:$D,$E134,'12月数据源'!$F:$F,"浙江精准学科技有限公司")</f>
        <v/>
      </c>
    </row>
    <row r="135" s="83">
      <c r="A135" s="5" t="inlineStr">
        <is>
          <t>销售费用</t>
        </is>
      </c>
      <c r="B135" s="6" t="inlineStr">
        <is>
          <t>发货成本</t>
        </is>
      </c>
      <c r="D135" s="5" t="inlineStr">
        <is>
          <t>云仓租金</t>
        </is>
      </c>
      <c r="E135" s="6" t="inlineStr">
        <is>
          <t>Q2502</t>
        </is>
      </c>
      <c r="F135" s="89">
        <f>-SUMIFS('1月数据源'!I:I,'1月数据源'!D:D,E135,'1月数据源'!F:F,"浙江精准学科技有限公司")+SUMIFS('1月数据源'!J:J,'1月数据源'!D:D,E135,'1月数据源'!F:F,"浙江精准学科技有限公司")</f>
        <v/>
      </c>
      <c r="G135" s="89">
        <f>-SUMIFS('2月数据源'!I:I,'2月数据源'!D:D,E135,'2月数据源'!F:F,"浙江精准学科技有限公司")+SUMIFS('2月数据源'!J:J,'2月数据源'!D:D,E135,'2月数据源'!F:F,"浙江精准学科技有限公司")</f>
        <v/>
      </c>
      <c r="H135" s="89">
        <f>-SUMIFS('3月数据源'!I:I,'3月数据源'!D:D,E135,'3月数据源'!F:F,"浙江精准学科技有限公司")+SUMIFS('3月数据源'!J:J,'3月数据源'!D:D,E135,'3月数据源'!F:F,"浙江精准学科技有限公司")</f>
        <v/>
      </c>
      <c r="I135" s="89">
        <f>-SUMIFS('4月数据源'!I:I,'4月数据源'!D:D,E135,'4月数据源'!F:F,"浙江精准学科技有限公司")+SUMIFS('4月数据源'!J:J,'4月数据源'!D:D,E135,'4月数据源'!F:F,"浙江精准学科技有限公司")</f>
        <v/>
      </c>
      <c r="J135" s="89">
        <f>-SUMIFS('5月数据源'!I:I,'5月数据源'!D:D,E135,'5月数据源'!F:F,"浙江精准学科技有限公司")+SUMIFS('5月数据源'!J:J,'5月数据源'!D:D,E135,'5月数据源'!F:F,"浙江精准学科技有限公司")</f>
        <v/>
      </c>
      <c r="K135" s="89">
        <f>-SUMIFS('6月数据源'!$I:$I,'6月数据源'!$D:$D,$E135,'6月数据源'!$F:$F,"浙江精准学科技有限公司")+SUMIFS('6月数据源'!$J:$J,'6月数据源'!$D:$D,$E135,'6月数据源'!$F:$F,"浙江精准学科技有限公司")</f>
        <v/>
      </c>
      <c r="L135" s="89">
        <f>-SUMIFS('7月数据源'!$I:$I,'7月数据源'!$D:$D,$E135,'7月数据源'!$F:$F,"浙江精准学科技有限公司")+SUMIFS('7月数据源'!$J:$J,'7月数据源'!$D:$D,$E135,'7月数据源'!$F:$F,"浙江精准学科技有限公司")</f>
        <v/>
      </c>
      <c r="M135" s="89">
        <f>-SUMIFS('8月数据源'!$I:$I,'8月数据源'!$D:$D,$E135,'8月数据源'!$F:$F,"浙江精准学科技有限公司")+SUMIFS('8月数据源'!$J:$J,'8月数据源'!$D:$D,$E135,'8月数据源'!$F:$F,"浙江精准学科技有限公司")</f>
        <v/>
      </c>
      <c r="N135" s="89">
        <f>-SUMIFS('9月数据源'!$I:$I,'9月数据源'!$D:$D,$E135,'9月数据源'!$F:$F,"浙江精准学科技有限公司")+SUMIFS('9月数据源'!$J:$J,'9月数据源'!$D:$D,$E135,'9月数据源'!$F:$F,"浙江精准学科技有限公司")</f>
        <v/>
      </c>
      <c r="O135" s="89">
        <f>-SUMIFS('10月数据源'!$I:$I,'10月数据源'!$D:$D,$E135,'10月数据源'!$F:$F,"浙江精准学科技有限公司")+SUMIFS('10月数据源'!$J:$J,'10月数据源'!$D:$D,$E135,'10月数据源'!$F:$F,"浙江精准学科技有限公司")</f>
        <v/>
      </c>
      <c r="P135" s="89">
        <f>-SUMIFS('11月数据源'!$I:$I,'11月数据源'!$D:$D,$E135,'11月数据源'!$F:$F,"浙江精准学科技有限公司")+SUMIFS('11月数据源'!$J:$J,'11月数据源'!$D:$D,$E135,'11月数据源'!$F:$F,"浙江精准学科技有限公司")</f>
        <v/>
      </c>
      <c r="Q135" s="89">
        <f>-SUMIFS('12月数据源'!$I:$I,'12月数据源'!$D:$D,$E135,'12月数据源'!$F:$F,"浙江精准学科技有限公司")+SUMIFS('12月数据源'!$J:$J,'12月数据源'!$D:$D,$E135,'12月数据源'!$F:$F,"浙江精准学科技有限公司")</f>
        <v/>
      </c>
    </row>
    <row r="136" s="83">
      <c r="A136" s="5" t="inlineStr">
        <is>
          <t>销售费用</t>
        </is>
      </c>
      <c r="B136" s="6" t="inlineStr">
        <is>
          <t>品销-费用报销</t>
        </is>
      </c>
      <c r="C136" s="6" t="inlineStr">
        <is>
          <t>品销-费用报销</t>
        </is>
      </c>
      <c r="D136" s="5" t="inlineStr">
        <is>
          <t>品销员工报销</t>
        </is>
      </c>
      <c r="E136" s="6" t="inlineStr">
        <is>
          <t>Q2601</t>
        </is>
      </c>
      <c r="F136" s="89">
        <f>-SUMIFS('1月数据源'!I:I,'1月数据源'!D:D,E136,'1月数据源'!F:F,"浙江精准学科技有限公司")+SUMIFS('1月数据源'!J:J,'1月数据源'!D:D,E136,'1月数据源'!F:F,"浙江精准学科技有限公司")</f>
        <v/>
      </c>
      <c r="G136" s="89">
        <f>-SUMIFS('2月数据源'!I:I,'2月数据源'!D:D,E136,'2月数据源'!F:F,"浙江精准学科技有限公司")+SUMIFS('2月数据源'!J:J,'2月数据源'!D:D,E136,'2月数据源'!F:F,"浙江精准学科技有限公司")</f>
        <v/>
      </c>
      <c r="H136" s="89">
        <f>-SUMIFS('3月数据源'!I:I,'3月数据源'!D:D,E136,'3月数据源'!F:F,"浙江精准学科技有限公司")+SUMIFS('3月数据源'!J:J,'3月数据源'!D:D,E136,'3月数据源'!F:F,"浙江精准学科技有限公司")</f>
        <v/>
      </c>
      <c r="I136" s="89">
        <f>-SUMIFS('4月数据源'!I:I,'4月数据源'!D:D,E136,'4月数据源'!F:F,"浙江精准学科技有限公司")+SUMIFS('4月数据源'!J:J,'4月数据源'!D:D,E136,'4月数据源'!F:F,"浙江精准学科技有限公司")</f>
        <v/>
      </c>
      <c r="J136" s="89">
        <f>-SUMIFS('5月数据源'!I:I,'5月数据源'!D:D,E136,'5月数据源'!F:F,"浙江精准学科技有限公司")+SUMIFS('5月数据源'!J:J,'5月数据源'!D:D,E136,'5月数据源'!F:F,"浙江精准学科技有限公司")</f>
        <v/>
      </c>
      <c r="K136" s="89">
        <f>-SUMIFS('6月数据源'!$I:$I,'6月数据源'!$D:$D,$E136,'6月数据源'!$F:$F,"浙江精准学科技有限公司")+SUMIFS('6月数据源'!$J:$J,'6月数据源'!$D:$D,$E136,'6月数据源'!$F:$F,"浙江精准学科技有限公司")</f>
        <v/>
      </c>
      <c r="L136" s="89">
        <f>-SUMIFS('7月数据源'!$I:$I,'7月数据源'!$D:$D,$E136,'7月数据源'!$F:$F,"浙江精准学科技有限公司")+SUMIFS('7月数据源'!$J:$J,'7月数据源'!$D:$D,$E136,'7月数据源'!$F:$F,"浙江精准学科技有限公司")</f>
        <v/>
      </c>
      <c r="M136" s="89">
        <f>-SUMIFS('8月数据源'!$I:$I,'8月数据源'!$D:$D,$E136,'8月数据源'!$F:$F,"浙江精准学科技有限公司")+SUMIFS('8月数据源'!$J:$J,'8月数据源'!$D:$D,$E136,'8月数据源'!$F:$F,"浙江精准学科技有限公司")</f>
        <v/>
      </c>
      <c r="N136" s="89">
        <f>-SUMIFS('9月数据源'!$I:$I,'9月数据源'!$D:$D,$E136,'9月数据源'!$F:$F,"浙江精准学科技有限公司")+SUMIFS('9月数据源'!$J:$J,'9月数据源'!$D:$D,$E136,'9月数据源'!$F:$F,"浙江精准学科技有限公司")</f>
        <v/>
      </c>
      <c r="O136" s="89">
        <f>-SUMIFS('10月数据源'!$I:$I,'10月数据源'!$D:$D,$E136,'10月数据源'!$F:$F,"浙江精准学科技有限公司")+SUMIFS('10月数据源'!$J:$J,'10月数据源'!$D:$D,$E136,'10月数据源'!$F:$F,"浙江精准学科技有限公司")</f>
        <v/>
      </c>
      <c r="P136" s="89">
        <f>-SUMIFS('11月数据源'!$I:$I,'11月数据源'!$D:$D,$E136,'11月数据源'!$F:$F,"浙江精准学科技有限公司")+SUMIFS('11月数据源'!$J:$J,'11月数据源'!$D:$D,$E136,'11月数据源'!$F:$F,"浙江精准学科技有限公司")</f>
        <v/>
      </c>
      <c r="Q136" s="89">
        <f>-SUMIFS('12月数据源'!$I:$I,'12月数据源'!$D:$D,$E136,'12月数据源'!$F:$F,"浙江精准学科技有限公司")+SUMIFS('12月数据源'!$J:$J,'12月数据源'!$D:$D,$E136,'12月数据源'!$F:$F,"浙江精准学科技有限公司")</f>
        <v/>
      </c>
    </row>
    <row r="137" s="83">
      <c r="A137" s="49" t="inlineStr">
        <is>
          <t>销售费用合计</t>
        </is>
      </c>
      <c r="B137" s="50" t="n"/>
      <c r="C137" s="50" t="n"/>
      <c r="D137" s="49" t="n"/>
      <c r="E137" s="49" t="n"/>
      <c r="F137" s="89">
        <f>SUM(F99:F136)</f>
        <v/>
      </c>
      <c r="G137" s="89">
        <f>SUM(G99:G136)</f>
        <v/>
      </c>
      <c r="H137" s="89">
        <f>SUM(H99:H136)</f>
        <v/>
      </c>
      <c r="I137" s="89">
        <f>SUM(I99:I136)</f>
        <v/>
      </c>
      <c r="J137" s="89">
        <f>SUM(J99:J136)</f>
        <v/>
      </c>
      <c r="K137" s="89">
        <f>SUM(K99:K136)</f>
        <v/>
      </c>
      <c r="L137" s="89">
        <f>SUM(L99:L136)</f>
        <v/>
      </c>
      <c r="M137" s="89">
        <f>SUM(M99:M136)</f>
        <v/>
      </c>
      <c r="N137" s="89">
        <f>SUM(N99:N136)</f>
        <v/>
      </c>
      <c r="O137" s="89">
        <f>SUM(O99:O136)</f>
        <v/>
      </c>
      <c r="P137" s="89">
        <f>SUM(P99:P136)</f>
        <v/>
      </c>
      <c r="Q137" s="89">
        <f>SUM(Q99:Q136)</f>
        <v/>
      </c>
    </row>
    <row r="138" s="83">
      <c r="A138" s="5" t="inlineStr">
        <is>
          <t>管理费用</t>
        </is>
      </c>
      <c r="B138" s="6" t="inlineStr">
        <is>
          <t>办公场地使用费</t>
        </is>
      </c>
      <c r="C138" s="6" t="inlineStr">
        <is>
          <t>办公场地使用费</t>
        </is>
      </c>
      <c r="D138" s="5" t="inlineStr">
        <is>
          <t>西溪首座办公场地租金</t>
        </is>
      </c>
      <c r="E138" s="6" t="inlineStr">
        <is>
          <t>Q2702</t>
        </is>
      </c>
      <c r="F138" s="89">
        <f>-SUMIFS('1月数据源'!I:I,'1月数据源'!D:D,E138,'1月数据源'!F:F,"浙江精准学科技有限公司")+SUMIFS('1月数据源'!J:J,'1月数据源'!D:D,E138,'1月数据源'!F:F,"浙江精准学科技有限公司")</f>
        <v/>
      </c>
      <c r="G138" s="89">
        <f>-SUMIFS('2月数据源'!I:I,'2月数据源'!D:D,E138,'2月数据源'!F:F,"浙江精准学科技有限公司")+SUMIFS('2月数据源'!J:J,'2月数据源'!D:D,E138,'2月数据源'!F:F,"浙江精准学科技有限公司")</f>
        <v/>
      </c>
      <c r="H138" s="89">
        <f>-SUMIFS('3月数据源'!I:I,'3月数据源'!D:D,E138,'3月数据源'!F:F,"浙江精准学科技有限公司")+SUMIFS('3月数据源'!J:J,'3月数据源'!D:D,E138,'3月数据源'!F:F,"浙江精准学科技有限公司")</f>
        <v/>
      </c>
      <c r="I138" s="89">
        <f>-SUMIFS('4月数据源'!I:I,'4月数据源'!D:D,E138,'4月数据源'!F:F,"浙江精准学科技有限公司")+SUMIFS('4月数据源'!J:J,'4月数据源'!D:D,E138,'4月数据源'!F:F,"浙江精准学科技有限公司")</f>
        <v/>
      </c>
      <c r="J138" s="89">
        <f>-SUMIFS('5月数据源'!I:I,'5月数据源'!D:D,E138,'5月数据源'!F:F,"浙江精准学科技有限公司")+SUMIFS('5月数据源'!J:J,'5月数据源'!D:D,E138,'5月数据源'!F:F,"浙江精准学科技有限公司")</f>
        <v/>
      </c>
      <c r="K138" s="89">
        <f>-SUMIFS('6月数据源'!$I:$I,'6月数据源'!$D:$D,$E138,'6月数据源'!$F:$F,"浙江精准学科技有限公司")+SUMIFS('6月数据源'!$J:$J,'6月数据源'!$D:$D,$E138,'6月数据源'!$F:$F,"浙江精准学科技有限公司")</f>
        <v/>
      </c>
      <c r="L138" s="89">
        <f>-SUMIFS('7月数据源'!$I:$I,'7月数据源'!$D:$D,$E138,'7月数据源'!$F:$F,"浙江精准学科技有限公司")+SUMIFS('7月数据源'!$J:$J,'7月数据源'!$D:$D,$E138,'7月数据源'!$F:$F,"浙江精准学科技有限公司")</f>
        <v/>
      </c>
      <c r="M138" s="89">
        <f>-SUMIFS('8月数据源'!$I:$I,'8月数据源'!$D:$D,$E138,'8月数据源'!$F:$F,"浙江精准学科技有限公司")+SUMIFS('8月数据源'!$J:$J,'8月数据源'!$D:$D,$E138,'8月数据源'!$F:$F,"浙江精准学科技有限公司")</f>
        <v/>
      </c>
      <c r="N138" s="89">
        <f>-SUMIFS('9月数据源'!$I:$I,'9月数据源'!$D:$D,$E138,'9月数据源'!$F:$F,"浙江精准学科技有限公司")+SUMIFS('9月数据源'!$J:$J,'9月数据源'!$D:$D,$E138,'9月数据源'!$F:$F,"浙江精准学科技有限公司")</f>
        <v/>
      </c>
      <c r="O138" s="89">
        <f>-SUMIFS('10月数据源'!$I:$I,'10月数据源'!$D:$D,$E138,'10月数据源'!$F:$F,"浙江精准学科技有限公司")+SUMIFS('10月数据源'!$J:$J,'10月数据源'!$D:$D,$E138,'10月数据源'!$F:$F,"浙江精准学科技有限公司")</f>
        <v/>
      </c>
      <c r="P138" s="89">
        <f>-SUMIFS('11月数据源'!$I:$I,'11月数据源'!$D:$D,$E138,'11月数据源'!$F:$F,"浙江精准学科技有限公司")+SUMIFS('11月数据源'!$J:$J,'11月数据源'!$D:$D,$E138,'11月数据源'!$F:$F,"浙江精准学科技有限公司")</f>
        <v/>
      </c>
      <c r="Q138" s="89">
        <f>-SUMIFS('12月数据源'!$I:$I,'12月数据源'!$D:$D,$E138,'12月数据源'!$F:$F,"浙江精准学科技有限公司")+SUMIFS('12月数据源'!$J:$J,'12月数据源'!$D:$D,$E138,'12月数据源'!$F:$F,"浙江精准学科技有限公司")</f>
        <v/>
      </c>
    </row>
    <row r="139" s="83">
      <c r="A139" s="5" t="inlineStr">
        <is>
          <t>管理费用</t>
        </is>
      </c>
      <c r="B139" s="6" t="inlineStr">
        <is>
          <t>办公场地使用费</t>
        </is>
      </c>
      <c r="D139" s="5" t="inlineStr">
        <is>
          <t>西溪首座办公场地装修费</t>
        </is>
      </c>
      <c r="E139" s="6" t="inlineStr">
        <is>
          <t>Q2701</t>
        </is>
      </c>
      <c r="F139" s="89">
        <f>-SUMIFS('1月数据源'!I:I,'1月数据源'!D:D,E139,'1月数据源'!F:F,"浙江精准学科技有限公司")+SUMIFS('1月数据源'!J:J,'1月数据源'!D:D,E139,'1月数据源'!F:F,"浙江精准学科技有限公司")</f>
        <v/>
      </c>
      <c r="G139" s="89">
        <f>-SUMIFS('2月数据源'!I:I,'2月数据源'!D:D,E139,'2月数据源'!F:F,"浙江精准学科技有限公司")+SUMIFS('2月数据源'!J:J,'2月数据源'!D:D,E139,'2月数据源'!F:F,"浙江精准学科技有限公司")</f>
        <v/>
      </c>
      <c r="H139" s="89">
        <f>-SUMIFS('3月数据源'!I:I,'3月数据源'!D:D,E139,'3月数据源'!F:F,"浙江精准学科技有限公司")+SUMIFS('3月数据源'!J:J,'3月数据源'!D:D,E139,'3月数据源'!F:F,"浙江精准学科技有限公司")</f>
        <v/>
      </c>
      <c r="I139" s="89">
        <f>-SUMIFS('4月数据源'!I:I,'4月数据源'!D:D,E139,'4月数据源'!F:F,"浙江精准学科技有限公司")+SUMIFS('4月数据源'!J:J,'4月数据源'!D:D,E139,'4月数据源'!F:F,"浙江精准学科技有限公司")</f>
        <v/>
      </c>
      <c r="J139" s="89">
        <f>-SUMIFS('5月数据源'!I:I,'5月数据源'!D:D,E139,'5月数据源'!F:F,"浙江精准学科技有限公司")+SUMIFS('5月数据源'!J:J,'5月数据源'!D:D,E139,'5月数据源'!F:F,"浙江精准学科技有限公司")</f>
        <v/>
      </c>
      <c r="K139" s="89">
        <f>-SUMIFS('6月数据源'!$I:$I,'6月数据源'!$D:$D,$E139,'6月数据源'!$F:$F,"浙江精准学科技有限公司")+SUMIFS('6月数据源'!$J:$J,'6月数据源'!$D:$D,$E139,'6月数据源'!$F:$F,"浙江精准学科技有限公司")</f>
        <v/>
      </c>
      <c r="L139" s="89">
        <f>-SUMIFS('7月数据源'!$I:$I,'7月数据源'!$D:$D,$E139,'7月数据源'!$F:$F,"浙江精准学科技有限公司")+SUMIFS('7月数据源'!$J:$J,'7月数据源'!$D:$D,$E139,'7月数据源'!$F:$F,"浙江精准学科技有限公司")</f>
        <v/>
      </c>
      <c r="M139" s="89">
        <f>-SUMIFS('8月数据源'!$I:$I,'8月数据源'!$D:$D,$E139,'8月数据源'!$F:$F,"浙江精准学科技有限公司")+SUMIFS('8月数据源'!$J:$J,'8月数据源'!$D:$D,$E139,'8月数据源'!$F:$F,"浙江精准学科技有限公司")</f>
        <v/>
      </c>
      <c r="N139" s="89">
        <f>-SUMIFS('9月数据源'!$I:$I,'9月数据源'!$D:$D,$E139,'9月数据源'!$F:$F,"浙江精准学科技有限公司")+SUMIFS('9月数据源'!$J:$J,'9月数据源'!$D:$D,$E139,'9月数据源'!$F:$F,"浙江精准学科技有限公司")</f>
        <v/>
      </c>
      <c r="O139" s="89">
        <f>-SUMIFS('10月数据源'!$I:$I,'10月数据源'!$D:$D,$E139,'10月数据源'!$F:$F,"浙江精准学科技有限公司")+SUMIFS('10月数据源'!$J:$J,'10月数据源'!$D:$D,$E139,'10月数据源'!$F:$F,"浙江精准学科技有限公司")</f>
        <v/>
      </c>
      <c r="P139" s="89">
        <f>-SUMIFS('11月数据源'!$I:$I,'11月数据源'!$D:$D,$E139,'11月数据源'!$F:$F,"浙江精准学科技有限公司")+SUMIFS('11月数据源'!$J:$J,'11月数据源'!$D:$D,$E139,'11月数据源'!$F:$F,"浙江精准学科技有限公司")</f>
        <v/>
      </c>
      <c r="Q139" s="89">
        <f>-SUMIFS('12月数据源'!$I:$I,'12月数据源'!$D:$D,$E139,'12月数据源'!$F:$F,"浙江精准学科技有限公司")+SUMIFS('12月数据源'!$J:$J,'12月数据源'!$D:$D,$E139,'12月数据源'!$F:$F,"浙江精准学科技有限公司")</f>
        <v/>
      </c>
    </row>
    <row r="140" s="83">
      <c r="A140" s="5" t="inlineStr">
        <is>
          <t>管理费用</t>
        </is>
      </c>
      <c r="B140" s="6" t="inlineStr">
        <is>
          <t>办公场地使用费</t>
        </is>
      </c>
      <c r="D140" s="5" t="inlineStr">
        <is>
          <t>西溪首座办公室物业水电费</t>
        </is>
      </c>
      <c r="E140" s="6" t="inlineStr">
        <is>
          <t>Q2703</t>
        </is>
      </c>
      <c r="F140" s="89">
        <f>-SUMIFS('1月数据源'!I:I,'1月数据源'!D:D,E140,'1月数据源'!F:F,"浙江精准学科技有限公司")+SUMIFS('1月数据源'!J:J,'1月数据源'!D:D,E140,'1月数据源'!F:F,"浙江精准学科技有限公司")</f>
        <v/>
      </c>
      <c r="G140" s="89">
        <f>-SUMIFS('2月数据源'!I:I,'2月数据源'!D:D,E140,'2月数据源'!F:F,"浙江精准学科技有限公司")+SUMIFS('2月数据源'!J:J,'2月数据源'!D:D,E140,'2月数据源'!F:F,"浙江精准学科技有限公司")</f>
        <v/>
      </c>
      <c r="H140" s="89">
        <f>-SUMIFS('3月数据源'!I:I,'3月数据源'!D:D,E140,'3月数据源'!F:F,"浙江精准学科技有限公司")+SUMIFS('3月数据源'!J:J,'3月数据源'!D:D,E140,'3月数据源'!F:F,"浙江精准学科技有限公司")</f>
        <v/>
      </c>
      <c r="I140" s="89">
        <f>-SUMIFS('4月数据源'!I:I,'4月数据源'!D:D,E140,'4月数据源'!F:F,"浙江精准学科技有限公司")+SUMIFS('4月数据源'!J:J,'4月数据源'!D:D,E140,'4月数据源'!F:F,"浙江精准学科技有限公司")</f>
        <v/>
      </c>
      <c r="J140" s="89">
        <f>-SUMIFS('5月数据源'!I:I,'5月数据源'!D:D,E140,'5月数据源'!F:F,"浙江精准学科技有限公司")+SUMIFS('5月数据源'!J:J,'5月数据源'!D:D,E140,'5月数据源'!F:F,"浙江精准学科技有限公司")</f>
        <v/>
      </c>
      <c r="K140" s="89">
        <f>-SUMIFS('6月数据源'!$I:$I,'6月数据源'!$D:$D,$E140,'6月数据源'!$F:$F,"浙江精准学科技有限公司")+SUMIFS('6月数据源'!$J:$J,'6月数据源'!$D:$D,$E140,'6月数据源'!$F:$F,"浙江精准学科技有限公司")</f>
        <v/>
      </c>
      <c r="L140" s="89">
        <f>-SUMIFS('7月数据源'!$I:$I,'7月数据源'!$D:$D,$E140,'7月数据源'!$F:$F,"浙江精准学科技有限公司")+SUMIFS('7月数据源'!$J:$J,'7月数据源'!$D:$D,$E140,'7月数据源'!$F:$F,"浙江精准学科技有限公司")</f>
        <v/>
      </c>
      <c r="M140" s="89">
        <f>-SUMIFS('8月数据源'!$I:$I,'8月数据源'!$D:$D,$E140,'8月数据源'!$F:$F,"浙江精准学科技有限公司")+SUMIFS('8月数据源'!$J:$J,'8月数据源'!$D:$D,$E140,'8月数据源'!$F:$F,"浙江精准学科技有限公司")</f>
        <v/>
      </c>
      <c r="N140" s="89">
        <f>-SUMIFS('9月数据源'!$I:$I,'9月数据源'!$D:$D,$E140,'9月数据源'!$F:$F,"浙江精准学科技有限公司")+SUMIFS('9月数据源'!$J:$J,'9月数据源'!$D:$D,$E140,'9月数据源'!$F:$F,"浙江精准学科技有限公司")</f>
        <v/>
      </c>
      <c r="O140" s="89">
        <f>-SUMIFS('10月数据源'!$I:$I,'10月数据源'!$D:$D,$E140,'10月数据源'!$F:$F,"浙江精准学科技有限公司")+SUMIFS('10月数据源'!$J:$J,'10月数据源'!$D:$D,$E140,'10月数据源'!$F:$F,"浙江精准学科技有限公司")</f>
        <v/>
      </c>
      <c r="P140" s="89">
        <f>-SUMIFS('11月数据源'!$I:$I,'11月数据源'!$D:$D,$E140,'11月数据源'!$F:$F,"浙江精准学科技有限公司")+SUMIFS('11月数据源'!$J:$J,'11月数据源'!$D:$D,$E140,'11月数据源'!$F:$F,"浙江精准学科技有限公司")</f>
        <v/>
      </c>
      <c r="Q140" s="89">
        <f>-SUMIFS('12月数据源'!$I:$I,'12月数据源'!$D:$D,$E140,'12月数据源'!$F:$F,"浙江精准学科技有限公司")+SUMIFS('12月数据源'!$J:$J,'12月数据源'!$D:$D,$E140,'12月数据源'!$F:$F,"浙江精准学科技有限公司")</f>
        <v/>
      </c>
    </row>
    <row r="141" s="83">
      <c r="A141" s="5" t="inlineStr">
        <is>
          <t>管理费用</t>
        </is>
      </c>
      <c r="B141" s="6" t="inlineStr">
        <is>
          <t>办公场地使用费</t>
        </is>
      </c>
      <c r="D141" s="5" t="inlineStr">
        <is>
          <t>合肥办公室租金</t>
        </is>
      </c>
      <c r="E141" s="6" t="inlineStr">
        <is>
          <t>Q2704</t>
        </is>
      </c>
      <c r="F141" s="89">
        <f>-SUMIFS('1月数据源'!I:I,'1月数据源'!D:D,E141,'1月数据源'!F:F,"浙江精准学科技有限公司")+SUMIFS('1月数据源'!J:J,'1月数据源'!D:D,E141,'1月数据源'!F:F,"浙江精准学科技有限公司")</f>
        <v/>
      </c>
      <c r="G141" s="89">
        <f>-SUMIFS('2月数据源'!I:I,'2月数据源'!D:D,E141,'2月数据源'!F:F,"浙江精准学科技有限公司")+SUMIFS('2月数据源'!J:J,'2月数据源'!D:D,E141,'2月数据源'!F:F,"浙江精准学科技有限公司")</f>
        <v/>
      </c>
      <c r="H141" s="89">
        <f>-SUMIFS('3月数据源'!I:I,'3月数据源'!D:D,E141,'3月数据源'!F:F,"浙江精准学科技有限公司")+SUMIFS('3月数据源'!J:J,'3月数据源'!D:D,E141,'3月数据源'!F:F,"浙江精准学科技有限公司")</f>
        <v/>
      </c>
      <c r="I141" s="89">
        <f>-SUMIFS('4月数据源'!I:I,'4月数据源'!D:D,E141,'4月数据源'!F:F,"浙江精准学科技有限公司")+SUMIFS('4月数据源'!J:J,'4月数据源'!D:D,E141,'4月数据源'!F:F,"浙江精准学科技有限公司")</f>
        <v/>
      </c>
      <c r="J141" s="89">
        <f>-SUMIFS('5月数据源'!I:I,'5月数据源'!D:D,E141,'5月数据源'!F:F,"浙江精准学科技有限公司")+SUMIFS('5月数据源'!J:J,'5月数据源'!D:D,E141,'5月数据源'!F:F,"浙江精准学科技有限公司")</f>
        <v/>
      </c>
      <c r="K141" s="89">
        <f>-SUMIFS('6月数据源'!$I:$I,'6月数据源'!$D:$D,$E141,'6月数据源'!$F:$F,"浙江精准学科技有限公司")+SUMIFS('6月数据源'!$J:$J,'6月数据源'!$D:$D,$E141,'6月数据源'!$F:$F,"浙江精准学科技有限公司")</f>
        <v/>
      </c>
      <c r="L141" s="89">
        <f>-SUMIFS('7月数据源'!$I:$I,'7月数据源'!$D:$D,$E141,'7月数据源'!$F:$F,"浙江精准学科技有限公司")+SUMIFS('7月数据源'!$J:$J,'7月数据源'!$D:$D,$E141,'7月数据源'!$F:$F,"浙江精准学科技有限公司")</f>
        <v/>
      </c>
      <c r="M141" s="89">
        <f>-SUMIFS('8月数据源'!$I:$I,'8月数据源'!$D:$D,$E141,'8月数据源'!$F:$F,"浙江精准学科技有限公司")+SUMIFS('8月数据源'!$J:$J,'8月数据源'!$D:$D,$E141,'8月数据源'!$F:$F,"浙江精准学科技有限公司")</f>
        <v/>
      </c>
      <c r="N141" s="89">
        <f>-SUMIFS('9月数据源'!$I:$I,'9月数据源'!$D:$D,$E141,'9月数据源'!$F:$F,"浙江精准学科技有限公司")+SUMIFS('9月数据源'!$J:$J,'9月数据源'!$D:$D,$E141,'9月数据源'!$F:$F,"浙江精准学科技有限公司")</f>
        <v/>
      </c>
      <c r="O141" s="89">
        <f>-SUMIFS('10月数据源'!$I:$I,'10月数据源'!$D:$D,$E141,'10月数据源'!$F:$F,"浙江精准学科技有限公司")+SUMIFS('10月数据源'!$J:$J,'10月数据源'!$D:$D,$E141,'10月数据源'!$F:$F,"浙江精准学科技有限公司")</f>
        <v/>
      </c>
      <c r="P141" s="89">
        <f>-SUMIFS('11月数据源'!$I:$I,'11月数据源'!$D:$D,$E141,'11月数据源'!$F:$F,"浙江精准学科技有限公司")+SUMIFS('11月数据源'!$J:$J,'11月数据源'!$D:$D,$E141,'11月数据源'!$F:$F,"浙江精准学科技有限公司")</f>
        <v/>
      </c>
      <c r="Q141" s="89">
        <f>-SUMIFS('12月数据源'!$I:$I,'12月数据源'!$D:$D,$E141,'12月数据源'!$F:$F,"浙江精准学科技有限公司")+SUMIFS('12月数据源'!$J:$J,'12月数据源'!$D:$D,$E141,'12月数据源'!$F:$F,"浙江精准学科技有限公司")</f>
        <v/>
      </c>
    </row>
    <row r="142" s="83">
      <c r="A142" s="5" t="inlineStr">
        <is>
          <t>管理费用</t>
        </is>
      </c>
      <c r="B142" s="6" t="inlineStr">
        <is>
          <t>办公场地使用费</t>
        </is>
      </c>
      <c r="D142" s="5" t="inlineStr">
        <is>
          <t>合肥办公室物业水电费</t>
        </is>
      </c>
      <c r="E142" s="6" t="inlineStr">
        <is>
          <t>Q2705</t>
        </is>
      </c>
      <c r="F142" s="89">
        <f>-SUMIFS('1月数据源'!I:I,'1月数据源'!D:D,E142,'1月数据源'!F:F,"浙江精准学科技有限公司")+SUMIFS('1月数据源'!J:J,'1月数据源'!D:D,E142,'1月数据源'!F:F,"浙江精准学科技有限公司")</f>
        <v/>
      </c>
      <c r="G142" s="89">
        <f>-SUMIFS('2月数据源'!I:I,'2月数据源'!D:D,E142,'2月数据源'!F:F,"浙江精准学科技有限公司")+SUMIFS('2月数据源'!J:J,'2月数据源'!D:D,E142,'2月数据源'!F:F,"浙江精准学科技有限公司")</f>
        <v/>
      </c>
      <c r="H142" s="89">
        <f>-SUMIFS('3月数据源'!I:I,'3月数据源'!D:D,E142,'3月数据源'!F:F,"浙江精准学科技有限公司")+SUMIFS('3月数据源'!J:J,'3月数据源'!D:D,E142,'3月数据源'!F:F,"浙江精准学科技有限公司")</f>
        <v/>
      </c>
      <c r="I142" s="89">
        <f>-SUMIFS('4月数据源'!I:I,'4月数据源'!D:D,E142,'4月数据源'!F:F,"浙江精准学科技有限公司")+SUMIFS('4月数据源'!J:J,'4月数据源'!D:D,E142,'4月数据源'!F:F,"浙江精准学科技有限公司")</f>
        <v/>
      </c>
      <c r="J142" s="89">
        <f>-SUMIFS('5月数据源'!I:I,'5月数据源'!D:D,E142,'5月数据源'!F:F,"浙江精准学科技有限公司")+SUMIFS('5月数据源'!J:J,'5月数据源'!D:D,E142,'5月数据源'!F:F,"浙江精准学科技有限公司")</f>
        <v/>
      </c>
      <c r="K142" s="89">
        <f>-SUMIFS('6月数据源'!$I:$I,'6月数据源'!$D:$D,$E142,'6月数据源'!$F:$F,"浙江精准学科技有限公司")+SUMIFS('6月数据源'!$J:$J,'6月数据源'!$D:$D,$E142,'6月数据源'!$F:$F,"浙江精准学科技有限公司")</f>
        <v/>
      </c>
      <c r="L142" s="89">
        <f>-SUMIFS('7月数据源'!$I:$I,'7月数据源'!$D:$D,$E142,'7月数据源'!$F:$F,"浙江精准学科技有限公司")+SUMIFS('7月数据源'!$J:$J,'7月数据源'!$D:$D,$E142,'7月数据源'!$F:$F,"浙江精准学科技有限公司")</f>
        <v/>
      </c>
      <c r="M142" s="89">
        <f>-SUMIFS('8月数据源'!$I:$I,'8月数据源'!$D:$D,$E142,'8月数据源'!$F:$F,"浙江精准学科技有限公司")+SUMIFS('8月数据源'!$J:$J,'8月数据源'!$D:$D,$E142,'8月数据源'!$F:$F,"浙江精准学科技有限公司")</f>
        <v/>
      </c>
      <c r="N142" s="89">
        <f>-SUMIFS('9月数据源'!$I:$I,'9月数据源'!$D:$D,$E142,'9月数据源'!$F:$F,"浙江精准学科技有限公司")+SUMIFS('9月数据源'!$J:$J,'9月数据源'!$D:$D,$E142,'9月数据源'!$F:$F,"浙江精准学科技有限公司")</f>
        <v/>
      </c>
      <c r="O142" s="89">
        <f>-SUMIFS('10月数据源'!$I:$I,'10月数据源'!$D:$D,$E142,'10月数据源'!$F:$F,"浙江精准学科技有限公司")+SUMIFS('10月数据源'!$J:$J,'10月数据源'!$D:$D,$E142,'10月数据源'!$F:$F,"浙江精准学科技有限公司")</f>
        <v/>
      </c>
      <c r="P142" s="89">
        <f>-SUMIFS('11月数据源'!$I:$I,'11月数据源'!$D:$D,$E142,'11月数据源'!$F:$F,"浙江精准学科技有限公司")+SUMIFS('11月数据源'!$J:$J,'11月数据源'!$D:$D,$E142,'11月数据源'!$F:$F,"浙江精准学科技有限公司")</f>
        <v/>
      </c>
      <c r="Q142" s="89">
        <f>-SUMIFS('12月数据源'!$I:$I,'12月数据源'!$D:$D,$E142,'12月数据源'!$F:$F,"浙江精准学科技有限公司")+SUMIFS('12月数据源'!$J:$J,'12月数据源'!$D:$D,$E142,'12月数据源'!$F:$F,"浙江精准学科技有限公司")</f>
        <v/>
      </c>
    </row>
    <row r="143" s="83">
      <c r="A143" s="5" t="inlineStr">
        <is>
          <t>管理费用</t>
        </is>
      </c>
      <c r="B143" s="6" t="inlineStr">
        <is>
          <t>办公场地使用费</t>
        </is>
      </c>
      <c r="D143" s="5" t="inlineStr">
        <is>
          <t>其他办公场地使用费</t>
        </is>
      </c>
      <c r="E143" s="6" t="inlineStr">
        <is>
          <t>Q2706</t>
        </is>
      </c>
      <c r="F143" s="89">
        <f>-SUMIFS('1月数据源'!I:I,'1月数据源'!D:D,E143,'1月数据源'!F:F,"浙江精准学科技有限公司")+SUMIFS('1月数据源'!J:J,'1月数据源'!D:D,E143,'1月数据源'!F:F,"浙江精准学科技有限公司")</f>
        <v/>
      </c>
      <c r="G143" s="89">
        <f>-SUMIFS('2月数据源'!I:I,'2月数据源'!D:D,E143,'2月数据源'!F:F,"浙江精准学科技有限公司")+SUMIFS('2月数据源'!J:J,'2月数据源'!D:D,E143,'2月数据源'!F:F,"浙江精准学科技有限公司")</f>
        <v/>
      </c>
      <c r="H143" s="89">
        <f>-SUMIFS('3月数据源'!I:I,'3月数据源'!D:D,E143,'3月数据源'!F:F,"浙江精准学科技有限公司")+SUMIFS('3月数据源'!J:J,'3月数据源'!D:D,E143,'3月数据源'!F:F,"浙江精准学科技有限公司")</f>
        <v/>
      </c>
      <c r="I143" s="89">
        <f>-SUMIFS('4月数据源'!I:I,'4月数据源'!D:D,E143,'4月数据源'!F:F,"浙江精准学科技有限公司")+SUMIFS('4月数据源'!J:J,'4月数据源'!D:D,E143,'4月数据源'!F:F,"浙江精准学科技有限公司")</f>
        <v/>
      </c>
      <c r="J143" s="89">
        <f>-SUMIFS('5月数据源'!I:I,'5月数据源'!D:D,E143,'5月数据源'!F:F,"浙江精准学科技有限公司")+SUMIFS('5月数据源'!J:J,'5月数据源'!D:D,E143,'5月数据源'!F:F,"浙江精准学科技有限公司")</f>
        <v/>
      </c>
      <c r="K143" s="89">
        <f>-SUMIFS('6月数据源'!$I:$I,'6月数据源'!$D:$D,$E143,'6月数据源'!$F:$F,"浙江精准学科技有限公司")+SUMIFS('6月数据源'!$J:$J,'6月数据源'!$D:$D,$E143,'6月数据源'!$F:$F,"浙江精准学科技有限公司")</f>
        <v/>
      </c>
      <c r="L143" s="89">
        <f>-SUMIFS('7月数据源'!$I:$I,'7月数据源'!$D:$D,$E143,'7月数据源'!$F:$F,"浙江精准学科技有限公司")+SUMIFS('7月数据源'!$J:$J,'7月数据源'!$D:$D,$E143,'7月数据源'!$F:$F,"浙江精准学科技有限公司")</f>
        <v/>
      </c>
      <c r="M143" s="89">
        <f>-SUMIFS('8月数据源'!$I:$I,'8月数据源'!$D:$D,$E143,'8月数据源'!$F:$F,"浙江精准学科技有限公司")+SUMIFS('8月数据源'!$J:$J,'8月数据源'!$D:$D,$E143,'8月数据源'!$F:$F,"浙江精准学科技有限公司")</f>
        <v/>
      </c>
      <c r="N143" s="89">
        <f>-SUMIFS('9月数据源'!$I:$I,'9月数据源'!$D:$D,$E143,'9月数据源'!$F:$F,"浙江精准学科技有限公司")+SUMIFS('9月数据源'!$J:$J,'9月数据源'!$D:$D,$E143,'9月数据源'!$F:$F,"浙江精准学科技有限公司")</f>
        <v/>
      </c>
      <c r="O143" s="89">
        <f>-SUMIFS('10月数据源'!$I:$I,'10月数据源'!$D:$D,$E143,'10月数据源'!$F:$F,"浙江精准学科技有限公司")+SUMIFS('10月数据源'!$J:$J,'10月数据源'!$D:$D,$E143,'10月数据源'!$F:$F,"浙江精准学科技有限公司")</f>
        <v/>
      </c>
      <c r="P143" s="89">
        <f>-SUMIFS('11月数据源'!$I:$I,'11月数据源'!$D:$D,$E143,'11月数据源'!$F:$F,"浙江精准学科技有限公司")+SUMIFS('11月数据源'!$J:$J,'11月数据源'!$D:$D,$E143,'11月数据源'!$F:$F,"浙江精准学科技有限公司")</f>
        <v/>
      </c>
      <c r="Q143" s="89">
        <f>-SUMIFS('12月数据源'!$I:$I,'12月数据源'!$D:$D,$E143,'12月数据源'!$F:$F,"浙江精准学科技有限公司")+SUMIFS('12月数据源'!$J:$J,'12月数据源'!$D:$D,$E143,'12月数据源'!$F:$F,"浙江精准学科技有限公司")</f>
        <v/>
      </c>
    </row>
    <row r="144" s="83">
      <c r="A144" s="5" t="inlineStr">
        <is>
          <t>管理费用</t>
        </is>
      </c>
      <c r="B144" s="6" t="inlineStr">
        <is>
          <t>办公场地使用费</t>
        </is>
      </c>
      <c r="D144" s="5" t="inlineStr">
        <is>
          <t>其他办公场地物业水电费</t>
        </is>
      </c>
      <c r="E144" s="6" t="inlineStr">
        <is>
          <t>Q2708</t>
        </is>
      </c>
      <c r="F144" s="89">
        <f>-SUMIFS('1月数据源'!I:I,'1月数据源'!D:D,E144,'1月数据源'!F:F,"浙江精准学科技有限公司")+SUMIFS('1月数据源'!J:J,'1月数据源'!D:D,E144,'1月数据源'!F:F,"浙江精准学科技有限公司")</f>
        <v/>
      </c>
      <c r="G144" s="89">
        <f>-SUMIFS('2月数据源'!I:I,'2月数据源'!D:D,E144,'2月数据源'!F:F,"浙江精准学科技有限公司")+SUMIFS('2月数据源'!J:J,'2月数据源'!D:D,E144,'2月数据源'!F:F,"浙江精准学科技有限公司")</f>
        <v/>
      </c>
      <c r="H144" s="89">
        <f>-SUMIFS('3月数据源'!I:I,'3月数据源'!D:D,E144,'3月数据源'!F:F,"浙江精准学科技有限公司")+SUMIFS('3月数据源'!J:J,'3月数据源'!D:D,E144,'3月数据源'!F:F,"浙江精准学科技有限公司")</f>
        <v/>
      </c>
      <c r="I144" s="89">
        <f>-SUMIFS('4月数据源'!I:I,'4月数据源'!D:D,E144,'4月数据源'!F:F,"浙江精准学科技有限公司")+SUMIFS('4月数据源'!J:J,'4月数据源'!D:D,E144,'4月数据源'!F:F,"浙江精准学科技有限公司")</f>
        <v/>
      </c>
      <c r="J144" s="89">
        <f>-SUMIFS('5月数据源'!I:I,'5月数据源'!D:D,E144,'5月数据源'!F:F,"浙江精准学科技有限公司")+SUMIFS('5月数据源'!J:J,'5月数据源'!D:D,E144,'5月数据源'!F:F,"浙江精准学科技有限公司")</f>
        <v/>
      </c>
      <c r="K144" s="89">
        <f>-SUMIFS('6月数据源'!$I:$I,'6月数据源'!$D:$D,$E144,'6月数据源'!$F:$F,"浙江精准学科技有限公司")+SUMIFS('6月数据源'!$J:$J,'6月数据源'!$D:$D,$E144,'6月数据源'!$F:$F,"浙江精准学科技有限公司")</f>
        <v/>
      </c>
      <c r="L144" s="89">
        <f>-SUMIFS('7月数据源'!$I:$I,'7月数据源'!$D:$D,$E144,'7月数据源'!$F:$F,"浙江精准学科技有限公司")+SUMIFS('7月数据源'!$J:$J,'7月数据源'!$D:$D,$E144,'7月数据源'!$F:$F,"浙江精准学科技有限公司")</f>
        <v/>
      </c>
      <c r="M144" s="89">
        <f>-SUMIFS('8月数据源'!$I:$I,'8月数据源'!$D:$D,$E144,'8月数据源'!$F:$F,"浙江精准学科技有限公司")+SUMIFS('8月数据源'!$J:$J,'8月数据源'!$D:$D,$E144,'8月数据源'!$F:$F,"浙江精准学科技有限公司")</f>
        <v/>
      </c>
      <c r="N144" s="89">
        <f>-SUMIFS('9月数据源'!$I:$I,'9月数据源'!$D:$D,$E144,'9月数据源'!$F:$F,"浙江精准学科技有限公司")+SUMIFS('9月数据源'!$J:$J,'9月数据源'!$D:$D,$E144,'9月数据源'!$F:$F,"浙江精准学科技有限公司")</f>
        <v/>
      </c>
      <c r="O144" s="89">
        <f>-SUMIFS('10月数据源'!$I:$I,'10月数据源'!$D:$D,$E144,'10月数据源'!$F:$F,"浙江精准学科技有限公司")+SUMIFS('10月数据源'!$J:$J,'10月数据源'!$D:$D,$E144,'10月数据源'!$F:$F,"浙江精准学科技有限公司")</f>
        <v/>
      </c>
      <c r="P144" s="89">
        <f>-SUMIFS('11月数据源'!$I:$I,'11月数据源'!$D:$D,$E144,'11月数据源'!$F:$F,"浙江精准学科技有限公司")+SUMIFS('11月数据源'!$J:$J,'11月数据源'!$D:$D,$E144,'11月数据源'!$F:$F,"浙江精准学科技有限公司")</f>
        <v/>
      </c>
      <c r="Q144" s="89">
        <f>-SUMIFS('12月数据源'!$I:$I,'12月数据源'!$D:$D,$E144,'12月数据源'!$F:$F,"浙江精准学科技有限公司")+SUMIFS('12月数据源'!$J:$J,'12月数据源'!$D:$D,$E144,'12月数据源'!$F:$F,"浙江精准学科技有限公司")</f>
        <v/>
      </c>
    </row>
    <row r="145" s="83">
      <c r="A145" s="5" t="inlineStr">
        <is>
          <t>管理费用</t>
        </is>
      </c>
      <c r="B145" s="6" t="inlineStr">
        <is>
          <t>办公场地使用费</t>
        </is>
      </c>
      <c r="D145" s="5" t="inlineStr">
        <is>
          <t>押金</t>
        </is>
      </c>
      <c r="E145" s="6" t="inlineStr">
        <is>
          <t>Q2707</t>
        </is>
      </c>
      <c r="F145" s="89">
        <f>-SUMIFS('1月数据源'!I:I,'1月数据源'!D:D,E145,'1月数据源'!F:F,"浙江精准学科技有限公司")+SUMIFS('1月数据源'!J:J,'1月数据源'!D:D,E145,'1月数据源'!F:F,"浙江精准学科技有限公司")</f>
        <v/>
      </c>
      <c r="G145" s="89">
        <f>-SUMIFS('2月数据源'!I:I,'2月数据源'!D:D,E145,'2月数据源'!F:F,"浙江精准学科技有限公司")+SUMIFS('2月数据源'!J:J,'2月数据源'!D:D,E145,'2月数据源'!F:F,"浙江精准学科技有限公司")</f>
        <v/>
      </c>
      <c r="H145" s="89">
        <f>-SUMIFS('3月数据源'!I:I,'3月数据源'!D:D,E145,'3月数据源'!F:F,"浙江精准学科技有限公司")+SUMIFS('3月数据源'!J:J,'3月数据源'!D:D,E145,'3月数据源'!F:F,"浙江精准学科技有限公司")</f>
        <v/>
      </c>
      <c r="I145" s="89">
        <f>-SUMIFS('4月数据源'!I:I,'4月数据源'!D:D,E145,'4月数据源'!F:F,"浙江精准学科技有限公司")+SUMIFS('4月数据源'!J:J,'4月数据源'!D:D,E145,'4月数据源'!F:F,"浙江精准学科技有限公司")</f>
        <v/>
      </c>
      <c r="J145" s="89">
        <f>-SUMIFS('5月数据源'!I:I,'5月数据源'!D:D,E145,'5月数据源'!F:F,"浙江精准学科技有限公司")+SUMIFS('5月数据源'!J:J,'5月数据源'!D:D,E145,'5月数据源'!F:F,"浙江精准学科技有限公司")</f>
        <v/>
      </c>
      <c r="K145" s="89">
        <f>-SUMIFS('6月数据源'!$I:$I,'6月数据源'!$D:$D,$E145,'6月数据源'!$F:$F,"浙江精准学科技有限公司")+SUMIFS('6月数据源'!$J:$J,'6月数据源'!$D:$D,$E145,'6月数据源'!$F:$F,"浙江精准学科技有限公司")</f>
        <v/>
      </c>
      <c r="L145" s="89">
        <f>-SUMIFS('7月数据源'!$I:$I,'7月数据源'!$D:$D,$E145,'7月数据源'!$F:$F,"浙江精准学科技有限公司")+SUMIFS('7月数据源'!$J:$J,'7月数据源'!$D:$D,$E145,'7月数据源'!$F:$F,"浙江精准学科技有限公司")</f>
        <v/>
      </c>
      <c r="M145" s="89">
        <f>-SUMIFS('8月数据源'!$I:$I,'8月数据源'!$D:$D,$E145,'8月数据源'!$F:$F,"浙江精准学科技有限公司")+SUMIFS('8月数据源'!$J:$J,'8月数据源'!$D:$D,$E145,'8月数据源'!$F:$F,"浙江精准学科技有限公司")</f>
        <v/>
      </c>
      <c r="N145" s="89">
        <f>-SUMIFS('9月数据源'!$I:$I,'9月数据源'!$D:$D,$E145,'9月数据源'!$F:$F,"浙江精准学科技有限公司")+SUMIFS('9月数据源'!$J:$J,'9月数据源'!$D:$D,$E145,'9月数据源'!$F:$F,"浙江精准学科技有限公司")</f>
        <v/>
      </c>
      <c r="O145" s="89">
        <f>-SUMIFS('10月数据源'!$I:$I,'10月数据源'!$D:$D,$E145,'10月数据源'!$F:$F,"浙江精准学科技有限公司")+SUMIFS('10月数据源'!$J:$J,'10月数据源'!$D:$D,$E145,'10月数据源'!$F:$F,"浙江精准学科技有限公司")</f>
        <v/>
      </c>
      <c r="P145" s="89">
        <f>-SUMIFS('11月数据源'!$I:$I,'11月数据源'!$D:$D,$E145,'11月数据源'!$F:$F,"浙江精准学科技有限公司")+SUMIFS('11月数据源'!$J:$J,'11月数据源'!$D:$D,$E145,'11月数据源'!$F:$F,"浙江精准学科技有限公司")</f>
        <v/>
      </c>
      <c r="Q145" s="89">
        <f>-SUMIFS('12月数据源'!$I:$I,'12月数据源'!$D:$D,$E145,'12月数据源'!$F:$F,"浙江精准学科技有限公司")+SUMIFS('12月数据源'!$J:$J,'12月数据源'!$D:$D,$E145,'12月数据源'!$F:$F,"浙江精准学科技有限公司")</f>
        <v/>
      </c>
    </row>
    <row r="146" s="83">
      <c r="A146" s="5" t="inlineStr">
        <is>
          <t>管理费用</t>
        </is>
      </c>
      <c r="B146" s="6" t="inlineStr">
        <is>
          <t>服务费</t>
        </is>
      </c>
      <c r="C146" s="6" t="inlineStr">
        <is>
          <t>服务费</t>
        </is>
      </c>
      <c r="D146" s="5" t="inlineStr">
        <is>
          <t>律师费</t>
        </is>
      </c>
      <c r="E146" s="6" t="inlineStr">
        <is>
          <t>Q2801</t>
        </is>
      </c>
      <c r="F146" s="89">
        <f>-SUMIFS('1月数据源'!I:I,'1月数据源'!D:D,E146,'1月数据源'!F:F,"浙江精准学科技有限公司")+SUMIFS('1月数据源'!J:J,'1月数据源'!D:D,E146,'1月数据源'!F:F,"浙江精准学科技有限公司")</f>
        <v/>
      </c>
      <c r="G146" s="89">
        <f>-SUMIFS('2月数据源'!I:I,'2月数据源'!D:D,E146,'2月数据源'!F:F,"浙江精准学科技有限公司")+SUMIFS('2月数据源'!J:J,'2月数据源'!D:D,E146,'2月数据源'!F:F,"浙江精准学科技有限公司")</f>
        <v/>
      </c>
      <c r="H146" s="89">
        <f>-SUMIFS('3月数据源'!I:I,'3月数据源'!D:D,E146,'3月数据源'!F:F,"浙江精准学科技有限公司")+SUMIFS('3月数据源'!J:J,'3月数据源'!D:D,E146,'3月数据源'!F:F,"浙江精准学科技有限公司")</f>
        <v/>
      </c>
      <c r="I146" s="89">
        <f>-SUMIFS('4月数据源'!I:I,'4月数据源'!D:D,E146,'4月数据源'!F:F,"浙江精准学科技有限公司")+SUMIFS('4月数据源'!J:J,'4月数据源'!D:D,E146,'4月数据源'!F:F,"浙江精准学科技有限公司")</f>
        <v/>
      </c>
      <c r="J146" s="89">
        <f>-SUMIFS('5月数据源'!I:I,'5月数据源'!D:D,E146,'5月数据源'!F:F,"浙江精准学科技有限公司")+SUMIFS('5月数据源'!J:J,'5月数据源'!D:D,E146,'5月数据源'!F:F,"浙江精准学科技有限公司")</f>
        <v/>
      </c>
      <c r="K146" s="89">
        <f>-SUMIFS('6月数据源'!$I:$I,'6月数据源'!$D:$D,$E146,'6月数据源'!$F:$F,"浙江精准学科技有限公司")+SUMIFS('6月数据源'!$J:$J,'6月数据源'!$D:$D,$E146,'6月数据源'!$F:$F,"浙江精准学科技有限公司")</f>
        <v/>
      </c>
      <c r="L146" s="89">
        <f>-SUMIFS('7月数据源'!$I:$I,'7月数据源'!$D:$D,$E146,'7月数据源'!$F:$F,"浙江精准学科技有限公司")+SUMIFS('7月数据源'!$J:$J,'7月数据源'!$D:$D,$E146,'7月数据源'!$F:$F,"浙江精准学科技有限公司")</f>
        <v/>
      </c>
      <c r="M146" s="89">
        <f>-SUMIFS('8月数据源'!$I:$I,'8月数据源'!$D:$D,$E146,'8月数据源'!$F:$F,"浙江精准学科技有限公司")+SUMIFS('8月数据源'!$J:$J,'8月数据源'!$D:$D,$E146,'8月数据源'!$F:$F,"浙江精准学科技有限公司")</f>
        <v/>
      </c>
      <c r="N146" s="89">
        <f>-SUMIFS('9月数据源'!$I:$I,'9月数据源'!$D:$D,$E146,'9月数据源'!$F:$F,"浙江精准学科技有限公司")+SUMIFS('9月数据源'!$J:$J,'9月数据源'!$D:$D,$E146,'9月数据源'!$F:$F,"浙江精准学科技有限公司")</f>
        <v/>
      </c>
      <c r="O146" s="89">
        <f>-SUMIFS('10月数据源'!$I:$I,'10月数据源'!$D:$D,$E146,'10月数据源'!$F:$F,"浙江精准学科技有限公司")+SUMIFS('10月数据源'!$J:$J,'10月数据源'!$D:$D,$E146,'10月数据源'!$F:$F,"浙江精准学科技有限公司")</f>
        <v/>
      </c>
      <c r="P146" s="89">
        <f>-SUMIFS('11月数据源'!$I:$I,'11月数据源'!$D:$D,$E146,'11月数据源'!$F:$F,"浙江精准学科技有限公司")+SUMIFS('11月数据源'!$J:$J,'11月数据源'!$D:$D,$E146,'11月数据源'!$F:$F,"浙江精准学科技有限公司")</f>
        <v/>
      </c>
      <c r="Q146" s="89">
        <f>-SUMIFS('12月数据源'!$I:$I,'12月数据源'!$D:$D,$E146,'12月数据源'!$F:$F,"浙江精准学科技有限公司")+SUMIFS('12月数据源'!$J:$J,'12月数据源'!$D:$D,$E146,'12月数据源'!$F:$F,"浙江精准学科技有限公司")</f>
        <v/>
      </c>
    </row>
    <row r="147" s="83">
      <c r="A147" s="5" t="inlineStr">
        <is>
          <t>管理费用</t>
        </is>
      </c>
      <c r="B147" s="6" t="inlineStr">
        <is>
          <t>服务费</t>
        </is>
      </c>
      <c r="D147" s="5" t="inlineStr">
        <is>
          <t>中介代理费用</t>
        </is>
      </c>
      <c r="E147" s="6" t="inlineStr">
        <is>
          <t>Q2802</t>
        </is>
      </c>
      <c r="F147" s="89">
        <f>-SUMIFS('1月数据源'!I:I,'1月数据源'!D:D,E147,'1月数据源'!F:F,"浙江精准学科技有限公司")+SUMIFS('1月数据源'!J:J,'1月数据源'!D:D,E147,'1月数据源'!F:F,"浙江精准学科技有限公司")</f>
        <v/>
      </c>
      <c r="G147" s="89">
        <f>-SUMIFS('2月数据源'!I:I,'2月数据源'!D:D,E147,'2月数据源'!F:F,"浙江精准学科技有限公司")+SUMIFS('2月数据源'!J:J,'2月数据源'!D:D,E147,'2月数据源'!F:F,"浙江精准学科技有限公司")</f>
        <v/>
      </c>
      <c r="H147" s="89">
        <f>-SUMIFS('3月数据源'!I:I,'3月数据源'!D:D,E147,'3月数据源'!F:F,"浙江精准学科技有限公司")+SUMIFS('3月数据源'!J:J,'3月数据源'!D:D,E147,'3月数据源'!F:F,"浙江精准学科技有限公司")</f>
        <v/>
      </c>
      <c r="I147" s="89">
        <f>-SUMIFS('4月数据源'!I:I,'4月数据源'!D:D,E147,'4月数据源'!F:F,"浙江精准学科技有限公司")+SUMIFS('4月数据源'!J:J,'4月数据源'!D:D,E147,'4月数据源'!F:F,"浙江精准学科技有限公司")</f>
        <v/>
      </c>
      <c r="J147" s="89">
        <f>-SUMIFS('5月数据源'!I:I,'5月数据源'!D:D,E147,'5月数据源'!F:F,"浙江精准学科技有限公司")+SUMIFS('5月数据源'!J:J,'5月数据源'!D:D,E147,'5月数据源'!F:F,"浙江精准学科技有限公司")</f>
        <v/>
      </c>
      <c r="K147" s="89">
        <f>-SUMIFS('6月数据源'!$I:$I,'6月数据源'!$D:$D,$E147,'6月数据源'!$F:$F,"浙江精准学科技有限公司")+SUMIFS('6月数据源'!$J:$J,'6月数据源'!$D:$D,$E147,'6月数据源'!$F:$F,"浙江精准学科技有限公司")</f>
        <v/>
      </c>
      <c r="L147" s="89">
        <f>-SUMIFS('7月数据源'!$I:$I,'7月数据源'!$D:$D,$E147,'7月数据源'!$F:$F,"浙江精准学科技有限公司")+SUMIFS('7月数据源'!$J:$J,'7月数据源'!$D:$D,$E147,'7月数据源'!$F:$F,"浙江精准学科技有限公司")</f>
        <v/>
      </c>
      <c r="M147" s="89">
        <f>-SUMIFS('8月数据源'!$I:$I,'8月数据源'!$D:$D,$E147,'8月数据源'!$F:$F,"浙江精准学科技有限公司")+SUMIFS('8月数据源'!$J:$J,'8月数据源'!$D:$D,$E147,'8月数据源'!$F:$F,"浙江精准学科技有限公司")</f>
        <v/>
      </c>
      <c r="N147" s="89">
        <f>-SUMIFS('9月数据源'!$I:$I,'9月数据源'!$D:$D,$E147,'9月数据源'!$F:$F,"浙江精准学科技有限公司")+SUMIFS('9月数据源'!$J:$J,'9月数据源'!$D:$D,$E147,'9月数据源'!$F:$F,"浙江精准学科技有限公司")</f>
        <v/>
      </c>
      <c r="O147" s="89">
        <f>-SUMIFS('10月数据源'!$I:$I,'10月数据源'!$D:$D,$E147,'10月数据源'!$F:$F,"浙江精准学科技有限公司")+SUMIFS('10月数据源'!$J:$J,'10月数据源'!$D:$D,$E147,'10月数据源'!$F:$F,"浙江精准学科技有限公司")</f>
        <v/>
      </c>
      <c r="P147" s="89">
        <f>-SUMIFS('11月数据源'!$I:$I,'11月数据源'!$D:$D,$E147,'11月数据源'!$F:$F,"浙江精准学科技有限公司")+SUMIFS('11月数据源'!$J:$J,'11月数据源'!$D:$D,$E147,'11月数据源'!$F:$F,"浙江精准学科技有限公司")</f>
        <v/>
      </c>
      <c r="Q147" s="89">
        <f>-SUMIFS('12月数据源'!$I:$I,'12月数据源'!$D:$D,$E147,'12月数据源'!$F:$F,"浙江精准学科技有限公司")+SUMIFS('12月数据源'!$J:$J,'12月数据源'!$D:$D,$E147,'12月数据源'!$F:$F,"浙江精准学科技有限公司")</f>
        <v/>
      </c>
    </row>
    <row r="148" s="83">
      <c r="A148" s="5" t="inlineStr">
        <is>
          <t>管理费用</t>
        </is>
      </c>
      <c r="B148" s="6" t="inlineStr">
        <is>
          <t>服务费</t>
        </is>
      </c>
      <c r="D148" s="5" t="inlineStr">
        <is>
          <t>财务咨询费</t>
        </is>
      </c>
      <c r="E148" s="6" t="inlineStr">
        <is>
          <t>Q2803</t>
        </is>
      </c>
      <c r="F148" s="89">
        <f>-SUMIFS('1月数据源'!I:I,'1月数据源'!D:D,E148,'1月数据源'!F:F,"浙江精准学科技有限公司")+SUMIFS('1月数据源'!J:J,'1月数据源'!D:D,E148,'1月数据源'!F:F,"浙江精准学科技有限公司")</f>
        <v/>
      </c>
      <c r="G148" s="89">
        <f>-SUMIFS('2月数据源'!I:I,'2月数据源'!D:D,E148,'2月数据源'!F:F,"浙江精准学科技有限公司")+SUMIFS('2月数据源'!J:J,'2月数据源'!D:D,E148,'2月数据源'!F:F,"浙江精准学科技有限公司")</f>
        <v/>
      </c>
      <c r="H148" s="89">
        <f>-SUMIFS('3月数据源'!I:I,'3月数据源'!D:D,E148,'3月数据源'!F:F,"浙江精准学科技有限公司")+SUMIFS('3月数据源'!J:J,'3月数据源'!D:D,E148,'3月数据源'!F:F,"浙江精准学科技有限公司")</f>
        <v/>
      </c>
      <c r="I148" s="89">
        <f>-SUMIFS('4月数据源'!I:I,'4月数据源'!D:D,E148,'4月数据源'!F:F,"浙江精准学科技有限公司")+SUMIFS('4月数据源'!J:J,'4月数据源'!D:D,E148,'4月数据源'!F:F,"浙江精准学科技有限公司")</f>
        <v/>
      </c>
      <c r="J148" s="89">
        <f>-SUMIFS('5月数据源'!I:I,'5月数据源'!D:D,E148,'5月数据源'!F:F,"浙江精准学科技有限公司")+SUMIFS('5月数据源'!J:J,'5月数据源'!D:D,E148,'5月数据源'!F:F,"浙江精准学科技有限公司")</f>
        <v/>
      </c>
      <c r="K148" s="89">
        <f>-SUMIFS('6月数据源'!$I:$I,'6月数据源'!$D:$D,$E148,'6月数据源'!$F:$F,"浙江精准学科技有限公司")+SUMIFS('6月数据源'!$J:$J,'6月数据源'!$D:$D,$E148,'6月数据源'!$F:$F,"浙江精准学科技有限公司")</f>
        <v/>
      </c>
      <c r="L148" s="89">
        <f>-SUMIFS('7月数据源'!$I:$I,'7月数据源'!$D:$D,$E148,'7月数据源'!$F:$F,"浙江精准学科技有限公司")+SUMIFS('7月数据源'!$J:$J,'7月数据源'!$D:$D,$E148,'7月数据源'!$F:$F,"浙江精准学科技有限公司")</f>
        <v/>
      </c>
      <c r="M148" s="89">
        <f>-SUMIFS('8月数据源'!$I:$I,'8月数据源'!$D:$D,$E148,'8月数据源'!$F:$F,"浙江精准学科技有限公司")+SUMIFS('8月数据源'!$J:$J,'8月数据源'!$D:$D,$E148,'8月数据源'!$F:$F,"浙江精准学科技有限公司")</f>
        <v/>
      </c>
      <c r="N148" s="89">
        <f>-SUMIFS('9月数据源'!$I:$I,'9月数据源'!$D:$D,$E148,'9月数据源'!$F:$F,"浙江精准学科技有限公司")+SUMIFS('9月数据源'!$J:$J,'9月数据源'!$D:$D,$E148,'9月数据源'!$F:$F,"浙江精准学科技有限公司")</f>
        <v/>
      </c>
      <c r="O148" s="89">
        <f>-SUMIFS('10月数据源'!$I:$I,'10月数据源'!$D:$D,$E148,'10月数据源'!$F:$F,"浙江精准学科技有限公司")+SUMIFS('10月数据源'!$J:$J,'10月数据源'!$D:$D,$E148,'10月数据源'!$F:$F,"浙江精准学科技有限公司")</f>
        <v/>
      </c>
      <c r="P148" s="89">
        <f>-SUMIFS('11月数据源'!$I:$I,'11月数据源'!$D:$D,$E148,'11月数据源'!$F:$F,"浙江精准学科技有限公司")+SUMIFS('11月数据源'!$J:$J,'11月数据源'!$D:$D,$E148,'11月数据源'!$F:$F,"浙江精准学科技有限公司")</f>
        <v/>
      </c>
      <c r="Q148" s="89">
        <f>-SUMIFS('12月数据源'!$I:$I,'12月数据源'!$D:$D,$E148,'12月数据源'!$F:$F,"浙江精准学科技有限公司")+SUMIFS('12月数据源'!$J:$J,'12月数据源'!$D:$D,$E148,'12月数据源'!$F:$F,"浙江精准学科技有限公司")</f>
        <v/>
      </c>
    </row>
    <row r="149" s="83">
      <c r="A149" s="5" t="inlineStr">
        <is>
          <t>管理费用</t>
        </is>
      </c>
      <c r="B149" s="6" t="inlineStr">
        <is>
          <t>服务费</t>
        </is>
      </c>
      <c r="D149" s="5" t="inlineStr">
        <is>
          <t>审计费</t>
        </is>
      </c>
      <c r="E149" s="6" t="inlineStr">
        <is>
          <t>Q2804</t>
        </is>
      </c>
      <c r="F149" s="89">
        <f>-SUMIFS('1月数据源'!I:I,'1月数据源'!D:D,E149,'1月数据源'!F:F,"浙江精准学科技有限公司")+SUMIFS('1月数据源'!J:J,'1月数据源'!D:D,E149,'1月数据源'!F:F,"浙江精准学科技有限公司")</f>
        <v/>
      </c>
      <c r="G149" s="89">
        <f>-SUMIFS('2月数据源'!I:I,'2月数据源'!D:D,E149,'2月数据源'!F:F,"浙江精准学科技有限公司")+SUMIFS('2月数据源'!J:J,'2月数据源'!D:D,E149,'2月数据源'!F:F,"浙江精准学科技有限公司")</f>
        <v/>
      </c>
      <c r="H149" s="89">
        <f>-SUMIFS('3月数据源'!I:I,'3月数据源'!D:D,E149,'3月数据源'!F:F,"浙江精准学科技有限公司")+SUMIFS('3月数据源'!J:J,'3月数据源'!D:D,E149,'3月数据源'!F:F,"浙江精准学科技有限公司")</f>
        <v/>
      </c>
      <c r="I149" s="89">
        <f>-SUMIFS('4月数据源'!I:I,'4月数据源'!D:D,E149,'4月数据源'!F:F,"浙江精准学科技有限公司")+SUMIFS('4月数据源'!J:J,'4月数据源'!D:D,E149,'4月数据源'!F:F,"浙江精准学科技有限公司")</f>
        <v/>
      </c>
      <c r="J149" s="89">
        <f>-SUMIFS('5月数据源'!I:I,'5月数据源'!D:D,E149,'5月数据源'!F:F,"浙江精准学科技有限公司")+SUMIFS('5月数据源'!J:J,'5月数据源'!D:D,E149,'5月数据源'!F:F,"浙江精准学科技有限公司")</f>
        <v/>
      </c>
      <c r="K149" s="89">
        <f>-SUMIFS('6月数据源'!$I:$I,'6月数据源'!$D:$D,$E149,'6月数据源'!$F:$F,"浙江精准学科技有限公司")+SUMIFS('6月数据源'!$J:$J,'6月数据源'!$D:$D,$E149,'6月数据源'!$F:$F,"浙江精准学科技有限公司")</f>
        <v/>
      </c>
      <c r="L149" s="89">
        <f>-SUMIFS('7月数据源'!$I:$I,'7月数据源'!$D:$D,$E149,'7月数据源'!$F:$F,"浙江精准学科技有限公司")+SUMIFS('7月数据源'!$J:$J,'7月数据源'!$D:$D,$E149,'7月数据源'!$F:$F,"浙江精准学科技有限公司")</f>
        <v/>
      </c>
      <c r="M149" s="89">
        <f>-SUMIFS('8月数据源'!$I:$I,'8月数据源'!$D:$D,$E149,'8月数据源'!$F:$F,"浙江精准学科技有限公司")+SUMIFS('8月数据源'!$J:$J,'8月数据源'!$D:$D,$E149,'8月数据源'!$F:$F,"浙江精准学科技有限公司")</f>
        <v/>
      </c>
      <c r="N149" s="89">
        <f>-SUMIFS('9月数据源'!$I:$I,'9月数据源'!$D:$D,$E149,'9月数据源'!$F:$F,"浙江精准学科技有限公司")+SUMIFS('9月数据源'!$J:$J,'9月数据源'!$D:$D,$E149,'9月数据源'!$F:$F,"浙江精准学科技有限公司")</f>
        <v/>
      </c>
      <c r="O149" s="89">
        <f>-SUMIFS('10月数据源'!$I:$I,'10月数据源'!$D:$D,$E149,'10月数据源'!$F:$F,"浙江精准学科技有限公司")+SUMIFS('10月数据源'!$J:$J,'10月数据源'!$D:$D,$E149,'10月数据源'!$F:$F,"浙江精准学科技有限公司")</f>
        <v/>
      </c>
      <c r="P149" s="89">
        <f>-SUMIFS('11月数据源'!$I:$I,'11月数据源'!$D:$D,$E149,'11月数据源'!$F:$F,"浙江精准学科技有限公司")+SUMIFS('11月数据源'!$J:$J,'11月数据源'!$D:$D,$E149,'11月数据源'!$F:$F,"浙江精准学科技有限公司")</f>
        <v/>
      </c>
      <c r="Q149" s="89">
        <f>-SUMIFS('12月数据源'!$I:$I,'12月数据源'!$D:$D,$E149,'12月数据源'!$F:$F,"浙江精准学科技有限公司")+SUMIFS('12月数据源'!$J:$J,'12月数据源'!$D:$D,$E149,'12月数据源'!$F:$F,"浙江精准学科技有限公司")</f>
        <v/>
      </c>
    </row>
    <row r="150" s="83">
      <c r="A150" s="5" t="inlineStr">
        <is>
          <t>管理费用</t>
        </is>
      </c>
      <c r="B150" s="6" t="inlineStr">
        <is>
          <t>服务费</t>
        </is>
      </c>
      <c r="D150" s="5" t="inlineStr">
        <is>
          <t>招聘费用</t>
        </is>
      </c>
      <c r="E150" s="6" t="inlineStr">
        <is>
          <t>Q2805</t>
        </is>
      </c>
      <c r="F150" s="89">
        <f>-SUMIFS('1月数据源'!I:I,'1月数据源'!D:D,E150,'1月数据源'!F:F,"浙江精准学科技有限公司")+SUMIFS('1月数据源'!J:J,'1月数据源'!D:D,E150,'1月数据源'!F:F,"浙江精准学科技有限公司")</f>
        <v/>
      </c>
      <c r="G150" s="89">
        <f>-SUMIFS('2月数据源'!I:I,'2月数据源'!D:D,E150,'2月数据源'!F:F,"浙江精准学科技有限公司")+SUMIFS('2月数据源'!J:J,'2月数据源'!D:D,E150,'2月数据源'!F:F,"浙江精准学科技有限公司")</f>
        <v/>
      </c>
      <c r="H150" s="89">
        <f>-SUMIFS('3月数据源'!I:I,'3月数据源'!D:D,E150,'3月数据源'!F:F,"浙江精准学科技有限公司")+SUMIFS('3月数据源'!J:J,'3月数据源'!D:D,E150,'3月数据源'!F:F,"浙江精准学科技有限公司")</f>
        <v/>
      </c>
      <c r="I150" s="89">
        <f>-SUMIFS('4月数据源'!I:I,'4月数据源'!D:D,E150,'4月数据源'!F:F,"浙江精准学科技有限公司")+SUMIFS('4月数据源'!J:J,'4月数据源'!D:D,E150,'4月数据源'!F:F,"浙江精准学科技有限公司")</f>
        <v/>
      </c>
      <c r="J150" s="89">
        <f>-SUMIFS('5月数据源'!I:I,'5月数据源'!D:D,E150,'5月数据源'!F:F,"浙江精准学科技有限公司")+SUMIFS('5月数据源'!J:J,'5月数据源'!D:D,E150,'5月数据源'!F:F,"浙江精准学科技有限公司")</f>
        <v/>
      </c>
      <c r="K150" s="89">
        <f>-SUMIFS('6月数据源'!$I:$I,'6月数据源'!$D:$D,$E150,'6月数据源'!$F:$F,"浙江精准学科技有限公司")+SUMIFS('6月数据源'!$J:$J,'6月数据源'!$D:$D,$E150,'6月数据源'!$F:$F,"浙江精准学科技有限公司")</f>
        <v/>
      </c>
      <c r="L150" s="89">
        <f>-SUMIFS('7月数据源'!$I:$I,'7月数据源'!$D:$D,$E150,'7月数据源'!$F:$F,"浙江精准学科技有限公司")+SUMIFS('7月数据源'!$J:$J,'7月数据源'!$D:$D,$E150,'7月数据源'!$F:$F,"浙江精准学科技有限公司")</f>
        <v/>
      </c>
      <c r="M150" s="89">
        <f>-SUMIFS('8月数据源'!$I:$I,'8月数据源'!$D:$D,$E150,'8月数据源'!$F:$F,"浙江精准学科技有限公司")+SUMIFS('8月数据源'!$J:$J,'8月数据源'!$D:$D,$E150,'8月数据源'!$F:$F,"浙江精准学科技有限公司")</f>
        <v/>
      </c>
      <c r="N150" s="89">
        <f>-SUMIFS('9月数据源'!$I:$I,'9月数据源'!$D:$D,$E150,'9月数据源'!$F:$F,"浙江精准学科技有限公司")+SUMIFS('9月数据源'!$J:$J,'9月数据源'!$D:$D,$E150,'9月数据源'!$F:$F,"浙江精准学科技有限公司")</f>
        <v/>
      </c>
      <c r="O150" s="89">
        <f>-SUMIFS('10月数据源'!$I:$I,'10月数据源'!$D:$D,$E150,'10月数据源'!$F:$F,"浙江精准学科技有限公司")+SUMIFS('10月数据源'!$J:$J,'10月数据源'!$D:$D,$E150,'10月数据源'!$F:$F,"浙江精准学科技有限公司")</f>
        <v/>
      </c>
      <c r="P150" s="89">
        <f>-SUMIFS('11月数据源'!$I:$I,'11月数据源'!$D:$D,$E150,'11月数据源'!$F:$F,"浙江精准学科技有限公司")+SUMIFS('11月数据源'!$J:$J,'11月数据源'!$D:$D,$E150,'11月数据源'!$F:$F,"浙江精准学科技有限公司")</f>
        <v/>
      </c>
      <c r="Q150" s="89">
        <f>-SUMIFS('12月数据源'!$I:$I,'12月数据源'!$D:$D,$E150,'12月数据源'!$F:$F,"浙江精准学科技有限公司")+SUMIFS('12月数据源'!$J:$J,'12月数据源'!$D:$D,$E150,'12月数据源'!$F:$F,"浙江精准学科技有限公司")</f>
        <v/>
      </c>
    </row>
    <row r="151" s="83">
      <c r="A151" s="5" t="inlineStr">
        <is>
          <t>管理费用</t>
        </is>
      </c>
      <c r="B151" s="6" t="inlineStr">
        <is>
          <t>服务费</t>
        </is>
      </c>
      <c r="D151" s="5" t="inlineStr">
        <is>
          <t>软件服务费</t>
        </is>
      </c>
      <c r="E151" s="6" t="inlineStr">
        <is>
          <t>Q2807</t>
        </is>
      </c>
      <c r="F151" s="89">
        <f>-SUMIFS('1月数据源'!I:I,'1月数据源'!D:D,E151,'1月数据源'!F:F,"浙江精准学科技有限公司")+SUMIFS('1月数据源'!J:J,'1月数据源'!D:D,E151,'1月数据源'!F:F,"浙江精准学科技有限公司")</f>
        <v/>
      </c>
      <c r="G151" s="89">
        <f>-SUMIFS('2月数据源'!I:I,'2月数据源'!D:D,E151,'2月数据源'!F:F,"浙江精准学科技有限公司")+SUMIFS('2月数据源'!J:J,'2月数据源'!D:D,E151,'2月数据源'!F:F,"浙江精准学科技有限公司")</f>
        <v/>
      </c>
      <c r="H151" s="89">
        <f>-SUMIFS('3月数据源'!I:I,'3月数据源'!D:D,E151,'3月数据源'!F:F,"浙江精准学科技有限公司")+SUMIFS('3月数据源'!J:J,'3月数据源'!D:D,E151,'3月数据源'!F:F,"浙江精准学科技有限公司")</f>
        <v/>
      </c>
      <c r="I151" s="89">
        <f>-SUMIFS('4月数据源'!I:I,'4月数据源'!D:D,E151,'4月数据源'!F:F,"浙江精准学科技有限公司")+SUMIFS('4月数据源'!J:J,'4月数据源'!D:D,E151,'4月数据源'!F:F,"浙江精准学科技有限公司")</f>
        <v/>
      </c>
      <c r="J151" s="89">
        <f>-SUMIFS('5月数据源'!I:I,'5月数据源'!D:D,E151,'5月数据源'!F:F,"浙江精准学科技有限公司")+SUMIFS('5月数据源'!J:J,'5月数据源'!D:D,E151,'5月数据源'!F:F,"浙江精准学科技有限公司")</f>
        <v/>
      </c>
      <c r="K151" s="89">
        <f>-SUMIFS('6月数据源'!$I:$I,'6月数据源'!$D:$D,$E151,'6月数据源'!$F:$F,"浙江精准学科技有限公司")+SUMIFS('6月数据源'!$J:$J,'6月数据源'!$D:$D,$E151,'6月数据源'!$F:$F,"浙江精准学科技有限公司")</f>
        <v/>
      </c>
      <c r="L151" s="89">
        <f>-SUMIFS('7月数据源'!$I:$I,'7月数据源'!$D:$D,$E151,'7月数据源'!$F:$F,"浙江精准学科技有限公司")+SUMIFS('7月数据源'!$J:$J,'7月数据源'!$D:$D,$E151,'7月数据源'!$F:$F,"浙江精准学科技有限公司")</f>
        <v/>
      </c>
      <c r="M151" s="89">
        <f>-SUMIFS('8月数据源'!$I:$I,'8月数据源'!$D:$D,$E151,'8月数据源'!$F:$F,"浙江精准学科技有限公司")+SUMIFS('8月数据源'!$J:$J,'8月数据源'!$D:$D,$E151,'8月数据源'!$F:$F,"浙江精准学科技有限公司")</f>
        <v/>
      </c>
      <c r="N151" s="89">
        <f>-SUMIFS('9月数据源'!$I:$I,'9月数据源'!$D:$D,$E151,'9月数据源'!$F:$F,"浙江精准学科技有限公司")+SUMIFS('9月数据源'!$J:$J,'9月数据源'!$D:$D,$E151,'9月数据源'!$F:$F,"浙江精准学科技有限公司")</f>
        <v/>
      </c>
      <c r="O151" s="89">
        <f>-SUMIFS('10月数据源'!$I:$I,'10月数据源'!$D:$D,$E151,'10月数据源'!$F:$F,"浙江精准学科技有限公司")+SUMIFS('10月数据源'!$J:$J,'10月数据源'!$D:$D,$E151,'10月数据源'!$F:$F,"浙江精准学科技有限公司")</f>
        <v/>
      </c>
      <c r="P151" s="89">
        <f>-SUMIFS('11月数据源'!$I:$I,'11月数据源'!$D:$D,$E151,'11月数据源'!$F:$F,"浙江精准学科技有限公司")+SUMIFS('11月数据源'!$J:$J,'11月数据源'!$D:$D,$E151,'11月数据源'!$F:$F,"浙江精准学科技有限公司")</f>
        <v/>
      </c>
      <c r="Q151" s="89">
        <f>-SUMIFS('12月数据源'!$I:$I,'12月数据源'!$D:$D,$E151,'12月数据源'!$F:$F,"浙江精准学科技有限公司")+SUMIFS('12月数据源'!$J:$J,'12月数据源'!$D:$D,$E151,'12月数据源'!$F:$F,"浙江精准学科技有限公司")</f>
        <v/>
      </c>
    </row>
    <row r="152" s="83">
      <c r="A152" s="5" t="inlineStr">
        <is>
          <t>管理费用</t>
        </is>
      </c>
      <c r="B152" s="6" t="inlineStr">
        <is>
          <t>服务费</t>
        </is>
      </c>
      <c r="D152" s="5" t="inlineStr">
        <is>
          <t>其他服务费</t>
        </is>
      </c>
      <c r="E152" s="6" t="inlineStr">
        <is>
          <t>Q2806</t>
        </is>
      </c>
      <c r="F152" s="89">
        <f>-SUMIFS('1月数据源'!I:I,'1月数据源'!D:D,E152,'1月数据源'!F:F,"浙江精准学科技有限公司")+SUMIFS('1月数据源'!J:J,'1月数据源'!D:D,E152,'1月数据源'!F:F,"浙江精准学科技有限公司")</f>
        <v/>
      </c>
      <c r="G152" s="89">
        <f>-SUMIFS('2月数据源'!I:I,'2月数据源'!D:D,E152,'2月数据源'!F:F,"浙江精准学科技有限公司")+SUMIFS('2月数据源'!J:J,'2月数据源'!D:D,E152,'2月数据源'!F:F,"浙江精准学科技有限公司")</f>
        <v/>
      </c>
      <c r="H152" s="89">
        <f>-SUMIFS('3月数据源'!I:I,'3月数据源'!D:D,E152,'3月数据源'!F:F,"浙江精准学科技有限公司")+SUMIFS('3月数据源'!J:J,'3月数据源'!D:D,E152,'3月数据源'!F:F,"浙江精准学科技有限公司")</f>
        <v/>
      </c>
      <c r="I152" s="89">
        <f>-SUMIFS('4月数据源'!I:I,'4月数据源'!D:D,E152,'4月数据源'!F:F,"浙江精准学科技有限公司")+SUMIFS('4月数据源'!J:J,'4月数据源'!D:D,E152,'4月数据源'!F:F,"浙江精准学科技有限公司")</f>
        <v/>
      </c>
      <c r="J152" s="89">
        <f>-SUMIFS('5月数据源'!I:I,'5月数据源'!D:D,E152,'5月数据源'!F:F,"浙江精准学科技有限公司")+SUMIFS('5月数据源'!J:J,'5月数据源'!D:D,E152,'5月数据源'!F:F,"浙江精准学科技有限公司")</f>
        <v/>
      </c>
      <c r="K152" s="89">
        <f>-SUMIFS('6月数据源'!$I:$I,'6月数据源'!$D:$D,$E152,'6月数据源'!$F:$F,"浙江精准学科技有限公司")+SUMIFS('6月数据源'!$J:$J,'6月数据源'!$D:$D,$E152,'6月数据源'!$F:$F,"浙江精准学科技有限公司")</f>
        <v/>
      </c>
      <c r="L152" s="89">
        <f>-SUMIFS('7月数据源'!$I:$I,'7月数据源'!$D:$D,$E152,'7月数据源'!$F:$F,"浙江精准学科技有限公司")+SUMIFS('7月数据源'!$J:$J,'7月数据源'!$D:$D,$E152,'7月数据源'!$F:$F,"浙江精准学科技有限公司")</f>
        <v/>
      </c>
      <c r="M152" s="89">
        <f>-SUMIFS('8月数据源'!$I:$I,'8月数据源'!$D:$D,$E152,'8月数据源'!$F:$F,"浙江精准学科技有限公司")+SUMIFS('8月数据源'!$J:$J,'8月数据源'!$D:$D,$E152,'8月数据源'!$F:$F,"浙江精准学科技有限公司")</f>
        <v/>
      </c>
      <c r="N152" s="89">
        <f>-SUMIFS('9月数据源'!$I:$I,'9月数据源'!$D:$D,$E152,'9月数据源'!$F:$F,"浙江精准学科技有限公司")+SUMIFS('9月数据源'!$J:$J,'9月数据源'!$D:$D,$E152,'9月数据源'!$F:$F,"浙江精准学科技有限公司")</f>
        <v/>
      </c>
      <c r="O152" s="89">
        <f>-SUMIFS('10月数据源'!$I:$I,'10月数据源'!$D:$D,$E152,'10月数据源'!$F:$F,"浙江精准学科技有限公司")+SUMIFS('10月数据源'!$J:$J,'10月数据源'!$D:$D,$E152,'10月数据源'!$F:$F,"浙江精准学科技有限公司")</f>
        <v/>
      </c>
      <c r="P152" s="89">
        <f>-SUMIFS('11月数据源'!$I:$I,'11月数据源'!$D:$D,$E152,'11月数据源'!$F:$F,"浙江精准学科技有限公司")+SUMIFS('11月数据源'!$J:$J,'11月数据源'!$D:$D,$E152,'11月数据源'!$F:$F,"浙江精准学科技有限公司")</f>
        <v/>
      </c>
      <c r="Q152" s="89">
        <f>-SUMIFS('12月数据源'!$I:$I,'12月数据源'!$D:$D,$E152,'12月数据源'!$F:$F,"浙江精准学科技有限公司")+SUMIFS('12月数据源'!$J:$J,'12月数据源'!$D:$D,$E152,'12月数据源'!$F:$F,"浙江精准学科技有限公司")</f>
        <v/>
      </c>
    </row>
    <row r="153" s="83">
      <c r="A153" s="5" t="inlineStr">
        <is>
          <t>管理费用</t>
        </is>
      </c>
      <c r="B153" s="6" t="inlineStr">
        <is>
          <t>办公费用</t>
        </is>
      </c>
      <c r="C153" s="6" t="inlineStr">
        <is>
          <t>办公费用</t>
        </is>
      </c>
      <c r="D153" s="5" t="inlineStr">
        <is>
          <t>固定资产采购</t>
        </is>
      </c>
      <c r="E153" s="6" t="inlineStr">
        <is>
          <t>Q2901</t>
        </is>
      </c>
      <c r="F153" s="89">
        <f>-SUMIFS('1月数据源'!I:I,'1月数据源'!D:D,E153,'1月数据源'!F:F,"浙江精准学科技有限公司")+SUMIFS('1月数据源'!J:J,'1月数据源'!D:D,E153,'1月数据源'!F:F,"浙江精准学科技有限公司")</f>
        <v/>
      </c>
      <c r="G153" s="89">
        <f>-SUMIFS('2月数据源'!I:I,'2月数据源'!D:D,E153,'2月数据源'!F:F,"浙江精准学科技有限公司")+SUMIFS('2月数据源'!J:J,'2月数据源'!D:D,E153,'2月数据源'!F:F,"浙江精准学科技有限公司")</f>
        <v/>
      </c>
      <c r="H153" s="89">
        <f>-SUMIFS('3月数据源'!I:I,'3月数据源'!D:D,E153,'3月数据源'!F:F,"浙江精准学科技有限公司")+SUMIFS('3月数据源'!J:J,'3月数据源'!D:D,E153,'3月数据源'!F:F,"浙江精准学科技有限公司")</f>
        <v/>
      </c>
      <c r="I153" s="89">
        <f>-SUMIFS('4月数据源'!I:I,'4月数据源'!D:D,E153,'4月数据源'!F:F,"浙江精准学科技有限公司")+SUMIFS('4月数据源'!J:J,'4月数据源'!D:D,E153,'4月数据源'!F:F,"浙江精准学科技有限公司")</f>
        <v/>
      </c>
      <c r="J153" s="89">
        <f>-SUMIFS('5月数据源'!I:I,'5月数据源'!D:D,E153,'5月数据源'!F:F,"浙江精准学科技有限公司")+SUMIFS('5月数据源'!J:J,'5月数据源'!D:D,E153,'5月数据源'!F:F,"浙江精准学科技有限公司")</f>
        <v/>
      </c>
      <c r="K153" s="89">
        <f>-SUMIFS('6月数据源'!$I:$I,'6月数据源'!$D:$D,$E153,'6月数据源'!$F:$F,"浙江精准学科技有限公司")+SUMIFS('6月数据源'!$J:$J,'6月数据源'!$D:$D,$E153,'6月数据源'!$F:$F,"浙江精准学科技有限公司")</f>
        <v/>
      </c>
      <c r="L153" s="89">
        <f>-SUMIFS('7月数据源'!$I:$I,'7月数据源'!$D:$D,$E153,'7月数据源'!$F:$F,"浙江精准学科技有限公司")+SUMIFS('7月数据源'!$J:$J,'7月数据源'!$D:$D,$E153,'7月数据源'!$F:$F,"浙江精准学科技有限公司")</f>
        <v/>
      </c>
      <c r="M153" s="89">
        <f>-SUMIFS('8月数据源'!$I:$I,'8月数据源'!$D:$D,$E153,'8月数据源'!$F:$F,"浙江精准学科技有限公司")+SUMIFS('8月数据源'!$J:$J,'8月数据源'!$D:$D,$E153,'8月数据源'!$F:$F,"浙江精准学科技有限公司")</f>
        <v/>
      </c>
      <c r="N153" s="89">
        <f>-SUMIFS('9月数据源'!$I:$I,'9月数据源'!$D:$D,$E153,'9月数据源'!$F:$F,"浙江精准学科技有限公司")+SUMIFS('9月数据源'!$J:$J,'9月数据源'!$D:$D,$E153,'9月数据源'!$F:$F,"浙江精准学科技有限公司")</f>
        <v/>
      </c>
      <c r="O153" s="89">
        <f>-SUMIFS('10月数据源'!$I:$I,'10月数据源'!$D:$D,$E153,'10月数据源'!$F:$F,"浙江精准学科技有限公司")+SUMIFS('10月数据源'!$J:$J,'10月数据源'!$D:$D,$E153,'10月数据源'!$F:$F,"浙江精准学科技有限公司")</f>
        <v/>
      </c>
      <c r="P153" s="89">
        <f>-SUMIFS('11月数据源'!$I:$I,'11月数据源'!$D:$D,$E153,'11月数据源'!$F:$F,"浙江精准学科技有限公司")+SUMIFS('11月数据源'!$J:$J,'11月数据源'!$D:$D,$E153,'11月数据源'!$F:$F,"浙江精准学科技有限公司")</f>
        <v/>
      </c>
      <c r="Q153" s="89">
        <f>-SUMIFS('12月数据源'!$I:$I,'12月数据源'!$D:$D,$E153,'12月数据源'!$F:$F,"浙江精准学科技有限公司")+SUMIFS('12月数据源'!$J:$J,'12月数据源'!$D:$D,$E153,'12月数据源'!$F:$F,"浙江精准学科技有限公司")</f>
        <v/>
      </c>
    </row>
    <row r="154" s="83">
      <c r="A154" s="5" t="inlineStr">
        <is>
          <t>管理费用</t>
        </is>
      </c>
      <c r="B154" s="6" t="inlineStr">
        <is>
          <t>办公费用</t>
        </is>
      </c>
      <c r="D154" s="5" t="inlineStr">
        <is>
          <t>办公用品采购</t>
        </is>
      </c>
      <c r="E154" s="6" t="inlineStr">
        <is>
          <t>Q2902</t>
        </is>
      </c>
      <c r="F154" s="89">
        <f>-SUMIFS('1月数据源'!I:I,'1月数据源'!D:D,E154,'1月数据源'!F:F,"浙江精准学科技有限公司")+SUMIFS('1月数据源'!J:J,'1月数据源'!D:D,E154,'1月数据源'!F:F,"浙江精准学科技有限公司")</f>
        <v/>
      </c>
      <c r="G154" s="89">
        <f>-SUMIFS('2月数据源'!I:I,'2月数据源'!D:D,E154,'2月数据源'!F:F,"浙江精准学科技有限公司")+SUMIFS('2月数据源'!J:J,'2月数据源'!D:D,E154,'2月数据源'!F:F,"浙江精准学科技有限公司")</f>
        <v/>
      </c>
      <c r="H154" s="89">
        <f>-SUMIFS('3月数据源'!I:I,'3月数据源'!D:D,E154,'3月数据源'!F:F,"浙江精准学科技有限公司")+SUMIFS('3月数据源'!J:J,'3月数据源'!D:D,E154,'3月数据源'!F:F,"浙江精准学科技有限公司")</f>
        <v/>
      </c>
      <c r="I154" s="89">
        <f>-SUMIFS('4月数据源'!I:I,'4月数据源'!D:D,E154,'4月数据源'!F:F,"浙江精准学科技有限公司")+SUMIFS('4月数据源'!J:J,'4月数据源'!D:D,E154,'4月数据源'!F:F,"浙江精准学科技有限公司")</f>
        <v/>
      </c>
      <c r="J154" s="89">
        <f>-SUMIFS('5月数据源'!I:I,'5月数据源'!D:D,E154,'5月数据源'!F:F,"浙江精准学科技有限公司")+SUMIFS('5月数据源'!J:J,'5月数据源'!D:D,E154,'5月数据源'!F:F,"浙江精准学科技有限公司")</f>
        <v/>
      </c>
      <c r="K154" s="89">
        <f>-SUMIFS('6月数据源'!$I:$I,'6月数据源'!$D:$D,$E154,'6月数据源'!$F:$F,"浙江精准学科技有限公司")+SUMIFS('6月数据源'!$J:$J,'6月数据源'!$D:$D,$E154,'6月数据源'!$F:$F,"浙江精准学科技有限公司")</f>
        <v/>
      </c>
      <c r="L154" s="89">
        <f>-SUMIFS('7月数据源'!$I:$I,'7月数据源'!$D:$D,$E154,'7月数据源'!$F:$F,"浙江精准学科技有限公司")+SUMIFS('7月数据源'!$J:$J,'7月数据源'!$D:$D,$E154,'7月数据源'!$F:$F,"浙江精准学科技有限公司")</f>
        <v/>
      </c>
      <c r="M154" s="89">
        <f>-SUMIFS('8月数据源'!$I:$I,'8月数据源'!$D:$D,$E154,'8月数据源'!$F:$F,"浙江精准学科技有限公司")+SUMIFS('8月数据源'!$J:$J,'8月数据源'!$D:$D,$E154,'8月数据源'!$F:$F,"浙江精准学科技有限公司")</f>
        <v/>
      </c>
      <c r="N154" s="89">
        <f>-SUMIFS('9月数据源'!$I:$I,'9月数据源'!$D:$D,$E154,'9月数据源'!$F:$F,"浙江精准学科技有限公司")+SUMIFS('9月数据源'!$J:$J,'9月数据源'!$D:$D,$E154,'9月数据源'!$F:$F,"浙江精准学科技有限公司")</f>
        <v/>
      </c>
      <c r="O154" s="89">
        <f>-SUMIFS('10月数据源'!$I:$I,'10月数据源'!$D:$D,$E154,'10月数据源'!$F:$F,"浙江精准学科技有限公司")+SUMIFS('10月数据源'!$J:$J,'10月数据源'!$D:$D,$E154,'10月数据源'!$F:$F,"浙江精准学科技有限公司")</f>
        <v/>
      </c>
      <c r="P154" s="89">
        <f>-SUMIFS('11月数据源'!$I:$I,'11月数据源'!$D:$D,$E154,'11月数据源'!$F:$F,"浙江精准学科技有限公司")+SUMIFS('11月数据源'!$J:$J,'11月数据源'!$D:$D,$E154,'11月数据源'!$F:$F,"浙江精准学科技有限公司")</f>
        <v/>
      </c>
      <c r="Q154" s="89">
        <f>-SUMIFS('12月数据源'!$I:$I,'12月数据源'!$D:$D,$E154,'12月数据源'!$F:$F,"浙江精准学科技有限公司")+SUMIFS('12月数据源'!$J:$J,'12月数据源'!$D:$D,$E154,'12月数据源'!$F:$F,"浙江精准学科技有限公司")</f>
        <v/>
      </c>
    </row>
    <row r="155" s="83">
      <c r="A155" s="5" t="inlineStr">
        <is>
          <t>管理费用</t>
        </is>
      </c>
      <c r="B155" s="6" t="inlineStr">
        <is>
          <t>办公费用</t>
        </is>
      </c>
      <c r="D155" s="5" t="inlineStr">
        <is>
          <t>网络费</t>
        </is>
      </c>
      <c r="E155" s="6" t="inlineStr">
        <is>
          <t>Q2903</t>
        </is>
      </c>
      <c r="F155" s="89">
        <f>-SUMIFS('1月数据源'!I:I,'1月数据源'!D:D,E155,'1月数据源'!F:F,"浙江精准学科技有限公司")+SUMIFS('1月数据源'!J:J,'1月数据源'!D:D,E155,'1月数据源'!F:F,"浙江精准学科技有限公司")</f>
        <v/>
      </c>
      <c r="G155" s="89">
        <f>-SUMIFS('2月数据源'!I:I,'2月数据源'!D:D,E155,'2月数据源'!F:F,"浙江精准学科技有限公司")+SUMIFS('2月数据源'!J:J,'2月数据源'!D:D,E155,'2月数据源'!F:F,"浙江精准学科技有限公司")</f>
        <v/>
      </c>
      <c r="H155" s="89">
        <f>-SUMIFS('3月数据源'!I:I,'3月数据源'!D:D,E155,'3月数据源'!F:F,"浙江精准学科技有限公司")+SUMIFS('3月数据源'!J:J,'3月数据源'!D:D,E155,'3月数据源'!F:F,"浙江精准学科技有限公司")</f>
        <v/>
      </c>
      <c r="I155" s="89">
        <f>-SUMIFS('4月数据源'!I:I,'4月数据源'!D:D,E155,'4月数据源'!F:F,"浙江精准学科技有限公司")+SUMIFS('4月数据源'!J:J,'4月数据源'!D:D,E155,'4月数据源'!F:F,"浙江精准学科技有限公司")</f>
        <v/>
      </c>
      <c r="J155" s="89">
        <f>-SUMIFS('5月数据源'!I:I,'5月数据源'!D:D,E155,'5月数据源'!F:F,"浙江精准学科技有限公司")+SUMIFS('5月数据源'!J:J,'5月数据源'!D:D,E155,'5月数据源'!F:F,"浙江精准学科技有限公司")</f>
        <v/>
      </c>
      <c r="K155" s="89">
        <f>-SUMIFS('6月数据源'!$I:$I,'6月数据源'!$D:$D,$E155,'6月数据源'!$F:$F,"浙江精准学科技有限公司")+SUMIFS('6月数据源'!$J:$J,'6月数据源'!$D:$D,$E155,'6月数据源'!$F:$F,"浙江精准学科技有限公司")</f>
        <v/>
      </c>
      <c r="L155" s="89">
        <f>-SUMIFS('7月数据源'!$I:$I,'7月数据源'!$D:$D,$E155,'7月数据源'!$F:$F,"浙江精准学科技有限公司")+SUMIFS('7月数据源'!$J:$J,'7月数据源'!$D:$D,$E155,'7月数据源'!$F:$F,"浙江精准学科技有限公司")</f>
        <v/>
      </c>
      <c r="M155" s="89">
        <f>-SUMIFS('8月数据源'!$I:$I,'8月数据源'!$D:$D,$E155,'8月数据源'!$F:$F,"浙江精准学科技有限公司")+SUMIFS('8月数据源'!$J:$J,'8月数据源'!$D:$D,$E155,'8月数据源'!$F:$F,"浙江精准学科技有限公司")</f>
        <v/>
      </c>
      <c r="N155" s="89">
        <f>-SUMIFS('9月数据源'!$I:$I,'9月数据源'!$D:$D,$E155,'9月数据源'!$F:$F,"浙江精准学科技有限公司")+SUMIFS('9月数据源'!$J:$J,'9月数据源'!$D:$D,$E155,'9月数据源'!$F:$F,"浙江精准学科技有限公司")</f>
        <v/>
      </c>
      <c r="O155" s="89">
        <f>-SUMIFS('10月数据源'!$I:$I,'10月数据源'!$D:$D,$E155,'10月数据源'!$F:$F,"浙江精准学科技有限公司")+SUMIFS('10月数据源'!$J:$J,'10月数据源'!$D:$D,$E155,'10月数据源'!$F:$F,"浙江精准学科技有限公司")</f>
        <v/>
      </c>
      <c r="P155" s="89">
        <f>-SUMIFS('11月数据源'!$I:$I,'11月数据源'!$D:$D,$E155,'11月数据源'!$F:$F,"浙江精准学科技有限公司")+SUMIFS('11月数据源'!$J:$J,'11月数据源'!$D:$D,$E155,'11月数据源'!$F:$F,"浙江精准学科技有限公司")</f>
        <v/>
      </c>
      <c r="Q155" s="89">
        <f>-SUMIFS('12月数据源'!$I:$I,'12月数据源'!$D:$D,$E155,'12月数据源'!$F:$F,"浙江精准学科技有限公司")+SUMIFS('12月数据源'!$J:$J,'12月数据源'!$D:$D,$E155,'12月数据源'!$F:$F,"浙江精准学科技有限公司")</f>
        <v/>
      </c>
    </row>
    <row r="156" s="83">
      <c r="A156" s="5" t="inlineStr">
        <is>
          <t>管理费用</t>
        </is>
      </c>
      <c r="B156" s="6" t="inlineStr">
        <is>
          <t>办公费用</t>
        </is>
      </c>
      <c r="D156" s="5" t="inlineStr">
        <is>
          <t>通讯费</t>
        </is>
      </c>
      <c r="E156" s="6" t="inlineStr">
        <is>
          <t>Q2904</t>
        </is>
      </c>
      <c r="F156" s="89">
        <f>-SUMIFS('1月数据源'!I:I,'1月数据源'!D:D,E156,'1月数据源'!F:F,"浙江精准学科技有限公司")+SUMIFS('1月数据源'!J:J,'1月数据源'!D:D,E156,'1月数据源'!F:F,"浙江精准学科技有限公司")</f>
        <v/>
      </c>
      <c r="G156" s="89">
        <f>-SUMIFS('2月数据源'!I:I,'2月数据源'!D:D,E156,'2月数据源'!F:F,"浙江精准学科技有限公司")+SUMIFS('2月数据源'!J:J,'2月数据源'!D:D,E156,'2月数据源'!F:F,"浙江精准学科技有限公司")</f>
        <v/>
      </c>
      <c r="H156" s="89">
        <f>-SUMIFS('3月数据源'!I:I,'3月数据源'!D:D,E156,'3月数据源'!F:F,"浙江精准学科技有限公司")+SUMIFS('3月数据源'!J:J,'3月数据源'!D:D,E156,'3月数据源'!F:F,"浙江精准学科技有限公司")</f>
        <v/>
      </c>
      <c r="I156" s="89">
        <f>-SUMIFS('4月数据源'!I:I,'4月数据源'!D:D,E156,'4月数据源'!F:F,"浙江精准学科技有限公司")+SUMIFS('4月数据源'!J:J,'4月数据源'!D:D,E156,'4月数据源'!F:F,"浙江精准学科技有限公司")</f>
        <v/>
      </c>
      <c r="J156" s="89">
        <f>-SUMIFS('5月数据源'!I:I,'5月数据源'!D:D,E156,'5月数据源'!F:F,"浙江精准学科技有限公司")+SUMIFS('5月数据源'!J:J,'5月数据源'!D:D,E156,'5月数据源'!F:F,"浙江精准学科技有限公司")</f>
        <v/>
      </c>
      <c r="K156" s="89">
        <f>-SUMIFS('6月数据源'!$I:$I,'6月数据源'!$D:$D,$E156,'6月数据源'!$F:$F,"浙江精准学科技有限公司")+SUMIFS('6月数据源'!$J:$J,'6月数据源'!$D:$D,$E156,'6月数据源'!$F:$F,"浙江精准学科技有限公司")</f>
        <v/>
      </c>
      <c r="L156" s="89">
        <f>-SUMIFS('7月数据源'!$I:$I,'7月数据源'!$D:$D,$E156,'7月数据源'!$F:$F,"浙江精准学科技有限公司")+SUMIFS('7月数据源'!$J:$J,'7月数据源'!$D:$D,$E156,'7月数据源'!$F:$F,"浙江精准学科技有限公司")</f>
        <v/>
      </c>
      <c r="M156" s="89">
        <f>-SUMIFS('8月数据源'!$I:$I,'8月数据源'!$D:$D,$E156,'8月数据源'!$F:$F,"浙江精准学科技有限公司")+SUMIFS('8月数据源'!$J:$J,'8月数据源'!$D:$D,$E156,'8月数据源'!$F:$F,"浙江精准学科技有限公司")</f>
        <v/>
      </c>
      <c r="N156" s="89">
        <f>-SUMIFS('9月数据源'!$I:$I,'9月数据源'!$D:$D,$E156,'9月数据源'!$F:$F,"浙江精准学科技有限公司")+SUMIFS('9月数据源'!$J:$J,'9月数据源'!$D:$D,$E156,'9月数据源'!$F:$F,"浙江精准学科技有限公司")</f>
        <v/>
      </c>
      <c r="O156" s="89">
        <f>-SUMIFS('10月数据源'!$I:$I,'10月数据源'!$D:$D,$E156,'10月数据源'!$F:$F,"浙江精准学科技有限公司")+SUMIFS('10月数据源'!$J:$J,'10月数据源'!$D:$D,$E156,'10月数据源'!$F:$F,"浙江精准学科技有限公司")</f>
        <v/>
      </c>
      <c r="P156" s="89">
        <f>-SUMIFS('11月数据源'!$I:$I,'11月数据源'!$D:$D,$E156,'11月数据源'!$F:$F,"浙江精准学科技有限公司")+SUMIFS('11月数据源'!$J:$J,'11月数据源'!$D:$D,$E156,'11月数据源'!$F:$F,"浙江精准学科技有限公司")</f>
        <v/>
      </c>
      <c r="Q156" s="89">
        <f>-SUMIFS('12月数据源'!$I:$I,'12月数据源'!$D:$D,$E156,'12月数据源'!$F:$F,"浙江精准学科技有限公司")+SUMIFS('12月数据源'!$J:$J,'12月数据源'!$D:$D,$E156,'12月数据源'!$F:$F,"浙江精准学科技有限公司")</f>
        <v/>
      </c>
    </row>
    <row r="157" s="83">
      <c r="A157" s="5" t="inlineStr">
        <is>
          <t>管理费用</t>
        </is>
      </c>
      <c r="B157" s="6" t="inlineStr">
        <is>
          <t>办公费用</t>
        </is>
      </c>
      <c r="D157" s="5" t="inlineStr">
        <is>
          <t>快递费</t>
        </is>
      </c>
      <c r="E157" s="6" t="inlineStr">
        <is>
          <t>Q2905</t>
        </is>
      </c>
      <c r="F157" s="89">
        <f>-SUMIFS('1月数据源'!I:I,'1月数据源'!D:D,E157,'1月数据源'!F:F,"浙江精准学科技有限公司")+SUMIFS('1月数据源'!J:J,'1月数据源'!D:D,E157,'1月数据源'!F:F,"浙江精准学科技有限公司")</f>
        <v/>
      </c>
      <c r="G157" s="89">
        <f>-SUMIFS('2月数据源'!I:I,'2月数据源'!D:D,E157,'2月数据源'!F:F,"浙江精准学科技有限公司")+SUMIFS('2月数据源'!J:J,'2月数据源'!D:D,E157,'2月数据源'!F:F,"浙江精准学科技有限公司")</f>
        <v/>
      </c>
      <c r="H157" s="89">
        <f>-SUMIFS('3月数据源'!I:I,'3月数据源'!D:D,E157,'3月数据源'!F:F,"浙江精准学科技有限公司")+SUMIFS('3月数据源'!J:J,'3月数据源'!D:D,E157,'3月数据源'!F:F,"浙江精准学科技有限公司")</f>
        <v/>
      </c>
      <c r="I157" s="89">
        <f>-SUMIFS('4月数据源'!I:I,'4月数据源'!D:D,E157,'4月数据源'!F:F,"浙江精准学科技有限公司")+SUMIFS('4月数据源'!J:J,'4月数据源'!D:D,E157,'4月数据源'!F:F,"浙江精准学科技有限公司")</f>
        <v/>
      </c>
      <c r="J157" s="89">
        <f>-SUMIFS('5月数据源'!I:I,'5月数据源'!D:D,E157,'5月数据源'!F:F,"浙江精准学科技有限公司")+SUMIFS('5月数据源'!J:J,'5月数据源'!D:D,E157,'5月数据源'!F:F,"浙江精准学科技有限公司")</f>
        <v/>
      </c>
      <c r="K157" s="89">
        <f>-SUMIFS('6月数据源'!$I:$I,'6月数据源'!$D:$D,$E157,'6月数据源'!$F:$F,"浙江精准学科技有限公司")+SUMIFS('6月数据源'!$J:$J,'6月数据源'!$D:$D,$E157,'6月数据源'!$F:$F,"浙江精准学科技有限公司")</f>
        <v/>
      </c>
      <c r="L157" s="89">
        <f>-SUMIFS('7月数据源'!$I:$I,'7月数据源'!$D:$D,$E157,'7月数据源'!$F:$F,"浙江精准学科技有限公司")+SUMIFS('7月数据源'!$J:$J,'7月数据源'!$D:$D,$E157,'7月数据源'!$F:$F,"浙江精准学科技有限公司")</f>
        <v/>
      </c>
      <c r="M157" s="89">
        <f>-SUMIFS('8月数据源'!$I:$I,'8月数据源'!$D:$D,$E157,'8月数据源'!$F:$F,"浙江精准学科技有限公司")+SUMIFS('8月数据源'!$J:$J,'8月数据源'!$D:$D,$E157,'8月数据源'!$F:$F,"浙江精准学科技有限公司")</f>
        <v/>
      </c>
      <c r="N157" s="89">
        <f>-SUMIFS('9月数据源'!$I:$I,'9月数据源'!$D:$D,$E157,'9月数据源'!$F:$F,"浙江精准学科技有限公司")+SUMIFS('9月数据源'!$J:$J,'9月数据源'!$D:$D,$E157,'9月数据源'!$F:$F,"浙江精准学科技有限公司")</f>
        <v/>
      </c>
      <c r="O157" s="89">
        <f>-SUMIFS('10月数据源'!$I:$I,'10月数据源'!$D:$D,$E157,'10月数据源'!$F:$F,"浙江精准学科技有限公司")+SUMIFS('10月数据源'!$J:$J,'10月数据源'!$D:$D,$E157,'10月数据源'!$F:$F,"浙江精准学科技有限公司")</f>
        <v/>
      </c>
      <c r="P157" s="89">
        <f>-SUMIFS('11月数据源'!$I:$I,'11月数据源'!$D:$D,$E157,'11月数据源'!$F:$F,"浙江精准学科技有限公司")+SUMIFS('11月数据源'!$J:$J,'11月数据源'!$D:$D,$E157,'11月数据源'!$F:$F,"浙江精准学科技有限公司")</f>
        <v/>
      </c>
      <c r="Q157" s="89">
        <f>-SUMIFS('12月数据源'!$I:$I,'12月数据源'!$D:$D,$E157,'12月数据源'!$F:$F,"浙江精准学科技有限公司")+SUMIFS('12月数据源'!$J:$J,'12月数据源'!$D:$D,$E157,'12月数据源'!$F:$F,"浙江精准学科技有限公司")</f>
        <v/>
      </c>
    </row>
    <row r="158" s="83">
      <c r="A158" s="5" t="inlineStr">
        <is>
          <t>管理费用</t>
        </is>
      </c>
      <c r="B158" s="6" t="inlineStr">
        <is>
          <t>办公费用</t>
        </is>
      </c>
      <c r="D158" s="5" t="inlineStr">
        <is>
          <t>其他员工报销</t>
        </is>
      </c>
      <c r="E158" s="6" t="inlineStr">
        <is>
          <t>Q2907</t>
        </is>
      </c>
      <c r="F158" s="89">
        <f>-SUMIFS('1月数据源'!I:I,'1月数据源'!D:D,E158,'1月数据源'!F:F,"浙江精准学科技有限公司")+SUMIFS('1月数据源'!J:J,'1月数据源'!D:D,E158,'1月数据源'!F:F,"浙江精准学科技有限公司")</f>
        <v/>
      </c>
      <c r="G158" s="89">
        <f>-SUMIFS('2月数据源'!I:I,'2月数据源'!D:D,E158,'2月数据源'!F:F,"浙江精准学科技有限公司")+SUMIFS('2月数据源'!J:J,'2月数据源'!D:D,E158,'2月数据源'!F:F,"浙江精准学科技有限公司")</f>
        <v/>
      </c>
      <c r="H158" s="89">
        <f>-SUMIFS('3月数据源'!I:I,'3月数据源'!D:D,E158,'3月数据源'!F:F,"浙江精准学科技有限公司")+SUMIFS('3月数据源'!J:J,'3月数据源'!D:D,E158,'3月数据源'!F:F,"浙江精准学科技有限公司")</f>
        <v/>
      </c>
      <c r="I158" s="89">
        <f>-SUMIFS('4月数据源'!I:I,'4月数据源'!D:D,E158,'4月数据源'!F:F,"浙江精准学科技有限公司")+SUMIFS('4月数据源'!J:J,'4月数据源'!D:D,E158,'4月数据源'!F:F,"浙江精准学科技有限公司")</f>
        <v/>
      </c>
      <c r="J158" s="89">
        <f>-SUMIFS('5月数据源'!I:I,'5月数据源'!D:D,E158,'5月数据源'!F:F,"浙江精准学科技有限公司")+SUMIFS('5月数据源'!J:J,'5月数据源'!D:D,E158,'5月数据源'!F:F,"浙江精准学科技有限公司")</f>
        <v/>
      </c>
      <c r="K158" s="89">
        <f>-SUMIFS('6月数据源'!$I:$I,'6月数据源'!$D:$D,$E158,'6月数据源'!$F:$F,"浙江精准学科技有限公司")+SUMIFS('6月数据源'!$J:$J,'6月数据源'!$D:$D,$E158,'6月数据源'!$F:$F,"浙江精准学科技有限公司")</f>
        <v/>
      </c>
      <c r="L158" s="89">
        <f>-SUMIFS('7月数据源'!$I:$I,'7月数据源'!$D:$D,$E158,'7月数据源'!$F:$F,"浙江精准学科技有限公司")+SUMIFS('7月数据源'!$J:$J,'7月数据源'!$D:$D,$E158,'7月数据源'!$F:$F,"浙江精准学科技有限公司")</f>
        <v/>
      </c>
      <c r="M158" s="89">
        <f>-SUMIFS('8月数据源'!$I:$I,'8月数据源'!$D:$D,$E158,'8月数据源'!$F:$F,"浙江精准学科技有限公司")+SUMIFS('8月数据源'!$J:$J,'8月数据源'!$D:$D,$E158,'8月数据源'!$F:$F,"浙江精准学科技有限公司")</f>
        <v/>
      </c>
      <c r="N158" s="89">
        <f>-SUMIFS('9月数据源'!$I:$I,'9月数据源'!$D:$D,$E158,'9月数据源'!$F:$F,"浙江精准学科技有限公司")+SUMIFS('9月数据源'!$J:$J,'9月数据源'!$D:$D,$E158,'9月数据源'!$F:$F,"浙江精准学科技有限公司")</f>
        <v/>
      </c>
      <c r="O158" s="89">
        <f>-SUMIFS('10月数据源'!$I:$I,'10月数据源'!$D:$D,$E158,'10月数据源'!$F:$F,"浙江精准学科技有限公司")+SUMIFS('10月数据源'!$J:$J,'10月数据源'!$D:$D,$E158,'10月数据源'!$F:$F,"浙江精准学科技有限公司")</f>
        <v/>
      </c>
      <c r="P158" s="89">
        <f>-SUMIFS('11月数据源'!$I:$I,'11月数据源'!$D:$D,$E158,'11月数据源'!$F:$F,"浙江精准学科技有限公司")+SUMIFS('11月数据源'!$J:$J,'11月数据源'!$D:$D,$E158,'11月数据源'!$F:$F,"浙江精准学科技有限公司")</f>
        <v/>
      </c>
      <c r="Q158" s="89">
        <f>-SUMIFS('12月数据源'!$I:$I,'12月数据源'!$D:$D,$E158,'12月数据源'!$F:$F,"浙江精准学科技有限公司")+SUMIFS('12月数据源'!$J:$J,'12月数据源'!$D:$D,$E158,'12月数据源'!$F:$F,"浙江精准学科技有限公司")</f>
        <v/>
      </c>
    </row>
    <row r="159" s="83">
      <c r="A159" s="5" t="inlineStr">
        <is>
          <t>管理费用</t>
        </is>
      </c>
      <c r="B159" s="6" t="inlineStr">
        <is>
          <t>办公费用</t>
        </is>
      </c>
      <c r="D159" s="5" t="inlineStr">
        <is>
          <t>办公设备租赁费</t>
        </is>
      </c>
      <c r="E159" s="6" t="inlineStr">
        <is>
          <t>Q2908</t>
        </is>
      </c>
      <c r="F159" s="89">
        <f>-SUMIFS('1月数据源'!I:I,'1月数据源'!D:D,E159,'1月数据源'!F:F,"浙江精准学科技有限公司")+SUMIFS('1月数据源'!J:J,'1月数据源'!D:D,E159,'1月数据源'!F:F,"浙江精准学科技有限公司")</f>
        <v/>
      </c>
      <c r="G159" s="89">
        <f>-SUMIFS('2月数据源'!I:I,'2月数据源'!D:D,E159,'2月数据源'!F:F,"浙江精准学科技有限公司")+SUMIFS('2月数据源'!J:J,'2月数据源'!D:D,E159,'2月数据源'!F:F,"浙江精准学科技有限公司")</f>
        <v/>
      </c>
      <c r="H159" s="89">
        <f>-SUMIFS('3月数据源'!I:I,'3月数据源'!D:D,E159,'3月数据源'!F:F,"浙江精准学科技有限公司")+SUMIFS('3月数据源'!J:J,'3月数据源'!D:D,E159,'3月数据源'!F:F,"浙江精准学科技有限公司")</f>
        <v/>
      </c>
      <c r="I159" s="89">
        <f>-SUMIFS('4月数据源'!I:I,'4月数据源'!D:D,E159,'4月数据源'!F:F,"浙江精准学科技有限公司")+SUMIFS('4月数据源'!J:J,'4月数据源'!D:D,E159,'4月数据源'!F:F,"浙江精准学科技有限公司")</f>
        <v/>
      </c>
      <c r="J159" s="89">
        <f>-SUMIFS('5月数据源'!I:I,'5月数据源'!D:D,E159,'5月数据源'!F:F,"浙江精准学科技有限公司")+SUMIFS('5月数据源'!J:J,'5月数据源'!D:D,E159,'5月数据源'!F:F,"浙江精准学科技有限公司")</f>
        <v/>
      </c>
      <c r="K159" s="89">
        <f>-SUMIFS('6月数据源'!$I:$I,'6月数据源'!$D:$D,$E159,'6月数据源'!$F:$F,"浙江精准学科技有限公司")+SUMIFS('6月数据源'!$J:$J,'6月数据源'!$D:$D,$E159,'6月数据源'!$F:$F,"浙江精准学科技有限公司")</f>
        <v/>
      </c>
      <c r="L159" s="89">
        <f>-SUMIFS('7月数据源'!$I:$I,'7月数据源'!$D:$D,$E159,'7月数据源'!$F:$F,"浙江精准学科技有限公司")+SUMIFS('7月数据源'!$J:$J,'7月数据源'!$D:$D,$E159,'7月数据源'!$F:$F,"浙江精准学科技有限公司")</f>
        <v/>
      </c>
      <c r="M159" s="89">
        <f>-SUMIFS('8月数据源'!$I:$I,'8月数据源'!$D:$D,$E159,'8月数据源'!$F:$F,"浙江精准学科技有限公司")+SUMIFS('8月数据源'!$J:$J,'8月数据源'!$D:$D,$E159,'8月数据源'!$F:$F,"浙江精准学科技有限公司")</f>
        <v/>
      </c>
      <c r="N159" s="89">
        <f>-SUMIFS('9月数据源'!$I:$I,'9月数据源'!$D:$D,$E159,'9月数据源'!$F:$F,"浙江精准学科技有限公司")+SUMIFS('9月数据源'!$J:$J,'9月数据源'!$D:$D,$E159,'9月数据源'!$F:$F,"浙江精准学科技有限公司")</f>
        <v/>
      </c>
      <c r="O159" s="89">
        <f>-SUMIFS('10月数据源'!$I:$I,'10月数据源'!$D:$D,$E159,'10月数据源'!$F:$F,"浙江精准学科技有限公司")+SUMIFS('10月数据源'!$J:$J,'10月数据源'!$D:$D,$E159,'10月数据源'!$F:$F,"浙江精准学科技有限公司")</f>
        <v/>
      </c>
      <c r="P159" s="89">
        <f>-SUMIFS('11月数据源'!$I:$I,'11月数据源'!$D:$D,$E159,'11月数据源'!$F:$F,"浙江精准学科技有限公司")+SUMIFS('11月数据源'!$J:$J,'11月数据源'!$D:$D,$E159,'11月数据源'!$F:$F,"浙江精准学科技有限公司")</f>
        <v/>
      </c>
      <c r="Q159" s="89">
        <f>-SUMIFS('12月数据源'!$I:$I,'12月数据源'!$D:$D,$E159,'12月数据源'!$F:$F,"浙江精准学科技有限公司")+SUMIFS('12月数据源'!$J:$J,'12月数据源'!$D:$D,$E159,'12月数据源'!$F:$F,"浙江精准学科技有限公司")</f>
        <v/>
      </c>
    </row>
    <row r="160" s="83">
      <c r="A160" s="5" t="inlineStr">
        <is>
          <t>管理费用</t>
        </is>
      </c>
      <c r="B160" s="6" t="inlineStr">
        <is>
          <t>办公费用</t>
        </is>
      </c>
      <c r="D160" s="5" t="inlineStr">
        <is>
          <t>总经办报销费用</t>
        </is>
      </c>
      <c r="E160" s="6" t="inlineStr">
        <is>
          <t>Q2909</t>
        </is>
      </c>
      <c r="F160" s="89">
        <f>-SUMIFS('1月数据源'!I:I,'1月数据源'!D:D,E160,'1月数据源'!F:F,"浙江精准学科技有限公司")+SUMIFS('1月数据源'!J:J,'1月数据源'!D:D,E160,'1月数据源'!F:F,"浙江精准学科技有限公司")</f>
        <v/>
      </c>
      <c r="G160" s="89">
        <f>-SUMIFS('2月数据源'!I:I,'2月数据源'!D:D,E160,'2月数据源'!F:F,"浙江精准学科技有限公司")+SUMIFS('2月数据源'!J:J,'2月数据源'!D:D,E160,'2月数据源'!F:F,"浙江精准学科技有限公司")</f>
        <v/>
      </c>
      <c r="H160" s="89">
        <f>-SUMIFS('3月数据源'!I:I,'3月数据源'!D:D,E160,'3月数据源'!F:F,"浙江精准学科技有限公司")+SUMIFS('3月数据源'!J:J,'3月数据源'!D:D,E160,'3月数据源'!F:F,"浙江精准学科技有限公司")</f>
        <v/>
      </c>
      <c r="I160" s="89">
        <f>-SUMIFS('4月数据源'!I:I,'4月数据源'!D:D,E160,'4月数据源'!F:F,"浙江精准学科技有限公司")+SUMIFS('4月数据源'!J:J,'4月数据源'!D:D,E160,'4月数据源'!F:F,"浙江精准学科技有限公司")</f>
        <v/>
      </c>
      <c r="J160" s="89">
        <f>-SUMIFS('5月数据源'!I:I,'5月数据源'!D:D,E160,'5月数据源'!F:F,"浙江精准学科技有限公司")+SUMIFS('5月数据源'!J:J,'5月数据源'!D:D,E160,'5月数据源'!F:F,"浙江精准学科技有限公司")</f>
        <v/>
      </c>
      <c r="K160" s="89">
        <f>-SUMIFS('6月数据源'!$I:$I,'6月数据源'!$D:$D,$E160,'6月数据源'!$F:$F,"浙江精准学科技有限公司")+SUMIFS('6月数据源'!$J:$J,'6月数据源'!$D:$D,$E160,'6月数据源'!$F:$F,"浙江精准学科技有限公司")</f>
        <v/>
      </c>
      <c r="L160" s="89">
        <f>-SUMIFS('7月数据源'!$I:$I,'7月数据源'!$D:$D,$E160,'7月数据源'!$F:$F,"浙江精准学科技有限公司")+SUMIFS('7月数据源'!$J:$J,'7月数据源'!$D:$D,$E160,'7月数据源'!$F:$F,"浙江精准学科技有限公司")</f>
        <v/>
      </c>
      <c r="M160" s="89">
        <f>-SUMIFS('8月数据源'!$I:$I,'8月数据源'!$D:$D,$E160,'8月数据源'!$F:$F,"浙江精准学科技有限公司")+SUMIFS('8月数据源'!$J:$J,'8月数据源'!$D:$D,$E160,'8月数据源'!$F:$F,"浙江精准学科技有限公司")</f>
        <v/>
      </c>
      <c r="N160" s="89">
        <f>-SUMIFS('9月数据源'!$I:$I,'9月数据源'!$D:$D,$E160,'9月数据源'!$F:$F,"浙江精准学科技有限公司")+SUMIFS('9月数据源'!$J:$J,'9月数据源'!$D:$D,$E160,'9月数据源'!$F:$F,"浙江精准学科技有限公司")</f>
        <v/>
      </c>
      <c r="O160" s="89">
        <f>-SUMIFS('10月数据源'!$I:$I,'10月数据源'!$D:$D,$E160,'10月数据源'!$F:$F,"浙江精准学科技有限公司")+SUMIFS('10月数据源'!$J:$J,'10月数据源'!$D:$D,$E160,'10月数据源'!$F:$F,"浙江精准学科技有限公司")</f>
        <v/>
      </c>
      <c r="P160" s="89">
        <f>-SUMIFS('11月数据源'!$I:$I,'11月数据源'!$D:$D,$E160,'11月数据源'!$F:$F,"浙江精准学科技有限公司")+SUMIFS('11月数据源'!$J:$J,'11月数据源'!$D:$D,$E160,'11月数据源'!$F:$F,"浙江精准学科技有限公司")</f>
        <v/>
      </c>
      <c r="Q160" s="89">
        <f>-SUMIFS('12月数据源'!$I:$I,'12月数据源'!$D:$D,$E160,'12月数据源'!$F:$F,"浙江精准学科技有限公司")+SUMIFS('12月数据源'!$J:$J,'12月数据源'!$D:$D,$E160,'12月数据源'!$F:$F,"浙江精准学科技有限公司")</f>
        <v/>
      </c>
    </row>
    <row r="161" s="83">
      <c r="A161" s="5" t="inlineStr">
        <is>
          <t>管理费用</t>
        </is>
      </c>
      <c r="B161" s="6" t="inlineStr">
        <is>
          <t>办公费用</t>
        </is>
      </c>
      <c r="D161" s="5" t="inlineStr">
        <is>
          <t>其他办公费用</t>
        </is>
      </c>
      <c r="E161" s="6" t="inlineStr">
        <is>
          <t>Q29010</t>
        </is>
      </c>
      <c r="F161" s="89">
        <f>-SUMIFS('1月数据源'!I:I,'1月数据源'!D:D,E161,'1月数据源'!F:F,"浙江精准学科技有限公司")+SUMIFS('1月数据源'!J:J,'1月数据源'!D:D,E161,'1月数据源'!F:F,"浙江精准学科技有限公司")</f>
        <v/>
      </c>
      <c r="G161" s="89">
        <f>-SUMIFS('2月数据源'!I:I,'2月数据源'!D:D,E161,'2月数据源'!F:F,"浙江精准学科技有限公司")+SUMIFS('2月数据源'!J:J,'2月数据源'!D:D,E161,'2月数据源'!F:F,"浙江精准学科技有限公司")</f>
        <v/>
      </c>
      <c r="H161" s="89">
        <f>-SUMIFS('3月数据源'!I:I,'3月数据源'!D:D,E161,'3月数据源'!F:F,"浙江精准学科技有限公司")+SUMIFS('3月数据源'!J:J,'3月数据源'!D:D,E161,'3月数据源'!F:F,"浙江精准学科技有限公司")</f>
        <v/>
      </c>
      <c r="I161" s="89">
        <f>-SUMIFS('4月数据源'!I:I,'4月数据源'!D:D,E161,'4月数据源'!F:F,"浙江精准学科技有限公司")+SUMIFS('4月数据源'!J:J,'4月数据源'!D:D,E161,'4月数据源'!F:F,"浙江精准学科技有限公司")</f>
        <v/>
      </c>
      <c r="J161" s="89">
        <f>-SUMIFS('5月数据源'!I:I,'5月数据源'!D:D,E161,'5月数据源'!F:F,"浙江精准学科技有限公司")+SUMIFS('5月数据源'!J:J,'5月数据源'!D:D,E161,'5月数据源'!F:F,"浙江精准学科技有限公司")</f>
        <v/>
      </c>
      <c r="K161" s="89">
        <f>-SUMIFS('6月数据源'!$I:$I,'6月数据源'!$D:$D,$E161,'6月数据源'!$F:$F,"浙江精准学科技有限公司")+SUMIFS('6月数据源'!$J:$J,'6月数据源'!$D:$D,$E161,'6月数据源'!$F:$F,"浙江精准学科技有限公司")</f>
        <v/>
      </c>
      <c r="L161" s="89">
        <f>-SUMIFS('7月数据源'!$I:$I,'7月数据源'!$D:$D,$E161,'7月数据源'!$F:$F,"浙江精准学科技有限公司")+SUMIFS('7月数据源'!$J:$J,'7月数据源'!$D:$D,$E161,'7月数据源'!$F:$F,"浙江精准学科技有限公司")</f>
        <v/>
      </c>
      <c r="M161" s="89">
        <f>-SUMIFS('8月数据源'!$I:$I,'8月数据源'!$D:$D,$E161,'8月数据源'!$F:$F,"浙江精准学科技有限公司")+SUMIFS('8月数据源'!$J:$J,'8月数据源'!$D:$D,$E161,'8月数据源'!$F:$F,"浙江精准学科技有限公司")</f>
        <v/>
      </c>
      <c r="N161" s="89">
        <f>-SUMIFS('9月数据源'!$I:$I,'9月数据源'!$D:$D,$E161,'9月数据源'!$F:$F,"浙江精准学科技有限公司")+SUMIFS('9月数据源'!$J:$J,'9月数据源'!$D:$D,$E161,'9月数据源'!$F:$F,"浙江精准学科技有限公司")</f>
        <v/>
      </c>
      <c r="O161" s="89">
        <f>-SUMIFS('10月数据源'!$I:$I,'10月数据源'!$D:$D,$E161,'10月数据源'!$F:$F,"浙江精准学科技有限公司")+SUMIFS('10月数据源'!$J:$J,'10月数据源'!$D:$D,$E161,'10月数据源'!$F:$F,"浙江精准学科技有限公司")</f>
        <v/>
      </c>
      <c r="P161" s="89">
        <f>-SUMIFS('11月数据源'!$I:$I,'11月数据源'!$D:$D,$E161,'11月数据源'!$F:$F,"浙江精准学科技有限公司")+SUMIFS('11月数据源'!$J:$J,'11月数据源'!$D:$D,$E161,'11月数据源'!$F:$F,"浙江精准学科技有限公司")</f>
        <v/>
      </c>
      <c r="Q161" s="89">
        <f>-SUMIFS('12月数据源'!$I:$I,'12月数据源'!$D:$D,$E161,'12月数据源'!$F:$F,"浙江精准学科技有限公司")+SUMIFS('12月数据源'!$J:$J,'12月数据源'!$D:$D,$E161,'12月数据源'!$F:$F,"浙江精准学科技有限公司")</f>
        <v/>
      </c>
    </row>
    <row r="162" s="83">
      <c r="A162" s="49" t="inlineStr">
        <is>
          <t>管理费用合计</t>
        </is>
      </c>
      <c r="B162" s="50" t="n"/>
      <c r="C162" s="50" t="n"/>
      <c r="D162" s="49" t="n"/>
      <c r="E162" s="49" t="n"/>
      <c r="F162" s="89">
        <f>SUM(F138:F161)</f>
        <v/>
      </c>
      <c r="G162" s="89">
        <f>SUM(G138:G161)</f>
        <v/>
      </c>
      <c r="H162" s="89">
        <f>SUM(H138:H161)</f>
        <v/>
      </c>
      <c r="I162" s="89">
        <f>SUM(I138:I161)</f>
        <v/>
      </c>
      <c r="J162" s="89">
        <f>SUM(J138:J161)</f>
        <v/>
      </c>
      <c r="K162" s="89">
        <f>SUM(K138:K161)</f>
        <v/>
      </c>
      <c r="L162" s="89">
        <f>SUM(L138:L161)</f>
        <v/>
      </c>
      <c r="M162" s="89">
        <f>SUM(M138:M161)</f>
        <v/>
      </c>
      <c r="N162" s="89">
        <f>SUM(N138:N161)</f>
        <v/>
      </c>
      <c r="O162" s="89">
        <f>SUM(O138:O161)</f>
        <v/>
      </c>
      <c r="P162" s="89">
        <f>SUM(P138:P161)</f>
        <v/>
      </c>
      <c r="Q162" s="89">
        <f>SUM(Q138:Q161)</f>
        <v/>
      </c>
    </row>
    <row r="163" s="83">
      <c r="A163" s="5" t="inlineStr">
        <is>
          <t>税费成本</t>
        </is>
      </c>
      <c r="B163" s="6" t="inlineStr">
        <is>
          <t>税费成本</t>
        </is>
      </c>
      <c r="C163" s="6" t="inlineStr">
        <is>
          <t>税费成本</t>
        </is>
      </c>
      <c r="D163" s="5" t="inlineStr">
        <is>
          <t>增值税</t>
        </is>
      </c>
      <c r="E163" s="6" t="inlineStr">
        <is>
          <t>Q3001</t>
        </is>
      </c>
      <c r="F163" s="89">
        <f>-SUMIFS('1月数据源'!I:I,'1月数据源'!D:D,E163,'1月数据源'!F:F,"浙江精准学科技有限公司")+SUMIFS('1月数据源'!J:J,'1月数据源'!D:D,E163,'1月数据源'!F:F,"浙江精准学科技有限公司")</f>
        <v/>
      </c>
      <c r="G163" s="89">
        <f>-SUMIFS('2月数据源'!I:I,'2月数据源'!D:D,E163,'2月数据源'!F:F,"浙江精准学科技有限公司")+SUMIFS('2月数据源'!J:J,'2月数据源'!D:D,E163,'2月数据源'!F:F,"浙江精准学科技有限公司")</f>
        <v/>
      </c>
      <c r="H163" s="89">
        <f>-SUMIFS('3月数据源'!I:I,'3月数据源'!D:D,E163,'3月数据源'!F:F,"浙江精准学科技有限公司")+SUMIFS('3月数据源'!J:J,'3月数据源'!D:D,E163,'3月数据源'!F:F,"浙江精准学科技有限公司")</f>
        <v/>
      </c>
      <c r="I163" s="89">
        <f>-SUMIFS('4月数据源'!I:I,'4月数据源'!D:D,E163,'4月数据源'!F:F,"浙江精准学科技有限公司")+SUMIFS('4月数据源'!J:J,'4月数据源'!D:D,E163,'4月数据源'!F:F,"浙江精准学科技有限公司")</f>
        <v/>
      </c>
      <c r="J163" s="89">
        <f>-SUMIFS('5月数据源'!I:I,'5月数据源'!D:D,E163,'5月数据源'!F:F,"浙江精准学科技有限公司")+SUMIFS('5月数据源'!J:J,'5月数据源'!D:D,E163,'5月数据源'!F:F,"浙江精准学科技有限公司")</f>
        <v/>
      </c>
      <c r="K163" s="89">
        <f>-SUMIFS('6月数据源'!$I:$I,'6月数据源'!$D:$D,$E163,'6月数据源'!$F:$F,"浙江精准学科技有限公司")+SUMIFS('6月数据源'!$J:$J,'6月数据源'!$D:$D,$E163,'6月数据源'!$F:$F,"浙江精准学科技有限公司")</f>
        <v/>
      </c>
      <c r="L163" s="89">
        <f>-SUMIFS('7月数据源'!$I:$I,'7月数据源'!$D:$D,$E163,'7月数据源'!$F:$F,"浙江精准学科技有限公司")+SUMIFS('7月数据源'!$J:$J,'7月数据源'!$D:$D,$E163,'7月数据源'!$F:$F,"浙江精准学科技有限公司")</f>
        <v/>
      </c>
      <c r="M163" s="89">
        <f>-SUMIFS('8月数据源'!$I:$I,'8月数据源'!$D:$D,$E163,'8月数据源'!$F:$F,"浙江精准学科技有限公司")+SUMIFS('8月数据源'!$J:$J,'8月数据源'!$D:$D,$E163,'8月数据源'!$F:$F,"浙江精准学科技有限公司")</f>
        <v/>
      </c>
      <c r="N163" s="89">
        <f>-SUMIFS('9月数据源'!$I:$I,'9月数据源'!$D:$D,$E163,'9月数据源'!$F:$F,"浙江精准学科技有限公司")+SUMIFS('9月数据源'!$J:$J,'9月数据源'!$D:$D,$E163,'9月数据源'!$F:$F,"浙江精准学科技有限公司")</f>
        <v/>
      </c>
      <c r="O163" s="89">
        <f>-SUMIFS('10月数据源'!$I:$I,'10月数据源'!$D:$D,$E163,'10月数据源'!$F:$F,"浙江精准学科技有限公司")+SUMIFS('10月数据源'!$J:$J,'10月数据源'!$D:$D,$E163,'10月数据源'!$F:$F,"浙江精准学科技有限公司")</f>
        <v/>
      </c>
      <c r="P163" s="89">
        <f>-SUMIFS('11月数据源'!$I:$I,'11月数据源'!$D:$D,$E163,'11月数据源'!$F:$F,"浙江精准学科技有限公司")+SUMIFS('11月数据源'!$J:$J,'11月数据源'!$D:$D,$E163,'11月数据源'!$F:$F,"浙江精准学科技有限公司")</f>
        <v/>
      </c>
      <c r="Q163" s="89">
        <f>-SUMIFS('12月数据源'!$I:$I,'12月数据源'!$D:$D,$E163,'12月数据源'!$F:$F,"浙江精准学科技有限公司")+SUMIFS('12月数据源'!$J:$J,'12月数据源'!$D:$D,$E163,'12月数据源'!$F:$F,"浙江精准学科技有限公司")</f>
        <v/>
      </c>
    </row>
    <row r="164" s="83">
      <c r="A164" s="5" t="inlineStr">
        <is>
          <t>税费成本</t>
        </is>
      </c>
      <c r="B164" s="6" t="inlineStr">
        <is>
          <t>税费成本</t>
        </is>
      </c>
      <c r="D164" s="5" t="inlineStr">
        <is>
          <t>附加税</t>
        </is>
      </c>
      <c r="E164" s="6" t="inlineStr">
        <is>
          <t>Q3002</t>
        </is>
      </c>
      <c r="F164" s="89">
        <f>-SUMIFS('1月数据源'!I:I,'1月数据源'!D:D,E164,'1月数据源'!F:F,"浙江精准学科技有限公司")+SUMIFS('1月数据源'!J:J,'1月数据源'!D:D,E164,'1月数据源'!F:F,"浙江精准学科技有限公司")</f>
        <v/>
      </c>
      <c r="G164" s="89">
        <f>-SUMIFS('2月数据源'!I:I,'2月数据源'!D:D,E164,'2月数据源'!F:F,"浙江精准学科技有限公司")+SUMIFS('2月数据源'!J:J,'2月数据源'!D:D,E164,'2月数据源'!F:F,"浙江精准学科技有限公司")</f>
        <v/>
      </c>
      <c r="H164" s="89">
        <f>-SUMIFS('3月数据源'!I:I,'3月数据源'!D:D,E164,'3月数据源'!F:F,"浙江精准学科技有限公司")+SUMIFS('3月数据源'!J:J,'3月数据源'!D:D,E164,'3月数据源'!F:F,"浙江精准学科技有限公司")</f>
        <v/>
      </c>
      <c r="I164" s="89">
        <f>-SUMIFS('4月数据源'!I:I,'4月数据源'!D:D,E164,'4月数据源'!F:F,"浙江精准学科技有限公司")+SUMIFS('4月数据源'!J:J,'4月数据源'!D:D,E164,'4月数据源'!F:F,"浙江精准学科技有限公司")</f>
        <v/>
      </c>
      <c r="J164" s="89">
        <f>-SUMIFS('5月数据源'!I:I,'5月数据源'!D:D,E164,'5月数据源'!F:F,"浙江精准学科技有限公司")+SUMIFS('5月数据源'!J:J,'5月数据源'!D:D,E164,'5月数据源'!F:F,"浙江精准学科技有限公司")</f>
        <v/>
      </c>
      <c r="K164" s="89">
        <f>-SUMIFS('6月数据源'!$I:$I,'6月数据源'!$D:$D,$E164,'6月数据源'!$F:$F,"浙江精准学科技有限公司")+SUMIFS('6月数据源'!$J:$J,'6月数据源'!$D:$D,$E164,'6月数据源'!$F:$F,"浙江精准学科技有限公司")</f>
        <v/>
      </c>
      <c r="L164" s="89">
        <f>-SUMIFS('7月数据源'!$I:$I,'7月数据源'!$D:$D,$E164,'7月数据源'!$F:$F,"浙江精准学科技有限公司")+SUMIFS('7月数据源'!$J:$J,'7月数据源'!$D:$D,$E164,'7月数据源'!$F:$F,"浙江精准学科技有限公司")</f>
        <v/>
      </c>
      <c r="M164" s="89">
        <f>-SUMIFS('8月数据源'!$I:$I,'8月数据源'!$D:$D,$E164,'8月数据源'!$F:$F,"浙江精准学科技有限公司")+SUMIFS('8月数据源'!$J:$J,'8月数据源'!$D:$D,$E164,'8月数据源'!$F:$F,"浙江精准学科技有限公司")</f>
        <v/>
      </c>
      <c r="N164" s="89">
        <f>-SUMIFS('9月数据源'!$I:$I,'9月数据源'!$D:$D,$E164,'9月数据源'!$F:$F,"浙江精准学科技有限公司")+SUMIFS('9月数据源'!$J:$J,'9月数据源'!$D:$D,$E164,'9月数据源'!$F:$F,"浙江精准学科技有限公司")</f>
        <v/>
      </c>
      <c r="O164" s="89">
        <f>-SUMIFS('10月数据源'!$I:$I,'10月数据源'!$D:$D,$E164,'10月数据源'!$F:$F,"浙江精准学科技有限公司")+SUMIFS('10月数据源'!$J:$J,'10月数据源'!$D:$D,$E164,'10月数据源'!$F:$F,"浙江精准学科技有限公司")</f>
        <v/>
      </c>
      <c r="P164" s="89">
        <f>-SUMIFS('11月数据源'!$I:$I,'11月数据源'!$D:$D,$E164,'11月数据源'!$F:$F,"浙江精准学科技有限公司")+SUMIFS('11月数据源'!$J:$J,'11月数据源'!$D:$D,$E164,'11月数据源'!$F:$F,"浙江精准学科技有限公司")</f>
        <v/>
      </c>
      <c r="Q164" s="89">
        <f>-SUMIFS('12月数据源'!$I:$I,'12月数据源'!$D:$D,$E164,'12月数据源'!$F:$F,"浙江精准学科技有限公司")+SUMIFS('12月数据源'!$J:$J,'12月数据源'!$D:$D,$E164,'12月数据源'!$F:$F,"浙江精准学科技有限公司")</f>
        <v/>
      </c>
    </row>
    <row r="165" s="83">
      <c r="A165" s="5" t="inlineStr">
        <is>
          <t>税费成本</t>
        </is>
      </c>
      <c r="B165" s="6" t="inlineStr">
        <is>
          <t>税费成本</t>
        </is>
      </c>
      <c r="D165" s="5" t="inlineStr">
        <is>
          <t>印花税</t>
        </is>
      </c>
      <c r="E165" s="6" t="inlineStr">
        <is>
          <t>Q3003</t>
        </is>
      </c>
      <c r="F165" s="89">
        <f>-SUMIFS('1月数据源'!I:I,'1月数据源'!D:D,E165,'1月数据源'!F:F,"浙江精准学科技有限公司")+SUMIFS('1月数据源'!J:J,'1月数据源'!D:D,E165,'1月数据源'!F:F,"浙江精准学科技有限公司")</f>
        <v/>
      </c>
      <c r="G165" s="89">
        <f>-SUMIFS('2月数据源'!I:I,'2月数据源'!D:D,E165,'2月数据源'!F:F,"浙江精准学科技有限公司")+SUMIFS('2月数据源'!J:J,'2月数据源'!D:D,E165,'2月数据源'!F:F,"浙江精准学科技有限公司")</f>
        <v/>
      </c>
      <c r="H165" s="89">
        <f>-SUMIFS('3月数据源'!I:I,'3月数据源'!D:D,E165,'3月数据源'!F:F,"浙江精准学科技有限公司")+SUMIFS('3月数据源'!J:J,'3月数据源'!D:D,E165,'3月数据源'!F:F,"浙江精准学科技有限公司")</f>
        <v/>
      </c>
      <c r="I165" s="89">
        <f>-SUMIFS('4月数据源'!I:I,'4月数据源'!D:D,E165,'4月数据源'!F:F,"浙江精准学科技有限公司")+SUMIFS('4月数据源'!J:J,'4月数据源'!D:D,E165,'4月数据源'!F:F,"浙江精准学科技有限公司")</f>
        <v/>
      </c>
      <c r="J165" s="89">
        <f>-SUMIFS('5月数据源'!I:I,'5月数据源'!D:D,E165,'5月数据源'!F:F,"浙江精准学科技有限公司")+SUMIFS('5月数据源'!J:J,'5月数据源'!D:D,E165,'5月数据源'!F:F,"浙江精准学科技有限公司")</f>
        <v/>
      </c>
      <c r="K165" s="89">
        <f>-SUMIFS('6月数据源'!$I:$I,'6月数据源'!$D:$D,$E165,'6月数据源'!$F:$F,"浙江精准学科技有限公司")+SUMIFS('6月数据源'!$J:$J,'6月数据源'!$D:$D,$E165,'6月数据源'!$F:$F,"浙江精准学科技有限公司")</f>
        <v/>
      </c>
      <c r="L165" s="89">
        <f>-SUMIFS('7月数据源'!$I:$I,'7月数据源'!$D:$D,$E165,'7月数据源'!$F:$F,"浙江精准学科技有限公司")+SUMIFS('7月数据源'!$J:$J,'7月数据源'!$D:$D,$E165,'7月数据源'!$F:$F,"浙江精准学科技有限公司")</f>
        <v/>
      </c>
      <c r="M165" s="89">
        <f>-SUMIFS('8月数据源'!$I:$I,'8月数据源'!$D:$D,$E165,'8月数据源'!$F:$F,"浙江精准学科技有限公司")+SUMIFS('8月数据源'!$J:$J,'8月数据源'!$D:$D,$E165,'8月数据源'!$F:$F,"浙江精准学科技有限公司")</f>
        <v/>
      </c>
      <c r="N165" s="89">
        <f>-SUMIFS('9月数据源'!$I:$I,'9月数据源'!$D:$D,$E165,'9月数据源'!$F:$F,"浙江精准学科技有限公司")+SUMIFS('9月数据源'!$J:$J,'9月数据源'!$D:$D,$E165,'9月数据源'!$F:$F,"浙江精准学科技有限公司")</f>
        <v/>
      </c>
      <c r="O165" s="89">
        <f>-SUMIFS('10月数据源'!$I:$I,'10月数据源'!$D:$D,$E165,'10月数据源'!$F:$F,"浙江精准学科技有限公司")+SUMIFS('10月数据源'!$J:$J,'10月数据源'!$D:$D,$E165,'10月数据源'!$F:$F,"浙江精准学科技有限公司")</f>
        <v/>
      </c>
      <c r="P165" s="89">
        <f>-SUMIFS('11月数据源'!$I:$I,'11月数据源'!$D:$D,$E165,'11月数据源'!$F:$F,"浙江精准学科技有限公司")+SUMIFS('11月数据源'!$J:$J,'11月数据源'!$D:$D,$E165,'11月数据源'!$F:$F,"浙江精准学科技有限公司")</f>
        <v/>
      </c>
      <c r="Q165" s="89">
        <f>-SUMIFS('12月数据源'!$I:$I,'12月数据源'!$D:$D,$E165,'12月数据源'!$F:$F,"浙江精准学科技有限公司")+SUMIFS('12月数据源'!$J:$J,'12月数据源'!$D:$D,$E165,'12月数据源'!$F:$F,"浙江精准学科技有限公司")</f>
        <v/>
      </c>
    </row>
    <row r="166" s="83">
      <c r="A166" s="5" t="inlineStr">
        <is>
          <t>税费成本</t>
        </is>
      </c>
      <c r="B166" s="6" t="inlineStr">
        <is>
          <t>税费成本</t>
        </is>
      </c>
      <c r="D166" s="5" t="inlineStr">
        <is>
          <t>企业所得税</t>
        </is>
      </c>
      <c r="E166" s="6" t="inlineStr">
        <is>
          <t>Q3004</t>
        </is>
      </c>
      <c r="F166" s="89">
        <f>-SUMIFS('1月数据源'!I:I,'1月数据源'!D:D,E166,'1月数据源'!F:F,"浙江精准学科技有限公司")+SUMIFS('1月数据源'!J:J,'1月数据源'!D:D,E166,'1月数据源'!F:F,"浙江精准学科技有限公司")</f>
        <v/>
      </c>
      <c r="G166" s="89">
        <f>-SUMIFS('2月数据源'!I:I,'2月数据源'!D:D,E166,'2月数据源'!F:F,"浙江精准学科技有限公司")+SUMIFS('2月数据源'!J:J,'2月数据源'!D:D,E166,'2月数据源'!F:F,"浙江精准学科技有限公司")</f>
        <v/>
      </c>
      <c r="H166" s="89">
        <f>-SUMIFS('3月数据源'!I:I,'3月数据源'!D:D,E166,'3月数据源'!F:F,"浙江精准学科技有限公司")+SUMIFS('3月数据源'!J:J,'3月数据源'!D:D,E166,'3月数据源'!F:F,"浙江精准学科技有限公司")</f>
        <v/>
      </c>
      <c r="I166" s="89">
        <f>-SUMIFS('4月数据源'!I:I,'4月数据源'!D:D,E166,'4月数据源'!F:F,"浙江精准学科技有限公司")+SUMIFS('4月数据源'!J:J,'4月数据源'!D:D,E166,'4月数据源'!F:F,"浙江精准学科技有限公司")</f>
        <v/>
      </c>
      <c r="J166" s="89">
        <f>-SUMIFS('5月数据源'!I:I,'5月数据源'!D:D,E166,'5月数据源'!F:F,"浙江精准学科技有限公司")+SUMIFS('5月数据源'!J:J,'5月数据源'!D:D,E166,'5月数据源'!F:F,"浙江精准学科技有限公司")</f>
        <v/>
      </c>
      <c r="K166" s="89">
        <f>-SUMIFS('6月数据源'!$I:$I,'6月数据源'!$D:$D,$E166,'6月数据源'!$F:$F,"浙江精准学科技有限公司")+SUMIFS('6月数据源'!$J:$J,'6月数据源'!$D:$D,$E166,'6月数据源'!$F:$F,"浙江精准学科技有限公司")</f>
        <v/>
      </c>
      <c r="L166" s="89">
        <f>-SUMIFS('7月数据源'!$I:$I,'7月数据源'!$D:$D,$E166,'7月数据源'!$F:$F,"浙江精准学科技有限公司")+SUMIFS('7月数据源'!$J:$J,'7月数据源'!$D:$D,$E166,'7月数据源'!$F:$F,"浙江精准学科技有限公司")</f>
        <v/>
      </c>
      <c r="M166" s="89">
        <f>-SUMIFS('8月数据源'!$I:$I,'8月数据源'!$D:$D,$E166,'8月数据源'!$F:$F,"浙江精准学科技有限公司")+SUMIFS('8月数据源'!$J:$J,'8月数据源'!$D:$D,$E166,'8月数据源'!$F:$F,"浙江精准学科技有限公司")</f>
        <v/>
      </c>
      <c r="N166" s="89">
        <f>-SUMIFS('9月数据源'!$I:$I,'9月数据源'!$D:$D,$E166,'9月数据源'!$F:$F,"浙江精准学科技有限公司")+SUMIFS('9月数据源'!$J:$J,'9月数据源'!$D:$D,$E166,'9月数据源'!$F:$F,"浙江精准学科技有限公司")</f>
        <v/>
      </c>
      <c r="O166" s="89">
        <f>-SUMIFS('10月数据源'!$I:$I,'10月数据源'!$D:$D,$E166,'10月数据源'!$F:$F,"浙江精准学科技有限公司")+SUMIFS('10月数据源'!$J:$J,'10月数据源'!$D:$D,$E166,'10月数据源'!$F:$F,"浙江精准学科技有限公司")</f>
        <v/>
      </c>
      <c r="P166" s="89">
        <f>-SUMIFS('11月数据源'!$I:$I,'11月数据源'!$D:$D,$E166,'11月数据源'!$F:$F,"浙江精准学科技有限公司")+SUMIFS('11月数据源'!$J:$J,'11月数据源'!$D:$D,$E166,'11月数据源'!$F:$F,"浙江精准学科技有限公司")</f>
        <v/>
      </c>
      <c r="Q166" s="89">
        <f>-SUMIFS('12月数据源'!$I:$I,'12月数据源'!$D:$D,$E166,'12月数据源'!$F:$F,"浙江精准学科技有限公司")+SUMIFS('12月数据源'!$J:$J,'12月数据源'!$D:$D,$E166,'12月数据源'!$F:$F,"浙江精准学科技有限公司")</f>
        <v/>
      </c>
    </row>
    <row r="167" s="83">
      <c r="A167" s="49" t="inlineStr">
        <is>
          <t>税费成本合计</t>
        </is>
      </c>
      <c r="B167" s="50" t="n"/>
      <c r="C167" s="50" t="n"/>
      <c r="D167" s="49" t="n"/>
      <c r="E167" s="49" t="n"/>
      <c r="F167" s="89">
        <f>SUM(F163:F166)</f>
        <v/>
      </c>
      <c r="G167" s="89">
        <f>SUM(G163:G166)</f>
        <v/>
      </c>
      <c r="H167" s="89">
        <f>SUM(H163:H166)</f>
        <v/>
      </c>
      <c r="I167" s="89">
        <f>SUM(I163:I166)</f>
        <v/>
      </c>
      <c r="J167" s="89">
        <f>SUM(J163:J166)</f>
        <v/>
      </c>
      <c r="K167" s="89">
        <f>SUM(K163:K166)</f>
        <v/>
      </c>
      <c r="L167" s="89">
        <f>SUM(L163:L166)</f>
        <v/>
      </c>
      <c r="M167" s="89">
        <f>SUM(M163:M166)</f>
        <v/>
      </c>
      <c r="N167" s="89">
        <f>SUM(N163:N166)</f>
        <v/>
      </c>
      <c r="O167" s="89">
        <f>SUM(O163:O166)</f>
        <v/>
      </c>
      <c r="P167" s="89">
        <f>SUM(P163:P166)</f>
        <v/>
      </c>
      <c r="Q167" s="89">
        <f>SUM(Q163:Q166)</f>
        <v/>
      </c>
    </row>
    <row r="168" s="83">
      <c r="A168" s="5" t="inlineStr">
        <is>
          <t>营业外支出</t>
        </is>
      </c>
      <c r="B168" s="6" t="inlineStr">
        <is>
          <t>营业外支出</t>
        </is>
      </c>
      <c r="C168" s="34" t="inlineStr">
        <is>
          <t>营业外支出</t>
        </is>
      </c>
      <c r="D168" s="5" t="inlineStr">
        <is>
          <t>手续费</t>
        </is>
      </c>
      <c r="E168" s="6" t="inlineStr">
        <is>
          <t>Q3101</t>
        </is>
      </c>
      <c r="F168" s="89">
        <f>-SUMIFS('1月数据源'!I:I,'1月数据源'!D:D,E168,'1月数据源'!F:F,"浙江精准学科技有限公司")+SUMIFS('1月数据源'!J:J,'1月数据源'!D:D,E168,'1月数据源'!F:F,"浙江精准学科技有限公司")</f>
        <v/>
      </c>
      <c r="G168" s="89">
        <f>-SUMIFS('2月数据源'!I:I,'2月数据源'!D:D,E168,'2月数据源'!F:F,"浙江精准学科技有限公司")+SUMIFS('2月数据源'!J:J,'2月数据源'!D:D,E168,'2月数据源'!F:F,"浙江精准学科技有限公司")</f>
        <v/>
      </c>
      <c r="H168" s="89">
        <f>-SUMIFS('3月数据源'!I:I,'3月数据源'!D:D,E168,'3月数据源'!F:F,"浙江精准学科技有限公司")+SUMIFS('3月数据源'!J:J,'3月数据源'!D:D,E168,'3月数据源'!F:F,"浙江精准学科技有限公司")</f>
        <v/>
      </c>
      <c r="I168" s="89">
        <f>-SUMIFS('4月数据源'!I:I,'4月数据源'!D:D,E168,'4月数据源'!F:F,"浙江精准学科技有限公司")+SUMIFS('4月数据源'!J:J,'4月数据源'!D:D,E168,'4月数据源'!F:F,"浙江精准学科技有限公司")</f>
        <v/>
      </c>
      <c r="J168" s="89">
        <f>-SUMIFS('5月数据源'!I:I,'5月数据源'!D:D,E168,'5月数据源'!F:F,"浙江精准学科技有限公司")+SUMIFS('5月数据源'!J:J,'5月数据源'!D:D,E168,'5月数据源'!F:F,"浙江精准学科技有限公司")</f>
        <v/>
      </c>
      <c r="K168" s="89">
        <f>-SUMIFS('6月数据源'!$I:$I,'6月数据源'!$D:$D,$E168,'6月数据源'!$F:$F,"浙江精准学科技有限公司")+SUMIFS('6月数据源'!$J:$J,'6月数据源'!$D:$D,$E168,'6月数据源'!$F:$F,"浙江精准学科技有限公司")</f>
        <v/>
      </c>
      <c r="L168" s="89">
        <f>-SUMIFS('7月数据源'!$I:$I,'7月数据源'!$D:$D,$E168,'7月数据源'!$F:$F,"浙江精准学科技有限公司")+SUMIFS('7月数据源'!$J:$J,'7月数据源'!$D:$D,$E168,'7月数据源'!$F:$F,"浙江精准学科技有限公司")</f>
        <v/>
      </c>
      <c r="M168" s="89">
        <f>-SUMIFS('8月数据源'!$I:$I,'8月数据源'!$D:$D,$E168,'8月数据源'!$F:$F,"浙江精准学科技有限公司")+SUMIFS('8月数据源'!$J:$J,'8月数据源'!$D:$D,$E168,'8月数据源'!$F:$F,"浙江精准学科技有限公司")</f>
        <v/>
      </c>
      <c r="N168" s="89">
        <f>-SUMIFS('9月数据源'!$I:$I,'9月数据源'!$D:$D,$E168,'9月数据源'!$F:$F,"浙江精准学科技有限公司")+SUMIFS('9月数据源'!$J:$J,'9月数据源'!$D:$D,$E168,'9月数据源'!$F:$F,"浙江精准学科技有限公司")</f>
        <v/>
      </c>
      <c r="O168" s="89">
        <f>-SUMIFS('10月数据源'!$I:$I,'10月数据源'!$D:$D,$E168,'10月数据源'!$F:$F,"浙江精准学科技有限公司")+SUMIFS('10月数据源'!$J:$J,'10月数据源'!$D:$D,$E168,'10月数据源'!$F:$F,"浙江精准学科技有限公司")</f>
        <v/>
      </c>
      <c r="P168" s="89">
        <f>-SUMIFS('11月数据源'!$I:$I,'11月数据源'!$D:$D,$E168,'11月数据源'!$F:$F,"浙江精准学科技有限公司")+SUMIFS('11月数据源'!$J:$J,'11月数据源'!$D:$D,$E168,'11月数据源'!$F:$F,"浙江精准学科技有限公司")</f>
        <v/>
      </c>
      <c r="Q168" s="89">
        <f>-SUMIFS('12月数据源'!$I:$I,'12月数据源'!$D:$D,$E168,'12月数据源'!$F:$F,"浙江精准学科技有限公司")+SUMIFS('12月数据源'!$J:$J,'12月数据源'!$D:$D,$E168,'12月数据源'!$F:$F,"浙江精准学科技有限公司")</f>
        <v/>
      </c>
    </row>
    <row r="169" s="83">
      <c r="A169" s="5" t="inlineStr">
        <is>
          <t>营业外支出</t>
        </is>
      </c>
      <c r="B169" s="6" t="inlineStr">
        <is>
          <t>营业外支出</t>
        </is>
      </c>
      <c r="D169" s="5" t="inlineStr">
        <is>
          <t>罚款支出</t>
        </is>
      </c>
      <c r="E169" s="6" t="inlineStr">
        <is>
          <t>Q3102</t>
        </is>
      </c>
      <c r="F169" s="89">
        <f>-SUMIFS('1月数据源'!I:I,'1月数据源'!D:D,E169,'1月数据源'!F:F,"浙江精准学科技有限公司")+SUMIFS('1月数据源'!J:J,'1月数据源'!D:D,E169,'1月数据源'!F:F,"浙江精准学科技有限公司")</f>
        <v/>
      </c>
      <c r="G169" s="89">
        <f>-SUMIFS('2月数据源'!I:I,'2月数据源'!D:D,E169,'2月数据源'!F:F,"浙江精准学科技有限公司")+SUMIFS('2月数据源'!J:J,'2月数据源'!D:D,E169,'2月数据源'!F:F,"浙江精准学科技有限公司")</f>
        <v/>
      </c>
      <c r="H169" s="89">
        <f>-SUMIFS('3月数据源'!I:I,'3月数据源'!D:D,E169,'3月数据源'!F:F,"浙江精准学科技有限公司")+SUMIFS('3月数据源'!J:J,'3月数据源'!D:D,E169,'3月数据源'!F:F,"浙江精准学科技有限公司")</f>
        <v/>
      </c>
      <c r="I169" s="89">
        <f>-SUMIFS('4月数据源'!I:I,'4月数据源'!D:D,E169,'4月数据源'!F:F,"浙江精准学科技有限公司")+SUMIFS('4月数据源'!J:J,'4月数据源'!D:D,E169,'4月数据源'!F:F,"浙江精准学科技有限公司")</f>
        <v/>
      </c>
      <c r="J169" s="89">
        <f>-SUMIFS('5月数据源'!I:I,'5月数据源'!D:D,E169,'5月数据源'!F:F,"浙江精准学科技有限公司")+SUMIFS('5月数据源'!J:J,'5月数据源'!D:D,E169,'5月数据源'!F:F,"浙江精准学科技有限公司")</f>
        <v/>
      </c>
      <c r="K169" s="89">
        <f>-SUMIFS('6月数据源'!$I:$I,'6月数据源'!$D:$D,$E169,'6月数据源'!$F:$F,"浙江精准学科技有限公司")+SUMIFS('6月数据源'!$J:$J,'6月数据源'!$D:$D,$E169,'6月数据源'!$F:$F,"浙江精准学科技有限公司")</f>
        <v/>
      </c>
      <c r="L169" s="89">
        <f>-SUMIFS('7月数据源'!$I:$I,'7月数据源'!$D:$D,$E169,'7月数据源'!$F:$F,"浙江精准学科技有限公司")+SUMIFS('7月数据源'!$J:$J,'7月数据源'!$D:$D,$E169,'7月数据源'!$F:$F,"浙江精准学科技有限公司")</f>
        <v/>
      </c>
      <c r="M169" s="89">
        <f>-SUMIFS('8月数据源'!$I:$I,'8月数据源'!$D:$D,$E169,'8月数据源'!$F:$F,"浙江精准学科技有限公司")+SUMIFS('8月数据源'!$J:$J,'8月数据源'!$D:$D,$E169,'8月数据源'!$F:$F,"浙江精准学科技有限公司")</f>
        <v/>
      </c>
      <c r="N169" s="89">
        <f>-SUMIFS('9月数据源'!$I:$I,'9月数据源'!$D:$D,$E169,'9月数据源'!$F:$F,"浙江精准学科技有限公司")+SUMIFS('9月数据源'!$J:$J,'9月数据源'!$D:$D,$E169,'9月数据源'!$F:$F,"浙江精准学科技有限公司")</f>
        <v/>
      </c>
      <c r="O169" s="89">
        <f>-SUMIFS('10月数据源'!$I:$I,'10月数据源'!$D:$D,$E169,'10月数据源'!$F:$F,"浙江精准学科技有限公司")+SUMIFS('10月数据源'!$J:$J,'10月数据源'!$D:$D,$E169,'10月数据源'!$F:$F,"浙江精准学科技有限公司")</f>
        <v/>
      </c>
      <c r="P169" s="89">
        <f>-SUMIFS('11月数据源'!$I:$I,'11月数据源'!$D:$D,$E169,'11月数据源'!$F:$F,"浙江精准学科技有限公司")+SUMIFS('11月数据源'!$J:$J,'11月数据源'!$D:$D,$E169,'11月数据源'!$F:$F,"浙江精准学科技有限公司")</f>
        <v/>
      </c>
      <c r="Q169" s="89">
        <f>-SUMIFS('12月数据源'!$I:$I,'12月数据源'!$D:$D,$E169,'12月数据源'!$F:$F,"浙江精准学科技有限公司")+SUMIFS('12月数据源'!$J:$J,'12月数据源'!$D:$D,$E169,'12月数据源'!$F:$F,"浙江精准学科技有限公司")</f>
        <v/>
      </c>
    </row>
    <row r="170" s="83">
      <c r="A170" s="5" t="inlineStr">
        <is>
          <t>营业外支出</t>
        </is>
      </c>
      <c r="B170" s="6" t="inlineStr">
        <is>
          <t>营业外支出</t>
        </is>
      </c>
      <c r="D170" s="5" t="inlineStr">
        <is>
          <t>违约金支出</t>
        </is>
      </c>
      <c r="E170" s="6" t="inlineStr">
        <is>
          <t>Q3104</t>
        </is>
      </c>
      <c r="F170" s="89">
        <f>-SUMIFS('1月数据源'!I:I,'1月数据源'!D:D,E170,'1月数据源'!F:F,"浙江精准学科技有限公司")+SUMIFS('1月数据源'!J:J,'1月数据源'!D:D,E170,'1月数据源'!F:F,"浙江精准学科技有限公司")</f>
        <v/>
      </c>
      <c r="G170" s="89">
        <f>-SUMIFS('2月数据源'!I:I,'2月数据源'!D:D,E170,'2月数据源'!F:F,"浙江精准学科技有限公司")+SUMIFS('2月数据源'!J:J,'2月数据源'!D:D,E170,'2月数据源'!F:F,"浙江精准学科技有限公司")</f>
        <v/>
      </c>
      <c r="H170" s="89">
        <f>-SUMIFS('3月数据源'!I:I,'3月数据源'!D:D,E170,'3月数据源'!F:F,"浙江精准学科技有限公司")+SUMIFS('3月数据源'!J:J,'3月数据源'!D:D,E170,'3月数据源'!F:F,"浙江精准学科技有限公司")</f>
        <v/>
      </c>
      <c r="I170" s="89">
        <f>-SUMIFS('4月数据源'!I:I,'4月数据源'!D:D,E170,'4月数据源'!F:F,"浙江精准学科技有限公司")+SUMIFS('4月数据源'!J:J,'4月数据源'!D:D,E170,'4月数据源'!F:F,"浙江精准学科技有限公司")</f>
        <v/>
      </c>
      <c r="J170" s="89">
        <f>-SUMIFS('5月数据源'!I:I,'5月数据源'!D:D,E170,'5月数据源'!F:F,"浙江精准学科技有限公司")+SUMIFS('5月数据源'!J:J,'5月数据源'!D:D,E170,'5月数据源'!F:F,"浙江精准学科技有限公司")</f>
        <v/>
      </c>
      <c r="K170" s="89">
        <f>-SUMIFS('6月数据源'!$I:$I,'6月数据源'!$D:$D,$E170,'6月数据源'!$F:$F,"浙江精准学科技有限公司")+SUMIFS('6月数据源'!$J:$J,'6月数据源'!$D:$D,$E170,'6月数据源'!$F:$F,"浙江精准学科技有限公司")</f>
        <v/>
      </c>
      <c r="L170" s="89">
        <f>-SUMIFS('7月数据源'!$I:$I,'7月数据源'!$D:$D,$E170,'7月数据源'!$F:$F,"浙江精准学科技有限公司")+SUMIFS('7月数据源'!$J:$J,'7月数据源'!$D:$D,$E170,'7月数据源'!$F:$F,"浙江精准学科技有限公司")</f>
        <v/>
      </c>
      <c r="M170" s="89">
        <f>-SUMIFS('8月数据源'!$I:$I,'8月数据源'!$D:$D,$E170,'8月数据源'!$F:$F,"浙江精准学科技有限公司")+SUMIFS('8月数据源'!$J:$J,'8月数据源'!$D:$D,$E170,'8月数据源'!$F:$F,"浙江精准学科技有限公司")</f>
        <v/>
      </c>
      <c r="N170" s="89">
        <f>-SUMIFS('9月数据源'!$I:$I,'9月数据源'!$D:$D,$E170,'9月数据源'!$F:$F,"浙江精准学科技有限公司")+SUMIFS('9月数据源'!$J:$J,'9月数据源'!$D:$D,$E170,'9月数据源'!$F:$F,"浙江精准学科技有限公司")</f>
        <v/>
      </c>
      <c r="O170" s="89">
        <f>-SUMIFS('10月数据源'!$I:$I,'10月数据源'!$D:$D,$E170,'10月数据源'!$F:$F,"浙江精准学科技有限公司")+SUMIFS('10月数据源'!$J:$J,'10月数据源'!$D:$D,$E170,'10月数据源'!$F:$F,"浙江精准学科技有限公司")</f>
        <v/>
      </c>
      <c r="P170" s="89">
        <f>-SUMIFS('11月数据源'!$I:$I,'11月数据源'!$D:$D,$E170,'11月数据源'!$F:$F,"浙江精准学科技有限公司")+SUMIFS('11月数据源'!$J:$J,'11月数据源'!$D:$D,$E170,'11月数据源'!$F:$F,"浙江精准学科技有限公司")</f>
        <v/>
      </c>
      <c r="Q170" s="89">
        <f>-SUMIFS('12月数据源'!$I:$I,'12月数据源'!$D:$D,$E170,'12月数据源'!$F:$F,"浙江精准学科技有限公司")+SUMIFS('12月数据源'!$J:$J,'12月数据源'!$D:$D,$E170,'12月数据源'!$F:$F,"浙江精准学科技有限公司")</f>
        <v/>
      </c>
    </row>
    <row r="171" s="83">
      <c r="A171" s="5" t="inlineStr">
        <is>
          <t>营业外支出</t>
        </is>
      </c>
      <c r="B171" s="6" t="inlineStr">
        <is>
          <t>营业外支出</t>
        </is>
      </c>
      <c r="D171" s="5" t="inlineStr">
        <is>
          <t>滞纳金支出</t>
        </is>
      </c>
      <c r="E171" s="6" t="inlineStr">
        <is>
          <t>Q3103</t>
        </is>
      </c>
      <c r="F171" s="89">
        <f>-SUMIFS('1月数据源'!I:I,'1月数据源'!D:D,E171,'1月数据源'!F:F,"浙江精准学科技有限公司")+SUMIFS('1月数据源'!J:J,'1月数据源'!D:D,E171,'1月数据源'!F:F,"浙江精准学科技有限公司")</f>
        <v/>
      </c>
      <c r="G171" s="89">
        <f>-SUMIFS('2月数据源'!I:I,'2月数据源'!D:D,E171,'2月数据源'!F:F,"浙江精准学科技有限公司")+SUMIFS('2月数据源'!J:J,'2月数据源'!D:D,E171,'2月数据源'!F:F,"浙江精准学科技有限公司")</f>
        <v/>
      </c>
      <c r="H171" s="89">
        <f>-SUMIFS('3月数据源'!I:I,'3月数据源'!D:D,E171,'3月数据源'!F:F,"浙江精准学科技有限公司")+SUMIFS('3月数据源'!J:J,'3月数据源'!D:D,E171,'3月数据源'!F:F,"浙江精准学科技有限公司")</f>
        <v/>
      </c>
      <c r="I171" s="89">
        <f>-SUMIFS('4月数据源'!I:I,'4月数据源'!D:D,E171,'4月数据源'!F:F,"浙江精准学科技有限公司")+SUMIFS('4月数据源'!J:J,'4月数据源'!D:D,E171,'4月数据源'!F:F,"浙江精准学科技有限公司")</f>
        <v/>
      </c>
      <c r="J171" s="89">
        <f>-SUMIFS('5月数据源'!I:I,'5月数据源'!D:D,E171,'5月数据源'!F:F,"浙江精准学科技有限公司")+SUMIFS('5月数据源'!J:J,'5月数据源'!D:D,E171,'5月数据源'!F:F,"浙江精准学科技有限公司")</f>
        <v/>
      </c>
      <c r="K171" s="89">
        <f>-SUMIFS('6月数据源'!$I:$I,'6月数据源'!$D:$D,$E171,'6月数据源'!$F:$F,"浙江精准学科技有限公司")+SUMIFS('6月数据源'!$J:$J,'6月数据源'!$D:$D,$E171,'6月数据源'!$F:$F,"浙江精准学科技有限公司")</f>
        <v/>
      </c>
      <c r="L171" s="89">
        <f>-SUMIFS('7月数据源'!$I:$I,'7月数据源'!$D:$D,$E171,'7月数据源'!$F:$F,"浙江精准学科技有限公司")+SUMIFS('7月数据源'!$J:$J,'7月数据源'!$D:$D,$E171,'7月数据源'!$F:$F,"浙江精准学科技有限公司")</f>
        <v/>
      </c>
      <c r="M171" s="89">
        <f>-SUMIFS('8月数据源'!$I:$I,'8月数据源'!$D:$D,$E171,'8月数据源'!$F:$F,"浙江精准学科技有限公司")+SUMIFS('8月数据源'!$J:$J,'8月数据源'!$D:$D,$E171,'8月数据源'!$F:$F,"浙江精准学科技有限公司")</f>
        <v/>
      </c>
      <c r="N171" s="89">
        <f>-SUMIFS('9月数据源'!$I:$I,'9月数据源'!$D:$D,$E171,'9月数据源'!$F:$F,"浙江精准学科技有限公司")+SUMIFS('9月数据源'!$J:$J,'9月数据源'!$D:$D,$E171,'9月数据源'!$F:$F,"浙江精准学科技有限公司")</f>
        <v/>
      </c>
      <c r="O171" s="89">
        <f>-SUMIFS('10月数据源'!$I:$I,'10月数据源'!$D:$D,$E171,'10月数据源'!$F:$F,"浙江精准学科技有限公司")+SUMIFS('10月数据源'!$J:$J,'10月数据源'!$D:$D,$E171,'10月数据源'!$F:$F,"浙江精准学科技有限公司")</f>
        <v/>
      </c>
      <c r="P171" s="89">
        <f>-SUMIFS('11月数据源'!$I:$I,'11月数据源'!$D:$D,$E171,'11月数据源'!$F:$F,"浙江精准学科技有限公司")+SUMIFS('11月数据源'!$J:$J,'11月数据源'!$D:$D,$E171,'11月数据源'!$F:$F,"浙江精准学科技有限公司")</f>
        <v/>
      </c>
      <c r="Q171" s="89">
        <f>-SUMIFS('12月数据源'!$I:$I,'12月数据源'!$D:$D,$E171,'12月数据源'!$F:$F,"浙江精准学科技有限公司")+SUMIFS('12月数据源'!$J:$J,'12月数据源'!$D:$D,$E171,'12月数据源'!$F:$F,"浙江精准学科技有限公司")</f>
        <v/>
      </c>
    </row>
    <row r="172" s="83">
      <c r="A172" s="5" t="inlineStr">
        <is>
          <t>营业外支出</t>
        </is>
      </c>
      <c r="B172" s="6" t="inlineStr">
        <is>
          <t>营业外支出</t>
        </is>
      </c>
      <c r="D172" s="5" t="inlineStr">
        <is>
          <t>汇兑损益</t>
        </is>
      </c>
      <c r="E172" s="6" t="inlineStr">
        <is>
          <t>Q3105</t>
        </is>
      </c>
      <c r="F172" s="89">
        <f>-SUMIFS('1月数据源'!I:I,'1月数据源'!D:D,E172,'1月数据源'!F:F,"浙江精准学科技有限公司")+SUMIFS('1月数据源'!J:J,'1月数据源'!D:D,E172,'1月数据源'!F:F,"浙江精准学科技有限公司")</f>
        <v/>
      </c>
      <c r="G172" s="89">
        <f>-SUMIFS('2月数据源'!I:I,'2月数据源'!D:D,E172,'2月数据源'!F:F,"浙江精准学科技有限公司")+SUMIFS('2月数据源'!J:J,'2月数据源'!D:D,E172,'2月数据源'!F:F,"浙江精准学科技有限公司")</f>
        <v/>
      </c>
      <c r="H172" s="89">
        <f>-SUMIFS('3月数据源'!I:I,'3月数据源'!D:D,E172,'3月数据源'!F:F,"浙江精准学科技有限公司")+SUMIFS('3月数据源'!J:J,'3月数据源'!D:D,E172,'3月数据源'!F:F,"浙江精准学科技有限公司")</f>
        <v/>
      </c>
      <c r="I172" s="89">
        <f>-SUMIFS('4月数据源'!I:I,'4月数据源'!D:D,E172,'4月数据源'!F:F,"浙江精准学科技有限公司")+SUMIFS('4月数据源'!J:J,'4月数据源'!D:D,E172,'4月数据源'!F:F,"浙江精准学科技有限公司")</f>
        <v/>
      </c>
      <c r="J172" s="89">
        <f>-SUMIFS('5月数据源'!I:I,'5月数据源'!D:D,E172,'5月数据源'!F:F,"浙江精准学科技有限公司")+SUMIFS('5月数据源'!J:J,'5月数据源'!D:D,E172,'5月数据源'!F:F,"浙江精准学科技有限公司")</f>
        <v/>
      </c>
      <c r="K172" s="89">
        <f>-SUMIFS('6月数据源'!$I:$I,'6月数据源'!$D:$D,$E172,'6月数据源'!$F:$F,"浙江精准学科技有限公司")+SUMIFS('6月数据源'!$J:$J,'6月数据源'!$D:$D,$E172,'6月数据源'!$F:$F,"浙江精准学科技有限公司")</f>
        <v/>
      </c>
      <c r="L172" s="89">
        <f>-SUMIFS('7月数据源'!$I:$I,'7月数据源'!$D:$D,$E172,'7月数据源'!$F:$F,"浙江精准学科技有限公司")+SUMIFS('7月数据源'!$J:$J,'7月数据源'!$D:$D,$E172,'7月数据源'!$F:$F,"浙江精准学科技有限公司")</f>
        <v/>
      </c>
      <c r="M172" s="89">
        <f>-SUMIFS('8月数据源'!$I:$I,'8月数据源'!$D:$D,$E172,'8月数据源'!$F:$F,"浙江精准学科技有限公司")+SUMIFS('8月数据源'!$J:$J,'8月数据源'!$D:$D,$E172,'8月数据源'!$F:$F,"浙江精准学科技有限公司")</f>
        <v/>
      </c>
      <c r="N172" s="89">
        <f>-SUMIFS('9月数据源'!$I:$I,'9月数据源'!$D:$D,$E172,'9月数据源'!$F:$F,"浙江精准学科技有限公司")+SUMIFS('9月数据源'!$J:$J,'9月数据源'!$D:$D,$E172,'9月数据源'!$F:$F,"浙江精准学科技有限公司")</f>
        <v/>
      </c>
      <c r="O172" s="89">
        <f>-SUMIFS('10月数据源'!$I:$I,'10月数据源'!$D:$D,$E172,'10月数据源'!$F:$F,"浙江精准学科技有限公司")+SUMIFS('10月数据源'!$J:$J,'10月数据源'!$D:$D,$E172,'10月数据源'!$F:$F,"浙江精准学科技有限公司")</f>
        <v/>
      </c>
      <c r="P172" s="89">
        <f>-SUMIFS('11月数据源'!$I:$I,'11月数据源'!$D:$D,$E172,'11月数据源'!$F:$F,"浙江精准学科技有限公司")+SUMIFS('11月数据源'!$J:$J,'11月数据源'!$D:$D,$E172,'11月数据源'!$F:$F,"浙江精准学科技有限公司")</f>
        <v/>
      </c>
      <c r="Q172" s="89">
        <f>-SUMIFS('12月数据源'!$I:$I,'12月数据源'!$D:$D,$E172,'12月数据源'!$F:$F,"浙江精准学科技有限公司")+SUMIFS('12月数据源'!$J:$J,'12月数据源'!$D:$D,$E172,'12月数据源'!$F:$F,"浙江精准学科技有限公司")</f>
        <v/>
      </c>
    </row>
    <row r="173" s="83">
      <c r="A173" s="49" t="inlineStr">
        <is>
          <t>营业外支出合计</t>
        </is>
      </c>
      <c r="B173" s="50" t="n"/>
      <c r="C173" s="50" t="n"/>
      <c r="D173" s="49" t="n"/>
      <c r="E173" s="49" t="n"/>
      <c r="F173" s="89">
        <f>SUM(F168:F172)</f>
        <v/>
      </c>
      <c r="G173" s="89">
        <f>SUM(G168:G172)</f>
        <v/>
      </c>
      <c r="H173" s="89">
        <f>SUM(H168:H172)</f>
        <v/>
      </c>
      <c r="I173" s="89">
        <f>SUM(I168:I172)</f>
        <v/>
      </c>
      <c r="J173" s="89">
        <f>SUM(J168:J172)</f>
        <v/>
      </c>
      <c r="K173" s="89">
        <f>SUM(K168:K172)</f>
        <v/>
      </c>
      <c r="L173" s="89">
        <f>SUM(L168:L172)</f>
        <v/>
      </c>
      <c r="M173" s="89">
        <f>SUM(M168:M172)</f>
        <v/>
      </c>
      <c r="N173" s="89">
        <f>SUM(N168:N172)</f>
        <v/>
      </c>
      <c r="O173" s="89">
        <f>SUM(O168:O172)</f>
        <v/>
      </c>
      <c r="P173" s="89">
        <f>SUM(P168:P172)</f>
        <v/>
      </c>
      <c r="Q173" s="89">
        <f>SUM(Q168:Q172)</f>
        <v/>
      </c>
    </row>
    <row r="174" s="83">
      <c r="A174" s="5" t="inlineStr">
        <is>
          <t>理财收支</t>
        </is>
      </c>
      <c r="B174" s="6" t="inlineStr">
        <is>
          <t>理财收支</t>
        </is>
      </c>
      <c r="C174" s="6" t="inlineStr">
        <is>
          <t>理财支出</t>
        </is>
      </c>
      <c r="D174" s="5" t="inlineStr">
        <is>
          <t>理财收支</t>
        </is>
      </c>
      <c r="E174" s="6" t="inlineStr">
        <is>
          <t>Q3301</t>
        </is>
      </c>
      <c r="F174" s="89">
        <f>-SUMIFS('1月数据源'!I:I,'1月数据源'!D:D,E174,'1月数据源'!F:F,"浙江精准学科技有限公司")+SUMIFS('1月数据源'!J:J,'1月数据源'!D:D,E174,'1月数据源'!F:F,"浙江精准学科技有限公司")</f>
        <v/>
      </c>
      <c r="G174" s="89">
        <f>-SUMIFS('2月数据源'!I:I,'2月数据源'!D:D,E174,'2月数据源'!F:F,"浙江精准学科技有限公司")+SUMIFS('2月数据源'!J:J,'2月数据源'!D:D,E174,'2月数据源'!F:F,"浙江精准学科技有限公司")</f>
        <v/>
      </c>
      <c r="H174" s="89">
        <f>-SUMIFS('3月数据源'!I:I,'3月数据源'!D:D,E174,'3月数据源'!F:F,"浙江精准学科技有限公司")+SUMIFS('3月数据源'!J:J,'3月数据源'!D:D,E174,'3月数据源'!F:F,"浙江精准学科技有限公司")</f>
        <v/>
      </c>
      <c r="I174" s="89">
        <f>-SUMIFS('4月数据源'!I:I,'4月数据源'!D:D,E174,'4月数据源'!F:F,"浙江精准学科技有限公司")+SUMIFS('4月数据源'!J:J,'4月数据源'!D:D,E174,'4月数据源'!F:F,"浙江精准学科技有限公司")</f>
        <v/>
      </c>
      <c r="J174" s="89">
        <f>-SUMIFS('5月数据源'!I:I,'5月数据源'!D:D,E174,'5月数据源'!F:F,"浙江精准学科技有限公司")+SUMIFS('5月数据源'!J:J,'5月数据源'!D:D,E174,'5月数据源'!F:F,"浙江精准学科技有限公司")</f>
        <v/>
      </c>
      <c r="K174" s="89">
        <f>-SUMIFS('6月数据源'!$I:$I,'6月数据源'!$D:$D,$E174,'6月数据源'!$F:$F,"浙江精准学科技有限公司")+SUMIFS('6月数据源'!$J:$J,'6月数据源'!$D:$D,$E174,'6月数据源'!$F:$F,"浙江精准学科技有限公司")</f>
        <v/>
      </c>
      <c r="L174" s="89">
        <f>-SUMIFS('7月数据源'!$I:$I,'7月数据源'!$D:$D,$E174,'7月数据源'!$F:$F,"浙江精准学科技有限公司")+SUMIFS('7月数据源'!$J:$J,'7月数据源'!$D:$D,$E174,'7月数据源'!$F:$F,"浙江精准学科技有限公司")</f>
        <v/>
      </c>
      <c r="M174" s="89">
        <f>-SUMIFS('8月数据源'!$I:$I,'8月数据源'!$D:$D,$E174,'8月数据源'!$F:$F,"浙江精准学科技有限公司")+SUMIFS('8月数据源'!$J:$J,'8月数据源'!$D:$D,$E174,'8月数据源'!$F:$F,"浙江精准学科技有限公司")</f>
        <v/>
      </c>
      <c r="N174" s="89">
        <f>-SUMIFS('9月数据源'!$I:$I,'9月数据源'!$D:$D,$E174,'9月数据源'!$F:$F,"浙江精准学科技有限公司")+SUMIFS('9月数据源'!$J:$J,'9月数据源'!$D:$D,$E174,'9月数据源'!$F:$F,"浙江精准学科技有限公司")</f>
        <v/>
      </c>
      <c r="O174" s="89">
        <f>-SUMIFS('10月数据源'!$I:$I,'10月数据源'!$D:$D,$E174,'10月数据源'!$F:$F,"浙江精准学科技有限公司")+SUMIFS('10月数据源'!$J:$J,'10月数据源'!$D:$D,$E174,'10月数据源'!$F:$F,"浙江精准学科技有限公司")</f>
        <v/>
      </c>
      <c r="P174" s="89">
        <f>-SUMIFS('11月数据源'!$I:$I,'11月数据源'!$D:$D,$E174,'11月数据源'!$F:$F,"浙江精准学科技有限公司")+SUMIFS('11月数据源'!$J:$J,'11月数据源'!$D:$D,$E174,'11月数据源'!$F:$F,"浙江精准学科技有限公司")</f>
        <v/>
      </c>
      <c r="Q174" s="89">
        <f>-SUMIFS('12月数据源'!$I:$I,'12月数据源'!$D:$D,$E174,'12月数据源'!$F:$F,"浙江精准学科技有限公司")+SUMIFS('12月数据源'!$J:$J,'12月数据源'!$D:$D,$E174,'12月数据源'!$F:$F,"浙江精准学科技有限公司")</f>
        <v/>
      </c>
    </row>
    <row r="175" s="83">
      <c r="A175" s="49" t="inlineStr">
        <is>
          <t>理财收支合计</t>
        </is>
      </c>
      <c r="B175" s="50" t="n"/>
      <c r="C175" s="50" t="n"/>
      <c r="D175" s="49" t="n"/>
      <c r="E175" s="49" t="n"/>
      <c r="F175" s="89">
        <f>SUM(F174:F174)</f>
        <v/>
      </c>
      <c r="G175" s="89">
        <f>SUM(G174:G174)</f>
        <v/>
      </c>
      <c r="H175" s="89">
        <f>SUM(H174:H174)</f>
        <v/>
      </c>
      <c r="I175" s="89">
        <f>SUM(I174:I174)</f>
        <v/>
      </c>
      <c r="J175" s="89">
        <f>SUM(J174:J174)</f>
        <v/>
      </c>
      <c r="K175" s="89">
        <f>SUM(K174:K174)</f>
        <v/>
      </c>
      <c r="L175" s="89">
        <f>SUM(L174:L174)</f>
        <v/>
      </c>
      <c r="M175" s="89">
        <f>SUM(M174:M174)</f>
        <v/>
      </c>
      <c r="N175" s="89">
        <f>SUM(N174:N174)</f>
        <v/>
      </c>
      <c r="O175" s="89">
        <f>SUM(O174:O174)</f>
        <v/>
      </c>
      <c r="P175" s="89">
        <f>SUM(P174:P174)</f>
        <v/>
      </c>
      <c r="Q175" s="89">
        <f>SUM(Q174:Q174)</f>
        <v/>
      </c>
    </row>
    <row r="176" s="83">
      <c r="A176" s="51" t="inlineStr">
        <is>
          <t>付款合计</t>
        </is>
      </c>
      <c r="B176" s="52" t="n"/>
      <c r="C176" s="52" t="n"/>
      <c r="D176" s="51" t="n"/>
      <c r="E176" s="51" t="n"/>
      <c r="F176" s="89">
        <f>F22+F24+F35+F50+F63+F98+F137+F162+F167+F173+F175</f>
        <v/>
      </c>
      <c r="G176" s="89">
        <f>G22+G24+G35+G50+G63+G98+G137+G162+G167+G173+G175</f>
        <v/>
      </c>
      <c r="H176" s="89">
        <f>H22+H24+H35+H50+H63+H98+H137+H162+H167+H173+H175</f>
        <v/>
      </c>
      <c r="I176" s="89">
        <f>I22+I24+I35+I50+I63+I98+I137+I162+I167+I173+I175</f>
        <v/>
      </c>
      <c r="J176" s="89">
        <f>J22+J24+J35+J50+J63+J98+J137+J162+J167+J173+J175</f>
        <v/>
      </c>
      <c r="K176" s="89">
        <f>K22+K24+K35+K50+K63+K98+K137+K162+K167+K173+K175</f>
        <v/>
      </c>
      <c r="L176" s="89">
        <f>L22+L24+L35+L50+L63+L98+L137+L162+L167+L173+L175</f>
        <v/>
      </c>
      <c r="M176" s="89">
        <f>M22+M24+M35+M50+M63+M98+M137+M162+M167+M173+M175</f>
        <v/>
      </c>
      <c r="N176" s="89">
        <f>N22+N24+N35+N50+N63+N98+N137+N162+N167+N173+N175</f>
        <v/>
      </c>
      <c r="O176" s="89">
        <f>O22+O24+O35+O50+O63+O98+O137+O162+O167+O173+O175</f>
        <v/>
      </c>
      <c r="P176" s="89">
        <f>P22+P24+P35+P50+P63+P98+P137+P162+P167+P173+P175</f>
        <v/>
      </c>
      <c r="Q176" s="89">
        <f>Q22+Q24+Q35+Q50+Q63+Q98+Q137+Q162+Q167+Q173+Q175</f>
        <v/>
      </c>
    </row>
    <row r="177" s="83">
      <c r="A177" s="51" t="inlineStr">
        <is>
          <t>现金净流入</t>
        </is>
      </c>
      <c r="B177" s="54" t="n"/>
      <c r="C177" s="54" t="n"/>
      <c r="D177" s="51" t="n"/>
      <c r="E177" s="51" t="n"/>
      <c r="F177" s="89">
        <f>F19-F176</f>
        <v/>
      </c>
      <c r="G177" s="89">
        <f>G19-G176</f>
        <v/>
      </c>
      <c r="H177" s="89">
        <f>H19-H176</f>
        <v/>
      </c>
      <c r="I177" s="89">
        <f>I19-I176</f>
        <v/>
      </c>
      <c r="J177" s="89">
        <f>J19-J176</f>
        <v/>
      </c>
      <c r="K177" s="89">
        <f>K19-K176</f>
        <v/>
      </c>
      <c r="L177" s="89">
        <f>L19-L176</f>
        <v/>
      </c>
      <c r="M177" s="89">
        <f>M19-M176</f>
        <v/>
      </c>
      <c r="N177" s="89">
        <f>N19-N176</f>
        <v/>
      </c>
      <c r="O177" s="89">
        <f>O19-O176</f>
        <v/>
      </c>
      <c r="P177" s="89">
        <f>P19-P176</f>
        <v/>
      </c>
      <c r="Q177" s="89">
        <f>Q19-Q176</f>
        <v/>
      </c>
    </row>
    <row r="178" s="83">
      <c r="A178" s="51" t="inlineStr">
        <is>
          <t>现金期初数</t>
        </is>
      </c>
      <c r="B178" s="54" t="n"/>
      <c r="C178" s="54" t="n"/>
      <c r="D178" s="51" t="n"/>
      <c r="E178" s="51" t="n"/>
      <c r="F178" s="89">
        <f>16407787.05+1846889.14</f>
        <v/>
      </c>
      <c r="G178" s="89">
        <f>F179</f>
        <v/>
      </c>
      <c r="H178" s="89">
        <f>G179</f>
        <v/>
      </c>
      <c r="I178" s="89">
        <f>H179</f>
        <v/>
      </c>
      <c r="J178" s="89">
        <f>I179</f>
        <v/>
      </c>
      <c r="K178" s="89">
        <f>J179</f>
        <v/>
      </c>
      <c r="L178" s="89">
        <f>K179</f>
        <v/>
      </c>
      <c r="M178" s="89">
        <f>L179</f>
        <v/>
      </c>
      <c r="N178" s="89">
        <f>M179</f>
        <v/>
      </c>
      <c r="O178" s="89">
        <f>N179</f>
        <v/>
      </c>
      <c r="P178" s="89">
        <f>O179</f>
        <v/>
      </c>
      <c r="Q178" s="89">
        <f>P179</f>
        <v/>
      </c>
    </row>
    <row r="179" s="83">
      <c r="A179" s="51" t="inlineStr">
        <is>
          <t>现金期末数</t>
        </is>
      </c>
      <c r="B179" s="54" t="n"/>
      <c r="C179" s="54" t="n"/>
      <c r="D179" s="51" t="n"/>
      <c r="E179" s="51" t="n"/>
      <c r="F179" s="89">
        <f>ROUND(F178+F177,2)</f>
        <v/>
      </c>
      <c r="G179" s="89">
        <f>ROUND(G178+G177,2)</f>
        <v/>
      </c>
      <c r="H179" s="89">
        <f>ROUND(H178+H177,2)</f>
        <v/>
      </c>
      <c r="I179" s="89">
        <f>ROUND(I178+I177,2)</f>
        <v/>
      </c>
      <c r="J179" s="89">
        <f>ROUND(J178+J177,2)</f>
        <v/>
      </c>
      <c r="K179" s="89">
        <f>ROUND(K178+K177,2)</f>
        <v/>
      </c>
      <c r="L179" s="89">
        <f>ROUND(L178+L177,2)</f>
        <v/>
      </c>
      <c r="M179" s="89">
        <f>ROUND(M178+M177,2)</f>
        <v/>
      </c>
      <c r="N179" s="89">
        <f>ROUND(N178+N177,2)</f>
        <v/>
      </c>
      <c r="O179" s="89">
        <f>ROUND(O178+O177,2)</f>
        <v/>
      </c>
      <c r="P179" s="89">
        <f>ROUND(P178+P177,2)</f>
        <v/>
      </c>
      <c r="Q179" s="89">
        <f>ROUND(Q178+Q177,2)</f>
        <v/>
      </c>
    </row>
    <row r="180" s="83">
      <c r="A180" s="51" t="inlineStr">
        <is>
          <t>报表期末数</t>
        </is>
      </c>
      <c r="B180" s="54" t="n"/>
      <c r="C180" s="54" t="n"/>
      <c r="D180" s="51" t="n"/>
      <c r="E180" s="51" t="n"/>
      <c r="F180" s="89">
        <f>4107049.98+1103590.43</f>
        <v/>
      </c>
      <c r="G180" s="89" t="n">
        <v>4255607.94</v>
      </c>
      <c r="H180" s="89" t="n">
        <v>3900842.01</v>
      </c>
      <c r="I180" s="89">
        <f>1016500.35+961836.19</f>
        <v/>
      </c>
      <c r="J180" s="89">
        <f>5544621.7+2436898.33</f>
        <v/>
      </c>
      <c r="K180" s="89" t="n">
        <v>3693456.55</v>
      </c>
    </row>
    <row r="181" s="83">
      <c r="A181" s="51" t="inlineStr">
        <is>
          <t>check</t>
        </is>
      </c>
      <c r="B181" s="54" t="n"/>
      <c r="C181" s="54" t="n"/>
      <c r="D181" s="51" t="n"/>
      <c r="E181" s="51" t="n"/>
      <c r="F181" s="89">
        <f>F180-F179</f>
        <v/>
      </c>
      <c r="G181" s="89">
        <f>G180-G179</f>
        <v/>
      </c>
      <c r="H181" s="89">
        <f>H180-H179</f>
        <v/>
      </c>
      <c r="I181" s="89">
        <f>I180-I179</f>
        <v/>
      </c>
      <c r="J181" s="89">
        <f>J180-J179</f>
        <v/>
      </c>
      <c r="K181" s="89">
        <f>K180-K179</f>
        <v/>
      </c>
      <c r="L181" s="89">
        <f>L180-L179</f>
        <v/>
      </c>
      <c r="M181" s="89">
        <f>M180-M179</f>
        <v/>
      </c>
      <c r="N181" s="89">
        <f>N180-N179</f>
        <v/>
      </c>
      <c r="O181" s="89">
        <f>O180-O179</f>
        <v/>
      </c>
      <c r="P181" s="89">
        <f>P180-P179</f>
        <v/>
      </c>
      <c r="Q181" s="89">
        <f>Q180-Q179</f>
        <v/>
      </c>
    </row>
  </sheetData>
  <autoFilter ref="A2:R181"/>
  <mergeCells count="30">
    <mergeCell ref="C20:C21"/>
    <mergeCell ref="C131:C133"/>
    <mergeCell ref="C116:C119"/>
    <mergeCell ref="C85:C86"/>
    <mergeCell ref="C134:C135"/>
    <mergeCell ref="C16:C17"/>
    <mergeCell ref="C42:C47"/>
    <mergeCell ref="C78:C84"/>
    <mergeCell ref="C120:C128"/>
    <mergeCell ref="C129:C130"/>
    <mergeCell ref="C111:C115"/>
    <mergeCell ref="C153:C161"/>
    <mergeCell ref="C163:C166"/>
    <mergeCell ref="C87:C93"/>
    <mergeCell ref="C105:C110"/>
    <mergeCell ref="C25:C34"/>
    <mergeCell ref="C99:C104"/>
    <mergeCell ref="C7:C8"/>
    <mergeCell ref="C94:C96"/>
    <mergeCell ref="C36:C41"/>
    <mergeCell ref="C48:C49"/>
    <mergeCell ref="C13:C14"/>
    <mergeCell ref="C70:C77"/>
    <mergeCell ref="C64:C68"/>
    <mergeCell ref="C146:C152"/>
    <mergeCell ref="C138:C145"/>
    <mergeCell ref="C3:C6"/>
    <mergeCell ref="C51:C62"/>
    <mergeCell ref="C168:C172"/>
    <mergeCell ref="C9:C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R185"/>
  <sheetViews>
    <sheetView workbookViewId="0">
      <pane xSplit="5" ySplit="2" topLeftCell="K3" activePane="bottomRight" state="frozen"/>
      <selection activeCell="A1" sqref="A1"/>
      <selection pane="topRight" activeCell="A1" sqref="A1"/>
      <selection pane="bottomLeft" activeCell="A1" sqref="A1"/>
      <selection pane="bottomRight" activeCell="K17" sqref="K17"/>
    </sheetView>
  </sheetViews>
  <sheetFormatPr baseColWidth="8" defaultColWidth="8.838461538461541" defaultRowHeight="16.05" customHeight="1"/>
  <cols>
    <col width="9.92307692307692" customWidth="1" style="5" min="1" max="1"/>
    <col width="11.9230769230769" customWidth="1" style="6" min="2" max="2"/>
    <col width="8.84615384615385" customWidth="1" style="6" min="3" max="3"/>
    <col width="13.4615384615385" customWidth="1" style="5" min="4" max="4"/>
    <col width="10.7692307692308" customWidth="1" style="5" min="5" max="5"/>
    <col width="17.5" customWidth="1" style="89" min="6" max="6"/>
    <col width="17.5" customWidth="1" style="5" min="7" max="8"/>
    <col width="15.1615384615385" customWidth="1" style="5" min="9" max="11"/>
    <col width="17.5" customWidth="1" style="5" min="12" max="17"/>
    <col width="14.8384615384615" customWidth="1" style="5" min="18" max="18"/>
    <col width="8.838461538461541" customWidth="1" style="5" min="19" max="40"/>
  </cols>
  <sheetData>
    <row r="1" s="83">
      <c r="A1" s="6" t="inlineStr">
        <is>
          <t>公司：知识跳跳</t>
        </is>
      </c>
    </row>
    <row r="2" customFormat="1" s="34">
      <c r="A2" s="34" t="inlineStr">
        <is>
          <t>一级</t>
        </is>
      </c>
      <c r="B2" s="34" t="inlineStr">
        <is>
          <t>二级</t>
        </is>
      </c>
      <c r="C2" s="34" t="inlineStr">
        <is>
          <t>二级</t>
        </is>
      </c>
      <c r="D2" s="34" t="inlineStr">
        <is>
          <t>三级</t>
        </is>
      </c>
      <c r="E2" s="34" t="inlineStr">
        <is>
          <t>三级科目对应编码</t>
        </is>
      </c>
      <c r="F2" s="91" t="inlineStr">
        <is>
          <t>1月</t>
        </is>
      </c>
      <c r="G2" s="34" t="inlineStr">
        <is>
          <t>2月</t>
        </is>
      </c>
      <c r="H2" s="34" t="inlineStr">
        <is>
          <t>3月</t>
        </is>
      </c>
      <c r="I2" s="34" t="inlineStr">
        <is>
          <t>4月</t>
        </is>
      </c>
      <c r="J2" s="34" t="inlineStr">
        <is>
          <t>5月</t>
        </is>
      </c>
      <c r="K2" s="34" t="inlineStr">
        <is>
          <t>6月</t>
        </is>
      </c>
      <c r="L2" s="34" t="inlineStr">
        <is>
          <t>7月</t>
        </is>
      </c>
      <c r="M2" s="34" t="inlineStr">
        <is>
          <t>8月</t>
        </is>
      </c>
      <c r="N2" s="34" t="inlineStr">
        <is>
          <t>9月</t>
        </is>
      </c>
      <c r="O2" s="34" t="inlineStr">
        <is>
          <t>10月</t>
        </is>
      </c>
      <c r="P2" s="34" t="inlineStr">
        <is>
          <t>11月</t>
        </is>
      </c>
      <c r="Q2" s="34" t="inlineStr">
        <is>
          <t>12月</t>
        </is>
      </c>
      <c r="R2" s="34" t="inlineStr">
        <is>
          <t>本年合计</t>
        </is>
      </c>
    </row>
    <row r="3" s="83">
      <c r="A3" s="5" t="inlineStr">
        <is>
          <t>收入</t>
        </is>
      </c>
      <c r="B3" s="6" t="inlineStr">
        <is>
          <t>业务收入</t>
        </is>
      </c>
      <c r="C3" s="6" t="inlineStr">
        <is>
          <t>业务收入</t>
        </is>
      </c>
      <c r="D3" s="6" t="inlineStr">
        <is>
          <t>平台硬件销售收入</t>
        </is>
      </c>
      <c r="E3" s="6" t="inlineStr">
        <is>
          <t>Q0101</t>
        </is>
      </c>
      <c r="F3" s="89">
        <f>SUMIFS('1月数据源'!$I:$I,'1月数据源'!$D:$D,$E3,'1月数据源'!$F:$F,"杭州知识跳跳科技有限公司")-SUMIFS('1月数据源'!$J:$J,'1月数据源'!$D:$D,$E3,'1月数据源'!$F:$F,"杭州知识跳跳科技有限公司")</f>
        <v/>
      </c>
      <c r="G3" s="89">
        <f>SUMIFS('2月数据源'!$I:$I,'2月数据源'!$D:$D,$E3,'2月数据源'!$F:$F,"杭州知识跳跳科技有限公司")-SUMIFS('2月数据源'!$J:$J,'2月数据源'!$D:$D,$E3,'2月数据源'!$F:$F,"杭州知识跳跳科技有限公司")</f>
        <v/>
      </c>
      <c r="H3" s="89">
        <f>SUMIFS('3月数据源'!$I:$I,'3月数据源'!$D:$D,$E3,'3月数据源'!$F:$F,"杭州知识跳跳科技有限公司")-SUMIFS('3月数据源'!$J:$J,'3月数据源'!$D:$D,$E3,'3月数据源'!$F:$F,"杭州知识跳跳科技有限公司")</f>
        <v/>
      </c>
      <c r="I3" s="89">
        <f>SUMIFS('4月数据源'!$I:$I,'4月数据源'!$D:$D,$E3,'4月数据源'!$F:$F,"杭州知识跳跳科技有限公司")-SUMIFS('4月数据源'!$J:$J,'4月数据源'!$D:$D,$E3,'4月数据源'!$F:$F,"杭州知识跳跳科技有限公司")</f>
        <v/>
      </c>
      <c r="J3" s="89">
        <f>SUMIFS('5月数据源'!$I:$I,'5月数据源'!$D:$D,$E3,'5月数据源'!$F:$F,"杭州知识跳跳科技有限公司")-SUMIFS('5月数据源'!$J:$J,'5月数据源'!$D:$D,$E3,'5月数据源'!$F:$F,"杭州知识跳跳科技有限公司")</f>
        <v/>
      </c>
      <c r="K3" s="89">
        <f>SUMIFS('6月数据源'!I:I,'6月数据源'!D:D,E3,'6月数据源'!F:F,"杭州知识跳跳科技有限公司")-SUMIFS('6月数据源'!J:J,'6月数据源'!D:D,E3,'6月数据源'!F:F,"杭州知识跳跳科技有限公司")</f>
        <v/>
      </c>
      <c r="L3" s="89">
        <f>SUMIFS('7月数据源'!J:J,'7月数据源'!E:E,F3,'7月数据源'!G:G,"杭州知识跳跳科技有限公司")-SUMIFS('7月数据源'!K:K,'7月数据源'!E:E,F3,'7月数据源'!G:G,"杭州知识跳跳科技有限公司")</f>
        <v/>
      </c>
      <c r="M3" s="89">
        <f>SUMIFS('8月数据源'!K:K,'8月数据源'!F:F,G3,'8月数据源'!H:H,"杭州知识跳跳科技有限公司")-SUMIFS('8月数据源'!L:L,'8月数据源'!F:F,G3,'8月数据源'!H:H,"杭州知识跳跳科技有限公司")</f>
        <v/>
      </c>
      <c r="N3" s="89">
        <f>SUMIFS('9月数据源'!L:L,'9月数据源'!G:G,H3,'9月数据源'!I:I,"杭州知识跳跳科技有限公司")-SUMIFS('9月数据源'!M:M,'9月数据源'!G:G,H3,'9月数据源'!I:I,"杭州知识跳跳科技有限公司")</f>
        <v/>
      </c>
      <c r="O3" s="89">
        <f>SUMIFS('10月数据源'!M:M,'10月数据源'!H:H,I3,'10月数据源'!J:J,"杭州知识跳跳科技有限公司")-SUMIFS('10月数据源'!N:N,'10月数据源'!H:H,I3,'10月数据源'!J:J,"杭州知识跳跳科技有限公司")</f>
        <v/>
      </c>
      <c r="P3" s="89">
        <f>SUMIFS('11月数据源'!N:N,'11月数据源'!I:I,J3,'11月数据源'!K:K,"杭州知识跳跳科技有限公司")-SUMIFS('11月数据源'!O:O,'11月数据源'!I:I,J3,'11月数据源'!K:K,"杭州知识跳跳科技有限公司")</f>
        <v/>
      </c>
      <c r="Q3" s="89">
        <f>SUMIFS('12月数据源'!O:O,'12月数据源'!J:J,K3,'12月数据源'!L:L,"杭州知识跳跳科技有限公司")-SUMIFS('12月数据源'!P:P,'12月数据源'!J:J,K3,'12月数据源'!L:L,"杭州知识跳跳科技有限公司")</f>
        <v/>
      </c>
    </row>
    <row r="4" s="83">
      <c r="A4" s="5" t="inlineStr">
        <is>
          <t>收入</t>
        </is>
      </c>
      <c r="B4" s="6" t="inlineStr">
        <is>
          <t>业务收入</t>
        </is>
      </c>
      <c r="D4" s="6" t="inlineStr">
        <is>
          <t>服务收款</t>
        </is>
      </c>
      <c r="E4" s="6" t="inlineStr">
        <is>
          <t>Q0102</t>
        </is>
      </c>
      <c r="F4" s="89">
        <f>SUMIFS('1月数据源'!I:I,'1月数据源'!D:D,E4,'1月数据源'!F:F,"杭州知识跳跳科技有限公司")-SUMIFS('1月数据源'!J:J,'1月数据源'!D:D,E4,'1月数据源'!F:F,"杭州知识跳跳科技有限公司")</f>
        <v/>
      </c>
      <c r="G4" s="89">
        <f>SUMIFS('2月数据源'!$I:$I,'2月数据源'!$D:$D,$E4,'2月数据源'!$F:$F,"杭州知识跳跳科技有限公司")-SUMIFS('2月数据源'!$J:$J,'2月数据源'!$D:$D,$E4,'2月数据源'!$F:$F,"杭州知识跳跳科技有限公司")</f>
        <v/>
      </c>
      <c r="H4" s="89">
        <f>SUMIFS('3月数据源'!$I:$I,'3月数据源'!$D:$D,$E4,'3月数据源'!$F:$F,"杭州知识跳跳科技有限公司")-SUMIFS('3月数据源'!$J:$J,'3月数据源'!$D:$D,$E4,'3月数据源'!$F:$F,"杭州知识跳跳科技有限公司")</f>
        <v/>
      </c>
      <c r="I4" s="89">
        <f>SUMIFS('4月数据源'!$I:$I,'4月数据源'!$D:$D,$E4,'4月数据源'!$F:$F,"杭州知识跳跳科技有限公司")-SUMIFS('4月数据源'!$J:$J,'4月数据源'!$D:$D,$E4,'4月数据源'!$F:$F,"杭州知识跳跳科技有限公司")</f>
        <v/>
      </c>
      <c r="J4" s="89">
        <f>SUMIFS('5月数据源'!$I:$I,'5月数据源'!$D:$D,$E4,'5月数据源'!$F:$F,"杭州知识跳跳科技有限公司")-SUMIFS('5月数据源'!$J:$J,'5月数据源'!$D:$D,$E4,'5月数据源'!$F:$F,"杭州知识跳跳科技有限公司")</f>
        <v/>
      </c>
      <c r="K4" s="89">
        <f>SUMIFS('6月数据源'!$I:$I,'6月数据源'!$D:$D,$E4,'6月数据源'!$F:$F,"杭州知识跳跳科技有限公司")-SUMIFS('6月数据源'!$J:$J,'6月数据源'!$D:$D,$E4,'6月数据源'!$F:$F,"杭州知识跳跳科技有限公司")</f>
        <v/>
      </c>
      <c r="L4" s="89">
        <f>SUMIFS('7月数据源'!$I:$I,'7月数据源'!$D:$D,$E4,'7月数据源'!$F:$F,"杭州知识跳跳科技有限公司")-SUMIFS('7月数据源'!$J:$J,'7月数据源'!$D:$D,$E4,'7月数据源'!$F:$F,"杭州知识跳跳科技有限公司")</f>
        <v/>
      </c>
      <c r="M4" s="89">
        <f>SUMIFS('8月数据源'!$I:$I,'8月数据源'!$D:$D,$E4,'8月数据源'!$F:$F,"杭州知识跳跳科技有限公司")-SUMIFS('8月数据源'!$J:$J,'8月数据源'!$D:$D,$E4,'8月数据源'!$F:$F,"杭州知识跳跳科技有限公司")</f>
        <v/>
      </c>
      <c r="N4" s="89">
        <f>SUMIFS('9月数据源'!$I:$I,'9月数据源'!$D:$D,$E4,'9月数据源'!$F:$F,"杭州知识跳跳科技有限公司")-SUMIFS('9月数据源'!$J:$J,'9月数据源'!$D:$D,$E4,'9月数据源'!$F:$F,"杭州知识跳跳科技有限公司")</f>
        <v/>
      </c>
      <c r="O4" s="89">
        <f>SUMIFS('10月数据源'!$I:$I,'10月数据源'!$D:$D,$E4,'10月数据源'!$F:$F,"杭州知识跳跳科技有限公司")-SUMIFS('10月数据源'!$J:$J,'10月数据源'!$D:$D,$E4,'10月数据源'!$F:$F,"杭州知识跳跳科技有限公司")</f>
        <v/>
      </c>
      <c r="P4" s="89">
        <f>SUMIFS('11月数据源'!$I:$I,'11月数据源'!$D:$D,$E4,'11月数据源'!$F:$F,"杭州知识跳跳科技有限公司")-SUMIFS('11月数据源'!$J:$J,'11月数据源'!$D:$D,$E4,'11月数据源'!$F:$F,"杭州知识跳跳科技有限公司")</f>
        <v/>
      </c>
      <c r="Q4" s="89">
        <f>SUMIFS('12月数据源'!$I:$I,'12月数据源'!$D:$D,$E4,'12月数据源'!$F:$F,"杭州知识跳跳科技有限公司")-SUMIFS('12月数据源'!$J:$J,'12月数据源'!$D:$D,$E4,'12月数据源'!$F:$F,"杭州知识跳跳科技有限公司")</f>
        <v/>
      </c>
    </row>
    <row r="5" s="83">
      <c r="A5" s="5" t="inlineStr">
        <is>
          <t>收入</t>
        </is>
      </c>
      <c r="B5" s="6" t="inlineStr">
        <is>
          <t>业务收入</t>
        </is>
      </c>
      <c r="D5" s="6" t="inlineStr">
        <is>
          <t>平台补贴收入</t>
        </is>
      </c>
      <c r="E5" s="6" t="inlineStr">
        <is>
          <t>Q0103</t>
        </is>
      </c>
      <c r="F5" s="89">
        <f>SUMIFS('1月数据源'!I:I,'1月数据源'!D:D,E5,'1月数据源'!F:F,"杭州知识跳跳科技有限公司")-SUMIFS('1月数据源'!J:J,'1月数据源'!D:D,E5,'1月数据源'!F:F,"杭州知识跳跳科技有限公司")</f>
        <v/>
      </c>
      <c r="G5" s="89">
        <f>SUMIFS('2月数据源'!$I:$I,'2月数据源'!$D:$D,$E5,'2月数据源'!$F:$F,"杭州知识跳跳科技有限公司")-SUMIFS('2月数据源'!$J:$J,'2月数据源'!$D:$D,$E5,'2月数据源'!$F:$F,"杭州知识跳跳科技有限公司")</f>
        <v/>
      </c>
      <c r="H5" s="89">
        <f>SUMIFS('3月数据源'!$I:$I,'3月数据源'!$D:$D,$E5,'3月数据源'!$F:$F,"杭州知识跳跳科技有限公司")-SUMIFS('3月数据源'!$J:$J,'3月数据源'!$D:$D,$E5,'3月数据源'!$F:$F,"杭州知识跳跳科技有限公司")</f>
        <v/>
      </c>
      <c r="I5" s="89">
        <f>SUMIFS('4月数据源'!$I:$I,'4月数据源'!$D:$D,$E5,'4月数据源'!$F:$F,"杭州知识跳跳科技有限公司")-SUMIFS('4月数据源'!$J:$J,'4月数据源'!$D:$D,$E5,'4月数据源'!$F:$F,"杭州知识跳跳科技有限公司")</f>
        <v/>
      </c>
      <c r="J5" s="89">
        <f>SUMIFS('5月数据源'!$I:$I,'5月数据源'!$D:$D,$E5,'5月数据源'!$F:$F,"杭州知识跳跳科技有限公司")-SUMIFS('5月数据源'!$J:$J,'5月数据源'!$D:$D,$E5,'5月数据源'!$F:$F,"杭州知识跳跳科技有限公司")</f>
        <v/>
      </c>
      <c r="K5" s="89">
        <f>SUMIFS('6月数据源'!$I:$I,'6月数据源'!$D:$D,$E5,'6月数据源'!$F:$F,"杭州知识跳跳科技有限公司")-SUMIFS('6月数据源'!$J:$J,'6月数据源'!$D:$D,$E5,'6月数据源'!$F:$F,"杭州知识跳跳科技有限公司")</f>
        <v/>
      </c>
      <c r="L5" s="89">
        <f>SUMIFS('7月数据源'!$I:$I,'7月数据源'!$D:$D,$E5,'7月数据源'!$F:$F,"杭州知识跳跳科技有限公司")-SUMIFS('7月数据源'!$J:$J,'7月数据源'!$D:$D,$E5,'7月数据源'!$F:$F,"杭州知识跳跳科技有限公司")</f>
        <v/>
      </c>
      <c r="M5" s="89">
        <f>SUMIFS('8月数据源'!$I:$I,'8月数据源'!$D:$D,$E5,'8月数据源'!$F:$F,"杭州知识跳跳科技有限公司")-SUMIFS('8月数据源'!$J:$J,'8月数据源'!$D:$D,$E5,'8月数据源'!$F:$F,"杭州知识跳跳科技有限公司")</f>
        <v/>
      </c>
      <c r="N5" s="89">
        <f>SUMIFS('9月数据源'!$I:$I,'9月数据源'!$D:$D,$E5,'9月数据源'!$F:$F,"杭州知识跳跳科技有限公司")-SUMIFS('9月数据源'!$J:$J,'9月数据源'!$D:$D,$E5,'9月数据源'!$F:$F,"杭州知识跳跳科技有限公司")</f>
        <v/>
      </c>
      <c r="O5" s="89">
        <f>SUMIFS('10月数据源'!$I:$I,'10月数据源'!$D:$D,$E5,'10月数据源'!$F:$F,"杭州知识跳跳科技有限公司")-SUMIFS('10月数据源'!$J:$J,'10月数据源'!$D:$D,$E5,'10月数据源'!$F:$F,"杭州知识跳跳科技有限公司")</f>
        <v/>
      </c>
      <c r="P5" s="89">
        <f>SUMIFS('11月数据源'!$I:$I,'11月数据源'!$D:$D,$E5,'11月数据源'!$F:$F,"杭州知识跳跳科技有限公司")-SUMIFS('11月数据源'!$J:$J,'11月数据源'!$D:$D,$E5,'11月数据源'!$F:$F,"杭州知识跳跳科技有限公司")</f>
        <v/>
      </c>
      <c r="Q5" s="89">
        <f>SUMIFS('12月数据源'!$I:$I,'12月数据源'!$D:$D,$E5,'12月数据源'!$F:$F,"杭州知识跳跳科技有限公司")-SUMIFS('12月数据源'!$J:$J,'12月数据源'!$D:$D,$E5,'12月数据源'!$F:$F,"杭州知识跳跳科技有限公司")</f>
        <v/>
      </c>
    </row>
    <row r="6" s="83">
      <c r="A6" s="5" t="inlineStr">
        <is>
          <t>收入</t>
        </is>
      </c>
      <c r="B6" s="6" t="inlineStr">
        <is>
          <t>业务收入</t>
        </is>
      </c>
      <c r="D6" s="6" t="inlineStr">
        <is>
          <t>自习室收入</t>
        </is>
      </c>
      <c r="E6" s="6" t="inlineStr">
        <is>
          <t>Q0104</t>
        </is>
      </c>
      <c r="F6" s="89">
        <f>SUMIFS('1月数据源'!I:I,'1月数据源'!D:D,E6,'1月数据源'!F:F,"杭州知识跳跳科技有限公司")-SUMIFS('1月数据源'!J:J,'1月数据源'!D:D,E6,'1月数据源'!F:F,"杭州知识跳跳科技有限公司")</f>
        <v/>
      </c>
      <c r="G6" s="89">
        <f>SUMIFS('2月数据源'!$I:$I,'2月数据源'!$D:$D,$E6,'2月数据源'!$F:$F,"杭州知识跳跳科技有限公司")-SUMIFS('2月数据源'!$J:$J,'2月数据源'!$D:$D,$E6,'2月数据源'!$F:$F,"杭州知识跳跳科技有限公司")</f>
        <v/>
      </c>
      <c r="H6" s="89">
        <f>SUMIFS('3月数据源'!$I:$I,'3月数据源'!$D:$D,$E6,'3月数据源'!$F:$F,"杭州知识跳跳科技有限公司")-SUMIFS('3月数据源'!$J:$J,'3月数据源'!$D:$D,$E6,'3月数据源'!$F:$F,"杭州知识跳跳科技有限公司")</f>
        <v/>
      </c>
      <c r="I6" s="89">
        <f>SUMIFS('4月数据源'!$I:$I,'4月数据源'!$D:$D,$E6,'4月数据源'!$F:$F,"杭州知识跳跳科技有限公司")-SUMIFS('4月数据源'!$J:$J,'4月数据源'!$D:$D,$E6,'4月数据源'!$F:$F,"杭州知识跳跳科技有限公司")</f>
        <v/>
      </c>
      <c r="J6" s="89">
        <f>SUMIFS('5月数据源'!$I:$I,'5月数据源'!$D:$D,$E6,'5月数据源'!$F:$F,"杭州知识跳跳科技有限公司")-SUMIFS('5月数据源'!$J:$J,'5月数据源'!$D:$D,$E6,'5月数据源'!$F:$F,"杭州知识跳跳科技有限公司")</f>
        <v/>
      </c>
      <c r="K6" s="89">
        <f>SUMIFS('6月数据源'!$I:$I,'6月数据源'!$D:$D,$E6,'6月数据源'!$F:$F,"杭州知识跳跳科技有限公司")-SUMIFS('6月数据源'!$J:$J,'6月数据源'!$D:$D,$E6,'6月数据源'!$F:$F,"杭州知识跳跳科技有限公司")</f>
        <v/>
      </c>
      <c r="L6" s="89">
        <f>SUMIFS('7月数据源'!$I:$I,'7月数据源'!$D:$D,$E6,'7月数据源'!$F:$F,"杭州知识跳跳科技有限公司")-SUMIFS('7月数据源'!$J:$J,'7月数据源'!$D:$D,$E6,'7月数据源'!$F:$F,"杭州知识跳跳科技有限公司")</f>
        <v/>
      </c>
      <c r="M6" s="89">
        <f>SUMIFS('8月数据源'!$I:$I,'8月数据源'!$D:$D,$E6,'8月数据源'!$F:$F,"杭州知识跳跳科技有限公司")-SUMIFS('8月数据源'!$J:$J,'8月数据源'!$D:$D,$E6,'8月数据源'!$F:$F,"杭州知识跳跳科技有限公司")</f>
        <v/>
      </c>
      <c r="N6" s="89">
        <f>SUMIFS('9月数据源'!$I:$I,'9月数据源'!$D:$D,$E6,'9月数据源'!$F:$F,"杭州知识跳跳科技有限公司")-SUMIFS('9月数据源'!$J:$J,'9月数据源'!$D:$D,$E6,'9月数据源'!$F:$F,"杭州知识跳跳科技有限公司")</f>
        <v/>
      </c>
      <c r="O6" s="89">
        <f>SUMIFS('10月数据源'!$I:$I,'10月数据源'!$D:$D,$E6,'10月数据源'!$F:$F,"杭州知识跳跳科技有限公司")-SUMIFS('10月数据源'!$J:$J,'10月数据源'!$D:$D,$E6,'10月数据源'!$F:$F,"杭州知识跳跳科技有限公司")</f>
        <v/>
      </c>
      <c r="P6" s="89">
        <f>SUMIFS('11月数据源'!$I:$I,'11月数据源'!$D:$D,$E6,'11月数据源'!$F:$F,"杭州知识跳跳科技有限公司")-SUMIFS('11月数据源'!$J:$J,'11月数据源'!$D:$D,$E6,'11月数据源'!$F:$F,"杭州知识跳跳科技有限公司")</f>
        <v/>
      </c>
      <c r="Q6" s="89">
        <f>SUMIFS('12月数据源'!$I:$I,'12月数据源'!$D:$D,$E6,'12月数据源'!$F:$F,"杭州知识跳跳科技有限公司")-SUMIFS('12月数据源'!$J:$J,'12月数据源'!$D:$D,$E6,'12月数据源'!$F:$F,"杭州知识跳跳科技有限公司")</f>
        <v/>
      </c>
    </row>
    <row r="7" s="83">
      <c r="A7" s="5" t="inlineStr">
        <is>
          <t>收入</t>
        </is>
      </c>
      <c r="B7" s="6" t="inlineStr">
        <is>
          <t>售后收入</t>
        </is>
      </c>
      <c r="C7" s="6" t="inlineStr">
        <is>
          <t>售后收入</t>
        </is>
      </c>
      <c r="D7" s="6" t="inlineStr">
        <is>
          <t>客户赔偿款</t>
        </is>
      </c>
      <c r="E7" s="6" t="inlineStr">
        <is>
          <t>Q0201</t>
        </is>
      </c>
      <c r="F7" s="89">
        <f>SUMIFS('1月数据源'!I:I,'1月数据源'!D:D,E7,'1月数据源'!F:F,"杭州知识跳跳科技有限公司")-SUMIFS('1月数据源'!J:J,'1月数据源'!D:D,E7,'1月数据源'!F:F,"杭州知识跳跳科技有限公司")</f>
        <v/>
      </c>
      <c r="G7" s="89">
        <f>SUMIFS('2月数据源'!$I:$I,'2月数据源'!$D:$D,$E7,'2月数据源'!$F:$F,"杭州知识跳跳科技有限公司")-SUMIFS('2月数据源'!$J:$J,'2月数据源'!$D:$D,$E7,'2月数据源'!$F:$F,"杭州知识跳跳科技有限公司")</f>
        <v/>
      </c>
      <c r="H7" s="89">
        <f>SUMIFS('3月数据源'!$I:$I,'3月数据源'!$D:$D,$E7,'3月数据源'!$F:$F,"杭州知识跳跳科技有限公司")-SUMIFS('3月数据源'!$J:$J,'3月数据源'!$D:$D,$E7,'3月数据源'!$F:$F,"杭州知识跳跳科技有限公司")</f>
        <v/>
      </c>
      <c r="I7" s="89">
        <f>SUMIFS('4月数据源'!$I:$I,'4月数据源'!$D:$D,$E7,'4月数据源'!$F:$F,"杭州知识跳跳科技有限公司")-SUMIFS('4月数据源'!$J:$J,'4月数据源'!$D:$D,$E7,'4月数据源'!$F:$F,"杭州知识跳跳科技有限公司")</f>
        <v/>
      </c>
      <c r="J7" s="89">
        <f>SUMIFS('5月数据源'!$I:$I,'5月数据源'!$D:$D,$E7,'5月数据源'!$F:$F,"杭州知识跳跳科技有限公司")-SUMIFS('5月数据源'!$J:$J,'5月数据源'!$D:$D,$E7,'5月数据源'!$F:$F,"杭州知识跳跳科技有限公司")</f>
        <v/>
      </c>
      <c r="K7" s="89">
        <f>SUMIFS('6月数据源'!$I:$I,'6月数据源'!$D:$D,$E7,'6月数据源'!$F:$F,"杭州知识跳跳科技有限公司")-SUMIFS('6月数据源'!$J:$J,'6月数据源'!$D:$D,$E7,'6月数据源'!$F:$F,"杭州知识跳跳科技有限公司")</f>
        <v/>
      </c>
      <c r="L7" s="89">
        <f>SUMIFS('7月数据源'!$I:$I,'7月数据源'!$D:$D,$E7,'7月数据源'!$F:$F,"杭州知识跳跳科技有限公司")-SUMIFS('7月数据源'!$J:$J,'7月数据源'!$D:$D,$E7,'7月数据源'!$F:$F,"杭州知识跳跳科技有限公司")</f>
        <v/>
      </c>
      <c r="M7" s="89">
        <f>SUMIFS('8月数据源'!$I:$I,'8月数据源'!$D:$D,$E7,'8月数据源'!$F:$F,"杭州知识跳跳科技有限公司")-SUMIFS('8月数据源'!$J:$J,'8月数据源'!$D:$D,$E7,'8月数据源'!$F:$F,"杭州知识跳跳科技有限公司")</f>
        <v/>
      </c>
      <c r="N7" s="89">
        <f>SUMIFS('9月数据源'!$I:$I,'9月数据源'!$D:$D,$E7,'9月数据源'!$F:$F,"杭州知识跳跳科技有限公司")-SUMIFS('9月数据源'!$J:$J,'9月数据源'!$D:$D,$E7,'9月数据源'!$F:$F,"杭州知识跳跳科技有限公司")</f>
        <v/>
      </c>
      <c r="O7" s="89">
        <f>SUMIFS('10月数据源'!$I:$I,'10月数据源'!$D:$D,$E7,'10月数据源'!$F:$F,"杭州知识跳跳科技有限公司")-SUMIFS('10月数据源'!$J:$J,'10月数据源'!$D:$D,$E7,'10月数据源'!$F:$F,"杭州知识跳跳科技有限公司")</f>
        <v/>
      </c>
      <c r="P7" s="89">
        <f>SUMIFS('11月数据源'!$I:$I,'11月数据源'!$D:$D,$E7,'11月数据源'!$F:$F,"杭州知识跳跳科技有限公司")-SUMIFS('11月数据源'!$J:$J,'11月数据源'!$D:$D,$E7,'11月数据源'!$F:$F,"杭州知识跳跳科技有限公司")</f>
        <v/>
      </c>
      <c r="Q7" s="89">
        <f>SUMIFS('12月数据源'!$I:$I,'12月数据源'!$D:$D,$E7,'12月数据源'!$F:$F,"杭州知识跳跳科技有限公司")-SUMIFS('12月数据源'!$J:$J,'12月数据源'!$D:$D,$E7,'12月数据源'!$F:$F,"杭州知识跳跳科技有限公司")</f>
        <v/>
      </c>
    </row>
    <row r="8" s="83">
      <c r="A8" s="5" t="inlineStr">
        <is>
          <t>收入</t>
        </is>
      </c>
      <c r="B8" s="6" t="inlineStr">
        <is>
          <t>售后收入</t>
        </is>
      </c>
      <c r="D8" s="6" t="inlineStr">
        <is>
          <t>供应商赔偿款</t>
        </is>
      </c>
      <c r="E8" s="6" t="inlineStr">
        <is>
          <t>Q0202</t>
        </is>
      </c>
      <c r="F8" s="89">
        <f>SUMIFS('1月数据源'!I:I,'1月数据源'!D:D,E8,'1月数据源'!F:F,"杭州知识跳跳科技有限公司")-SUMIFS('1月数据源'!J:J,'1月数据源'!D:D,E8,'1月数据源'!F:F,"杭州知识跳跳科技有限公司")</f>
        <v/>
      </c>
      <c r="G8" s="89">
        <f>SUMIFS('2月数据源'!$I:$I,'2月数据源'!$D:$D,$E8,'2月数据源'!$F:$F,"杭州知识跳跳科技有限公司")-SUMIFS('2月数据源'!$J:$J,'2月数据源'!$D:$D,$E8,'2月数据源'!$F:$F,"杭州知识跳跳科技有限公司")</f>
        <v/>
      </c>
      <c r="H8" s="89">
        <f>SUMIFS('3月数据源'!$I:$I,'3月数据源'!$D:$D,$E8,'3月数据源'!$F:$F,"杭州知识跳跳科技有限公司")-SUMIFS('3月数据源'!$J:$J,'3月数据源'!$D:$D,$E8,'3月数据源'!$F:$F,"杭州知识跳跳科技有限公司")</f>
        <v/>
      </c>
      <c r="I8" s="89">
        <f>SUMIFS('4月数据源'!$I:$I,'4月数据源'!$D:$D,$E8,'4月数据源'!$F:$F,"杭州知识跳跳科技有限公司")-SUMIFS('4月数据源'!$J:$J,'4月数据源'!$D:$D,$E8,'4月数据源'!$F:$F,"杭州知识跳跳科技有限公司")</f>
        <v/>
      </c>
      <c r="J8" s="89">
        <f>SUMIFS('5月数据源'!$I:$I,'5月数据源'!$D:$D,$E8,'5月数据源'!$F:$F,"杭州知识跳跳科技有限公司")-SUMIFS('5月数据源'!$J:$J,'5月数据源'!$D:$D,$E8,'5月数据源'!$F:$F,"杭州知识跳跳科技有限公司")</f>
        <v/>
      </c>
      <c r="K8" s="89">
        <f>SUMIFS('6月数据源'!$I:$I,'6月数据源'!$D:$D,$E8,'6月数据源'!$F:$F,"杭州知识跳跳科技有限公司")-SUMIFS('6月数据源'!$J:$J,'6月数据源'!$D:$D,$E8,'6月数据源'!$F:$F,"杭州知识跳跳科技有限公司")</f>
        <v/>
      </c>
      <c r="L8" s="89">
        <f>SUMIFS('7月数据源'!$I:$I,'7月数据源'!$D:$D,$E8,'7月数据源'!$F:$F,"杭州知识跳跳科技有限公司")-SUMIFS('7月数据源'!$J:$J,'7月数据源'!$D:$D,$E8,'7月数据源'!$F:$F,"杭州知识跳跳科技有限公司")</f>
        <v/>
      </c>
      <c r="M8" s="89">
        <f>SUMIFS('8月数据源'!$I:$I,'8月数据源'!$D:$D,$E8,'8月数据源'!$F:$F,"杭州知识跳跳科技有限公司")-SUMIFS('8月数据源'!$J:$J,'8月数据源'!$D:$D,$E8,'8月数据源'!$F:$F,"杭州知识跳跳科技有限公司")</f>
        <v/>
      </c>
      <c r="N8" s="89">
        <f>SUMIFS('9月数据源'!$I:$I,'9月数据源'!$D:$D,$E8,'9月数据源'!$F:$F,"杭州知识跳跳科技有限公司")-SUMIFS('9月数据源'!$J:$J,'9月数据源'!$D:$D,$E8,'9月数据源'!$F:$F,"杭州知识跳跳科技有限公司")</f>
        <v/>
      </c>
      <c r="O8" s="89">
        <f>SUMIFS('10月数据源'!$I:$I,'10月数据源'!$D:$D,$E8,'10月数据源'!$F:$F,"杭州知识跳跳科技有限公司")-SUMIFS('10月数据源'!$J:$J,'10月数据源'!$D:$D,$E8,'10月数据源'!$F:$F,"杭州知识跳跳科技有限公司")</f>
        <v/>
      </c>
      <c r="P8" s="89">
        <f>SUMIFS('11月数据源'!$I:$I,'11月数据源'!$D:$D,$E8,'11月数据源'!$F:$F,"杭州知识跳跳科技有限公司")-SUMIFS('11月数据源'!$J:$J,'11月数据源'!$D:$D,$E8,'11月数据源'!$F:$F,"杭州知识跳跳科技有限公司")</f>
        <v/>
      </c>
      <c r="Q8" s="89">
        <f>SUMIFS('12月数据源'!$I:$I,'12月数据源'!$D:$D,$E8,'12月数据源'!$F:$F,"杭州知识跳跳科技有限公司")-SUMIFS('12月数据源'!$J:$J,'12月数据源'!$D:$D,$E8,'12月数据源'!$F:$F,"杭州知识跳跳科技有限公司")</f>
        <v/>
      </c>
    </row>
    <row r="9" s="83">
      <c r="A9" s="5" t="inlineStr">
        <is>
          <t>收入</t>
        </is>
      </c>
      <c r="B9" s="6" t="inlineStr">
        <is>
          <t>营业外收入</t>
        </is>
      </c>
      <c r="C9" s="6" t="inlineStr">
        <is>
          <t>营业外收入</t>
        </is>
      </c>
      <c r="D9" s="6" t="inlineStr">
        <is>
          <t>政府补贴收入</t>
        </is>
      </c>
      <c r="E9" s="6" t="inlineStr">
        <is>
          <t>Q0301</t>
        </is>
      </c>
      <c r="F9" s="89">
        <f>SUMIFS('1月数据源'!I:I,'1月数据源'!D:D,E9,'1月数据源'!F:F,"杭州知识跳跳科技有限公司")-SUMIFS('1月数据源'!J:J,'1月数据源'!D:D,E9,'1月数据源'!F:F,"杭州知识跳跳科技有限公司")</f>
        <v/>
      </c>
      <c r="G9" s="89">
        <f>SUMIFS('2月数据源'!$I:$I,'2月数据源'!$D:$D,$E9,'2月数据源'!$F:$F,"杭州知识跳跳科技有限公司")-SUMIFS('2月数据源'!$J:$J,'2月数据源'!$D:$D,$E9,'2月数据源'!$F:$F,"杭州知识跳跳科技有限公司")</f>
        <v/>
      </c>
      <c r="H9" s="89">
        <f>SUMIFS('3月数据源'!$I:$I,'3月数据源'!$D:$D,$E9,'3月数据源'!$F:$F,"杭州知识跳跳科技有限公司")-SUMIFS('3月数据源'!$J:$J,'3月数据源'!$D:$D,$E9,'3月数据源'!$F:$F,"杭州知识跳跳科技有限公司")</f>
        <v/>
      </c>
      <c r="I9" s="89">
        <f>SUMIFS('4月数据源'!$I:$I,'4月数据源'!$D:$D,$E9,'4月数据源'!$F:$F,"杭州知识跳跳科技有限公司")-SUMIFS('4月数据源'!$J:$J,'4月数据源'!$D:$D,$E9,'4月数据源'!$F:$F,"杭州知识跳跳科技有限公司")</f>
        <v/>
      </c>
      <c r="J9" s="89">
        <f>SUMIFS('5月数据源'!$I:$I,'5月数据源'!$D:$D,$E9,'5月数据源'!$F:$F,"杭州知识跳跳科技有限公司")-SUMIFS('5月数据源'!$J:$J,'5月数据源'!$D:$D,$E9,'5月数据源'!$F:$F,"杭州知识跳跳科技有限公司")</f>
        <v/>
      </c>
      <c r="K9" s="89">
        <f>SUMIFS('6月数据源'!$I:$I,'6月数据源'!$D:$D,$E9,'6月数据源'!$F:$F,"杭州知识跳跳科技有限公司")-SUMIFS('6月数据源'!$J:$J,'6月数据源'!$D:$D,$E9,'6月数据源'!$F:$F,"杭州知识跳跳科技有限公司")</f>
        <v/>
      </c>
      <c r="L9" s="89">
        <f>SUMIFS('7月数据源'!$I:$I,'7月数据源'!$D:$D,$E9,'7月数据源'!$F:$F,"杭州知识跳跳科技有限公司")-SUMIFS('7月数据源'!$J:$J,'7月数据源'!$D:$D,$E9,'7月数据源'!$F:$F,"杭州知识跳跳科技有限公司")</f>
        <v/>
      </c>
      <c r="M9" s="89">
        <f>SUMIFS('8月数据源'!$I:$I,'8月数据源'!$D:$D,$E9,'8月数据源'!$F:$F,"杭州知识跳跳科技有限公司")-SUMIFS('8月数据源'!$J:$J,'8月数据源'!$D:$D,$E9,'8月数据源'!$F:$F,"杭州知识跳跳科技有限公司")</f>
        <v/>
      </c>
      <c r="N9" s="89">
        <f>SUMIFS('9月数据源'!$I:$I,'9月数据源'!$D:$D,$E9,'9月数据源'!$F:$F,"杭州知识跳跳科技有限公司")-SUMIFS('9月数据源'!$J:$J,'9月数据源'!$D:$D,$E9,'9月数据源'!$F:$F,"杭州知识跳跳科技有限公司")</f>
        <v/>
      </c>
      <c r="O9" s="89">
        <f>SUMIFS('10月数据源'!$I:$I,'10月数据源'!$D:$D,$E9,'10月数据源'!$F:$F,"杭州知识跳跳科技有限公司")-SUMIFS('10月数据源'!$J:$J,'10月数据源'!$D:$D,$E9,'10月数据源'!$F:$F,"杭州知识跳跳科技有限公司")</f>
        <v/>
      </c>
      <c r="P9" s="89">
        <f>SUMIFS('11月数据源'!$I:$I,'11月数据源'!$D:$D,$E9,'11月数据源'!$F:$F,"杭州知识跳跳科技有限公司")-SUMIFS('11月数据源'!$J:$J,'11月数据源'!$D:$D,$E9,'11月数据源'!$F:$F,"杭州知识跳跳科技有限公司")</f>
        <v/>
      </c>
      <c r="Q9" s="89">
        <f>SUMIFS('12月数据源'!$I:$I,'12月数据源'!$D:$D,$E9,'12月数据源'!$F:$F,"杭州知识跳跳科技有限公司")-SUMIFS('12月数据源'!$J:$J,'12月数据源'!$D:$D,$E9,'12月数据源'!$F:$F,"杭州知识跳跳科技有限公司")</f>
        <v/>
      </c>
    </row>
    <row r="10" s="83">
      <c r="A10" s="5" t="inlineStr">
        <is>
          <t>收入</t>
        </is>
      </c>
      <c r="B10" s="6" t="inlineStr">
        <is>
          <t>营业外收入</t>
        </is>
      </c>
      <c r="D10" s="6" t="inlineStr">
        <is>
          <t>利息收入</t>
        </is>
      </c>
      <c r="E10" s="6" t="inlineStr">
        <is>
          <t>Q0302</t>
        </is>
      </c>
      <c r="F10" s="89">
        <f>SUMIFS('1月数据源'!I:I,'1月数据源'!D:D,E10,'1月数据源'!F:F,"杭州知识跳跳科技有限公司")-SUMIFS('1月数据源'!J:J,'1月数据源'!D:D,E10,'1月数据源'!F:F,"杭州知识跳跳科技有限公司")</f>
        <v/>
      </c>
      <c r="G10" s="89">
        <f>SUMIFS('2月数据源'!$I:$I,'2月数据源'!$D:$D,$E10,'2月数据源'!$F:$F,"杭州知识跳跳科技有限公司")-SUMIFS('2月数据源'!$J:$J,'2月数据源'!$D:$D,$E10,'2月数据源'!$F:$F,"杭州知识跳跳科技有限公司")</f>
        <v/>
      </c>
      <c r="H10" s="89">
        <f>SUMIFS('3月数据源'!$I:$I,'3月数据源'!$D:$D,$E10,'3月数据源'!$F:$F,"杭州知识跳跳科技有限公司")-SUMIFS('3月数据源'!$J:$J,'3月数据源'!$D:$D,$E10,'3月数据源'!$F:$F,"杭州知识跳跳科技有限公司")</f>
        <v/>
      </c>
      <c r="I10" s="89">
        <f>SUMIFS('4月数据源'!$I:$I,'4月数据源'!$D:$D,$E10,'4月数据源'!$F:$F,"杭州知识跳跳科技有限公司")-SUMIFS('4月数据源'!$J:$J,'4月数据源'!$D:$D,$E10,'4月数据源'!$F:$F,"杭州知识跳跳科技有限公司")</f>
        <v/>
      </c>
      <c r="J10" s="89">
        <f>SUMIFS('5月数据源'!$I:$I,'5月数据源'!$D:$D,$E10,'5月数据源'!$F:$F,"杭州知识跳跳科技有限公司")-SUMIFS('5月数据源'!$J:$J,'5月数据源'!$D:$D,$E10,'5月数据源'!$F:$F,"杭州知识跳跳科技有限公司")</f>
        <v/>
      </c>
      <c r="K10" s="89">
        <f>SUMIFS('6月数据源'!$I:$I,'6月数据源'!$D:$D,$E10,'6月数据源'!$F:$F,"杭州知识跳跳科技有限公司")-SUMIFS('6月数据源'!$J:$J,'6月数据源'!$D:$D,$E10,'6月数据源'!$F:$F,"杭州知识跳跳科技有限公司")</f>
        <v/>
      </c>
      <c r="L10" s="89">
        <f>SUMIFS('7月数据源'!$I:$I,'7月数据源'!$D:$D,$E10,'7月数据源'!$F:$F,"杭州知识跳跳科技有限公司")-SUMIFS('7月数据源'!$J:$J,'7月数据源'!$D:$D,$E10,'7月数据源'!$F:$F,"杭州知识跳跳科技有限公司")</f>
        <v/>
      </c>
      <c r="M10" s="89">
        <f>SUMIFS('8月数据源'!$I:$I,'8月数据源'!$D:$D,$E10,'8月数据源'!$F:$F,"杭州知识跳跳科技有限公司")-SUMIFS('8月数据源'!$J:$J,'8月数据源'!$D:$D,$E10,'8月数据源'!$F:$F,"杭州知识跳跳科技有限公司")</f>
        <v/>
      </c>
      <c r="N10" s="89">
        <f>SUMIFS('9月数据源'!$I:$I,'9月数据源'!$D:$D,$E10,'9月数据源'!$F:$F,"杭州知识跳跳科技有限公司")-SUMIFS('9月数据源'!$J:$J,'9月数据源'!$D:$D,$E10,'9月数据源'!$F:$F,"杭州知识跳跳科技有限公司")</f>
        <v/>
      </c>
      <c r="O10" s="89">
        <f>SUMIFS('10月数据源'!$I:$I,'10月数据源'!$D:$D,$E10,'10月数据源'!$F:$F,"杭州知识跳跳科技有限公司")-SUMIFS('10月数据源'!$J:$J,'10月数据源'!$D:$D,$E10,'10月数据源'!$F:$F,"杭州知识跳跳科技有限公司")</f>
        <v/>
      </c>
      <c r="P10" s="89">
        <f>SUMIFS('11月数据源'!$I:$I,'11月数据源'!$D:$D,$E10,'11月数据源'!$F:$F,"杭州知识跳跳科技有限公司")-SUMIFS('11月数据源'!$J:$J,'11月数据源'!$D:$D,$E10,'11月数据源'!$F:$F,"杭州知识跳跳科技有限公司")</f>
        <v/>
      </c>
      <c r="Q10" s="89">
        <f>SUMIFS('12月数据源'!$I:$I,'12月数据源'!$D:$D,$E10,'12月数据源'!$F:$F,"杭州知识跳跳科技有限公司")-SUMIFS('12月数据源'!$J:$J,'12月数据源'!$D:$D,$E10,'12月数据源'!$F:$F,"杭州知识跳跳科技有限公司")</f>
        <v/>
      </c>
    </row>
    <row r="11" s="83">
      <c r="A11" s="5" t="inlineStr">
        <is>
          <t>收入</t>
        </is>
      </c>
      <c r="B11" s="6" t="inlineStr">
        <is>
          <t>营业外收入</t>
        </is>
      </c>
      <c r="D11" s="6" t="inlineStr">
        <is>
          <t>其他收入</t>
        </is>
      </c>
      <c r="E11" s="6" t="inlineStr">
        <is>
          <t>Q0303</t>
        </is>
      </c>
      <c r="F11" s="89">
        <f>SUMIFS('1月数据源'!I:I,'1月数据源'!D:D,E11,'1月数据源'!F:F,"杭州知识跳跳科技有限公司")-SUMIFS('1月数据源'!J:J,'1月数据源'!D:D,E11,'1月数据源'!F:F,"杭州知识跳跳科技有限公司")</f>
        <v/>
      </c>
      <c r="G11" s="89">
        <f>SUMIFS('2月数据源'!$I:$I,'2月数据源'!$D:$D,$E11,'2月数据源'!$F:$F,"杭州知识跳跳科技有限公司")-SUMIFS('2月数据源'!$J:$J,'2月数据源'!$D:$D,$E11,'2月数据源'!$F:$F,"杭州知识跳跳科技有限公司")</f>
        <v/>
      </c>
      <c r="H11" s="89">
        <f>SUMIFS('3月数据源'!$I:$I,'3月数据源'!$D:$D,$E11,'3月数据源'!$F:$F,"杭州知识跳跳科技有限公司")-SUMIFS('3月数据源'!$J:$J,'3月数据源'!$D:$D,$E11,'3月数据源'!$F:$F,"杭州知识跳跳科技有限公司")</f>
        <v/>
      </c>
      <c r="I11" s="89">
        <f>SUMIFS('4月数据源'!$I:$I,'4月数据源'!$D:$D,$E11,'4月数据源'!$F:$F,"杭州知识跳跳科技有限公司")-SUMIFS('4月数据源'!$J:$J,'4月数据源'!$D:$D,$E11,'4月数据源'!$F:$F,"杭州知识跳跳科技有限公司")</f>
        <v/>
      </c>
      <c r="J11" s="89">
        <f>SUMIFS('5月数据源'!$I:$I,'5月数据源'!$D:$D,$E11,'5月数据源'!$F:$F,"杭州知识跳跳科技有限公司")-SUMIFS('5月数据源'!$J:$J,'5月数据源'!$D:$D,$E11,'5月数据源'!$F:$F,"杭州知识跳跳科技有限公司")</f>
        <v/>
      </c>
      <c r="K11" s="89">
        <f>SUMIFS('6月数据源'!$I:$I,'6月数据源'!$D:$D,$E11,'6月数据源'!$F:$F,"杭州知识跳跳科技有限公司")-SUMIFS('6月数据源'!$J:$J,'6月数据源'!$D:$D,$E11,'6月数据源'!$F:$F,"杭州知识跳跳科技有限公司")</f>
        <v/>
      </c>
      <c r="L11" s="89">
        <f>SUMIFS('7月数据源'!$I:$I,'7月数据源'!$D:$D,$E11,'7月数据源'!$F:$F,"杭州知识跳跳科技有限公司")-SUMIFS('7月数据源'!$J:$J,'7月数据源'!$D:$D,$E11,'7月数据源'!$F:$F,"杭州知识跳跳科技有限公司")</f>
        <v/>
      </c>
      <c r="M11" s="89">
        <f>SUMIFS('8月数据源'!$I:$I,'8月数据源'!$D:$D,$E11,'8月数据源'!$F:$F,"杭州知识跳跳科技有限公司")-SUMIFS('8月数据源'!$J:$J,'8月数据源'!$D:$D,$E11,'8月数据源'!$F:$F,"杭州知识跳跳科技有限公司")</f>
        <v/>
      </c>
      <c r="N11" s="89">
        <f>SUMIFS('9月数据源'!$I:$I,'9月数据源'!$D:$D,$E11,'9月数据源'!$F:$F,"杭州知识跳跳科技有限公司")-SUMIFS('9月数据源'!$J:$J,'9月数据源'!$D:$D,$E11,'9月数据源'!$F:$F,"杭州知识跳跳科技有限公司")</f>
        <v/>
      </c>
      <c r="O11" s="89">
        <f>SUMIFS('10月数据源'!$I:$I,'10月数据源'!$D:$D,$E11,'10月数据源'!$F:$F,"杭州知识跳跳科技有限公司")-SUMIFS('10月数据源'!$J:$J,'10月数据源'!$D:$D,$E11,'10月数据源'!$F:$F,"杭州知识跳跳科技有限公司")</f>
        <v/>
      </c>
      <c r="P11" s="89">
        <f>SUMIFS('11月数据源'!$I:$I,'11月数据源'!$D:$D,$E11,'11月数据源'!$F:$F,"杭州知识跳跳科技有限公司")-SUMIFS('11月数据源'!$J:$J,'11月数据源'!$D:$D,$E11,'11月数据源'!$F:$F,"杭州知识跳跳科技有限公司")</f>
        <v/>
      </c>
      <c r="Q11" s="89">
        <f>SUMIFS('12月数据源'!$I:$I,'12月数据源'!$D:$D,$E11,'12月数据源'!$F:$F,"杭州知识跳跳科技有限公司")-SUMIFS('12月数据源'!$J:$J,'12月数据源'!$D:$D,$E11,'12月数据源'!$F:$F,"杭州知识跳跳科技有限公司")</f>
        <v/>
      </c>
    </row>
    <row r="12" s="83">
      <c r="A12" s="49" t="inlineStr">
        <is>
          <t>收入合计</t>
        </is>
      </c>
      <c r="B12" s="50" t="n"/>
      <c r="C12" s="50" t="n"/>
      <c r="D12" s="49" t="n"/>
      <c r="E12" s="49" t="n"/>
      <c r="F12" s="89">
        <f>SUM(F3:F11)</f>
        <v/>
      </c>
      <c r="G12" s="89">
        <f>SUM(G3:G11)</f>
        <v/>
      </c>
      <c r="H12" s="89">
        <f>SUM(H3:H11)</f>
        <v/>
      </c>
      <c r="I12" s="89">
        <f>SUM(I3:I11)</f>
        <v/>
      </c>
      <c r="J12" s="89">
        <f>SUM(J3:J11)</f>
        <v/>
      </c>
      <c r="K12" s="89">
        <f>SUM(K3:K11)</f>
        <v/>
      </c>
      <c r="L12" s="89">
        <f>SUM(L3:L11)</f>
        <v/>
      </c>
      <c r="M12" s="89">
        <f>SUM(M3:M11)</f>
        <v/>
      </c>
      <c r="N12" s="89">
        <f>SUM(N3:N11)</f>
        <v/>
      </c>
      <c r="O12" s="89">
        <f>SUM(O3:O11)</f>
        <v/>
      </c>
      <c r="P12" s="89">
        <f>SUM(P3:P11)</f>
        <v/>
      </c>
      <c r="Q12" s="89">
        <f>SUM(Q3:Q11)</f>
        <v/>
      </c>
    </row>
    <row r="13" s="83">
      <c r="A13" s="5" t="inlineStr">
        <is>
          <t>往来款项收入</t>
        </is>
      </c>
      <c r="B13" s="6" t="inlineStr">
        <is>
          <t>往来款项收入</t>
        </is>
      </c>
      <c r="C13" s="6" t="inlineStr">
        <is>
          <t>往来款项收入</t>
        </is>
      </c>
      <c r="D13" s="5" t="inlineStr">
        <is>
          <t>内部往来收入</t>
        </is>
      </c>
      <c r="E13" s="6" t="inlineStr">
        <is>
          <t>Q0401</t>
        </is>
      </c>
      <c r="F13" s="89">
        <f>SUMIFS('1月数据源'!I:I,'1月数据源'!D:D,E13,'1月数据源'!F:F,"杭州知识跳跳科技有限公司")-SUMIFS('1月数据源'!J:J,'1月数据源'!D:D,E13,'1月数据源'!F:F,"杭州知识跳跳科技有限公司")</f>
        <v/>
      </c>
      <c r="G13" s="89">
        <f>SUMIFS('2月数据源'!$I:$I,'2月数据源'!$D:$D,$E13,'2月数据源'!$F:$F,"杭州知识跳跳科技有限公司")-SUMIFS('2月数据源'!$J:$J,'2月数据源'!$D:$D,$E13,'2月数据源'!$F:$F,"杭州知识跳跳科技有限公司")</f>
        <v/>
      </c>
      <c r="H13" s="89">
        <f>SUMIFS('3月数据源'!$I:$I,'3月数据源'!$D:$D,$E13,'3月数据源'!$F:$F,"杭州知识跳跳科技有限公司")-SUMIFS('3月数据源'!$J:$J,'3月数据源'!$D:$D,$E13,'3月数据源'!$F:$F,"杭州知识跳跳科技有限公司")</f>
        <v/>
      </c>
      <c r="I13" s="89">
        <f>SUMIFS('4月数据源'!$I:$I,'4月数据源'!$D:$D,$E13,'4月数据源'!$F:$F,"杭州知识跳跳科技有限公司")-SUMIFS('4月数据源'!$J:$J,'4月数据源'!$D:$D,$E13,'4月数据源'!$F:$F,"杭州知识跳跳科技有限公司")</f>
        <v/>
      </c>
      <c r="J13" s="89">
        <f>SUMIFS('5月数据源'!$I:$I,'5月数据源'!$D:$D,$E13,'5月数据源'!$F:$F,"杭州知识跳跳科技有限公司")-SUMIFS('5月数据源'!$J:$J,'5月数据源'!$D:$D,$E13,'5月数据源'!$F:$F,"杭州知识跳跳科技有限公司")</f>
        <v/>
      </c>
      <c r="K13" s="89">
        <f>SUMIFS('6月数据源'!$I:$I,'6月数据源'!$D:$D,$E13,'6月数据源'!$F:$F,"杭州知识跳跳科技有限公司")-SUMIFS('6月数据源'!$J:$J,'6月数据源'!$D:$D,$E13,'6月数据源'!$F:$F,"杭州知识跳跳科技有限公司")</f>
        <v/>
      </c>
      <c r="L13" s="89">
        <f>SUMIFS('7月数据源'!$I:$I,'7月数据源'!$D:$D,$E13,'7月数据源'!$F:$F,"杭州知识跳跳科技有限公司")-SUMIFS('7月数据源'!$J:$J,'7月数据源'!$D:$D,$E13,'7月数据源'!$F:$F,"杭州知识跳跳科技有限公司")</f>
        <v/>
      </c>
      <c r="M13" s="89">
        <f>SUMIFS('8月数据源'!$I:$I,'8月数据源'!$D:$D,$E13,'8月数据源'!$F:$F,"杭州知识跳跳科技有限公司")-SUMIFS('8月数据源'!$J:$J,'8月数据源'!$D:$D,$E13,'8月数据源'!$F:$F,"杭州知识跳跳科技有限公司")</f>
        <v/>
      </c>
      <c r="N13" s="89">
        <f>SUMIFS('9月数据源'!$I:$I,'9月数据源'!$D:$D,$E13,'9月数据源'!$F:$F,"杭州知识跳跳科技有限公司")-SUMIFS('9月数据源'!$J:$J,'9月数据源'!$D:$D,$E13,'9月数据源'!$F:$F,"杭州知识跳跳科技有限公司")</f>
        <v/>
      </c>
      <c r="O13" s="89">
        <f>SUMIFS('10月数据源'!$I:$I,'10月数据源'!$D:$D,$E13,'10月数据源'!$F:$F,"杭州知识跳跳科技有限公司")-SUMIFS('10月数据源'!$J:$J,'10月数据源'!$D:$D,$E13,'10月数据源'!$F:$F,"杭州知识跳跳科技有限公司")</f>
        <v/>
      </c>
      <c r="P13" s="89">
        <f>SUMIFS('11月数据源'!$I:$I,'11月数据源'!$D:$D,$E13,'11月数据源'!$F:$F,"杭州知识跳跳科技有限公司")-SUMIFS('11月数据源'!$J:$J,'11月数据源'!$D:$D,$E13,'11月数据源'!$F:$F,"杭州知识跳跳科技有限公司")</f>
        <v/>
      </c>
      <c r="Q13" s="89">
        <f>SUMIFS('12月数据源'!$I:$I,'12月数据源'!$D:$D,$E13,'12月数据源'!$F:$F,"杭州知识跳跳科技有限公司")-SUMIFS('12月数据源'!$J:$J,'12月数据源'!$D:$D,$E13,'12月数据源'!$F:$F,"杭州知识跳跳科技有限公司")</f>
        <v/>
      </c>
    </row>
    <row r="14" s="83">
      <c r="A14" s="5" t="inlineStr">
        <is>
          <t>往来款项收入</t>
        </is>
      </c>
      <c r="B14" s="6" t="inlineStr">
        <is>
          <t>往来款项收入</t>
        </is>
      </c>
      <c r="D14" s="5" t="inlineStr">
        <is>
          <t>外部往来收入</t>
        </is>
      </c>
      <c r="E14" s="6" t="inlineStr">
        <is>
          <t>Q0402</t>
        </is>
      </c>
      <c r="F14" s="89">
        <f>SUMIFS('1月数据源'!I:I,'1月数据源'!D:D,E14,'1月数据源'!F:F,"杭州知识跳跳科技有限公司")-SUMIFS('1月数据源'!J:J,'1月数据源'!D:D,E14,'1月数据源'!F:F,"杭州知识跳跳科技有限公司")</f>
        <v/>
      </c>
      <c r="G14" s="89">
        <f>SUMIFS('2月数据源'!$I:$I,'2月数据源'!$D:$D,$E14,'2月数据源'!$F:$F,"杭州知识跳跳科技有限公司")-SUMIFS('2月数据源'!$J:$J,'2月数据源'!$D:$D,$E14,'2月数据源'!$F:$F,"杭州知识跳跳科技有限公司")</f>
        <v/>
      </c>
      <c r="H14" s="89">
        <f>SUMIFS('3月数据源'!$I:$I,'3月数据源'!$D:$D,$E14,'3月数据源'!$F:$F,"杭州知识跳跳科技有限公司")-SUMIFS('3月数据源'!$J:$J,'3月数据源'!$D:$D,$E14,'3月数据源'!$F:$F,"杭州知识跳跳科技有限公司")</f>
        <v/>
      </c>
      <c r="I14" s="89">
        <f>SUMIFS('4月数据源'!$I:$I,'4月数据源'!$D:$D,$E14,'4月数据源'!$F:$F,"杭州知识跳跳科技有限公司")-SUMIFS('4月数据源'!$J:$J,'4月数据源'!$D:$D,$E14,'4月数据源'!$F:$F,"杭州知识跳跳科技有限公司")</f>
        <v/>
      </c>
      <c r="J14" s="89">
        <f>SUMIFS('5月数据源'!$I:$I,'5月数据源'!$D:$D,$E14,'5月数据源'!$F:$F,"杭州知识跳跳科技有限公司")-SUMIFS('5月数据源'!$J:$J,'5月数据源'!$D:$D,$E14,'5月数据源'!$F:$F,"杭州知识跳跳科技有限公司")</f>
        <v/>
      </c>
      <c r="K14" s="89">
        <f>SUMIFS('6月数据源'!$I:$I,'6月数据源'!$D:$D,$E14,'6月数据源'!$F:$F,"杭州知识跳跳科技有限公司")-SUMIFS('6月数据源'!$J:$J,'6月数据源'!$D:$D,$E14,'6月数据源'!$F:$F,"杭州知识跳跳科技有限公司")</f>
        <v/>
      </c>
      <c r="L14" s="89">
        <f>SUMIFS('7月数据源'!$I:$I,'7月数据源'!$D:$D,$E14,'7月数据源'!$F:$F,"杭州知识跳跳科技有限公司")-SUMIFS('7月数据源'!$J:$J,'7月数据源'!$D:$D,$E14,'7月数据源'!$F:$F,"杭州知识跳跳科技有限公司")</f>
        <v/>
      </c>
      <c r="M14" s="89">
        <f>SUMIFS('8月数据源'!$I:$I,'8月数据源'!$D:$D,$E14,'8月数据源'!$F:$F,"杭州知识跳跳科技有限公司")-SUMIFS('8月数据源'!$J:$J,'8月数据源'!$D:$D,$E14,'8月数据源'!$F:$F,"杭州知识跳跳科技有限公司")</f>
        <v/>
      </c>
      <c r="N14" s="89">
        <f>SUMIFS('9月数据源'!$I:$I,'9月数据源'!$D:$D,$E14,'9月数据源'!$F:$F,"杭州知识跳跳科技有限公司")-SUMIFS('9月数据源'!$J:$J,'9月数据源'!$D:$D,$E14,'9月数据源'!$F:$F,"杭州知识跳跳科技有限公司")</f>
        <v/>
      </c>
      <c r="O14" s="89">
        <f>SUMIFS('10月数据源'!$I:$I,'10月数据源'!$D:$D,$E14,'10月数据源'!$F:$F,"杭州知识跳跳科技有限公司")-SUMIFS('10月数据源'!$J:$J,'10月数据源'!$D:$D,$E14,'10月数据源'!$F:$F,"杭州知识跳跳科技有限公司")</f>
        <v/>
      </c>
      <c r="P14" s="89">
        <f>SUMIFS('11月数据源'!$I:$I,'11月数据源'!$D:$D,$E14,'11月数据源'!$F:$F,"杭州知识跳跳科技有限公司")-SUMIFS('11月数据源'!$J:$J,'11月数据源'!$D:$D,$E14,'11月数据源'!$F:$F,"杭州知识跳跳科技有限公司")</f>
        <v/>
      </c>
      <c r="Q14" s="89">
        <f>SUMIFS('12月数据源'!$I:$I,'12月数据源'!$D:$D,$E14,'12月数据源'!$F:$F,"杭州知识跳跳科技有限公司")-SUMIFS('12月数据源'!$J:$J,'12月数据源'!$D:$D,$E14,'12月数据源'!$F:$F,"杭州知识跳跳科技有限公司")</f>
        <v/>
      </c>
    </row>
    <row r="15" s="83">
      <c r="A15" s="49" t="inlineStr">
        <is>
          <t>往来款项收入合计</t>
        </is>
      </c>
      <c r="B15" s="50" t="n"/>
      <c r="C15" s="50" t="n"/>
      <c r="D15" s="49" t="n"/>
      <c r="E15" s="49" t="n"/>
      <c r="F15" s="89">
        <f>SUM(F13:F14)</f>
        <v/>
      </c>
      <c r="G15" s="89">
        <f>SUM(G13:G14)</f>
        <v/>
      </c>
      <c r="H15" s="89">
        <f>SUM(H13:H14)</f>
        <v/>
      </c>
      <c r="I15" s="89">
        <f>SUM(I13:I14)</f>
        <v/>
      </c>
      <c r="J15" s="89">
        <f>SUM(J13:J14)</f>
        <v/>
      </c>
      <c r="K15" s="89">
        <f>SUM(K13:K14)</f>
        <v/>
      </c>
      <c r="L15" s="89">
        <f>SUM(L13:L14)</f>
        <v/>
      </c>
      <c r="M15" s="89">
        <f>SUM(M13:M14)</f>
        <v/>
      </c>
      <c r="N15" s="89">
        <f>SUM(N13:N14)</f>
        <v/>
      </c>
      <c r="O15" s="89">
        <f>SUM(O13:O14)</f>
        <v/>
      </c>
      <c r="P15" s="89">
        <f>SUM(P13:P14)</f>
        <v/>
      </c>
      <c r="Q15" s="89">
        <f>SUM(Q13:Q14)</f>
        <v/>
      </c>
    </row>
    <row r="16" s="83">
      <c r="A16" s="5" t="inlineStr">
        <is>
          <t>投资款收入</t>
        </is>
      </c>
      <c r="B16" s="6" t="inlineStr">
        <is>
          <t>投资款收入</t>
        </is>
      </c>
      <c r="C16" s="6" t="inlineStr">
        <is>
          <t>投资款收入</t>
        </is>
      </c>
      <c r="D16" s="5" t="inlineStr">
        <is>
          <t>内部投资款收入</t>
        </is>
      </c>
      <c r="E16" s="6" t="inlineStr">
        <is>
          <t>Q0501</t>
        </is>
      </c>
      <c r="F16" s="89">
        <f>SUMIFS('1月数据源'!I:I,'1月数据源'!D:D,E16,'1月数据源'!F:F,"杭州知识跳跳科技有限公司")-SUMIFS('1月数据源'!J:J,'1月数据源'!D:D,E16,'1月数据源'!F:F,"杭州知识跳跳科技有限公司")</f>
        <v/>
      </c>
      <c r="G16" s="89">
        <f>SUMIFS('2月数据源'!$I:$I,'2月数据源'!$D:$D,$E16,'2月数据源'!$F:$F,"杭州知识跳跳科技有限公司")-SUMIFS('2月数据源'!$J:$J,'2月数据源'!$D:$D,$E16,'2月数据源'!$F:$F,"杭州知识跳跳科技有限公司")</f>
        <v/>
      </c>
      <c r="H16" s="89">
        <f>SUMIFS('3月数据源'!$I:$I,'3月数据源'!$D:$D,$E16,'3月数据源'!$F:$F,"杭州知识跳跳科技有限公司")-SUMIFS('3月数据源'!$J:$J,'3月数据源'!$D:$D,$E16,'3月数据源'!$F:$F,"杭州知识跳跳科技有限公司")</f>
        <v/>
      </c>
      <c r="I16" s="89">
        <f>SUMIFS('4月数据源'!$I:$I,'4月数据源'!$D:$D,$E16,'4月数据源'!$F:$F,"杭州知识跳跳科技有限公司")-SUMIFS('4月数据源'!$J:$J,'4月数据源'!$D:$D,$E16,'4月数据源'!$F:$F,"杭州知识跳跳科技有限公司")</f>
        <v/>
      </c>
      <c r="J16" s="89">
        <f>SUMIFS('5月数据源'!$I:$I,'5月数据源'!$D:$D,$E16,'5月数据源'!$F:$F,"杭州知识跳跳科技有限公司")-SUMIFS('5月数据源'!$J:$J,'5月数据源'!$D:$D,$E16,'5月数据源'!$F:$F,"杭州知识跳跳科技有限公司")</f>
        <v/>
      </c>
      <c r="K16" s="89">
        <f>SUMIFS('6月数据源'!$I:$I,'6月数据源'!$D:$D,$E16,'6月数据源'!$F:$F,"杭州知识跳跳科技有限公司")-SUMIFS('6月数据源'!$J:$J,'6月数据源'!$D:$D,$E16,'6月数据源'!$F:$F,"杭州知识跳跳科技有限公司")</f>
        <v/>
      </c>
      <c r="L16" s="89">
        <f>SUMIFS('7月数据源'!$I:$I,'7月数据源'!$D:$D,$E16,'7月数据源'!$F:$F,"杭州知识跳跳科技有限公司")-SUMIFS('7月数据源'!$J:$J,'7月数据源'!$D:$D,$E16,'7月数据源'!$F:$F,"杭州知识跳跳科技有限公司")</f>
        <v/>
      </c>
      <c r="M16" s="89">
        <f>SUMIFS('8月数据源'!$I:$I,'8月数据源'!$D:$D,$E16,'8月数据源'!$F:$F,"杭州知识跳跳科技有限公司")-SUMIFS('8月数据源'!$J:$J,'8月数据源'!$D:$D,$E16,'8月数据源'!$F:$F,"杭州知识跳跳科技有限公司")</f>
        <v/>
      </c>
      <c r="N16" s="89">
        <f>SUMIFS('9月数据源'!$I:$I,'9月数据源'!$D:$D,$E16,'9月数据源'!$F:$F,"杭州知识跳跳科技有限公司")-SUMIFS('9月数据源'!$J:$J,'9月数据源'!$D:$D,$E16,'9月数据源'!$F:$F,"杭州知识跳跳科技有限公司")</f>
        <v/>
      </c>
      <c r="O16" s="89">
        <f>SUMIFS('10月数据源'!$I:$I,'10月数据源'!$D:$D,$E16,'10月数据源'!$F:$F,"杭州知识跳跳科技有限公司")-SUMIFS('10月数据源'!$J:$J,'10月数据源'!$D:$D,$E16,'10月数据源'!$F:$F,"杭州知识跳跳科技有限公司")</f>
        <v/>
      </c>
      <c r="P16" s="89">
        <f>SUMIFS('11月数据源'!$I:$I,'11月数据源'!$D:$D,$E16,'11月数据源'!$F:$F,"杭州知识跳跳科技有限公司")-SUMIFS('11月数据源'!$J:$J,'11月数据源'!$D:$D,$E16,'11月数据源'!$F:$F,"杭州知识跳跳科技有限公司")</f>
        <v/>
      </c>
      <c r="Q16" s="89">
        <f>SUMIFS('12月数据源'!$I:$I,'12月数据源'!$D:$D,$E16,'12月数据源'!$F:$F,"杭州知识跳跳科技有限公司")-SUMIFS('12月数据源'!$J:$J,'12月数据源'!$D:$D,$E16,'12月数据源'!$F:$F,"杭州知识跳跳科技有限公司")</f>
        <v/>
      </c>
    </row>
    <row r="17" s="83">
      <c r="A17" s="5" t="inlineStr">
        <is>
          <t>投资款收入</t>
        </is>
      </c>
      <c r="B17" s="6" t="inlineStr">
        <is>
          <t>投资款收入</t>
        </is>
      </c>
      <c r="D17" s="5" t="inlineStr">
        <is>
          <t>外部投资款收入</t>
        </is>
      </c>
      <c r="E17" s="6" t="inlineStr">
        <is>
          <t>Q0502</t>
        </is>
      </c>
      <c r="F17" s="89">
        <f>SUMIFS('1月数据源'!I:I,'1月数据源'!D:D,E17,'1月数据源'!F:F,"杭州知识跳跳科技有限公司")-SUMIFS('1月数据源'!J:J,'1月数据源'!D:D,E17,'1月数据源'!F:F,"杭州知识跳跳科技有限公司")</f>
        <v/>
      </c>
      <c r="G17" s="89">
        <f>SUMIFS('2月数据源'!$I:$I,'2月数据源'!$D:$D,$E17,'2月数据源'!$F:$F,"杭州知识跳跳科技有限公司")-SUMIFS('2月数据源'!$J:$J,'2月数据源'!$D:$D,$E17,'2月数据源'!$F:$F,"杭州知识跳跳科技有限公司")</f>
        <v/>
      </c>
      <c r="H17" s="89">
        <f>SUMIFS('3月数据源'!$I:$I,'3月数据源'!$D:$D,$E17,'3月数据源'!$F:$F,"杭州知识跳跳科技有限公司")-SUMIFS('3月数据源'!$J:$J,'3月数据源'!$D:$D,$E17,'3月数据源'!$F:$F,"杭州知识跳跳科技有限公司")</f>
        <v/>
      </c>
      <c r="I17" s="89">
        <f>SUMIFS('4月数据源'!$I:$I,'4月数据源'!$D:$D,$E17,'4月数据源'!$F:$F,"杭州知识跳跳科技有限公司")-SUMIFS('4月数据源'!$J:$J,'4月数据源'!$D:$D,$E17,'4月数据源'!$F:$F,"杭州知识跳跳科技有限公司")</f>
        <v/>
      </c>
      <c r="J17" s="89">
        <f>SUMIFS('5月数据源'!$I:$I,'5月数据源'!$D:$D,$E17,'5月数据源'!$F:$F,"杭州知识跳跳科技有限公司")-SUMIFS('5月数据源'!$J:$J,'5月数据源'!$D:$D,$E17,'5月数据源'!$F:$F,"杭州知识跳跳科技有限公司")</f>
        <v/>
      </c>
      <c r="K17" s="89">
        <f>SUMIFS('6月数据源'!$I:$I,'6月数据源'!$D:$D,$E17,'6月数据源'!$F:$F,"杭州知识跳跳科技有限公司")-SUMIFS('6月数据源'!$J:$J,'6月数据源'!$D:$D,$E17,'6月数据源'!$F:$F,"杭州知识跳跳科技有限公司")</f>
        <v/>
      </c>
      <c r="L17" s="89">
        <f>SUMIFS('7月数据源'!$I:$I,'7月数据源'!$D:$D,$E17,'7月数据源'!$F:$F,"杭州知识跳跳科技有限公司")-SUMIFS('7月数据源'!$J:$J,'7月数据源'!$D:$D,$E17,'7月数据源'!$F:$F,"杭州知识跳跳科技有限公司")</f>
        <v/>
      </c>
      <c r="M17" s="89">
        <f>SUMIFS('8月数据源'!$I:$I,'8月数据源'!$D:$D,$E17,'8月数据源'!$F:$F,"杭州知识跳跳科技有限公司")-SUMIFS('8月数据源'!$J:$J,'8月数据源'!$D:$D,$E17,'8月数据源'!$F:$F,"杭州知识跳跳科技有限公司")</f>
        <v/>
      </c>
      <c r="N17" s="89">
        <f>SUMIFS('9月数据源'!$I:$I,'9月数据源'!$D:$D,$E17,'9月数据源'!$F:$F,"杭州知识跳跳科技有限公司")-SUMIFS('9月数据源'!$J:$J,'9月数据源'!$D:$D,$E17,'9月数据源'!$F:$F,"杭州知识跳跳科技有限公司")</f>
        <v/>
      </c>
      <c r="O17" s="89">
        <f>SUMIFS('10月数据源'!$I:$I,'10月数据源'!$D:$D,$E17,'10月数据源'!$F:$F,"杭州知识跳跳科技有限公司")-SUMIFS('10月数据源'!$J:$J,'10月数据源'!$D:$D,$E17,'10月数据源'!$F:$F,"杭州知识跳跳科技有限公司")</f>
        <v/>
      </c>
      <c r="P17" s="89">
        <f>SUMIFS('11月数据源'!$I:$I,'11月数据源'!$D:$D,$E17,'11月数据源'!$F:$F,"杭州知识跳跳科技有限公司")-SUMIFS('11月数据源'!$J:$J,'11月数据源'!$D:$D,$E17,'11月数据源'!$F:$F,"杭州知识跳跳科技有限公司")</f>
        <v/>
      </c>
      <c r="Q17" s="89">
        <f>SUMIFS('12月数据源'!$I:$I,'12月数据源'!$D:$D,$E17,'12月数据源'!$F:$F,"杭州知识跳跳科技有限公司")-SUMIFS('12月数据源'!$J:$J,'12月数据源'!$D:$D,$E17,'12月数据源'!$F:$F,"杭州知识跳跳科技有限公司")</f>
        <v/>
      </c>
    </row>
    <row r="18" s="83">
      <c r="A18" s="49" t="inlineStr">
        <is>
          <t>投资款收入合计</t>
        </is>
      </c>
      <c r="B18" s="50" t="n"/>
      <c r="C18" s="50" t="n"/>
      <c r="D18" s="49" t="n"/>
      <c r="E18" s="49" t="n"/>
      <c r="F18" s="89">
        <f>SUM(F16:F17)</f>
        <v/>
      </c>
      <c r="G18" s="89">
        <f>SUM(G16:G17)</f>
        <v/>
      </c>
      <c r="H18" s="89">
        <f>SUM(H16:H17)</f>
        <v/>
      </c>
      <c r="I18" s="89">
        <f>SUM(I16:I17)</f>
        <v/>
      </c>
      <c r="J18" s="89">
        <f>SUM(J16:J17)</f>
        <v/>
      </c>
      <c r="K18" s="89">
        <f>SUM(K16:K17)</f>
        <v/>
      </c>
      <c r="L18" s="89">
        <f>SUM(L16:L17)</f>
        <v/>
      </c>
      <c r="M18" s="89">
        <f>SUM(M16:M17)</f>
        <v/>
      </c>
      <c r="N18" s="89">
        <f>SUM(N16:N17)</f>
        <v/>
      </c>
      <c r="O18" s="89">
        <f>SUM(O16:O17)</f>
        <v/>
      </c>
      <c r="P18" s="89">
        <f>SUM(P16:P17)</f>
        <v/>
      </c>
      <c r="Q18" s="89">
        <f>SUM(Q16:Q17)</f>
        <v/>
      </c>
    </row>
    <row r="19" s="83">
      <c r="A19" s="51" t="inlineStr">
        <is>
          <t>收款合计</t>
        </is>
      </c>
      <c r="B19" s="52" t="n"/>
      <c r="C19" s="52" t="n"/>
      <c r="D19" s="51" t="n"/>
      <c r="E19" s="51" t="n"/>
      <c r="F19" s="89">
        <f>F12+F15+F18</f>
        <v/>
      </c>
      <c r="G19" s="89">
        <f>G12+G15+G18</f>
        <v/>
      </c>
      <c r="H19" s="89">
        <f>H12+H15+H18</f>
        <v/>
      </c>
      <c r="I19" s="89">
        <f>I12+I15+I18</f>
        <v/>
      </c>
      <c r="J19" s="89">
        <f>J12+J15+J18</f>
        <v/>
      </c>
      <c r="K19" s="89">
        <f>K12+K15+K18</f>
        <v/>
      </c>
      <c r="L19" s="89">
        <f>L12+L15+L18</f>
        <v/>
      </c>
      <c r="M19" s="89">
        <f>M12+M15+M18</f>
        <v/>
      </c>
      <c r="N19" s="89">
        <f>N12+N15+N18</f>
        <v/>
      </c>
      <c r="O19" s="89">
        <f>O12+O15+O18</f>
        <v/>
      </c>
      <c r="P19" s="89">
        <f>P12+P15+P18</f>
        <v/>
      </c>
      <c r="Q19" s="89">
        <f>Q12+Q15+Q18</f>
        <v/>
      </c>
    </row>
    <row r="20" s="83">
      <c r="A20" s="5" t="inlineStr">
        <is>
          <t>往来款项支出</t>
        </is>
      </c>
      <c r="B20" s="6" t="inlineStr">
        <is>
          <t>往来款项支出</t>
        </is>
      </c>
      <c r="C20" s="6" t="inlineStr">
        <is>
          <t>往来款项支出</t>
        </is>
      </c>
      <c r="D20" s="5" t="inlineStr">
        <is>
          <t>内部往来支出</t>
        </is>
      </c>
      <c r="E20" s="6" t="inlineStr">
        <is>
          <t>Q0601</t>
        </is>
      </c>
      <c r="F20" s="89">
        <f>-SUMIFS('1月数据源'!$I:$I,'1月数据源'!$D:$D,$E20,'1月数据源'!$F:$F,"杭州知识跳跳科技有限公司")+SUMIFS('1月数据源'!$J:$J,'1月数据源'!$D:$D,$E20,'1月数据源'!$F:$F,"杭州知识跳跳科技有限公司")</f>
        <v/>
      </c>
      <c r="G20" s="89">
        <f>-SUMIFS('2月数据源'!$I:$I,'2月数据源'!$D:$D,$E20,'2月数据源'!$F:$F,"杭州知识跳跳科技有限公司")+SUMIFS('2月数据源'!$J:$J,'2月数据源'!$D:$D,$E20,'2月数据源'!$F:$F,"杭州知识跳跳科技有限公司")</f>
        <v/>
      </c>
      <c r="H20" s="89">
        <f>-SUMIFS('3月数据源'!$I:$I,'3月数据源'!$D:$D,$E20,'3月数据源'!$F:$F,"杭州知识跳跳科技有限公司")+SUMIFS('3月数据源'!$J:$J,'3月数据源'!$D:$D,$E20,'3月数据源'!$F:$F,"杭州知识跳跳科技有限公司")</f>
        <v/>
      </c>
      <c r="I20" s="89">
        <f>-SUMIFS('4月数据源'!$I:$I,'4月数据源'!$D:$D,$E20,'4月数据源'!$F:$F,"杭州知识跳跳科技有限公司")+SUMIFS('4月数据源'!$J:$J,'4月数据源'!$D:$D,$E20,'4月数据源'!$F:$F,"杭州知识跳跳科技有限公司")</f>
        <v/>
      </c>
      <c r="J20" s="89">
        <f>-SUMIFS('5月数据源'!$I:$I,'5月数据源'!$D:$D,$E20,'5月数据源'!$F:$F,"杭州知识跳跳科技有限公司")+SUMIFS('5月数据源'!$J:$J,'5月数据源'!$D:$D,$E20,'5月数据源'!$F:$F,"杭州知识跳跳科技有限公司")</f>
        <v/>
      </c>
      <c r="K20" s="89">
        <f>-SUMIFS('6月数据源'!$I:$I,'6月数据源'!$D:$D,$E20,'6月数据源'!$F:$F,"杭州知识跳跳科技有限公司")+SUMIFS('6月数据源'!$J:$J,'6月数据源'!$D:$D,$E20,'6月数据源'!$F:$F,"杭州知识跳跳科技有限公司")</f>
        <v/>
      </c>
      <c r="L20" s="89">
        <f>-SUMIFS('7月数据源'!$I:$I,'7月数据源'!$D:$D,$E20,'7月数据源'!$F:$F,"杭州知识跳跳科技有限公司")+SUMIFS('7月数据源'!$J:$J,'7月数据源'!$D:$D,$E20,'7月数据源'!$F:$F,"杭州知识跳跳科技有限公司")</f>
        <v/>
      </c>
      <c r="M20" s="89">
        <f>-SUMIFS('8月数据源'!$I:$I,'8月数据源'!$D:$D,$E20,'8月数据源'!$F:$F,"杭州知识跳跳科技有限公司")+SUMIFS('8月数据源'!$J:$J,'8月数据源'!$D:$D,$E20,'8月数据源'!$F:$F,"杭州知识跳跳科技有限公司")</f>
        <v/>
      </c>
      <c r="N20" s="89">
        <f>-SUMIFS('9月数据源'!$I:$I,'9月数据源'!$D:$D,$E20,'9月数据源'!$F:$F,"杭州知识跳跳科技有限公司")+SUMIFS('9月数据源'!$J:$J,'9月数据源'!$D:$D,$E20,'9月数据源'!$F:$F,"杭州知识跳跳科技有限公司")</f>
        <v/>
      </c>
      <c r="O20" s="89">
        <f>-SUMIFS('10月数据源'!$I:$I,'10月数据源'!$D:$D,$E20,'10月数据源'!$F:$F,"杭州知识跳跳科技有限公司")+SUMIFS('10月数据源'!$J:$J,'10月数据源'!$D:$D,$E20,'10月数据源'!$F:$F,"杭州知识跳跳科技有限公司")</f>
        <v/>
      </c>
      <c r="P20" s="89">
        <f>-SUMIFS('11月数据源'!$I:$I,'11月数据源'!$D:$D,$E20,'11月数据源'!$F:$F,"杭州知识跳跳科技有限公司")+SUMIFS('11月数据源'!$J:$J,'11月数据源'!$D:$D,$E20,'11月数据源'!$F:$F,"杭州知识跳跳科技有限公司")</f>
        <v/>
      </c>
      <c r="Q20" s="89">
        <f>-SUMIFS('12月数据源'!$I:$I,'12月数据源'!$D:$D,$E20,'12月数据源'!$F:$F,"杭州知识跳跳科技有限公司")+SUMIFS('12月数据源'!$J:$J,'12月数据源'!$D:$D,$E20,'12月数据源'!$F:$F,"杭州知识跳跳科技有限公司")</f>
        <v/>
      </c>
    </row>
    <row r="21" s="83">
      <c r="A21" s="5" t="inlineStr">
        <is>
          <t>往来款项支出</t>
        </is>
      </c>
      <c r="B21" s="6" t="inlineStr">
        <is>
          <t>往来款项支出</t>
        </is>
      </c>
      <c r="D21" s="5" t="inlineStr">
        <is>
          <t>外部往来支出</t>
        </is>
      </c>
      <c r="E21" s="6" t="inlineStr">
        <is>
          <t>Q0602</t>
        </is>
      </c>
      <c r="F21" s="89">
        <f>-SUMIFS('1月数据源'!I:I,'1月数据源'!D:D,E21,'1月数据源'!F:F,"杭州知识跳跳科技有限公司")+SUMIFS('1月数据源'!J:J,'1月数据源'!D:D,E21,'1月数据源'!F:F,"杭州知识跳跳科技有限公司")</f>
        <v/>
      </c>
      <c r="G21" s="89">
        <f>-SUMIFS('2月数据源'!$I:$I,'2月数据源'!$D:$D,$E21,'2月数据源'!$F:$F,"杭州知识跳跳科技有限公司")+SUMIFS('2月数据源'!$J:$J,'2月数据源'!$D:$D,$E21,'2月数据源'!$F:$F,"杭州知识跳跳科技有限公司")</f>
        <v/>
      </c>
      <c r="H21" s="89">
        <f>-SUMIFS('3月数据源'!$I:$I,'3月数据源'!$D:$D,$E21,'3月数据源'!$F:$F,"杭州知识跳跳科技有限公司")+SUMIFS('3月数据源'!$J:$J,'3月数据源'!$D:$D,$E21,'3月数据源'!$F:$F,"杭州知识跳跳科技有限公司")</f>
        <v/>
      </c>
      <c r="I21" s="89">
        <f>-SUMIFS('4月数据源'!$I:$I,'4月数据源'!$D:$D,$E21,'4月数据源'!$F:$F,"杭州知识跳跳科技有限公司")+SUMIFS('4月数据源'!$J:$J,'4月数据源'!$D:$D,$E21,'4月数据源'!$F:$F,"杭州知识跳跳科技有限公司")</f>
        <v/>
      </c>
      <c r="J21" s="89">
        <f>-SUMIFS('5月数据源'!$I:$I,'5月数据源'!$D:$D,$E21,'5月数据源'!$F:$F,"杭州知识跳跳科技有限公司")+SUMIFS('5月数据源'!$J:$J,'5月数据源'!$D:$D,$E21,'5月数据源'!$F:$F,"杭州知识跳跳科技有限公司")</f>
        <v/>
      </c>
      <c r="K21" s="89">
        <f>-SUMIFS('6月数据源'!$I:$I,'6月数据源'!$D:$D,$E21,'6月数据源'!$F:$F,"杭州知识跳跳科技有限公司")+SUMIFS('6月数据源'!$J:$J,'6月数据源'!$D:$D,$E21,'6月数据源'!$F:$F,"杭州知识跳跳科技有限公司")</f>
        <v/>
      </c>
      <c r="L21" s="89">
        <f>-SUMIFS('7月数据源'!$I:$I,'7月数据源'!$D:$D,$E21,'7月数据源'!$F:$F,"杭州知识跳跳科技有限公司")+SUMIFS('7月数据源'!$J:$J,'7月数据源'!$D:$D,$E21,'7月数据源'!$F:$F,"杭州知识跳跳科技有限公司")</f>
        <v/>
      </c>
      <c r="M21" s="89">
        <f>-SUMIFS('8月数据源'!$I:$I,'8月数据源'!$D:$D,$E21,'8月数据源'!$F:$F,"杭州知识跳跳科技有限公司")+SUMIFS('8月数据源'!$J:$J,'8月数据源'!$D:$D,$E21,'8月数据源'!$F:$F,"杭州知识跳跳科技有限公司")</f>
        <v/>
      </c>
      <c r="N21" s="89">
        <f>-SUMIFS('9月数据源'!$I:$I,'9月数据源'!$D:$D,$E21,'9月数据源'!$F:$F,"杭州知识跳跳科技有限公司")+SUMIFS('9月数据源'!$J:$J,'9月数据源'!$D:$D,$E21,'9月数据源'!$F:$F,"杭州知识跳跳科技有限公司")</f>
        <v/>
      </c>
      <c r="O21" s="89">
        <f>-SUMIFS('10月数据源'!$I:$I,'10月数据源'!$D:$D,$E21,'10月数据源'!$F:$F,"杭州知识跳跳科技有限公司")+SUMIFS('10月数据源'!$J:$J,'10月数据源'!$D:$D,$E21,'10月数据源'!$F:$F,"杭州知识跳跳科技有限公司")</f>
        <v/>
      </c>
      <c r="P21" s="89">
        <f>-SUMIFS('11月数据源'!$I:$I,'11月数据源'!$D:$D,$E21,'11月数据源'!$F:$F,"杭州知识跳跳科技有限公司")+SUMIFS('11月数据源'!$J:$J,'11月数据源'!$D:$D,$E21,'11月数据源'!$F:$F,"杭州知识跳跳科技有限公司")</f>
        <v/>
      </c>
      <c r="Q21" s="89">
        <f>-SUMIFS('12月数据源'!$I:$I,'12月数据源'!$D:$D,$E21,'12月数据源'!$F:$F,"杭州知识跳跳科技有限公司")+SUMIFS('12月数据源'!$J:$J,'12月数据源'!$D:$D,$E21,'12月数据源'!$F:$F,"杭州知识跳跳科技有限公司")</f>
        <v/>
      </c>
    </row>
    <row r="22" s="83">
      <c r="A22" s="49" t="inlineStr">
        <is>
          <t>往来款项支出合计</t>
        </is>
      </c>
      <c r="B22" s="50" t="n"/>
      <c r="C22" s="50" t="n"/>
      <c r="D22" s="49" t="n"/>
      <c r="E22" s="49" t="n"/>
      <c r="F22" s="89">
        <f>SUM(F20:F21)</f>
        <v/>
      </c>
      <c r="G22" s="89">
        <f>SUM(G20:G21)</f>
        <v/>
      </c>
      <c r="H22" s="89">
        <f>SUM(H20:H21)</f>
        <v/>
      </c>
      <c r="I22" s="89">
        <f>SUM(I20:I21)</f>
        <v/>
      </c>
      <c r="J22" s="89">
        <f>SUM(J20:J21)</f>
        <v/>
      </c>
      <c r="K22" s="89">
        <f>SUM(K20:K21)</f>
        <v/>
      </c>
      <c r="L22" s="89">
        <f>SUM(L20:L21)</f>
        <v/>
      </c>
      <c r="M22" s="89">
        <f>SUM(M20:M21)</f>
        <v/>
      </c>
      <c r="N22" s="89">
        <f>SUM(N20:N21)</f>
        <v/>
      </c>
      <c r="O22" s="89">
        <f>SUM(O20:O21)</f>
        <v/>
      </c>
      <c r="P22" s="89">
        <f>SUM(P20:P21)</f>
        <v/>
      </c>
      <c r="Q22" s="89">
        <f>SUM(Q20:Q21)</f>
        <v/>
      </c>
    </row>
    <row r="23" s="83">
      <c r="A23" s="5" t="inlineStr">
        <is>
          <t>投资款支出</t>
        </is>
      </c>
      <c r="B23" s="6" t="inlineStr">
        <is>
          <t>投资款支出</t>
        </is>
      </c>
      <c r="C23" s="6" t="inlineStr">
        <is>
          <t>投资款支出</t>
        </is>
      </c>
      <c r="D23" s="5" t="inlineStr">
        <is>
          <t>内部投资款支出</t>
        </is>
      </c>
      <c r="E23" s="6" t="inlineStr">
        <is>
          <t>Q0701</t>
        </is>
      </c>
      <c r="F23" s="89">
        <f>-SUMIFS('1月数据源'!I:I,'1月数据源'!D:D,E23,'1月数据源'!F:F,"杭州知识跳跳科技有限公司")+SUMIFS('1月数据源'!J:J,'1月数据源'!D:D,E23,'1月数据源'!F:F,"杭州知识跳跳科技有限公司")</f>
        <v/>
      </c>
      <c r="G23" s="89">
        <f>-SUMIFS('2月数据源'!$I:$I,'2月数据源'!$D:$D,$E23,'2月数据源'!$F:$F,"杭州知识跳跳科技有限公司")+SUMIFS('2月数据源'!$J:$J,'2月数据源'!$D:$D,$E23,'2月数据源'!$F:$F,"杭州知识跳跳科技有限公司")</f>
        <v/>
      </c>
      <c r="H23" s="89">
        <f>-SUMIFS('3月数据源'!$I:$I,'3月数据源'!$D:$D,$E23,'3月数据源'!$F:$F,"杭州知识跳跳科技有限公司")+SUMIFS('3月数据源'!$J:$J,'3月数据源'!$D:$D,$E23,'3月数据源'!$F:$F,"杭州知识跳跳科技有限公司")</f>
        <v/>
      </c>
      <c r="I23" s="89">
        <f>-SUMIFS('4月数据源'!$I:$I,'4月数据源'!$D:$D,$E23,'4月数据源'!$F:$F,"杭州知识跳跳科技有限公司")+SUMIFS('4月数据源'!$J:$J,'4月数据源'!$D:$D,$E23,'4月数据源'!$F:$F,"杭州知识跳跳科技有限公司")</f>
        <v/>
      </c>
      <c r="J23" s="89">
        <f>-SUMIFS('5月数据源'!$I:$I,'5月数据源'!$D:$D,$E23,'5月数据源'!$F:$F,"杭州知识跳跳科技有限公司")+SUMIFS('5月数据源'!$J:$J,'5月数据源'!$D:$D,$E23,'5月数据源'!$F:$F,"杭州知识跳跳科技有限公司")</f>
        <v/>
      </c>
      <c r="K23" s="89">
        <f>-SUMIFS('6月数据源'!$I:$I,'6月数据源'!$D:$D,$E23,'6月数据源'!$F:$F,"杭州知识跳跳科技有限公司")+SUMIFS('6月数据源'!$J:$J,'6月数据源'!$D:$D,$E23,'6月数据源'!$F:$F,"杭州知识跳跳科技有限公司")</f>
        <v/>
      </c>
      <c r="L23" s="89">
        <f>-SUMIFS('7月数据源'!$I:$I,'7月数据源'!$D:$D,$E23,'7月数据源'!$F:$F,"杭州知识跳跳科技有限公司")+SUMIFS('7月数据源'!$J:$J,'7月数据源'!$D:$D,$E23,'7月数据源'!$F:$F,"杭州知识跳跳科技有限公司")</f>
        <v/>
      </c>
      <c r="M23" s="89">
        <f>-SUMIFS('8月数据源'!$I:$I,'8月数据源'!$D:$D,$E23,'8月数据源'!$F:$F,"杭州知识跳跳科技有限公司")+SUMIFS('8月数据源'!$J:$J,'8月数据源'!$D:$D,$E23,'8月数据源'!$F:$F,"杭州知识跳跳科技有限公司")</f>
        <v/>
      </c>
      <c r="N23" s="89">
        <f>-SUMIFS('9月数据源'!$I:$I,'9月数据源'!$D:$D,$E23,'9月数据源'!$F:$F,"杭州知识跳跳科技有限公司")+SUMIFS('9月数据源'!$J:$J,'9月数据源'!$D:$D,$E23,'9月数据源'!$F:$F,"杭州知识跳跳科技有限公司")</f>
        <v/>
      </c>
      <c r="O23" s="89">
        <f>-SUMIFS('10月数据源'!$I:$I,'10月数据源'!$D:$D,$E23,'10月数据源'!$F:$F,"杭州知识跳跳科技有限公司")+SUMIFS('10月数据源'!$J:$J,'10月数据源'!$D:$D,$E23,'10月数据源'!$F:$F,"杭州知识跳跳科技有限公司")</f>
        <v/>
      </c>
      <c r="P23" s="89">
        <f>-SUMIFS('11月数据源'!$I:$I,'11月数据源'!$D:$D,$E23,'11月数据源'!$F:$F,"杭州知识跳跳科技有限公司")+SUMIFS('11月数据源'!$J:$J,'11月数据源'!$D:$D,$E23,'11月数据源'!$F:$F,"杭州知识跳跳科技有限公司")</f>
        <v/>
      </c>
      <c r="Q23" s="89">
        <f>-SUMIFS('12月数据源'!$I:$I,'12月数据源'!$D:$D,$E23,'12月数据源'!$F:$F,"杭州知识跳跳科技有限公司")+SUMIFS('12月数据源'!$J:$J,'12月数据源'!$D:$D,$E23,'12月数据源'!$F:$F,"杭州知识跳跳科技有限公司")</f>
        <v/>
      </c>
    </row>
    <row r="24" s="83">
      <c r="A24" s="49" t="inlineStr">
        <is>
          <t>投资款支出合计</t>
        </is>
      </c>
      <c r="B24" s="50" t="n"/>
      <c r="C24" s="50" t="n"/>
      <c r="D24" s="49" t="n"/>
      <c r="E24" s="49" t="n"/>
      <c r="F24" s="89">
        <f>SUM(F23:F23)</f>
        <v/>
      </c>
      <c r="G24" s="89">
        <f>SUM(G23:G23)</f>
        <v/>
      </c>
      <c r="H24" s="89">
        <f>SUM(H23:H23)</f>
        <v/>
      </c>
      <c r="I24" s="89">
        <f>SUM(I23:I23)</f>
        <v/>
      </c>
      <c r="J24" s="89">
        <f>SUM(J23:J23)</f>
        <v/>
      </c>
      <c r="K24" s="89">
        <f>SUM(K23:K23)</f>
        <v/>
      </c>
      <c r="L24" s="89">
        <f>SUM(L23:L23)</f>
        <v/>
      </c>
      <c r="M24" s="89">
        <f>SUM(M23:M23)</f>
        <v/>
      </c>
      <c r="N24" s="89">
        <f>SUM(N23:N23)</f>
        <v/>
      </c>
      <c r="O24" s="89">
        <f>SUM(O23:O23)</f>
        <v/>
      </c>
      <c r="P24" s="89">
        <f>SUM(P23:P23)</f>
        <v/>
      </c>
      <c r="Q24" s="89">
        <f>SUM(Q23:Q23)</f>
        <v/>
      </c>
    </row>
    <row r="25" s="83">
      <c r="A25" s="5" t="inlineStr">
        <is>
          <t>人工成本</t>
        </is>
      </c>
      <c r="B25" s="6" t="inlineStr">
        <is>
          <t>人工成本</t>
        </is>
      </c>
      <c r="C25" s="6" t="inlineStr">
        <is>
          <t>人工成本</t>
        </is>
      </c>
      <c r="D25" s="5" t="inlineStr">
        <is>
          <t>实发工资</t>
        </is>
      </c>
      <c r="E25" s="6" t="inlineStr">
        <is>
          <t>Q0801</t>
        </is>
      </c>
      <c r="F25" s="89">
        <f>-SUMIFS('1月数据源'!I:I,'1月数据源'!D:D,E25,'1月数据源'!F:F,"杭州知识跳跳科技有限公司")+SUMIFS('1月数据源'!J:J,'1月数据源'!D:D,E25,'1月数据源'!F:F,"杭州知识跳跳科技有限公司")</f>
        <v/>
      </c>
      <c r="G25" s="89">
        <f>-SUMIFS('2月数据源'!$I:$I,'2月数据源'!$D:$D,$E25,'2月数据源'!$F:$F,"杭州知识跳跳科技有限公司")+SUMIFS('2月数据源'!$J:$J,'2月数据源'!$D:$D,$E25,'2月数据源'!$F:$F,"杭州知识跳跳科技有限公司")</f>
        <v/>
      </c>
      <c r="H25" s="89">
        <f>-SUMIFS('3月数据源'!$I:$I,'3月数据源'!$D:$D,$E25,'3月数据源'!$F:$F,"杭州知识跳跳科技有限公司")+SUMIFS('3月数据源'!$J:$J,'3月数据源'!$D:$D,$E25,'3月数据源'!$F:$F,"杭州知识跳跳科技有限公司")</f>
        <v/>
      </c>
      <c r="I25" s="89">
        <f>-SUMIFS('4月数据源'!$I:$I,'4月数据源'!$D:$D,$E25,'4月数据源'!$F:$F,"杭州知识跳跳科技有限公司")+SUMIFS('4月数据源'!$J:$J,'4月数据源'!$D:$D,$E25,'4月数据源'!$F:$F,"杭州知识跳跳科技有限公司")</f>
        <v/>
      </c>
      <c r="J25" s="89">
        <f>-SUMIFS('5月数据源'!$I:$I,'5月数据源'!$D:$D,$E25,'5月数据源'!$F:$F,"杭州知识跳跳科技有限公司")+SUMIFS('5月数据源'!$J:$J,'5月数据源'!$D:$D,$E25,'5月数据源'!$F:$F,"杭州知识跳跳科技有限公司")</f>
        <v/>
      </c>
      <c r="K25" s="89">
        <f>-SUMIFS('6月数据源'!$I:$I,'6月数据源'!$D:$D,$E25,'6月数据源'!$F:$F,"杭州知识跳跳科技有限公司")+SUMIFS('6月数据源'!$J:$J,'6月数据源'!$D:$D,$E25,'6月数据源'!$F:$F,"杭州知识跳跳科技有限公司")</f>
        <v/>
      </c>
      <c r="L25" s="89">
        <f>-SUMIFS('7月数据源'!$I:$I,'7月数据源'!$D:$D,$E25,'7月数据源'!$F:$F,"杭州知识跳跳科技有限公司")+SUMIFS('7月数据源'!$J:$J,'7月数据源'!$D:$D,$E25,'7月数据源'!$F:$F,"杭州知识跳跳科技有限公司")</f>
        <v/>
      </c>
      <c r="M25" s="89">
        <f>-SUMIFS('8月数据源'!$I:$I,'8月数据源'!$D:$D,$E25,'8月数据源'!$F:$F,"杭州知识跳跳科技有限公司")+SUMIFS('8月数据源'!$J:$J,'8月数据源'!$D:$D,$E25,'8月数据源'!$F:$F,"杭州知识跳跳科技有限公司")</f>
        <v/>
      </c>
      <c r="N25" s="89">
        <f>-SUMIFS('9月数据源'!$I:$I,'9月数据源'!$D:$D,$E25,'9月数据源'!$F:$F,"杭州知识跳跳科技有限公司")+SUMIFS('9月数据源'!$J:$J,'9月数据源'!$D:$D,$E25,'9月数据源'!$F:$F,"杭州知识跳跳科技有限公司")</f>
        <v/>
      </c>
      <c r="O25" s="89">
        <f>-SUMIFS('10月数据源'!$I:$I,'10月数据源'!$D:$D,$E25,'10月数据源'!$F:$F,"杭州知识跳跳科技有限公司")+SUMIFS('10月数据源'!$J:$J,'10月数据源'!$D:$D,$E25,'10月数据源'!$F:$F,"杭州知识跳跳科技有限公司")</f>
        <v/>
      </c>
      <c r="P25" s="89">
        <f>-SUMIFS('11月数据源'!$I:$I,'11月数据源'!$D:$D,$E25,'11月数据源'!$F:$F,"杭州知识跳跳科技有限公司")+SUMIFS('11月数据源'!$J:$J,'11月数据源'!$D:$D,$E25,'11月数据源'!$F:$F,"杭州知识跳跳科技有限公司")</f>
        <v/>
      </c>
      <c r="Q25" s="89">
        <f>-SUMIFS('12月数据源'!$I:$I,'12月数据源'!$D:$D,$E25,'12月数据源'!$F:$F,"杭州知识跳跳科技有限公司")+SUMIFS('12月数据源'!$J:$J,'12月数据源'!$D:$D,$E25,'12月数据源'!$F:$F,"杭州知识跳跳科技有限公司")</f>
        <v/>
      </c>
    </row>
    <row r="26" s="83">
      <c r="A26" s="5" t="inlineStr">
        <is>
          <t>人工成本</t>
        </is>
      </c>
      <c r="B26" s="6" t="inlineStr">
        <is>
          <t>人工成本</t>
        </is>
      </c>
      <c r="D26" s="5" t="inlineStr">
        <is>
          <t>奖金</t>
        </is>
      </c>
      <c r="E26" s="6" t="inlineStr">
        <is>
          <t>Q0802</t>
        </is>
      </c>
      <c r="F26" s="89">
        <f>-SUMIFS('1月数据源'!I:I,'1月数据源'!D:D,E26,'1月数据源'!F:F,"杭州知识跳跳科技有限公司")+SUMIFS('1月数据源'!J:J,'1月数据源'!D:D,E26,'1月数据源'!F:F,"杭州知识跳跳科技有限公司")</f>
        <v/>
      </c>
      <c r="G26" s="89">
        <f>-SUMIFS('2月数据源'!$I:$I,'2月数据源'!$D:$D,$E26,'2月数据源'!$F:$F,"杭州知识跳跳科技有限公司")+SUMIFS('2月数据源'!$J:$J,'2月数据源'!$D:$D,$E26,'2月数据源'!$F:$F,"杭州知识跳跳科技有限公司")</f>
        <v/>
      </c>
      <c r="H26" s="89">
        <f>-SUMIFS('3月数据源'!$I:$I,'3月数据源'!$D:$D,$E26,'3月数据源'!$F:$F,"杭州知识跳跳科技有限公司")+SUMIFS('3月数据源'!$J:$J,'3月数据源'!$D:$D,$E26,'3月数据源'!$F:$F,"杭州知识跳跳科技有限公司")</f>
        <v/>
      </c>
      <c r="I26" s="89">
        <f>-SUMIFS('4月数据源'!$I:$I,'4月数据源'!$D:$D,$E26,'4月数据源'!$F:$F,"杭州知识跳跳科技有限公司")+SUMIFS('4月数据源'!$J:$J,'4月数据源'!$D:$D,$E26,'4月数据源'!$F:$F,"杭州知识跳跳科技有限公司")</f>
        <v/>
      </c>
      <c r="J26" s="89">
        <f>-SUMIFS('5月数据源'!$I:$I,'5月数据源'!$D:$D,$E26,'5月数据源'!$F:$F,"杭州知识跳跳科技有限公司")+SUMIFS('5月数据源'!$J:$J,'5月数据源'!$D:$D,$E26,'5月数据源'!$F:$F,"杭州知识跳跳科技有限公司")</f>
        <v/>
      </c>
      <c r="K26" s="89">
        <f>-SUMIFS('6月数据源'!$I:$I,'6月数据源'!$D:$D,$E26,'6月数据源'!$F:$F,"杭州知识跳跳科技有限公司")+SUMIFS('6月数据源'!$J:$J,'6月数据源'!$D:$D,$E26,'6月数据源'!$F:$F,"杭州知识跳跳科技有限公司")</f>
        <v/>
      </c>
      <c r="L26" s="89">
        <f>-SUMIFS('7月数据源'!$I:$I,'7月数据源'!$D:$D,$E26,'7月数据源'!$F:$F,"杭州知识跳跳科技有限公司")+SUMIFS('7月数据源'!$J:$J,'7月数据源'!$D:$D,$E26,'7月数据源'!$F:$F,"杭州知识跳跳科技有限公司")</f>
        <v/>
      </c>
      <c r="M26" s="89">
        <f>-SUMIFS('8月数据源'!$I:$I,'8月数据源'!$D:$D,$E26,'8月数据源'!$F:$F,"杭州知识跳跳科技有限公司")+SUMIFS('8月数据源'!$J:$J,'8月数据源'!$D:$D,$E26,'8月数据源'!$F:$F,"杭州知识跳跳科技有限公司")</f>
        <v/>
      </c>
      <c r="N26" s="89">
        <f>-SUMIFS('9月数据源'!$I:$I,'9月数据源'!$D:$D,$E26,'9月数据源'!$F:$F,"杭州知识跳跳科技有限公司")+SUMIFS('9月数据源'!$J:$J,'9月数据源'!$D:$D,$E26,'9月数据源'!$F:$F,"杭州知识跳跳科技有限公司")</f>
        <v/>
      </c>
      <c r="O26" s="89">
        <f>-SUMIFS('10月数据源'!$I:$I,'10月数据源'!$D:$D,$E26,'10月数据源'!$F:$F,"杭州知识跳跳科技有限公司")+SUMIFS('10月数据源'!$J:$J,'10月数据源'!$D:$D,$E26,'10月数据源'!$F:$F,"杭州知识跳跳科技有限公司")</f>
        <v/>
      </c>
      <c r="P26" s="89">
        <f>-SUMIFS('11月数据源'!$I:$I,'11月数据源'!$D:$D,$E26,'11月数据源'!$F:$F,"杭州知识跳跳科技有限公司")+SUMIFS('11月数据源'!$J:$J,'11月数据源'!$D:$D,$E26,'11月数据源'!$F:$F,"杭州知识跳跳科技有限公司")</f>
        <v/>
      </c>
      <c r="Q26" s="89">
        <f>-SUMIFS('12月数据源'!$I:$I,'12月数据源'!$D:$D,$E26,'12月数据源'!$F:$F,"杭州知识跳跳科技有限公司")+SUMIFS('12月数据源'!$J:$J,'12月数据源'!$D:$D,$E26,'12月数据源'!$F:$F,"杭州知识跳跳科技有限公司")</f>
        <v/>
      </c>
    </row>
    <row r="27" s="83">
      <c r="A27" s="5" t="inlineStr">
        <is>
          <t>人工成本</t>
        </is>
      </c>
      <c r="B27" s="6" t="inlineStr">
        <is>
          <t>人工成本</t>
        </is>
      </c>
      <c r="D27" s="5" t="inlineStr">
        <is>
          <t>社保（单位+个人）</t>
        </is>
      </c>
      <c r="E27" s="6" t="inlineStr">
        <is>
          <t>Q0803</t>
        </is>
      </c>
      <c r="F27" s="89">
        <f>-SUMIFS('1月数据源'!I:I,'1月数据源'!D:D,E27,'1月数据源'!F:F,"杭州知识跳跳科技有限公司")+SUMIFS('1月数据源'!J:J,'1月数据源'!D:D,E27,'1月数据源'!F:F,"杭州知识跳跳科技有限公司")</f>
        <v/>
      </c>
      <c r="G27" s="89">
        <f>-SUMIFS('2月数据源'!$I:$I,'2月数据源'!$D:$D,$E27,'2月数据源'!$F:$F,"杭州知识跳跳科技有限公司")+SUMIFS('2月数据源'!$J:$J,'2月数据源'!$D:$D,$E27,'2月数据源'!$F:$F,"杭州知识跳跳科技有限公司")</f>
        <v/>
      </c>
      <c r="H27" s="89">
        <f>-SUMIFS('3月数据源'!$I:$I,'3月数据源'!$D:$D,$E27,'3月数据源'!$F:$F,"杭州知识跳跳科技有限公司")+SUMIFS('3月数据源'!$J:$J,'3月数据源'!$D:$D,$E27,'3月数据源'!$F:$F,"杭州知识跳跳科技有限公司")</f>
        <v/>
      </c>
      <c r="I27" s="89">
        <f>-SUMIFS('4月数据源'!$I:$I,'4月数据源'!$D:$D,$E27,'4月数据源'!$F:$F,"杭州知识跳跳科技有限公司")+SUMIFS('4月数据源'!$J:$J,'4月数据源'!$D:$D,$E27,'4月数据源'!$F:$F,"杭州知识跳跳科技有限公司")</f>
        <v/>
      </c>
      <c r="J27" s="89">
        <f>-SUMIFS('5月数据源'!$I:$I,'5月数据源'!$D:$D,$E27,'5月数据源'!$F:$F,"杭州知识跳跳科技有限公司")+SUMIFS('5月数据源'!$J:$J,'5月数据源'!$D:$D,$E27,'5月数据源'!$F:$F,"杭州知识跳跳科技有限公司")</f>
        <v/>
      </c>
      <c r="K27" s="89">
        <f>-SUMIFS('6月数据源'!$I:$I,'6月数据源'!$D:$D,$E27,'6月数据源'!$F:$F,"杭州知识跳跳科技有限公司")+SUMIFS('6月数据源'!$J:$J,'6月数据源'!$D:$D,$E27,'6月数据源'!$F:$F,"杭州知识跳跳科技有限公司")</f>
        <v/>
      </c>
      <c r="L27" s="89">
        <f>-SUMIFS('7月数据源'!$I:$I,'7月数据源'!$D:$D,$E27,'7月数据源'!$F:$F,"杭州知识跳跳科技有限公司")+SUMIFS('7月数据源'!$J:$J,'7月数据源'!$D:$D,$E27,'7月数据源'!$F:$F,"杭州知识跳跳科技有限公司")</f>
        <v/>
      </c>
      <c r="M27" s="89">
        <f>-SUMIFS('8月数据源'!$I:$I,'8月数据源'!$D:$D,$E27,'8月数据源'!$F:$F,"杭州知识跳跳科技有限公司")+SUMIFS('8月数据源'!$J:$J,'8月数据源'!$D:$D,$E27,'8月数据源'!$F:$F,"杭州知识跳跳科技有限公司")</f>
        <v/>
      </c>
      <c r="N27" s="89">
        <f>-SUMIFS('9月数据源'!$I:$I,'9月数据源'!$D:$D,$E27,'9月数据源'!$F:$F,"杭州知识跳跳科技有限公司")+SUMIFS('9月数据源'!$J:$J,'9月数据源'!$D:$D,$E27,'9月数据源'!$F:$F,"杭州知识跳跳科技有限公司")</f>
        <v/>
      </c>
      <c r="O27" s="89">
        <f>-SUMIFS('10月数据源'!$I:$I,'10月数据源'!$D:$D,$E27,'10月数据源'!$F:$F,"杭州知识跳跳科技有限公司")+SUMIFS('10月数据源'!$J:$J,'10月数据源'!$D:$D,$E27,'10月数据源'!$F:$F,"杭州知识跳跳科技有限公司")</f>
        <v/>
      </c>
      <c r="P27" s="89">
        <f>-SUMIFS('11月数据源'!$I:$I,'11月数据源'!$D:$D,$E27,'11月数据源'!$F:$F,"杭州知识跳跳科技有限公司")+SUMIFS('11月数据源'!$J:$J,'11月数据源'!$D:$D,$E27,'11月数据源'!$F:$F,"杭州知识跳跳科技有限公司")</f>
        <v/>
      </c>
      <c r="Q27" s="89">
        <f>-SUMIFS('12月数据源'!$I:$I,'12月数据源'!$D:$D,$E27,'12月数据源'!$F:$F,"杭州知识跳跳科技有限公司")+SUMIFS('12月数据源'!$J:$J,'12月数据源'!$D:$D,$E27,'12月数据源'!$F:$F,"杭州知识跳跳科技有限公司")</f>
        <v/>
      </c>
    </row>
    <row r="28" s="83">
      <c r="A28" s="5" t="inlineStr">
        <is>
          <t>人工成本</t>
        </is>
      </c>
      <c r="B28" s="6" t="inlineStr">
        <is>
          <t>人工成本</t>
        </is>
      </c>
      <c r="D28" s="5" t="inlineStr">
        <is>
          <t>公积金（单位+个人）</t>
        </is>
      </c>
      <c r="E28" s="6" t="inlineStr">
        <is>
          <t>Q0804</t>
        </is>
      </c>
      <c r="F28" s="89">
        <f>-SUMIFS('1月数据源'!I:I,'1月数据源'!D:D,E28,'1月数据源'!F:F,"杭州知识跳跳科技有限公司")+SUMIFS('1月数据源'!J:J,'1月数据源'!D:D,E28,'1月数据源'!F:F,"杭州知识跳跳科技有限公司")</f>
        <v/>
      </c>
      <c r="G28" s="89">
        <f>-SUMIFS('2月数据源'!$I:$I,'2月数据源'!$D:$D,$E28,'2月数据源'!$F:$F,"杭州知识跳跳科技有限公司")+SUMIFS('2月数据源'!$J:$J,'2月数据源'!$D:$D,$E28,'2月数据源'!$F:$F,"杭州知识跳跳科技有限公司")</f>
        <v/>
      </c>
      <c r="H28" s="89">
        <f>-SUMIFS('3月数据源'!$I:$I,'3月数据源'!$D:$D,$E28,'3月数据源'!$F:$F,"杭州知识跳跳科技有限公司")+SUMIFS('3月数据源'!$J:$J,'3月数据源'!$D:$D,$E28,'3月数据源'!$F:$F,"杭州知识跳跳科技有限公司")</f>
        <v/>
      </c>
      <c r="I28" s="89">
        <f>-SUMIFS('4月数据源'!$I:$I,'4月数据源'!$D:$D,$E28,'4月数据源'!$F:$F,"杭州知识跳跳科技有限公司")+SUMIFS('4月数据源'!$J:$J,'4月数据源'!$D:$D,$E28,'4月数据源'!$F:$F,"杭州知识跳跳科技有限公司")</f>
        <v/>
      </c>
      <c r="J28" s="89">
        <f>-SUMIFS('5月数据源'!$I:$I,'5月数据源'!$D:$D,$E28,'5月数据源'!$F:$F,"杭州知识跳跳科技有限公司")+SUMIFS('5月数据源'!$J:$J,'5月数据源'!$D:$D,$E28,'5月数据源'!$F:$F,"杭州知识跳跳科技有限公司")</f>
        <v/>
      </c>
      <c r="K28" s="89">
        <f>-SUMIFS('6月数据源'!$I:$I,'6月数据源'!$D:$D,$E28,'6月数据源'!$F:$F,"杭州知识跳跳科技有限公司")+SUMIFS('6月数据源'!$J:$J,'6月数据源'!$D:$D,$E28,'6月数据源'!$F:$F,"杭州知识跳跳科技有限公司")</f>
        <v/>
      </c>
      <c r="L28" s="89">
        <f>-SUMIFS('7月数据源'!$I:$I,'7月数据源'!$D:$D,$E28,'7月数据源'!$F:$F,"杭州知识跳跳科技有限公司")+SUMIFS('7月数据源'!$J:$J,'7月数据源'!$D:$D,$E28,'7月数据源'!$F:$F,"杭州知识跳跳科技有限公司")</f>
        <v/>
      </c>
      <c r="M28" s="89">
        <f>-SUMIFS('8月数据源'!$I:$I,'8月数据源'!$D:$D,$E28,'8月数据源'!$F:$F,"杭州知识跳跳科技有限公司")+SUMIFS('8月数据源'!$J:$J,'8月数据源'!$D:$D,$E28,'8月数据源'!$F:$F,"杭州知识跳跳科技有限公司")</f>
        <v/>
      </c>
      <c r="N28" s="89">
        <f>-SUMIFS('9月数据源'!$I:$I,'9月数据源'!$D:$D,$E28,'9月数据源'!$F:$F,"杭州知识跳跳科技有限公司")+SUMIFS('9月数据源'!$J:$J,'9月数据源'!$D:$D,$E28,'9月数据源'!$F:$F,"杭州知识跳跳科技有限公司")</f>
        <v/>
      </c>
      <c r="O28" s="89">
        <f>-SUMIFS('10月数据源'!$I:$I,'10月数据源'!$D:$D,$E28,'10月数据源'!$F:$F,"杭州知识跳跳科技有限公司")+SUMIFS('10月数据源'!$J:$J,'10月数据源'!$D:$D,$E28,'10月数据源'!$F:$F,"杭州知识跳跳科技有限公司")</f>
        <v/>
      </c>
      <c r="P28" s="89">
        <f>-SUMIFS('11月数据源'!$I:$I,'11月数据源'!$D:$D,$E28,'11月数据源'!$F:$F,"杭州知识跳跳科技有限公司")+SUMIFS('11月数据源'!$J:$J,'11月数据源'!$D:$D,$E28,'11月数据源'!$F:$F,"杭州知识跳跳科技有限公司")</f>
        <v/>
      </c>
      <c r="Q28" s="89">
        <f>-SUMIFS('12月数据源'!$I:$I,'12月数据源'!$D:$D,$E28,'12月数据源'!$F:$F,"杭州知识跳跳科技有限公司")+SUMIFS('12月数据源'!$J:$J,'12月数据源'!$D:$D,$E28,'12月数据源'!$F:$F,"杭州知识跳跳科技有限公司")</f>
        <v/>
      </c>
    </row>
    <row r="29" s="83">
      <c r="A29" s="5" t="inlineStr">
        <is>
          <t>人工成本</t>
        </is>
      </c>
      <c r="B29" s="6" t="inlineStr">
        <is>
          <t>人工成本</t>
        </is>
      </c>
      <c r="D29" s="5" t="inlineStr">
        <is>
          <t>个税</t>
        </is>
      </c>
      <c r="E29" s="6" t="inlineStr">
        <is>
          <t>Q0805</t>
        </is>
      </c>
      <c r="F29" s="89">
        <f>-SUMIFS('1月数据源'!I:I,'1月数据源'!D:D,E29,'1月数据源'!F:F,"杭州知识跳跳科技有限公司")+SUMIFS('1月数据源'!J:J,'1月数据源'!D:D,E29,'1月数据源'!F:F,"杭州知识跳跳科技有限公司")</f>
        <v/>
      </c>
      <c r="G29" s="89">
        <f>-SUMIFS('2月数据源'!$I:$I,'2月数据源'!$D:$D,$E29,'2月数据源'!$F:$F,"杭州知识跳跳科技有限公司")+SUMIFS('2月数据源'!$J:$J,'2月数据源'!$D:$D,$E29,'2月数据源'!$F:$F,"杭州知识跳跳科技有限公司")</f>
        <v/>
      </c>
      <c r="H29" s="89">
        <f>-SUMIFS('3月数据源'!$I:$I,'3月数据源'!$D:$D,$E29,'3月数据源'!$F:$F,"杭州知识跳跳科技有限公司")+SUMIFS('3月数据源'!$J:$J,'3月数据源'!$D:$D,$E29,'3月数据源'!$F:$F,"杭州知识跳跳科技有限公司")</f>
        <v/>
      </c>
      <c r="I29" s="89">
        <f>-SUMIFS('4月数据源'!$I:$I,'4月数据源'!$D:$D,$E29,'4月数据源'!$F:$F,"杭州知识跳跳科技有限公司")+SUMIFS('4月数据源'!$J:$J,'4月数据源'!$D:$D,$E29,'4月数据源'!$F:$F,"杭州知识跳跳科技有限公司")</f>
        <v/>
      </c>
      <c r="J29" s="89">
        <f>-SUMIFS('5月数据源'!$I:$I,'5月数据源'!$D:$D,$E29,'5月数据源'!$F:$F,"杭州知识跳跳科技有限公司")+SUMIFS('5月数据源'!$J:$J,'5月数据源'!$D:$D,$E29,'5月数据源'!$F:$F,"杭州知识跳跳科技有限公司")</f>
        <v/>
      </c>
      <c r="K29" s="89">
        <f>-SUMIFS('6月数据源'!$I:$I,'6月数据源'!$D:$D,$E29,'6月数据源'!$F:$F,"杭州知识跳跳科技有限公司")+SUMIFS('6月数据源'!$J:$J,'6月数据源'!$D:$D,$E29,'6月数据源'!$F:$F,"杭州知识跳跳科技有限公司")</f>
        <v/>
      </c>
      <c r="L29" s="89">
        <f>-SUMIFS('7月数据源'!$I:$I,'7月数据源'!$D:$D,$E29,'7月数据源'!$F:$F,"杭州知识跳跳科技有限公司")+SUMIFS('7月数据源'!$J:$J,'7月数据源'!$D:$D,$E29,'7月数据源'!$F:$F,"杭州知识跳跳科技有限公司")</f>
        <v/>
      </c>
      <c r="M29" s="89">
        <f>-SUMIFS('8月数据源'!$I:$I,'8月数据源'!$D:$D,$E29,'8月数据源'!$F:$F,"杭州知识跳跳科技有限公司")+SUMIFS('8月数据源'!$J:$J,'8月数据源'!$D:$D,$E29,'8月数据源'!$F:$F,"杭州知识跳跳科技有限公司")</f>
        <v/>
      </c>
      <c r="N29" s="89">
        <f>-SUMIFS('9月数据源'!$I:$I,'9月数据源'!$D:$D,$E29,'9月数据源'!$F:$F,"杭州知识跳跳科技有限公司")+SUMIFS('9月数据源'!$J:$J,'9月数据源'!$D:$D,$E29,'9月数据源'!$F:$F,"杭州知识跳跳科技有限公司")</f>
        <v/>
      </c>
      <c r="O29" s="89">
        <f>-SUMIFS('10月数据源'!$I:$I,'10月数据源'!$D:$D,$E29,'10月数据源'!$F:$F,"杭州知识跳跳科技有限公司")+SUMIFS('10月数据源'!$J:$J,'10月数据源'!$D:$D,$E29,'10月数据源'!$F:$F,"杭州知识跳跳科技有限公司")</f>
        <v/>
      </c>
      <c r="P29" s="89">
        <f>-SUMIFS('11月数据源'!$I:$I,'11月数据源'!$D:$D,$E29,'11月数据源'!$F:$F,"杭州知识跳跳科技有限公司")+SUMIFS('11月数据源'!$J:$J,'11月数据源'!$D:$D,$E29,'11月数据源'!$F:$F,"杭州知识跳跳科技有限公司")</f>
        <v/>
      </c>
      <c r="Q29" s="89">
        <f>-SUMIFS('12月数据源'!$I:$I,'12月数据源'!$D:$D,$E29,'12月数据源'!$F:$F,"杭州知识跳跳科技有限公司")+SUMIFS('12月数据源'!$J:$J,'12月数据源'!$D:$D,$E29,'12月数据源'!$F:$F,"杭州知识跳跳科技有限公司")</f>
        <v/>
      </c>
    </row>
    <row r="30" s="83">
      <c r="A30" s="5" t="inlineStr">
        <is>
          <t>人工成本</t>
        </is>
      </c>
      <c r="B30" s="6" t="inlineStr">
        <is>
          <t>人工成本</t>
        </is>
      </c>
      <c r="D30" s="5" t="inlineStr">
        <is>
          <t>福利费</t>
        </is>
      </c>
      <c r="E30" s="6" t="inlineStr">
        <is>
          <t>Q0806</t>
        </is>
      </c>
      <c r="F30" s="89">
        <f>-SUMIFS('1月数据源'!I:I,'1月数据源'!D:D,E30,'1月数据源'!F:F,"杭州知识跳跳科技有限公司")+SUMIFS('1月数据源'!J:J,'1月数据源'!D:D,E30,'1月数据源'!F:F,"杭州知识跳跳科技有限公司")</f>
        <v/>
      </c>
      <c r="G30" s="89">
        <f>-SUMIFS('2月数据源'!$I:$I,'2月数据源'!$D:$D,$E30,'2月数据源'!$F:$F,"杭州知识跳跳科技有限公司")+SUMIFS('2月数据源'!$J:$J,'2月数据源'!$D:$D,$E30,'2月数据源'!$F:$F,"杭州知识跳跳科技有限公司")</f>
        <v/>
      </c>
      <c r="H30" s="89">
        <f>-SUMIFS('3月数据源'!$I:$I,'3月数据源'!$D:$D,$E30,'3月数据源'!$F:$F,"杭州知识跳跳科技有限公司")+SUMIFS('3月数据源'!$J:$J,'3月数据源'!$D:$D,$E30,'3月数据源'!$F:$F,"杭州知识跳跳科技有限公司")</f>
        <v/>
      </c>
      <c r="I30" s="89">
        <f>-SUMIFS('4月数据源'!$I:$I,'4月数据源'!$D:$D,$E30,'4月数据源'!$F:$F,"杭州知识跳跳科技有限公司")+SUMIFS('4月数据源'!$J:$J,'4月数据源'!$D:$D,$E30,'4月数据源'!$F:$F,"杭州知识跳跳科技有限公司")</f>
        <v/>
      </c>
      <c r="J30" s="89">
        <f>-SUMIFS('5月数据源'!$I:$I,'5月数据源'!$D:$D,$E30,'5月数据源'!$F:$F,"杭州知识跳跳科技有限公司")+SUMIFS('5月数据源'!$J:$J,'5月数据源'!$D:$D,$E30,'5月数据源'!$F:$F,"杭州知识跳跳科技有限公司")</f>
        <v/>
      </c>
      <c r="K30" s="89">
        <f>-SUMIFS('6月数据源'!$I:$I,'6月数据源'!$D:$D,$E30,'6月数据源'!$F:$F,"杭州知识跳跳科技有限公司")+SUMIFS('6月数据源'!$J:$J,'6月数据源'!$D:$D,$E30,'6月数据源'!$F:$F,"杭州知识跳跳科技有限公司")</f>
        <v/>
      </c>
      <c r="L30" s="89">
        <f>-SUMIFS('7月数据源'!$I:$I,'7月数据源'!$D:$D,$E30,'7月数据源'!$F:$F,"杭州知识跳跳科技有限公司")+SUMIFS('7月数据源'!$J:$J,'7月数据源'!$D:$D,$E30,'7月数据源'!$F:$F,"杭州知识跳跳科技有限公司")</f>
        <v/>
      </c>
      <c r="M30" s="89">
        <f>-SUMIFS('8月数据源'!$I:$I,'8月数据源'!$D:$D,$E30,'8月数据源'!$F:$F,"杭州知识跳跳科技有限公司")+SUMIFS('8月数据源'!$J:$J,'8月数据源'!$D:$D,$E30,'8月数据源'!$F:$F,"杭州知识跳跳科技有限公司")</f>
        <v/>
      </c>
      <c r="N30" s="89">
        <f>-SUMIFS('9月数据源'!$I:$I,'9月数据源'!$D:$D,$E30,'9月数据源'!$F:$F,"杭州知识跳跳科技有限公司")+SUMIFS('9月数据源'!$J:$J,'9月数据源'!$D:$D,$E30,'9月数据源'!$F:$F,"杭州知识跳跳科技有限公司")</f>
        <v/>
      </c>
      <c r="O30" s="89">
        <f>-SUMIFS('10月数据源'!$I:$I,'10月数据源'!$D:$D,$E30,'10月数据源'!$F:$F,"杭州知识跳跳科技有限公司")+SUMIFS('10月数据源'!$J:$J,'10月数据源'!$D:$D,$E30,'10月数据源'!$F:$F,"杭州知识跳跳科技有限公司")</f>
        <v/>
      </c>
      <c r="P30" s="89">
        <f>-SUMIFS('11月数据源'!$I:$I,'11月数据源'!$D:$D,$E30,'11月数据源'!$F:$F,"杭州知识跳跳科技有限公司")+SUMIFS('11月数据源'!$J:$J,'11月数据源'!$D:$D,$E30,'11月数据源'!$F:$F,"杭州知识跳跳科技有限公司")</f>
        <v/>
      </c>
      <c r="Q30" s="89">
        <f>-SUMIFS('12月数据源'!$I:$I,'12月数据源'!$D:$D,$E30,'12月数据源'!$F:$F,"杭州知识跳跳科技有限公司")+SUMIFS('12月数据源'!$J:$J,'12月数据源'!$D:$D,$E30,'12月数据源'!$F:$F,"杭州知识跳跳科技有限公司")</f>
        <v/>
      </c>
    </row>
    <row r="31" s="83">
      <c r="A31" s="5" t="inlineStr">
        <is>
          <t>人工成本</t>
        </is>
      </c>
      <c r="B31" s="6" t="inlineStr">
        <is>
          <t>人工成本</t>
        </is>
      </c>
      <c r="D31" s="5" t="inlineStr">
        <is>
          <t>补偿金</t>
        </is>
      </c>
      <c r="E31" s="6" t="inlineStr">
        <is>
          <t>Q0807</t>
        </is>
      </c>
      <c r="F31" s="89">
        <f>-SUMIFS('1月数据源'!I:I,'1月数据源'!D:D,E31,'1月数据源'!F:F,"杭州知识跳跳科技有限公司")+SUMIFS('1月数据源'!J:J,'1月数据源'!D:D,E31,'1月数据源'!F:F,"杭州知识跳跳科技有限公司")</f>
        <v/>
      </c>
      <c r="G31" s="89">
        <f>-SUMIFS('2月数据源'!$I:$I,'2月数据源'!$D:$D,$E31,'2月数据源'!$F:$F,"杭州知识跳跳科技有限公司")+SUMIFS('2月数据源'!$J:$J,'2月数据源'!$D:$D,$E31,'2月数据源'!$F:$F,"杭州知识跳跳科技有限公司")</f>
        <v/>
      </c>
      <c r="H31" s="89">
        <f>-SUMIFS('3月数据源'!$I:$I,'3月数据源'!$D:$D,$E31,'3月数据源'!$F:$F,"杭州知识跳跳科技有限公司")+SUMIFS('3月数据源'!$J:$J,'3月数据源'!$D:$D,$E31,'3月数据源'!$F:$F,"杭州知识跳跳科技有限公司")</f>
        <v/>
      </c>
      <c r="I31" s="89">
        <f>-SUMIFS('4月数据源'!$I:$I,'4月数据源'!$D:$D,$E31,'4月数据源'!$F:$F,"杭州知识跳跳科技有限公司")+SUMIFS('4月数据源'!$J:$J,'4月数据源'!$D:$D,$E31,'4月数据源'!$F:$F,"杭州知识跳跳科技有限公司")</f>
        <v/>
      </c>
      <c r="J31" s="89">
        <f>-SUMIFS('5月数据源'!$I:$I,'5月数据源'!$D:$D,$E31,'5月数据源'!$F:$F,"杭州知识跳跳科技有限公司")+SUMIFS('5月数据源'!$J:$J,'5月数据源'!$D:$D,$E31,'5月数据源'!$F:$F,"杭州知识跳跳科技有限公司")</f>
        <v/>
      </c>
      <c r="K31" s="89">
        <f>-SUMIFS('6月数据源'!$I:$I,'6月数据源'!$D:$D,$E31,'6月数据源'!$F:$F,"杭州知识跳跳科技有限公司")+SUMIFS('6月数据源'!$J:$J,'6月数据源'!$D:$D,$E31,'6月数据源'!$F:$F,"杭州知识跳跳科技有限公司")</f>
        <v/>
      </c>
      <c r="L31" s="89">
        <f>-SUMIFS('7月数据源'!$I:$I,'7月数据源'!$D:$D,$E31,'7月数据源'!$F:$F,"杭州知识跳跳科技有限公司")+SUMIFS('7月数据源'!$J:$J,'7月数据源'!$D:$D,$E31,'7月数据源'!$F:$F,"杭州知识跳跳科技有限公司")</f>
        <v/>
      </c>
      <c r="M31" s="89">
        <f>-SUMIFS('8月数据源'!$I:$I,'8月数据源'!$D:$D,$E31,'8月数据源'!$F:$F,"杭州知识跳跳科技有限公司")+SUMIFS('8月数据源'!$J:$J,'8月数据源'!$D:$D,$E31,'8月数据源'!$F:$F,"杭州知识跳跳科技有限公司")</f>
        <v/>
      </c>
      <c r="N31" s="89">
        <f>-SUMIFS('9月数据源'!$I:$I,'9月数据源'!$D:$D,$E31,'9月数据源'!$F:$F,"杭州知识跳跳科技有限公司")+SUMIFS('9月数据源'!$J:$J,'9月数据源'!$D:$D,$E31,'9月数据源'!$F:$F,"杭州知识跳跳科技有限公司")</f>
        <v/>
      </c>
      <c r="O31" s="89">
        <f>-SUMIFS('10月数据源'!$I:$I,'10月数据源'!$D:$D,$E31,'10月数据源'!$F:$F,"杭州知识跳跳科技有限公司")+SUMIFS('10月数据源'!$J:$J,'10月数据源'!$D:$D,$E31,'10月数据源'!$F:$F,"杭州知识跳跳科技有限公司")</f>
        <v/>
      </c>
      <c r="P31" s="89">
        <f>-SUMIFS('11月数据源'!$I:$I,'11月数据源'!$D:$D,$E31,'11月数据源'!$F:$F,"杭州知识跳跳科技有限公司")+SUMIFS('11月数据源'!$J:$J,'11月数据源'!$D:$D,$E31,'11月数据源'!$F:$F,"杭州知识跳跳科技有限公司")</f>
        <v/>
      </c>
      <c r="Q31" s="89">
        <f>-SUMIFS('12月数据源'!$I:$I,'12月数据源'!$D:$D,$E31,'12月数据源'!$F:$F,"杭州知识跳跳科技有限公司")+SUMIFS('12月数据源'!$J:$J,'12月数据源'!$D:$D,$E31,'12月数据源'!$F:$F,"杭州知识跳跳科技有限公司")</f>
        <v/>
      </c>
    </row>
    <row r="32" s="83">
      <c r="A32" s="5" t="inlineStr">
        <is>
          <t>人工成本</t>
        </is>
      </c>
      <c r="B32" s="6" t="inlineStr">
        <is>
          <t>人工成本</t>
        </is>
      </c>
      <c r="D32" s="5" t="inlineStr">
        <is>
          <t>派遣费用</t>
        </is>
      </c>
      <c r="E32" s="6" t="inlineStr">
        <is>
          <t>Q0808</t>
        </is>
      </c>
      <c r="F32" s="89">
        <f>-SUMIFS('1月数据源'!I:I,'1月数据源'!D:D,E32,'1月数据源'!F:F,"杭州知识跳跳科技有限公司")+SUMIFS('1月数据源'!J:J,'1月数据源'!D:D,E32,'1月数据源'!F:F,"杭州知识跳跳科技有限公司")</f>
        <v/>
      </c>
      <c r="G32" s="89">
        <f>-SUMIFS('2月数据源'!$I:$I,'2月数据源'!$D:$D,$E32,'2月数据源'!$F:$F,"杭州知识跳跳科技有限公司")+SUMIFS('2月数据源'!$J:$J,'2月数据源'!$D:$D,$E32,'2月数据源'!$F:$F,"杭州知识跳跳科技有限公司")</f>
        <v/>
      </c>
      <c r="H32" s="89">
        <f>-SUMIFS('3月数据源'!$I:$I,'3月数据源'!$D:$D,$E32,'3月数据源'!$F:$F,"杭州知识跳跳科技有限公司")+SUMIFS('3月数据源'!$J:$J,'3月数据源'!$D:$D,$E32,'3月数据源'!$F:$F,"杭州知识跳跳科技有限公司")</f>
        <v/>
      </c>
      <c r="I32" s="89">
        <f>-SUMIFS('4月数据源'!$I:$I,'4月数据源'!$D:$D,$E32,'4月数据源'!$F:$F,"杭州知识跳跳科技有限公司")+SUMIFS('4月数据源'!$J:$J,'4月数据源'!$D:$D,$E32,'4月数据源'!$F:$F,"杭州知识跳跳科技有限公司")</f>
        <v/>
      </c>
      <c r="J32" s="89">
        <f>-SUMIFS('5月数据源'!$I:$I,'5月数据源'!$D:$D,$E32,'5月数据源'!$F:$F,"杭州知识跳跳科技有限公司")+SUMIFS('5月数据源'!$J:$J,'5月数据源'!$D:$D,$E32,'5月数据源'!$F:$F,"杭州知识跳跳科技有限公司")</f>
        <v/>
      </c>
      <c r="K32" s="89">
        <f>-SUMIFS('6月数据源'!$I:$I,'6月数据源'!$D:$D,$E32,'6月数据源'!$F:$F,"杭州知识跳跳科技有限公司")+SUMIFS('6月数据源'!$J:$J,'6月数据源'!$D:$D,$E32,'6月数据源'!$F:$F,"杭州知识跳跳科技有限公司")</f>
        <v/>
      </c>
      <c r="L32" s="89">
        <f>-SUMIFS('7月数据源'!$I:$I,'7月数据源'!$D:$D,$E32,'7月数据源'!$F:$F,"杭州知识跳跳科技有限公司")+SUMIFS('7月数据源'!$J:$J,'7月数据源'!$D:$D,$E32,'7月数据源'!$F:$F,"杭州知识跳跳科技有限公司")</f>
        <v/>
      </c>
      <c r="M32" s="89">
        <f>-SUMIFS('8月数据源'!$I:$I,'8月数据源'!$D:$D,$E32,'8月数据源'!$F:$F,"杭州知识跳跳科技有限公司")+SUMIFS('8月数据源'!$J:$J,'8月数据源'!$D:$D,$E32,'8月数据源'!$F:$F,"杭州知识跳跳科技有限公司")</f>
        <v/>
      </c>
      <c r="N32" s="89">
        <f>-SUMIFS('9月数据源'!$I:$I,'9月数据源'!$D:$D,$E32,'9月数据源'!$F:$F,"杭州知识跳跳科技有限公司")+SUMIFS('9月数据源'!$J:$J,'9月数据源'!$D:$D,$E32,'9月数据源'!$F:$F,"杭州知识跳跳科技有限公司")</f>
        <v/>
      </c>
      <c r="O32" s="89">
        <f>-SUMIFS('10月数据源'!$I:$I,'10月数据源'!$D:$D,$E32,'10月数据源'!$F:$F,"杭州知识跳跳科技有限公司")+SUMIFS('10月数据源'!$J:$J,'10月数据源'!$D:$D,$E32,'10月数据源'!$F:$F,"杭州知识跳跳科技有限公司")</f>
        <v/>
      </c>
      <c r="P32" s="89">
        <f>-SUMIFS('11月数据源'!$I:$I,'11月数据源'!$D:$D,$E32,'11月数据源'!$F:$F,"杭州知识跳跳科技有限公司")+SUMIFS('11月数据源'!$J:$J,'11月数据源'!$D:$D,$E32,'11月数据源'!$F:$F,"杭州知识跳跳科技有限公司")</f>
        <v/>
      </c>
      <c r="Q32" s="89">
        <f>-SUMIFS('12月数据源'!$I:$I,'12月数据源'!$D:$D,$E32,'12月数据源'!$F:$F,"杭州知识跳跳科技有限公司")+SUMIFS('12月数据源'!$J:$J,'12月数据源'!$D:$D,$E32,'12月数据源'!$F:$F,"杭州知识跳跳科技有限公司")</f>
        <v/>
      </c>
    </row>
    <row r="33" s="83">
      <c r="A33" s="5" t="inlineStr">
        <is>
          <t>人工成本</t>
        </is>
      </c>
      <c r="B33" s="6" t="inlineStr">
        <is>
          <t>人工成本</t>
        </is>
      </c>
      <c r="D33" s="5" t="inlineStr">
        <is>
          <t>顾问费</t>
        </is>
      </c>
      <c r="E33" s="6" t="inlineStr">
        <is>
          <t>Q0809</t>
        </is>
      </c>
      <c r="F33" s="89">
        <f>-SUMIFS('1月数据源'!I:I,'1月数据源'!D:D,E33,'1月数据源'!F:F,"杭州知识跳跳科技有限公司")+SUMIFS('1月数据源'!J:J,'1月数据源'!D:D,E33,'1月数据源'!F:F,"杭州知识跳跳科技有限公司")</f>
        <v/>
      </c>
      <c r="G33" s="89">
        <f>-SUMIFS('2月数据源'!$I:$I,'2月数据源'!$D:$D,$E33,'2月数据源'!$F:$F,"杭州知识跳跳科技有限公司")+SUMIFS('2月数据源'!$J:$J,'2月数据源'!$D:$D,$E33,'2月数据源'!$F:$F,"杭州知识跳跳科技有限公司")</f>
        <v/>
      </c>
      <c r="H33" s="89">
        <f>-SUMIFS('3月数据源'!$I:$I,'3月数据源'!$D:$D,$E33,'3月数据源'!$F:$F,"杭州知识跳跳科技有限公司")+SUMIFS('3月数据源'!$J:$J,'3月数据源'!$D:$D,$E33,'3月数据源'!$F:$F,"杭州知识跳跳科技有限公司")</f>
        <v/>
      </c>
      <c r="I33" s="89">
        <f>-SUMIFS('4月数据源'!$I:$I,'4月数据源'!$D:$D,$E33,'4月数据源'!$F:$F,"杭州知识跳跳科技有限公司")+SUMIFS('4月数据源'!$J:$J,'4月数据源'!$D:$D,$E33,'4月数据源'!$F:$F,"杭州知识跳跳科技有限公司")</f>
        <v/>
      </c>
      <c r="J33" s="89">
        <f>-SUMIFS('5月数据源'!$I:$I,'5月数据源'!$D:$D,$E33,'5月数据源'!$F:$F,"杭州知识跳跳科技有限公司")+SUMIFS('5月数据源'!$J:$J,'5月数据源'!$D:$D,$E33,'5月数据源'!$F:$F,"杭州知识跳跳科技有限公司")</f>
        <v/>
      </c>
      <c r="K33" s="89">
        <f>-SUMIFS('6月数据源'!$I:$I,'6月数据源'!$D:$D,$E33,'6月数据源'!$F:$F,"杭州知识跳跳科技有限公司")+SUMIFS('6月数据源'!$J:$J,'6月数据源'!$D:$D,$E33,'6月数据源'!$F:$F,"杭州知识跳跳科技有限公司")</f>
        <v/>
      </c>
      <c r="L33" s="89">
        <f>-SUMIFS('7月数据源'!$I:$I,'7月数据源'!$D:$D,$E33,'7月数据源'!$F:$F,"杭州知识跳跳科技有限公司")+SUMIFS('7月数据源'!$J:$J,'7月数据源'!$D:$D,$E33,'7月数据源'!$F:$F,"杭州知识跳跳科技有限公司")</f>
        <v/>
      </c>
      <c r="M33" s="89">
        <f>-SUMIFS('8月数据源'!$I:$I,'8月数据源'!$D:$D,$E33,'8月数据源'!$F:$F,"杭州知识跳跳科技有限公司")+SUMIFS('8月数据源'!$J:$J,'8月数据源'!$D:$D,$E33,'8月数据源'!$F:$F,"杭州知识跳跳科技有限公司")</f>
        <v/>
      </c>
      <c r="N33" s="89">
        <f>-SUMIFS('9月数据源'!$I:$I,'9月数据源'!$D:$D,$E33,'9月数据源'!$F:$F,"杭州知识跳跳科技有限公司")+SUMIFS('9月数据源'!$J:$J,'9月数据源'!$D:$D,$E33,'9月数据源'!$F:$F,"杭州知识跳跳科技有限公司")</f>
        <v/>
      </c>
      <c r="O33" s="89">
        <f>-SUMIFS('10月数据源'!$I:$I,'10月数据源'!$D:$D,$E33,'10月数据源'!$F:$F,"杭州知识跳跳科技有限公司")+SUMIFS('10月数据源'!$J:$J,'10月数据源'!$D:$D,$E33,'10月数据源'!$F:$F,"杭州知识跳跳科技有限公司")</f>
        <v/>
      </c>
      <c r="P33" s="89">
        <f>-SUMIFS('11月数据源'!$I:$I,'11月数据源'!$D:$D,$E33,'11月数据源'!$F:$F,"杭州知识跳跳科技有限公司")+SUMIFS('11月数据源'!$J:$J,'11月数据源'!$D:$D,$E33,'11月数据源'!$F:$F,"杭州知识跳跳科技有限公司")</f>
        <v/>
      </c>
      <c r="Q33" s="89">
        <f>-SUMIFS('12月数据源'!$I:$I,'12月数据源'!$D:$D,$E33,'12月数据源'!$F:$F,"杭州知识跳跳科技有限公司")+SUMIFS('12月数据源'!$J:$J,'12月数据源'!$D:$D,$E33,'12月数据源'!$F:$F,"杭州知识跳跳科技有限公司")</f>
        <v/>
      </c>
    </row>
    <row r="34" s="83">
      <c r="A34" s="5" t="inlineStr">
        <is>
          <t>人工成本</t>
        </is>
      </c>
      <c r="B34" s="6" t="inlineStr">
        <is>
          <t>人工成本</t>
        </is>
      </c>
      <c r="D34" s="5" t="inlineStr">
        <is>
          <t>其他人工成本</t>
        </is>
      </c>
      <c r="E34" s="6" t="inlineStr">
        <is>
          <t>Q08010</t>
        </is>
      </c>
      <c r="F34" s="89">
        <f>-SUMIFS('1月数据源'!I:I,'1月数据源'!D:D,E34,'1月数据源'!F:F,"杭州知识跳跳科技有限公司")+SUMIFS('1月数据源'!J:J,'1月数据源'!D:D,E34,'1月数据源'!F:F,"杭州知识跳跳科技有限公司")</f>
        <v/>
      </c>
      <c r="G34" s="89">
        <f>-SUMIFS('2月数据源'!$I:$I,'2月数据源'!$D:$D,$E34,'2月数据源'!$F:$F,"杭州知识跳跳科技有限公司")+SUMIFS('2月数据源'!$J:$J,'2月数据源'!$D:$D,$E34,'2月数据源'!$F:$F,"杭州知识跳跳科技有限公司")</f>
        <v/>
      </c>
      <c r="H34" s="89">
        <f>-SUMIFS('3月数据源'!$I:$I,'3月数据源'!$D:$D,$E34,'3月数据源'!$F:$F,"杭州知识跳跳科技有限公司")+SUMIFS('3月数据源'!$J:$J,'3月数据源'!$D:$D,$E34,'3月数据源'!$F:$F,"杭州知识跳跳科技有限公司")</f>
        <v/>
      </c>
      <c r="I34" s="89">
        <f>-SUMIFS('4月数据源'!$I:$I,'4月数据源'!$D:$D,$E34,'4月数据源'!$F:$F,"杭州知识跳跳科技有限公司")+SUMIFS('4月数据源'!$J:$J,'4月数据源'!$D:$D,$E34,'4月数据源'!$F:$F,"杭州知识跳跳科技有限公司")</f>
        <v/>
      </c>
      <c r="J34" s="89">
        <f>-SUMIFS('5月数据源'!$I:$I,'5月数据源'!$D:$D,$E34,'5月数据源'!$F:$F,"杭州知识跳跳科技有限公司")+SUMIFS('5月数据源'!$J:$J,'5月数据源'!$D:$D,$E34,'5月数据源'!$F:$F,"杭州知识跳跳科技有限公司")</f>
        <v/>
      </c>
      <c r="K34" s="89">
        <f>-SUMIFS('6月数据源'!$I:$I,'6月数据源'!$D:$D,$E34,'6月数据源'!$F:$F,"杭州知识跳跳科技有限公司")+SUMIFS('6月数据源'!$J:$J,'6月数据源'!$D:$D,$E34,'6月数据源'!$F:$F,"杭州知识跳跳科技有限公司")</f>
        <v/>
      </c>
      <c r="L34" s="89">
        <f>-SUMIFS('7月数据源'!$I:$I,'7月数据源'!$D:$D,$E34,'7月数据源'!$F:$F,"杭州知识跳跳科技有限公司")+SUMIFS('7月数据源'!$J:$J,'7月数据源'!$D:$D,$E34,'7月数据源'!$F:$F,"杭州知识跳跳科技有限公司")</f>
        <v/>
      </c>
      <c r="M34" s="89">
        <f>-SUMIFS('8月数据源'!$I:$I,'8月数据源'!$D:$D,$E34,'8月数据源'!$F:$F,"杭州知识跳跳科技有限公司")+SUMIFS('8月数据源'!$J:$J,'8月数据源'!$D:$D,$E34,'8月数据源'!$F:$F,"杭州知识跳跳科技有限公司")</f>
        <v/>
      </c>
      <c r="N34" s="89">
        <f>-SUMIFS('9月数据源'!$I:$I,'9月数据源'!$D:$D,$E34,'9月数据源'!$F:$F,"杭州知识跳跳科技有限公司")+SUMIFS('9月数据源'!$J:$J,'9月数据源'!$D:$D,$E34,'9月数据源'!$F:$F,"杭州知识跳跳科技有限公司")</f>
        <v/>
      </c>
      <c r="O34" s="89">
        <f>-SUMIFS('10月数据源'!$I:$I,'10月数据源'!$D:$D,$E34,'10月数据源'!$F:$F,"杭州知识跳跳科技有限公司")+SUMIFS('10月数据源'!$J:$J,'10月数据源'!$D:$D,$E34,'10月数据源'!$F:$F,"杭州知识跳跳科技有限公司")</f>
        <v/>
      </c>
      <c r="P34" s="89">
        <f>-SUMIFS('11月数据源'!$I:$I,'11月数据源'!$D:$D,$E34,'11月数据源'!$F:$F,"杭州知识跳跳科技有限公司")+SUMIFS('11月数据源'!$J:$J,'11月数据源'!$D:$D,$E34,'11月数据源'!$F:$F,"杭州知识跳跳科技有限公司")</f>
        <v/>
      </c>
      <c r="Q34" s="89">
        <f>-SUMIFS('12月数据源'!$I:$I,'12月数据源'!$D:$D,$E34,'12月数据源'!$F:$F,"杭州知识跳跳科技有限公司")+SUMIFS('12月数据源'!$J:$J,'12月数据源'!$D:$D,$E34,'12月数据源'!$F:$F,"杭州知识跳跳科技有限公司")</f>
        <v/>
      </c>
    </row>
    <row r="35" s="83">
      <c r="A35" s="49" t="inlineStr">
        <is>
          <t>人工成本合计</t>
        </is>
      </c>
      <c r="B35" s="50" t="n"/>
      <c r="C35" s="50" t="n"/>
      <c r="D35" s="49" t="n"/>
      <c r="E35" s="49" t="n"/>
      <c r="F35" s="89">
        <f>SUM(F25:F34)</f>
        <v/>
      </c>
      <c r="G35" s="89">
        <f>SUM(G25:G34)</f>
        <v/>
      </c>
      <c r="H35" s="89">
        <f>SUM(H25:H34)</f>
        <v/>
      </c>
      <c r="I35" s="89">
        <f>SUM(I25:I34)</f>
        <v/>
      </c>
      <c r="J35" s="89">
        <f>SUM(J25:J34)</f>
        <v/>
      </c>
      <c r="K35" s="89">
        <f>SUM(K25:K34)</f>
        <v/>
      </c>
      <c r="L35" s="89">
        <f>SUM(L25:L34)</f>
        <v/>
      </c>
      <c r="M35" s="89">
        <f>SUM(M25:M34)</f>
        <v/>
      </c>
      <c r="N35" s="89">
        <f>SUM(N25:N34)</f>
        <v/>
      </c>
      <c r="O35" s="89">
        <f>SUM(O25:O34)</f>
        <v/>
      </c>
      <c r="P35" s="89">
        <f>SUM(P25:P34)</f>
        <v/>
      </c>
      <c r="Q35" s="89">
        <f>SUM(Q25:Q34)</f>
        <v/>
      </c>
    </row>
    <row r="36" s="83">
      <c r="A36" s="5" t="inlineStr">
        <is>
          <t>硬件支出</t>
        </is>
      </c>
      <c r="B36" s="6" t="inlineStr">
        <is>
          <t>BONG MAX</t>
        </is>
      </c>
      <c r="C36" s="6" t="inlineStr">
        <is>
          <t>BONG MAX</t>
        </is>
      </c>
      <c r="D36" s="5" t="inlineStr">
        <is>
          <t>TCL平板电脑款项</t>
        </is>
      </c>
      <c r="E36" s="6" t="inlineStr">
        <is>
          <t>Q0901</t>
        </is>
      </c>
      <c r="F36" s="89">
        <f>-SUMIFS('1月数据源'!I:I,'1月数据源'!D:D,E36,'1月数据源'!F:F,"杭州知识跳跳科技有限公司")+SUMIFS('1月数据源'!J:J,'1月数据源'!D:D,E36,'1月数据源'!F:F,"杭州知识跳跳科技有限公司")</f>
        <v/>
      </c>
      <c r="G36" s="89">
        <f>-SUMIFS('2月数据源'!$I:$I,'2月数据源'!$D:$D,$E36,'2月数据源'!$F:$F,"杭州知识跳跳科技有限公司")+SUMIFS('2月数据源'!$J:$J,'2月数据源'!$D:$D,$E36,'2月数据源'!$F:$F,"杭州知识跳跳科技有限公司")</f>
        <v/>
      </c>
      <c r="H36" s="89">
        <f>-SUMIFS('3月数据源'!$I:$I,'3月数据源'!$D:$D,$E36,'3月数据源'!$F:$F,"杭州知识跳跳科技有限公司")+SUMIFS('3月数据源'!$J:$J,'3月数据源'!$D:$D,$E36,'3月数据源'!$F:$F,"杭州知识跳跳科技有限公司")</f>
        <v/>
      </c>
      <c r="I36" s="89">
        <f>-SUMIFS('4月数据源'!$I:$I,'4月数据源'!$D:$D,$E36,'4月数据源'!$F:$F,"杭州知识跳跳科技有限公司")+SUMIFS('4月数据源'!$J:$J,'4月数据源'!$D:$D,$E36,'4月数据源'!$F:$F,"杭州知识跳跳科技有限公司")</f>
        <v/>
      </c>
      <c r="J36" s="89">
        <f>-SUMIFS('5月数据源'!$I:$I,'5月数据源'!$D:$D,$E36,'5月数据源'!$F:$F,"杭州知识跳跳科技有限公司")+SUMIFS('5月数据源'!$J:$J,'5月数据源'!$D:$D,$E36,'5月数据源'!$F:$F,"杭州知识跳跳科技有限公司")</f>
        <v/>
      </c>
      <c r="K36" s="89">
        <f>-SUMIFS('6月数据源'!$I:$I,'6月数据源'!$D:$D,$E36,'6月数据源'!$F:$F,"杭州知识跳跳科技有限公司")+SUMIFS('6月数据源'!$J:$J,'6月数据源'!$D:$D,$E36,'6月数据源'!$F:$F,"杭州知识跳跳科技有限公司")</f>
        <v/>
      </c>
      <c r="L36" s="89">
        <f>-SUMIFS('7月数据源'!$I:$I,'7月数据源'!$D:$D,$E36,'7月数据源'!$F:$F,"杭州知识跳跳科技有限公司")+SUMIFS('7月数据源'!$J:$J,'7月数据源'!$D:$D,$E36,'7月数据源'!$F:$F,"杭州知识跳跳科技有限公司")</f>
        <v/>
      </c>
      <c r="M36" s="89">
        <f>-SUMIFS('8月数据源'!$I:$I,'8月数据源'!$D:$D,$E36,'8月数据源'!$F:$F,"杭州知识跳跳科技有限公司")+SUMIFS('8月数据源'!$J:$J,'8月数据源'!$D:$D,$E36,'8月数据源'!$F:$F,"杭州知识跳跳科技有限公司")</f>
        <v/>
      </c>
      <c r="N36" s="89">
        <f>-SUMIFS('9月数据源'!$I:$I,'9月数据源'!$D:$D,$E36,'9月数据源'!$F:$F,"杭州知识跳跳科技有限公司")+SUMIFS('9月数据源'!$J:$J,'9月数据源'!$D:$D,$E36,'9月数据源'!$F:$F,"杭州知识跳跳科技有限公司")</f>
        <v/>
      </c>
      <c r="O36" s="89">
        <f>-SUMIFS('10月数据源'!$I:$I,'10月数据源'!$D:$D,$E36,'10月数据源'!$F:$F,"杭州知识跳跳科技有限公司")+SUMIFS('10月数据源'!$J:$J,'10月数据源'!$D:$D,$E36,'10月数据源'!$F:$F,"杭州知识跳跳科技有限公司")</f>
        <v/>
      </c>
      <c r="P36" s="89">
        <f>-SUMIFS('11月数据源'!$I:$I,'11月数据源'!$D:$D,$E36,'11月数据源'!$F:$F,"杭州知识跳跳科技有限公司")+SUMIFS('11月数据源'!$J:$J,'11月数据源'!$D:$D,$E36,'11月数据源'!$F:$F,"杭州知识跳跳科技有限公司")</f>
        <v/>
      </c>
      <c r="Q36" s="89">
        <f>-SUMIFS('12月数据源'!$I:$I,'12月数据源'!$D:$D,$E36,'12月数据源'!$F:$F,"杭州知识跳跳科技有限公司")+SUMIFS('12月数据源'!$J:$J,'12月数据源'!$D:$D,$E36,'12月数据源'!$F:$F,"杭州知识跳跳科技有限公司")</f>
        <v/>
      </c>
    </row>
    <row r="37" s="83">
      <c r="A37" s="5" t="inlineStr">
        <is>
          <t>硬件支出</t>
        </is>
      </c>
      <c r="B37" s="6" t="inlineStr">
        <is>
          <t>BONG MAX</t>
        </is>
      </c>
      <c r="D37" s="5" t="inlineStr">
        <is>
          <t>保护套</t>
        </is>
      </c>
      <c r="E37" s="6" t="inlineStr">
        <is>
          <t>Q0902</t>
        </is>
      </c>
      <c r="F37" s="89">
        <f>-SUMIFS('1月数据源'!I:I,'1月数据源'!D:D,E37,'1月数据源'!F:F,"杭州知识跳跳科技有限公司")+SUMIFS('1月数据源'!J:J,'1月数据源'!D:D,E37,'1月数据源'!F:F,"杭州知识跳跳科技有限公司")</f>
        <v/>
      </c>
      <c r="G37" s="89">
        <f>-SUMIFS('2月数据源'!$I:$I,'2月数据源'!$D:$D,$E37,'2月数据源'!$F:$F,"杭州知识跳跳科技有限公司")+SUMIFS('2月数据源'!$J:$J,'2月数据源'!$D:$D,$E37,'2月数据源'!$F:$F,"杭州知识跳跳科技有限公司")</f>
        <v/>
      </c>
      <c r="H37" s="89">
        <f>-SUMIFS('3月数据源'!$I:$I,'3月数据源'!$D:$D,$E37,'3月数据源'!$F:$F,"杭州知识跳跳科技有限公司")+SUMIFS('3月数据源'!$J:$J,'3月数据源'!$D:$D,$E37,'3月数据源'!$F:$F,"杭州知识跳跳科技有限公司")</f>
        <v/>
      </c>
      <c r="I37" s="89">
        <f>-SUMIFS('4月数据源'!$I:$I,'4月数据源'!$D:$D,$E37,'4月数据源'!$F:$F,"杭州知识跳跳科技有限公司")+SUMIFS('4月数据源'!$J:$J,'4月数据源'!$D:$D,$E37,'4月数据源'!$F:$F,"杭州知识跳跳科技有限公司")</f>
        <v/>
      </c>
      <c r="J37" s="89">
        <f>-SUMIFS('5月数据源'!$I:$I,'5月数据源'!$D:$D,$E37,'5月数据源'!$F:$F,"杭州知识跳跳科技有限公司")+SUMIFS('5月数据源'!$J:$J,'5月数据源'!$D:$D,$E37,'5月数据源'!$F:$F,"杭州知识跳跳科技有限公司")</f>
        <v/>
      </c>
      <c r="K37" s="89">
        <f>-SUMIFS('6月数据源'!$I:$I,'6月数据源'!$D:$D,$E37,'6月数据源'!$F:$F,"杭州知识跳跳科技有限公司")+SUMIFS('6月数据源'!$J:$J,'6月数据源'!$D:$D,$E37,'6月数据源'!$F:$F,"杭州知识跳跳科技有限公司")</f>
        <v/>
      </c>
      <c r="L37" s="89">
        <f>-SUMIFS('7月数据源'!$I:$I,'7月数据源'!$D:$D,$E37,'7月数据源'!$F:$F,"杭州知识跳跳科技有限公司")+SUMIFS('7月数据源'!$J:$J,'7月数据源'!$D:$D,$E37,'7月数据源'!$F:$F,"杭州知识跳跳科技有限公司")</f>
        <v/>
      </c>
      <c r="M37" s="89">
        <f>-SUMIFS('8月数据源'!$I:$I,'8月数据源'!$D:$D,$E37,'8月数据源'!$F:$F,"杭州知识跳跳科技有限公司")+SUMIFS('8月数据源'!$J:$J,'8月数据源'!$D:$D,$E37,'8月数据源'!$F:$F,"杭州知识跳跳科技有限公司")</f>
        <v/>
      </c>
      <c r="N37" s="89">
        <f>-SUMIFS('9月数据源'!$I:$I,'9月数据源'!$D:$D,$E37,'9月数据源'!$F:$F,"杭州知识跳跳科技有限公司")+SUMIFS('9月数据源'!$J:$J,'9月数据源'!$D:$D,$E37,'9月数据源'!$F:$F,"杭州知识跳跳科技有限公司")</f>
        <v/>
      </c>
      <c r="O37" s="89">
        <f>-SUMIFS('10月数据源'!$I:$I,'10月数据源'!$D:$D,$E37,'10月数据源'!$F:$F,"杭州知识跳跳科技有限公司")+SUMIFS('10月数据源'!$J:$J,'10月数据源'!$D:$D,$E37,'10月数据源'!$F:$F,"杭州知识跳跳科技有限公司")</f>
        <v/>
      </c>
      <c r="P37" s="89">
        <f>-SUMIFS('11月数据源'!$I:$I,'11月数据源'!$D:$D,$E37,'11月数据源'!$F:$F,"杭州知识跳跳科技有限公司")+SUMIFS('11月数据源'!$J:$J,'11月数据源'!$D:$D,$E37,'11月数据源'!$F:$F,"杭州知识跳跳科技有限公司")</f>
        <v/>
      </c>
      <c r="Q37" s="89">
        <f>-SUMIFS('12月数据源'!$I:$I,'12月数据源'!$D:$D,$E37,'12月数据源'!$F:$F,"杭州知识跳跳科技有限公司")+SUMIFS('12月数据源'!$J:$J,'12月数据源'!$D:$D,$E37,'12月数据源'!$F:$F,"杭州知识跳跳科技有限公司")</f>
        <v/>
      </c>
    </row>
    <row r="38" s="83">
      <c r="A38" s="5" t="inlineStr">
        <is>
          <t>硬件支出</t>
        </is>
      </c>
      <c r="B38" s="6" t="inlineStr">
        <is>
          <t>BONG MAX</t>
        </is>
      </c>
      <c r="D38" s="5" t="inlineStr">
        <is>
          <t>包装盒</t>
        </is>
      </c>
      <c r="E38" s="6" t="inlineStr">
        <is>
          <t>Q0903</t>
        </is>
      </c>
      <c r="F38" s="89">
        <f>-SUMIFS('1月数据源'!I:I,'1月数据源'!D:D,E38,'1月数据源'!F:F,"杭州知识跳跳科技有限公司")+SUMIFS('1月数据源'!J:J,'1月数据源'!D:D,E38,'1月数据源'!F:F,"杭州知识跳跳科技有限公司")</f>
        <v/>
      </c>
      <c r="G38" s="89">
        <f>-SUMIFS('2月数据源'!$I:$I,'2月数据源'!$D:$D,$E38,'2月数据源'!$F:$F,"杭州知识跳跳科技有限公司")+SUMIFS('2月数据源'!$J:$J,'2月数据源'!$D:$D,$E38,'2月数据源'!$F:$F,"杭州知识跳跳科技有限公司")</f>
        <v/>
      </c>
      <c r="H38" s="89">
        <f>-SUMIFS('3月数据源'!$I:$I,'3月数据源'!$D:$D,$E38,'3月数据源'!$F:$F,"杭州知识跳跳科技有限公司")+SUMIFS('3月数据源'!$J:$J,'3月数据源'!$D:$D,$E38,'3月数据源'!$F:$F,"杭州知识跳跳科技有限公司")</f>
        <v/>
      </c>
      <c r="I38" s="89">
        <f>-SUMIFS('4月数据源'!$I:$I,'4月数据源'!$D:$D,$E38,'4月数据源'!$F:$F,"杭州知识跳跳科技有限公司")+SUMIFS('4月数据源'!$J:$J,'4月数据源'!$D:$D,$E38,'4月数据源'!$F:$F,"杭州知识跳跳科技有限公司")</f>
        <v/>
      </c>
      <c r="J38" s="89">
        <f>-SUMIFS('5月数据源'!$I:$I,'5月数据源'!$D:$D,$E38,'5月数据源'!$F:$F,"杭州知识跳跳科技有限公司")+SUMIFS('5月数据源'!$J:$J,'5月数据源'!$D:$D,$E38,'5月数据源'!$F:$F,"杭州知识跳跳科技有限公司")</f>
        <v/>
      </c>
      <c r="K38" s="89">
        <f>-SUMIFS('6月数据源'!$I:$I,'6月数据源'!$D:$D,$E38,'6月数据源'!$F:$F,"杭州知识跳跳科技有限公司")+SUMIFS('6月数据源'!$J:$J,'6月数据源'!$D:$D,$E38,'6月数据源'!$F:$F,"杭州知识跳跳科技有限公司")</f>
        <v/>
      </c>
      <c r="L38" s="89">
        <f>-SUMIFS('7月数据源'!$I:$I,'7月数据源'!$D:$D,$E38,'7月数据源'!$F:$F,"杭州知识跳跳科技有限公司")+SUMIFS('7月数据源'!$J:$J,'7月数据源'!$D:$D,$E38,'7月数据源'!$F:$F,"杭州知识跳跳科技有限公司")</f>
        <v/>
      </c>
      <c r="M38" s="89">
        <f>-SUMIFS('8月数据源'!$I:$I,'8月数据源'!$D:$D,$E38,'8月数据源'!$F:$F,"杭州知识跳跳科技有限公司")+SUMIFS('8月数据源'!$J:$J,'8月数据源'!$D:$D,$E38,'8月数据源'!$F:$F,"杭州知识跳跳科技有限公司")</f>
        <v/>
      </c>
      <c r="N38" s="89">
        <f>-SUMIFS('9月数据源'!$I:$I,'9月数据源'!$D:$D,$E38,'9月数据源'!$F:$F,"杭州知识跳跳科技有限公司")+SUMIFS('9月数据源'!$J:$J,'9月数据源'!$D:$D,$E38,'9月数据源'!$F:$F,"杭州知识跳跳科技有限公司")</f>
        <v/>
      </c>
      <c r="O38" s="89">
        <f>-SUMIFS('10月数据源'!$I:$I,'10月数据源'!$D:$D,$E38,'10月数据源'!$F:$F,"杭州知识跳跳科技有限公司")+SUMIFS('10月数据源'!$J:$J,'10月数据源'!$D:$D,$E38,'10月数据源'!$F:$F,"杭州知识跳跳科技有限公司")</f>
        <v/>
      </c>
      <c r="P38" s="89">
        <f>-SUMIFS('11月数据源'!$I:$I,'11月数据源'!$D:$D,$E38,'11月数据源'!$F:$F,"杭州知识跳跳科技有限公司")+SUMIFS('11月数据源'!$J:$J,'11月数据源'!$D:$D,$E38,'11月数据源'!$F:$F,"杭州知识跳跳科技有限公司")</f>
        <v/>
      </c>
      <c r="Q38" s="89">
        <f>-SUMIFS('12月数据源'!$I:$I,'12月数据源'!$D:$D,$E38,'12月数据源'!$F:$F,"杭州知识跳跳科技有限公司")+SUMIFS('12月数据源'!$J:$J,'12月数据源'!$D:$D,$E38,'12月数据源'!$F:$F,"杭州知识跳跳科技有限公司")</f>
        <v/>
      </c>
    </row>
    <row r="39" s="83">
      <c r="A39" s="5" t="inlineStr">
        <is>
          <t>硬件支出</t>
        </is>
      </c>
      <c r="B39" s="6" t="inlineStr">
        <is>
          <t>BONG MAX</t>
        </is>
      </c>
      <c r="D39" s="5" t="inlineStr">
        <is>
          <t>充电器</t>
        </is>
      </c>
      <c r="E39" s="6" t="inlineStr">
        <is>
          <t>Q0904</t>
        </is>
      </c>
      <c r="F39" s="89">
        <f>-SUMIFS('1月数据源'!I:I,'1月数据源'!D:D,E39,'1月数据源'!F:F,"杭州知识跳跳科技有限公司")+SUMIFS('1月数据源'!J:J,'1月数据源'!D:D,E39,'1月数据源'!F:F,"杭州知识跳跳科技有限公司")</f>
        <v/>
      </c>
      <c r="G39" s="89">
        <f>-SUMIFS('2月数据源'!$I:$I,'2月数据源'!$D:$D,$E39,'2月数据源'!$F:$F,"杭州知识跳跳科技有限公司")+SUMIFS('2月数据源'!$J:$J,'2月数据源'!$D:$D,$E39,'2月数据源'!$F:$F,"杭州知识跳跳科技有限公司")</f>
        <v/>
      </c>
      <c r="H39" s="89">
        <f>-SUMIFS('3月数据源'!$I:$I,'3月数据源'!$D:$D,$E39,'3月数据源'!$F:$F,"杭州知识跳跳科技有限公司")+SUMIFS('3月数据源'!$J:$J,'3月数据源'!$D:$D,$E39,'3月数据源'!$F:$F,"杭州知识跳跳科技有限公司")</f>
        <v/>
      </c>
      <c r="I39" s="89">
        <f>-SUMIFS('4月数据源'!$I:$I,'4月数据源'!$D:$D,$E39,'4月数据源'!$F:$F,"杭州知识跳跳科技有限公司")+SUMIFS('4月数据源'!$J:$J,'4月数据源'!$D:$D,$E39,'4月数据源'!$F:$F,"杭州知识跳跳科技有限公司")</f>
        <v/>
      </c>
      <c r="J39" s="89">
        <f>-SUMIFS('5月数据源'!$I:$I,'5月数据源'!$D:$D,$E39,'5月数据源'!$F:$F,"杭州知识跳跳科技有限公司")+SUMIFS('5月数据源'!$J:$J,'5月数据源'!$D:$D,$E39,'5月数据源'!$F:$F,"杭州知识跳跳科技有限公司")</f>
        <v/>
      </c>
      <c r="K39" s="89">
        <f>-SUMIFS('6月数据源'!$I:$I,'6月数据源'!$D:$D,$E39,'6月数据源'!$F:$F,"杭州知识跳跳科技有限公司")+SUMIFS('6月数据源'!$J:$J,'6月数据源'!$D:$D,$E39,'6月数据源'!$F:$F,"杭州知识跳跳科技有限公司")</f>
        <v/>
      </c>
      <c r="L39" s="89">
        <f>-SUMIFS('7月数据源'!$I:$I,'7月数据源'!$D:$D,$E39,'7月数据源'!$F:$F,"杭州知识跳跳科技有限公司")+SUMIFS('7月数据源'!$J:$J,'7月数据源'!$D:$D,$E39,'7月数据源'!$F:$F,"杭州知识跳跳科技有限公司")</f>
        <v/>
      </c>
      <c r="M39" s="89">
        <f>-SUMIFS('8月数据源'!$I:$I,'8月数据源'!$D:$D,$E39,'8月数据源'!$F:$F,"杭州知识跳跳科技有限公司")+SUMIFS('8月数据源'!$J:$J,'8月数据源'!$D:$D,$E39,'8月数据源'!$F:$F,"杭州知识跳跳科技有限公司")</f>
        <v/>
      </c>
      <c r="N39" s="89">
        <f>-SUMIFS('9月数据源'!$I:$I,'9月数据源'!$D:$D,$E39,'9月数据源'!$F:$F,"杭州知识跳跳科技有限公司")+SUMIFS('9月数据源'!$J:$J,'9月数据源'!$D:$D,$E39,'9月数据源'!$F:$F,"杭州知识跳跳科技有限公司")</f>
        <v/>
      </c>
      <c r="O39" s="89">
        <f>-SUMIFS('10月数据源'!$I:$I,'10月数据源'!$D:$D,$E39,'10月数据源'!$F:$F,"杭州知识跳跳科技有限公司")+SUMIFS('10月数据源'!$J:$J,'10月数据源'!$D:$D,$E39,'10月数据源'!$F:$F,"杭州知识跳跳科技有限公司")</f>
        <v/>
      </c>
      <c r="P39" s="89">
        <f>-SUMIFS('11月数据源'!$I:$I,'11月数据源'!$D:$D,$E39,'11月数据源'!$F:$F,"杭州知识跳跳科技有限公司")+SUMIFS('11月数据源'!$J:$J,'11月数据源'!$D:$D,$E39,'11月数据源'!$F:$F,"杭州知识跳跳科技有限公司")</f>
        <v/>
      </c>
      <c r="Q39" s="89">
        <f>-SUMIFS('12月数据源'!$I:$I,'12月数据源'!$D:$D,$E39,'12月数据源'!$F:$F,"杭州知识跳跳科技有限公司")+SUMIFS('12月数据源'!$J:$J,'12月数据源'!$D:$D,$E39,'12月数据源'!$F:$F,"杭州知识跳跳科技有限公司")</f>
        <v/>
      </c>
    </row>
    <row r="40" s="83">
      <c r="A40" s="5" t="inlineStr">
        <is>
          <t>硬件支出</t>
        </is>
      </c>
      <c r="B40" s="6" t="inlineStr">
        <is>
          <t>BONG MAX</t>
        </is>
      </c>
      <c r="D40" s="5" t="inlineStr">
        <is>
          <t>指学镜</t>
        </is>
      </c>
      <c r="E40" s="6" t="inlineStr">
        <is>
          <t>Q0905</t>
        </is>
      </c>
      <c r="F40" s="89">
        <f>-SUMIFS('1月数据源'!I:I,'1月数据源'!D:D,E40,'1月数据源'!F:F,"杭州知识跳跳科技有限公司")+SUMIFS('1月数据源'!J:J,'1月数据源'!D:D,E40,'1月数据源'!F:F,"杭州知识跳跳科技有限公司")</f>
        <v/>
      </c>
      <c r="G40" s="89">
        <f>-SUMIFS('2月数据源'!$I:$I,'2月数据源'!$D:$D,$E40,'2月数据源'!$F:$F,"杭州知识跳跳科技有限公司")+SUMIFS('2月数据源'!$J:$J,'2月数据源'!$D:$D,$E40,'2月数据源'!$F:$F,"杭州知识跳跳科技有限公司")</f>
        <v/>
      </c>
      <c r="H40" s="89">
        <f>-SUMIFS('3月数据源'!$I:$I,'3月数据源'!$D:$D,$E40,'3月数据源'!$F:$F,"杭州知识跳跳科技有限公司")+SUMIFS('3月数据源'!$J:$J,'3月数据源'!$D:$D,$E40,'3月数据源'!$F:$F,"杭州知识跳跳科技有限公司")</f>
        <v/>
      </c>
      <c r="I40" s="89">
        <f>-SUMIFS('4月数据源'!$I:$I,'4月数据源'!$D:$D,$E40,'4月数据源'!$F:$F,"杭州知识跳跳科技有限公司")+SUMIFS('4月数据源'!$J:$J,'4月数据源'!$D:$D,$E40,'4月数据源'!$F:$F,"杭州知识跳跳科技有限公司")</f>
        <v/>
      </c>
      <c r="J40" s="89">
        <f>-SUMIFS('5月数据源'!$I:$I,'5月数据源'!$D:$D,$E40,'5月数据源'!$F:$F,"杭州知识跳跳科技有限公司")+SUMIFS('5月数据源'!$J:$J,'5月数据源'!$D:$D,$E40,'5月数据源'!$F:$F,"杭州知识跳跳科技有限公司")</f>
        <v/>
      </c>
      <c r="K40" s="89">
        <f>-SUMIFS('6月数据源'!$I:$I,'6月数据源'!$D:$D,$E40,'6月数据源'!$F:$F,"杭州知识跳跳科技有限公司")+SUMIFS('6月数据源'!$J:$J,'6月数据源'!$D:$D,$E40,'6月数据源'!$F:$F,"杭州知识跳跳科技有限公司")</f>
        <v/>
      </c>
      <c r="L40" s="89">
        <f>-SUMIFS('7月数据源'!$I:$I,'7月数据源'!$D:$D,$E40,'7月数据源'!$F:$F,"杭州知识跳跳科技有限公司")+SUMIFS('7月数据源'!$J:$J,'7月数据源'!$D:$D,$E40,'7月数据源'!$F:$F,"杭州知识跳跳科技有限公司")</f>
        <v/>
      </c>
      <c r="M40" s="89">
        <f>-SUMIFS('8月数据源'!$I:$I,'8月数据源'!$D:$D,$E40,'8月数据源'!$F:$F,"杭州知识跳跳科技有限公司")+SUMIFS('8月数据源'!$J:$J,'8月数据源'!$D:$D,$E40,'8月数据源'!$F:$F,"杭州知识跳跳科技有限公司")</f>
        <v/>
      </c>
      <c r="N40" s="89">
        <f>-SUMIFS('9月数据源'!$I:$I,'9月数据源'!$D:$D,$E40,'9月数据源'!$F:$F,"杭州知识跳跳科技有限公司")+SUMIFS('9月数据源'!$J:$J,'9月数据源'!$D:$D,$E40,'9月数据源'!$F:$F,"杭州知识跳跳科技有限公司")</f>
        <v/>
      </c>
      <c r="O40" s="89">
        <f>-SUMIFS('10月数据源'!$I:$I,'10月数据源'!$D:$D,$E40,'10月数据源'!$F:$F,"杭州知识跳跳科技有限公司")+SUMIFS('10月数据源'!$J:$J,'10月数据源'!$D:$D,$E40,'10月数据源'!$F:$F,"杭州知识跳跳科技有限公司")</f>
        <v/>
      </c>
      <c r="P40" s="89">
        <f>-SUMIFS('11月数据源'!$I:$I,'11月数据源'!$D:$D,$E40,'11月数据源'!$F:$F,"杭州知识跳跳科技有限公司")+SUMIFS('11月数据源'!$J:$J,'11月数据源'!$D:$D,$E40,'11月数据源'!$F:$F,"杭州知识跳跳科技有限公司")</f>
        <v/>
      </c>
      <c r="Q40" s="89">
        <f>-SUMIFS('12月数据源'!$I:$I,'12月数据源'!$D:$D,$E40,'12月数据源'!$F:$F,"杭州知识跳跳科技有限公司")+SUMIFS('12月数据源'!$J:$J,'12月数据源'!$D:$D,$E40,'12月数据源'!$F:$F,"杭州知识跳跳科技有限公司")</f>
        <v/>
      </c>
    </row>
    <row r="41" s="83">
      <c r="A41" s="5" t="inlineStr">
        <is>
          <t>硬件支出</t>
        </is>
      </c>
      <c r="B41" s="6" t="inlineStr">
        <is>
          <t>BONG MAX</t>
        </is>
      </c>
      <c r="D41" s="5" t="inlineStr">
        <is>
          <t>学习机系统授权费</t>
        </is>
      </c>
      <c r="E41" s="6" t="inlineStr">
        <is>
          <t>Q0906</t>
        </is>
      </c>
      <c r="F41" s="89">
        <f>-SUMIFS('1月数据源'!I:I,'1月数据源'!D:D,E41,'1月数据源'!F:F,"杭州知识跳跳科技有限公司")+SUMIFS('1月数据源'!J:J,'1月数据源'!D:D,E41,'1月数据源'!F:F,"杭州知识跳跳科技有限公司")</f>
        <v/>
      </c>
      <c r="G41" s="89">
        <f>-SUMIFS('2月数据源'!$I:$I,'2月数据源'!$D:$D,$E41,'2月数据源'!$F:$F,"杭州知识跳跳科技有限公司")+SUMIFS('2月数据源'!$J:$J,'2月数据源'!$D:$D,$E41,'2月数据源'!$F:$F,"杭州知识跳跳科技有限公司")</f>
        <v/>
      </c>
      <c r="H41" s="89">
        <f>-SUMIFS('3月数据源'!$I:$I,'3月数据源'!$D:$D,$E41,'3月数据源'!$F:$F,"杭州知识跳跳科技有限公司")+SUMIFS('3月数据源'!$J:$J,'3月数据源'!$D:$D,$E41,'3月数据源'!$F:$F,"杭州知识跳跳科技有限公司")</f>
        <v/>
      </c>
      <c r="I41" s="89">
        <f>-SUMIFS('4月数据源'!$I:$I,'4月数据源'!$D:$D,$E41,'4月数据源'!$F:$F,"杭州知识跳跳科技有限公司")+SUMIFS('4月数据源'!$J:$J,'4月数据源'!$D:$D,$E41,'4月数据源'!$F:$F,"杭州知识跳跳科技有限公司")</f>
        <v/>
      </c>
      <c r="J41" s="89">
        <f>-SUMIFS('5月数据源'!$I:$I,'5月数据源'!$D:$D,$E41,'5月数据源'!$F:$F,"杭州知识跳跳科技有限公司")+SUMIFS('5月数据源'!$J:$J,'5月数据源'!$D:$D,$E41,'5月数据源'!$F:$F,"杭州知识跳跳科技有限公司")</f>
        <v/>
      </c>
      <c r="K41" s="89">
        <f>-SUMIFS('6月数据源'!$I:$I,'6月数据源'!$D:$D,$E41,'6月数据源'!$F:$F,"杭州知识跳跳科技有限公司")+SUMIFS('6月数据源'!$J:$J,'6月数据源'!$D:$D,$E41,'6月数据源'!$F:$F,"杭州知识跳跳科技有限公司")</f>
        <v/>
      </c>
      <c r="L41" s="89">
        <f>-SUMIFS('7月数据源'!$I:$I,'7月数据源'!$D:$D,$E41,'7月数据源'!$F:$F,"杭州知识跳跳科技有限公司")+SUMIFS('7月数据源'!$J:$J,'7月数据源'!$D:$D,$E41,'7月数据源'!$F:$F,"杭州知识跳跳科技有限公司")</f>
        <v/>
      </c>
      <c r="M41" s="89">
        <f>-SUMIFS('8月数据源'!$I:$I,'8月数据源'!$D:$D,$E41,'8月数据源'!$F:$F,"杭州知识跳跳科技有限公司")+SUMIFS('8月数据源'!$J:$J,'8月数据源'!$D:$D,$E41,'8月数据源'!$F:$F,"杭州知识跳跳科技有限公司")</f>
        <v/>
      </c>
      <c r="N41" s="89">
        <f>-SUMIFS('9月数据源'!$I:$I,'9月数据源'!$D:$D,$E41,'9月数据源'!$F:$F,"杭州知识跳跳科技有限公司")+SUMIFS('9月数据源'!$J:$J,'9月数据源'!$D:$D,$E41,'9月数据源'!$F:$F,"杭州知识跳跳科技有限公司")</f>
        <v/>
      </c>
      <c r="O41" s="89">
        <f>-SUMIFS('10月数据源'!$I:$I,'10月数据源'!$D:$D,$E41,'10月数据源'!$F:$F,"杭州知识跳跳科技有限公司")+SUMIFS('10月数据源'!$J:$J,'10月数据源'!$D:$D,$E41,'10月数据源'!$F:$F,"杭州知识跳跳科技有限公司")</f>
        <v/>
      </c>
      <c r="P41" s="89">
        <f>-SUMIFS('11月数据源'!$I:$I,'11月数据源'!$D:$D,$E41,'11月数据源'!$F:$F,"杭州知识跳跳科技有限公司")+SUMIFS('11月数据源'!$J:$J,'11月数据源'!$D:$D,$E41,'11月数据源'!$F:$F,"杭州知识跳跳科技有限公司")</f>
        <v/>
      </c>
      <c r="Q41" s="89">
        <f>-SUMIFS('12月数据源'!$I:$I,'12月数据源'!$D:$D,$E41,'12月数据源'!$F:$F,"杭州知识跳跳科技有限公司")+SUMIFS('12月数据源'!$J:$J,'12月数据源'!$D:$D,$E41,'12月数据源'!$F:$F,"杭州知识跳跳科技有限公司")</f>
        <v/>
      </c>
    </row>
    <row r="42" s="83">
      <c r="A42" s="5" t="inlineStr">
        <is>
          <t>硬件支出</t>
        </is>
      </c>
      <c r="B42" s="6" t="inlineStr">
        <is>
          <t>BONG PRO</t>
        </is>
      </c>
      <c r="C42" s="6" t="inlineStr">
        <is>
          <t>BONG PRO</t>
        </is>
      </c>
      <c r="D42" s="5" t="inlineStr">
        <is>
          <t>BOE平板电脑款项</t>
        </is>
      </c>
      <c r="E42" s="6" t="inlineStr">
        <is>
          <t>Q1001</t>
        </is>
      </c>
      <c r="F42" s="89">
        <f>-SUMIFS('1月数据源'!I:I,'1月数据源'!D:D,E42,'1月数据源'!F:F,"杭州知识跳跳科技有限公司")+SUMIFS('1月数据源'!J:J,'1月数据源'!D:D,E42,'1月数据源'!F:F,"杭州知识跳跳科技有限公司")</f>
        <v/>
      </c>
      <c r="G42" s="89">
        <f>-SUMIFS('2月数据源'!$I:$I,'2月数据源'!$D:$D,$E42,'2月数据源'!$F:$F,"杭州知识跳跳科技有限公司")+SUMIFS('2月数据源'!$J:$J,'2月数据源'!$D:$D,$E42,'2月数据源'!$F:$F,"杭州知识跳跳科技有限公司")</f>
        <v/>
      </c>
      <c r="H42" s="89">
        <f>-SUMIFS('3月数据源'!$I:$I,'3月数据源'!$D:$D,$E42,'3月数据源'!$F:$F,"杭州知识跳跳科技有限公司")+SUMIFS('3月数据源'!$J:$J,'3月数据源'!$D:$D,$E42,'3月数据源'!$F:$F,"杭州知识跳跳科技有限公司")</f>
        <v/>
      </c>
      <c r="I42" s="89">
        <f>-SUMIFS('4月数据源'!$I:$I,'4月数据源'!$D:$D,$E42,'4月数据源'!$F:$F,"杭州知识跳跳科技有限公司")+SUMIFS('4月数据源'!$J:$J,'4月数据源'!$D:$D,$E42,'4月数据源'!$F:$F,"杭州知识跳跳科技有限公司")</f>
        <v/>
      </c>
      <c r="J42" s="89">
        <f>-SUMIFS('5月数据源'!$I:$I,'5月数据源'!$D:$D,$E42,'5月数据源'!$F:$F,"杭州知识跳跳科技有限公司")+SUMIFS('5月数据源'!$J:$J,'5月数据源'!$D:$D,$E42,'5月数据源'!$F:$F,"杭州知识跳跳科技有限公司")</f>
        <v/>
      </c>
      <c r="K42" s="89">
        <f>-SUMIFS('6月数据源'!$I:$I,'6月数据源'!$D:$D,$E42,'6月数据源'!$F:$F,"杭州知识跳跳科技有限公司")+SUMIFS('6月数据源'!$J:$J,'6月数据源'!$D:$D,$E42,'6月数据源'!$F:$F,"杭州知识跳跳科技有限公司")</f>
        <v/>
      </c>
      <c r="L42" s="89">
        <f>-SUMIFS('7月数据源'!$I:$I,'7月数据源'!$D:$D,$E42,'7月数据源'!$F:$F,"杭州知识跳跳科技有限公司")+SUMIFS('7月数据源'!$J:$J,'7月数据源'!$D:$D,$E42,'7月数据源'!$F:$F,"杭州知识跳跳科技有限公司")</f>
        <v/>
      </c>
      <c r="M42" s="89">
        <f>-SUMIFS('8月数据源'!$I:$I,'8月数据源'!$D:$D,$E42,'8月数据源'!$F:$F,"杭州知识跳跳科技有限公司")+SUMIFS('8月数据源'!$J:$J,'8月数据源'!$D:$D,$E42,'8月数据源'!$F:$F,"杭州知识跳跳科技有限公司")</f>
        <v/>
      </c>
      <c r="N42" s="89">
        <f>-SUMIFS('9月数据源'!$I:$I,'9月数据源'!$D:$D,$E42,'9月数据源'!$F:$F,"杭州知识跳跳科技有限公司")+SUMIFS('9月数据源'!$J:$J,'9月数据源'!$D:$D,$E42,'9月数据源'!$F:$F,"杭州知识跳跳科技有限公司")</f>
        <v/>
      </c>
      <c r="O42" s="89">
        <f>-SUMIFS('10月数据源'!$I:$I,'10月数据源'!$D:$D,$E42,'10月数据源'!$F:$F,"杭州知识跳跳科技有限公司")+SUMIFS('10月数据源'!$J:$J,'10月数据源'!$D:$D,$E42,'10月数据源'!$F:$F,"杭州知识跳跳科技有限公司")</f>
        <v/>
      </c>
      <c r="P42" s="89">
        <f>-SUMIFS('11月数据源'!$I:$I,'11月数据源'!$D:$D,$E42,'11月数据源'!$F:$F,"杭州知识跳跳科技有限公司")+SUMIFS('11月数据源'!$J:$J,'11月数据源'!$D:$D,$E42,'11月数据源'!$F:$F,"杭州知识跳跳科技有限公司")</f>
        <v/>
      </c>
      <c r="Q42" s="89">
        <f>-SUMIFS('12月数据源'!$I:$I,'12月数据源'!$D:$D,$E42,'12月数据源'!$F:$F,"杭州知识跳跳科技有限公司")+SUMIFS('12月数据源'!$J:$J,'12月数据源'!$D:$D,$E42,'12月数据源'!$F:$F,"杭州知识跳跳科技有限公司")</f>
        <v/>
      </c>
    </row>
    <row r="43" s="83">
      <c r="A43" s="5" t="inlineStr">
        <is>
          <t>硬件支出</t>
        </is>
      </c>
      <c r="B43" s="6" t="inlineStr">
        <is>
          <t>BONG PRO</t>
        </is>
      </c>
      <c r="D43" s="5" t="inlineStr">
        <is>
          <t>保护套</t>
        </is>
      </c>
      <c r="E43" s="6" t="inlineStr">
        <is>
          <t>Q1002</t>
        </is>
      </c>
      <c r="F43" s="89">
        <f>-SUMIFS('1月数据源'!I:I,'1月数据源'!D:D,E43,'1月数据源'!F:F,"杭州知识跳跳科技有限公司")+SUMIFS('1月数据源'!J:J,'1月数据源'!D:D,E43,'1月数据源'!F:F,"杭州知识跳跳科技有限公司")</f>
        <v/>
      </c>
      <c r="G43" s="89">
        <f>-SUMIFS('2月数据源'!$I:$I,'2月数据源'!$D:$D,$E43,'2月数据源'!$F:$F,"杭州知识跳跳科技有限公司")+SUMIFS('2月数据源'!$J:$J,'2月数据源'!$D:$D,$E43,'2月数据源'!$F:$F,"杭州知识跳跳科技有限公司")</f>
        <v/>
      </c>
      <c r="H43" s="89">
        <f>-SUMIFS('3月数据源'!$I:$I,'3月数据源'!$D:$D,$E43,'3月数据源'!$F:$F,"杭州知识跳跳科技有限公司")+SUMIFS('3月数据源'!$J:$J,'3月数据源'!$D:$D,$E43,'3月数据源'!$F:$F,"杭州知识跳跳科技有限公司")</f>
        <v/>
      </c>
      <c r="I43" s="89">
        <f>-SUMIFS('4月数据源'!$I:$I,'4月数据源'!$D:$D,$E43,'4月数据源'!$F:$F,"杭州知识跳跳科技有限公司")+SUMIFS('4月数据源'!$J:$J,'4月数据源'!$D:$D,$E43,'4月数据源'!$F:$F,"杭州知识跳跳科技有限公司")</f>
        <v/>
      </c>
      <c r="J43" s="89">
        <f>-SUMIFS('5月数据源'!$I:$I,'5月数据源'!$D:$D,$E43,'5月数据源'!$F:$F,"杭州知识跳跳科技有限公司")+SUMIFS('5月数据源'!$J:$J,'5月数据源'!$D:$D,$E43,'5月数据源'!$F:$F,"杭州知识跳跳科技有限公司")</f>
        <v/>
      </c>
      <c r="K43" s="89">
        <f>-SUMIFS('6月数据源'!$I:$I,'6月数据源'!$D:$D,$E43,'6月数据源'!$F:$F,"杭州知识跳跳科技有限公司")+SUMIFS('6月数据源'!$J:$J,'6月数据源'!$D:$D,$E43,'6月数据源'!$F:$F,"杭州知识跳跳科技有限公司")</f>
        <v/>
      </c>
      <c r="L43" s="89">
        <f>-SUMIFS('7月数据源'!$I:$I,'7月数据源'!$D:$D,$E43,'7月数据源'!$F:$F,"杭州知识跳跳科技有限公司")+SUMIFS('7月数据源'!$J:$J,'7月数据源'!$D:$D,$E43,'7月数据源'!$F:$F,"杭州知识跳跳科技有限公司")</f>
        <v/>
      </c>
      <c r="M43" s="89">
        <f>-SUMIFS('8月数据源'!$I:$I,'8月数据源'!$D:$D,$E43,'8月数据源'!$F:$F,"杭州知识跳跳科技有限公司")+SUMIFS('8月数据源'!$J:$J,'8月数据源'!$D:$D,$E43,'8月数据源'!$F:$F,"杭州知识跳跳科技有限公司")</f>
        <v/>
      </c>
      <c r="N43" s="89">
        <f>-SUMIFS('9月数据源'!$I:$I,'9月数据源'!$D:$D,$E43,'9月数据源'!$F:$F,"杭州知识跳跳科技有限公司")+SUMIFS('9月数据源'!$J:$J,'9月数据源'!$D:$D,$E43,'9月数据源'!$F:$F,"杭州知识跳跳科技有限公司")</f>
        <v/>
      </c>
      <c r="O43" s="89">
        <f>-SUMIFS('10月数据源'!$I:$I,'10月数据源'!$D:$D,$E43,'10月数据源'!$F:$F,"杭州知识跳跳科技有限公司")+SUMIFS('10月数据源'!$J:$J,'10月数据源'!$D:$D,$E43,'10月数据源'!$F:$F,"杭州知识跳跳科技有限公司")</f>
        <v/>
      </c>
      <c r="P43" s="89">
        <f>-SUMIFS('11月数据源'!$I:$I,'11月数据源'!$D:$D,$E43,'11月数据源'!$F:$F,"杭州知识跳跳科技有限公司")+SUMIFS('11月数据源'!$J:$J,'11月数据源'!$D:$D,$E43,'11月数据源'!$F:$F,"杭州知识跳跳科技有限公司")</f>
        <v/>
      </c>
      <c r="Q43" s="89">
        <f>-SUMIFS('12月数据源'!$I:$I,'12月数据源'!$D:$D,$E43,'12月数据源'!$F:$F,"杭州知识跳跳科技有限公司")+SUMIFS('12月数据源'!$J:$J,'12月数据源'!$D:$D,$E43,'12月数据源'!$F:$F,"杭州知识跳跳科技有限公司")</f>
        <v/>
      </c>
    </row>
    <row r="44" s="83">
      <c r="A44" s="5" t="inlineStr">
        <is>
          <t>硬件支出</t>
        </is>
      </c>
      <c r="B44" s="6" t="inlineStr">
        <is>
          <t>BONG PRO</t>
        </is>
      </c>
      <c r="D44" s="5" t="inlineStr">
        <is>
          <t>包装盒</t>
        </is>
      </c>
      <c r="E44" s="6" t="inlineStr">
        <is>
          <t>Q1003</t>
        </is>
      </c>
      <c r="F44" s="89">
        <f>-SUMIFS('1月数据源'!I:I,'1月数据源'!D:D,E44,'1月数据源'!F:F,"杭州知识跳跳科技有限公司")+SUMIFS('1月数据源'!J:J,'1月数据源'!D:D,E44,'1月数据源'!F:F,"杭州知识跳跳科技有限公司")</f>
        <v/>
      </c>
      <c r="G44" s="89">
        <f>-SUMIFS('2月数据源'!$I:$I,'2月数据源'!$D:$D,$E44,'2月数据源'!$F:$F,"杭州知识跳跳科技有限公司")+SUMIFS('2月数据源'!$J:$J,'2月数据源'!$D:$D,$E44,'2月数据源'!$F:$F,"杭州知识跳跳科技有限公司")</f>
        <v/>
      </c>
      <c r="H44" s="89">
        <f>-SUMIFS('3月数据源'!$I:$I,'3月数据源'!$D:$D,$E44,'3月数据源'!$F:$F,"杭州知识跳跳科技有限公司")+SUMIFS('3月数据源'!$J:$J,'3月数据源'!$D:$D,$E44,'3月数据源'!$F:$F,"杭州知识跳跳科技有限公司")</f>
        <v/>
      </c>
      <c r="I44" s="89">
        <f>-SUMIFS('4月数据源'!$I:$I,'4月数据源'!$D:$D,$E44,'4月数据源'!$F:$F,"杭州知识跳跳科技有限公司")+SUMIFS('4月数据源'!$J:$J,'4月数据源'!$D:$D,$E44,'4月数据源'!$F:$F,"杭州知识跳跳科技有限公司")</f>
        <v/>
      </c>
      <c r="J44" s="89">
        <f>-SUMIFS('5月数据源'!$I:$I,'5月数据源'!$D:$D,$E44,'5月数据源'!$F:$F,"杭州知识跳跳科技有限公司")+SUMIFS('5月数据源'!$J:$J,'5月数据源'!$D:$D,$E44,'5月数据源'!$F:$F,"杭州知识跳跳科技有限公司")</f>
        <v/>
      </c>
      <c r="K44" s="89">
        <f>-SUMIFS('6月数据源'!$I:$I,'6月数据源'!$D:$D,$E44,'6月数据源'!$F:$F,"杭州知识跳跳科技有限公司")+SUMIFS('6月数据源'!$J:$J,'6月数据源'!$D:$D,$E44,'6月数据源'!$F:$F,"杭州知识跳跳科技有限公司")</f>
        <v/>
      </c>
      <c r="L44" s="89">
        <f>-SUMIFS('7月数据源'!$I:$I,'7月数据源'!$D:$D,$E44,'7月数据源'!$F:$F,"杭州知识跳跳科技有限公司")+SUMIFS('7月数据源'!$J:$J,'7月数据源'!$D:$D,$E44,'7月数据源'!$F:$F,"杭州知识跳跳科技有限公司")</f>
        <v/>
      </c>
      <c r="M44" s="89">
        <f>-SUMIFS('8月数据源'!$I:$I,'8月数据源'!$D:$D,$E44,'8月数据源'!$F:$F,"杭州知识跳跳科技有限公司")+SUMIFS('8月数据源'!$J:$J,'8月数据源'!$D:$D,$E44,'8月数据源'!$F:$F,"杭州知识跳跳科技有限公司")</f>
        <v/>
      </c>
      <c r="N44" s="89">
        <f>-SUMIFS('9月数据源'!$I:$I,'9月数据源'!$D:$D,$E44,'9月数据源'!$F:$F,"杭州知识跳跳科技有限公司")+SUMIFS('9月数据源'!$J:$J,'9月数据源'!$D:$D,$E44,'9月数据源'!$F:$F,"杭州知识跳跳科技有限公司")</f>
        <v/>
      </c>
      <c r="O44" s="89">
        <f>-SUMIFS('10月数据源'!$I:$I,'10月数据源'!$D:$D,$E44,'10月数据源'!$F:$F,"杭州知识跳跳科技有限公司")+SUMIFS('10月数据源'!$J:$J,'10月数据源'!$D:$D,$E44,'10月数据源'!$F:$F,"杭州知识跳跳科技有限公司")</f>
        <v/>
      </c>
      <c r="P44" s="89">
        <f>-SUMIFS('11月数据源'!$I:$I,'11月数据源'!$D:$D,$E44,'11月数据源'!$F:$F,"杭州知识跳跳科技有限公司")+SUMIFS('11月数据源'!$J:$J,'11月数据源'!$D:$D,$E44,'11月数据源'!$F:$F,"杭州知识跳跳科技有限公司")</f>
        <v/>
      </c>
      <c r="Q44" s="89">
        <f>-SUMIFS('12月数据源'!$I:$I,'12月数据源'!$D:$D,$E44,'12月数据源'!$F:$F,"杭州知识跳跳科技有限公司")+SUMIFS('12月数据源'!$J:$J,'12月数据源'!$D:$D,$E44,'12月数据源'!$F:$F,"杭州知识跳跳科技有限公司")</f>
        <v/>
      </c>
    </row>
    <row r="45" s="83">
      <c r="A45" s="5" t="inlineStr">
        <is>
          <t>硬件支出</t>
        </is>
      </c>
      <c r="B45" s="6" t="inlineStr">
        <is>
          <t>BONG PRO</t>
        </is>
      </c>
      <c r="D45" s="5" t="inlineStr">
        <is>
          <t>充电器</t>
        </is>
      </c>
      <c r="E45" s="6" t="inlineStr">
        <is>
          <t>Q1004</t>
        </is>
      </c>
      <c r="F45" s="89">
        <f>-SUMIFS('1月数据源'!I:I,'1月数据源'!D:D,E45,'1月数据源'!F:F,"杭州知识跳跳科技有限公司")+SUMIFS('1月数据源'!J:J,'1月数据源'!D:D,E45,'1月数据源'!F:F,"杭州知识跳跳科技有限公司")</f>
        <v/>
      </c>
      <c r="G45" s="89">
        <f>-SUMIFS('2月数据源'!$I:$I,'2月数据源'!$D:$D,$E45,'2月数据源'!$F:$F,"杭州知识跳跳科技有限公司")+SUMIFS('2月数据源'!$J:$J,'2月数据源'!$D:$D,$E45,'2月数据源'!$F:$F,"杭州知识跳跳科技有限公司")</f>
        <v/>
      </c>
      <c r="H45" s="89">
        <f>-SUMIFS('3月数据源'!$I:$I,'3月数据源'!$D:$D,$E45,'3月数据源'!$F:$F,"杭州知识跳跳科技有限公司")+SUMIFS('3月数据源'!$J:$J,'3月数据源'!$D:$D,$E45,'3月数据源'!$F:$F,"杭州知识跳跳科技有限公司")</f>
        <v/>
      </c>
      <c r="I45" s="89">
        <f>-SUMIFS('4月数据源'!$I:$I,'4月数据源'!$D:$D,$E45,'4月数据源'!$F:$F,"杭州知识跳跳科技有限公司")+SUMIFS('4月数据源'!$J:$J,'4月数据源'!$D:$D,$E45,'4月数据源'!$F:$F,"杭州知识跳跳科技有限公司")</f>
        <v/>
      </c>
      <c r="J45" s="89">
        <f>-SUMIFS('5月数据源'!$I:$I,'5月数据源'!$D:$D,$E45,'5月数据源'!$F:$F,"杭州知识跳跳科技有限公司")+SUMIFS('5月数据源'!$J:$J,'5月数据源'!$D:$D,$E45,'5月数据源'!$F:$F,"杭州知识跳跳科技有限公司")</f>
        <v/>
      </c>
      <c r="K45" s="89">
        <f>-SUMIFS('6月数据源'!$I:$I,'6月数据源'!$D:$D,$E45,'6月数据源'!$F:$F,"杭州知识跳跳科技有限公司")+SUMIFS('6月数据源'!$J:$J,'6月数据源'!$D:$D,$E45,'6月数据源'!$F:$F,"杭州知识跳跳科技有限公司")</f>
        <v/>
      </c>
      <c r="L45" s="89">
        <f>-SUMIFS('7月数据源'!$I:$I,'7月数据源'!$D:$D,$E45,'7月数据源'!$F:$F,"杭州知识跳跳科技有限公司")+SUMIFS('7月数据源'!$J:$J,'7月数据源'!$D:$D,$E45,'7月数据源'!$F:$F,"杭州知识跳跳科技有限公司")</f>
        <v/>
      </c>
      <c r="M45" s="89">
        <f>-SUMIFS('8月数据源'!$I:$I,'8月数据源'!$D:$D,$E45,'8月数据源'!$F:$F,"杭州知识跳跳科技有限公司")+SUMIFS('8月数据源'!$J:$J,'8月数据源'!$D:$D,$E45,'8月数据源'!$F:$F,"杭州知识跳跳科技有限公司")</f>
        <v/>
      </c>
      <c r="N45" s="89">
        <f>-SUMIFS('9月数据源'!$I:$I,'9月数据源'!$D:$D,$E45,'9月数据源'!$F:$F,"杭州知识跳跳科技有限公司")+SUMIFS('9月数据源'!$J:$J,'9月数据源'!$D:$D,$E45,'9月数据源'!$F:$F,"杭州知识跳跳科技有限公司")</f>
        <v/>
      </c>
      <c r="O45" s="89">
        <f>-SUMIFS('10月数据源'!$I:$I,'10月数据源'!$D:$D,$E45,'10月数据源'!$F:$F,"杭州知识跳跳科技有限公司")+SUMIFS('10月数据源'!$J:$J,'10月数据源'!$D:$D,$E45,'10月数据源'!$F:$F,"杭州知识跳跳科技有限公司")</f>
        <v/>
      </c>
      <c r="P45" s="89">
        <f>-SUMIFS('11月数据源'!$I:$I,'11月数据源'!$D:$D,$E45,'11月数据源'!$F:$F,"杭州知识跳跳科技有限公司")+SUMIFS('11月数据源'!$J:$J,'11月数据源'!$D:$D,$E45,'11月数据源'!$F:$F,"杭州知识跳跳科技有限公司")</f>
        <v/>
      </c>
      <c r="Q45" s="89">
        <f>-SUMIFS('12月数据源'!$I:$I,'12月数据源'!$D:$D,$E45,'12月数据源'!$F:$F,"杭州知识跳跳科技有限公司")+SUMIFS('12月数据源'!$J:$J,'12月数据源'!$D:$D,$E45,'12月数据源'!$F:$F,"杭州知识跳跳科技有限公司")</f>
        <v/>
      </c>
    </row>
    <row r="46" s="83">
      <c r="A46" s="5" t="inlineStr">
        <is>
          <t>硬件支出</t>
        </is>
      </c>
      <c r="B46" s="6" t="inlineStr">
        <is>
          <t>BONG PRO</t>
        </is>
      </c>
      <c r="D46" s="5" t="inlineStr">
        <is>
          <t>指学镜</t>
        </is>
      </c>
      <c r="E46" s="6" t="inlineStr">
        <is>
          <t>Q1005</t>
        </is>
      </c>
      <c r="F46" s="89">
        <f>-SUMIFS('1月数据源'!I:I,'1月数据源'!D:D,E46,'1月数据源'!F:F,"杭州知识跳跳科技有限公司")+SUMIFS('1月数据源'!J:J,'1月数据源'!D:D,E46,'1月数据源'!F:F,"杭州知识跳跳科技有限公司")</f>
        <v/>
      </c>
      <c r="G46" s="89">
        <f>-SUMIFS('2月数据源'!$I:$I,'2月数据源'!$D:$D,$E46,'2月数据源'!$F:$F,"杭州知识跳跳科技有限公司")+SUMIFS('2月数据源'!$J:$J,'2月数据源'!$D:$D,$E46,'2月数据源'!$F:$F,"杭州知识跳跳科技有限公司")</f>
        <v/>
      </c>
      <c r="H46" s="89">
        <f>-SUMIFS('3月数据源'!$I:$I,'3月数据源'!$D:$D,$E46,'3月数据源'!$F:$F,"杭州知识跳跳科技有限公司")+SUMIFS('3月数据源'!$J:$J,'3月数据源'!$D:$D,$E46,'3月数据源'!$F:$F,"杭州知识跳跳科技有限公司")</f>
        <v/>
      </c>
      <c r="I46" s="89">
        <f>-SUMIFS('4月数据源'!$I:$I,'4月数据源'!$D:$D,$E46,'4月数据源'!$F:$F,"杭州知识跳跳科技有限公司")+SUMIFS('4月数据源'!$J:$J,'4月数据源'!$D:$D,$E46,'4月数据源'!$F:$F,"杭州知识跳跳科技有限公司")</f>
        <v/>
      </c>
      <c r="J46" s="89">
        <f>-SUMIFS('5月数据源'!$I:$I,'5月数据源'!$D:$D,$E46,'5月数据源'!$F:$F,"杭州知识跳跳科技有限公司")+SUMIFS('5月数据源'!$J:$J,'5月数据源'!$D:$D,$E46,'5月数据源'!$F:$F,"杭州知识跳跳科技有限公司")</f>
        <v/>
      </c>
      <c r="K46" s="89">
        <f>-SUMIFS('6月数据源'!$I:$I,'6月数据源'!$D:$D,$E46,'6月数据源'!$F:$F,"杭州知识跳跳科技有限公司")+SUMIFS('6月数据源'!$J:$J,'6月数据源'!$D:$D,$E46,'6月数据源'!$F:$F,"杭州知识跳跳科技有限公司")</f>
        <v/>
      </c>
      <c r="L46" s="89">
        <f>-SUMIFS('7月数据源'!$I:$I,'7月数据源'!$D:$D,$E46,'7月数据源'!$F:$F,"杭州知识跳跳科技有限公司")+SUMIFS('7月数据源'!$J:$J,'7月数据源'!$D:$D,$E46,'7月数据源'!$F:$F,"杭州知识跳跳科技有限公司")</f>
        <v/>
      </c>
      <c r="M46" s="89">
        <f>-SUMIFS('8月数据源'!$I:$I,'8月数据源'!$D:$D,$E46,'8月数据源'!$F:$F,"杭州知识跳跳科技有限公司")+SUMIFS('8月数据源'!$J:$J,'8月数据源'!$D:$D,$E46,'8月数据源'!$F:$F,"杭州知识跳跳科技有限公司")</f>
        <v/>
      </c>
      <c r="N46" s="89">
        <f>-SUMIFS('9月数据源'!$I:$I,'9月数据源'!$D:$D,$E46,'9月数据源'!$F:$F,"杭州知识跳跳科技有限公司")+SUMIFS('9月数据源'!$J:$J,'9月数据源'!$D:$D,$E46,'9月数据源'!$F:$F,"杭州知识跳跳科技有限公司")</f>
        <v/>
      </c>
      <c r="O46" s="89">
        <f>-SUMIFS('10月数据源'!$I:$I,'10月数据源'!$D:$D,$E46,'10月数据源'!$F:$F,"杭州知识跳跳科技有限公司")+SUMIFS('10月数据源'!$J:$J,'10月数据源'!$D:$D,$E46,'10月数据源'!$F:$F,"杭州知识跳跳科技有限公司")</f>
        <v/>
      </c>
      <c r="P46" s="89">
        <f>-SUMIFS('11月数据源'!$I:$I,'11月数据源'!$D:$D,$E46,'11月数据源'!$F:$F,"杭州知识跳跳科技有限公司")+SUMIFS('11月数据源'!$J:$J,'11月数据源'!$D:$D,$E46,'11月数据源'!$F:$F,"杭州知识跳跳科技有限公司")</f>
        <v/>
      </c>
      <c r="Q46" s="89">
        <f>-SUMIFS('12月数据源'!$I:$I,'12月数据源'!$D:$D,$E46,'12月数据源'!$F:$F,"杭州知识跳跳科技有限公司")+SUMIFS('12月数据源'!$J:$J,'12月数据源'!$D:$D,$E46,'12月数据源'!$F:$F,"杭州知识跳跳科技有限公司")</f>
        <v/>
      </c>
    </row>
    <row r="47" s="83">
      <c r="A47" s="5" t="inlineStr">
        <is>
          <t>硬件支出</t>
        </is>
      </c>
      <c r="B47" s="6" t="inlineStr">
        <is>
          <t>BONG PRO</t>
        </is>
      </c>
      <c r="D47" s="5" t="inlineStr">
        <is>
          <t>学习机系统授权费</t>
        </is>
      </c>
      <c r="E47" s="6" t="inlineStr">
        <is>
          <t>Q1006</t>
        </is>
      </c>
      <c r="F47" s="89">
        <f>-SUMIFS('1月数据源'!I:I,'1月数据源'!D:D,E47,'1月数据源'!F:F,"杭州知识跳跳科技有限公司")+SUMIFS('1月数据源'!J:J,'1月数据源'!D:D,E47,'1月数据源'!F:F,"杭州知识跳跳科技有限公司")</f>
        <v/>
      </c>
      <c r="G47" s="89">
        <f>-SUMIFS('2月数据源'!$I:$I,'2月数据源'!$D:$D,$E47,'2月数据源'!$F:$F,"杭州知识跳跳科技有限公司")+SUMIFS('2月数据源'!$J:$J,'2月数据源'!$D:$D,$E47,'2月数据源'!$F:$F,"杭州知识跳跳科技有限公司")</f>
        <v/>
      </c>
      <c r="H47" s="89">
        <f>-SUMIFS('3月数据源'!$I:$I,'3月数据源'!$D:$D,$E47,'3月数据源'!$F:$F,"杭州知识跳跳科技有限公司")+SUMIFS('3月数据源'!$J:$J,'3月数据源'!$D:$D,$E47,'3月数据源'!$F:$F,"杭州知识跳跳科技有限公司")</f>
        <v/>
      </c>
      <c r="I47" s="89">
        <f>-SUMIFS('4月数据源'!$I:$I,'4月数据源'!$D:$D,$E47,'4月数据源'!$F:$F,"杭州知识跳跳科技有限公司")+SUMIFS('4月数据源'!$J:$J,'4月数据源'!$D:$D,$E47,'4月数据源'!$F:$F,"杭州知识跳跳科技有限公司")</f>
        <v/>
      </c>
      <c r="J47" s="89">
        <f>-SUMIFS('5月数据源'!$I:$I,'5月数据源'!$D:$D,$E47,'5月数据源'!$F:$F,"杭州知识跳跳科技有限公司")+SUMIFS('5月数据源'!$J:$J,'5月数据源'!$D:$D,$E47,'5月数据源'!$F:$F,"杭州知识跳跳科技有限公司")</f>
        <v/>
      </c>
      <c r="K47" s="89">
        <f>-SUMIFS('6月数据源'!$I:$I,'6月数据源'!$D:$D,$E47,'6月数据源'!$F:$F,"杭州知识跳跳科技有限公司")+SUMIFS('6月数据源'!$J:$J,'6月数据源'!$D:$D,$E47,'6月数据源'!$F:$F,"杭州知识跳跳科技有限公司")</f>
        <v/>
      </c>
      <c r="L47" s="89">
        <f>-SUMIFS('7月数据源'!$I:$I,'7月数据源'!$D:$D,$E47,'7月数据源'!$F:$F,"杭州知识跳跳科技有限公司")+SUMIFS('7月数据源'!$J:$J,'7月数据源'!$D:$D,$E47,'7月数据源'!$F:$F,"杭州知识跳跳科技有限公司")</f>
        <v/>
      </c>
      <c r="M47" s="89">
        <f>-SUMIFS('8月数据源'!$I:$I,'8月数据源'!$D:$D,$E47,'8月数据源'!$F:$F,"杭州知识跳跳科技有限公司")+SUMIFS('8月数据源'!$J:$J,'8月数据源'!$D:$D,$E47,'8月数据源'!$F:$F,"杭州知识跳跳科技有限公司")</f>
        <v/>
      </c>
      <c r="N47" s="89">
        <f>-SUMIFS('9月数据源'!$I:$I,'9月数据源'!$D:$D,$E47,'9月数据源'!$F:$F,"杭州知识跳跳科技有限公司")+SUMIFS('9月数据源'!$J:$J,'9月数据源'!$D:$D,$E47,'9月数据源'!$F:$F,"杭州知识跳跳科技有限公司")</f>
        <v/>
      </c>
      <c r="O47" s="89">
        <f>-SUMIFS('10月数据源'!$I:$I,'10月数据源'!$D:$D,$E47,'10月数据源'!$F:$F,"杭州知识跳跳科技有限公司")+SUMIFS('10月数据源'!$J:$J,'10月数据源'!$D:$D,$E47,'10月数据源'!$F:$F,"杭州知识跳跳科技有限公司")</f>
        <v/>
      </c>
      <c r="P47" s="89">
        <f>-SUMIFS('11月数据源'!$I:$I,'11月数据源'!$D:$D,$E47,'11月数据源'!$F:$F,"杭州知识跳跳科技有限公司")+SUMIFS('11月数据源'!$J:$J,'11月数据源'!$D:$D,$E47,'11月数据源'!$F:$F,"杭州知识跳跳科技有限公司")</f>
        <v/>
      </c>
      <c r="Q47" s="89">
        <f>-SUMIFS('12月数据源'!$I:$I,'12月数据源'!$D:$D,$E47,'12月数据源'!$F:$F,"杭州知识跳跳科技有限公司")+SUMIFS('12月数据源'!$J:$J,'12月数据源'!$D:$D,$E47,'12月数据源'!$F:$F,"杭州知识跳跳科技有限公司")</f>
        <v/>
      </c>
    </row>
    <row r="48" s="83">
      <c r="A48" s="5" t="inlineStr">
        <is>
          <t>硬件支出</t>
        </is>
      </c>
      <c r="B48" s="6" t="inlineStr">
        <is>
          <t>其他硬件成本</t>
        </is>
      </c>
      <c r="C48" s="6" t="inlineStr">
        <is>
          <t>其他硬件成本</t>
        </is>
      </c>
      <c r="D48" s="5" t="inlineStr">
        <is>
          <t>电容笔</t>
        </is>
      </c>
      <c r="E48" s="6" t="inlineStr">
        <is>
          <t>Q1101</t>
        </is>
      </c>
      <c r="F48" s="89">
        <f>-SUMIFS('1月数据源'!I:I,'1月数据源'!D:D,E48,'1月数据源'!F:F,"杭州知识跳跳科技有限公司")+SUMIFS('1月数据源'!J:J,'1月数据源'!D:D,E48,'1月数据源'!F:F,"杭州知识跳跳科技有限公司")</f>
        <v/>
      </c>
      <c r="G48" s="89">
        <f>-SUMIFS('2月数据源'!$I:$I,'2月数据源'!$D:$D,$E48,'2月数据源'!$F:$F,"杭州知识跳跳科技有限公司")+SUMIFS('2月数据源'!$J:$J,'2月数据源'!$D:$D,$E48,'2月数据源'!$F:$F,"杭州知识跳跳科技有限公司")</f>
        <v/>
      </c>
      <c r="H48" s="89">
        <f>-SUMIFS('3月数据源'!$I:$I,'3月数据源'!$D:$D,$E48,'3月数据源'!$F:$F,"杭州知识跳跳科技有限公司")+SUMIFS('3月数据源'!$J:$J,'3月数据源'!$D:$D,$E48,'3月数据源'!$F:$F,"杭州知识跳跳科技有限公司")</f>
        <v/>
      </c>
      <c r="I48" s="89">
        <f>-SUMIFS('4月数据源'!$I:$I,'4月数据源'!$D:$D,$E48,'4月数据源'!$F:$F,"杭州知识跳跳科技有限公司")+SUMIFS('4月数据源'!$J:$J,'4月数据源'!$D:$D,$E48,'4月数据源'!$F:$F,"杭州知识跳跳科技有限公司")</f>
        <v/>
      </c>
      <c r="J48" s="89">
        <f>-SUMIFS('5月数据源'!$I:$I,'5月数据源'!$D:$D,$E48,'5月数据源'!$F:$F,"杭州知识跳跳科技有限公司")+SUMIFS('5月数据源'!$J:$J,'5月数据源'!$D:$D,$E48,'5月数据源'!$F:$F,"杭州知识跳跳科技有限公司")</f>
        <v/>
      </c>
      <c r="K48" s="89">
        <f>-SUMIFS('6月数据源'!$I:$I,'6月数据源'!$D:$D,$E48,'6月数据源'!$F:$F,"杭州知识跳跳科技有限公司")+SUMIFS('6月数据源'!$J:$J,'6月数据源'!$D:$D,$E48,'6月数据源'!$F:$F,"杭州知识跳跳科技有限公司")</f>
        <v/>
      </c>
      <c r="L48" s="89">
        <f>-SUMIFS('7月数据源'!$I:$I,'7月数据源'!$D:$D,$E48,'7月数据源'!$F:$F,"杭州知识跳跳科技有限公司")+SUMIFS('7月数据源'!$J:$J,'7月数据源'!$D:$D,$E48,'7月数据源'!$F:$F,"杭州知识跳跳科技有限公司")</f>
        <v/>
      </c>
      <c r="M48" s="89">
        <f>-SUMIFS('8月数据源'!$I:$I,'8月数据源'!$D:$D,$E48,'8月数据源'!$F:$F,"杭州知识跳跳科技有限公司")+SUMIFS('8月数据源'!$J:$J,'8月数据源'!$D:$D,$E48,'8月数据源'!$F:$F,"杭州知识跳跳科技有限公司")</f>
        <v/>
      </c>
      <c r="N48" s="89">
        <f>-SUMIFS('9月数据源'!$I:$I,'9月数据源'!$D:$D,$E48,'9月数据源'!$F:$F,"杭州知识跳跳科技有限公司")+SUMIFS('9月数据源'!$J:$J,'9月数据源'!$D:$D,$E48,'9月数据源'!$F:$F,"杭州知识跳跳科技有限公司")</f>
        <v/>
      </c>
      <c r="O48" s="89">
        <f>-SUMIFS('10月数据源'!$I:$I,'10月数据源'!$D:$D,$E48,'10月数据源'!$F:$F,"杭州知识跳跳科技有限公司")+SUMIFS('10月数据源'!$J:$J,'10月数据源'!$D:$D,$E48,'10月数据源'!$F:$F,"杭州知识跳跳科技有限公司")</f>
        <v/>
      </c>
      <c r="P48" s="89">
        <f>-SUMIFS('11月数据源'!$I:$I,'11月数据源'!$D:$D,$E48,'11月数据源'!$F:$F,"杭州知识跳跳科技有限公司")+SUMIFS('11月数据源'!$J:$J,'11月数据源'!$D:$D,$E48,'11月数据源'!$F:$F,"杭州知识跳跳科技有限公司")</f>
        <v/>
      </c>
      <c r="Q48" s="89">
        <f>-SUMIFS('12月数据源'!$I:$I,'12月数据源'!$D:$D,$E48,'12月数据源'!$F:$F,"杭州知识跳跳科技有限公司")+SUMIFS('12月数据源'!$J:$J,'12月数据源'!$D:$D,$E48,'12月数据源'!$F:$F,"杭州知识跳跳科技有限公司")</f>
        <v/>
      </c>
    </row>
    <row r="49" s="83">
      <c r="A49" s="5" t="inlineStr">
        <is>
          <t>硬件支出</t>
        </is>
      </c>
      <c r="B49" s="6" t="inlineStr">
        <is>
          <t>其他硬件成本</t>
        </is>
      </c>
      <c r="D49" s="5" t="inlineStr">
        <is>
          <t>支架</t>
        </is>
      </c>
      <c r="E49" s="6" t="inlineStr">
        <is>
          <t>Q1102</t>
        </is>
      </c>
      <c r="F49" s="89">
        <f>-SUMIFS('1月数据源'!I:I,'1月数据源'!D:D,E49,'1月数据源'!F:F,"杭州知识跳跳科技有限公司")+SUMIFS('1月数据源'!J:J,'1月数据源'!D:D,E49,'1月数据源'!F:F,"杭州知识跳跳科技有限公司")</f>
        <v/>
      </c>
      <c r="G49" s="89">
        <f>-SUMIFS('2月数据源'!$I:$I,'2月数据源'!$D:$D,$E49,'2月数据源'!$F:$F,"杭州知识跳跳科技有限公司")+SUMIFS('2月数据源'!$J:$J,'2月数据源'!$D:$D,$E49,'2月数据源'!$F:$F,"杭州知识跳跳科技有限公司")</f>
        <v/>
      </c>
      <c r="H49" s="89">
        <f>-SUMIFS('3月数据源'!$I:$I,'3月数据源'!$D:$D,$E49,'3月数据源'!$F:$F,"杭州知识跳跳科技有限公司")+SUMIFS('3月数据源'!$J:$J,'3月数据源'!$D:$D,$E49,'3月数据源'!$F:$F,"杭州知识跳跳科技有限公司")</f>
        <v/>
      </c>
      <c r="I49" s="89">
        <f>-SUMIFS('4月数据源'!$I:$I,'4月数据源'!$D:$D,$E49,'4月数据源'!$F:$F,"杭州知识跳跳科技有限公司")+SUMIFS('4月数据源'!$J:$J,'4月数据源'!$D:$D,$E49,'4月数据源'!$F:$F,"杭州知识跳跳科技有限公司")</f>
        <v/>
      </c>
      <c r="J49" s="89">
        <f>-SUMIFS('5月数据源'!$I:$I,'5月数据源'!$D:$D,$E49,'5月数据源'!$F:$F,"杭州知识跳跳科技有限公司")+SUMIFS('5月数据源'!$J:$J,'5月数据源'!$D:$D,$E49,'5月数据源'!$F:$F,"杭州知识跳跳科技有限公司")</f>
        <v/>
      </c>
      <c r="K49" s="89">
        <f>-SUMIFS('6月数据源'!$I:$I,'6月数据源'!$D:$D,$E49,'6月数据源'!$F:$F,"杭州知识跳跳科技有限公司")+SUMIFS('6月数据源'!$J:$J,'6月数据源'!$D:$D,$E49,'6月数据源'!$F:$F,"杭州知识跳跳科技有限公司")</f>
        <v/>
      </c>
      <c r="L49" s="89">
        <f>-SUMIFS('7月数据源'!$I:$I,'7月数据源'!$D:$D,$E49,'7月数据源'!$F:$F,"杭州知识跳跳科技有限公司")+SUMIFS('7月数据源'!$J:$J,'7月数据源'!$D:$D,$E49,'7月数据源'!$F:$F,"杭州知识跳跳科技有限公司")</f>
        <v/>
      </c>
      <c r="M49" s="89">
        <f>-SUMIFS('8月数据源'!$I:$I,'8月数据源'!$D:$D,$E49,'8月数据源'!$F:$F,"杭州知识跳跳科技有限公司")+SUMIFS('8月数据源'!$J:$J,'8月数据源'!$D:$D,$E49,'8月数据源'!$F:$F,"杭州知识跳跳科技有限公司")</f>
        <v/>
      </c>
      <c r="N49" s="89">
        <f>-SUMIFS('9月数据源'!$I:$I,'9月数据源'!$D:$D,$E49,'9月数据源'!$F:$F,"杭州知识跳跳科技有限公司")+SUMIFS('9月数据源'!$J:$J,'9月数据源'!$D:$D,$E49,'9月数据源'!$F:$F,"杭州知识跳跳科技有限公司")</f>
        <v/>
      </c>
      <c r="O49" s="89">
        <f>-SUMIFS('10月数据源'!$I:$I,'10月数据源'!$D:$D,$E49,'10月数据源'!$F:$F,"杭州知识跳跳科技有限公司")+SUMIFS('10月数据源'!$J:$J,'10月数据源'!$D:$D,$E49,'10月数据源'!$F:$F,"杭州知识跳跳科技有限公司")</f>
        <v/>
      </c>
      <c r="P49" s="89">
        <f>-SUMIFS('11月数据源'!$I:$I,'11月数据源'!$D:$D,$E49,'11月数据源'!$F:$F,"杭州知识跳跳科技有限公司")+SUMIFS('11月数据源'!$J:$J,'11月数据源'!$D:$D,$E49,'11月数据源'!$F:$F,"杭州知识跳跳科技有限公司")</f>
        <v/>
      </c>
      <c r="Q49" s="89">
        <f>-SUMIFS('12月数据源'!$I:$I,'12月数据源'!$D:$D,$E49,'12月数据源'!$F:$F,"杭州知识跳跳科技有限公司")+SUMIFS('12月数据源'!$J:$J,'12月数据源'!$D:$D,$E49,'12月数据源'!$F:$F,"杭州知识跳跳科技有限公司")</f>
        <v/>
      </c>
    </row>
    <row r="50" s="83">
      <c r="A50" s="49" t="inlineStr">
        <is>
          <t>硬件支出合计</t>
        </is>
      </c>
      <c r="B50" s="50" t="n"/>
      <c r="C50" s="50" t="n"/>
      <c r="D50" s="49" t="n"/>
      <c r="E50" s="49" t="n"/>
      <c r="F50" s="89">
        <f>SUM(F36:F49)</f>
        <v/>
      </c>
      <c r="G50" s="89">
        <f>SUM(G36:G49)</f>
        <v/>
      </c>
      <c r="H50" s="89">
        <f>SUM(H36:H49)</f>
        <v/>
      </c>
      <c r="I50" s="89">
        <f>SUM(I36:I49)</f>
        <v/>
      </c>
      <c r="J50" s="89">
        <f>SUM(J36:J49)</f>
        <v/>
      </c>
      <c r="K50" s="89">
        <f>SUM(K36:K49)</f>
        <v/>
      </c>
      <c r="L50" s="89">
        <f>SUM(L36:L49)</f>
        <v/>
      </c>
      <c r="M50" s="89">
        <f>SUM(M36:M49)</f>
        <v/>
      </c>
      <c r="N50" s="89">
        <f>SUM(N36:N49)</f>
        <v/>
      </c>
      <c r="O50" s="89">
        <f>SUM(O36:O49)</f>
        <v/>
      </c>
      <c r="P50" s="89">
        <f>SUM(P36:P49)</f>
        <v/>
      </c>
      <c r="Q50" s="89">
        <f>SUM(Q36:Q49)</f>
        <v/>
      </c>
    </row>
    <row r="51" s="83">
      <c r="A51" s="5" t="inlineStr">
        <is>
          <t>制造费用</t>
        </is>
      </c>
      <c r="B51" s="5" t="inlineStr">
        <is>
          <t>制造费用</t>
        </is>
      </c>
      <c r="C51" s="6" t="inlineStr">
        <is>
          <t>制造费用</t>
        </is>
      </c>
      <c r="D51" s="5" t="inlineStr">
        <is>
          <t>西溪首座仓库租金</t>
        </is>
      </c>
      <c r="E51" s="6" t="inlineStr">
        <is>
          <t>Q3201</t>
        </is>
      </c>
      <c r="F51" s="89">
        <f>-SUMIFS('1月数据源'!I:I,'1月数据源'!D:D,E51,'1月数据源'!F:F,"杭州知识跳跳科技有限公司")+SUMIFS('1月数据源'!J:J,'1月数据源'!D:D,E51,'1月数据源'!F:F,"杭州知识跳跳科技有限公司")</f>
        <v/>
      </c>
      <c r="G51" s="89">
        <f>-SUMIFS('2月数据源'!$I:$I,'2月数据源'!$D:$D,$E51,'2月数据源'!$F:$F,"杭州知识跳跳科技有限公司")+SUMIFS('2月数据源'!$J:$J,'2月数据源'!$D:$D,$E51,'2月数据源'!$F:$F,"杭州知识跳跳科技有限公司")</f>
        <v/>
      </c>
      <c r="H51" s="89">
        <f>-SUMIFS('3月数据源'!$I:$I,'3月数据源'!$D:$D,$E51,'3月数据源'!$F:$F,"杭州知识跳跳科技有限公司")+SUMIFS('3月数据源'!$J:$J,'3月数据源'!$D:$D,$E51,'3月数据源'!$F:$F,"杭州知识跳跳科技有限公司")</f>
        <v/>
      </c>
      <c r="I51" s="89">
        <f>-SUMIFS('4月数据源'!$I:$I,'4月数据源'!$D:$D,$E51,'4月数据源'!$F:$F,"杭州知识跳跳科技有限公司")+SUMIFS('4月数据源'!$J:$J,'4月数据源'!$D:$D,$E51,'4月数据源'!$F:$F,"杭州知识跳跳科技有限公司")</f>
        <v/>
      </c>
      <c r="J51" s="89">
        <f>-SUMIFS('5月数据源'!$I:$I,'5月数据源'!$D:$D,$E51,'5月数据源'!$F:$F,"杭州知识跳跳科技有限公司")+SUMIFS('5月数据源'!$J:$J,'5月数据源'!$D:$D,$E51,'5月数据源'!$F:$F,"杭州知识跳跳科技有限公司")</f>
        <v/>
      </c>
      <c r="K51" s="89">
        <f>-SUMIFS('6月数据源'!$I:$I,'6月数据源'!$D:$D,$E51,'6月数据源'!$F:$F,"杭州知识跳跳科技有限公司")+SUMIFS('6月数据源'!$J:$J,'6月数据源'!$D:$D,$E51,'6月数据源'!$F:$F,"杭州知识跳跳科技有限公司")</f>
        <v/>
      </c>
      <c r="L51" s="89">
        <f>-SUMIFS('7月数据源'!$I:$I,'7月数据源'!$D:$D,$E51,'7月数据源'!$F:$F,"杭州知识跳跳科技有限公司")+SUMIFS('7月数据源'!$J:$J,'7月数据源'!$D:$D,$E51,'7月数据源'!$F:$F,"杭州知识跳跳科技有限公司")</f>
        <v/>
      </c>
      <c r="M51" s="89">
        <f>-SUMIFS('8月数据源'!$I:$I,'8月数据源'!$D:$D,$E51,'8月数据源'!$F:$F,"杭州知识跳跳科技有限公司")+SUMIFS('8月数据源'!$J:$J,'8月数据源'!$D:$D,$E51,'8月数据源'!$F:$F,"杭州知识跳跳科技有限公司")</f>
        <v/>
      </c>
      <c r="N51" s="89">
        <f>-SUMIFS('9月数据源'!$I:$I,'9月数据源'!$D:$D,$E51,'9月数据源'!$F:$F,"杭州知识跳跳科技有限公司")+SUMIFS('9月数据源'!$J:$J,'9月数据源'!$D:$D,$E51,'9月数据源'!$F:$F,"杭州知识跳跳科技有限公司")</f>
        <v/>
      </c>
      <c r="O51" s="89">
        <f>-SUMIFS('10月数据源'!$I:$I,'10月数据源'!$D:$D,$E51,'10月数据源'!$F:$F,"杭州知识跳跳科技有限公司")+SUMIFS('10月数据源'!$J:$J,'10月数据源'!$D:$D,$E51,'10月数据源'!$F:$F,"杭州知识跳跳科技有限公司")</f>
        <v/>
      </c>
      <c r="P51" s="89">
        <f>-SUMIFS('11月数据源'!$I:$I,'11月数据源'!$D:$D,$E51,'11月数据源'!$F:$F,"杭州知识跳跳科技有限公司")+SUMIFS('11月数据源'!$J:$J,'11月数据源'!$D:$D,$E51,'11月数据源'!$F:$F,"杭州知识跳跳科技有限公司")</f>
        <v/>
      </c>
      <c r="Q51" s="89">
        <f>-SUMIFS('12月数据源'!$I:$I,'12月数据源'!$D:$D,$E51,'12月数据源'!$F:$F,"杭州知识跳跳科技有限公司")+SUMIFS('12月数据源'!$J:$J,'12月数据源'!$D:$D,$E51,'12月数据源'!$F:$F,"杭州知识跳跳科技有限公司")</f>
        <v/>
      </c>
    </row>
    <row r="52" s="83">
      <c r="A52" s="5" t="inlineStr">
        <is>
          <t>制造费用</t>
        </is>
      </c>
      <c r="B52" s="5" t="inlineStr">
        <is>
          <t>制造费用</t>
        </is>
      </c>
      <c r="D52" s="5" t="inlineStr">
        <is>
          <t>西溪首座仓库物业水电费</t>
        </is>
      </c>
      <c r="E52" s="6" t="inlineStr">
        <is>
          <t>Q3202</t>
        </is>
      </c>
      <c r="F52" s="89">
        <f>-SUMIFS('1月数据源'!I:I,'1月数据源'!D:D,E52,'1月数据源'!F:F,"杭州知识跳跳科技有限公司")+SUMIFS('1月数据源'!J:J,'1月数据源'!D:D,E52,'1月数据源'!F:F,"杭州知识跳跳科技有限公司")</f>
        <v/>
      </c>
      <c r="G52" s="89">
        <f>-SUMIFS('2月数据源'!$I:$I,'2月数据源'!$D:$D,$E52,'2月数据源'!$F:$F,"杭州知识跳跳科技有限公司")+SUMIFS('2月数据源'!$J:$J,'2月数据源'!$D:$D,$E52,'2月数据源'!$F:$F,"杭州知识跳跳科技有限公司")</f>
        <v/>
      </c>
      <c r="H52" s="89">
        <f>-SUMIFS('3月数据源'!$I:$I,'3月数据源'!$D:$D,$E52,'3月数据源'!$F:$F,"杭州知识跳跳科技有限公司")+SUMIFS('3月数据源'!$J:$J,'3月数据源'!$D:$D,$E52,'3月数据源'!$F:$F,"杭州知识跳跳科技有限公司")</f>
        <v/>
      </c>
      <c r="I52" s="89">
        <f>-SUMIFS('4月数据源'!$I:$I,'4月数据源'!$D:$D,$E52,'4月数据源'!$F:$F,"杭州知识跳跳科技有限公司")+SUMIFS('4月数据源'!$J:$J,'4月数据源'!$D:$D,$E52,'4月数据源'!$F:$F,"杭州知识跳跳科技有限公司")</f>
        <v/>
      </c>
      <c r="J52" s="89">
        <f>-SUMIFS('5月数据源'!$I:$I,'5月数据源'!$D:$D,$E52,'5月数据源'!$F:$F,"杭州知识跳跳科技有限公司")+SUMIFS('5月数据源'!$J:$J,'5月数据源'!$D:$D,$E52,'5月数据源'!$F:$F,"杭州知识跳跳科技有限公司")</f>
        <v/>
      </c>
      <c r="K52" s="89">
        <f>-SUMIFS('6月数据源'!$I:$I,'6月数据源'!$D:$D,$E52,'6月数据源'!$F:$F,"杭州知识跳跳科技有限公司")+SUMIFS('6月数据源'!$J:$J,'6月数据源'!$D:$D,$E52,'6月数据源'!$F:$F,"杭州知识跳跳科技有限公司")</f>
        <v/>
      </c>
      <c r="L52" s="89">
        <f>-SUMIFS('7月数据源'!$I:$I,'7月数据源'!$D:$D,$E52,'7月数据源'!$F:$F,"杭州知识跳跳科技有限公司")+SUMIFS('7月数据源'!$J:$J,'7月数据源'!$D:$D,$E52,'7月数据源'!$F:$F,"杭州知识跳跳科技有限公司")</f>
        <v/>
      </c>
      <c r="M52" s="89">
        <f>-SUMIFS('8月数据源'!$I:$I,'8月数据源'!$D:$D,$E52,'8月数据源'!$F:$F,"杭州知识跳跳科技有限公司")+SUMIFS('8月数据源'!$J:$J,'8月数据源'!$D:$D,$E52,'8月数据源'!$F:$F,"杭州知识跳跳科技有限公司")</f>
        <v/>
      </c>
      <c r="N52" s="89">
        <f>-SUMIFS('9月数据源'!$I:$I,'9月数据源'!$D:$D,$E52,'9月数据源'!$F:$F,"杭州知识跳跳科技有限公司")+SUMIFS('9月数据源'!$J:$J,'9月数据源'!$D:$D,$E52,'9月数据源'!$F:$F,"杭州知识跳跳科技有限公司")</f>
        <v/>
      </c>
      <c r="O52" s="89">
        <f>-SUMIFS('10月数据源'!$I:$I,'10月数据源'!$D:$D,$E52,'10月数据源'!$F:$F,"杭州知识跳跳科技有限公司")+SUMIFS('10月数据源'!$J:$J,'10月数据源'!$D:$D,$E52,'10月数据源'!$F:$F,"杭州知识跳跳科技有限公司")</f>
        <v/>
      </c>
      <c r="P52" s="89">
        <f>-SUMIFS('11月数据源'!$I:$I,'11月数据源'!$D:$D,$E52,'11月数据源'!$F:$F,"杭州知识跳跳科技有限公司")+SUMIFS('11月数据源'!$J:$J,'11月数据源'!$D:$D,$E52,'11月数据源'!$F:$F,"杭州知识跳跳科技有限公司")</f>
        <v/>
      </c>
      <c r="Q52" s="89">
        <f>-SUMIFS('12月数据源'!$I:$I,'12月数据源'!$D:$D,$E52,'12月数据源'!$F:$F,"杭州知识跳跳科技有限公司")+SUMIFS('12月数据源'!$J:$J,'12月数据源'!$D:$D,$E52,'12月数据源'!$F:$F,"杭州知识跳跳科技有限公司")</f>
        <v/>
      </c>
    </row>
    <row r="53" s="83">
      <c r="A53" s="5" t="inlineStr">
        <is>
          <t>制造费用</t>
        </is>
      </c>
      <c r="B53" s="5" t="inlineStr">
        <is>
          <t>制造费用</t>
        </is>
      </c>
      <c r="D53" s="5" t="inlineStr">
        <is>
          <t>西溪首座仓库装修费</t>
        </is>
      </c>
      <c r="E53" s="6" t="inlineStr">
        <is>
          <t>Q3203</t>
        </is>
      </c>
      <c r="F53" s="89">
        <f>-SUMIFS('1月数据源'!I:I,'1月数据源'!D:D,E53,'1月数据源'!F:F,"杭州知识跳跳科技有限公司")+SUMIFS('1月数据源'!J:J,'1月数据源'!D:D,E53,'1月数据源'!F:F,"杭州知识跳跳科技有限公司")</f>
        <v/>
      </c>
      <c r="G53" s="89">
        <f>-SUMIFS('2月数据源'!$I:$I,'2月数据源'!$D:$D,$E53,'2月数据源'!$F:$F,"杭州知识跳跳科技有限公司")+SUMIFS('2月数据源'!$J:$J,'2月数据源'!$D:$D,$E53,'2月数据源'!$F:$F,"杭州知识跳跳科技有限公司")</f>
        <v/>
      </c>
      <c r="H53" s="89">
        <f>-SUMIFS('3月数据源'!$I:$I,'3月数据源'!$D:$D,$E53,'3月数据源'!$F:$F,"杭州知识跳跳科技有限公司")+SUMIFS('3月数据源'!$J:$J,'3月数据源'!$D:$D,$E53,'3月数据源'!$F:$F,"杭州知识跳跳科技有限公司")</f>
        <v/>
      </c>
      <c r="I53" s="89">
        <f>-SUMIFS('4月数据源'!$I:$I,'4月数据源'!$D:$D,$E53,'4月数据源'!$F:$F,"杭州知识跳跳科技有限公司")+SUMIFS('4月数据源'!$J:$J,'4月数据源'!$D:$D,$E53,'4月数据源'!$F:$F,"杭州知识跳跳科技有限公司")</f>
        <v/>
      </c>
      <c r="J53" s="89">
        <f>-SUMIFS('5月数据源'!$I:$I,'5月数据源'!$D:$D,$E53,'5月数据源'!$F:$F,"杭州知识跳跳科技有限公司")+SUMIFS('5月数据源'!$J:$J,'5月数据源'!$D:$D,$E53,'5月数据源'!$F:$F,"杭州知识跳跳科技有限公司")</f>
        <v/>
      </c>
      <c r="K53" s="89">
        <f>-SUMIFS('6月数据源'!$I:$I,'6月数据源'!$D:$D,$E53,'6月数据源'!$F:$F,"杭州知识跳跳科技有限公司")+SUMIFS('6月数据源'!$J:$J,'6月数据源'!$D:$D,$E53,'6月数据源'!$F:$F,"杭州知识跳跳科技有限公司")</f>
        <v/>
      </c>
      <c r="L53" s="89">
        <f>-SUMIFS('7月数据源'!$I:$I,'7月数据源'!$D:$D,$E53,'7月数据源'!$F:$F,"杭州知识跳跳科技有限公司")+SUMIFS('7月数据源'!$J:$J,'7月数据源'!$D:$D,$E53,'7月数据源'!$F:$F,"杭州知识跳跳科技有限公司")</f>
        <v/>
      </c>
      <c r="M53" s="89">
        <f>-SUMIFS('8月数据源'!$I:$I,'8月数据源'!$D:$D,$E53,'8月数据源'!$F:$F,"杭州知识跳跳科技有限公司")+SUMIFS('8月数据源'!$J:$J,'8月数据源'!$D:$D,$E53,'8月数据源'!$F:$F,"杭州知识跳跳科技有限公司")</f>
        <v/>
      </c>
      <c r="N53" s="89">
        <f>-SUMIFS('9月数据源'!$I:$I,'9月数据源'!$D:$D,$E53,'9月数据源'!$F:$F,"杭州知识跳跳科技有限公司")+SUMIFS('9月数据源'!$J:$J,'9月数据源'!$D:$D,$E53,'9月数据源'!$F:$F,"杭州知识跳跳科技有限公司")</f>
        <v/>
      </c>
      <c r="O53" s="89">
        <f>-SUMIFS('10月数据源'!$I:$I,'10月数据源'!$D:$D,$E53,'10月数据源'!$F:$F,"杭州知识跳跳科技有限公司")+SUMIFS('10月数据源'!$J:$J,'10月数据源'!$D:$D,$E53,'10月数据源'!$F:$F,"杭州知识跳跳科技有限公司")</f>
        <v/>
      </c>
      <c r="P53" s="89">
        <f>-SUMIFS('11月数据源'!$I:$I,'11月数据源'!$D:$D,$E53,'11月数据源'!$F:$F,"杭州知识跳跳科技有限公司")+SUMIFS('11月数据源'!$J:$J,'11月数据源'!$D:$D,$E53,'11月数据源'!$F:$F,"杭州知识跳跳科技有限公司")</f>
        <v/>
      </c>
      <c r="Q53" s="89">
        <f>-SUMIFS('12月数据源'!$I:$I,'12月数据源'!$D:$D,$E53,'12月数据源'!$F:$F,"杭州知识跳跳科技有限公司")+SUMIFS('12月数据源'!$J:$J,'12月数据源'!$D:$D,$E53,'12月数据源'!$F:$F,"杭州知识跳跳科技有限公司")</f>
        <v/>
      </c>
    </row>
    <row r="54" s="83">
      <c r="A54" s="5" t="inlineStr">
        <is>
          <t>制造费用</t>
        </is>
      </c>
      <c r="B54" s="5" t="inlineStr">
        <is>
          <t>制造费用</t>
        </is>
      </c>
      <c r="D54" s="5" t="inlineStr">
        <is>
          <t>运输费</t>
        </is>
      </c>
      <c r="E54" s="6" t="inlineStr">
        <is>
          <t>Q3204</t>
        </is>
      </c>
      <c r="F54" s="89">
        <f>-SUMIFS('1月数据源'!I:I,'1月数据源'!D:D,E54,'1月数据源'!F:F,"杭州知识跳跳科技有限公司")+SUMIFS('1月数据源'!J:J,'1月数据源'!D:D,E54,'1月数据源'!F:F,"杭州知识跳跳科技有限公司")</f>
        <v/>
      </c>
      <c r="G54" s="89">
        <f>-SUMIFS('2月数据源'!$I:$I,'2月数据源'!$D:$D,$E54,'2月数据源'!$F:$F,"杭州知识跳跳科技有限公司")+SUMIFS('2月数据源'!$J:$J,'2月数据源'!$D:$D,$E54,'2月数据源'!$F:$F,"杭州知识跳跳科技有限公司")</f>
        <v/>
      </c>
      <c r="H54" s="89">
        <f>-SUMIFS('3月数据源'!$I:$I,'3月数据源'!$D:$D,$E54,'3月数据源'!$F:$F,"杭州知识跳跳科技有限公司")+SUMIFS('3月数据源'!$J:$J,'3月数据源'!$D:$D,$E54,'3月数据源'!$F:$F,"杭州知识跳跳科技有限公司")</f>
        <v/>
      </c>
      <c r="I54" s="89">
        <f>-SUMIFS('4月数据源'!$I:$I,'4月数据源'!$D:$D,$E54,'4月数据源'!$F:$F,"杭州知识跳跳科技有限公司")+SUMIFS('4月数据源'!$J:$J,'4月数据源'!$D:$D,$E54,'4月数据源'!$F:$F,"杭州知识跳跳科技有限公司")</f>
        <v/>
      </c>
      <c r="J54" s="89">
        <f>-SUMIFS('5月数据源'!$I:$I,'5月数据源'!$D:$D,$E54,'5月数据源'!$F:$F,"杭州知识跳跳科技有限公司")+SUMIFS('5月数据源'!$J:$J,'5月数据源'!$D:$D,$E54,'5月数据源'!$F:$F,"杭州知识跳跳科技有限公司")</f>
        <v/>
      </c>
      <c r="K54" s="89">
        <f>-SUMIFS('6月数据源'!$I:$I,'6月数据源'!$D:$D,$E54,'6月数据源'!$F:$F,"杭州知识跳跳科技有限公司")+SUMIFS('6月数据源'!$J:$J,'6月数据源'!$D:$D,$E54,'6月数据源'!$F:$F,"杭州知识跳跳科技有限公司")</f>
        <v/>
      </c>
      <c r="L54" s="89">
        <f>-SUMIFS('7月数据源'!$I:$I,'7月数据源'!$D:$D,$E54,'7月数据源'!$F:$F,"杭州知识跳跳科技有限公司")+SUMIFS('7月数据源'!$J:$J,'7月数据源'!$D:$D,$E54,'7月数据源'!$F:$F,"杭州知识跳跳科技有限公司")</f>
        <v/>
      </c>
      <c r="M54" s="89">
        <f>-SUMIFS('8月数据源'!$I:$I,'8月数据源'!$D:$D,$E54,'8月数据源'!$F:$F,"杭州知识跳跳科技有限公司")+SUMIFS('8月数据源'!$J:$J,'8月数据源'!$D:$D,$E54,'8月数据源'!$F:$F,"杭州知识跳跳科技有限公司")</f>
        <v/>
      </c>
      <c r="N54" s="89">
        <f>-SUMIFS('9月数据源'!$I:$I,'9月数据源'!$D:$D,$E54,'9月数据源'!$F:$F,"杭州知识跳跳科技有限公司")+SUMIFS('9月数据源'!$J:$J,'9月数据源'!$D:$D,$E54,'9月数据源'!$F:$F,"杭州知识跳跳科技有限公司")</f>
        <v/>
      </c>
      <c r="O54" s="89">
        <f>-SUMIFS('10月数据源'!$I:$I,'10月数据源'!$D:$D,$E54,'10月数据源'!$F:$F,"杭州知识跳跳科技有限公司")+SUMIFS('10月数据源'!$J:$J,'10月数据源'!$D:$D,$E54,'10月数据源'!$F:$F,"杭州知识跳跳科技有限公司")</f>
        <v/>
      </c>
      <c r="P54" s="89">
        <f>-SUMIFS('11月数据源'!$I:$I,'11月数据源'!$D:$D,$E54,'11月数据源'!$F:$F,"杭州知识跳跳科技有限公司")+SUMIFS('11月数据源'!$J:$J,'11月数据源'!$D:$D,$E54,'11月数据源'!$F:$F,"杭州知识跳跳科技有限公司")</f>
        <v/>
      </c>
      <c r="Q54" s="89">
        <f>-SUMIFS('12月数据源'!$I:$I,'12月数据源'!$D:$D,$E54,'12月数据源'!$F:$F,"杭州知识跳跳科技有限公司")+SUMIFS('12月数据源'!$J:$J,'12月数据源'!$D:$D,$E54,'12月数据源'!$F:$F,"杭州知识跳跳科技有限公司")</f>
        <v/>
      </c>
    </row>
    <row r="55" s="83">
      <c r="A55" s="5" t="inlineStr">
        <is>
          <t>制造费用</t>
        </is>
      </c>
      <c r="B55" s="5" t="inlineStr">
        <is>
          <t>制造费用</t>
        </is>
      </c>
      <c r="D55" s="5" t="inlineStr">
        <is>
          <t>低值易耗品采购</t>
        </is>
      </c>
      <c r="E55" s="6" t="inlineStr">
        <is>
          <t>Q3205</t>
        </is>
      </c>
      <c r="F55" s="89">
        <f>-SUMIFS('1月数据源'!I:I,'1月数据源'!D:D,E55,'1月数据源'!F:F,"杭州知识跳跳科技有限公司")+SUMIFS('1月数据源'!J:J,'1月数据源'!D:D,E55,'1月数据源'!F:F,"杭州知识跳跳科技有限公司")</f>
        <v/>
      </c>
      <c r="G55" s="89">
        <f>-SUMIFS('2月数据源'!$I:$I,'2月数据源'!$D:$D,$E55,'2月数据源'!$F:$F,"杭州知识跳跳科技有限公司")+SUMIFS('2月数据源'!$J:$J,'2月数据源'!$D:$D,$E55,'2月数据源'!$F:$F,"杭州知识跳跳科技有限公司")</f>
        <v/>
      </c>
      <c r="H55" s="89">
        <f>-SUMIFS('3月数据源'!$I:$I,'3月数据源'!$D:$D,$E55,'3月数据源'!$F:$F,"杭州知识跳跳科技有限公司")+SUMIFS('3月数据源'!$J:$J,'3月数据源'!$D:$D,$E55,'3月数据源'!$F:$F,"杭州知识跳跳科技有限公司")</f>
        <v/>
      </c>
      <c r="I55" s="89">
        <f>-SUMIFS('4月数据源'!$I:$I,'4月数据源'!$D:$D,$E55,'4月数据源'!$F:$F,"杭州知识跳跳科技有限公司")+SUMIFS('4月数据源'!$J:$J,'4月数据源'!$D:$D,$E55,'4月数据源'!$F:$F,"杭州知识跳跳科技有限公司")</f>
        <v/>
      </c>
      <c r="J55" s="89">
        <f>-SUMIFS('5月数据源'!$I:$I,'5月数据源'!$D:$D,$E55,'5月数据源'!$F:$F,"杭州知识跳跳科技有限公司")+SUMIFS('5月数据源'!$J:$J,'5月数据源'!$D:$D,$E55,'5月数据源'!$F:$F,"杭州知识跳跳科技有限公司")</f>
        <v/>
      </c>
      <c r="K55" s="89">
        <f>-SUMIFS('6月数据源'!$I:$I,'6月数据源'!$D:$D,$E55,'6月数据源'!$F:$F,"杭州知识跳跳科技有限公司")+SUMIFS('6月数据源'!$J:$J,'6月数据源'!$D:$D,$E55,'6月数据源'!$F:$F,"杭州知识跳跳科技有限公司")</f>
        <v/>
      </c>
      <c r="L55" s="89">
        <f>-SUMIFS('7月数据源'!$I:$I,'7月数据源'!$D:$D,$E55,'7月数据源'!$F:$F,"杭州知识跳跳科技有限公司")+SUMIFS('7月数据源'!$J:$J,'7月数据源'!$D:$D,$E55,'7月数据源'!$F:$F,"杭州知识跳跳科技有限公司")</f>
        <v/>
      </c>
      <c r="M55" s="89">
        <f>-SUMIFS('8月数据源'!$I:$I,'8月数据源'!$D:$D,$E55,'8月数据源'!$F:$F,"杭州知识跳跳科技有限公司")+SUMIFS('8月数据源'!$J:$J,'8月数据源'!$D:$D,$E55,'8月数据源'!$F:$F,"杭州知识跳跳科技有限公司")</f>
        <v/>
      </c>
      <c r="N55" s="89">
        <f>-SUMIFS('9月数据源'!$I:$I,'9月数据源'!$D:$D,$E55,'9月数据源'!$F:$F,"杭州知识跳跳科技有限公司")+SUMIFS('9月数据源'!$J:$J,'9月数据源'!$D:$D,$E55,'9月数据源'!$F:$F,"杭州知识跳跳科技有限公司")</f>
        <v/>
      </c>
      <c r="O55" s="89">
        <f>-SUMIFS('10月数据源'!$I:$I,'10月数据源'!$D:$D,$E55,'10月数据源'!$F:$F,"杭州知识跳跳科技有限公司")+SUMIFS('10月数据源'!$J:$J,'10月数据源'!$D:$D,$E55,'10月数据源'!$F:$F,"杭州知识跳跳科技有限公司")</f>
        <v/>
      </c>
      <c r="P55" s="89">
        <f>-SUMIFS('11月数据源'!$I:$I,'11月数据源'!$D:$D,$E55,'11月数据源'!$F:$F,"杭州知识跳跳科技有限公司")+SUMIFS('11月数据源'!$J:$J,'11月数据源'!$D:$D,$E55,'11月数据源'!$F:$F,"杭州知识跳跳科技有限公司")</f>
        <v/>
      </c>
      <c r="Q55" s="89">
        <f>-SUMIFS('12月数据源'!$I:$I,'12月数据源'!$D:$D,$E55,'12月数据源'!$F:$F,"杭州知识跳跳科技有限公司")+SUMIFS('12月数据源'!$J:$J,'12月数据源'!$D:$D,$E55,'12月数据源'!$F:$F,"杭州知识跳跳科技有限公司")</f>
        <v/>
      </c>
    </row>
    <row r="56" s="83">
      <c r="A56" s="5" t="inlineStr">
        <is>
          <t>制造费用</t>
        </is>
      </c>
      <c r="B56" s="5" t="inlineStr">
        <is>
          <t>制造费用</t>
        </is>
      </c>
      <c r="D56" s="5" t="inlineStr">
        <is>
          <t>生产成本-员工报销</t>
        </is>
      </c>
      <c r="E56" s="6" t="inlineStr">
        <is>
          <t>Q3206</t>
        </is>
      </c>
      <c r="F56" s="89">
        <f>-SUMIFS('1月数据源'!I:I,'1月数据源'!D:D,E56,'1月数据源'!F:F,"杭州知识跳跳科技有限公司")+SUMIFS('1月数据源'!J:J,'1月数据源'!D:D,E56,'1月数据源'!F:F,"杭州知识跳跳科技有限公司")</f>
        <v/>
      </c>
      <c r="G56" s="89">
        <f>-SUMIFS('2月数据源'!$I:$I,'2月数据源'!$D:$D,$E56,'2月数据源'!$F:$F,"杭州知识跳跳科技有限公司")+SUMIFS('2月数据源'!$J:$J,'2月数据源'!$D:$D,$E56,'2月数据源'!$F:$F,"杭州知识跳跳科技有限公司")</f>
        <v/>
      </c>
      <c r="H56" s="89">
        <f>-SUMIFS('3月数据源'!$I:$I,'3月数据源'!$D:$D,$E56,'3月数据源'!$F:$F,"杭州知识跳跳科技有限公司")+SUMIFS('3月数据源'!$J:$J,'3月数据源'!$D:$D,$E56,'3月数据源'!$F:$F,"杭州知识跳跳科技有限公司")</f>
        <v/>
      </c>
      <c r="I56" s="89">
        <f>-SUMIFS('4月数据源'!$I:$I,'4月数据源'!$D:$D,$E56,'4月数据源'!$F:$F,"杭州知识跳跳科技有限公司")+SUMIFS('4月数据源'!$J:$J,'4月数据源'!$D:$D,$E56,'4月数据源'!$F:$F,"杭州知识跳跳科技有限公司")</f>
        <v/>
      </c>
      <c r="J56" s="89">
        <f>-SUMIFS('5月数据源'!$I:$I,'5月数据源'!$D:$D,$E56,'5月数据源'!$F:$F,"杭州知识跳跳科技有限公司")+SUMIFS('5月数据源'!$J:$J,'5月数据源'!$D:$D,$E56,'5月数据源'!$F:$F,"杭州知识跳跳科技有限公司")</f>
        <v/>
      </c>
      <c r="K56" s="89">
        <f>-SUMIFS('6月数据源'!$I:$I,'6月数据源'!$D:$D,$E56,'6月数据源'!$F:$F,"杭州知识跳跳科技有限公司")+SUMIFS('6月数据源'!$J:$J,'6月数据源'!$D:$D,$E56,'6月数据源'!$F:$F,"杭州知识跳跳科技有限公司")</f>
        <v/>
      </c>
      <c r="L56" s="89">
        <f>-SUMIFS('7月数据源'!$I:$I,'7月数据源'!$D:$D,$E56,'7月数据源'!$F:$F,"杭州知识跳跳科技有限公司")+SUMIFS('7月数据源'!$J:$J,'7月数据源'!$D:$D,$E56,'7月数据源'!$F:$F,"杭州知识跳跳科技有限公司")</f>
        <v/>
      </c>
      <c r="M56" s="89">
        <f>-SUMIFS('8月数据源'!$I:$I,'8月数据源'!$D:$D,$E56,'8月数据源'!$F:$F,"杭州知识跳跳科技有限公司")+SUMIFS('8月数据源'!$J:$J,'8月数据源'!$D:$D,$E56,'8月数据源'!$F:$F,"杭州知识跳跳科技有限公司")</f>
        <v/>
      </c>
      <c r="N56" s="89">
        <f>-SUMIFS('9月数据源'!$I:$I,'9月数据源'!$D:$D,$E56,'9月数据源'!$F:$F,"杭州知识跳跳科技有限公司")+SUMIFS('9月数据源'!$J:$J,'9月数据源'!$D:$D,$E56,'9月数据源'!$F:$F,"杭州知识跳跳科技有限公司")</f>
        <v/>
      </c>
      <c r="O56" s="89">
        <f>-SUMIFS('10月数据源'!$I:$I,'10月数据源'!$D:$D,$E56,'10月数据源'!$F:$F,"杭州知识跳跳科技有限公司")+SUMIFS('10月数据源'!$J:$J,'10月数据源'!$D:$D,$E56,'10月数据源'!$F:$F,"杭州知识跳跳科技有限公司")</f>
        <v/>
      </c>
      <c r="P56" s="89">
        <f>-SUMIFS('11月数据源'!$I:$I,'11月数据源'!$D:$D,$E56,'11月数据源'!$F:$F,"杭州知识跳跳科技有限公司")+SUMIFS('11月数据源'!$J:$J,'11月数据源'!$D:$D,$E56,'11月数据源'!$F:$F,"杭州知识跳跳科技有限公司")</f>
        <v/>
      </c>
      <c r="Q56" s="89">
        <f>-SUMIFS('12月数据源'!$I:$I,'12月数据源'!$D:$D,$E56,'12月数据源'!$F:$F,"杭州知识跳跳科技有限公司")+SUMIFS('12月数据源'!$J:$J,'12月数据源'!$D:$D,$E56,'12月数据源'!$F:$F,"杭州知识跳跳科技有限公司")</f>
        <v/>
      </c>
    </row>
    <row r="57" s="83">
      <c r="A57" s="5" t="inlineStr">
        <is>
          <t>制造费用</t>
        </is>
      </c>
      <c r="B57" s="5" t="inlineStr">
        <is>
          <t>制造费用</t>
        </is>
      </c>
      <c r="D57" s="5" t="inlineStr">
        <is>
          <t>包机膜</t>
        </is>
      </c>
      <c r="E57" s="6" t="inlineStr">
        <is>
          <t>Q3207</t>
        </is>
      </c>
      <c r="F57" s="89">
        <f>-SUMIFS('1月数据源'!I:I,'1月数据源'!D:D,E57,'1月数据源'!F:F,"杭州知识跳跳科技有限公司")+SUMIFS('1月数据源'!J:J,'1月数据源'!D:D,E57,'1月数据源'!F:F,"杭州知识跳跳科技有限公司")</f>
        <v/>
      </c>
      <c r="G57" s="89">
        <f>-SUMIFS('2月数据源'!$I:$I,'2月数据源'!$D:$D,$E57,'2月数据源'!$F:$F,"杭州知识跳跳科技有限公司")+SUMIFS('2月数据源'!$J:$J,'2月数据源'!$D:$D,$E57,'2月数据源'!$F:$F,"杭州知识跳跳科技有限公司")</f>
        <v/>
      </c>
      <c r="H57" s="89">
        <f>-SUMIFS('3月数据源'!$I:$I,'3月数据源'!$D:$D,$E57,'3月数据源'!$F:$F,"杭州知识跳跳科技有限公司")+SUMIFS('3月数据源'!$J:$J,'3月数据源'!$D:$D,$E57,'3月数据源'!$F:$F,"杭州知识跳跳科技有限公司")</f>
        <v/>
      </c>
      <c r="I57" s="89">
        <f>-SUMIFS('4月数据源'!$I:$I,'4月数据源'!$D:$D,$E57,'4月数据源'!$F:$F,"杭州知识跳跳科技有限公司")+SUMIFS('4月数据源'!$J:$J,'4月数据源'!$D:$D,$E57,'4月数据源'!$F:$F,"杭州知识跳跳科技有限公司")</f>
        <v/>
      </c>
      <c r="J57" s="89">
        <f>-SUMIFS('5月数据源'!$I:$I,'5月数据源'!$D:$D,$E57,'5月数据源'!$F:$F,"杭州知识跳跳科技有限公司")+SUMIFS('5月数据源'!$J:$J,'5月数据源'!$D:$D,$E57,'5月数据源'!$F:$F,"杭州知识跳跳科技有限公司")</f>
        <v/>
      </c>
      <c r="K57" s="89">
        <f>-SUMIFS('6月数据源'!$I:$I,'6月数据源'!$D:$D,$E57,'6月数据源'!$F:$F,"杭州知识跳跳科技有限公司")+SUMIFS('6月数据源'!$J:$J,'6月数据源'!$D:$D,$E57,'6月数据源'!$F:$F,"杭州知识跳跳科技有限公司")</f>
        <v/>
      </c>
      <c r="L57" s="89">
        <f>-SUMIFS('7月数据源'!$I:$I,'7月数据源'!$D:$D,$E57,'7月数据源'!$F:$F,"杭州知识跳跳科技有限公司")+SUMIFS('7月数据源'!$J:$J,'7月数据源'!$D:$D,$E57,'7月数据源'!$F:$F,"杭州知识跳跳科技有限公司")</f>
        <v/>
      </c>
      <c r="M57" s="89">
        <f>-SUMIFS('8月数据源'!$I:$I,'8月数据源'!$D:$D,$E57,'8月数据源'!$F:$F,"杭州知识跳跳科技有限公司")+SUMIFS('8月数据源'!$J:$J,'8月数据源'!$D:$D,$E57,'8月数据源'!$F:$F,"杭州知识跳跳科技有限公司")</f>
        <v/>
      </c>
      <c r="N57" s="89">
        <f>-SUMIFS('9月数据源'!$I:$I,'9月数据源'!$D:$D,$E57,'9月数据源'!$F:$F,"杭州知识跳跳科技有限公司")+SUMIFS('9月数据源'!$J:$J,'9月数据源'!$D:$D,$E57,'9月数据源'!$F:$F,"杭州知识跳跳科技有限公司")</f>
        <v/>
      </c>
      <c r="O57" s="89">
        <f>-SUMIFS('10月数据源'!$I:$I,'10月数据源'!$D:$D,$E57,'10月数据源'!$F:$F,"杭州知识跳跳科技有限公司")+SUMIFS('10月数据源'!$J:$J,'10月数据源'!$D:$D,$E57,'10月数据源'!$F:$F,"杭州知识跳跳科技有限公司")</f>
        <v/>
      </c>
      <c r="P57" s="89">
        <f>-SUMIFS('11月数据源'!$I:$I,'11月数据源'!$D:$D,$E57,'11月数据源'!$F:$F,"杭州知识跳跳科技有限公司")+SUMIFS('11月数据源'!$J:$J,'11月数据源'!$D:$D,$E57,'11月数据源'!$F:$F,"杭州知识跳跳科技有限公司")</f>
        <v/>
      </c>
      <c r="Q57" s="89">
        <f>-SUMIFS('12月数据源'!$I:$I,'12月数据源'!$D:$D,$E57,'12月数据源'!$F:$F,"杭州知识跳跳科技有限公司")+SUMIFS('12月数据源'!$J:$J,'12月数据源'!$D:$D,$E57,'12月数据源'!$F:$F,"杭州知识跳跳科技有限公司")</f>
        <v/>
      </c>
    </row>
    <row r="58" s="83">
      <c r="A58" s="5" t="inlineStr">
        <is>
          <t>制造费用</t>
        </is>
      </c>
      <c r="B58" s="5" t="inlineStr">
        <is>
          <t>制造费用</t>
        </is>
      </c>
      <c r="D58" s="5" t="inlineStr">
        <is>
          <t>贴纸/说明书</t>
        </is>
      </c>
      <c r="E58" s="6" t="inlineStr">
        <is>
          <t>Q3208</t>
        </is>
      </c>
      <c r="F58" s="89">
        <f>-SUMIFS('1月数据源'!I:I,'1月数据源'!D:D,E58,'1月数据源'!F:F,"杭州知识跳跳科技有限公司")+SUMIFS('1月数据源'!J:J,'1月数据源'!D:D,E58,'1月数据源'!F:F,"杭州知识跳跳科技有限公司")</f>
        <v/>
      </c>
      <c r="G58" s="89">
        <f>-SUMIFS('2月数据源'!$I:$I,'2月数据源'!$D:$D,$E58,'2月数据源'!$F:$F,"杭州知识跳跳科技有限公司")+SUMIFS('2月数据源'!$J:$J,'2月数据源'!$D:$D,$E58,'2月数据源'!$F:$F,"杭州知识跳跳科技有限公司")</f>
        <v/>
      </c>
      <c r="H58" s="89">
        <f>-SUMIFS('3月数据源'!$I:$I,'3月数据源'!$D:$D,$E58,'3月数据源'!$F:$F,"杭州知识跳跳科技有限公司")+SUMIFS('3月数据源'!$J:$J,'3月数据源'!$D:$D,$E58,'3月数据源'!$F:$F,"杭州知识跳跳科技有限公司")</f>
        <v/>
      </c>
      <c r="I58" s="89">
        <f>-SUMIFS('4月数据源'!$I:$I,'4月数据源'!$D:$D,$E58,'4月数据源'!$F:$F,"杭州知识跳跳科技有限公司")+SUMIFS('4月数据源'!$J:$J,'4月数据源'!$D:$D,$E58,'4月数据源'!$F:$F,"杭州知识跳跳科技有限公司")</f>
        <v/>
      </c>
      <c r="J58" s="89">
        <f>-SUMIFS('5月数据源'!$I:$I,'5月数据源'!$D:$D,$E58,'5月数据源'!$F:$F,"杭州知识跳跳科技有限公司")+SUMIFS('5月数据源'!$J:$J,'5月数据源'!$D:$D,$E58,'5月数据源'!$F:$F,"杭州知识跳跳科技有限公司")</f>
        <v/>
      </c>
      <c r="K58" s="89">
        <f>-SUMIFS('6月数据源'!$I:$I,'6月数据源'!$D:$D,$E58,'6月数据源'!$F:$F,"杭州知识跳跳科技有限公司")+SUMIFS('6月数据源'!$J:$J,'6月数据源'!$D:$D,$E58,'6月数据源'!$F:$F,"杭州知识跳跳科技有限公司")</f>
        <v/>
      </c>
      <c r="L58" s="89">
        <f>-SUMIFS('7月数据源'!$I:$I,'7月数据源'!$D:$D,$E58,'7月数据源'!$F:$F,"杭州知识跳跳科技有限公司")+SUMIFS('7月数据源'!$J:$J,'7月数据源'!$D:$D,$E58,'7月数据源'!$F:$F,"杭州知识跳跳科技有限公司")</f>
        <v/>
      </c>
      <c r="M58" s="89">
        <f>-SUMIFS('8月数据源'!$I:$I,'8月数据源'!$D:$D,$E58,'8月数据源'!$F:$F,"杭州知识跳跳科技有限公司")+SUMIFS('8月数据源'!$J:$J,'8月数据源'!$D:$D,$E58,'8月数据源'!$F:$F,"杭州知识跳跳科技有限公司")</f>
        <v/>
      </c>
      <c r="N58" s="89">
        <f>-SUMIFS('9月数据源'!$I:$I,'9月数据源'!$D:$D,$E58,'9月数据源'!$F:$F,"杭州知识跳跳科技有限公司")+SUMIFS('9月数据源'!$J:$J,'9月数据源'!$D:$D,$E58,'9月数据源'!$F:$F,"杭州知识跳跳科技有限公司")</f>
        <v/>
      </c>
      <c r="O58" s="89">
        <f>-SUMIFS('10月数据源'!$I:$I,'10月数据源'!$D:$D,$E58,'10月数据源'!$F:$F,"杭州知识跳跳科技有限公司")+SUMIFS('10月数据源'!$J:$J,'10月数据源'!$D:$D,$E58,'10月数据源'!$F:$F,"杭州知识跳跳科技有限公司")</f>
        <v/>
      </c>
      <c r="P58" s="89">
        <f>-SUMIFS('11月数据源'!$I:$I,'11月数据源'!$D:$D,$E58,'11月数据源'!$F:$F,"杭州知识跳跳科技有限公司")+SUMIFS('11月数据源'!$J:$J,'11月数据源'!$D:$D,$E58,'11月数据源'!$F:$F,"杭州知识跳跳科技有限公司")</f>
        <v/>
      </c>
      <c r="Q58" s="89">
        <f>-SUMIFS('12月数据源'!$I:$I,'12月数据源'!$D:$D,$E58,'12月数据源'!$F:$F,"杭州知识跳跳科技有限公司")+SUMIFS('12月数据源'!$J:$J,'12月数据源'!$D:$D,$E58,'12月数据源'!$F:$F,"杭州知识跳跳科技有限公司")</f>
        <v/>
      </c>
    </row>
    <row r="59" s="83">
      <c r="A59" s="5" t="inlineStr">
        <is>
          <t>制造费用</t>
        </is>
      </c>
      <c r="B59" s="5" t="inlineStr">
        <is>
          <t>制造费用</t>
        </is>
      </c>
      <c r="D59" s="5" t="inlineStr">
        <is>
          <t>笔尖</t>
        </is>
      </c>
      <c r="E59" s="6" t="inlineStr">
        <is>
          <t>Q3209</t>
        </is>
      </c>
      <c r="F59" s="89">
        <f>-SUMIFS('1月数据源'!I:I,'1月数据源'!D:D,E59,'1月数据源'!F:F,"杭州知识跳跳科技有限公司")+SUMIFS('1月数据源'!J:J,'1月数据源'!D:D,E59,'1月数据源'!F:F,"杭州知识跳跳科技有限公司")</f>
        <v/>
      </c>
      <c r="G59" s="89">
        <f>-SUMIFS('2月数据源'!$I:$I,'2月数据源'!$D:$D,$E59,'2月数据源'!$F:$F,"杭州知识跳跳科技有限公司")+SUMIFS('2月数据源'!$J:$J,'2月数据源'!$D:$D,$E59,'2月数据源'!$F:$F,"杭州知识跳跳科技有限公司")</f>
        <v/>
      </c>
      <c r="H59" s="89">
        <f>-SUMIFS('3月数据源'!$I:$I,'3月数据源'!$D:$D,$E59,'3月数据源'!$F:$F,"杭州知识跳跳科技有限公司")+SUMIFS('3月数据源'!$J:$J,'3月数据源'!$D:$D,$E59,'3月数据源'!$F:$F,"杭州知识跳跳科技有限公司")</f>
        <v/>
      </c>
      <c r="I59" s="89">
        <f>-SUMIFS('4月数据源'!$I:$I,'4月数据源'!$D:$D,$E59,'4月数据源'!$F:$F,"杭州知识跳跳科技有限公司")+SUMIFS('4月数据源'!$J:$J,'4月数据源'!$D:$D,$E59,'4月数据源'!$F:$F,"杭州知识跳跳科技有限公司")</f>
        <v/>
      </c>
      <c r="J59" s="89">
        <f>-SUMIFS('5月数据源'!$I:$I,'5月数据源'!$D:$D,$E59,'5月数据源'!$F:$F,"杭州知识跳跳科技有限公司")+SUMIFS('5月数据源'!$J:$J,'5月数据源'!$D:$D,$E59,'5月数据源'!$F:$F,"杭州知识跳跳科技有限公司")</f>
        <v/>
      </c>
      <c r="K59" s="89">
        <f>-SUMIFS('6月数据源'!$I:$I,'6月数据源'!$D:$D,$E59,'6月数据源'!$F:$F,"杭州知识跳跳科技有限公司")+SUMIFS('6月数据源'!$J:$J,'6月数据源'!$D:$D,$E59,'6月数据源'!$F:$F,"杭州知识跳跳科技有限公司")</f>
        <v/>
      </c>
      <c r="L59" s="89">
        <f>-SUMIFS('7月数据源'!$I:$I,'7月数据源'!$D:$D,$E59,'7月数据源'!$F:$F,"杭州知识跳跳科技有限公司")+SUMIFS('7月数据源'!$J:$J,'7月数据源'!$D:$D,$E59,'7月数据源'!$F:$F,"杭州知识跳跳科技有限公司")</f>
        <v/>
      </c>
      <c r="M59" s="89">
        <f>-SUMIFS('8月数据源'!$I:$I,'8月数据源'!$D:$D,$E59,'8月数据源'!$F:$F,"杭州知识跳跳科技有限公司")+SUMIFS('8月数据源'!$J:$J,'8月数据源'!$D:$D,$E59,'8月数据源'!$F:$F,"杭州知识跳跳科技有限公司")</f>
        <v/>
      </c>
      <c r="N59" s="89">
        <f>-SUMIFS('9月数据源'!$I:$I,'9月数据源'!$D:$D,$E59,'9月数据源'!$F:$F,"杭州知识跳跳科技有限公司")+SUMIFS('9月数据源'!$J:$J,'9月数据源'!$D:$D,$E59,'9月数据源'!$F:$F,"杭州知识跳跳科技有限公司")</f>
        <v/>
      </c>
      <c r="O59" s="89">
        <f>-SUMIFS('10月数据源'!$I:$I,'10月数据源'!$D:$D,$E59,'10月数据源'!$F:$F,"杭州知识跳跳科技有限公司")+SUMIFS('10月数据源'!$J:$J,'10月数据源'!$D:$D,$E59,'10月数据源'!$F:$F,"杭州知识跳跳科技有限公司")</f>
        <v/>
      </c>
      <c r="P59" s="89">
        <f>-SUMIFS('11月数据源'!$I:$I,'11月数据源'!$D:$D,$E59,'11月数据源'!$F:$F,"杭州知识跳跳科技有限公司")+SUMIFS('11月数据源'!$J:$J,'11月数据源'!$D:$D,$E59,'11月数据源'!$F:$F,"杭州知识跳跳科技有限公司")</f>
        <v/>
      </c>
      <c r="Q59" s="89">
        <f>-SUMIFS('12月数据源'!$I:$I,'12月数据源'!$D:$D,$E59,'12月数据源'!$F:$F,"杭州知识跳跳科技有限公司")+SUMIFS('12月数据源'!$J:$J,'12月数据源'!$D:$D,$E59,'12月数据源'!$F:$F,"杭州知识跳跳科技有限公司")</f>
        <v/>
      </c>
    </row>
    <row r="60" s="83">
      <c r="A60" s="5" t="inlineStr">
        <is>
          <t>制造费用</t>
        </is>
      </c>
      <c r="B60" s="5" t="inlineStr">
        <is>
          <t>制造费用</t>
        </is>
      </c>
      <c r="D60" s="5" t="inlineStr">
        <is>
          <t>华泰租金</t>
        </is>
      </c>
      <c r="E60" s="6" t="inlineStr">
        <is>
          <t>Q3210</t>
        </is>
      </c>
      <c r="F60" s="89">
        <f>-SUMIFS('1月数据源'!I:I,'1月数据源'!D:D,E60,'1月数据源'!F:F,"杭州知识跳跳科技有限公司")+SUMIFS('1月数据源'!J:J,'1月数据源'!D:D,E60,'1月数据源'!F:F,"杭州知识跳跳科技有限公司")</f>
        <v/>
      </c>
      <c r="G60" s="89">
        <f>-SUMIFS('2月数据源'!$I:$I,'2月数据源'!$D:$D,$E60,'2月数据源'!$F:$F,"杭州知识跳跳科技有限公司")+SUMIFS('2月数据源'!$J:$J,'2月数据源'!$D:$D,$E60,'2月数据源'!$F:$F,"杭州知识跳跳科技有限公司")</f>
        <v/>
      </c>
      <c r="H60" s="89">
        <f>-SUMIFS('3月数据源'!$I:$I,'3月数据源'!$D:$D,$E60,'3月数据源'!$F:$F,"杭州知识跳跳科技有限公司")+SUMIFS('3月数据源'!$J:$J,'3月数据源'!$D:$D,$E60,'3月数据源'!$F:$F,"杭州知识跳跳科技有限公司")</f>
        <v/>
      </c>
      <c r="I60" s="89">
        <f>-SUMIFS('4月数据源'!$I:$I,'4月数据源'!$D:$D,$E60,'4月数据源'!$F:$F,"杭州知识跳跳科技有限公司")+SUMIFS('4月数据源'!$J:$J,'4月数据源'!$D:$D,$E60,'4月数据源'!$F:$F,"杭州知识跳跳科技有限公司")</f>
        <v/>
      </c>
      <c r="J60" s="89">
        <f>-SUMIFS('5月数据源'!$I:$I,'5月数据源'!$D:$D,$E60,'5月数据源'!$F:$F,"杭州知识跳跳科技有限公司")+SUMIFS('5月数据源'!$J:$J,'5月数据源'!$D:$D,$E60,'5月数据源'!$F:$F,"杭州知识跳跳科技有限公司")</f>
        <v/>
      </c>
      <c r="K60" s="89">
        <f>-SUMIFS('6月数据源'!$I:$I,'6月数据源'!$D:$D,$E60,'6月数据源'!$F:$F,"杭州知识跳跳科技有限公司")+SUMIFS('6月数据源'!$J:$J,'6月数据源'!$D:$D,$E60,'6月数据源'!$F:$F,"杭州知识跳跳科技有限公司")</f>
        <v/>
      </c>
      <c r="L60" s="89">
        <f>-SUMIFS('7月数据源'!$I:$I,'7月数据源'!$D:$D,$E60,'7月数据源'!$F:$F,"杭州知识跳跳科技有限公司")+SUMIFS('7月数据源'!$J:$J,'7月数据源'!$D:$D,$E60,'7月数据源'!$F:$F,"杭州知识跳跳科技有限公司")</f>
        <v/>
      </c>
      <c r="M60" s="89">
        <f>-SUMIFS('8月数据源'!$I:$I,'8月数据源'!$D:$D,$E60,'8月数据源'!$F:$F,"杭州知识跳跳科技有限公司")+SUMIFS('8月数据源'!$J:$J,'8月数据源'!$D:$D,$E60,'8月数据源'!$F:$F,"杭州知识跳跳科技有限公司")</f>
        <v/>
      </c>
      <c r="N60" s="89">
        <f>-SUMIFS('9月数据源'!$I:$I,'9月数据源'!$D:$D,$E60,'9月数据源'!$F:$F,"杭州知识跳跳科技有限公司")+SUMIFS('9月数据源'!$J:$J,'9月数据源'!$D:$D,$E60,'9月数据源'!$F:$F,"杭州知识跳跳科技有限公司")</f>
        <v/>
      </c>
      <c r="O60" s="89">
        <f>-SUMIFS('10月数据源'!$I:$I,'10月数据源'!$D:$D,$E60,'10月数据源'!$F:$F,"杭州知识跳跳科技有限公司")+SUMIFS('10月数据源'!$J:$J,'10月数据源'!$D:$D,$E60,'10月数据源'!$F:$F,"杭州知识跳跳科技有限公司")</f>
        <v/>
      </c>
      <c r="P60" s="89">
        <f>-SUMIFS('11月数据源'!$I:$I,'11月数据源'!$D:$D,$E60,'11月数据源'!$F:$F,"杭州知识跳跳科技有限公司")+SUMIFS('11月数据源'!$J:$J,'11月数据源'!$D:$D,$E60,'11月数据源'!$F:$F,"杭州知识跳跳科技有限公司")</f>
        <v/>
      </c>
      <c r="Q60" s="89">
        <f>-SUMIFS('12月数据源'!$I:$I,'12月数据源'!$D:$D,$E60,'12月数据源'!$F:$F,"杭州知识跳跳科技有限公司")+SUMIFS('12月数据源'!$J:$J,'12月数据源'!$D:$D,$E60,'12月数据源'!$F:$F,"杭州知识跳跳科技有限公司")</f>
        <v/>
      </c>
    </row>
    <row r="61" s="83">
      <c r="A61" s="5" t="inlineStr">
        <is>
          <t>制造费用</t>
        </is>
      </c>
      <c r="B61" s="5" t="inlineStr">
        <is>
          <t>制造费用</t>
        </is>
      </c>
      <c r="D61" s="5" t="inlineStr">
        <is>
          <t>华泰水电费</t>
        </is>
      </c>
      <c r="E61" s="6" t="inlineStr">
        <is>
          <t>Q3211</t>
        </is>
      </c>
      <c r="F61" s="89">
        <f>-SUMIFS('1月数据源'!I:I,'1月数据源'!D:D,E61,'1月数据源'!F:F,"杭州知识跳跳科技有限公司")+SUMIFS('1月数据源'!J:J,'1月数据源'!D:D,E61,'1月数据源'!F:F,"杭州知识跳跳科技有限公司")</f>
        <v/>
      </c>
      <c r="G61" s="89">
        <f>-SUMIFS('2月数据源'!$I:$I,'2月数据源'!$D:$D,$E61,'2月数据源'!$F:$F,"杭州知识跳跳科技有限公司")+SUMIFS('2月数据源'!$J:$J,'2月数据源'!$D:$D,$E61,'2月数据源'!$F:$F,"杭州知识跳跳科技有限公司")</f>
        <v/>
      </c>
      <c r="H61" s="89">
        <f>-SUMIFS('3月数据源'!$I:$I,'3月数据源'!$D:$D,$E61,'3月数据源'!$F:$F,"杭州知识跳跳科技有限公司")+SUMIFS('3月数据源'!$J:$J,'3月数据源'!$D:$D,$E61,'3月数据源'!$F:$F,"杭州知识跳跳科技有限公司")</f>
        <v/>
      </c>
      <c r="I61" s="89">
        <f>-SUMIFS('4月数据源'!$I:$I,'4月数据源'!$D:$D,$E61,'4月数据源'!$F:$F,"杭州知识跳跳科技有限公司")+SUMIFS('4月数据源'!$J:$J,'4月数据源'!$D:$D,$E61,'4月数据源'!$F:$F,"杭州知识跳跳科技有限公司")</f>
        <v/>
      </c>
      <c r="J61" s="89">
        <f>-SUMIFS('5月数据源'!$I:$I,'5月数据源'!$D:$D,$E61,'5月数据源'!$F:$F,"杭州知识跳跳科技有限公司")+SUMIFS('5月数据源'!$J:$J,'5月数据源'!$D:$D,$E61,'5月数据源'!$F:$F,"杭州知识跳跳科技有限公司")</f>
        <v/>
      </c>
      <c r="K61" s="89">
        <f>-SUMIFS('6月数据源'!$I:$I,'6月数据源'!$D:$D,$E61,'6月数据源'!$F:$F,"杭州知识跳跳科技有限公司")+SUMIFS('6月数据源'!$J:$J,'6月数据源'!$D:$D,$E61,'6月数据源'!$F:$F,"杭州知识跳跳科技有限公司")</f>
        <v/>
      </c>
      <c r="L61" s="89">
        <f>-SUMIFS('7月数据源'!$I:$I,'7月数据源'!$D:$D,$E61,'7月数据源'!$F:$F,"杭州知识跳跳科技有限公司")+SUMIFS('7月数据源'!$J:$J,'7月数据源'!$D:$D,$E61,'7月数据源'!$F:$F,"杭州知识跳跳科技有限公司")</f>
        <v/>
      </c>
      <c r="M61" s="89">
        <f>-SUMIFS('8月数据源'!$I:$I,'8月数据源'!$D:$D,$E61,'8月数据源'!$F:$F,"杭州知识跳跳科技有限公司")+SUMIFS('8月数据源'!$J:$J,'8月数据源'!$D:$D,$E61,'8月数据源'!$F:$F,"杭州知识跳跳科技有限公司")</f>
        <v/>
      </c>
      <c r="N61" s="89">
        <f>-SUMIFS('9月数据源'!$I:$I,'9月数据源'!$D:$D,$E61,'9月数据源'!$F:$F,"杭州知识跳跳科技有限公司")+SUMIFS('9月数据源'!$J:$J,'9月数据源'!$D:$D,$E61,'9月数据源'!$F:$F,"杭州知识跳跳科技有限公司")</f>
        <v/>
      </c>
      <c r="O61" s="89">
        <f>-SUMIFS('10月数据源'!$I:$I,'10月数据源'!$D:$D,$E61,'10月数据源'!$F:$F,"杭州知识跳跳科技有限公司")+SUMIFS('10月数据源'!$J:$J,'10月数据源'!$D:$D,$E61,'10月数据源'!$F:$F,"杭州知识跳跳科技有限公司")</f>
        <v/>
      </c>
      <c r="P61" s="89">
        <f>-SUMIFS('11月数据源'!$I:$I,'11月数据源'!$D:$D,$E61,'11月数据源'!$F:$F,"杭州知识跳跳科技有限公司")+SUMIFS('11月数据源'!$J:$J,'11月数据源'!$D:$D,$E61,'11月数据源'!$F:$F,"杭州知识跳跳科技有限公司")</f>
        <v/>
      </c>
      <c r="Q61" s="89">
        <f>-SUMIFS('12月数据源'!$I:$I,'12月数据源'!$D:$D,$E61,'12月数据源'!$F:$F,"杭州知识跳跳科技有限公司")+SUMIFS('12月数据源'!$J:$J,'12月数据源'!$D:$D,$E61,'12月数据源'!$F:$F,"杭州知识跳跳科技有限公司")</f>
        <v/>
      </c>
    </row>
    <row r="62" s="83">
      <c r="A62" s="5" t="inlineStr">
        <is>
          <t>制造费用</t>
        </is>
      </c>
      <c r="B62" s="5" t="inlineStr">
        <is>
          <t>制造费用</t>
        </is>
      </c>
      <c r="D62" s="5" t="inlineStr">
        <is>
          <t>华泰装修费</t>
        </is>
      </c>
      <c r="E62" s="6" t="inlineStr">
        <is>
          <t>Q3212</t>
        </is>
      </c>
      <c r="F62" s="89">
        <f>-SUMIFS('1月数据源'!I:I,'1月数据源'!D:D,E62,'1月数据源'!F:F,"杭州知识跳跳科技有限公司")+SUMIFS('1月数据源'!J:J,'1月数据源'!D:D,E62,'1月数据源'!F:F,"杭州知识跳跳科技有限公司")</f>
        <v/>
      </c>
      <c r="G62" s="89">
        <f>-SUMIFS('2月数据源'!$I:$I,'2月数据源'!$D:$D,$E62,'2月数据源'!$F:$F,"杭州知识跳跳科技有限公司")+SUMIFS('2月数据源'!$J:$J,'2月数据源'!$D:$D,$E62,'2月数据源'!$F:$F,"杭州知识跳跳科技有限公司")</f>
        <v/>
      </c>
      <c r="H62" s="89">
        <f>-SUMIFS('3月数据源'!$I:$I,'3月数据源'!$D:$D,$E62,'3月数据源'!$F:$F,"杭州知识跳跳科技有限公司")+SUMIFS('3月数据源'!$J:$J,'3月数据源'!$D:$D,$E62,'3月数据源'!$F:$F,"杭州知识跳跳科技有限公司")</f>
        <v/>
      </c>
      <c r="I62" s="89">
        <f>-SUMIFS('4月数据源'!$I:$I,'4月数据源'!$D:$D,$E62,'4月数据源'!$F:$F,"杭州知识跳跳科技有限公司")+SUMIFS('4月数据源'!$J:$J,'4月数据源'!$D:$D,$E62,'4月数据源'!$F:$F,"杭州知识跳跳科技有限公司")</f>
        <v/>
      </c>
      <c r="J62" s="89">
        <f>-SUMIFS('5月数据源'!$I:$I,'5月数据源'!$D:$D,$E62,'5月数据源'!$F:$F,"杭州知识跳跳科技有限公司")+SUMIFS('5月数据源'!$J:$J,'5月数据源'!$D:$D,$E62,'5月数据源'!$F:$F,"杭州知识跳跳科技有限公司")</f>
        <v/>
      </c>
      <c r="K62" s="89">
        <f>-SUMIFS('6月数据源'!$I:$I,'6月数据源'!$D:$D,$E62,'6月数据源'!$F:$F,"杭州知识跳跳科技有限公司")+SUMIFS('6月数据源'!$J:$J,'6月数据源'!$D:$D,$E62,'6月数据源'!$F:$F,"杭州知识跳跳科技有限公司")</f>
        <v/>
      </c>
      <c r="L62" s="89">
        <f>-SUMIFS('7月数据源'!$I:$I,'7月数据源'!$D:$D,$E62,'7月数据源'!$F:$F,"杭州知识跳跳科技有限公司")+SUMIFS('7月数据源'!$J:$J,'7月数据源'!$D:$D,$E62,'7月数据源'!$F:$F,"杭州知识跳跳科技有限公司")</f>
        <v/>
      </c>
      <c r="M62" s="89">
        <f>-SUMIFS('8月数据源'!$I:$I,'8月数据源'!$D:$D,$E62,'8月数据源'!$F:$F,"杭州知识跳跳科技有限公司")+SUMIFS('8月数据源'!$J:$J,'8月数据源'!$D:$D,$E62,'8月数据源'!$F:$F,"杭州知识跳跳科技有限公司")</f>
        <v/>
      </c>
      <c r="N62" s="89">
        <f>-SUMIFS('9月数据源'!$I:$I,'9月数据源'!$D:$D,$E62,'9月数据源'!$F:$F,"杭州知识跳跳科技有限公司")+SUMIFS('9月数据源'!$J:$J,'9月数据源'!$D:$D,$E62,'9月数据源'!$F:$F,"杭州知识跳跳科技有限公司")</f>
        <v/>
      </c>
      <c r="O62" s="89">
        <f>-SUMIFS('10月数据源'!$I:$I,'10月数据源'!$D:$D,$E62,'10月数据源'!$F:$F,"杭州知识跳跳科技有限公司")+SUMIFS('10月数据源'!$J:$J,'10月数据源'!$D:$D,$E62,'10月数据源'!$F:$F,"杭州知识跳跳科技有限公司")</f>
        <v/>
      </c>
      <c r="P62" s="89">
        <f>-SUMIFS('11月数据源'!$I:$I,'11月数据源'!$D:$D,$E62,'11月数据源'!$F:$F,"杭州知识跳跳科技有限公司")+SUMIFS('11月数据源'!$J:$J,'11月数据源'!$D:$D,$E62,'11月数据源'!$F:$F,"杭州知识跳跳科技有限公司")</f>
        <v/>
      </c>
      <c r="Q62" s="89">
        <f>-SUMIFS('12月数据源'!$I:$I,'12月数据源'!$D:$D,$E62,'12月数据源'!$F:$F,"杭州知识跳跳科技有限公司")+SUMIFS('12月数据源'!$J:$J,'12月数据源'!$D:$D,$E62,'12月数据源'!$F:$F,"杭州知识跳跳科技有限公司")</f>
        <v/>
      </c>
    </row>
    <row r="63" s="83">
      <c r="A63" s="49" t="inlineStr">
        <is>
          <t>制造费用合计</t>
        </is>
      </c>
      <c r="B63" s="50" t="n"/>
      <c r="C63" s="50" t="n"/>
      <c r="D63" s="49" t="n"/>
      <c r="E63" s="49" t="n"/>
      <c r="F63" s="89">
        <f>SUM(F51:F62)</f>
        <v/>
      </c>
      <c r="G63" s="89">
        <f>SUM(G51:G62)</f>
        <v/>
      </c>
      <c r="H63" s="89">
        <f>SUM(H51:H62)</f>
        <v/>
      </c>
      <c r="I63" s="89">
        <f>SUM(I51:I62)</f>
        <v/>
      </c>
      <c r="J63" s="89">
        <f>SUM(J51:J62)</f>
        <v/>
      </c>
      <c r="K63" s="89">
        <f>SUM(K51:K62)</f>
        <v/>
      </c>
      <c r="L63" s="89">
        <f>SUM(L51:L62)</f>
        <v/>
      </c>
      <c r="M63" s="89">
        <f>SUM(M51:M62)</f>
        <v/>
      </c>
      <c r="N63" s="89">
        <f>SUM(N51:N62)</f>
        <v/>
      </c>
      <c r="O63" s="89">
        <f>SUM(O51:O62)</f>
        <v/>
      </c>
      <c r="P63" s="89">
        <f>SUM(P51:P62)</f>
        <v/>
      </c>
      <c r="Q63" s="89">
        <f>SUM(Q51:Q62)</f>
        <v/>
      </c>
    </row>
    <row r="64" s="83">
      <c r="A64" s="5" t="inlineStr">
        <is>
          <t>自习室支出</t>
        </is>
      </c>
      <c r="B64" s="5" t="inlineStr">
        <is>
          <t>自习室支出</t>
        </is>
      </c>
      <c r="C64" s="6" t="inlineStr">
        <is>
          <t>自习室支出</t>
        </is>
      </c>
      <c r="D64" s="5" t="inlineStr">
        <is>
          <t>人力成本</t>
        </is>
      </c>
      <c r="E64" s="53" t="n"/>
      <c r="G64" s="89" t="n"/>
      <c r="H64" s="89" t="n"/>
      <c r="I64" s="89" t="n"/>
      <c r="J64" s="89" t="n"/>
      <c r="K64" s="89" t="n"/>
      <c r="L64" s="89" t="n"/>
      <c r="M64" s="89" t="n"/>
      <c r="N64" s="89" t="n"/>
      <c r="O64" s="89" t="n"/>
      <c r="P64" s="89" t="n"/>
      <c r="Q64" s="89" t="n"/>
    </row>
    <row r="65" s="83">
      <c r="A65" s="5" t="inlineStr">
        <is>
          <t>自习室支出</t>
        </is>
      </c>
      <c r="B65" s="5" t="inlineStr">
        <is>
          <t>自习室支出</t>
        </is>
      </c>
      <c r="D65" s="5" t="inlineStr">
        <is>
          <t>装修支出</t>
        </is>
      </c>
      <c r="E65" s="53" t="n"/>
      <c r="G65" s="89" t="n"/>
      <c r="H65" s="89" t="n"/>
      <c r="I65" s="89" t="n"/>
      <c r="J65" s="89" t="n"/>
      <c r="K65" s="89" t="n"/>
      <c r="L65" s="89" t="n"/>
      <c r="M65" s="89" t="n"/>
      <c r="N65" s="89" t="n"/>
      <c r="O65" s="89" t="n"/>
      <c r="P65" s="89" t="n"/>
      <c r="Q65" s="89" t="n"/>
    </row>
    <row r="66" s="83">
      <c r="A66" s="5" t="inlineStr">
        <is>
          <t>自习室支出</t>
        </is>
      </c>
      <c r="B66" s="5" t="inlineStr">
        <is>
          <t>自习室支出</t>
        </is>
      </c>
      <c r="D66" s="5" t="inlineStr">
        <is>
          <t>推广费用</t>
        </is>
      </c>
      <c r="E66" s="53" t="n"/>
      <c r="G66" s="89" t="n"/>
      <c r="H66" s="89" t="n"/>
      <c r="I66" s="89" t="n"/>
      <c r="J66" s="89" t="n"/>
      <c r="K66" s="89" t="n"/>
      <c r="L66" s="89" t="n"/>
      <c r="M66" s="89" t="n"/>
      <c r="N66" s="89" t="n"/>
      <c r="O66" s="89" t="n"/>
      <c r="P66" s="89" t="n"/>
      <c r="Q66" s="89" t="n"/>
    </row>
    <row r="67" s="83">
      <c r="A67" s="5" t="inlineStr">
        <is>
          <t>自习室支出</t>
        </is>
      </c>
      <c r="B67" s="5" t="inlineStr">
        <is>
          <t>自习室支出</t>
        </is>
      </c>
      <c r="D67" s="5" t="inlineStr">
        <is>
          <t>管理系统</t>
        </is>
      </c>
      <c r="E67" s="53" t="n"/>
      <c r="G67" s="89" t="n"/>
      <c r="H67" s="89" t="n"/>
      <c r="I67" s="89" t="n"/>
      <c r="J67" s="89" t="n"/>
      <c r="K67" s="89" t="n"/>
      <c r="L67" s="89" t="n"/>
      <c r="M67" s="89" t="n"/>
      <c r="N67" s="89" t="n"/>
      <c r="O67" s="89" t="n"/>
      <c r="P67" s="89" t="n"/>
      <c r="Q67" s="89" t="n"/>
    </row>
    <row r="68" s="83">
      <c r="A68" s="5" t="inlineStr">
        <is>
          <t>自习室支出</t>
        </is>
      </c>
      <c r="B68" s="5" t="inlineStr">
        <is>
          <t>自习室支出</t>
        </is>
      </c>
      <c r="D68" s="5" t="inlineStr">
        <is>
          <t>其他经营支出</t>
        </is>
      </c>
      <c r="E68" s="53" t="n"/>
      <c r="G68" s="89" t="n"/>
      <c r="H68" s="89" t="n"/>
      <c r="I68" s="89" t="n"/>
      <c r="J68" s="89" t="n"/>
      <c r="K68" s="89" t="n"/>
      <c r="L68" s="89" t="n"/>
      <c r="M68" s="89" t="n"/>
      <c r="N68" s="89" t="n"/>
      <c r="O68" s="89" t="n"/>
      <c r="P68" s="89" t="n"/>
      <c r="Q68" s="89" t="n"/>
    </row>
    <row r="69" s="83">
      <c r="A69" s="49" t="inlineStr">
        <is>
          <t>自习室支出合计</t>
        </is>
      </c>
      <c r="B69" s="50" t="n"/>
      <c r="C69" s="50" t="n"/>
      <c r="D69" s="49" t="n"/>
      <c r="E69" s="49" t="n"/>
      <c r="F69" s="89">
        <f>SUM('SMART AI LIMITED:HK01'!F64:F68)</f>
        <v/>
      </c>
      <c r="G69" s="89">
        <f>SUM('SMART AI LIMITED:HK01'!G64:G68)</f>
        <v/>
      </c>
      <c r="H69" s="89">
        <f>SUM('SMART AI LIMITED:HK01'!H64:H68)</f>
        <v/>
      </c>
      <c r="I69" s="89">
        <f>SUM('SMART AI LIMITED:HK01'!I64:I68)</f>
        <v/>
      </c>
      <c r="J69" s="89">
        <f>SUM('SMART AI LIMITED:HK01'!J64:J68)</f>
        <v/>
      </c>
      <c r="K69" s="89">
        <f>SUM('SMART AI LIMITED:HK01'!K64:K68)</f>
        <v/>
      </c>
      <c r="L69" s="89">
        <f>SUM('SMART AI LIMITED:HK01'!L64:L68)</f>
        <v/>
      </c>
      <c r="M69" s="89">
        <f>SUM('SMART AI LIMITED:HK01'!M64:M68)</f>
        <v/>
      </c>
      <c r="N69" s="89">
        <f>SUM('SMART AI LIMITED:HK01'!N64:N68)</f>
        <v/>
      </c>
      <c r="O69" s="89">
        <f>SUM('SMART AI LIMITED:HK01'!O64:O68)</f>
        <v/>
      </c>
      <c r="P69" s="89">
        <f>SUM('SMART AI LIMITED:HK01'!P64:P68)</f>
        <v/>
      </c>
      <c r="Q69" s="89">
        <f>SUM('SMART AI LIMITED:HK01'!Q64:Q68)</f>
        <v/>
      </c>
    </row>
    <row r="70" s="83">
      <c r="A70" s="5" t="inlineStr">
        <is>
          <t>研发支出</t>
        </is>
      </c>
      <c r="B70" s="6" t="inlineStr">
        <is>
          <t>产品开发-MAX</t>
        </is>
      </c>
      <c r="C70" s="6" t="inlineStr">
        <is>
          <t>产品开发-MAX</t>
        </is>
      </c>
      <c r="D70" s="5" t="inlineStr">
        <is>
          <t>检测费</t>
        </is>
      </c>
      <c r="E70" s="6" t="inlineStr">
        <is>
          <t>Q1201</t>
        </is>
      </c>
      <c r="F70" s="89">
        <f>-SUMIFS('1月数据源'!I:I,'1月数据源'!D:D,E70,'1月数据源'!F:F,"杭州知识跳跳科技有限公司")+SUMIFS('1月数据源'!J:J,'1月数据源'!D:D,E70,'1月数据源'!F:F,"杭州知识跳跳科技有限公司")</f>
        <v/>
      </c>
      <c r="G70" s="89">
        <f>-SUMIFS('2月数据源'!$I:$I,'2月数据源'!$D:$D,$E70,'2月数据源'!$F:$F,"杭州知识跳跳科技有限公司")+SUMIFS('2月数据源'!$J:$J,'2月数据源'!$D:$D,$E70,'2月数据源'!$F:$F,"杭州知识跳跳科技有限公司")</f>
        <v/>
      </c>
      <c r="H70" s="89">
        <f>-SUMIFS('3月数据源'!$I:$I,'3月数据源'!$D:$D,$E70,'3月数据源'!$F:$F,"杭州知识跳跳科技有限公司")+SUMIFS('3月数据源'!$J:$J,'3月数据源'!$D:$D,$E70,'3月数据源'!$F:$F,"杭州知识跳跳科技有限公司")</f>
        <v/>
      </c>
      <c r="I70" s="89">
        <f>-SUMIFS('4月数据源'!$I:$I,'4月数据源'!$D:$D,$E70,'4月数据源'!$F:$F,"杭州知识跳跳科技有限公司")+SUMIFS('4月数据源'!$J:$J,'4月数据源'!$D:$D,$E70,'4月数据源'!$F:$F,"杭州知识跳跳科技有限公司")</f>
        <v/>
      </c>
      <c r="J70" s="89">
        <f>-SUMIFS('5月数据源'!$I:$I,'5月数据源'!$D:$D,$E70,'5月数据源'!$F:$F,"杭州知识跳跳科技有限公司")+SUMIFS('5月数据源'!$J:$J,'5月数据源'!$D:$D,$E70,'5月数据源'!$F:$F,"杭州知识跳跳科技有限公司")</f>
        <v/>
      </c>
      <c r="K70" s="89">
        <f>-SUMIFS('6月数据源'!$I:$I,'6月数据源'!$D:$D,$E70,'6月数据源'!$F:$F,"杭州知识跳跳科技有限公司")+SUMIFS('6月数据源'!$J:$J,'6月数据源'!$D:$D,$E70,'6月数据源'!$F:$F,"杭州知识跳跳科技有限公司")</f>
        <v/>
      </c>
      <c r="L70" s="89">
        <f>-SUMIFS('7月数据源'!$I:$I,'7月数据源'!$D:$D,$E70,'7月数据源'!$F:$F,"杭州知识跳跳科技有限公司")+SUMIFS('7月数据源'!$J:$J,'7月数据源'!$D:$D,$E70,'7月数据源'!$F:$F,"杭州知识跳跳科技有限公司")</f>
        <v/>
      </c>
      <c r="M70" s="89">
        <f>-SUMIFS('8月数据源'!$I:$I,'8月数据源'!$D:$D,$E70,'8月数据源'!$F:$F,"杭州知识跳跳科技有限公司")+SUMIFS('8月数据源'!$J:$J,'8月数据源'!$D:$D,$E70,'8月数据源'!$F:$F,"杭州知识跳跳科技有限公司")</f>
        <v/>
      </c>
      <c r="N70" s="89">
        <f>-SUMIFS('9月数据源'!$I:$I,'9月数据源'!$D:$D,$E70,'9月数据源'!$F:$F,"杭州知识跳跳科技有限公司")+SUMIFS('9月数据源'!$J:$J,'9月数据源'!$D:$D,$E70,'9月数据源'!$F:$F,"杭州知识跳跳科技有限公司")</f>
        <v/>
      </c>
      <c r="O70" s="89">
        <f>-SUMIFS('10月数据源'!$I:$I,'10月数据源'!$D:$D,$E70,'10月数据源'!$F:$F,"杭州知识跳跳科技有限公司")+SUMIFS('10月数据源'!$J:$J,'10月数据源'!$D:$D,$E70,'10月数据源'!$F:$F,"杭州知识跳跳科技有限公司")</f>
        <v/>
      </c>
      <c r="P70" s="89">
        <f>-SUMIFS('11月数据源'!$I:$I,'11月数据源'!$D:$D,$E70,'11月数据源'!$F:$F,"杭州知识跳跳科技有限公司")+SUMIFS('11月数据源'!$J:$J,'11月数据源'!$D:$D,$E70,'11月数据源'!$F:$F,"杭州知识跳跳科技有限公司")</f>
        <v/>
      </c>
      <c r="Q70" s="89">
        <f>-SUMIFS('12月数据源'!$I:$I,'12月数据源'!$D:$D,$E70,'12月数据源'!$F:$F,"杭州知识跳跳科技有限公司")+SUMIFS('12月数据源'!$J:$J,'12月数据源'!$D:$D,$E70,'12月数据源'!$F:$F,"杭州知识跳跳科技有限公司")</f>
        <v/>
      </c>
    </row>
    <row r="71" s="83">
      <c r="A71" s="5" t="inlineStr">
        <is>
          <t>研发支出</t>
        </is>
      </c>
      <c r="B71" s="6" t="inlineStr">
        <is>
          <t>产品开发-MAX</t>
        </is>
      </c>
      <c r="D71" s="5" t="inlineStr">
        <is>
          <t>认证费</t>
        </is>
      </c>
      <c r="E71" s="6" t="inlineStr">
        <is>
          <t>Q1202</t>
        </is>
      </c>
      <c r="F71" s="89">
        <f>-SUMIFS('1月数据源'!I:I,'1月数据源'!D:D,E71,'1月数据源'!F:F,"杭州知识跳跳科技有限公司")+SUMIFS('1月数据源'!J:J,'1月数据源'!D:D,E71,'1月数据源'!F:F,"杭州知识跳跳科技有限公司")</f>
        <v/>
      </c>
      <c r="G71" s="89">
        <f>-SUMIFS('2月数据源'!$I:$I,'2月数据源'!$D:$D,$E71,'2月数据源'!$F:$F,"杭州知识跳跳科技有限公司")+SUMIFS('2月数据源'!$J:$J,'2月数据源'!$D:$D,$E71,'2月数据源'!$F:$F,"杭州知识跳跳科技有限公司")</f>
        <v/>
      </c>
      <c r="H71" s="89">
        <f>-SUMIFS('3月数据源'!$I:$I,'3月数据源'!$D:$D,$E71,'3月数据源'!$F:$F,"杭州知识跳跳科技有限公司")+SUMIFS('3月数据源'!$J:$J,'3月数据源'!$D:$D,$E71,'3月数据源'!$F:$F,"杭州知识跳跳科技有限公司")</f>
        <v/>
      </c>
      <c r="I71" s="89">
        <f>-SUMIFS('4月数据源'!$I:$I,'4月数据源'!$D:$D,$E71,'4月数据源'!$F:$F,"杭州知识跳跳科技有限公司")+SUMIFS('4月数据源'!$J:$J,'4月数据源'!$D:$D,$E71,'4月数据源'!$F:$F,"杭州知识跳跳科技有限公司")</f>
        <v/>
      </c>
      <c r="J71" s="89">
        <f>-SUMIFS('5月数据源'!$I:$I,'5月数据源'!$D:$D,$E71,'5月数据源'!$F:$F,"杭州知识跳跳科技有限公司")+SUMIFS('5月数据源'!$J:$J,'5月数据源'!$D:$D,$E71,'5月数据源'!$F:$F,"杭州知识跳跳科技有限公司")</f>
        <v/>
      </c>
      <c r="K71" s="89">
        <f>-SUMIFS('6月数据源'!$I:$I,'6月数据源'!$D:$D,$E71,'6月数据源'!$F:$F,"杭州知识跳跳科技有限公司")+SUMIFS('6月数据源'!$J:$J,'6月数据源'!$D:$D,$E71,'6月数据源'!$F:$F,"杭州知识跳跳科技有限公司")</f>
        <v/>
      </c>
      <c r="L71" s="89">
        <f>-SUMIFS('7月数据源'!$I:$I,'7月数据源'!$D:$D,$E71,'7月数据源'!$F:$F,"杭州知识跳跳科技有限公司")+SUMIFS('7月数据源'!$J:$J,'7月数据源'!$D:$D,$E71,'7月数据源'!$F:$F,"杭州知识跳跳科技有限公司")</f>
        <v/>
      </c>
      <c r="M71" s="89">
        <f>-SUMIFS('8月数据源'!$I:$I,'8月数据源'!$D:$D,$E71,'8月数据源'!$F:$F,"杭州知识跳跳科技有限公司")+SUMIFS('8月数据源'!$J:$J,'8月数据源'!$D:$D,$E71,'8月数据源'!$F:$F,"杭州知识跳跳科技有限公司")</f>
        <v/>
      </c>
      <c r="N71" s="89">
        <f>-SUMIFS('9月数据源'!$I:$I,'9月数据源'!$D:$D,$E71,'9月数据源'!$F:$F,"杭州知识跳跳科技有限公司")+SUMIFS('9月数据源'!$J:$J,'9月数据源'!$D:$D,$E71,'9月数据源'!$F:$F,"杭州知识跳跳科技有限公司")</f>
        <v/>
      </c>
      <c r="O71" s="89">
        <f>-SUMIFS('10月数据源'!$I:$I,'10月数据源'!$D:$D,$E71,'10月数据源'!$F:$F,"杭州知识跳跳科技有限公司")+SUMIFS('10月数据源'!$J:$J,'10月数据源'!$D:$D,$E71,'10月数据源'!$F:$F,"杭州知识跳跳科技有限公司")</f>
        <v/>
      </c>
      <c r="P71" s="89">
        <f>-SUMIFS('11月数据源'!$I:$I,'11月数据源'!$D:$D,$E71,'11月数据源'!$F:$F,"杭州知识跳跳科技有限公司")+SUMIFS('11月数据源'!$J:$J,'11月数据源'!$D:$D,$E71,'11月数据源'!$F:$F,"杭州知识跳跳科技有限公司")</f>
        <v/>
      </c>
      <c r="Q71" s="89">
        <f>-SUMIFS('12月数据源'!$I:$I,'12月数据源'!$D:$D,$E71,'12月数据源'!$F:$F,"杭州知识跳跳科技有限公司")+SUMIFS('12月数据源'!$J:$J,'12月数据源'!$D:$D,$E71,'12月数据源'!$F:$F,"杭州知识跳跳科技有限公司")</f>
        <v/>
      </c>
    </row>
    <row r="72" s="83">
      <c r="A72" s="5" t="inlineStr">
        <is>
          <t>研发支出</t>
        </is>
      </c>
      <c r="B72" s="6" t="inlineStr">
        <is>
          <t>产品开发-MAX</t>
        </is>
      </c>
      <c r="D72" s="5" t="inlineStr">
        <is>
          <t>设计费</t>
        </is>
      </c>
      <c r="E72" s="6" t="inlineStr">
        <is>
          <t>Q1203</t>
        </is>
      </c>
      <c r="F72" s="89">
        <f>-SUMIFS('1月数据源'!I:I,'1月数据源'!D:D,E72,'1月数据源'!F:F,"杭州知识跳跳科技有限公司")+SUMIFS('1月数据源'!J:J,'1月数据源'!D:D,E72,'1月数据源'!F:F,"杭州知识跳跳科技有限公司")</f>
        <v/>
      </c>
      <c r="G72" s="89">
        <f>-SUMIFS('2月数据源'!$I:$I,'2月数据源'!$D:$D,$E72,'2月数据源'!$F:$F,"杭州知识跳跳科技有限公司")+SUMIFS('2月数据源'!$J:$J,'2月数据源'!$D:$D,$E72,'2月数据源'!$F:$F,"杭州知识跳跳科技有限公司")</f>
        <v/>
      </c>
      <c r="H72" s="89">
        <f>-SUMIFS('3月数据源'!$I:$I,'3月数据源'!$D:$D,$E72,'3月数据源'!$F:$F,"杭州知识跳跳科技有限公司")+SUMIFS('3月数据源'!$J:$J,'3月数据源'!$D:$D,$E72,'3月数据源'!$F:$F,"杭州知识跳跳科技有限公司")</f>
        <v/>
      </c>
      <c r="I72" s="89">
        <f>-SUMIFS('4月数据源'!$I:$I,'4月数据源'!$D:$D,$E72,'4月数据源'!$F:$F,"杭州知识跳跳科技有限公司")+SUMIFS('4月数据源'!$J:$J,'4月数据源'!$D:$D,$E72,'4月数据源'!$F:$F,"杭州知识跳跳科技有限公司")</f>
        <v/>
      </c>
      <c r="J72" s="89">
        <f>-SUMIFS('5月数据源'!$I:$I,'5月数据源'!$D:$D,$E72,'5月数据源'!$F:$F,"杭州知识跳跳科技有限公司")+SUMIFS('5月数据源'!$J:$J,'5月数据源'!$D:$D,$E72,'5月数据源'!$F:$F,"杭州知识跳跳科技有限公司")</f>
        <v/>
      </c>
      <c r="K72" s="89">
        <f>-SUMIFS('6月数据源'!$I:$I,'6月数据源'!$D:$D,$E72,'6月数据源'!$F:$F,"杭州知识跳跳科技有限公司")+SUMIFS('6月数据源'!$J:$J,'6月数据源'!$D:$D,$E72,'6月数据源'!$F:$F,"杭州知识跳跳科技有限公司")</f>
        <v/>
      </c>
      <c r="L72" s="89">
        <f>-SUMIFS('7月数据源'!$I:$I,'7月数据源'!$D:$D,$E72,'7月数据源'!$F:$F,"杭州知识跳跳科技有限公司")+SUMIFS('7月数据源'!$J:$J,'7月数据源'!$D:$D,$E72,'7月数据源'!$F:$F,"杭州知识跳跳科技有限公司")</f>
        <v/>
      </c>
      <c r="M72" s="89">
        <f>-SUMIFS('8月数据源'!$I:$I,'8月数据源'!$D:$D,$E72,'8月数据源'!$F:$F,"杭州知识跳跳科技有限公司")+SUMIFS('8月数据源'!$J:$J,'8月数据源'!$D:$D,$E72,'8月数据源'!$F:$F,"杭州知识跳跳科技有限公司")</f>
        <v/>
      </c>
      <c r="N72" s="89">
        <f>-SUMIFS('9月数据源'!$I:$I,'9月数据源'!$D:$D,$E72,'9月数据源'!$F:$F,"杭州知识跳跳科技有限公司")+SUMIFS('9月数据源'!$J:$J,'9月数据源'!$D:$D,$E72,'9月数据源'!$F:$F,"杭州知识跳跳科技有限公司")</f>
        <v/>
      </c>
      <c r="O72" s="89">
        <f>-SUMIFS('10月数据源'!$I:$I,'10月数据源'!$D:$D,$E72,'10月数据源'!$F:$F,"杭州知识跳跳科技有限公司")+SUMIFS('10月数据源'!$J:$J,'10月数据源'!$D:$D,$E72,'10月数据源'!$F:$F,"杭州知识跳跳科技有限公司")</f>
        <v/>
      </c>
      <c r="P72" s="89">
        <f>-SUMIFS('11月数据源'!$I:$I,'11月数据源'!$D:$D,$E72,'11月数据源'!$F:$F,"杭州知识跳跳科技有限公司")+SUMIFS('11月数据源'!$J:$J,'11月数据源'!$D:$D,$E72,'11月数据源'!$F:$F,"杭州知识跳跳科技有限公司")</f>
        <v/>
      </c>
      <c r="Q72" s="89">
        <f>-SUMIFS('12月数据源'!$I:$I,'12月数据源'!$D:$D,$E72,'12月数据源'!$F:$F,"杭州知识跳跳科技有限公司")+SUMIFS('12月数据源'!$J:$J,'12月数据源'!$D:$D,$E72,'12月数据源'!$F:$F,"杭州知识跳跳科技有限公司")</f>
        <v/>
      </c>
    </row>
    <row r="73" s="83">
      <c r="A73" s="5" t="inlineStr">
        <is>
          <t>研发支出</t>
        </is>
      </c>
      <c r="B73" s="6" t="inlineStr">
        <is>
          <t>产品开发-MAX</t>
        </is>
      </c>
      <c r="D73" s="5" t="inlineStr">
        <is>
          <t>OTA费用</t>
        </is>
      </c>
      <c r="E73" s="6" t="inlineStr">
        <is>
          <t>Q1204</t>
        </is>
      </c>
      <c r="F73" s="89">
        <f>-SUMIFS('1月数据源'!I:I,'1月数据源'!D:D,E73,'1月数据源'!F:F,"杭州知识跳跳科技有限公司")+SUMIFS('1月数据源'!J:J,'1月数据源'!D:D,E73,'1月数据源'!F:F,"杭州知识跳跳科技有限公司")</f>
        <v/>
      </c>
      <c r="G73" s="89">
        <f>-SUMIFS('2月数据源'!$I:$I,'2月数据源'!$D:$D,$E73,'2月数据源'!$F:$F,"杭州知识跳跳科技有限公司")+SUMIFS('2月数据源'!$J:$J,'2月数据源'!$D:$D,$E73,'2月数据源'!$F:$F,"杭州知识跳跳科技有限公司")</f>
        <v/>
      </c>
      <c r="H73" s="89">
        <f>-SUMIFS('3月数据源'!$I:$I,'3月数据源'!$D:$D,$E73,'3月数据源'!$F:$F,"杭州知识跳跳科技有限公司")+SUMIFS('3月数据源'!$J:$J,'3月数据源'!$D:$D,$E73,'3月数据源'!$F:$F,"杭州知识跳跳科技有限公司")</f>
        <v/>
      </c>
      <c r="I73" s="89">
        <f>-SUMIFS('4月数据源'!$I:$I,'4月数据源'!$D:$D,$E73,'4月数据源'!$F:$F,"杭州知识跳跳科技有限公司")+SUMIFS('4月数据源'!$J:$J,'4月数据源'!$D:$D,$E73,'4月数据源'!$F:$F,"杭州知识跳跳科技有限公司")</f>
        <v/>
      </c>
      <c r="J73" s="89">
        <f>-SUMIFS('5月数据源'!$I:$I,'5月数据源'!$D:$D,$E73,'5月数据源'!$F:$F,"杭州知识跳跳科技有限公司")+SUMIFS('5月数据源'!$J:$J,'5月数据源'!$D:$D,$E73,'5月数据源'!$F:$F,"杭州知识跳跳科技有限公司")</f>
        <v/>
      </c>
      <c r="K73" s="89">
        <f>-SUMIFS('6月数据源'!$I:$I,'6月数据源'!$D:$D,$E73,'6月数据源'!$F:$F,"杭州知识跳跳科技有限公司")+SUMIFS('6月数据源'!$J:$J,'6月数据源'!$D:$D,$E73,'6月数据源'!$F:$F,"杭州知识跳跳科技有限公司")</f>
        <v/>
      </c>
      <c r="L73" s="89">
        <f>-SUMIFS('7月数据源'!$I:$I,'7月数据源'!$D:$D,$E73,'7月数据源'!$F:$F,"杭州知识跳跳科技有限公司")+SUMIFS('7月数据源'!$J:$J,'7月数据源'!$D:$D,$E73,'7月数据源'!$F:$F,"杭州知识跳跳科技有限公司")</f>
        <v/>
      </c>
      <c r="M73" s="89">
        <f>-SUMIFS('8月数据源'!$I:$I,'8月数据源'!$D:$D,$E73,'8月数据源'!$F:$F,"杭州知识跳跳科技有限公司")+SUMIFS('8月数据源'!$J:$J,'8月数据源'!$D:$D,$E73,'8月数据源'!$F:$F,"杭州知识跳跳科技有限公司")</f>
        <v/>
      </c>
      <c r="N73" s="89">
        <f>-SUMIFS('9月数据源'!$I:$I,'9月数据源'!$D:$D,$E73,'9月数据源'!$F:$F,"杭州知识跳跳科技有限公司")+SUMIFS('9月数据源'!$J:$J,'9月数据源'!$D:$D,$E73,'9月数据源'!$F:$F,"杭州知识跳跳科技有限公司")</f>
        <v/>
      </c>
      <c r="O73" s="89">
        <f>-SUMIFS('10月数据源'!$I:$I,'10月数据源'!$D:$D,$E73,'10月数据源'!$F:$F,"杭州知识跳跳科技有限公司")+SUMIFS('10月数据源'!$J:$J,'10月数据源'!$D:$D,$E73,'10月数据源'!$F:$F,"杭州知识跳跳科技有限公司")</f>
        <v/>
      </c>
      <c r="P73" s="89">
        <f>-SUMIFS('11月数据源'!$I:$I,'11月数据源'!$D:$D,$E73,'11月数据源'!$F:$F,"杭州知识跳跳科技有限公司")+SUMIFS('11月数据源'!$J:$J,'11月数据源'!$D:$D,$E73,'11月数据源'!$F:$F,"杭州知识跳跳科技有限公司")</f>
        <v/>
      </c>
      <c r="Q73" s="89">
        <f>-SUMIFS('12月数据源'!$I:$I,'12月数据源'!$D:$D,$E73,'12月数据源'!$F:$F,"杭州知识跳跳科技有限公司")+SUMIFS('12月数据源'!$J:$J,'12月数据源'!$D:$D,$E73,'12月数据源'!$F:$F,"杭州知识跳跳科技有限公司")</f>
        <v/>
      </c>
    </row>
    <row r="74" s="83">
      <c r="A74" s="5" t="inlineStr">
        <is>
          <t>研发支出</t>
        </is>
      </c>
      <c r="B74" s="6" t="inlineStr">
        <is>
          <t>产品开发-MAX</t>
        </is>
      </c>
      <c r="D74" s="5" t="inlineStr">
        <is>
          <t>模具费用</t>
        </is>
      </c>
      <c r="E74" s="6" t="inlineStr">
        <is>
          <t>Q1205</t>
        </is>
      </c>
      <c r="F74" s="89">
        <f>-SUMIFS('1月数据源'!I:I,'1月数据源'!D:D,E74,'1月数据源'!F:F,"杭州知识跳跳科技有限公司")+SUMIFS('1月数据源'!J:J,'1月数据源'!D:D,E74,'1月数据源'!F:F,"杭州知识跳跳科技有限公司")</f>
        <v/>
      </c>
      <c r="G74" s="89">
        <f>-SUMIFS('2月数据源'!$I:$I,'2月数据源'!$D:$D,$E74,'2月数据源'!$F:$F,"杭州知识跳跳科技有限公司")+SUMIFS('2月数据源'!$J:$J,'2月数据源'!$D:$D,$E74,'2月数据源'!$F:$F,"杭州知识跳跳科技有限公司")</f>
        <v/>
      </c>
      <c r="H74" s="89">
        <f>-SUMIFS('3月数据源'!$I:$I,'3月数据源'!$D:$D,$E74,'3月数据源'!$F:$F,"杭州知识跳跳科技有限公司")+SUMIFS('3月数据源'!$J:$J,'3月数据源'!$D:$D,$E74,'3月数据源'!$F:$F,"杭州知识跳跳科技有限公司")</f>
        <v/>
      </c>
      <c r="I74" s="89">
        <f>-SUMIFS('4月数据源'!$I:$I,'4月数据源'!$D:$D,$E74,'4月数据源'!$F:$F,"杭州知识跳跳科技有限公司")+SUMIFS('4月数据源'!$J:$J,'4月数据源'!$D:$D,$E74,'4月数据源'!$F:$F,"杭州知识跳跳科技有限公司")</f>
        <v/>
      </c>
      <c r="J74" s="89">
        <f>-SUMIFS('5月数据源'!$I:$I,'5月数据源'!$D:$D,$E74,'5月数据源'!$F:$F,"杭州知识跳跳科技有限公司")+SUMIFS('5月数据源'!$J:$J,'5月数据源'!$D:$D,$E74,'5月数据源'!$F:$F,"杭州知识跳跳科技有限公司")</f>
        <v/>
      </c>
      <c r="K74" s="89">
        <f>-SUMIFS('6月数据源'!$I:$I,'6月数据源'!$D:$D,$E74,'6月数据源'!$F:$F,"杭州知识跳跳科技有限公司")+SUMIFS('6月数据源'!$J:$J,'6月数据源'!$D:$D,$E74,'6月数据源'!$F:$F,"杭州知识跳跳科技有限公司")</f>
        <v/>
      </c>
      <c r="L74" s="89">
        <f>-SUMIFS('7月数据源'!$I:$I,'7月数据源'!$D:$D,$E74,'7月数据源'!$F:$F,"杭州知识跳跳科技有限公司")+SUMIFS('7月数据源'!$J:$J,'7月数据源'!$D:$D,$E74,'7月数据源'!$F:$F,"杭州知识跳跳科技有限公司")</f>
        <v/>
      </c>
      <c r="M74" s="89">
        <f>-SUMIFS('8月数据源'!$I:$I,'8月数据源'!$D:$D,$E74,'8月数据源'!$F:$F,"杭州知识跳跳科技有限公司")+SUMIFS('8月数据源'!$J:$J,'8月数据源'!$D:$D,$E74,'8月数据源'!$F:$F,"杭州知识跳跳科技有限公司")</f>
        <v/>
      </c>
      <c r="N74" s="89">
        <f>-SUMIFS('9月数据源'!$I:$I,'9月数据源'!$D:$D,$E74,'9月数据源'!$F:$F,"杭州知识跳跳科技有限公司")+SUMIFS('9月数据源'!$J:$J,'9月数据源'!$D:$D,$E74,'9月数据源'!$F:$F,"杭州知识跳跳科技有限公司")</f>
        <v/>
      </c>
      <c r="O74" s="89">
        <f>-SUMIFS('10月数据源'!$I:$I,'10月数据源'!$D:$D,$E74,'10月数据源'!$F:$F,"杭州知识跳跳科技有限公司")+SUMIFS('10月数据源'!$J:$J,'10月数据源'!$D:$D,$E74,'10月数据源'!$F:$F,"杭州知识跳跳科技有限公司")</f>
        <v/>
      </c>
      <c r="P74" s="89">
        <f>-SUMIFS('11月数据源'!$I:$I,'11月数据源'!$D:$D,$E74,'11月数据源'!$F:$F,"杭州知识跳跳科技有限公司")+SUMIFS('11月数据源'!$J:$J,'11月数据源'!$D:$D,$E74,'11月数据源'!$F:$F,"杭州知识跳跳科技有限公司")</f>
        <v/>
      </c>
      <c r="Q74" s="89">
        <f>-SUMIFS('12月数据源'!$I:$I,'12月数据源'!$D:$D,$E74,'12月数据源'!$F:$F,"杭州知识跳跳科技有限公司")+SUMIFS('12月数据源'!$J:$J,'12月数据源'!$D:$D,$E74,'12月数据源'!$F:$F,"杭州知识跳跳科技有限公司")</f>
        <v/>
      </c>
    </row>
    <row r="75" s="83">
      <c r="A75" s="5" t="inlineStr">
        <is>
          <t>研发支出</t>
        </is>
      </c>
      <c r="B75" s="6" t="inlineStr">
        <is>
          <t>产品开发-MAX</t>
        </is>
      </c>
      <c r="D75" s="5" t="inlineStr">
        <is>
          <t>TCL研发费</t>
        </is>
      </c>
      <c r="E75" s="6" t="inlineStr">
        <is>
          <t>Q1206</t>
        </is>
      </c>
      <c r="F75" s="89">
        <f>-SUMIFS('1月数据源'!I:I,'1月数据源'!D:D,E75,'1月数据源'!F:F,"杭州知识跳跳科技有限公司")+SUMIFS('1月数据源'!J:J,'1月数据源'!D:D,E75,'1月数据源'!F:F,"杭州知识跳跳科技有限公司")</f>
        <v/>
      </c>
      <c r="G75" s="89">
        <f>-SUMIFS('2月数据源'!$I:$I,'2月数据源'!$D:$D,$E75,'2月数据源'!$F:$F,"杭州知识跳跳科技有限公司")+SUMIFS('2月数据源'!$J:$J,'2月数据源'!$D:$D,$E75,'2月数据源'!$F:$F,"杭州知识跳跳科技有限公司")</f>
        <v/>
      </c>
      <c r="H75" s="89">
        <f>-SUMIFS('3月数据源'!$I:$I,'3月数据源'!$D:$D,$E75,'3月数据源'!$F:$F,"杭州知识跳跳科技有限公司")+SUMIFS('3月数据源'!$J:$J,'3月数据源'!$D:$D,$E75,'3月数据源'!$F:$F,"杭州知识跳跳科技有限公司")</f>
        <v/>
      </c>
      <c r="I75" s="89">
        <f>-SUMIFS('4月数据源'!$I:$I,'4月数据源'!$D:$D,$E75,'4月数据源'!$F:$F,"杭州知识跳跳科技有限公司")+SUMIFS('4月数据源'!$J:$J,'4月数据源'!$D:$D,$E75,'4月数据源'!$F:$F,"杭州知识跳跳科技有限公司")</f>
        <v/>
      </c>
      <c r="J75" s="89">
        <f>-SUMIFS('5月数据源'!$I:$I,'5月数据源'!$D:$D,$E75,'5月数据源'!$F:$F,"杭州知识跳跳科技有限公司")+SUMIFS('5月数据源'!$J:$J,'5月数据源'!$D:$D,$E75,'5月数据源'!$F:$F,"杭州知识跳跳科技有限公司")</f>
        <v/>
      </c>
      <c r="K75" s="89">
        <f>-SUMIFS('6月数据源'!$I:$I,'6月数据源'!$D:$D,$E75,'6月数据源'!$F:$F,"杭州知识跳跳科技有限公司")+SUMIFS('6月数据源'!$J:$J,'6月数据源'!$D:$D,$E75,'6月数据源'!$F:$F,"杭州知识跳跳科技有限公司")</f>
        <v/>
      </c>
      <c r="L75" s="89">
        <f>-SUMIFS('7月数据源'!$I:$I,'7月数据源'!$D:$D,$E75,'7月数据源'!$F:$F,"杭州知识跳跳科技有限公司")+SUMIFS('7月数据源'!$J:$J,'7月数据源'!$D:$D,$E75,'7月数据源'!$F:$F,"杭州知识跳跳科技有限公司")</f>
        <v/>
      </c>
      <c r="M75" s="89">
        <f>-SUMIFS('8月数据源'!$I:$I,'8月数据源'!$D:$D,$E75,'8月数据源'!$F:$F,"杭州知识跳跳科技有限公司")+SUMIFS('8月数据源'!$J:$J,'8月数据源'!$D:$D,$E75,'8月数据源'!$F:$F,"杭州知识跳跳科技有限公司")</f>
        <v/>
      </c>
      <c r="N75" s="89">
        <f>-SUMIFS('9月数据源'!$I:$I,'9月数据源'!$D:$D,$E75,'9月数据源'!$F:$F,"杭州知识跳跳科技有限公司")+SUMIFS('9月数据源'!$J:$J,'9月数据源'!$D:$D,$E75,'9月数据源'!$F:$F,"杭州知识跳跳科技有限公司")</f>
        <v/>
      </c>
      <c r="O75" s="89">
        <f>-SUMIFS('10月数据源'!$I:$I,'10月数据源'!$D:$D,$E75,'10月数据源'!$F:$F,"杭州知识跳跳科技有限公司")+SUMIFS('10月数据源'!$J:$J,'10月数据源'!$D:$D,$E75,'10月数据源'!$F:$F,"杭州知识跳跳科技有限公司")</f>
        <v/>
      </c>
      <c r="P75" s="89">
        <f>-SUMIFS('11月数据源'!$I:$I,'11月数据源'!$D:$D,$E75,'11月数据源'!$F:$F,"杭州知识跳跳科技有限公司")+SUMIFS('11月数据源'!$J:$J,'11月数据源'!$D:$D,$E75,'11月数据源'!$F:$F,"杭州知识跳跳科技有限公司")</f>
        <v/>
      </c>
      <c r="Q75" s="89">
        <f>-SUMIFS('12月数据源'!$I:$I,'12月数据源'!$D:$D,$E75,'12月数据源'!$F:$F,"杭州知识跳跳科技有限公司")+SUMIFS('12月数据源'!$J:$J,'12月数据源'!$D:$D,$E75,'12月数据源'!$F:$F,"杭州知识跳跳科技有限公司")</f>
        <v/>
      </c>
    </row>
    <row r="76" s="83">
      <c r="A76" s="5" t="inlineStr">
        <is>
          <t>研发支出</t>
        </is>
      </c>
      <c r="B76" s="6" t="inlineStr">
        <is>
          <t>产品开发-MAX</t>
        </is>
      </c>
      <c r="D76" s="5" t="inlineStr">
        <is>
          <t>唤醒功能开发</t>
        </is>
      </c>
      <c r="E76" s="6" t="inlineStr">
        <is>
          <t>Q1207</t>
        </is>
      </c>
      <c r="F76" s="89">
        <f>-SUMIFS('1月数据源'!I:I,'1月数据源'!D:D,E76,'1月数据源'!F:F,"杭州知识跳跳科技有限公司")+SUMIFS('1月数据源'!J:J,'1月数据源'!D:D,E76,'1月数据源'!F:F,"杭州知识跳跳科技有限公司")</f>
        <v/>
      </c>
      <c r="G76" s="89">
        <f>-SUMIFS('2月数据源'!$I:$I,'2月数据源'!$D:$D,$E76,'2月数据源'!$F:$F,"杭州知识跳跳科技有限公司")+SUMIFS('2月数据源'!$J:$J,'2月数据源'!$D:$D,$E76,'2月数据源'!$F:$F,"杭州知识跳跳科技有限公司")</f>
        <v/>
      </c>
      <c r="H76" s="89">
        <f>-SUMIFS('3月数据源'!$I:$I,'3月数据源'!$D:$D,$E76,'3月数据源'!$F:$F,"杭州知识跳跳科技有限公司")+SUMIFS('3月数据源'!$J:$J,'3月数据源'!$D:$D,$E76,'3月数据源'!$F:$F,"杭州知识跳跳科技有限公司")</f>
        <v/>
      </c>
      <c r="I76" s="89">
        <f>-SUMIFS('4月数据源'!$I:$I,'4月数据源'!$D:$D,$E76,'4月数据源'!$F:$F,"杭州知识跳跳科技有限公司")+SUMIFS('4月数据源'!$J:$J,'4月数据源'!$D:$D,$E76,'4月数据源'!$F:$F,"杭州知识跳跳科技有限公司")</f>
        <v/>
      </c>
      <c r="J76" s="89">
        <f>-SUMIFS('5月数据源'!$I:$I,'5月数据源'!$D:$D,$E76,'5月数据源'!$F:$F,"杭州知识跳跳科技有限公司")+SUMIFS('5月数据源'!$J:$J,'5月数据源'!$D:$D,$E76,'5月数据源'!$F:$F,"杭州知识跳跳科技有限公司")</f>
        <v/>
      </c>
      <c r="K76" s="89">
        <f>-SUMIFS('6月数据源'!$I:$I,'6月数据源'!$D:$D,$E76,'6月数据源'!$F:$F,"杭州知识跳跳科技有限公司")+SUMIFS('6月数据源'!$J:$J,'6月数据源'!$D:$D,$E76,'6月数据源'!$F:$F,"杭州知识跳跳科技有限公司")</f>
        <v/>
      </c>
      <c r="L76" s="89">
        <f>-SUMIFS('7月数据源'!$I:$I,'7月数据源'!$D:$D,$E76,'7月数据源'!$F:$F,"杭州知识跳跳科技有限公司")+SUMIFS('7月数据源'!$J:$J,'7月数据源'!$D:$D,$E76,'7月数据源'!$F:$F,"杭州知识跳跳科技有限公司")</f>
        <v/>
      </c>
      <c r="M76" s="89">
        <f>-SUMIFS('8月数据源'!$I:$I,'8月数据源'!$D:$D,$E76,'8月数据源'!$F:$F,"杭州知识跳跳科技有限公司")+SUMIFS('8月数据源'!$J:$J,'8月数据源'!$D:$D,$E76,'8月数据源'!$F:$F,"杭州知识跳跳科技有限公司")</f>
        <v/>
      </c>
      <c r="N76" s="89">
        <f>-SUMIFS('9月数据源'!$I:$I,'9月数据源'!$D:$D,$E76,'9月数据源'!$F:$F,"杭州知识跳跳科技有限公司")+SUMIFS('9月数据源'!$J:$J,'9月数据源'!$D:$D,$E76,'9月数据源'!$F:$F,"杭州知识跳跳科技有限公司")</f>
        <v/>
      </c>
      <c r="O76" s="89">
        <f>-SUMIFS('10月数据源'!$I:$I,'10月数据源'!$D:$D,$E76,'10月数据源'!$F:$F,"杭州知识跳跳科技有限公司")+SUMIFS('10月数据源'!$J:$J,'10月数据源'!$D:$D,$E76,'10月数据源'!$F:$F,"杭州知识跳跳科技有限公司")</f>
        <v/>
      </c>
      <c r="P76" s="89">
        <f>-SUMIFS('11月数据源'!$I:$I,'11月数据源'!$D:$D,$E76,'11月数据源'!$F:$F,"杭州知识跳跳科技有限公司")+SUMIFS('11月数据源'!$J:$J,'11月数据源'!$D:$D,$E76,'11月数据源'!$F:$F,"杭州知识跳跳科技有限公司")</f>
        <v/>
      </c>
      <c r="Q76" s="89">
        <f>-SUMIFS('12月数据源'!$I:$I,'12月数据源'!$D:$D,$E76,'12月数据源'!$F:$F,"杭州知识跳跳科技有限公司")+SUMIFS('12月数据源'!$J:$J,'12月数据源'!$D:$D,$E76,'12月数据源'!$F:$F,"杭州知识跳跳科技有限公司")</f>
        <v/>
      </c>
    </row>
    <row r="77" s="83">
      <c r="A77" s="5" t="inlineStr">
        <is>
          <t>研发支出</t>
        </is>
      </c>
      <c r="B77" s="6" t="inlineStr">
        <is>
          <t>产品开发-MAX</t>
        </is>
      </c>
      <c r="D77" s="5" t="inlineStr">
        <is>
          <t>题库费</t>
        </is>
      </c>
      <c r="E77" s="6" t="inlineStr">
        <is>
          <t>Q1208</t>
        </is>
      </c>
      <c r="F77" s="89">
        <f>-SUMIFS('1月数据源'!I:I,'1月数据源'!D:D,E77,'1月数据源'!F:F,"杭州知识跳跳科技有限公司")+SUMIFS('1月数据源'!J:J,'1月数据源'!D:D,E77,'1月数据源'!F:F,"杭州知识跳跳科技有限公司")</f>
        <v/>
      </c>
      <c r="G77" s="89">
        <f>-SUMIFS('2月数据源'!$I:$I,'2月数据源'!$D:$D,$E77,'2月数据源'!$F:$F,"杭州知识跳跳科技有限公司")+SUMIFS('2月数据源'!$J:$J,'2月数据源'!$D:$D,$E77,'2月数据源'!$F:$F,"杭州知识跳跳科技有限公司")</f>
        <v/>
      </c>
      <c r="H77" s="89">
        <f>-SUMIFS('3月数据源'!$I:$I,'3月数据源'!$D:$D,$E77,'3月数据源'!$F:$F,"杭州知识跳跳科技有限公司")+SUMIFS('3月数据源'!$J:$J,'3月数据源'!$D:$D,$E77,'3月数据源'!$F:$F,"杭州知识跳跳科技有限公司")</f>
        <v/>
      </c>
      <c r="I77" s="89">
        <f>-SUMIFS('4月数据源'!$I:$I,'4月数据源'!$D:$D,$E77,'4月数据源'!$F:$F,"杭州知识跳跳科技有限公司")+SUMIFS('4月数据源'!$J:$J,'4月数据源'!$D:$D,$E77,'4月数据源'!$F:$F,"杭州知识跳跳科技有限公司")</f>
        <v/>
      </c>
      <c r="J77" s="89">
        <f>-SUMIFS('5月数据源'!$I:$I,'5月数据源'!$D:$D,$E77,'5月数据源'!$F:$F,"杭州知识跳跳科技有限公司")+SUMIFS('5月数据源'!$J:$J,'5月数据源'!$D:$D,$E77,'5月数据源'!$F:$F,"杭州知识跳跳科技有限公司")</f>
        <v/>
      </c>
      <c r="K77" s="89">
        <f>-SUMIFS('6月数据源'!$I:$I,'6月数据源'!$D:$D,$E77,'6月数据源'!$F:$F,"杭州知识跳跳科技有限公司")+SUMIFS('6月数据源'!$J:$J,'6月数据源'!$D:$D,$E77,'6月数据源'!$F:$F,"杭州知识跳跳科技有限公司")</f>
        <v/>
      </c>
      <c r="L77" s="89">
        <f>-SUMIFS('7月数据源'!$I:$I,'7月数据源'!$D:$D,$E77,'7月数据源'!$F:$F,"杭州知识跳跳科技有限公司")+SUMIFS('7月数据源'!$J:$J,'7月数据源'!$D:$D,$E77,'7月数据源'!$F:$F,"杭州知识跳跳科技有限公司")</f>
        <v/>
      </c>
      <c r="M77" s="89">
        <f>-SUMIFS('8月数据源'!$I:$I,'8月数据源'!$D:$D,$E77,'8月数据源'!$F:$F,"杭州知识跳跳科技有限公司")+SUMIFS('8月数据源'!$J:$J,'8月数据源'!$D:$D,$E77,'8月数据源'!$F:$F,"杭州知识跳跳科技有限公司")</f>
        <v/>
      </c>
      <c r="N77" s="89">
        <f>-SUMIFS('9月数据源'!$I:$I,'9月数据源'!$D:$D,$E77,'9月数据源'!$F:$F,"杭州知识跳跳科技有限公司")+SUMIFS('9月数据源'!$J:$J,'9月数据源'!$D:$D,$E77,'9月数据源'!$F:$F,"杭州知识跳跳科技有限公司")</f>
        <v/>
      </c>
      <c r="O77" s="89">
        <f>-SUMIFS('10月数据源'!$I:$I,'10月数据源'!$D:$D,$E77,'10月数据源'!$F:$F,"杭州知识跳跳科技有限公司")+SUMIFS('10月数据源'!$J:$J,'10月数据源'!$D:$D,$E77,'10月数据源'!$F:$F,"杭州知识跳跳科技有限公司")</f>
        <v/>
      </c>
      <c r="P77" s="89">
        <f>-SUMIFS('11月数据源'!$I:$I,'11月数据源'!$D:$D,$E77,'11月数据源'!$F:$F,"杭州知识跳跳科技有限公司")+SUMIFS('11月数据源'!$J:$J,'11月数据源'!$D:$D,$E77,'11月数据源'!$F:$F,"杭州知识跳跳科技有限公司")</f>
        <v/>
      </c>
      <c r="Q77" s="89">
        <f>-SUMIFS('12月数据源'!$I:$I,'12月数据源'!$D:$D,$E77,'12月数据源'!$F:$F,"杭州知识跳跳科技有限公司")+SUMIFS('12月数据源'!$J:$J,'12月数据源'!$D:$D,$E77,'12月数据源'!$F:$F,"杭州知识跳跳科技有限公司")</f>
        <v/>
      </c>
    </row>
    <row r="78" s="83">
      <c r="A78" s="5" t="inlineStr">
        <is>
          <t>研发支出</t>
        </is>
      </c>
      <c r="B78" s="6" t="inlineStr">
        <is>
          <t>产品开发-PRO</t>
        </is>
      </c>
      <c r="C78" s="6" t="inlineStr">
        <is>
          <t>产品开发-PRO</t>
        </is>
      </c>
      <c r="D78" s="5" t="inlineStr">
        <is>
          <t>检测费</t>
        </is>
      </c>
      <c r="E78" s="6" t="inlineStr">
        <is>
          <t>Q1301</t>
        </is>
      </c>
      <c r="F78" s="89">
        <f>-SUMIFS('1月数据源'!I:I,'1月数据源'!D:D,E78,'1月数据源'!F:F,"杭州知识跳跳科技有限公司")+SUMIFS('1月数据源'!J:J,'1月数据源'!D:D,E78,'1月数据源'!F:F,"杭州知识跳跳科技有限公司")</f>
        <v/>
      </c>
      <c r="G78" s="89">
        <f>-SUMIFS('2月数据源'!$I:$I,'2月数据源'!$D:$D,$E78,'2月数据源'!$F:$F,"杭州知识跳跳科技有限公司")+SUMIFS('2月数据源'!$J:$J,'2月数据源'!$D:$D,$E78,'2月数据源'!$F:$F,"杭州知识跳跳科技有限公司")</f>
        <v/>
      </c>
      <c r="H78" s="89">
        <f>-SUMIFS('3月数据源'!$I:$I,'3月数据源'!$D:$D,$E78,'3月数据源'!$F:$F,"杭州知识跳跳科技有限公司")+SUMIFS('3月数据源'!$J:$J,'3月数据源'!$D:$D,$E78,'3月数据源'!$F:$F,"杭州知识跳跳科技有限公司")</f>
        <v/>
      </c>
      <c r="I78" s="89">
        <f>-SUMIFS('4月数据源'!$I:$I,'4月数据源'!$D:$D,$E78,'4月数据源'!$F:$F,"杭州知识跳跳科技有限公司")+SUMIFS('4月数据源'!$J:$J,'4月数据源'!$D:$D,$E78,'4月数据源'!$F:$F,"杭州知识跳跳科技有限公司")</f>
        <v/>
      </c>
      <c r="J78" s="89">
        <f>-SUMIFS('5月数据源'!$I:$I,'5月数据源'!$D:$D,$E78,'5月数据源'!$F:$F,"杭州知识跳跳科技有限公司")+SUMIFS('5月数据源'!$J:$J,'5月数据源'!$D:$D,$E78,'5月数据源'!$F:$F,"杭州知识跳跳科技有限公司")</f>
        <v/>
      </c>
      <c r="K78" s="89">
        <f>-SUMIFS('6月数据源'!$I:$I,'6月数据源'!$D:$D,$E78,'6月数据源'!$F:$F,"杭州知识跳跳科技有限公司")+SUMIFS('6月数据源'!$J:$J,'6月数据源'!$D:$D,$E78,'6月数据源'!$F:$F,"杭州知识跳跳科技有限公司")</f>
        <v/>
      </c>
      <c r="L78" s="89">
        <f>-SUMIFS('7月数据源'!$I:$I,'7月数据源'!$D:$D,$E78,'7月数据源'!$F:$F,"杭州知识跳跳科技有限公司")+SUMIFS('7月数据源'!$J:$J,'7月数据源'!$D:$D,$E78,'7月数据源'!$F:$F,"杭州知识跳跳科技有限公司")</f>
        <v/>
      </c>
      <c r="M78" s="89">
        <f>-SUMIFS('8月数据源'!$I:$I,'8月数据源'!$D:$D,$E78,'8月数据源'!$F:$F,"杭州知识跳跳科技有限公司")+SUMIFS('8月数据源'!$J:$J,'8月数据源'!$D:$D,$E78,'8月数据源'!$F:$F,"杭州知识跳跳科技有限公司")</f>
        <v/>
      </c>
      <c r="N78" s="89">
        <f>-SUMIFS('9月数据源'!$I:$I,'9月数据源'!$D:$D,$E78,'9月数据源'!$F:$F,"杭州知识跳跳科技有限公司")+SUMIFS('9月数据源'!$J:$J,'9月数据源'!$D:$D,$E78,'9月数据源'!$F:$F,"杭州知识跳跳科技有限公司")</f>
        <v/>
      </c>
      <c r="O78" s="89">
        <f>-SUMIFS('10月数据源'!$I:$I,'10月数据源'!$D:$D,$E78,'10月数据源'!$F:$F,"杭州知识跳跳科技有限公司")+SUMIFS('10月数据源'!$J:$J,'10月数据源'!$D:$D,$E78,'10月数据源'!$F:$F,"杭州知识跳跳科技有限公司")</f>
        <v/>
      </c>
      <c r="P78" s="89">
        <f>-SUMIFS('11月数据源'!$I:$I,'11月数据源'!$D:$D,$E78,'11月数据源'!$F:$F,"杭州知识跳跳科技有限公司")+SUMIFS('11月数据源'!$J:$J,'11月数据源'!$D:$D,$E78,'11月数据源'!$F:$F,"杭州知识跳跳科技有限公司")</f>
        <v/>
      </c>
      <c r="Q78" s="89">
        <f>-SUMIFS('12月数据源'!$I:$I,'12月数据源'!$D:$D,$E78,'12月数据源'!$F:$F,"杭州知识跳跳科技有限公司")+SUMIFS('12月数据源'!$J:$J,'12月数据源'!$D:$D,$E78,'12月数据源'!$F:$F,"杭州知识跳跳科技有限公司")</f>
        <v/>
      </c>
    </row>
    <row r="79" s="83">
      <c r="A79" s="5" t="inlineStr">
        <is>
          <t>研发支出</t>
        </is>
      </c>
      <c r="B79" s="6" t="inlineStr">
        <is>
          <t>产品开发-PRO</t>
        </is>
      </c>
      <c r="D79" s="5" t="inlineStr">
        <is>
          <t>认证费</t>
        </is>
      </c>
      <c r="E79" s="6" t="inlineStr">
        <is>
          <t>Q1302</t>
        </is>
      </c>
      <c r="F79" s="89">
        <f>-SUMIFS('1月数据源'!I:I,'1月数据源'!D:D,E79,'1月数据源'!F:F,"杭州知识跳跳科技有限公司")+SUMIFS('1月数据源'!J:J,'1月数据源'!D:D,E79,'1月数据源'!F:F,"杭州知识跳跳科技有限公司")</f>
        <v/>
      </c>
      <c r="G79" s="89">
        <f>-SUMIFS('2月数据源'!$I:$I,'2月数据源'!$D:$D,$E79,'2月数据源'!$F:$F,"杭州知识跳跳科技有限公司")+SUMIFS('2月数据源'!$J:$J,'2月数据源'!$D:$D,$E79,'2月数据源'!$F:$F,"杭州知识跳跳科技有限公司")</f>
        <v/>
      </c>
      <c r="H79" s="89">
        <f>-SUMIFS('3月数据源'!$I:$I,'3月数据源'!$D:$D,$E79,'3月数据源'!$F:$F,"杭州知识跳跳科技有限公司")+SUMIFS('3月数据源'!$J:$J,'3月数据源'!$D:$D,$E79,'3月数据源'!$F:$F,"杭州知识跳跳科技有限公司")</f>
        <v/>
      </c>
      <c r="I79" s="89">
        <f>-SUMIFS('4月数据源'!$I:$I,'4月数据源'!$D:$D,$E79,'4月数据源'!$F:$F,"杭州知识跳跳科技有限公司")+SUMIFS('4月数据源'!$J:$J,'4月数据源'!$D:$D,$E79,'4月数据源'!$F:$F,"杭州知识跳跳科技有限公司")</f>
        <v/>
      </c>
      <c r="J79" s="89">
        <f>-SUMIFS('5月数据源'!$I:$I,'5月数据源'!$D:$D,$E79,'5月数据源'!$F:$F,"杭州知识跳跳科技有限公司")+SUMIFS('5月数据源'!$J:$J,'5月数据源'!$D:$D,$E79,'5月数据源'!$F:$F,"杭州知识跳跳科技有限公司")</f>
        <v/>
      </c>
      <c r="K79" s="89">
        <f>-SUMIFS('6月数据源'!$I:$I,'6月数据源'!$D:$D,$E79,'6月数据源'!$F:$F,"杭州知识跳跳科技有限公司")+SUMIFS('6月数据源'!$J:$J,'6月数据源'!$D:$D,$E79,'6月数据源'!$F:$F,"杭州知识跳跳科技有限公司")</f>
        <v/>
      </c>
      <c r="L79" s="89">
        <f>-SUMIFS('7月数据源'!$I:$I,'7月数据源'!$D:$D,$E79,'7月数据源'!$F:$F,"杭州知识跳跳科技有限公司")+SUMIFS('7月数据源'!$J:$J,'7月数据源'!$D:$D,$E79,'7月数据源'!$F:$F,"杭州知识跳跳科技有限公司")</f>
        <v/>
      </c>
      <c r="M79" s="89">
        <f>-SUMIFS('8月数据源'!$I:$I,'8月数据源'!$D:$D,$E79,'8月数据源'!$F:$F,"杭州知识跳跳科技有限公司")+SUMIFS('8月数据源'!$J:$J,'8月数据源'!$D:$D,$E79,'8月数据源'!$F:$F,"杭州知识跳跳科技有限公司")</f>
        <v/>
      </c>
      <c r="N79" s="89">
        <f>-SUMIFS('9月数据源'!$I:$I,'9月数据源'!$D:$D,$E79,'9月数据源'!$F:$F,"杭州知识跳跳科技有限公司")+SUMIFS('9月数据源'!$J:$J,'9月数据源'!$D:$D,$E79,'9月数据源'!$F:$F,"杭州知识跳跳科技有限公司")</f>
        <v/>
      </c>
      <c r="O79" s="89">
        <f>-SUMIFS('10月数据源'!$I:$I,'10月数据源'!$D:$D,$E79,'10月数据源'!$F:$F,"杭州知识跳跳科技有限公司")+SUMIFS('10月数据源'!$J:$J,'10月数据源'!$D:$D,$E79,'10月数据源'!$F:$F,"杭州知识跳跳科技有限公司")</f>
        <v/>
      </c>
      <c r="P79" s="89">
        <f>-SUMIFS('11月数据源'!$I:$I,'11月数据源'!$D:$D,$E79,'11月数据源'!$F:$F,"杭州知识跳跳科技有限公司")+SUMIFS('11月数据源'!$J:$J,'11月数据源'!$D:$D,$E79,'11月数据源'!$F:$F,"杭州知识跳跳科技有限公司")</f>
        <v/>
      </c>
      <c r="Q79" s="89">
        <f>-SUMIFS('12月数据源'!$I:$I,'12月数据源'!$D:$D,$E79,'12月数据源'!$F:$F,"杭州知识跳跳科技有限公司")+SUMIFS('12月数据源'!$J:$J,'12月数据源'!$D:$D,$E79,'12月数据源'!$F:$F,"杭州知识跳跳科技有限公司")</f>
        <v/>
      </c>
    </row>
    <row r="80" s="83">
      <c r="A80" s="5" t="inlineStr">
        <is>
          <t>研发支出</t>
        </is>
      </c>
      <c r="B80" s="6" t="inlineStr">
        <is>
          <t>产品开发-PRO</t>
        </is>
      </c>
      <c r="D80" s="5" t="inlineStr">
        <is>
          <t>设计费</t>
        </is>
      </c>
      <c r="E80" s="6" t="inlineStr">
        <is>
          <t>Q1303</t>
        </is>
      </c>
      <c r="F80" s="89">
        <f>-SUMIFS('1月数据源'!I:I,'1月数据源'!D:D,E80,'1月数据源'!F:F,"杭州知识跳跳科技有限公司")+SUMIFS('1月数据源'!J:J,'1月数据源'!D:D,E80,'1月数据源'!F:F,"杭州知识跳跳科技有限公司")</f>
        <v/>
      </c>
      <c r="G80" s="89">
        <f>-SUMIFS('2月数据源'!$I:$I,'2月数据源'!$D:$D,$E80,'2月数据源'!$F:$F,"杭州知识跳跳科技有限公司")+SUMIFS('2月数据源'!$J:$J,'2月数据源'!$D:$D,$E80,'2月数据源'!$F:$F,"杭州知识跳跳科技有限公司")</f>
        <v/>
      </c>
      <c r="H80" s="89">
        <f>-SUMIFS('3月数据源'!$I:$I,'3月数据源'!$D:$D,$E80,'3月数据源'!$F:$F,"杭州知识跳跳科技有限公司")+SUMIFS('3月数据源'!$J:$J,'3月数据源'!$D:$D,$E80,'3月数据源'!$F:$F,"杭州知识跳跳科技有限公司")</f>
        <v/>
      </c>
      <c r="I80" s="89">
        <f>-SUMIFS('4月数据源'!$I:$I,'4月数据源'!$D:$D,$E80,'4月数据源'!$F:$F,"杭州知识跳跳科技有限公司")+SUMIFS('4月数据源'!$J:$J,'4月数据源'!$D:$D,$E80,'4月数据源'!$F:$F,"杭州知识跳跳科技有限公司")</f>
        <v/>
      </c>
      <c r="J80" s="89">
        <f>-SUMIFS('5月数据源'!$I:$I,'5月数据源'!$D:$D,$E80,'5月数据源'!$F:$F,"杭州知识跳跳科技有限公司")+SUMIFS('5月数据源'!$J:$J,'5月数据源'!$D:$D,$E80,'5月数据源'!$F:$F,"杭州知识跳跳科技有限公司")</f>
        <v/>
      </c>
      <c r="K80" s="89">
        <f>-SUMIFS('6月数据源'!$I:$I,'6月数据源'!$D:$D,$E80,'6月数据源'!$F:$F,"杭州知识跳跳科技有限公司")+SUMIFS('6月数据源'!$J:$J,'6月数据源'!$D:$D,$E80,'6月数据源'!$F:$F,"杭州知识跳跳科技有限公司")</f>
        <v/>
      </c>
      <c r="L80" s="89">
        <f>-SUMIFS('7月数据源'!$I:$I,'7月数据源'!$D:$D,$E80,'7月数据源'!$F:$F,"杭州知识跳跳科技有限公司")+SUMIFS('7月数据源'!$J:$J,'7月数据源'!$D:$D,$E80,'7月数据源'!$F:$F,"杭州知识跳跳科技有限公司")</f>
        <v/>
      </c>
      <c r="M80" s="89">
        <f>-SUMIFS('8月数据源'!$I:$I,'8月数据源'!$D:$D,$E80,'8月数据源'!$F:$F,"杭州知识跳跳科技有限公司")+SUMIFS('8月数据源'!$J:$J,'8月数据源'!$D:$D,$E80,'8月数据源'!$F:$F,"杭州知识跳跳科技有限公司")</f>
        <v/>
      </c>
      <c r="N80" s="89">
        <f>-SUMIFS('9月数据源'!$I:$I,'9月数据源'!$D:$D,$E80,'9月数据源'!$F:$F,"杭州知识跳跳科技有限公司")+SUMIFS('9月数据源'!$J:$J,'9月数据源'!$D:$D,$E80,'9月数据源'!$F:$F,"杭州知识跳跳科技有限公司")</f>
        <v/>
      </c>
      <c r="O80" s="89">
        <f>-SUMIFS('10月数据源'!$I:$I,'10月数据源'!$D:$D,$E80,'10月数据源'!$F:$F,"杭州知识跳跳科技有限公司")+SUMIFS('10月数据源'!$J:$J,'10月数据源'!$D:$D,$E80,'10月数据源'!$F:$F,"杭州知识跳跳科技有限公司")</f>
        <v/>
      </c>
      <c r="P80" s="89">
        <f>-SUMIFS('11月数据源'!$I:$I,'11月数据源'!$D:$D,$E80,'11月数据源'!$F:$F,"杭州知识跳跳科技有限公司")+SUMIFS('11月数据源'!$J:$J,'11月数据源'!$D:$D,$E80,'11月数据源'!$F:$F,"杭州知识跳跳科技有限公司")</f>
        <v/>
      </c>
      <c r="Q80" s="89">
        <f>-SUMIFS('12月数据源'!$I:$I,'12月数据源'!$D:$D,$E80,'12月数据源'!$F:$F,"杭州知识跳跳科技有限公司")+SUMIFS('12月数据源'!$J:$J,'12月数据源'!$D:$D,$E80,'12月数据源'!$F:$F,"杭州知识跳跳科技有限公司")</f>
        <v/>
      </c>
    </row>
    <row r="81" s="83">
      <c r="A81" s="5" t="inlineStr">
        <is>
          <t>研发支出</t>
        </is>
      </c>
      <c r="B81" s="6" t="inlineStr">
        <is>
          <t>产品开发-PRO</t>
        </is>
      </c>
      <c r="D81" s="5" t="inlineStr">
        <is>
          <t>OTA费用</t>
        </is>
      </c>
      <c r="E81" s="6" t="inlineStr">
        <is>
          <t>Q1304</t>
        </is>
      </c>
      <c r="F81" s="89">
        <f>-SUMIFS('1月数据源'!I:I,'1月数据源'!D:D,E81,'1月数据源'!F:F,"杭州知识跳跳科技有限公司")+SUMIFS('1月数据源'!J:J,'1月数据源'!D:D,E81,'1月数据源'!F:F,"杭州知识跳跳科技有限公司")</f>
        <v/>
      </c>
      <c r="G81" s="89">
        <f>-SUMIFS('2月数据源'!$I:$I,'2月数据源'!$D:$D,$E81,'2月数据源'!$F:$F,"杭州知识跳跳科技有限公司")+SUMIFS('2月数据源'!$J:$J,'2月数据源'!$D:$D,$E81,'2月数据源'!$F:$F,"杭州知识跳跳科技有限公司")</f>
        <v/>
      </c>
      <c r="H81" s="89">
        <f>-SUMIFS('3月数据源'!$I:$I,'3月数据源'!$D:$D,$E81,'3月数据源'!$F:$F,"杭州知识跳跳科技有限公司")+SUMIFS('3月数据源'!$J:$J,'3月数据源'!$D:$D,$E81,'3月数据源'!$F:$F,"杭州知识跳跳科技有限公司")</f>
        <v/>
      </c>
      <c r="I81" s="89">
        <f>-SUMIFS('4月数据源'!$I:$I,'4月数据源'!$D:$D,$E81,'4月数据源'!$F:$F,"杭州知识跳跳科技有限公司")+SUMIFS('4月数据源'!$J:$J,'4月数据源'!$D:$D,$E81,'4月数据源'!$F:$F,"杭州知识跳跳科技有限公司")</f>
        <v/>
      </c>
      <c r="J81" s="89">
        <f>-SUMIFS('5月数据源'!$I:$I,'5月数据源'!$D:$D,$E81,'5月数据源'!$F:$F,"杭州知识跳跳科技有限公司")+SUMIFS('5月数据源'!$J:$J,'5月数据源'!$D:$D,$E81,'5月数据源'!$F:$F,"杭州知识跳跳科技有限公司")</f>
        <v/>
      </c>
      <c r="K81" s="89">
        <f>-SUMIFS('6月数据源'!$I:$I,'6月数据源'!$D:$D,$E81,'6月数据源'!$F:$F,"杭州知识跳跳科技有限公司")+SUMIFS('6月数据源'!$J:$J,'6月数据源'!$D:$D,$E81,'6月数据源'!$F:$F,"杭州知识跳跳科技有限公司")</f>
        <v/>
      </c>
      <c r="L81" s="89">
        <f>-SUMIFS('7月数据源'!$I:$I,'7月数据源'!$D:$D,$E81,'7月数据源'!$F:$F,"杭州知识跳跳科技有限公司")+SUMIFS('7月数据源'!$J:$J,'7月数据源'!$D:$D,$E81,'7月数据源'!$F:$F,"杭州知识跳跳科技有限公司")</f>
        <v/>
      </c>
      <c r="M81" s="89">
        <f>-SUMIFS('8月数据源'!$I:$I,'8月数据源'!$D:$D,$E81,'8月数据源'!$F:$F,"杭州知识跳跳科技有限公司")+SUMIFS('8月数据源'!$J:$J,'8月数据源'!$D:$D,$E81,'8月数据源'!$F:$F,"杭州知识跳跳科技有限公司")</f>
        <v/>
      </c>
      <c r="N81" s="89">
        <f>-SUMIFS('9月数据源'!$I:$I,'9月数据源'!$D:$D,$E81,'9月数据源'!$F:$F,"杭州知识跳跳科技有限公司")+SUMIFS('9月数据源'!$J:$J,'9月数据源'!$D:$D,$E81,'9月数据源'!$F:$F,"杭州知识跳跳科技有限公司")</f>
        <v/>
      </c>
      <c r="O81" s="89">
        <f>-SUMIFS('10月数据源'!$I:$I,'10月数据源'!$D:$D,$E81,'10月数据源'!$F:$F,"杭州知识跳跳科技有限公司")+SUMIFS('10月数据源'!$J:$J,'10月数据源'!$D:$D,$E81,'10月数据源'!$F:$F,"杭州知识跳跳科技有限公司")</f>
        <v/>
      </c>
      <c r="P81" s="89">
        <f>-SUMIFS('11月数据源'!$I:$I,'11月数据源'!$D:$D,$E81,'11月数据源'!$F:$F,"杭州知识跳跳科技有限公司")+SUMIFS('11月数据源'!$J:$J,'11月数据源'!$D:$D,$E81,'11月数据源'!$F:$F,"杭州知识跳跳科技有限公司")</f>
        <v/>
      </c>
      <c r="Q81" s="89">
        <f>-SUMIFS('12月数据源'!$I:$I,'12月数据源'!$D:$D,$E81,'12月数据源'!$F:$F,"杭州知识跳跳科技有限公司")+SUMIFS('12月数据源'!$J:$J,'12月数据源'!$D:$D,$E81,'12月数据源'!$F:$F,"杭州知识跳跳科技有限公司")</f>
        <v/>
      </c>
    </row>
    <row r="82" s="83">
      <c r="A82" s="5" t="inlineStr">
        <is>
          <t>研发支出</t>
        </is>
      </c>
      <c r="B82" s="6" t="inlineStr">
        <is>
          <t>产品开发-PRO</t>
        </is>
      </c>
      <c r="D82" s="5" t="inlineStr">
        <is>
          <t>模具费用</t>
        </is>
      </c>
      <c r="E82" s="6" t="inlineStr">
        <is>
          <t>Q1305</t>
        </is>
      </c>
      <c r="F82" s="89">
        <f>-SUMIFS('1月数据源'!I:I,'1月数据源'!D:D,E82,'1月数据源'!F:F,"杭州知识跳跳科技有限公司")+SUMIFS('1月数据源'!J:J,'1月数据源'!D:D,E82,'1月数据源'!F:F,"杭州知识跳跳科技有限公司")</f>
        <v/>
      </c>
      <c r="G82" s="89">
        <f>-SUMIFS('2月数据源'!$I:$I,'2月数据源'!$D:$D,$E82,'2月数据源'!$F:$F,"杭州知识跳跳科技有限公司")+SUMIFS('2月数据源'!$J:$J,'2月数据源'!$D:$D,$E82,'2月数据源'!$F:$F,"杭州知识跳跳科技有限公司")</f>
        <v/>
      </c>
      <c r="H82" s="89">
        <f>-SUMIFS('3月数据源'!$I:$I,'3月数据源'!$D:$D,$E82,'3月数据源'!$F:$F,"杭州知识跳跳科技有限公司")+SUMIFS('3月数据源'!$J:$J,'3月数据源'!$D:$D,$E82,'3月数据源'!$F:$F,"杭州知识跳跳科技有限公司")</f>
        <v/>
      </c>
      <c r="I82" s="89">
        <f>-SUMIFS('4月数据源'!$I:$I,'4月数据源'!$D:$D,$E82,'4月数据源'!$F:$F,"杭州知识跳跳科技有限公司")+SUMIFS('4月数据源'!$J:$J,'4月数据源'!$D:$D,$E82,'4月数据源'!$F:$F,"杭州知识跳跳科技有限公司")</f>
        <v/>
      </c>
      <c r="J82" s="89">
        <f>-SUMIFS('5月数据源'!$I:$I,'5月数据源'!$D:$D,$E82,'5月数据源'!$F:$F,"杭州知识跳跳科技有限公司")+SUMIFS('5月数据源'!$J:$J,'5月数据源'!$D:$D,$E82,'5月数据源'!$F:$F,"杭州知识跳跳科技有限公司")</f>
        <v/>
      </c>
      <c r="K82" s="89">
        <f>-SUMIFS('6月数据源'!$I:$I,'6月数据源'!$D:$D,$E82,'6月数据源'!$F:$F,"杭州知识跳跳科技有限公司")+SUMIFS('6月数据源'!$J:$J,'6月数据源'!$D:$D,$E82,'6月数据源'!$F:$F,"杭州知识跳跳科技有限公司")</f>
        <v/>
      </c>
      <c r="L82" s="89">
        <f>-SUMIFS('7月数据源'!$I:$I,'7月数据源'!$D:$D,$E82,'7月数据源'!$F:$F,"杭州知识跳跳科技有限公司")+SUMIFS('7月数据源'!$J:$J,'7月数据源'!$D:$D,$E82,'7月数据源'!$F:$F,"杭州知识跳跳科技有限公司")</f>
        <v/>
      </c>
      <c r="M82" s="89">
        <f>-SUMIFS('8月数据源'!$I:$I,'8月数据源'!$D:$D,$E82,'8月数据源'!$F:$F,"杭州知识跳跳科技有限公司")+SUMIFS('8月数据源'!$J:$J,'8月数据源'!$D:$D,$E82,'8月数据源'!$F:$F,"杭州知识跳跳科技有限公司")</f>
        <v/>
      </c>
      <c r="N82" s="89">
        <f>-SUMIFS('9月数据源'!$I:$I,'9月数据源'!$D:$D,$E82,'9月数据源'!$F:$F,"杭州知识跳跳科技有限公司")+SUMIFS('9月数据源'!$J:$J,'9月数据源'!$D:$D,$E82,'9月数据源'!$F:$F,"杭州知识跳跳科技有限公司")</f>
        <v/>
      </c>
      <c r="O82" s="89">
        <f>-SUMIFS('10月数据源'!$I:$I,'10月数据源'!$D:$D,$E82,'10月数据源'!$F:$F,"杭州知识跳跳科技有限公司")+SUMIFS('10月数据源'!$J:$J,'10月数据源'!$D:$D,$E82,'10月数据源'!$F:$F,"杭州知识跳跳科技有限公司")</f>
        <v/>
      </c>
      <c r="P82" s="89">
        <f>-SUMIFS('11月数据源'!$I:$I,'11月数据源'!$D:$D,$E82,'11月数据源'!$F:$F,"杭州知识跳跳科技有限公司")+SUMIFS('11月数据源'!$J:$J,'11月数据源'!$D:$D,$E82,'11月数据源'!$F:$F,"杭州知识跳跳科技有限公司")</f>
        <v/>
      </c>
      <c r="Q82" s="89">
        <f>-SUMIFS('12月数据源'!$I:$I,'12月数据源'!$D:$D,$E82,'12月数据源'!$F:$F,"杭州知识跳跳科技有限公司")+SUMIFS('12月数据源'!$J:$J,'12月数据源'!$D:$D,$E82,'12月数据源'!$F:$F,"杭州知识跳跳科技有限公司")</f>
        <v/>
      </c>
    </row>
    <row r="83" s="83">
      <c r="A83" s="5" t="inlineStr">
        <is>
          <t>研发支出</t>
        </is>
      </c>
      <c r="B83" s="6" t="inlineStr">
        <is>
          <t>产品开发-PRO</t>
        </is>
      </c>
      <c r="D83" s="5" t="inlineStr">
        <is>
          <t>BOE研发费</t>
        </is>
      </c>
      <c r="E83" s="6" t="inlineStr">
        <is>
          <t>Q1306</t>
        </is>
      </c>
      <c r="F83" s="89">
        <f>-SUMIFS('1月数据源'!I:I,'1月数据源'!D:D,E83,'1月数据源'!F:F,"杭州知识跳跳科技有限公司")+SUMIFS('1月数据源'!J:J,'1月数据源'!D:D,E83,'1月数据源'!F:F,"杭州知识跳跳科技有限公司")</f>
        <v/>
      </c>
      <c r="G83" s="89">
        <f>-SUMIFS('2月数据源'!$I:$I,'2月数据源'!$D:$D,$E83,'2月数据源'!$F:$F,"杭州知识跳跳科技有限公司")+SUMIFS('2月数据源'!$J:$J,'2月数据源'!$D:$D,$E83,'2月数据源'!$F:$F,"杭州知识跳跳科技有限公司")</f>
        <v/>
      </c>
      <c r="H83" s="89">
        <f>-SUMIFS('3月数据源'!$I:$I,'3月数据源'!$D:$D,$E83,'3月数据源'!$F:$F,"杭州知识跳跳科技有限公司")+SUMIFS('3月数据源'!$J:$J,'3月数据源'!$D:$D,$E83,'3月数据源'!$F:$F,"杭州知识跳跳科技有限公司")</f>
        <v/>
      </c>
      <c r="I83" s="89">
        <f>-SUMIFS('4月数据源'!$I:$I,'4月数据源'!$D:$D,$E83,'4月数据源'!$F:$F,"杭州知识跳跳科技有限公司")+SUMIFS('4月数据源'!$J:$J,'4月数据源'!$D:$D,$E83,'4月数据源'!$F:$F,"杭州知识跳跳科技有限公司")</f>
        <v/>
      </c>
      <c r="J83" s="89">
        <f>-SUMIFS('5月数据源'!$I:$I,'5月数据源'!$D:$D,$E83,'5月数据源'!$F:$F,"杭州知识跳跳科技有限公司")+SUMIFS('5月数据源'!$J:$J,'5月数据源'!$D:$D,$E83,'5月数据源'!$F:$F,"杭州知识跳跳科技有限公司")</f>
        <v/>
      </c>
      <c r="K83" s="89">
        <f>-SUMIFS('6月数据源'!$I:$I,'6月数据源'!$D:$D,$E83,'6月数据源'!$F:$F,"杭州知识跳跳科技有限公司")+SUMIFS('6月数据源'!$J:$J,'6月数据源'!$D:$D,$E83,'6月数据源'!$F:$F,"杭州知识跳跳科技有限公司")</f>
        <v/>
      </c>
      <c r="L83" s="89">
        <f>-SUMIFS('7月数据源'!$I:$I,'7月数据源'!$D:$D,$E83,'7月数据源'!$F:$F,"杭州知识跳跳科技有限公司")+SUMIFS('7月数据源'!$J:$J,'7月数据源'!$D:$D,$E83,'7月数据源'!$F:$F,"杭州知识跳跳科技有限公司")</f>
        <v/>
      </c>
      <c r="M83" s="89">
        <f>-SUMIFS('8月数据源'!$I:$I,'8月数据源'!$D:$D,$E83,'8月数据源'!$F:$F,"杭州知识跳跳科技有限公司")+SUMIFS('8月数据源'!$J:$J,'8月数据源'!$D:$D,$E83,'8月数据源'!$F:$F,"杭州知识跳跳科技有限公司")</f>
        <v/>
      </c>
      <c r="N83" s="89">
        <f>-SUMIFS('9月数据源'!$I:$I,'9月数据源'!$D:$D,$E83,'9月数据源'!$F:$F,"杭州知识跳跳科技有限公司")+SUMIFS('9月数据源'!$J:$J,'9月数据源'!$D:$D,$E83,'9月数据源'!$F:$F,"杭州知识跳跳科技有限公司")</f>
        <v/>
      </c>
      <c r="O83" s="89">
        <f>-SUMIFS('10月数据源'!$I:$I,'10月数据源'!$D:$D,$E83,'10月数据源'!$F:$F,"杭州知识跳跳科技有限公司")+SUMIFS('10月数据源'!$J:$J,'10月数据源'!$D:$D,$E83,'10月数据源'!$F:$F,"杭州知识跳跳科技有限公司")</f>
        <v/>
      </c>
      <c r="P83" s="89">
        <f>-SUMIFS('11月数据源'!$I:$I,'11月数据源'!$D:$D,$E83,'11月数据源'!$F:$F,"杭州知识跳跳科技有限公司")+SUMIFS('11月数据源'!$J:$J,'11月数据源'!$D:$D,$E83,'11月数据源'!$F:$F,"杭州知识跳跳科技有限公司")</f>
        <v/>
      </c>
      <c r="Q83" s="89">
        <f>-SUMIFS('12月数据源'!$I:$I,'12月数据源'!$D:$D,$E83,'12月数据源'!$F:$F,"杭州知识跳跳科技有限公司")+SUMIFS('12月数据源'!$J:$J,'12月数据源'!$D:$D,$E83,'12月数据源'!$F:$F,"杭州知识跳跳科技有限公司")</f>
        <v/>
      </c>
    </row>
    <row r="84" s="83">
      <c r="A84" s="5" t="inlineStr">
        <is>
          <t>研发支出</t>
        </is>
      </c>
      <c r="B84" s="6" t="inlineStr">
        <is>
          <t>产品开发-PRO</t>
        </is>
      </c>
      <c r="D84" s="5" t="inlineStr">
        <is>
          <t>题库费</t>
        </is>
      </c>
      <c r="E84" s="6" t="inlineStr">
        <is>
          <t>Q1307</t>
        </is>
      </c>
      <c r="F84" s="89">
        <f>-SUMIFS('1月数据源'!I:I,'1月数据源'!D:D,E84,'1月数据源'!F:F,"杭州知识跳跳科技有限公司")+SUMIFS('1月数据源'!J:J,'1月数据源'!D:D,E84,'1月数据源'!F:F,"杭州知识跳跳科技有限公司")</f>
        <v/>
      </c>
      <c r="G84" s="89">
        <f>-SUMIFS('2月数据源'!$I:$I,'2月数据源'!$D:$D,$E84,'2月数据源'!$F:$F,"杭州知识跳跳科技有限公司")+SUMIFS('2月数据源'!$J:$J,'2月数据源'!$D:$D,$E84,'2月数据源'!$F:$F,"杭州知识跳跳科技有限公司")</f>
        <v/>
      </c>
      <c r="H84" s="89">
        <f>-SUMIFS('3月数据源'!$I:$I,'3月数据源'!$D:$D,$E84,'3月数据源'!$F:$F,"杭州知识跳跳科技有限公司")+SUMIFS('3月数据源'!$J:$J,'3月数据源'!$D:$D,$E84,'3月数据源'!$F:$F,"杭州知识跳跳科技有限公司")</f>
        <v/>
      </c>
      <c r="I84" s="89">
        <f>-SUMIFS('4月数据源'!$I:$I,'4月数据源'!$D:$D,$E84,'4月数据源'!$F:$F,"杭州知识跳跳科技有限公司")+SUMIFS('4月数据源'!$J:$J,'4月数据源'!$D:$D,$E84,'4月数据源'!$F:$F,"杭州知识跳跳科技有限公司")</f>
        <v/>
      </c>
      <c r="J84" s="89">
        <f>-SUMIFS('5月数据源'!$I:$I,'5月数据源'!$D:$D,$E84,'5月数据源'!$F:$F,"杭州知识跳跳科技有限公司")+SUMIFS('5月数据源'!$J:$J,'5月数据源'!$D:$D,$E84,'5月数据源'!$F:$F,"杭州知识跳跳科技有限公司")</f>
        <v/>
      </c>
      <c r="K84" s="89">
        <f>-SUMIFS('6月数据源'!$I:$I,'6月数据源'!$D:$D,$E84,'6月数据源'!$F:$F,"杭州知识跳跳科技有限公司")+SUMIFS('6月数据源'!$J:$J,'6月数据源'!$D:$D,$E84,'6月数据源'!$F:$F,"杭州知识跳跳科技有限公司")</f>
        <v/>
      </c>
      <c r="L84" s="89">
        <f>-SUMIFS('7月数据源'!$I:$I,'7月数据源'!$D:$D,$E84,'7月数据源'!$F:$F,"杭州知识跳跳科技有限公司")+SUMIFS('7月数据源'!$J:$J,'7月数据源'!$D:$D,$E84,'7月数据源'!$F:$F,"杭州知识跳跳科技有限公司")</f>
        <v/>
      </c>
      <c r="M84" s="89">
        <f>-SUMIFS('8月数据源'!$I:$I,'8月数据源'!$D:$D,$E84,'8月数据源'!$F:$F,"杭州知识跳跳科技有限公司")+SUMIFS('8月数据源'!$J:$J,'8月数据源'!$D:$D,$E84,'8月数据源'!$F:$F,"杭州知识跳跳科技有限公司")</f>
        <v/>
      </c>
      <c r="N84" s="89">
        <f>-SUMIFS('9月数据源'!$I:$I,'9月数据源'!$D:$D,$E84,'9月数据源'!$F:$F,"杭州知识跳跳科技有限公司")+SUMIFS('9月数据源'!$J:$J,'9月数据源'!$D:$D,$E84,'9月数据源'!$F:$F,"杭州知识跳跳科技有限公司")</f>
        <v/>
      </c>
      <c r="O84" s="89">
        <f>-SUMIFS('10月数据源'!$I:$I,'10月数据源'!$D:$D,$E84,'10月数据源'!$F:$F,"杭州知识跳跳科技有限公司")+SUMIFS('10月数据源'!$J:$J,'10月数据源'!$D:$D,$E84,'10月数据源'!$F:$F,"杭州知识跳跳科技有限公司")</f>
        <v/>
      </c>
      <c r="P84" s="89">
        <f>-SUMIFS('11月数据源'!$I:$I,'11月数据源'!$D:$D,$E84,'11月数据源'!$F:$F,"杭州知识跳跳科技有限公司")+SUMIFS('11月数据源'!$J:$J,'11月数据源'!$D:$D,$E84,'11月数据源'!$F:$F,"杭州知识跳跳科技有限公司")</f>
        <v/>
      </c>
      <c r="Q84" s="89">
        <f>-SUMIFS('12月数据源'!$I:$I,'12月数据源'!$D:$D,$E84,'12月数据源'!$F:$F,"杭州知识跳跳科技有限公司")+SUMIFS('12月数据源'!$J:$J,'12月数据源'!$D:$D,$E84,'12月数据源'!$F:$F,"杭州知识跳跳科技有限公司")</f>
        <v/>
      </c>
    </row>
    <row r="85" s="83">
      <c r="A85" s="5" t="inlineStr">
        <is>
          <t>研发支出</t>
        </is>
      </c>
      <c r="B85" s="6" t="inlineStr">
        <is>
          <t>其他产品开发</t>
        </is>
      </c>
      <c r="C85" s="6" t="inlineStr">
        <is>
          <t>其他产品开发</t>
        </is>
      </c>
      <c r="D85" s="5" t="inlineStr">
        <is>
          <t>产品开发-员工报销</t>
        </is>
      </c>
      <c r="E85" s="6" t="inlineStr">
        <is>
          <t>Q1402</t>
        </is>
      </c>
      <c r="F85" s="89">
        <f>-SUMIFS('1月数据源'!I:I,'1月数据源'!D:D,E85,'1月数据源'!F:F,"杭州知识跳跳科技有限公司")+SUMIFS('1月数据源'!J:J,'1月数据源'!D:D,E85,'1月数据源'!F:F,"杭州知识跳跳科技有限公司")</f>
        <v/>
      </c>
      <c r="G85" s="89">
        <f>-SUMIFS('2月数据源'!$I:$I,'2月数据源'!$D:$D,$E85,'2月数据源'!$F:$F,"杭州知识跳跳科技有限公司")+SUMIFS('2月数据源'!$J:$J,'2月数据源'!$D:$D,$E85,'2月数据源'!$F:$F,"杭州知识跳跳科技有限公司")</f>
        <v/>
      </c>
      <c r="H85" s="89">
        <f>-SUMIFS('3月数据源'!$I:$I,'3月数据源'!$D:$D,$E85,'3月数据源'!$F:$F,"杭州知识跳跳科技有限公司")+SUMIFS('3月数据源'!$J:$J,'3月数据源'!$D:$D,$E85,'3月数据源'!$F:$F,"杭州知识跳跳科技有限公司")</f>
        <v/>
      </c>
      <c r="I85" s="89">
        <f>-SUMIFS('4月数据源'!$I:$I,'4月数据源'!$D:$D,$E85,'4月数据源'!$F:$F,"杭州知识跳跳科技有限公司")+SUMIFS('4月数据源'!$J:$J,'4月数据源'!$D:$D,$E85,'4月数据源'!$F:$F,"杭州知识跳跳科技有限公司")</f>
        <v/>
      </c>
      <c r="J85" s="89">
        <f>-SUMIFS('5月数据源'!$I:$I,'5月数据源'!$D:$D,$E85,'5月数据源'!$F:$F,"杭州知识跳跳科技有限公司")+SUMIFS('5月数据源'!$J:$J,'5月数据源'!$D:$D,$E85,'5月数据源'!$F:$F,"杭州知识跳跳科技有限公司")</f>
        <v/>
      </c>
      <c r="K85" s="89">
        <f>-SUMIFS('6月数据源'!$I:$I,'6月数据源'!$D:$D,$E85,'6月数据源'!$F:$F,"杭州知识跳跳科技有限公司")+SUMIFS('6月数据源'!$J:$J,'6月数据源'!$D:$D,$E85,'6月数据源'!$F:$F,"杭州知识跳跳科技有限公司")</f>
        <v/>
      </c>
      <c r="L85" s="89">
        <f>-SUMIFS('7月数据源'!$I:$I,'7月数据源'!$D:$D,$E85,'7月数据源'!$F:$F,"杭州知识跳跳科技有限公司")+SUMIFS('7月数据源'!$J:$J,'7月数据源'!$D:$D,$E85,'7月数据源'!$F:$F,"杭州知识跳跳科技有限公司")</f>
        <v/>
      </c>
      <c r="M85" s="89">
        <f>-SUMIFS('8月数据源'!$I:$I,'8月数据源'!$D:$D,$E85,'8月数据源'!$F:$F,"杭州知识跳跳科技有限公司")+SUMIFS('8月数据源'!$J:$J,'8月数据源'!$D:$D,$E85,'8月数据源'!$F:$F,"杭州知识跳跳科技有限公司")</f>
        <v/>
      </c>
      <c r="N85" s="89">
        <f>-SUMIFS('9月数据源'!$I:$I,'9月数据源'!$D:$D,$E85,'9月数据源'!$F:$F,"杭州知识跳跳科技有限公司")+SUMIFS('9月数据源'!$J:$J,'9月数据源'!$D:$D,$E85,'9月数据源'!$F:$F,"杭州知识跳跳科技有限公司")</f>
        <v/>
      </c>
      <c r="O85" s="89">
        <f>-SUMIFS('10月数据源'!$I:$I,'10月数据源'!$D:$D,$E85,'10月数据源'!$F:$F,"杭州知识跳跳科技有限公司")+SUMIFS('10月数据源'!$J:$J,'10月数据源'!$D:$D,$E85,'10月数据源'!$F:$F,"杭州知识跳跳科技有限公司")</f>
        <v/>
      </c>
      <c r="P85" s="89">
        <f>-SUMIFS('11月数据源'!$I:$I,'11月数据源'!$D:$D,$E85,'11月数据源'!$F:$F,"杭州知识跳跳科技有限公司")+SUMIFS('11月数据源'!$J:$J,'11月数据源'!$D:$D,$E85,'11月数据源'!$F:$F,"杭州知识跳跳科技有限公司")</f>
        <v/>
      </c>
      <c r="Q85" s="89">
        <f>-SUMIFS('12月数据源'!$I:$I,'12月数据源'!$D:$D,$E85,'12月数据源'!$F:$F,"杭州知识跳跳科技有限公司")+SUMIFS('12月数据源'!$J:$J,'12月数据源'!$D:$D,$E85,'12月数据源'!$F:$F,"杭州知识跳跳科技有限公司")</f>
        <v/>
      </c>
    </row>
    <row r="86" s="83">
      <c r="A86" s="5" t="inlineStr">
        <is>
          <t>研发支出</t>
        </is>
      </c>
      <c r="B86" s="6" t="inlineStr">
        <is>
          <t>其他产品开发</t>
        </is>
      </c>
      <c r="D86" s="5" t="inlineStr">
        <is>
          <t>软件使用费</t>
        </is>
      </c>
      <c r="E86" s="6" t="inlineStr">
        <is>
          <t>Q1401</t>
        </is>
      </c>
      <c r="F86" s="89">
        <f>-SUMIFS('1月数据源'!I:I,'1月数据源'!D:D,E86,'1月数据源'!F:F,"杭州知识跳跳科技有限公司")+SUMIFS('1月数据源'!J:J,'1月数据源'!D:D,E86,'1月数据源'!F:F,"杭州知识跳跳科技有限公司")</f>
        <v/>
      </c>
      <c r="G86" s="89">
        <f>-SUMIFS('2月数据源'!$I:$I,'2月数据源'!$D:$D,$E86,'2月数据源'!$F:$F,"杭州知识跳跳科技有限公司")+SUMIFS('2月数据源'!$J:$J,'2月数据源'!$D:$D,$E86,'2月数据源'!$F:$F,"杭州知识跳跳科技有限公司")</f>
        <v/>
      </c>
      <c r="H86" s="89">
        <f>-SUMIFS('3月数据源'!$I:$I,'3月数据源'!$D:$D,$E86,'3月数据源'!$F:$F,"杭州知识跳跳科技有限公司")+SUMIFS('3月数据源'!$J:$J,'3月数据源'!$D:$D,$E86,'3月数据源'!$F:$F,"杭州知识跳跳科技有限公司")</f>
        <v/>
      </c>
      <c r="I86" s="89">
        <f>-SUMIFS('4月数据源'!$I:$I,'4月数据源'!$D:$D,$E86,'4月数据源'!$F:$F,"杭州知识跳跳科技有限公司")+SUMIFS('4月数据源'!$J:$J,'4月数据源'!$D:$D,$E86,'4月数据源'!$F:$F,"杭州知识跳跳科技有限公司")</f>
        <v/>
      </c>
      <c r="J86" s="89">
        <f>-SUMIFS('5月数据源'!$I:$I,'5月数据源'!$D:$D,$E86,'5月数据源'!$F:$F,"杭州知识跳跳科技有限公司")+SUMIFS('5月数据源'!$J:$J,'5月数据源'!$D:$D,$E86,'5月数据源'!$F:$F,"杭州知识跳跳科技有限公司")</f>
        <v/>
      </c>
      <c r="K86" s="89">
        <f>-SUMIFS('6月数据源'!$I:$I,'6月数据源'!$D:$D,$E86,'6月数据源'!$F:$F,"杭州知识跳跳科技有限公司")+SUMIFS('6月数据源'!$J:$J,'6月数据源'!$D:$D,$E86,'6月数据源'!$F:$F,"杭州知识跳跳科技有限公司")</f>
        <v/>
      </c>
      <c r="L86" s="89">
        <f>-SUMIFS('7月数据源'!$I:$I,'7月数据源'!$D:$D,$E86,'7月数据源'!$F:$F,"杭州知识跳跳科技有限公司")+SUMIFS('7月数据源'!$J:$J,'7月数据源'!$D:$D,$E86,'7月数据源'!$F:$F,"杭州知识跳跳科技有限公司")</f>
        <v/>
      </c>
      <c r="M86" s="89">
        <f>-SUMIFS('8月数据源'!$I:$I,'8月数据源'!$D:$D,$E86,'8月数据源'!$F:$F,"杭州知识跳跳科技有限公司")+SUMIFS('8月数据源'!$J:$J,'8月数据源'!$D:$D,$E86,'8月数据源'!$F:$F,"杭州知识跳跳科技有限公司")</f>
        <v/>
      </c>
      <c r="N86" s="89">
        <f>-SUMIFS('9月数据源'!$I:$I,'9月数据源'!$D:$D,$E86,'9月数据源'!$F:$F,"杭州知识跳跳科技有限公司")+SUMIFS('9月数据源'!$J:$J,'9月数据源'!$D:$D,$E86,'9月数据源'!$F:$F,"杭州知识跳跳科技有限公司")</f>
        <v/>
      </c>
      <c r="O86" s="89">
        <f>-SUMIFS('10月数据源'!$I:$I,'10月数据源'!$D:$D,$E86,'10月数据源'!$F:$F,"杭州知识跳跳科技有限公司")+SUMIFS('10月数据源'!$J:$J,'10月数据源'!$D:$D,$E86,'10月数据源'!$F:$F,"杭州知识跳跳科技有限公司")</f>
        <v/>
      </c>
      <c r="P86" s="89">
        <f>-SUMIFS('11月数据源'!$I:$I,'11月数据源'!$D:$D,$E86,'11月数据源'!$F:$F,"杭州知识跳跳科技有限公司")+SUMIFS('11月数据源'!$J:$J,'11月数据源'!$D:$D,$E86,'11月数据源'!$F:$F,"杭州知识跳跳科技有限公司")</f>
        <v/>
      </c>
      <c r="Q86" s="89">
        <f>-SUMIFS('12月数据源'!$I:$I,'12月数据源'!$D:$D,$E86,'12月数据源'!$F:$F,"杭州知识跳跳科技有限公司")+SUMIFS('12月数据源'!$J:$J,'12月数据源'!$D:$D,$E86,'12月数据源'!$F:$F,"杭州知识跳跳科技有限公司")</f>
        <v/>
      </c>
    </row>
    <row r="87" s="83">
      <c r="A87" s="5" t="inlineStr">
        <is>
          <t>研发支出</t>
        </is>
      </c>
      <c r="B87" s="6" t="inlineStr">
        <is>
          <t>服务器算法充值</t>
        </is>
      </c>
      <c r="C87" s="6" t="inlineStr">
        <is>
          <t>服务器算法充值</t>
        </is>
      </c>
      <c r="D87" s="5" t="inlineStr">
        <is>
          <t>阿里云充值费用</t>
        </is>
      </c>
      <c r="E87" s="6" t="inlineStr">
        <is>
          <t>Q1501</t>
        </is>
      </c>
      <c r="F87" s="89">
        <f>-SUMIFS('1月数据源'!I:I,'1月数据源'!D:D,E87,'1月数据源'!F:F,"杭州知识跳跳科技有限公司")+SUMIFS('1月数据源'!J:J,'1月数据源'!D:D,E87,'1月数据源'!F:F,"杭州知识跳跳科技有限公司")</f>
        <v/>
      </c>
      <c r="G87" s="89">
        <f>-SUMIFS('2月数据源'!$I:$I,'2月数据源'!$D:$D,$E87,'2月数据源'!$F:$F,"杭州知识跳跳科技有限公司")+SUMIFS('2月数据源'!$J:$J,'2月数据源'!$D:$D,$E87,'2月数据源'!$F:$F,"杭州知识跳跳科技有限公司")</f>
        <v/>
      </c>
      <c r="H87" s="89">
        <f>-SUMIFS('3月数据源'!$I:$I,'3月数据源'!$D:$D,$E87,'3月数据源'!$F:$F,"杭州知识跳跳科技有限公司")+SUMIFS('3月数据源'!$J:$J,'3月数据源'!$D:$D,$E87,'3月数据源'!$F:$F,"杭州知识跳跳科技有限公司")</f>
        <v/>
      </c>
      <c r="I87" s="89">
        <f>-SUMIFS('4月数据源'!$I:$I,'4月数据源'!$D:$D,$E87,'4月数据源'!$F:$F,"杭州知识跳跳科技有限公司")+SUMIFS('4月数据源'!$J:$J,'4月数据源'!$D:$D,$E87,'4月数据源'!$F:$F,"杭州知识跳跳科技有限公司")</f>
        <v/>
      </c>
      <c r="J87" s="89">
        <f>-SUMIFS('5月数据源'!$I:$I,'5月数据源'!$D:$D,$E87,'5月数据源'!$F:$F,"杭州知识跳跳科技有限公司")+SUMIFS('5月数据源'!$J:$J,'5月数据源'!$D:$D,$E87,'5月数据源'!$F:$F,"杭州知识跳跳科技有限公司")</f>
        <v/>
      </c>
      <c r="K87" s="89">
        <f>-SUMIFS('6月数据源'!$I:$I,'6月数据源'!$D:$D,$E87,'6月数据源'!$F:$F,"杭州知识跳跳科技有限公司")+SUMIFS('6月数据源'!$J:$J,'6月数据源'!$D:$D,$E87,'6月数据源'!$F:$F,"杭州知识跳跳科技有限公司")</f>
        <v/>
      </c>
      <c r="L87" s="89">
        <f>-SUMIFS('7月数据源'!$I:$I,'7月数据源'!$D:$D,$E87,'7月数据源'!$F:$F,"杭州知识跳跳科技有限公司")+SUMIFS('7月数据源'!$J:$J,'7月数据源'!$D:$D,$E87,'7月数据源'!$F:$F,"杭州知识跳跳科技有限公司")</f>
        <v/>
      </c>
      <c r="M87" s="89">
        <f>-SUMIFS('8月数据源'!$I:$I,'8月数据源'!$D:$D,$E87,'8月数据源'!$F:$F,"杭州知识跳跳科技有限公司")+SUMIFS('8月数据源'!$J:$J,'8月数据源'!$D:$D,$E87,'8月数据源'!$F:$F,"杭州知识跳跳科技有限公司")</f>
        <v/>
      </c>
      <c r="N87" s="89">
        <f>-SUMIFS('9月数据源'!$I:$I,'9月数据源'!$D:$D,$E87,'9月数据源'!$F:$F,"杭州知识跳跳科技有限公司")+SUMIFS('9月数据源'!$J:$J,'9月数据源'!$D:$D,$E87,'9月数据源'!$F:$F,"杭州知识跳跳科技有限公司")</f>
        <v/>
      </c>
      <c r="O87" s="89">
        <f>-SUMIFS('10月数据源'!$I:$I,'10月数据源'!$D:$D,$E87,'10月数据源'!$F:$F,"杭州知识跳跳科技有限公司")+SUMIFS('10月数据源'!$J:$J,'10月数据源'!$D:$D,$E87,'10月数据源'!$F:$F,"杭州知识跳跳科技有限公司")</f>
        <v/>
      </c>
      <c r="P87" s="89">
        <f>-SUMIFS('11月数据源'!$I:$I,'11月数据源'!$D:$D,$E87,'11月数据源'!$F:$F,"杭州知识跳跳科技有限公司")+SUMIFS('11月数据源'!$J:$J,'11月数据源'!$D:$D,$E87,'11月数据源'!$F:$F,"杭州知识跳跳科技有限公司")</f>
        <v/>
      </c>
      <c r="Q87" s="89">
        <f>-SUMIFS('12月数据源'!$I:$I,'12月数据源'!$D:$D,$E87,'12月数据源'!$F:$F,"杭州知识跳跳科技有限公司")+SUMIFS('12月数据源'!$J:$J,'12月数据源'!$D:$D,$E87,'12月数据源'!$F:$F,"杭州知识跳跳科技有限公司")</f>
        <v/>
      </c>
    </row>
    <row r="88" s="83">
      <c r="A88" s="5" t="inlineStr">
        <is>
          <t>研发支出</t>
        </is>
      </c>
      <c r="B88" s="6" t="inlineStr">
        <is>
          <t>服务器算法充值</t>
        </is>
      </c>
      <c r="D88" s="5" t="inlineStr">
        <is>
          <t>微软充值费用</t>
        </is>
      </c>
      <c r="E88" s="6" t="inlineStr">
        <is>
          <t>Q1502</t>
        </is>
      </c>
      <c r="F88" s="89">
        <f>-SUMIFS('1月数据源'!I:I,'1月数据源'!D:D,E88,'1月数据源'!F:F,"杭州知识跳跳科技有限公司")+SUMIFS('1月数据源'!J:J,'1月数据源'!D:D,E88,'1月数据源'!F:F,"杭州知识跳跳科技有限公司")</f>
        <v/>
      </c>
      <c r="G88" s="89">
        <f>-SUMIFS('2月数据源'!$I:$I,'2月数据源'!$D:$D,$E88,'2月数据源'!$F:$F,"杭州知识跳跳科技有限公司")+SUMIFS('2月数据源'!$J:$J,'2月数据源'!$D:$D,$E88,'2月数据源'!$F:$F,"杭州知识跳跳科技有限公司")</f>
        <v/>
      </c>
      <c r="H88" s="89">
        <f>-SUMIFS('3月数据源'!$I:$I,'3月数据源'!$D:$D,$E88,'3月数据源'!$F:$F,"杭州知识跳跳科技有限公司")+SUMIFS('3月数据源'!$J:$J,'3月数据源'!$D:$D,$E88,'3月数据源'!$F:$F,"杭州知识跳跳科技有限公司")</f>
        <v/>
      </c>
      <c r="I88" s="89">
        <f>-SUMIFS('4月数据源'!$I:$I,'4月数据源'!$D:$D,$E88,'4月数据源'!$F:$F,"杭州知识跳跳科技有限公司")+SUMIFS('4月数据源'!$J:$J,'4月数据源'!$D:$D,$E88,'4月数据源'!$F:$F,"杭州知识跳跳科技有限公司")</f>
        <v/>
      </c>
      <c r="J88" s="89">
        <f>-SUMIFS('5月数据源'!$I:$I,'5月数据源'!$D:$D,$E88,'5月数据源'!$F:$F,"杭州知识跳跳科技有限公司")+SUMIFS('5月数据源'!$J:$J,'5月数据源'!$D:$D,$E88,'5月数据源'!$F:$F,"杭州知识跳跳科技有限公司")</f>
        <v/>
      </c>
      <c r="K88" s="89">
        <f>-SUMIFS('6月数据源'!$I:$I,'6月数据源'!$D:$D,$E88,'6月数据源'!$F:$F,"杭州知识跳跳科技有限公司")+SUMIFS('6月数据源'!$J:$J,'6月数据源'!$D:$D,$E88,'6月数据源'!$F:$F,"杭州知识跳跳科技有限公司")</f>
        <v/>
      </c>
      <c r="L88" s="89">
        <f>-SUMIFS('7月数据源'!$I:$I,'7月数据源'!$D:$D,$E88,'7月数据源'!$F:$F,"杭州知识跳跳科技有限公司")+SUMIFS('7月数据源'!$J:$J,'7月数据源'!$D:$D,$E88,'7月数据源'!$F:$F,"杭州知识跳跳科技有限公司")</f>
        <v/>
      </c>
      <c r="M88" s="89">
        <f>-SUMIFS('8月数据源'!$I:$I,'8月数据源'!$D:$D,$E88,'8月数据源'!$F:$F,"杭州知识跳跳科技有限公司")+SUMIFS('8月数据源'!$J:$J,'8月数据源'!$D:$D,$E88,'8月数据源'!$F:$F,"杭州知识跳跳科技有限公司")</f>
        <v/>
      </c>
      <c r="N88" s="89">
        <f>-SUMIFS('9月数据源'!$I:$I,'9月数据源'!$D:$D,$E88,'9月数据源'!$F:$F,"杭州知识跳跳科技有限公司")+SUMIFS('9月数据源'!$J:$J,'9月数据源'!$D:$D,$E88,'9月数据源'!$F:$F,"杭州知识跳跳科技有限公司")</f>
        <v/>
      </c>
      <c r="O88" s="89">
        <f>-SUMIFS('10月数据源'!$I:$I,'10月数据源'!$D:$D,$E88,'10月数据源'!$F:$F,"杭州知识跳跳科技有限公司")+SUMIFS('10月数据源'!$J:$J,'10月数据源'!$D:$D,$E88,'10月数据源'!$F:$F,"杭州知识跳跳科技有限公司")</f>
        <v/>
      </c>
      <c r="P88" s="89">
        <f>-SUMIFS('11月数据源'!$I:$I,'11月数据源'!$D:$D,$E88,'11月数据源'!$F:$F,"杭州知识跳跳科技有限公司")+SUMIFS('11月数据源'!$J:$J,'11月数据源'!$D:$D,$E88,'11月数据源'!$F:$F,"杭州知识跳跳科技有限公司")</f>
        <v/>
      </c>
      <c r="Q88" s="89">
        <f>-SUMIFS('12月数据源'!$I:$I,'12月数据源'!$D:$D,$E88,'12月数据源'!$F:$F,"杭州知识跳跳科技有限公司")+SUMIFS('12月数据源'!$J:$J,'12月数据源'!$D:$D,$E88,'12月数据源'!$F:$F,"杭州知识跳跳科技有限公司")</f>
        <v/>
      </c>
    </row>
    <row r="89" s="83">
      <c r="A89" s="5" t="inlineStr">
        <is>
          <t>研发支出</t>
        </is>
      </c>
      <c r="B89" s="6" t="inlineStr">
        <is>
          <t>服务器算法充值</t>
        </is>
      </c>
      <c r="D89" s="5" t="inlineStr">
        <is>
          <t>kimi充值费用</t>
        </is>
      </c>
      <c r="E89" s="6" t="inlineStr">
        <is>
          <t>Q1503</t>
        </is>
      </c>
      <c r="F89" s="89">
        <f>-SUMIFS('1月数据源'!I:I,'1月数据源'!D:D,E89,'1月数据源'!F:F,"杭州知识跳跳科技有限公司")+SUMIFS('1月数据源'!J:J,'1月数据源'!D:D,E89,'1月数据源'!F:F,"杭州知识跳跳科技有限公司")</f>
        <v/>
      </c>
      <c r="G89" s="89">
        <f>-SUMIFS('2月数据源'!$I:$I,'2月数据源'!$D:$D,$E89,'2月数据源'!$F:$F,"杭州知识跳跳科技有限公司")+SUMIFS('2月数据源'!$J:$J,'2月数据源'!$D:$D,$E89,'2月数据源'!$F:$F,"杭州知识跳跳科技有限公司")</f>
        <v/>
      </c>
      <c r="H89" s="89">
        <f>-SUMIFS('3月数据源'!$I:$I,'3月数据源'!$D:$D,$E89,'3月数据源'!$F:$F,"杭州知识跳跳科技有限公司")+SUMIFS('3月数据源'!$J:$J,'3月数据源'!$D:$D,$E89,'3月数据源'!$F:$F,"杭州知识跳跳科技有限公司")</f>
        <v/>
      </c>
      <c r="I89" s="89">
        <f>-SUMIFS('4月数据源'!$I:$I,'4月数据源'!$D:$D,$E89,'4月数据源'!$F:$F,"杭州知识跳跳科技有限公司")+SUMIFS('4月数据源'!$J:$J,'4月数据源'!$D:$D,$E89,'4月数据源'!$F:$F,"杭州知识跳跳科技有限公司")</f>
        <v/>
      </c>
      <c r="J89" s="89">
        <f>-SUMIFS('5月数据源'!$I:$I,'5月数据源'!$D:$D,$E89,'5月数据源'!$F:$F,"杭州知识跳跳科技有限公司")+SUMIFS('5月数据源'!$J:$J,'5月数据源'!$D:$D,$E89,'5月数据源'!$F:$F,"杭州知识跳跳科技有限公司")</f>
        <v/>
      </c>
      <c r="K89" s="89">
        <f>-SUMIFS('6月数据源'!$I:$I,'6月数据源'!$D:$D,$E89,'6月数据源'!$F:$F,"杭州知识跳跳科技有限公司")+SUMIFS('6月数据源'!$J:$J,'6月数据源'!$D:$D,$E89,'6月数据源'!$F:$F,"杭州知识跳跳科技有限公司")</f>
        <v/>
      </c>
      <c r="L89" s="89">
        <f>-SUMIFS('7月数据源'!$I:$I,'7月数据源'!$D:$D,$E89,'7月数据源'!$F:$F,"杭州知识跳跳科技有限公司")+SUMIFS('7月数据源'!$J:$J,'7月数据源'!$D:$D,$E89,'7月数据源'!$F:$F,"杭州知识跳跳科技有限公司")</f>
        <v/>
      </c>
      <c r="M89" s="89">
        <f>-SUMIFS('8月数据源'!$I:$I,'8月数据源'!$D:$D,$E89,'8月数据源'!$F:$F,"杭州知识跳跳科技有限公司")+SUMIFS('8月数据源'!$J:$J,'8月数据源'!$D:$D,$E89,'8月数据源'!$F:$F,"杭州知识跳跳科技有限公司")</f>
        <v/>
      </c>
      <c r="N89" s="89">
        <f>-SUMIFS('9月数据源'!$I:$I,'9月数据源'!$D:$D,$E89,'9月数据源'!$F:$F,"杭州知识跳跳科技有限公司")+SUMIFS('9月数据源'!$J:$J,'9月数据源'!$D:$D,$E89,'9月数据源'!$F:$F,"杭州知识跳跳科技有限公司")</f>
        <v/>
      </c>
      <c r="O89" s="89">
        <f>-SUMIFS('10月数据源'!$I:$I,'10月数据源'!$D:$D,$E89,'10月数据源'!$F:$F,"杭州知识跳跳科技有限公司")+SUMIFS('10月数据源'!$J:$J,'10月数据源'!$D:$D,$E89,'10月数据源'!$F:$F,"杭州知识跳跳科技有限公司")</f>
        <v/>
      </c>
      <c r="P89" s="89">
        <f>-SUMIFS('11月数据源'!$I:$I,'11月数据源'!$D:$D,$E89,'11月数据源'!$F:$F,"杭州知识跳跳科技有限公司")+SUMIFS('11月数据源'!$J:$J,'11月数据源'!$D:$D,$E89,'11月数据源'!$F:$F,"杭州知识跳跳科技有限公司")</f>
        <v/>
      </c>
      <c r="Q89" s="89">
        <f>-SUMIFS('12月数据源'!$I:$I,'12月数据源'!$D:$D,$E89,'12月数据源'!$F:$F,"杭州知识跳跳科技有限公司")+SUMIFS('12月数据源'!$J:$J,'12月数据源'!$D:$D,$E89,'12月数据源'!$F:$F,"杭州知识跳跳科技有限公司")</f>
        <v/>
      </c>
    </row>
    <row r="90" s="83">
      <c r="A90" s="5" t="inlineStr">
        <is>
          <t>研发支出</t>
        </is>
      </c>
      <c r="B90" s="6" t="inlineStr">
        <is>
          <t>服务器算法充值</t>
        </is>
      </c>
      <c r="D90" s="5" t="inlineStr">
        <is>
          <t>智普AI充值费用</t>
        </is>
      </c>
      <c r="E90" s="6" t="inlineStr">
        <is>
          <t>Q1504</t>
        </is>
      </c>
      <c r="F90" s="89">
        <f>-SUMIFS('1月数据源'!I:I,'1月数据源'!D:D,E90,'1月数据源'!F:F,"杭州知识跳跳科技有限公司")+SUMIFS('1月数据源'!J:J,'1月数据源'!D:D,E90,'1月数据源'!F:F,"杭州知识跳跳科技有限公司")</f>
        <v/>
      </c>
      <c r="G90" s="89">
        <f>-SUMIFS('2月数据源'!$I:$I,'2月数据源'!$D:$D,$E90,'2月数据源'!$F:$F,"杭州知识跳跳科技有限公司")+SUMIFS('2月数据源'!$J:$J,'2月数据源'!$D:$D,$E90,'2月数据源'!$F:$F,"杭州知识跳跳科技有限公司")</f>
        <v/>
      </c>
      <c r="H90" s="89">
        <f>-SUMIFS('3月数据源'!$I:$I,'3月数据源'!$D:$D,$E90,'3月数据源'!$F:$F,"杭州知识跳跳科技有限公司")+SUMIFS('3月数据源'!$J:$J,'3月数据源'!$D:$D,$E90,'3月数据源'!$F:$F,"杭州知识跳跳科技有限公司")</f>
        <v/>
      </c>
      <c r="I90" s="89">
        <f>-SUMIFS('4月数据源'!$I:$I,'4月数据源'!$D:$D,$E90,'4月数据源'!$F:$F,"杭州知识跳跳科技有限公司")+SUMIFS('4月数据源'!$J:$J,'4月数据源'!$D:$D,$E90,'4月数据源'!$F:$F,"杭州知识跳跳科技有限公司")</f>
        <v/>
      </c>
      <c r="J90" s="89">
        <f>-SUMIFS('5月数据源'!$I:$I,'5月数据源'!$D:$D,$E90,'5月数据源'!$F:$F,"杭州知识跳跳科技有限公司")+SUMIFS('5月数据源'!$J:$J,'5月数据源'!$D:$D,$E90,'5月数据源'!$F:$F,"杭州知识跳跳科技有限公司")</f>
        <v/>
      </c>
      <c r="K90" s="89">
        <f>-SUMIFS('6月数据源'!$I:$I,'6月数据源'!$D:$D,$E90,'6月数据源'!$F:$F,"杭州知识跳跳科技有限公司")+SUMIFS('6月数据源'!$J:$J,'6月数据源'!$D:$D,$E90,'6月数据源'!$F:$F,"杭州知识跳跳科技有限公司")</f>
        <v/>
      </c>
      <c r="L90" s="89">
        <f>-SUMIFS('7月数据源'!$I:$I,'7月数据源'!$D:$D,$E90,'7月数据源'!$F:$F,"杭州知识跳跳科技有限公司")+SUMIFS('7月数据源'!$J:$J,'7月数据源'!$D:$D,$E90,'7月数据源'!$F:$F,"杭州知识跳跳科技有限公司")</f>
        <v/>
      </c>
      <c r="M90" s="89">
        <f>-SUMIFS('8月数据源'!$I:$I,'8月数据源'!$D:$D,$E90,'8月数据源'!$F:$F,"杭州知识跳跳科技有限公司")+SUMIFS('8月数据源'!$J:$J,'8月数据源'!$D:$D,$E90,'8月数据源'!$F:$F,"杭州知识跳跳科技有限公司")</f>
        <v/>
      </c>
      <c r="N90" s="89">
        <f>-SUMIFS('9月数据源'!$I:$I,'9月数据源'!$D:$D,$E90,'9月数据源'!$F:$F,"杭州知识跳跳科技有限公司")+SUMIFS('9月数据源'!$J:$J,'9月数据源'!$D:$D,$E90,'9月数据源'!$F:$F,"杭州知识跳跳科技有限公司")</f>
        <v/>
      </c>
      <c r="O90" s="89">
        <f>-SUMIFS('10月数据源'!$I:$I,'10月数据源'!$D:$D,$E90,'10月数据源'!$F:$F,"杭州知识跳跳科技有限公司")+SUMIFS('10月数据源'!$J:$J,'10月数据源'!$D:$D,$E90,'10月数据源'!$F:$F,"杭州知识跳跳科技有限公司")</f>
        <v/>
      </c>
      <c r="P90" s="89">
        <f>-SUMIFS('11月数据源'!$I:$I,'11月数据源'!$D:$D,$E90,'11月数据源'!$F:$F,"杭州知识跳跳科技有限公司")+SUMIFS('11月数据源'!$J:$J,'11月数据源'!$D:$D,$E90,'11月数据源'!$F:$F,"杭州知识跳跳科技有限公司")</f>
        <v/>
      </c>
      <c r="Q90" s="89">
        <f>-SUMIFS('12月数据源'!$I:$I,'12月数据源'!$D:$D,$E90,'12月数据源'!$F:$F,"杭州知识跳跳科技有限公司")+SUMIFS('12月数据源'!$J:$J,'12月数据源'!$D:$D,$E90,'12月数据源'!$F:$F,"杭州知识跳跳科技有限公司")</f>
        <v/>
      </c>
    </row>
    <row r="91" s="83">
      <c r="A91" s="5" t="inlineStr">
        <is>
          <t>研发支出</t>
        </is>
      </c>
      <c r="B91" s="6" t="inlineStr">
        <is>
          <t>服务器算法充值</t>
        </is>
      </c>
      <c r="D91" s="5" t="inlineStr">
        <is>
          <t>硅基流动充值费用</t>
        </is>
      </c>
      <c r="E91" s="6" t="inlineStr">
        <is>
          <t>Q1506</t>
        </is>
      </c>
      <c r="F91" s="89">
        <f>-SUMIFS('1月数据源'!I:I,'1月数据源'!D:D,E91,'1月数据源'!F:F,"杭州知识跳跳科技有限公司")+SUMIFS('1月数据源'!J:J,'1月数据源'!D:D,E91,'1月数据源'!F:F,"杭州知识跳跳科技有限公司")</f>
        <v/>
      </c>
      <c r="G91" s="89">
        <f>-SUMIFS('2月数据源'!$I:$I,'2月数据源'!$D:$D,$E91,'2月数据源'!$F:$F,"杭州知识跳跳科技有限公司")+SUMIFS('2月数据源'!$J:$J,'2月数据源'!$D:$D,$E91,'2月数据源'!$F:$F,"杭州知识跳跳科技有限公司")</f>
        <v/>
      </c>
      <c r="H91" s="89">
        <f>-SUMIFS('3月数据源'!$I:$I,'3月数据源'!$D:$D,$E91,'3月数据源'!$F:$F,"杭州知识跳跳科技有限公司")+SUMIFS('3月数据源'!$J:$J,'3月数据源'!$D:$D,$E91,'3月数据源'!$F:$F,"杭州知识跳跳科技有限公司")</f>
        <v/>
      </c>
      <c r="I91" s="89">
        <f>-SUMIFS('4月数据源'!$I:$I,'4月数据源'!$D:$D,$E91,'4月数据源'!$F:$F,"杭州知识跳跳科技有限公司")+SUMIFS('4月数据源'!$J:$J,'4月数据源'!$D:$D,$E91,'4月数据源'!$F:$F,"杭州知识跳跳科技有限公司")</f>
        <v/>
      </c>
      <c r="J91" s="89">
        <f>-SUMIFS('5月数据源'!$I:$I,'5月数据源'!$D:$D,$E91,'5月数据源'!$F:$F,"杭州知识跳跳科技有限公司")+SUMIFS('5月数据源'!$J:$J,'5月数据源'!$D:$D,$E91,'5月数据源'!$F:$F,"杭州知识跳跳科技有限公司")</f>
        <v/>
      </c>
      <c r="K91" s="89">
        <f>-SUMIFS('6月数据源'!$I:$I,'6月数据源'!$D:$D,$E91,'6月数据源'!$F:$F,"杭州知识跳跳科技有限公司")+SUMIFS('6月数据源'!$J:$J,'6月数据源'!$D:$D,$E91,'6月数据源'!$F:$F,"杭州知识跳跳科技有限公司")</f>
        <v/>
      </c>
      <c r="L91" s="89">
        <f>-SUMIFS('7月数据源'!$I:$I,'7月数据源'!$D:$D,$E91,'7月数据源'!$F:$F,"杭州知识跳跳科技有限公司")+SUMIFS('7月数据源'!$J:$J,'7月数据源'!$D:$D,$E91,'7月数据源'!$F:$F,"杭州知识跳跳科技有限公司")</f>
        <v/>
      </c>
      <c r="M91" s="89">
        <f>-SUMIFS('8月数据源'!$I:$I,'8月数据源'!$D:$D,$E91,'8月数据源'!$F:$F,"杭州知识跳跳科技有限公司")+SUMIFS('8月数据源'!$J:$J,'8月数据源'!$D:$D,$E91,'8月数据源'!$F:$F,"杭州知识跳跳科技有限公司")</f>
        <v/>
      </c>
      <c r="N91" s="89">
        <f>-SUMIFS('9月数据源'!$I:$I,'9月数据源'!$D:$D,$E91,'9月数据源'!$F:$F,"杭州知识跳跳科技有限公司")+SUMIFS('9月数据源'!$J:$J,'9月数据源'!$D:$D,$E91,'9月数据源'!$F:$F,"杭州知识跳跳科技有限公司")</f>
        <v/>
      </c>
      <c r="O91" s="89">
        <f>-SUMIFS('10月数据源'!$I:$I,'10月数据源'!$D:$D,$E91,'10月数据源'!$F:$F,"杭州知识跳跳科技有限公司")+SUMIFS('10月数据源'!$J:$J,'10月数据源'!$D:$D,$E91,'10月数据源'!$F:$F,"杭州知识跳跳科技有限公司")</f>
        <v/>
      </c>
      <c r="P91" s="89">
        <f>-SUMIFS('11月数据源'!$I:$I,'11月数据源'!$D:$D,$E91,'11月数据源'!$F:$F,"杭州知识跳跳科技有限公司")+SUMIFS('11月数据源'!$J:$J,'11月数据源'!$D:$D,$E91,'11月数据源'!$F:$F,"杭州知识跳跳科技有限公司")</f>
        <v/>
      </c>
      <c r="Q91" s="89">
        <f>-SUMIFS('12月数据源'!$I:$I,'12月数据源'!$D:$D,$E91,'12月数据源'!$F:$F,"杭州知识跳跳科技有限公司")+SUMIFS('12月数据源'!$J:$J,'12月数据源'!$D:$D,$E91,'12月数据源'!$F:$F,"杭州知识跳跳科技有限公司")</f>
        <v/>
      </c>
    </row>
    <row r="92" s="83">
      <c r="A92" s="5" t="inlineStr">
        <is>
          <t>研发支出</t>
        </is>
      </c>
      <c r="B92" s="6" t="inlineStr">
        <is>
          <t>服务器算法充值</t>
        </is>
      </c>
      <c r="D92" s="5" t="inlineStr">
        <is>
          <t>无问芯穹充值费用</t>
        </is>
      </c>
      <c r="E92" s="6" t="inlineStr">
        <is>
          <t>Q1507</t>
        </is>
      </c>
      <c r="F92" s="89">
        <f>-SUMIFS('1月数据源'!I:I,'1月数据源'!D:D,E92,'1月数据源'!F:F,"杭州知识跳跳科技有限公司")+SUMIFS('1月数据源'!J:J,'1月数据源'!D:D,E92,'1月数据源'!F:F,"杭州知识跳跳科技有限公司")</f>
        <v/>
      </c>
      <c r="G92" s="89">
        <f>-SUMIFS('2月数据源'!$I:$I,'2月数据源'!$D:$D,$E92,'2月数据源'!$F:$F,"杭州知识跳跳科技有限公司")+SUMIFS('2月数据源'!$J:$J,'2月数据源'!$D:$D,$E92,'2月数据源'!$F:$F,"杭州知识跳跳科技有限公司")</f>
        <v/>
      </c>
      <c r="H92" s="89">
        <f>-SUMIFS('3月数据源'!$I:$I,'3月数据源'!$D:$D,$E92,'3月数据源'!$F:$F,"杭州知识跳跳科技有限公司")+SUMIFS('3月数据源'!$J:$J,'3月数据源'!$D:$D,$E92,'3月数据源'!$F:$F,"杭州知识跳跳科技有限公司")</f>
        <v/>
      </c>
      <c r="I92" s="89">
        <f>-SUMIFS('4月数据源'!$I:$I,'4月数据源'!$D:$D,$E92,'4月数据源'!$F:$F,"杭州知识跳跳科技有限公司")+SUMIFS('4月数据源'!$J:$J,'4月数据源'!$D:$D,$E92,'4月数据源'!$F:$F,"杭州知识跳跳科技有限公司")</f>
        <v/>
      </c>
      <c r="J92" s="89">
        <f>-SUMIFS('5月数据源'!$I:$I,'5月数据源'!$D:$D,$E92,'5月数据源'!$F:$F,"杭州知识跳跳科技有限公司")+SUMIFS('5月数据源'!$J:$J,'5月数据源'!$D:$D,$E92,'5月数据源'!$F:$F,"杭州知识跳跳科技有限公司")</f>
        <v/>
      </c>
      <c r="K92" s="89">
        <f>-SUMIFS('6月数据源'!$I:$I,'6月数据源'!$D:$D,$E92,'6月数据源'!$F:$F,"杭州知识跳跳科技有限公司")+SUMIFS('6月数据源'!$J:$J,'6月数据源'!$D:$D,$E92,'6月数据源'!$F:$F,"杭州知识跳跳科技有限公司")</f>
        <v/>
      </c>
      <c r="L92" s="89">
        <f>-SUMIFS('7月数据源'!$I:$I,'7月数据源'!$D:$D,$E92,'7月数据源'!$F:$F,"杭州知识跳跳科技有限公司")+SUMIFS('7月数据源'!$J:$J,'7月数据源'!$D:$D,$E92,'7月数据源'!$F:$F,"杭州知识跳跳科技有限公司")</f>
        <v/>
      </c>
      <c r="M92" s="89">
        <f>-SUMIFS('8月数据源'!$I:$I,'8月数据源'!$D:$D,$E92,'8月数据源'!$F:$F,"杭州知识跳跳科技有限公司")+SUMIFS('8月数据源'!$J:$J,'8月数据源'!$D:$D,$E92,'8月数据源'!$F:$F,"杭州知识跳跳科技有限公司")</f>
        <v/>
      </c>
      <c r="N92" s="89">
        <f>-SUMIFS('9月数据源'!$I:$I,'9月数据源'!$D:$D,$E92,'9月数据源'!$F:$F,"杭州知识跳跳科技有限公司")+SUMIFS('9月数据源'!$J:$J,'9月数据源'!$D:$D,$E92,'9月数据源'!$F:$F,"杭州知识跳跳科技有限公司")</f>
        <v/>
      </c>
      <c r="O92" s="89">
        <f>-SUMIFS('10月数据源'!$I:$I,'10月数据源'!$D:$D,$E92,'10月数据源'!$F:$F,"杭州知识跳跳科技有限公司")+SUMIFS('10月数据源'!$J:$J,'10月数据源'!$D:$D,$E92,'10月数据源'!$F:$F,"杭州知识跳跳科技有限公司")</f>
        <v/>
      </c>
      <c r="P92" s="89">
        <f>-SUMIFS('11月数据源'!$I:$I,'11月数据源'!$D:$D,$E92,'11月数据源'!$F:$F,"杭州知识跳跳科技有限公司")+SUMIFS('11月数据源'!$J:$J,'11月数据源'!$D:$D,$E92,'11月数据源'!$F:$F,"杭州知识跳跳科技有限公司")</f>
        <v/>
      </c>
      <c r="Q92" s="89">
        <f>-SUMIFS('12月数据源'!$I:$I,'12月数据源'!$D:$D,$E92,'12月数据源'!$F:$F,"杭州知识跳跳科技有限公司")+SUMIFS('12月数据源'!$J:$J,'12月数据源'!$D:$D,$E92,'12月数据源'!$F:$F,"杭州知识跳跳科技有限公司")</f>
        <v/>
      </c>
    </row>
    <row r="93" s="83">
      <c r="A93" s="5" t="inlineStr">
        <is>
          <t>研发支出</t>
        </is>
      </c>
      <c r="B93" s="6" t="inlineStr">
        <is>
          <t>服务器算法充值</t>
        </is>
      </c>
      <c r="D93" s="5" t="inlineStr">
        <is>
          <t>其他服务器算法充值</t>
        </is>
      </c>
      <c r="E93" s="6" t="inlineStr">
        <is>
          <t>Q1505</t>
        </is>
      </c>
      <c r="F93" s="89">
        <f>-SUMIFS('1月数据源'!I:I,'1月数据源'!D:D,E93,'1月数据源'!F:F,"杭州知识跳跳科技有限公司")+SUMIFS('1月数据源'!J:J,'1月数据源'!D:D,E93,'1月数据源'!F:F,"杭州知识跳跳科技有限公司")</f>
        <v/>
      </c>
      <c r="G93" s="89">
        <f>-SUMIFS('2月数据源'!$I:$I,'2月数据源'!$D:$D,$E93,'2月数据源'!$F:$F,"杭州知识跳跳科技有限公司")+SUMIFS('2月数据源'!$J:$J,'2月数据源'!$D:$D,$E93,'2月数据源'!$F:$F,"杭州知识跳跳科技有限公司")</f>
        <v/>
      </c>
      <c r="H93" s="89">
        <f>-SUMIFS('3月数据源'!$I:$I,'3月数据源'!$D:$D,$E93,'3月数据源'!$F:$F,"杭州知识跳跳科技有限公司")+SUMIFS('3月数据源'!$J:$J,'3月数据源'!$D:$D,$E93,'3月数据源'!$F:$F,"杭州知识跳跳科技有限公司")</f>
        <v/>
      </c>
      <c r="I93" s="89">
        <f>-SUMIFS('4月数据源'!$I:$I,'4月数据源'!$D:$D,$E93,'4月数据源'!$F:$F,"杭州知识跳跳科技有限公司")+SUMIFS('4月数据源'!$J:$J,'4月数据源'!$D:$D,$E93,'4月数据源'!$F:$F,"杭州知识跳跳科技有限公司")</f>
        <v/>
      </c>
      <c r="J93" s="89">
        <f>-SUMIFS('5月数据源'!$I:$I,'5月数据源'!$D:$D,$E93,'5月数据源'!$F:$F,"杭州知识跳跳科技有限公司")+SUMIFS('5月数据源'!$J:$J,'5月数据源'!$D:$D,$E93,'5月数据源'!$F:$F,"杭州知识跳跳科技有限公司")</f>
        <v/>
      </c>
      <c r="K93" s="89">
        <f>-SUMIFS('6月数据源'!$I:$I,'6月数据源'!$D:$D,$E93,'6月数据源'!$F:$F,"杭州知识跳跳科技有限公司")+SUMIFS('6月数据源'!$J:$J,'6月数据源'!$D:$D,$E93,'6月数据源'!$F:$F,"杭州知识跳跳科技有限公司")</f>
        <v/>
      </c>
      <c r="L93" s="89">
        <f>-SUMIFS('7月数据源'!$I:$I,'7月数据源'!$D:$D,$E93,'7月数据源'!$F:$F,"杭州知识跳跳科技有限公司")+SUMIFS('7月数据源'!$J:$J,'7月数据源'!$D:$D,$E93,'7月数据源'!$F:$F,"杭州知识跳跳科技有限公司")</f>
        <v/>
      </c>
      <c r="M93" s="89">
        <f>-SUMIFS('8月数据源'!$I:$I,'8月数据源'!$D:$D,$E93,'8月数据源'!$F:$F,"杭州知识跳跳科技有限公司")+SUMIFS('8月数据源'!$J:$J,'8月数据源'!$D:$D,$E93,'8月数据源'!$F:$F,"杭州知识跳跳科技有限公司")</f>
        <v/>
      </c>
      <c r="N93" s="89">
        <f>-SUMIFS('9月数据源'!$I:$I,'9月数据源'!$D:$D,$E93,'9月数据源'!$F:$F,"杭州知识跳跳科技有限公司")+SUMIFS('9月数据源'!$J:$J,'9月数据源'!$D:$D,$E93,'9月数据源'!$F:$F,"杭州知识跳跳科技有限公司")</f>
        <v/>
      </c>
      <c r="O93" s="89">
        <f>-SUMIFS('10月数据源'!$I:$I,'10月数据源'!$D:$D,$E93,'10月数据源'!$F:$F,"杭州知识跳跳科技有限公司")+SUMIFS('10月数据源'!$J:$J,'10月数据源'!$D:$D,$E93,'10月数据源'!$F:$F,"杭州知识跳跳科技有限公司")</f>
        <v/>
      </c>
      <c r="P93" s="89">
        <f>-SUMIFS('11月数据源'!$I:$I,'11月数据源'!$D:$D,$E93,'11月数据源'!$F:$F,"杭州知识跳跳科技有限公司")+SUMIFS('11月数据源'!$J:$J,'11月数据源'!$D:$D,$E93,'11月数据源'!$F:$F,"杭州知识跳跳科技有限公司")</f>
        <v/>
      </c>
      <c r="Q93" s="89">
        <f>-SUMIFS('12月数据源'!$I:$I,'12月数据源'!$D:$D,$E93,'12月数据源'!$F:$F,"杭州知识跳跳科技有限公司")+SUMIFS('12月数据源'!$J:$J,'12月数据源'!$D:$D,$E93,'12月数据源'!$F:$F,"杭州知识跳跳科技有限公司")</f>
        <v/>
      </c>
    </row>
    <row r="94" s="83">
      <c r="A94" s="5" t="inlineStr">
        <is>
          <t>研发支出</t>
        </is>
      </c>
      <c r="B94" s="6" t="inlineStr">
        <is>
          <t>研发-服务费</t>
        </is>
      </c>
      <c r="C94" s="6" t="inlineStr">
        <is>
          <t>研发-服务费</t>
        </is>
      </c>
      <c r="D94" s="5" t="inlineStr">
        <is>
          <t>设计外包服务费</t>
        </is>
      </c>
      <c r="E94" s="6" t="inlineStr">
        <is>
          <t>Q1601</t>
        </is>
      </c>
      <c r="F94" s="89">
        <f>-SUMIFS('1月数据源'!I:I,'1月数据源'!D:D,E94,'1月数据源'!F:F,"杭州知识跳跳科技有限公司")+SUMIFS('1月数据源'!J:J,'1月数据源'!D:D,E94,'1月数据源'!F:F,"杭州知识跳跳科技有限公司")</f>
        <v/>
      </c>
      <c r="G94" s="89">
        <f>-SUMIFS('2月数据源'!$I:$I,'2月数据源'!$D:$D,$E94,'2月数据源'!$F:$F,"杭州知识跳跳科技有限公司")+SUMIFS('2月数据源'!$J:$J,'2月数据源'!$D:$D,$E94,'2月数据源'!$F:$F,"杭州知识跳跳科技有限公司")</f>
        <v/>
      </c>
      <c r="H94" s="89">
        <f>-SUMIFS('3月数据源'!$I:$I,'3月数据源'!$D:$D,$E94,'3月数据源'!$F:$F,"杭州知识跳跳科技有限公司")+SUMIFS('3月数据源'!$J:$J,'3月数据源'!$D:$D,$E94,'3月数据源'!$F:$F,"杭州知识跳跳科技有限公司")</f>
        <v/>
      </c>
      <c r="I94" s="89">
        <f>-SUMIFS('4月数据源'!$I:$I,'4月数据源'!$D:$D,$E94,'4月数据源'!$F:$F,"杭州知识跳跳科技有限公司")+SUMIFS('4月数据源'!$J:$J,'4月数据源'!$D:$D,$E94,'4月数据源'!$F:$F,"杭州知识跳跳科技有限公司")</f>
        <v/>
      </c>
      <c r="J94" s="89">
        <f>-SUMIFS('5月数据源'!$I:$I,'5月数据源'!$D:$D,$E94,'5月数据源'!$F:$F,"杭州知识跳跳科技有限公司")+SUMIFS('5月数据源'!$J:$J,'5月数据源'!$D:$D,$E94,'5月数据源'!$F:$F,"杭州知识跳跳科技有限公司")</f>
        <v/>
      </c>
      <c r="K94" s="89">
        <f>-SUMIFS('6月数据源'!$I:$I,'6月数据源'!$D:$D,$E94,'6月数据源'!$F:$F,"杭州知识跳跳科技有限公司")+SUMIFS('6月数据源'!$J:$J,'6月数据源'!$D:$D,$E94,'6月数据源'!$F:$F,"杭州知识跳跳科技有限公司")</f>
        <v/>
      </c>
      <c r="L94" s="89">
        <f>-SUMIFS('7月数据源'!$I:$I,'7月数据源'!$D:$D,$E94,'7月数据源'!$F:$F,"杭州知识跳跳科技有限公司")+SUMIFS('7月数据源'!$J:$J,'7月数据源'!$D:$D,$E94,'7月数据源'!$F:$F,"杭州知识跳跳科技有限公司")</f>
        <v/>
      </c>
      <c r="M94" s="89">
        <f>-SUMIFS('8月数据源'!$I:$I,'8月数据源'!$D:$D,$E94,'8月数据源'!$F:$F,"杭州知识跳跳科技有限公司")+SUMIFS('8月数据源'!$J:$J,'8月数据源'!$D:$D,$E94,'8月数据源'!$F:$F,"杭州知识跳跳科技有限公司")</f>
        <v/>
      </c>
      <c r="N94" s="89">
        <f>-SUMIFS('9月数据源'!$I:$I,'9月数据源'!$D:$D,$E94,'9月数据源'!$F:$F,"杭州知识跳跳科技有限公司")+SUMIFS('9月数据源'!$J:$J,'9月数据源'!$D:$D,$E94,'9月数据源'!$F:$F,"杭州知识跳跳科技有限公司")</f>
        <v/>
      </c>
      <c r="O94" s="89">
        <f>-SUMIFS('10月数据源'!$I:$I,'10月数据源'!$D:$D,$E94,'10月数据源'!$F:$F,"杭州知识跳跳科技有限公司")+SUMIFS('10月数据源'!$J:$J,'10月数据源'!$D:$D,$E94,'10月数据源'!$F:$F,"杭州知识跳跳科技有限公司")</f>
        <v/>
      </c>
      <c r="P94" s="89">
        <f>-SUMIFS('11月数据源'!$I:$I,'11月数据源'!$D:$D,$E94,'11月数据源'!$F:$F,"杭州知识跳跳科技有限公司")+SUMIFS('11月数据源'!$J:$J,'11月数据源'!$D:$D,$E94,'11月数据源'!$F:$F,"杭州知识跳跳科技有限公司")</f>
        <v/>
      </c>
      <c r="Q94" s="89">
        <f>-SUMIFS('12月数据源'!$I:$I,'12月数据源'!$D:$D,$E94,'12月数据源'!$F:$F,"杭州知识跳跳科技有限公司")+SUMIFS('12月数据源'!$J:$J,'12月数据源'!$D:$D,$E94,'12月数据源'!$F:$F,"杭州知识跳跳科技有限公司")</f>
        <v/>
      </c>
    </row>
    <row r="95" s="83">
      <c r="A95" s="5" t="inlineStr">
        <is>
          <t>研发支出</t>
        </is>
      </c>
      <c r="B95" s="6" t="inlineStr">
        <is>
          <t>研发-服务费</t>
        </is>
      </c>
      <c r="D95" s="5" t="inlineStr">
        <is>
          <t>AI技术外包服务费</t>
        </is>
      </c>
      <c r="E95" s="6" t="inlineStr">
        <is>
          <t>Q1602</t>
        </is>
      </c>
      <c r="F95" s="89">
        <f>-SUMIFS('1月数据源'!I:I,'1月数据源'!D:D,E95,'1月数据源'!F:F,"杭州知识跳跳科技有限公司")+SUMIFS('1月数据源'!J:J,'1月数据源'!D:D,E95,'1月数据源'!F:F,"杭州知识跳跳科技有限公司")</f>
        <v/>
      </c>
      <c r="G95" s="89">
        <f>-SUMIFS('2月数据源'!$I:$I,'2月数据源'!$D:$D,$E95,'2月数据源'!$F:$F,"杭州知识跳跳科技有限公司")+SUMIFS('2月数据源'!$J:$J,'2月数据源'!$D:$D,$E95,'2月数据源'!$F:$F,"杭州知识跳跳科技有限公司")</f>
        <v/>
      </c>
      <c r="H95" s="89">
        <f>-SUMIFS('3月数据源'!$I:$I,'3月数据源'!$D:$D,$E95,'3月数据源'!$F:$F,"杭州知识跳跳科技有限公司")+SUMIFS('3月数据源'!$J:$J,'3月数据源'!$D:$D,$E95,'3月数据源'!$F:$F,"杭州知识跳跳科技有限公司")</f>
        <v/>
      </c>
      <c r="I95" s="89">
        <f>-SUMIFS('4月数据源'!$I:$I,'4月数据源'!$D:$D,$E95,'4月数据源'!$F:$F,"杭州知识跳跳科技有限公司")+SUMIFS('4月数据源'!$J:$J,'4月数据源'!$D:$D,$E95,'4月数据源'!$F:$F,"杭州知识跳跳科技有限公司")</f>
        <v/>
      </c>
      <c r="J95" s="89">
        <f>-SUMIFS('5月数据源'!$I:$I,'5月数据源'!$D:$D,$E95,'5月数据源'!$F:$F,"杭州知识跳跳科技有限公司")+SUMIFS('5月数据源'!$J:$J,'5月数据源'!$D:$D,$E95,'5月数据源'!$F:$F,"杭州知识跳跳科技有限公司")</f>
        <v/>
      </c>
      <c r="K95" s="89">
        <f>-SUMIFS('6月数据源'!$I:$I,'6月数据源'!$D:$D,$E95,'6月数据源'!$F:$F,"杭州知识跳跳科技有限公司")+SUMIFS('6月数据源'!$J:$J,'6月数据源'!$D:$D,$E95,'6月数据源'!$F:$F,"杭州知识跳跳科技有限公司")</f>
        <v/>
      </c>
      <c r="L95" s="89">
        <f>-SUMIFS('7月数据源'!$I:$I,'7月数据源'!$D:$D,$E95,'7月数据源'!$F:$F,"杭州知识跳跳科技有限公司")+SUMIFS('7月数据源'!$J:$J,'7月数据源'!$D:$D,$E95,'7月数据源'!$F:$F,"杭州知识跳跳科技有限公司")</f>
        <v/>
      </c>
      <c r="M95" s="89">
        <f>-SUMIFS('8月数据源'!$I:$I,'8月数据源'!$D:$D,$E95,'8月数据源'!$F:$F,"杭州知识跳跳科技有限公司")+SUMIFS('8月数据源'!$J:$J,'8月数据源'!$D:$D,$E95,'8月数据源'!$F:$F,"杭州知识跳跳科技有限公司")</f>
        <v/>
      </c>
      <c r="N95" s="89">
        <f>-SUMIFS('9月数据源'!$I:$I,'9月数据源'!$D:$D,$E95,'9月数据源'!$F:$F,"杭州知识跳跳科技有限公司")+SUMIFS('9月数据源'!$J:$J,'9月数据源'!$D:$D,$E95,'9月数据源'!$F:$F,"杭州知识跳跳科技有限公司")</f>
        <v/>
      </c>
      <c r="O95" s="89">
        <f>-SUMIFS('10月数据源'!$I:$I,'10月数据源'!$D:$D,$E95,'10月数据源'!$F:$F,"杭州知识跳跳科技有限公司")+SUMIFS('10月数据源'!$J:$J,'10月数据源'!$D:$D,$E95,'10月数据源'!$F:$F,"杭州知识跳跳科技有限公司")</f>
        <v/>
      </c>
      <c r="P95" s="89">
        <f>-SUMIFS('11月数据源'!$I:$I,'11月数据源'!$D:$D,$E95,'11月数据源'!$F:$F,"杭州知识跳跳科技有限公司")+SUMIFS('11月数据源'!$J:$J,'11月数据源'!$D:$D,$E95,'11月数据源'!$F:$F,"杭州知识跳跳科技有限公司")</f>
        <v/>
      </c>
      <c r="Q95" s="89">
        <f>-SUMIFS('12月数据源'!$I:$I,'12月数据源'!$D:$D,$E95,'12月数据源'!$F:$F,"杭州知识跳跳科技有限公司")+SUMIFS('12月数据源'!$J:$J,'12月数据源'!$D:$D,$E95,'12月数据源'!$F:$F,"杭州知识跳跳科技有限公司")</f>
        <v/>
      </c>
    </row>
    <row r="96" s="83">
      <c r="A96" s="5" t="inlineStr">
        <is>
          <t>研发支出</t>
        </is>
      </c>
      <c r="B96" s="6" t="inlineStr">
        <is>
          <t>研发-服务费</t>
        </is>
      </c>
      <c r="D96" s="5" t="inlineStr">
        <is>
          <t>知识产权服务费</t>
        </is>
      </c>
      <c r="E96" s="6" t="inlineStr">
        <is>
          <t>Q1603</t>
        </is>
      </c>
      <c r="F96" s="89">
        <f>-SUMIFS('1月数据源'!I:I,'1月数据源'!D:D,E96,'1月数据源'!F:F,"杭州知识跳跳科技有限公司")+SUMIFS('1月数据源'!J:J,'1月数据源'!D:D,E96,'1月数据源'!F:F,"杭州知识跳跳科技有限公司")</f>
        <v/>
      </c>
      <c r="G96" s="89">
        <f>-SUMIFS('2月数据源'!$I:$I,'2月数据源'!$D:$D,$E96,'2月数据源'!$F:$F,"杭州知识跳跳科技有限公司")+SUMIFS('2月数据源'!$J:$J,'2月数据源'!$D:$D,$E96,'2月数据源'!$F:$F,"杭州知识跳跳科技有限公司")</f>
        <v/>
      </c>
      <c r="H96" s="89">
        <f>-SUMIFS('3月数据源'!$I:$I,'3月数据源'!$D:$D,$E96,'3月数据源'!$F:$F,"杭州知识跳跳科技有限公司")+SUMIFS('3月数据源'!$J:$J,'3月数据源'!$D:$D,$E96,'3月数据源'!$F:$F,"杭州知识跳跳科技有限公司")</f>
        <v/>
      </c>
      <c r="I96" s="89">
        <f>-SUMIFS('4月数据源'!$I:$I,'4月数据源'!$D:$D,$E96,'4月数据源'!$F:$F,"杭州知识跳跳科技有限公司")+SUMIFS('4月数据源'!$J:$J,'4月数据源'!$D:$D,$E96,'4月数据源'!$F:$F,"杭州知识跳跳科技有限公司")</f>
        <v/>
      </c>
      <c r="J96" s="89">
        <f>-SUMIFS('5月数据源'!$I:$I,'5月数据源'!$D:$D,$E96,'5月数据源'!$F:$F,"杭州知识跳跳科技有限公司")+SUMIFS('5月数据源'!$J:$J,'5月数据源'!$D:$D,$E96,'5月数据源'!$F:$F,"杭州知识跳跳科技有限公司")</f>
        <v/>
      </c>
      <c r="K96" s="89">
        <f>-SUMIFS('6月数据源'!$I:$I,'6月数据源'!$D:$D,$E96,'6月数据源'!$F:$F,"杭州知识跳跳科技有限公司")+SUMIFS('6月数据源'!$J:$J,'6月数据源'!$D:$D,$E96,'6月数据源'!$F:$F,"杭州知识跳跳科技有限公司")</f>
        <v/>
      </c>
      <c r="L96" s="89">
        <f>-SUMIFS('7月数据源'!$I:$I,'7月数据源'!$D:$D,$E96,'7月数据源'!$F:$F,"杭州知识跳跳科技有限公司")+SUMIFS('7月数据源'!$J:$J,'7月数据源'!$D:$D,$E96,'7月数据源'!$F:$F,"杭州知识跳跳科技有限公司")</f>
        <v/>
      </c>
      <c r="M96" s="89">
        <f>-SUMIFS('8月数据源'!$I:$I,'8月数据源'!$D:$D,$E96,'8月数据源'!$F:$F,"杭州知识跳跳科技有限公司")+SUMIFS('8月数据源'!$J:$J,'8月数据源'!$D:$D,$E96,'8月数据源'!$F:$F,"杭州知识跳跳科技有限公司")</f>
        <v/>
      </c>
      <c r="N96" s="89">
        <f>-SUMIFS('9月数据源'!$I:$I,'9月数据源'!$D:$D,$E96,'9月数据源'!$F:$F,"杭州知识跳跳科技有限公司")+SUMIFS('9月数据源'!$J:$J,'9月数据源'!$D:$D,$E96,'9月数据源'!$F:$F,"杭州知识跳跳科技有限公司")</f>
        <v/>
      </c>
      <c r="O96" s="89">
        <f>-SUMIFS('10月数据源'!$I:$I,'10月数据源'!$D:$D,$E96,'10月数据源'!$F:$F,"杭州知识跳跳科技有限公司")+SUMIFS('10月数据源'!$J:$J,'10月数据源'!$D:$D,$E96,'10月数据源'!$F:$F,"杭州知识跳跳科技有限公司")</f>
        <v/>
      </c>
      <c r="P96" s="89">
        <f>-SUMIFS('11月数据源'!$I:$I,'11月数据源'!$D:$D,$E96,'11月数据源'!$F:$F,"杭州知识跳跳科技有限公司")+SUMIFS('11月数据源'!$J:$J,'11月数据源'!$D:$D,$E96,'11月数据源'!$F:$F,"杭州知识跳跳科技有限公司")</f>
        <v/>
      </c>
      <c r="Q96" s="89">
        <f>-SUMIFS('12月数据源'!$I:$I,'12月数据源'!$D:$D,$E96,'12月数据源'!$F:$F,"杭州知识跳跳科技有限公司")+SUMIFS('12月数据源'!$J:$J,'12月数据源'!$D:$D,$E96,'12月数据源'!$F:$F,"杭州知识跳跳科技有限公司")</f>
        <v/>
      </c>
    </row>
    <row r="97" s="83">
      <c r="A97" s="5" t="inlineStr">
        <is>
          <t>研发支出</t>
        </is>
      </c>
      <c r="B97" s="6" t="inlineStr">
        <is>
          <t>研发-费用报销</t>
        </is>
      </c>
      <c r="C97" s="6" t="inlineStr">
        <is>
          <t>研发-费用报销</t>
        </is>
      </c>
      <c r="D97" s="5" t="inlineStr">
        <is>
          <t>研发员工报销</t>
        </is>
      </c>
      <c r="E97" s="6" t="inlineStr">
        <is>
          <t>Q1701</t>
        </is>
      </c>
      <c r="F97" s="89">
        <f>-SUMIFS('1月数据源'!I:I,'1月数据源'!D:D,E97,'1月数据源'!F:F,"杭州知识跳跳科技有限公司")+SUMIFS('1月数据源'!J:J,'1月数据源'!D:D,E97,'1月数据源'!F:F,"杭州知识跳跳科技有限公司")</f>
        <v/>
      </c>
      <c r="G97" s="89">
        <f>-SUMIFS('2月数据源'!$I:$I,'2月数据源'!$D:$D,$E97,'2月数据源'!$F:$F,"杭州知识跳跳科技有限公司")+SUMIFS('2月数据源'!$J:$J,'2月数据源'!$D:$D,$E97,'2月数据源'!$F:$F,"杭州知识跳跳科技有限公司")</f>
        <v/>
      </c>
      <c r="H97" s="89">
        <f>-SUMIFS('3月数据源'!$I:$I,'3月数据源'!$D:$D,$E97,'3月数据源'!$F:$F,"杭州知识跳跳科技有限公司")+SUMIFS('3月数据源'!$J:$J,'3月数据源'!$D:$D,$E97,'3月数据源'!$F:$F,"杭州知识跳跳科技有限公司")</f>
        <v/>
      </c>
      <c r="I97" s="89">
        <f>-SUMIFS('4月数据源'!$I:$I,'4月数据源'!$D:$D,$E97,'4月数据源'!$F:$F,"杭州知识跳跳科技有限公司")+SUMIFS('4月数据源'!$J:$J,'4月数据源'!$D:$D,$E97,'4月数据源'!$F:$F,"杭州知识跳跳科技有限公司")</f>
        <v/>
      </c>
      <c r="J97" s="89">
        <f>-SUMIFS('5月数据源'!$I:$I,'5月数据源'!$D:$D,$E97,'5月数据源'!$F:$F,"杭州知识跳跳科技有限公司")+SUMIFS('5月数据源'!$J:$J,'5月数据源'!$D:$D,$E97,'5月数据源'!$F:$F,"杭州知识跳跳科技有限公司")</f>
        <v/>
      </c>
      <c r="K97" s="89">
        <f>-SUMIFS('6月数据源'!$I:$I,'6月数据源'!$D:$D,$E97,'6月数据源'!$F:$F,"杭州知识跳跳科技有限公司")+SUMIFS('6月数据源'!$J:$J,'6月数据源'!$D:$D,$E97,'6月数据源'!$F:$F,"杭州知识跳跳科技有限公司")</f>
        <v/>
      </c>
      <c r="L97" s="89">
        <f>-SUMIFS('7月数据源'!$I:$I,'7月数据源'!$D:$D,$E97,'7月数据源'!$F:$F,"杭州知识跳跳科技有限公司")+SUMIFS('7月数据源'!$J:$J,'7月数据源'!$D:$D,$E97,'7月数据源'!$F:$F,"杭州知识跳跳科技有限公司")</f>
        <v/>
      </c>
      <c r="M97" s="89">
        <f>-SUMIFS('8月数据源'!$I:$I,'8月数据源'!$D:$D,$E97,'8月数据源'!$F:$F,"杭州知识跳跳科技有限公司")+SUMIFS('8月数据源'!$J:$J,'8月数据源'!$D:$D,$E97,'8月数据源'!$F:$F,"杭州知识跳跳科技有限公司")</f>
        <v/>
      </c>
      <c r="N97" s="89">
        <f>-SUMIFS('9月数据源'!$I:$I,'9月数据源'!$D:$D,$E97,'9月数据源'!$F:$F,"杭州知识跳跳科技有限公司")+SUMIFS('9月数据源'!$J:$J,'9月数据源'!$D:$D,$E97,'9月数据源'!$F:$F,"杭州知识跳跳科技有限公司")</f>
        <v/>
      </c>
      <c r="O97" s="89">
        <f>-SUMIFS('10月数据源'!$I:$I,'10月数据源'!$D:$D,$E97,'10月数据源'!$F:$F,"杭州知识跳跳科技有限公司")+SUMIFS('10月数据源'!$J:$J,'10月数据源'!$D:$D,$E97,'10月数据源'!$F:$F,"杭州知识跳跳科技有限公司")</f>
        <v/>
      </c>
      <c r="P97" s="89">
        <f>-SUMIFS('11月数据源'!$I:$I,'11月数据源'!$D:$D,$E97,'11月数据源'!$F:$F,"杭州知识跳跳科技有限公司")+SUMIFS('11月数据源'!$J:$J,'11月数据源'!$D:$D,$E97,'11月数据源'!$F:$F,"杭州知识跳跳科技有限公司")</f>
        <v/>
      </c>
      <c r="Q97" s="89">
        <f>-SUMIFS('12月数据源'!$I:$I,'12月数据源'!$D:$D,$E97,'12月数据源'!$F:$F,"杭州知识跳跳科技有限公司")+SUMIFS('12月数据源'!$J:$J,'12月数据源'!$D:$D,$E97,'12月数据源'!$F:$F,"杭州知识跳跳科技有限公司")</f>
        <v/>
      </c>
    </row>
    <row r="98" s="83">
      <c r="A98" s="49" t="inlineStr">
        <is>
          <t>研发支出合计</t>
        </is>
      </c>
      <c r="B98" s="50" t="n"/>
      <c r="C98" s="50" t="n"/>
      <c r="D98" s="49" t="n"/>
      <c r="E98" s="49" t="n"/>
      <c r="F98" s="89">
        <f>SUM(F70:F97)</f>
        <v/>
      </c>
      <c r="G98" s="89">
        <f>SUM(G70:G97)</f>
        <v/>
      </c>
      <c r="H98" s="89">
        <f>SUM(H70:H97)</f>
        <v/>
      </c>
      <c r="I98" s="89">
        <f>SUM(I70:I97)</f>
        <v/>
      </c>
      <c r="J98" s="89">
        <f>SUM(J70:J97)</f>
        <v/>
      </c>
      <c r="K98" s="89">
        <f>SUM(K70:K97)</f>
        <v/>
      </c>
      <c r="L98" s="89">
        <f>SUM(L70:L97)</f>
        <v/>
      </c>
      <c r="M98" s="89">
        <f>SUM(M70:M97)</f>
        <v/>
      </c>
      <c r="N98" s="89">
        <f>SUM(N70:N97)</f>
        <v/>
      </c>
      <c r="O98" s="89">
        <f>SUM(O70:O97)</f>
        <v/>
      </c>
      <c r="P98" s="89">
        <f>SUM(P70:P97)</f>
        <v/>
      </c>
      <c r="Q98" s="89">
        <f>SUM(Q70:Q97)</f>
        <v/>
      </c>
    </row>
    <row r="99" s="83">
      <c r="A99" s="5" t="inlineStr">
        <is>
          <t>销售费用</t>
        </is>
      </c>
      <c r="B99" s="6" t="inlineStr">
        <is>
          <t>品牌建设</t>
        </is>
      </c>
      <c r="C99" s="6" t="inlineStr">
        <is>
          <t>品牌建设</t>
        </is>
      </c>
      <c r="D99" s="5" t="inlineStr">
        <is>
          <t>媒体采购</t>
        </is>
      </c>
      <c r="E99" s="6" t="inlineStr">
        <is>
          <t>Q1801</t>
        </is>
      </c>
      <c r="F99" s="89">
        <f>-SUMIFS('1月数据源'!I:I,'1月数据源'!D:D,E99,'1月数据源'!F:F,"杭州知识跳跳科技有限公司")+SUMIFS('1月数据源'!J:J,'1月数据源'!D:D,E99,'1月数据源'!F:F,"杭州知识跳跳科技有限公司")</f>
        <v/>
      </c>
      <c r="G99" s="89">
        <f>-SUMIFS('2月数据源'!$I:$I,'2月数据源'!$D:$D,$E99,'2月数据源'!$F:$F,"杭州知识跳跳科技有限公司")+SUMIFS('2月数据源'!$J:$J,'2月数据源'!$D:$D,$E99,'2月数据源'!$F:$F,"杭州知识跳跳科技有限公司")</f>
        <v/>
      </c>
      <c r="H99" s="89">
        <f>-SUMIFS('3月数据源'!$I:$I,'3月数据源'!$D:$D,$E99,'3月数据源'!$F:$F,"杭州知识跳跳科技有限公司")+SUMIFS('3月数据源'!$J:$J,'3月数据源'!$D:$D,$E99,'3月数据源'!$F:$F,"杭州知识跳跳科技有限公司")</f>
        <v/>
      </c>
      <c r="I99" s="89">
        <f>-SUMIFS('4月数据源'!$I:$I,'4月数据源'!$D:$D,$E99,'4月数据源'!$F:$F,"杭州知识跳跳科技有限公司")+SUMIFS('4月数据源'!$J:$J,'4月数据源'!$D:$D,$E99,'4月数据源'!$F:$F,"杭州知识跳跳科技有限公司")</f>
        <v/>
      </c>
      <c r="J99" s="89">
        <f>-SUMIFS('5月数据源'!$I:$I,'5月数据源'!$D:$D,$E99,'5月数据源'!$F:$F,"杭州知识跳跳科技有限公司")+SUMIFS('5月数据源'!$J:$J,'5月数据源'!$D:$D,$E99,'5月数据源'!$F:$F,"杭州知识跳跳科技有限公司")</f>
        <v/>
      </c>
      <c r="K99" s="89">
        <f>-SUMIFS('6月数据源'!$I:$I,'6月数据源'!$D:$D,$E99,'6月数据源'!$F:$F,"杭州知识跳跳科技有限公司")+SUMIFS('6月数据源'!$J:$J,'6月数据源'!$D:$D,$E99,'6月数据源'!$F:$F,"杭州知识跳跳科技有限公司")</f>
        <v/>
      </c>
      <c r="L99" s="89">
        <f>-SUMIFS('7月数据源'!$I:$I,'7月数据源'!$D:$D,$E99,'7月数据源'!$F:$F,"杭州知识跳跳科技有限公司")+SUMIFS('7月数据源'!$J:$J,'7月数据源'!$D:$D,$E99,'7月数据源'!$F:$F,"杭州知识跳跳科技有限公司")</f>
        <v/>
      </c>
      <c r="M99" s="89">
        <f>-SUMIFS('8月数据源'!$I:$I,'8月数据源'!$D:$D,$E99,'8月数据源'!$F:$F,"杭州知识跳跳科技有限公司")+SUMIFS('8月数据源'!$J:$J,'8月数据源'!$D:$D,$E99,'8月数据源'!$F:$F,"杭州知识跳跳科技有限公司")</f>
        <v/>
      </c>
      <c r="N99" s="89">
        <f>-SUMIFS('9月数据源'!$I:$I,'9月数据源'!$D:$D,$E99,'9月数据源'!$F:$F,"杭州知识跳跳科技有限公司")+SUMIFS('9月数据源'!$J:$J,'9月数据源'!$D:$D,$E99,'9月数据源'!$F:$F,"杭州知识跳跳科技有限公司")</f>
        <v/>
      </c>
      <c r="O99" s="89">
        <f>-SUMIFS('10月数据源'!$I:$I,'10月数据源'!$D:$D,$E99,'10月数据源'!$F:$F,"杭州知识跳跳科技有限公司")+SUMIFS('10月数据源'!$J:$J,'10月数据源'!$D:$D,$E99,'10月数据源'!$F:$F,"杭州知识跳跳科技有限公司")</f>
        <v/>
      </c>
      <c r="P99" s="89">
        <f>-SUMIFS('11月数据源'!$I:$I,'11月数据源'!$D:$D,$E99,'11月数据源'!$F:$F,"杭州知识跳跳科技有限公司")+SUMIFS('11月数据源'!$J:$J,'11月数据源'!$D:$D,$E99,'11月数据源'!$F:$F,"杭州知识跳跳科技有限公司")</f>
        <v/>
      </c>
      <c r="Q99" s="89">
        <f>-SUMIFS('12月数据源'!$I:$I,'12月数据源'!$D:$D,$E99,'12月数据源'!$F:$F,"杭州知识跳跳科技有限公司")+SUMIFS('12月数据源'!$J:$J,'12月数据源'!$D:$D,$E99,'12月数据源'!$F:$F,"杭州知识跳跳科技有限公司")</f>
        <v/>
      </c>
    </row>
    <row r="100" s="83">
      <c r="A100" s="5" t="inlineStr">
        <is>
          <t>销售费用</t>
        </is>
      </c>
      <c r="B100" s="6" t="inlineStr">
        <is>
          <t>品牌建设</t>
        </is>
      </c>
      <c r="D100" s="5" t="inlineStr">
        <is>
          <t>舆情服务</t>
        </is>
      </c>
      <c r="E100" s="6" t="inlineStr">
        <is>
          <t>Q1802</t>
        </is>
      </c>
      <c r="F100" s="89">
        <f>-SUMIFS('1月数据源'!I:I,'1月数据源'!D:D,E100,'1月数据源'!F:F,"杭州知识跳跳科技有限公司")+SUMIFS('1月数据源'!J:J,'1月数据源'!D:D,E100,'1月数据源'!F:F,"杭州知识跳跳科技有限公司")</f>
        <v/>
      </c>
      <c r="G100" s="89">
        <f>-SUMIFS('2月数据源'!$I:$I,'2月数据源'!$D:$D,$E100,'2月数据源'!$F:$F,"杭州知识跳跳科技有限公司")+SUMIFS('2月数据源'!$J:$J,'2月数据源'!$D:$D,$E100,'2月数据源'!$F:$F,"杭州知识跳跳科技有限公司")</f>
        <v/>
      </c>
      <c r="H100" s="89">
        <f>-SUMIFS('3月数据源'!$I:$I,'3月数据源'!$D:$D,$E100,'3月数据源'!$F:$F,"杭州知识跳跳科技有限公司")+SUMIFS('3月数据源'!$J:$J,'3月数据源'!$D:$D,$E100,'3月数据源'!$F:$F,"杭州知识跳跳科技有限公司")</f>
        <v/>
      </c>
      <c r="I100" s="89">
        <f>-SUMIFS('4月数据源'!$I:$I,'4月数据源'!$D:$D,$E100,'4月数据源'!$F:$F,"杭州知识跳跳科技有限公司")+SUMIFS('4月数据源'!$J:$J,'4月数据源'!$D:$D,$E100,'4月数据源'!$F:$F,"杭州知识跳跳科技有限公司")</f>
        <v/>
      </c>
      <c r="J100" s="89">
        <f>-SUMIFS('5月数据源'!$I:$I,'5月数据源'!$D:$D,$E100,'5月数据源'!$F:$F,"杭州知识跳跳科技有限公司")+SUMIFS('5月数据源'!$J:$J,'5月数据源'!$D:$D,$E100,'5月数据源'!$F:$F,"杭州知识跳跳科技有限公司")</f>
        <v/>
      </c>
      <c r="K100" s="89">
        <f>-SUMIFS('6月数据源'!$I:$I,'6月数据源'!$D:$D,$E100,'6月数据源'!$F:$F,"杭州知识跳跳科技有限公司")+SUMIFS('6月数据源'!$J:$J,'6月数据源'!$D:$D,$E100,'6月数据源'!$F:$F,"杭州知识跳跳科技有限公司")</f>
        <v/>
      </c>
      <c r="L100" s="89">
        <f>-SUMIFS('7月数据源'!$I:$I,'7月数据源'!$D:$D,$E100,'7月数据源'!$F:$F,"杭州知识跳跳科技有限公司")+SUMIFS('7月数据源'!$J:$J,'7月数据源'!$D:$D,$E100,'7月数据源'!$F:$F,"杭州知识跳跳科技有限公司")</f>
        <v/>
      </c>
      <c r="M100" s="89">
        <f>-SUMIFS('8月数据源'!$I:$I,'8月数据源'!$D:$D,$E100,'8月数据源'!$F:$F,"杭州知识跳跳科技有限公司")+SUMIFS('8月数据源'!$J:$J,'8月数据源'!$D:$D,$E100,'8月数据源'!$F:$F,"杭州知识跳跳科技有限公司")</f>
        <v/>
      </c>
      <c r="N100" s="89">
        <f>-SUMIFS('9月数据源'!$I:$I,'9月数据源'!$D:$D,$E100,'9月数据源'!$F:$F,"杭州知识跳跳科技有限公司")+SUMIFS('9月数据源'!$J:$J,'9月数据源'!$D:$D,$E100,'9月数据源'!$F:$F,"杭州知识跳跳科技有限公司")</f>
        <v/>
      </c>
      <c r="O100" s="89">
        <f>-SUMIFS('10月数据源'!$I:$I,'10月数据源'!$D:$D,$E100,'10月数据源'!$F:$F,"杭州知识跳跳科技有限公司")+SUMIFS('10月数据源'!$J:$J,'10月数据源'!$D:$D,$E100,'10月数据源'!$F:$F,"杭州知识跳跳科技有限公司")</f>
        <v/>
      </c>
      <c r="P100" s="89">
        <f>-SUMIFS('11月数据源'!$I:$I,'11月数据源'!$D:$D,$E100,'11月数据源'!$F:$F,"杭州知识跳跳科技有限公司")+SUMIFS('11月数据源'!$J:$J,'11月数据源'!$D:$D,$E100,'11月数据源'!$F:$F,"杭州知识跳跳科技有限公司")</f>
        <v/>
      </c>
      <c r="Q100" s="89">
        <f>-SUMIFS('12月数据源'!$I:$I,'12月数据源'!$D:$D,$E100,'12月数据源'!$F:$F,"杭州知识跳跳科技有限公司")+SUMIFS('12月数据源'!$J:$J,'12月数据源'!$D:$D,$E100,'12月数据源'!$F:$F,"杭州知识跳跳科技有限公司")</f>
        <v/>
      </c>
    </row>
    <row r="101" s="83">
      <c r="A101" s="5" t="inlineStr">
        <is>
          <t>销售费用</t>
        </is>
      </c>
      <c r="B101" s="6" t="inlineStr">
        <is>
          <t>品牌建设</t>
        </is>
      </c>
      <c r="D101" s="5" t="inlineStr">
        <is>
          <t>会务服务</t>
        </is>
      </c>
      <c r="E101" s="6" t="inlineStr">
        <is>
          <t>Q1803</t>
        </is>
      </c>
      <c r="F101" s="89">
        <f>-SUMIFS('1月数据源'!I:I,'1月数据源'!D:D,E101,'1月数据源'!F:F,"杭州知识跳跳科技有限公司")+SUMIFS('1月数据源'!J:J,'1月数据源'!D:D,E101,'1月数据源'!F:F,"杭州知识跳跳科技有限公司")</f>
        <v/>
      </c>
      <c r="G101" s="89">
        <f>-SUMIFS('2月数据源'!$I:$I,'2月数据源'!$D:$D,$E101,'2月数据源'!$F:$F,"杭州知识跳跳科技有限公司")+SUMIFS('2月数据源'!$J:$J,'2月数据源'!$D:$D,$E101,'2月数据源'!$F:$F,"杭州知识跳跳科技有限公司")</f>
        <v/>
      </c>
      <c r="H101" s="89">
        <f>-SUMIFS('3月数据源'!$I:$I,'3月数据源'!$D:$D,$E101,'3月数据源'!$F:$F,"杭州知识跳跳科技有限公司")+SUMIFS('3月数据源'!$J:$J,'3月数据源'!$D:$D,$E101,'3月数据源'!$F:$F,"杭州知识跳跳科技有限公司")</f>
        <v/>
      </c>
      <c r="I101" s="89">
        <f>-SUMIFS('4月数据源'!$I:$I,'4月数据源'!$D:$D,$E101,'4月数据源'!$F:$F,"杭州知识跳跳科技有限公司")+SUMIFS('4月数据源'!$J:$J,'4月数据源'!$D:$D,$E101,'4月数据源'!$F:$F,"杭州知识跳跳科技有限公司")</f>
        <v/>
      </c>
      <c r="J101" s="89">
        <f>-SUMIFS('5月数据源'!$I:$I,'5月数据源'!$D:$D,$E101,'5月数据源'!$F:$F,"杭州知识跳跳科技有限公司")+SUMIFS('5月数据源'!$J:$J,'5月数据源'!$D:$D,$E101,'5月数据源'!$F:$F,"杭州知识跳跳科技有限公司")</f>
        <v/>
      </c>
      <c r="K101" s="89">
        <f>-SUMIFS('6月数据源'!$I:$I,'6月数据源'!$D:$D,$E101,'6月数据源'!$F:$F,"杭州知识跳跳科技有限公司")+SUMIFS('6月数据源'!$J:$J,'6月数据源'!$D:$D,$E101,'6月数据源'!$F:$F,"杭州知识跳跳科技有限公司")</f>
        <v/>
      </c>
      <c r="L101" s="89">
        <f>-SUMIFS('7月数据源'!$I:$I,'7月数据源'!$D:$D,$E101,'7月数据源'!$F:$F,"杭州知识跳跳科技有限公司")+SUMIFS('7月数据源'!$J:$J,'7月数据源'!$D:$D,$E101,'7月数据源'!$F:$F,"杭州知识跳跳科技有限公司")</f>
        <v/>
      </c>
      <c r="M101" s="89">
        <f>-SUMIFS('8月数据源'!$I:$I,'8月数据源'!$D:$D,$E101,'8月数据源'!$F:$F,"杭州知识跳跳科技有限公司")+SUMIFS('8月数据源'!$J:$J,'8月数据源'!$D:$D,$E101,'8月数据源'!$F:$F,"杭州知识跳跳科技有限公司")</f>
        <v/>
      </c>
      <c r="N101" s="89">
        <f>-SUMIFS('9月数据源'!$I:$I,'9月数据源'!$D:$D,$E101,'9月数据源'!$F:$F,"杭州知识跳跳科技有限公司")+SUMIFS('9月数据源'!$J:$J,'9月数据源'!$D:$D,$E101,'9月数据源'!$F:$F,"杭州知识跳跳科技有限公司")</f>
        <v/>
      </c>
      <c r="O101" s="89">
        <f>-SUMIFS('10月数据源'!$I:$I,'10月数据源'!$D:$D,$E101,'10月数据源'!$F:$F,"杭州知识跳跳科技有限公司")+SUMIFS('10月数据源'!$J:$J,'10月数据源'!$D:$D,$E101,'10月数据源'!$F:$F,"杭州知识跳跳科技有限公司")</f>
        <v/>
      </c>
      <c r="P101" s="89">
        <f>-SUMIFS('11月数据源'!$I:$I,'11月数据源'!$D:$D,$E101,'11月数据源'!$F:$F,"杭州知识跳跳科技有限公司")+SUMIFS('11月数据源'!$J:$J,'11月数据源'!$D:$D,$E101,'11月数据源'!$F:$F,"杭州知识跳跳科技有限公司")</f>
        <v/>
      </c>
      <c r="Q101" s="89">
        <f>-SUMIFS('12月数据源'!$I:$I,'12月数据源'!$D:$D,$E101,'12月数据源'!$F:$F,"杭州知识跳跳科技有限公司")+SUMIFS('12月数据源'!$J:$J,'12月数据源'!$D:$D,$E101,'12月数据源'!$F:$F,"杭州知识跳跳科技有限公司")</f>
        <v/>
      </c>
    </row>
    <row r="102" s="83">
      <c r="A102" s="5" t="inlineStr">
        <is>
          <t>销售费用</t>
        </is>
      </c>
      <c r="B102" s="6" t="inlineStr">
        <is>
          <t>品牌建设</t>
        </is>
      </c>
      <c r="D102" s="5" t="inlineStr">
        <is>
          <t>场地搭建</t>
        </is>
      </c>
      <c r="E102" s="6" t="inlineStr">
        <is>
          <t>Q1804</t>
        </is>
      </c>
      <c r="F102" s="89">
        <f>-SUMIFS('1月数据源'!I:I,'1月数据源'!D:D,E102,'1月数据源'!F:F,"杭州知识跳跳科技有限公司")+SUMIFS('1月数据源'!J:J,'1月数据源'!D:D,E102,'1月数据源'!F:F,"杭州知识跳跳科技有限公司")</f>
        <v/>
      </c>
      <c r="G102" s="89">
        <f>-SUMIFS('2月数据源'!$I:$I,'2月数据源'!$D:$D,$E102,'2月数据源'!$F:$F,"杭州知识跳跳科技有限公司")+SUMIFS('2月数据源'!$J:$J,'2月数据源'!$D:$D,$E102,'2月数据源'!$F:$F,"杭州知识跳跳科技有限公司")</f>
        <v/>
      </c>
      <c r="H102" s="89">
        <f>-SUMIFS('3月数据源'!$I:$I,'3月数据源'!$D:$D,$E102,'3月数据源'!$F:$F,"杭州知识跳跳科技有限公司")+SUMIFS('3月数据源'!$J:$J,'3月数据源'!$D:$D,$E102,'3月数据源'!$F:$F,"杭州知识跳跳科技有限公司")</f>
        <v/>
      </c>
      <c r="I102" s="89">
        <f>-SUMIFS('4月数据源'!$I:$I,'4月数据源'!$D:$D,$E102,'4月数据源'!$F:$F,"杭州知识跳跳科技有限公司")+SUMIFS('4月数据源'!$J:$J,'4月数据源'!$D:$D,$E102,'4月数据源'!$F:$F,"杭州知识跳跳科技有限公司")</f>
        <v/>
      </c>
      <c r="J102" s="89">
        <f>-SUMIFS('5月数据源'!$I:$I,'5月数据源'!$D:$D,$E102,'5月数据源'!$F:$F,"杭州知识跳跳科技有限公司")+SUMIFS('5月数据源'!$J:$J,'5月数据源'!$D:$D,$E102,'5月数据源'!$F:$F,"杭州知识跳跳科技有限公司")</f>
        <v/>
      </c>
      <c r="K102" s="89">
        <f>-SUMIFS('6月数据源'!$I:$I,'6月数据源'!$D:$D,$E102,'6月数据源'!$F:$F,"杭州知识跳跳科技有限公司")+SUMIFS('6月数据源'!$J:$J,'6月数据源'!$D:$D,$E102,'6月数据源'!$F:$F,"杭州知识跳跳科技有限公司")</f>
        <v/>
      </c>
      <c r="L102" s="89">
        <f>-SUMIFS('7月数据源'!$I:$I,'7月数据源'!$D:$D,$E102,'7月数据源'!$F:$F,"杭州知识跳跳科技有限公司")+SUMIFS('7月数据源'!$J:$J,'7月数据源'!$D:$D,$E102,'7月数据源'!$F:$F,"杭州知识跳跳科技有限公司")</f>
        <v/>
      </c>
      <c r="M102" s="89">
        <f>-SUMIFS('8月数据源'!$I:$I,'8月数据源'!$D:$D,$E102,'8月数据源'!$F:$F,"杭州知识跳跳科技有限公司")+SUMIFS('8月数据源'!$J:$J,'8月数据源'!$D:$D,$E102,'8月数据源'!$F:$F,"杭州知识跳跳科技有限公司")</f>
        <v/>
      </c>
      <c r="N102" s="89">
        <f>-SUMIFS('9月数据源'!$I:$I,'9月数据源'!$D:$D,$E102,'9月数据源'!$F:$F,"杭州知识跳跳科技有限公司")+SUMIFS('9月数据源'!$J:$J,'9月数据源'!$D:$D,$E102,'9月数据源'!$F:$F,"杭州知识跳跳科技有限公司")</f>
        <v/>
      </c>
      <c r="O102" s="89">
        <f>-SUMIFS('10月数据源'!$I:$I,'10月数据源'!$D:$D,$E102,'10月数据源'!$F:$F,"杭州知识跳跳科技有限公司")+SUMIFS('10月数据源'!$J:$J,'10月数据源'!$D:$D,$E102,'10月数据源'!$F:$F,"杭州知识跳跳科技有限公司")</f>
        <v/>
      </c>
      <c r="P102" s="89">
        <f>-SUMIFS('11月数据源'!$I:$I,'11月数据源'!$D:$D,$E102,'11月数据源'!$F:$F,"杭州知识跳跳科技有限公司")+SUMIFS('11月数据源'!$J:$J,'11月数据源'!$D:$D,$E102,'11月数据源'!$F:$F,"杭州知识跳跳科技有限公司")</f>
        <v/>
      </c>
      <c r="Q102" s="89">
        <f>-SUMIFS('12月数据源'!$I:$I,'12月数据源'!$D:$D,$E102,'12月数据源'!$F:$F,"杭州知识跳跳科技有限公司")+SUMIFS('12月数据源'!$J:$J,'12月数据源'!$D:$D,$E102,'12月数据源'!$F:$F,"杭州知识跳跳科技有限公司")</f>
        <v/>
      </c>
    </row>
    <row r="103" s="83">
      <c r="A103" s="5" t="inlineStr">
        <is>
          <t>销售费用</t>
        </is>
      </c>
      <c r="B103" s="6" t="inlineStr">
        <is>
          <t>品牌建设</t>
        </is>
      </c>
      <c r="D103" s="5" t="inlineStr">
        <is>
          <t>素材拍摄</t>
        </is>
      </c>
      <c r="E103" s="6" t="inlineStr">
        <is>
          <t>Q1805</t>
        </is>
      </c>
      <c r="F103" s="89">
        <f>-SUMIFS('1月数据源'!I:I,'1月数据源'!D:D,E103,'1月数据源'!F:F,"杭州知识跳跳科技有限公司")+SUMIFS('1月数据源'!J:J,'1月数据源'!D:D,E103,'1月数据源'!F:F,"杭州知识跳跳科技有限公司")</f>
        <v/>
      </c>
      <c r="G103" s="89">
        <f>-SUMIFS('2月数据源'!$I:$I,'2月数据源'!$D:$D,$E103,'2月数据源'!$F:$F,"杭州知识跳跳科技有限公司")+SUMIFS('2月数据源'!$J:$J,'2月数据源'!$D:$D,$E103,'2月数据源'!$F:$F,"杭州知识跳跳科技有限公司")</f>
        <v/>
      </c>
      <c r="H103" s="89">
        <f>-SUMIFS('3月数据源'!$I:$I,'3月数据源'!$D:$D,$E103,'3月数据源'!$F:$F,"杭州知识跳跳科技有限公司")+SUMIFS('3月数据源'!$J:$J,'3月数据源'!$D:$D,$E103,'3月数据源'!$F:$F,"杭州知识跳跳科技有限公司")</f>
        <v/>
      </c>
      <c r="I103" s="89">
        <f>-SUMIFS('4月数据源'!$I:$I,'4月数据源'!$D:$D,$E103,'4月数据源'!$F:$F,"杭州知识跳跳科技有限公司")+SUMIFS('4月数据源'!$J:$J,'4月数据源'!$D:$D,$E103,'4月数据源'!$F:$F,"杭州知识跳跳科技有限公司")</f>
        <v/>
      </c>
      <c r="J103" s="89">
        <f>-SUMIFS('5月数据源'!$I:$I,'5月数据源'!$D:$D,$E103,'5月数据源'!$F:$F,"杭州知识跳跳科技有限公司")+SUMIFS('5月数据源'!$J:$J,'5月数据源'!$D:$D,$E103,'5月数据源'!$F:$F,"杭州知识跳跳科技有限公司")</f>
        <v/>
      </c>
      <c r="K103" s="89">
        <f>-SUMIFS('6月数据源'!$I:$I,'6月数据源'!$D:$D,$E103,'6月数据源'!$F:$F,"杭州知识跳跳科技有限公司")+SUMIFS('6月数据源'!$J:$J,'6月数据源'!$D:$D,$E103,'6月数据源'!$F:$F,"杭州知识跳跳科技有限公司")</f>
        <v/>
      </c>
      <c r="L103" s="89">
        <f>-SUMIFS('7月数据源'!$I:$I,'7月数据源'!$D:$D,$E103,'7月数据源'!$F:$F,"杭州知识跳跳科技有限公司")+SUMIFS('7月数据源'!$J:$J,'7月数据源'!$D:$D,$E103,'7月数据源'!$F:$F,"杭州知识跳跳科技有限公司")</f>
        <v/>
      </c>
      <c r="M103" s="89">
        <f>-SUMIFS('8月数据源'!$I:$I,'8月数据源'!$D:$D,$E103,'8月数据源'!$F:$F,"杭州知识跳跳科技有限公司")+SUMIFS('8月数据源'!$J:$J,'8月数据源'!$D:$D,$E103,'8月数据源'!$F:$F,"杭州知识跳跳科技有限公司")</f>
        <v/>
      </c>
      <c r="N103" s="89">
        <f>-SUMIFS('9月数据源'!$I:$I,'9月数据源'!$D:$D,$E103,'9月数据源'!$F:$F,"杭州知识跳跳科技有限公司")+SUMIFS('9月数据源'!$J:$J,'9月数据源'!$D:$D,$E103,'9月数据源'!$F:$F,"杭州知识跳跳科技有限公司")</f>
        <v/>
      </c>
      <c r="O103" s="89">
        <f>-SUMIFS('10月数据源'!$I:$I,'10月数据源'!$D:$D,$E103,'10月数据源'!$F:$F,"杭州知识跳跳科技有限公司")+SUMIFS('10月数据源'!$J:$J,'10月数据源'!$D:$D,$E103,'10月数据源'!$F:$F,"杭州知识跳跳科技有限公司")</f>
        <v/>
      </c>
      <c r="P103" s="89">
        <f>-SUMIFS('11月数据源'!$I:$I,'11月数据源'!$D:$D,$E103,'11月数据源'!$F:$F,"杭州知识跳跳科技有限公司")+SUMIFS('11月数据源'!$J:$J,'11月数据源'!$D:$D,$E103,'11月数据源'!$F:$F,"杭州知识跳跳科技有限公司")</f>
        <v/>
      </c>
      <c r="Q103" s="89">
        <f>-SUMIFS('12月数据源'!$I:$I,'12月数据源'!$D:$D,$E103,'12月数据源'!$F:$F,"杭州知识跳跳科技有限公司")+SUMIFS('12月数据源'!$J:$J,'12月数据源'!$D:$D,$E103,'12月数据源'!$F:$F,"杭州知识跳跳科技有限公司")</f>
        <v/>
      </c>
    </row>
    <row r="104" s="83">
      <c r="A104" s="5" t="inlineStr">
        <is>
          <t>销售费用</t>
        </is>
      </c>
      <c r="B104" s="6" t="inlineStr">
        <is>
          <t>品牌建设</t>
        </is>
      </c>
      <c r="D104" s="5" t="inlineStr">
        <is>
          <t>背书合作费用</t>
        </is>
      </c>
      <c r="E104" s="6" t="inlineStr">
        <is>
          <t>Q1806</t>
        </is>
      </c>
      <c r="F104" s="89">
        <f>-SUMIFS('1月数据源'!I:I,'1月数据源'!D:D,E104,'1月数据源'!F:F,"杭州知识跳跳科技有限公司")+SUMIFS('1月数据源'!J:J,'1月数据源'!D:D,E104,'1月数据源'!F:F,"杭州知识跳跳科技有限公司")</f>
        <v/>
      </c>
      <c r="G104" s="89">
        <f>-SUMIFS('2月数据源'!$I:$I,'2月数据源'!$D:$D,$E104,'2月数据源'!$F:$F,"杭州知识跳跳科技有限公司")+SUMIFS('2月数据源'!$J:$J,'2月数据源'!$D:$D,$E104,'2月数据源'!$F:$F,"杭州知识跳跳科技有限公司")</f>
        <v/>
      </c>
      <c r="H104" s="89">
        <f>-SUMIFS('3月数据源'!$I:$I,'3月数据源'!$D:$D,$E104,'3月数据源'!$F:$F,"杭州知识跳跳科技有限公司")+SUMIFS('3月数据源'!$J:$J,'3月数据源'!$D:$D,$E104,'3月数据源'!$F:$F,"杭州知识跳跳科技有限公司")</f>
        <v/>
      </c>
      <c r="I104" s="89">
        <f>-SUMIFS('4月数据源'!$I:$I,'4月数据源'!$D:$D,$E104,'4月数据源'!$F:$F,"杭州知识跳跳科技有限公司")+SUMIFS('4月数据源'!$J:$J,'4月数据源'!$D:$D,$E104,'4月数据源'!$F:$F,"杭州知识跳跳科技有限公司")</f>
        <v/>
      </c>
      <c r="J104" s="89">
        <f>-SUMIFS('5月数据源'!$I:$I,'5月数据源'!$D:$D,$E104,'5月数据源'!$F:$F,"杭州知识跳跳科技有限公司")+SUMIFS('5月数据源'!$J:$J,'5月数据源'!$D:$D,$E104,'5月数据源'!$F:$F,"杭州知识跳跳科技有限公司")</f>
        <v/>
      </c>
      <c r="K104" s="89">
        <f>-SUMIFS('6月数据源'!$I:$I,'6月数据源'!$D:$D,$E104,'6月数据源'!$F:$F,"杭州知识跳跳科技有限公司")+SUMIFS('6月数据源'!$J:$J,'6月数据源'!$D:$D,$E104,'6月数据源'!$F:$F,"杭州知识跳跳科技有限公司")</f>
        <v/>
      </c>
      <c r="L104" s="89">
        <f>-SUMIFS('7月数据源'!$I:$I,'7月数据源'!$D:$D,$E104,'7月数据源'!$F:$F,"杭州知识跳跳科技有限公司")+SUMIFS('7月数据源'!$J:$J,'7月数据源'!$D:$D,$E104,'7月数据源'!$F:$F,"杭州知识跳跳科技有限公司")</f>
        <v/>
      </c>
      <c r="M104" s="89">
        <f>-SUMIFS('8月数据源'!$I:$I,'8月数据源'!$D:$D,$E104,'8月数据源'!$F:$F,"杭州知识跳跳科技有限公司")+SUMIFS('8月数据源'!$J:$J,'8月数据源'!$D:$D,$E104,'8月数据源'!$F:$F,"杭州知识跳跳科技有限公司")</f>
        <v/>
      </c>
      <c r="N104" s="89">
        <f>-SUMIFS('9月数据源'!$I:$I,'9月数据源'!$D:$D,$E104,'9月数据源'!$F:$F,"杭州知识跳跳科技有限公司")+SUMIFS('9月数据源'!$J:$J,'9月数据源'!$D:$D,$E104,'9月数据源'!$F:$F,"杭州知识跳跳科技有限公司")</f>
        <v/>
      </c>
      <c r="O104" s="89">
        <f>-SUMIFS('10月数据源'!$I:$I,'10月数据源'!$D:$D,$E104,'10月数据源'!$F:$F,"杭州知识跳跳科技有限公司")+SUMIFS('10月数据源'!$J:$J,'10月数据源'!$D:$D,$E104,'10月数据源'!$F:$F,"杭州知识跳跳科技有限公司")</f>
        <v/>
      </c>
      <c r="P104" s="89">
        <f>-SUMIFS('11月数据源'!$I:$I,'11月数据源'!$D:$D,$E104,'11月数据源'!$F:$F,"杭州知识跳跳科技有限公司")+SUMIFS('11月数据源'!$J:$J,'11月数据源'!$D:$D,$E104,'11月数据源'!$F:$F,"杭州知识跳跳科技有限公司")</f>
        <v/>
      </c>
      <c r="Q104" s="89">
        <f>-SUMIFS('12月数据源'!$I:$I,'12月数据源'!$D:$D,$E104,'12月数据源'!$F:$F,"杭州知识跳跳科技有限公司")+SUMIFS('12月数据源'!$J:$J,'12月数据源'!$D:$D,$E104,'12月数据源'!$F:$F,"杭州知识跳跳科技有限公司")</f>
        <v/>
      </c>
    </row>
    <row r="105" s="83">
      <c r="A105" s="5" t="inlineStr">
        <is>
          <t>销售费用</t>
        </is>
      </c>
      <c r="B105" s="6" t="inlineStr">
        <is>
          <t>内容种草</t>
        </is>
      </c>
      <c r="C105" s="6" t="inlineStr">
        <is>
          <t>内容种草</t>
        </is>
      </c>
      <c r="D105" s="5" t="inlineStr">
        <is>
          <t>抖音平台种草-GD广告</t>
        </is>
      </c>
      <c r="E105" s="6" t="inlineStr">
        <is>
          <t>Q1901</t>
        </is>
      </c>
      <c r="F105" s="89">
        <f>-SUMIFS('1月数据源'!I:I,'1月数据源'!D:D,E105,'1月数据源'!F:F,"杭州知识跳跳科技有限公司")+SUMIFS('1月数据源'!J:J,'1月数据源'!D:D,E105,'1月数据源'!F:F,"杭州知识跳跳科技有限公司")</f>
        <v/>
      </c>
      <c r="G105" s="89">
        <f>-SUMIFS('2月数据源'!$I:$I,'2月数据源'!$D:$D,$E105,'2月数据源'!$F:$F,"杭州知识跳跳科技有限公司")+SUMIFS('2月数据源'!$J:$J,'2月数据源'!$D:$D,$E105,'2月数据源'!$F:$F,"杭州知识跳跳科技有限公司")</f>
        <v/>
      </c>
      <c r="H105" s="89">
        <f>-SUMIFS('3月数据源'!$I:$I,'3月数据源'!$D:$D,$E105,'3月数据源'!$F:$F,"杭州知识跳跳科技有限公司")+SUMIFS('3月数据源'!$J:$J,'3月数据源'!$D:$D,$E105,'3月数据源'!$F:$F,"杭州知识跳跳科技有限公司")</f>
        <v/>
      </c>
      <c r="I105" s="89">
        <f>-SUMIFS('4月数据源'!$I:$I,'4月数据源'!$D:$D,$E105,'4月数据源'!$F:$F,"杭州知识跳跳科技有限公司")+SUMIFS('4月数据源'!$J:$J,'4月数据源'!$D:$D,$E105,'4月数据源'!$F:$F,"杭州知识跳跳科技有限公司")</f>
        <v/>
      </c>
      <c r="J105" s="89">
        <f>-SUMIFS('5月数据源'!$I:$I,'5月数据源'!$D:$D,$E105,'5月数据源'!$F:$F,"杭州知识跳跳科技有限公司")+SUMIFS('5月数据源'!$J:$J,'5月数据源'!$D:$D,$E105,'5月数据源'!$F:$F,"杭州知识跳跳科技有限公司")</f>
        <v/>
      </c>
      <c r="K105" s="89">
        <f>-SUMIFS('6月数据源'!$I:$I,'6月数据源'!$D:$D,$E105,'6月数据源'!$F:$F,"杭州知识跳跳科技有限公司")+SUMIFS('6月数据源'!$J:$J,'6月数据源'!$D:$D,$E105,'6月数据源'!$F:$F,"杭州知识跳跳科技有限公司")</f>
        <v/>
      </c>
      <c r="L105" s="89">
        <f>-SUMIFS('7月数据源'!$I:$I,'7月数据源'!$D:$D,$E105,'7月数据源'!$F:$F,"杭州知识跳跳科技有限公司")+SUMIFS('7月数据源'!$J:$J,'7月数据源'!$D:$D,$E105,'7月数据源'!$F:$F,"杭州知识跳跳科技有限公司")</f>
        <v/>
      </c>
      <c r="M105" s="89">
        <f>-SUMIFS('8月数据源'!$I:$I,'8月数据源'!$D:$D,$E105,'8月数据源'!$F:$F,"杭州知识跳跳科技有限公司")+SUMIFS('8月数据源'!$J:$J,'8月数据源'!$D:$D,$E105,'8月数据源'!$F:$F,"杭州知识跳跳科技有限公司")</f>
        <v/>
      </c>
      <c r="N105" s="89">
        <f>-SUMIFS('9月数据源'!$I:$I,'9月数据源'!$D:$D,$E105,'9月数据源'!$F:$F,"杭州知识跳跳科技有限公司")+SUMIFS('9月数据源'!$J:$J,'9月数据源'!$D:$D,$E105,'9月数据源'!$F:$F,"杭州知识跳跳科技有限公司")</f>
        <v/>
      </c>
      <c r="O105" s="89">
        <f>-SUMIFS('10月数据源'!$I:$I,'10月数据源'!$D:$D,$E105,'10月数据源'!$F:$F,"杭州知识跳跳科技有限公司")+SUMIFS('10月数据源'!$J:$J,'10月数据源'!$D:$D,$E105,'10月数据源'!$F:$F,"杭州知识跳跳科技有限公司")</f>
        <v/>
      </c>
      <c r="P105" s="89">
        <f>-SUMIFS('11月数据源'!$I:$I,'11月数据源'!$D:$D,$E105,'11月数据源'!$F:$F,"杭州知识跳跳科技有限公司")+SUMIFS('11月数据源'!$J:$J,'11月数据源'!$D:$D,$E105,'11月数据源'!$F:$F,"杭州知识跳跳科技有限公司")</f>
        <v/>
      </c>
      <c r="Q105" s="89">
        <f>-SUMIFS('12月数据源'!$I:$I,'12月数据源'!$D:$D,$E105,'12月数据源'!$F:$F,"杭州知识跳跳科技有限公司")+SUMIFS('12月数据源'!$J:$J,'12月数据源'!$D:$D,$E105,'12月数据源'!$F:$F,"杭州知识跳跳科技有限公司")</f>
        <v/>
      </c>
    </row>
    <row r="106" s="83">
      <c r="A106" s="5" t="inlineStr">
        <is>
          <t>销售费用</t>
        </is>
      </c>
      <c r="B106" s="6" t="inlineStr">
        <is>
          <t>内容种草</t>
        </is>
      </c>
      <c r="D106" s="5" t="inlineStr">
        <is>
          <t>抖音平台种草-种草通</t>
        </is>
      </c>
      <c r="E106" s="6" t="inlineStr">
        <is>
          <t>Q1902</t>
        </is>
      </c>
      <c r="F106" s="89">
        <f>-SUMIFS('1月数据源'!I:I,'1月数据源'!D:D,E106,'1月数据源'!F:F,"杭州知识跳跳科技有限公司")+SUMIFS('1月数据源'!J:J,'1月数据源'!D:D,E106,'1月数据源'!F:F,"杭州知识跳跳科技有限公司")</f>
        <v/>
      </c>
      <c r="G106" s="89">
        <f>-SUMIFS('2月数据源'!$I:$I,'2月数据源'!$D:$D,$E106,'2月数据源'!$F:$F,"杭州知识跳跳科技有限公司")+SUMIFS('2月数据源'!$J:$J,'2月数据源'!$D:$D,$E106,'2月数据源'!$F:$F,"杭州知识跳跳科技有限公司")</f>
        <v/>
      </c>
      <c r="H106" s="89">
        <f>-SUMIFS('3月数据源'!$I:$I,'3月数据源'!$D:$D,$E106,'3月数据源'!$F:$F,"杭州知识跳跳科技有限公司")+SUMIFS('3月数据源'!$J:$J,'3月数据源'!$D:$D,$E106,'3月数据源'!$F:$F,"杭州知识跳跳科技有限公司")</f>
        <v/>
      </c>
      <c r="I106" s="89">
        <f>-SUMIFS('4月数据源'!$I:$I,'4月数据源'!$D:$D,$E106,'4月数据源'!$F:$F,"杭州知识跳跳科技有限公司")+SUMIFS('4月数据源'!$J:$J,'4月数据源'!$D:$D,$E106,'4月数据源'!$F:$F,"杭州知识跳跳科技有限公司")</f>
        <v/>
      </c>
      <c r="J106" s="89">
        <f>-SUMIFS('5月数据源'!$I:$I,'5月数据源'!$D:$D,$E106,'5月数据源'!$F:$F,"杭州知识跳跳科技有限公司")+SUMIFS('5月数据源'!$J:$J,'5月数据源'!$D:$D,$E106,'5月数据源'!$F:$F,"杭州知识跳跳科技有限公司")</f>
        <v/>
      </c>
      <c r="K106" s="89">
        <f>-SUMIFS('6月数据源'!$I:$I,'6月数据源'!$D:$D,$E106,'6月数据源'!$F:$F,"杭州知识跳跳科技有限公司")+SUMIFS('6月数据源'!$J:$J,'6月数据源'!$D:$D,$E106,'6月数据源'!$F:$F,"杭州知识跳跳科技有限公司")</f>
        <v/>
      </c>
      <c r="L106" s="89">
        <f>-SUMIFS('7月数据源'!$I:$I,'7月数据源'!$D:$D,$E106,'7月数据源'!$F:$F,"杭州知识跳跳科技有限公司")+SUMIFS('7月数据源'!$J:$J,'7月数据源'!$D:$D,$E106,'7月数据源'!$F:$F,"杭州知识跳跳科技有限公司")</f>
        <v/>
      </c>
      <c r="M106" s="89">
        <f>-SUMIFS('8月数据源'!$I:$I,'8月数据源'!$D:$D,$E106,'8月数据源'!$F:$F,"杭州知识跳跳科技有限公司")+SUMIFS('8月数据源'!$J:$J,'8月数据源'!$D:$D,$E106,'8月数据源'!$F:$F,"杭州知识跳跳科技有限公司")</f>
        <v/>
      </c>
      <c r="N106" s="89">
        <f>-SUMIFS('9月数据源'!$I:$I,'9月数据源'!$D:$D,$E106,'9月数据源'!$F:$F,"杭州知识跳跳科技有限公司")+SUMIFS('9月数据源'!$J:$J,'9月数据源'!$D:$D,$E106,'9月数据源'!$F:$F,"杭州知识跳跳科技有限公司")</f>
        <v/>
      </c>
      <c r="O106" s="89">
        <f>-SUMIFS('10月数据源'!$I:$I,'10月数据源'!$D:$D,$E106,'10月数据源'!$F:$F,"杭州知识跳跳科技有限公司")+SUMIFS('10月数据源'!$J:$J,'10月数据源'!$D:$D,$E106,'10月数据源'!$F:$F,"杭州知识跳跳科技有限公司")</f>
        <v/>
      </c>
      <c r="P106" s="89">
        <f>-SUMIFS('11月数据源'!$I:$I,'11月数据源'!$D:$D,$E106,'11月数据源'!$F:$F,"杭州知识跳跳科技有限公司")+SUMIFS('11月数据源'!$J:$J,'11月数据源'!$D:$D,$E106,'11月数据源'!$F:$F,"杭州知识跳跳科技有限公司")</f>
        <v/>
      </c>
      <c r="Q106" s="89">
        <f>-SUMIFS('12月数据源'!$I:$I,'12月数据源'!$D:$D,$E106,'12月数据源'!$F:$F,"杭州知识跳跳科技有限公司")+SUMIFS('12月数据源'!$J:$J,'12月数据源'!$D:$D,$E106,'12月数据源'!$F:$F,"杭州知识跳跳科技有限公司")</f>
        <v/>
      </c>
    </row>
    <row r="107" s="83">
      <c r="A107" s="5" t="inlineStr">
        <is>
          <t>销售费用</t>
        </is>
      </c>
      <c r="B107" s="6" t="inlineStr">
        <is>
          <t>内容种草</t>
        </is>
      </c>
      <c r="D107" s="5" t="inlineStr">
        <is>
          <t>抖音平台种草-达人合作</t>
        </is>
      </c>
      <c r="E107" s="6" t="inlineStr">
        <is>
          <t>Q1903</t>
        </is>
      </c>
      <c r="F107" s="89">
        <f>-SUMIFS('1月数据源'!I:I,'1月数据源'!D:D,E107,'1月数据源'!F:F,"杭州知识跳跳科技有限公司")+SUMIFS('1月数据源'!J:J,'1月数据源'!D:D,E107,'1月数据源'!F:F,"杭州知识跳跳科技有限公司")</f>
        <v/>
      </c>
      <c r="G107" s="89">
        <f>-SUMIFS('2月数据源'!$I:$I,'2月数据源'!$D:$D,$E107,'2月数据源'!$F:$F,"杭州知识跳跳科技有限公司")+SUMIFS('2月数据源'!$J:$J,'2月数据源'!$D:$D,$E107,'2月数据源'!$F:$F,"杭州知识跳跳科技有限公司")</f>
        <v/>
      </c>
      <c r="H107" s="89">
        <f>-SUMIFS('3月数据源'!$I:$I,'3月数据源'!$D:$D,$E107,'3月数据源'!$F:$F,"杭州知识跳跳科技有限公司")+SUMIFS('3月数据源'!$J:$J,'3月数据源'!$D:$D,$E107,'3月数据源'!$F:$F,"杭州知识跳跳科技有限公司")</f>
        <v/>
      </c>
      <c r="I107" s="89">
        <f>-SUMIFS('4月数据源'!$I:$I,'4月数据源'!$D:$D,$E107,'4月数据源'!$F:$F,"杭州知识跳跳科技有限公司")+SUMIFS('4月数据源'!$J:$J,'4月数据源'!$D:$D,$E107,'4月数据源'!$F:$F,"杭州知识跳跳科技有限公司")</f>
        <v/>
      </c>
      <c r="J107" s="89">
        <f>-SUMIFS('5月数据源'!$I:$I,'5月数据源'!$D:$D,$E107,'5月数据源'!$F:$F,"杭州知识跳跳科技有限公司")+SUMIFS('5月数据源'!$J:$J,'5月数据源'!$D:$D,$E107,'5月数据源'!$F:$F,"杭州知识跳跳科技有限公司")</f>
        <v/>
      </c>
      <c r="K107" s="89">
        <f>-SUMIFS('6月数据源'!$I:$I,'6月数据源'!$D:$D,$E107,'6月数据源'!$F:$F,"杭州知识跳跳科技有限公司")+SUMIFS('6月数据源'!$J:$J,'6月数据源'!$D:$D,$E107,'6月数据源'!$F:$F,"杭州知识跳跳科技有限公司")</f>
        <v/>
      </c>
      <c r="L107" s="89">
        <f>-SUMIFS('7月数据源'!$I:$I,'7月数据源'!$D:$D,$E107,'7月数据源'!$F:$F,"杭州知识跳跳科技有限公司")+SUMIFS('7月数据源'!$J:$J,'7月数据源'!$D:$D,$E107,'7月数据源'!$F:$F,"杭州知识跳跳科技有限公司")</f>
        <v/>
      </c>
      <c r="M107" s="89">
        <f>-SUMIFS('8月数据源'!$I:$I,'8月数据源'!$D:$D,$E107,'8月数据源'!$F:$F,"杭州知识跳跳科技有限公司")+SUMIFS('8月数据源'!$J:$J,'8月数据源'!$D:$D,$E107,'8月数据源'!$F:$F,"杭州知识跳跳科技有限公司")</f>
        <v/>
      </c>
      <c r="N107" s="89">
        <f>-SUMIFS('9月数据源'!$I:$I,'9月数据源'!$D:$D,$E107,'9月数据源'!$F:$F,"杭州知识跳跳科技有限公司")+SUMIFS('9月数据源'!$J:$J,'9月数据源'!$D:$D,$E107,'9月数据源'!$F:$F,"杭州知识跳跳科技有限公司")</f>
        <v/>
      </c>
      <c r="O107" s="89">
        <f>-SUMIFS('10月数据源'!$I:$I,'10月数据源'!$D:$D,$E107,'10月数据源'!$F:$F,"杭州知识跳跳科技有限公司")+SUMIFS('10月数据源'!$J:$J,'10月数据源'!$D:$D,$E107,'10月数据源'!$F:$F,"杭州知识跳跳科技有限公司")</f>
        <v/>
      </c>
      <c r="P107" s="89">
        <f>-SUMIFS('11月数据源'!$I:$I,'11月数据源'!$D:$D,$E107,'11月数据源'!$F:$F,"杭州知识跳跳科技有限公司")+SUMIFS('11月数据源'!$J:$J,'11月数据源'!$D:$D,$E107,'11月数据源'!$F:$F,"杭州知识跳跳科技有限公司")</f>
        <v/>
      </c>
      <c r="Q107" s="89">
        <f>-SUMIFS('12月数据源'!$I:$I,'12月数据源'!$D:$D,$E107,'12月数据源'!$F:$F,"杭州知识跳跳科技有限公司")+SUMIFS('12月数据源'!$J:$J,'12月数据源'!$D:$D,$E107,'12月数据源'!$F:$F,"杭州知识跳跳科技有限公司")</f>
        <v/>
      </c>
    </row>
    <row r="108" s="83">
      <c r="A108" s="5" t="inlineStr">
        <is>
          <t>销售费用</t>
        </is>
      </c>
      <c r="B108" s="6" t="inlineStr">
        <is>
          <t>内容种草</t>
        </is>
      </c>
      <c r="D108" s="5" t="inlineStr">
        <is>
          <t>小红书平台种草-达人合作</t>
        </is>
      </c>
      <c r="E108" s="6" t="inlineStr">
        <is>
          <t>Q1904</t>
        </is>
      </c>
      <c r="F108" s="89">
        <f>-SUMIFS('1月数据源'!I:I,'1月数据源'!D:D,E108,'1月数据源'!F:F,"杭州知识跳跳科技有限公司")+SUMIFS('1月数据源'!J:J,'1月数据源'!D:D,E108,'1月数据源'!F:F,"杭州知识跳跳科技有限公司")</f>
        <v/>
      </c>
      <c r="G108" s="89">
        <f>-SUMIFS('2月数据源'!$I:$I,'2月数据源'!$D:$D,$E108,'2月数据源'!$F:$F,"杭州知识跳跳科技有限公司")+SUMIFS('2月数据源'!$J:$J,'2月数据源'!$D:$D,$E108,'2月数据源'!$F:$F,"杭州知识跳跳科技有限公司")</f>
        <v/>
      </c>
      <c r="H108" s="89">
        <f>-SUMIFS('3月数据源'!$I:$I,'3月数据源'!$D:$D,$E108,'3月数据源'!$F:$F,"杭州知识跳跳科技有限公司")+SUMIFS('3月数据源'!$J:$J,'3月数据源'!$D:$D,$E108,'3月数据源'!$F:$F,"杭州知识跳跳科技有限公司")</f>
        <v/>
      </c>
      <c r="I108" s="89">
        <f>-SUMIFS('4月数据源'!$I:$I,'4月数据源'!$D:$D,$E108,'4月数据源'!$F:$F,"杭州知识跳跳科技有限公司")+SUMIFS('4月数据源'!$J:$J,'4月数据源'!$D:$D,$E108,'4月数据源'!$F:$F,"杭州知识跳跳科技有限公司")</f>
        <v/>
      </c>
      <c r="J108" s="89">
        <f>-SUMIFS('5月数据源'!$I:$I,'5月数据源'!$D:$D,$E108,'5月数据源'!$F:$F,"杭州知识跳跳科技有限公司")+SUMIFS('5月数据源'!$J:$J,'5月数据源'!$D:$D,$E108,'5月数据源'!$F:$F,"杭州知识跳跳科技有限公司")</f>
        <v/>
      </c>
      <c r="K108" s="89">
        <f>-SUMIFS('6月数据源'!$I:$I,'6月数据源'!$D:$D,$E108,'6月数据源'!$F:$F,"杭州知识跳跳科技有限公司")+SUMIFS('6月数据源'!$J:$J,'6月数据源'!$D:$D,$E108,'6月数据源'!$F:$F,"杭州知识跳跳科技有限公司")</f>
        <v/>
      </c>
      <c r="L108" s="89">
        <f>-SUMIFS('7月数据源'!$I:$I,'7月数据源'!$D:$D,$E108,'7月数据源'!$F:$F,"杭州知识跳跳科技有限公司")+SUMIFS('7月数据源'!$J:$J,'7月数据源'!$D:$D,$E108,'7月数据源'!$F:$F,"杭州知识跳跳科技有限公司")</f>
        <v/>
      </c>
      <c r="M108" s="89">
        <f>-SUMIFS('8月数据源'!$I:$I,'8月数据源'!$D:$D,$E108,'8月数据源'!$F:$F,"杭州知识跳跳科技有限公司")+SUMIFS('8月数据源'!$J:$J,'8月数据源'!$D:$D,$E108,'8月数据源'!$F:$F,"杭州知识跳跳科技有限公司")</f>
        <v/>
      </c>
      <c r="N108" s="89">
        <f>-SUMIFS('9月数据源'!$I:$I,'9月数据源'!$D:$D,$E108,'9月数据源'!$F:$F,"杭州知识跳跳科技有限公司")+SUMIFS('9月数据源'!$J:$J,'9月数据源'!$D:$D,$E108,'9月数据源'!$F:$F,"杭州知识跳跳科技有限公司")</f>
        <v/>
      </c>
      <c r="O108" s="89">
        <f>-SUMIFS('10月数据源'!$I:$I,'10月数据源'!$D:$D,$E108,'10月数据源'!$F:$F,"杭州知识跳跳科技有限公司")+SUMIFS('10月数据源'!$J:$J,'10月数据源'!$D:$D,$E108,'10月数据源'!$F:$F,"杭州知识跳跳科技有限公司")</f>
        <v/>
      </c>
      <c r="P108" s="89">
        <f>-SUMIFS('11月数据源'!$I:$I,'11月数据源'!$D:$D,$E108,'11月数据源'!$F:$F,"杭州知识跳跳科技有限公司")+SUMIFS('11月数据源'!$J:$J,'11月数据源'!$D:$D,$E108,'11月数据源'!$F:$F,"杭州知识跳跳科技有限公司")</f>
        <v/>
      </c>
      <c r="Q108" s="89">
        <f>-SUMIFS('12月数据源'!$I:$I,'12月数据源'!$D:$D,$E108,'12月数据源'!$F:$F,"杭州知识跳跳科技有限公司")+SUMIFS('12月数据源'!$J:$J,'12月数据源'!$D:$D,$E108,'12月数据源'!$F:$F,"杭州知识跳跳科技有限公司")</f>
        <v/>
      </c>
    </row>
    <row r="109" s="83">
      <c r="A109" s="5" t="inlineStr">
        <is>
          <t>销售费用</t>
        </is>
      </c>
      <c r="B109" s="6" t="inlineStr">
        <is>
          <t>内容种草</t>
        </is>
      </c>
      <c r="D109" s="5" t="inlineStr">
        <is>
          <t>全平台种草-达人合作</t>
        </is>
      </c>
      <c r="E109" s="6" t="inlineStr">
        <is>
          <t>Q1905</t>
        </is>
      </c>
      <c r="F109" s="89">
        <f>-SUMIFS('1月数据源'!I:I,'1月数据源'!D:D,E109,'1月数据源'!F:F,"杭州知识跳跳科技有限公司")+SUMIFS('1月数据源'!J:J,'1月数据源'!D:D,E109,'1月数据源'!F:F,"杭州知识跳跳科技有限公司")</f>
        <v/>
      </c>
      <c r="G109" s="89">
        <f>-SUMIFS('2月数据源'!$I:$I,'2月数据源'!$D:$D,$E109,'2月数据源'!$F:$F,"杭州知识跳跳科技有限公司")+SUMIFS('2月数据源'!$J:$J,'2月数据源'!$D:$D,$E109,'2月数据源'!$F:$F,"杭州知识跳跳科技有限公司")</f>
        <v/>
      </c>
      <c r="H109" s="89">
        <f>-SUMIFS('3月数据源'!$I:$I,'3月数据源'!$D:$D,$E109,'3月数据源'!$F:$F,"杭州知识跳跳科技有限公司")+SUMIFS('3月数据源'!$J:$J,'3月数据源'!$D:$D,$E109,'3月数据源'!$F:$F,"杭州知识跳跳科技有限公司")</f>
        <v/>
      </c>
      <c r="I109" s="89">
        <f>-SUMIFS('4月数据源'!$I:$I,'4月数据源'!$D:$D,$E109,'4月数据源'!$F:$F,"杭州知识跳跳科技有限公司")+SUMIFS('4月数据源'!$J:$J,'4月数据源'!$D:$D,$E109,'4月数据源'!$F:$F,"杭州知识跳跳科技有限公司")</f>
        <v/>
      </c>
      <c r="J109" s="89">
        <f>-SUMIFS('5月数据源'!$I:$I,'5月数据源'!$D:$D,$E109,'5月数据源'!$F:$F,"杭州知识跳跳科技有限公司")+SUMIFS('5月数据源'!$J:$J,'5月数据源'!$D:$D,$E109,'5月数据源'!$F:$F,"杭州知识跳跳科技有限公司")</f>
        <v/>
      </c>
      <c r="K109" s="89">
        <f>-SUMIFS('6月数据源'!$I:$I,'6月数据源'!$D:$D,$E109,'6月数据源'!$F:$F,"杭州知识跳跳科技有限公司")+SUMIFS('6月数据源'!$J:$J,'6月数据源'!$D:$D,$E109,'6月数据源'!$F:$F,"杭州知识跳跳科技有限公司")</f>
        <v/>
      </c>
      <c r="L109" s="89">
        <f>-SUMIFS('7月数据源'!$I:$I,'7月数据源'!$D:$D,$E109,'7月数据源'!$F:$F,"杭州知识跳跳科技有限公司")+SUMIFS('7月数据源'!$J:$J,'7月数据源'!$D:$D,$E109,'7月数据源'!$F:$F,"杭州知识跳跳科技有限公司")</f>
        <v/>
      </c>
      <c r="M109" s="89">
        <f>-SUMIFS('8月数据源'!$I:$I,'8月数据源'!$D:$D,$E109,'8月数据源'!$F:$F,"杭州知识跳跳科技有限公司")+SUMIFS('8月数据源'!$J:$J,'8月数据源'!$D:$D,$E109,'8月数据源'!$F:$F,"杭州知识跳跳科技有限公司")</f>
        <v/>
      </c>
      <c r="N109" s="89">
        <f>-SUMIFS('9月数据源'!$I:$I,'9月数据源'!$D:$D,$E109,'9月数据源'!$F:$F,"杭州知识跳跳科技有限公司")+SUMIFS('9月数据源'!$J:$J,'9月数据源'!$D:$D,$E109,'9月数据源'!$F:$F,"杭州知识跳跳科技有限公司")</f>
        <v/>
      </c>
      <c r="O109" s="89">
        <f>-SUMIFS('10月数据源'!$I:$I,'10月数据源'!$D:$D,$E109,'10月数据源'!$F:$F,"杭州知识跳跳科技有限公司")+SUMIFS('10月数据源'!$J:$J,'10月数据源'!$D:$D,$E109,'10月数据源'!$F:$F,"杭州知识跳跳科技有限公司")</f>
        <v/>
      </c>
      <c r="P109" s="89">
        <f>-SUMIFS('11月数据源'!$I:$I,'11月数据源'!$D:$D,$E109,'11月数据源'!$F:$F,"杭州知识跳跳科技有限公司")+SUMIFS('11月数据源'!$J:$J,'11月数据源'!$D:$D,$E109,'11月数据源'!$F:$F,"杭州知识跳跳科技有限公司")</f>
        <v/>
      </c>
      <c r="Q109" s="89">
        <f>-SUMIFS('12月数据源'!$I:$I,'12月数据源'!$D:$D,$E109,'12月数据源'!$F:$F,"杭州知识跳跳科技有限公司")+SUMIFS('12月数据源'!$J:$J,'12月数据源'!$D:$D,$E109,'12月数据源'!$F:$F,"杭州知识跳跳科技有限公司")</f>
        <v/>
      </c>
    </row>
    <row r="110" s="83">
      <c r="A110" s="5" t="inlineStr">
        <is>
          <t>销售费用</t>
        </is>
      </c>
      <c r="B110" s="6" t="inlineStr">
        <is>
          <t>内容种草</t>
        </is>
      </c>
      <c r="D110" s="5" t="inlineStr">
        <is>
          <t>小红书种草充值</t>
        </is>
      </c>
      <c r="E110" s="6" t="inlineStr">
        <is>
          <t>Q1906</t>
        </is>
      </c>
      <c r="F110" s="89">
        <f>-SUMIFS('1月数据源'!I:I,'1月数据源'!D:D,E110,'1月数据源'!F:F,"杭州知识跳跳科技有限公司")+SUMIFS('1月数据源'!J:J,'1月数据源'!D:D,E110,'1月数据源'!F:F,"杭州知识跳跳科技有限公司")</f>
        <v/>
      </c>
      <c r="G110" s="89">
        <f>-SUMIFS('2月数据源'!$I:$I,'2月数据源'!$D:$D,$E110,'2月数据源'!$F:$F,"杭州知识跳跳科技有限公司")+SUMIFS('2月数据源'!$J:$J,'2月数据源'!$D:$D,$E110,'2月数据源'!$F:$F,"杭州知识跳跳科技有限公司")</f>
        <v/>
      </c>
      <c r="H110" s="89">
        <f>-SUMIFS('3月数据源'!$I:$I,'3月数据源'!$D:$D,$E110,'3月数据源'!$F:$F,"杭州知识跳跳科技有限公司")+SUMIFS('3月数据源'!$J:$J,'3月数据源'!$D:$D,$E110,'3月数据源'!$F:$F,"杭州知识跳跳科技有限公司")</f>
        <v/>
      </c>
      <c r="I110" s="89">
        <f>-SUMIFS('4月数据源'!$I:$I,'4月数据源'!$D:$D,$E110,'4月数据源'!$F:$F,"杭州知识跳跳科技有限公司")+SUMIFS('4月数据源'!$J:$J,'4月数据源'!$D:$D,$E110,'4月数据源'!$F:$F,"杭州知识跳跳科技有限公司")</f>
        <v/>
      </c>
      <c r="J110" s="89">
        <f>-SUMIFS('5月数据源'!$I:$I,'5月数据源'!$D:$D,$E110,'5月数据源'!$F:$F,"杭州知识跳跳科技有限公司")+SUMIFS('5月数据源'!$J:$J,'5月数据源'!$D:$D,$E110,'5月数据源'!$F:$F,"杭州知识跳跳科技有限公司")</f>
        <v/>
      </c>
      <c r="K110" s="89">
        <f>-SUMIFS('6月数据源'!$I:$I,'6月数据源'!$D:$D,$E110,'6月数据源'!$F:$F,"杭州知识跳跳科技有限公司")+SUMIFS('6月数据源'!$J:$J,'6月数据源'!$D:$D,$E110,'6月数据源'!$F:$F,"杭州知识跳跳科技有限公司")</f>
        <v/>
      </c>
      <c r="L110" s="89">
        <f>-SUMIFS('7月数据源'!$I:$I,'7月数据源'!$D:$D,$E110,'7月数据源'!$F:$F,"杭州知识跳跳科技有限公司")+SUMIFS('7月数据源'!$J:$J,'7月数据源'!$D:$D,$E110,'7月数据源'!$F:$F,"杭州知识跳跳科技有限公司")</f>
        <v/>
      </c>
      <c r="M110" s="89">
        <f>-SUMIFS('8月数据源'!$I:$I,'8月数据源'!$D:$D,$E110,'8月数据源'!$F:$F,"杭州知识跳跳科技有限公司")+SUMIFS('8月数据源'!$J:$J,'8月数据源'!$D:$D,$E110,'8月数据源'!$F:$F,"杭州知识跳跳科技有限公司")</f>
        <v/>
      </c>
      <c r="N110" s="89">
        <f>-SUMIFS('9月数据源'!$I:$I,'9月数据源'!$D:$D,$E110,'9月数据源'!$F:$F,"杭州知识跳跳科技有限公司")+SUMIFS('9月数据源'!$J:$J,'9月数据源'!$D:$D,$E110,'9月数据源'!$F:$F,"杭州知识跳跳科技有限公司")</f>
        <v/>
      </c>
      <c r="O110" s="89">
        <f>-SUMIFS('10月数据源'!$I:$I,'10月数据源'!$D:$D,$E110,'10月数据源'!$F:$F,"杭州知识跳跳科技有限公司")+SUMIFS('10月数据源'!$J:$J,'10月数据源'!$D:$D,$E110,'10月数据源'!$F:$F,"杭州知识跳跳科技有限公司")</f>
        <v/>
      </c>
      <c r="P110" s="89">
        <f>-SUMIFS('11月数据源'!$I:$I,'11月数据源'!$D:$D,$E110,'11月数据源'!$F:$F,"杭州知识跳跳科技有限公司")+SUMIFS('11月数据源'!$J:$J,'11月数据源'!$D:$D,$E110,'11月数据源'!$F:$F,"杭州知识跳跳科技有限公司")</f>
        <v/>
      </c>
      <c r="Q110" s="89">
        <f>-SUMIFS('12月数据源'!$I:$I,'12月数据源'!$D:$D,$E110,'12月数据源'!$F:$F,"杭州知识跳跳科技有限公司")+SUMIFS('12月数据源'!$J:$J,'12月数据源'!$D:$D,$E110,'12月数据源'!$F:$F,"杭州知识跳跳科技有限公司")</f>
        <v/>
      </c>
    </row>
    <row r="111" s="83">
      <c r="A111" s="5" t="inlineStr">
        <is>
          <t>销售费用</t>
        </is>
      </c>
      <c r="B111" s="6" t="inlineStr">
        <is>
          <t>投放转化</t>
        </is>
      </c>
      <c r="C111" s="6" t="inlineStr">
        <is>
          <t>投放转化</t>
        </is>
      </c>
      <c r="D111" s="5" t="inlineStr">
        <is>
          <t>信息流视频制作</t>
        </is>
      </c>
      <c r="E111" s="6" t="inlineStr">
        <is>
          <t>Q2001</t>
        </is>
      </c>
      <c r="F111" s="89">
        <f>-SUMIFS('1月数据源'!I:I,'1月数据源'!D:D,E111,'1月数据源'!F:F,"杭州知识跳跳科技有限公司")+SUMIFS('1月数据源'!J:J,'1月数据源'!D:D,E111,'1月数据源'!F:F,"杭州知识跳跳科技有限公司")</f>
        <v/>
      </c>
      <c r="G111" s="89">
        <f>-SUMIFS('2月数据源'!$I:$I,'2月数据源'!$D:$D,$E111,'2月数据源'!$F:$F,"杭州知识跳跳科技有限公司")+SUMIFS('2月数据源'!$J:$J,'2月数据源'!$D:$D,$E111,'2月数据源'!$F:$F,"杭州知识跳跳科技有限公司")</f>
        <v/>
      </c>
      <c r="H111" s="89">
        <f>-SUMIFS('3月数据源'!$I:$I,'3月数据源'!$D:$D,$E111,'3月数据源'!$F:$F,"杭州知识跳跳科技有限公司")+SUMIFS('3月数据源'!$J:$J,'3月数据源'!$D:$D,$E111,'3月数据源'!$F:$F,"杭州知识跳跳科技有限公司")</f>
        <v/>
      </c>
      <c r="I111" s="89">
        <f>-SUMIFS('4月数据源'!$I:$I,'4月数据源'!$D:$D,$E111,'4月数据源'!$F:$F,"杭州知识跳跳科技有限公司")+SUMIFS('4月数据源'!$J:$J,'4月数据源'!$D:$D,$E111,'4月数据源'!$F:$F,"杭州知识跳跳科技有限公司")</f>
        <v/>
      </c>
      <c r="J111" s="89">
        <f>-SUMIFS('5月数据源'!$I:$I,'5月数据源'!$D:$D,$E111,'5月数据源'!$F:$F,"杭州知识跳跳科技有限公司")+SUMIFS('5月数据源'!$J:$J,'5月数据源'!$D:$D,$E111,'5月数据源'!$F:$F,"杭州知识跳跳科技有限公司")</f>
        <v/>
      </c>
      <c r="K111" s="89">
        <f>-SUMIFS('6月数据源'!$I:$I,'6月数据源'!$D:$D,$E111,'6月数据源'!$F:$F,"杭州知识跳跳科技有限公司")+SUMIFS('6月数据源'!$J:$J,'6月数据源'!$D:$D,$E111,'6月数据源'!$F:$F,"杭州知识跳跳科技有限公司")</f>
        <v/>
      </c>
      <c r="L111" s="89">
        <f>-SUMIFS('7月数据源'!$I:$I,'7月数据源'!$D:$D,$E111,'7月数据源'!$F:$F,"杭州知识跳跳科技有限公司")+SUMIFS('7月数据源'!$J:$J,'7月数据源'!$D:$D,$E111,'7月数据源'!$F:$F,"杭州知识跳跳科技有限公司")</f>
        <v/>
      </c>
      <c r="M111" s="89">
        <f>-SUMIFS('8月数据源'!$I:$I,'8月数据源'!$D:$D,$E111,'8月数据源'!$F:$F,"杭州知识跳跳科技有限公司")+SUMIFS('8月数据源'!$J:$J,'8月数据源'!$D:$D,$E111,'8月数据源'!$F:$F,"杭州知识跳跳科技有限公司")</f>
        <v/>
      </c>
      <c r="N111" s="89">
        <f>-SUMIFS('9月数据源'!$I:$I,'9月数据源'!$D:$D,$E111,'9月数据源'!$F:$F,"杭州知识跳跳科技有限公司")+SUMIFS('9月数据源'!$J:$J,'9月数据源'!$D:$D,$E111,'9月数据源'!$F:$F,"杭州知识跳跳科技有限公司")</f>
        <v/>
      </c>
      <c r="O111" s="89">
        <f>-SUMIFS('10月数据源'!$I:$I,'10月数据源'!$D:$D,$E111,'10月数据源'!$F:$F,"杭州知识跳跳科技有限公司")+SUMIFS('10月数据源'!$J:$J,'10月数据源'!$D:$D,$E111,'10月数据源'!$F:$F,"杭州知识跳跳科技有限公司")</f>
        <v/>
      </c>
      <c r="P111" s="89">
        <f>-SUMIFS('11月数据源'!$I:$I,'11月数据源'!$D:$D,$E111,'11月数据源'!$F:$F,"杭州知识跳跳科技有限公司")+SUMIFS('11月数据源'!$J:$J,'11月数据源'!$D:$D,$E111,'11月数据源'!$F:$F,"杭州知识跳跳科技有限公司")</f>
        <v/>
      </c>
      <c r="Q111" s="89">
        <f>-SUMIFS('12月数据源'!$I:$I,'12月数据源'!$D:$D,$E111,'12月数据源'!$F:$F,"杭州知识跳跳科技有限公司")+SUMIFS('12月数据源'!$J:$J,'12月数据源'!$D:$D,$E111,'12月数据源'!$F:$F,"杭州知识跳跳科技有限公司")</f>
        <v/>
      </c>
    </row>
    <row r="112" s="83">
      <c r="A112" s="5" t="inlineStr">
        <is>
          <t>销售费用</t>
        </is>
      </c>
      <c r="B112" s="6" t="inlineStr">
        <is>
          <t>投放转化</t>
        </is>
      </c>
      <c r="D112" s="5" t="inlineStr">
        <is>
          <t>抖音投放充值</t>
        </is>
      </c>
      <c r="E112" s="6" t="inlineStr">
        <is>
          <t>Q2002</t>
        </is>
      </c>
      <c r="F112" s="89">
        <f>-SUMIFS('1月数据源'!I:I,'1月数据源'!D:D,E112,'1月数据源'!F:F,"杭州知识跳跳科技有限公司")+SUMIFS('1月数据源'!J:J,'1月数据源'!D:D,E112,'1月数据源'!F:F,"杭州知识跳跳科技有限公司")</f>
        <v/>
      </c>
      <c r="G112" s="89">
        <f>-SUMIFS('2月数据源'!$I:$I,'2月数据源'!$D:$D,$E112,'2月数据源'!$F:$F,"杭州知识跳跳科技有限公司")+SUMIFS('2月数据源'!$J:$J,'2月数据源'!$D:$D,$E112,'2月数据源'!$F:$F,"杭州知识跳跳科技有限公司")</f>
        <v/>
      </c>
      <c r="H112" s="89">
        <f>-SUMIFS('3月数据源'!$I:$I,'3月数据源'!$D:$D,$E112,'3月数据源'!$F:$F,"杭州知识跳跳科技有限公司")+SUMIFS('3月数据源'!$J:$J,'3月数据源'!$D:$D,$E112,'3月数据源'!$F:$F,"杭州知识跳跳科技有限公司")</f>
        <v/>
      </c>
      <c r="I112" s="89">
        <f>-SUMIFS('4月数据源'!$I:$I,'4月数据源'!$D:$D,$E112,'4月数据源'!$F:$F,"杭州知识跳跳科技有限公司")+SUMIFS('4月数据源'!$J:$J,'4月数据源'!$D:$D,$E112,'4月数据源'!$F:$F,"杭州知识跳跳科技有限公司")</f>
        <v/>
      </c>
      <c r="J112" s="89">
        <f>-SUMIFS('5月数据源'!$I:$I,'5月数据源'!$D:$D,$E112,'5月数据源'!$F:$F,"杭州知识跳跳科技有限公司")+SUMIFS('5月数据源'!$J:$J,'5月数据源'!$D:$D,$E112,'5月数据源'!$F:$F,"杭州知识跳跳科技有限公司")</f>
        <v/>
      </c>
      <c r="K112" s="89">
        <f>-SUMIFS('6月数据源'!$I:$I,'6月数据源'!$D:$D,$E112,'6月数据源'!$F:$F,"杭州知识跳跳科技有限公司")+SUMIFS('6月数据源'!$J:$J,'6月数据源'!$D:$D,$E112,'6月数据源'!$F:$F,"杭州知识跳跳科技有限公司")</f>
        <v/>
      </c>
      <c r="L112" s="89">
        <f>-SUMIFS('7月数据源'!$I:$I,'7月数据源'!$D:$D,$E112,'7月数据源'!$F:$F,"杭州知识跳跳科技有限公司")+SUMIFS('7月数据源'!$J:$J,'7月数据源'!$D:$D,$E112,'7月数据源'!$F:$F,"杭州知识跳跳科技有限公司")</f>
        <v/>
      </c>
      <c r="M112" s="89">
        <f>-SUMIFS('8月数据源'!$I:$I,'8月数据源'!$D:$D,$E112,'8月数据源'!$F:$F,"杭州知识跳跳科技有限公司")+SUMIFS('8月数据源'!$J:$J,'8月数据源'!$D:$D,$E112,'8月数据源'!$F:$F,"杭州知识跳跳科技有限公司")</f>
        <v/>
      </c>
      <c r="N112" s="89">
        <f>-SUMIFS('9月数据源'!$I:$I,'9月数据源'!$D:$D,$E112,'9月数据源'!$F:$F,"杭州知识跳跳科技有限公司")+SUMIFS('9月数据源'!$J:$J,'9月数据源'!$D:$D,$E112,'9月数据源'!$F:$F,"杭州知识跳跳科技有限公司")</f>
        <v/>
      </c>
      <c r="O112" s="89">
        <f>-SUMIFS('10月数据源'!$I:$I,'10月数据源'!$D:$D,$E112,'10月数据源'!$F:$F,"杭州知识跳跳科技有限公司")+SUMIFS('10月数据源'!$J:$J,'10月数据源'!$D:$D,$E112,'10月数据源'!$F:$F,"杭州知识跳跳科技有限公司")</f>
        <v/>
      </c>
      <c r="P112" s="89">
        <f>-SUMIFS('11月数据源'!$I:$I,'11月数据源'!$D:$D,$E112,'11月数据源'!$F:$F,"杭州知识跳跳科技有限公司")+SUMIFS('11月数据源'!$J:$J,'11月数据源'!$D:$D,$E112,'11月数据源'!$F:$F,"杭州知识跳跳科技有限公司")</f>
        <v/>
      </c>
      <c r="Q112" s="89">
        <f>-SUMIFS('12月数据源'!$I:$I,'12月数据源'!$D:$D,$E112,'12月数据源'!$F:$F,"杭州知识跳跳科技有限公司")+SUMIFS('12月数据源'!$J:$J,'12月数据源'!$D:$D,$E112,'12月数据源'!$F:$F,"杭州知识跳跳科技有限公司")</f>
        <v/>
      </c>
    </row>
    <row r="113" s="83">
      <c r="A113" s="5" t="inlineStr">
        <is>
          <t>销售费用</t>
        </is>
      </c>
      <c r="B113" s="6" t="inlineStr">
        <is>
          <t>投放转化</t>
        </is>
      </c>
      <c r="D113" s="5" t="inlineStr">
        <is>
          <t>京东平台投放充值</t>
        </is>
      </c>
      <c r="E113" s="6" t="inlineStr">
        <is>
          <t>Q2003</t>
        </is>
      </c>
      <c r="F113" s="89">
        <f>-SUMIFS('1月数据源'!I:I,'1月数据源'!D:D,E113,'1月数据源'!F:F,"杭州知识跳跳科技有限公司")+SUMIFS('1月数据源'!J:J,'1月数据源'!D:D,E113,'1月数据源'!F:F,"杭州知识跳跳科技有限公司")</f>
        <v/>
      </c>
      <c r="G113" s="89">
        <f>-SUMIFS('2月数据源'!$I:$I,'2月数据源'!$D:$D,$E113,'2月数据源'!$F:$F,"杭州知识跳跳科技有限公司")+SUMIFS('2月数据源'!$J:$J,'2月数据源'!$D:$D,$E113,'2月数据源'!$F:$F,"杭州知识跳跳科技有限公司")</f>
        <v/>
      </c>
      <c r="H113" s="89">
        <f>-SUMIFS('3月数据源'!$I:$I,'3月数据源'!$D:$D,$E113,'3月数据源'!$F:$F,"杭州知识跳跳科技有限公司")+SUMIFS('3月数据源'!$J:$J,'3月数据源'!$D:$D,$E113,'3月数据源'!$F:$F,"杭州知识跳跳科技有限公司")</f>
        <v/>
      </c>
      <c r="I113" s="89">
        <f>-SUMIFS('4月数据源'!$I:$I,'4月数据源'!$D:$D,$E113,'4月数据源'!$F:$F,"杭州知识跳跳科技有限公司")+SUMIFS('4月数据源'!$J:$J,'4月数据源'!$D:$D,$E113,'4月数据源'!$F:$F,"杭州知识跳跳科技有限公司")</f>
        <v/>
      </c>
      <c r="J113" s="89">
        <f>-SUMIFS('5月数据源'!$I:$I,'5月数据源'!$D:$D,$E113,'5月数据源'!$F:$F,"杭州知识跳跳科技有限公司")+SUMIFS('5月数据源'!$J:$J,'5月数据源'!$D:$D,$E113,'5月数据源'!$F:$F,"杭州知识跳跳科技有限公司")</f>
        <v/>
      </c>
      <c r="K113" s="89">
        <f>-SUMIFS('6月数据源'!$I:$I,'6月数据源'!$D:$D,$E113,'6月数据源'!$F:$F,"杭州知识跳跳科技有限公司")+SUMIFS('6月数据源'!$J:$J,'6月数据源'!$D:$D,$E113,'6月数据源'!$F:$F,"杭州知识跳跳科技有限公司")</f>
        <v/>
      </c>
      <c r="L113" s="89">
        <f>-SUMIFS('7月数据源'!$I:$I,'7月数据源'!$D:$D,$E113,'7月数据源'!$F:$F,"杭州知识跳跳科技有限公司")+SUMIFS('7月数据源'!$J:$J,'7月数据源'!$D:$D,$E113,'7月数据源'!$F:$F,"杭州知识跳跳科技有限公司")</f>
        <v/>
      </c>
      <c r="M113" s="89">
        <f>-SUMIFS('8月数据源'!$I:$I,'8月数据源'!$D:$D,$E113,'8月数据源'!$F:$F,"杭州知识跳跳科技有限公司")+SUMIFS('8月数据源'!$J:$J,'8月数据源'!$D:$D,$E113,'8月数据源'!$F:$F,"杭州知识跳跳科技有限公司")</f>
        <v/>
      </c>
      <c r="N113" s="89">
        <f>-SUMIFS('9月数据源'!$I:$I,'9月数据源'!$D:$D,$E113,'9月数据源'!$F:$F,"杭州知识跳跳科技有限公司")+SUMIFS('9月数据源'!$J:$J,'9月数据源'!$D:$D,$E113,'9月数据源'!$F:$F,"杭州知识跳跳科技有限公司")</f>
        <v/>
      </c>
      <c r="O113" s="89">
        <f>-SUMIFS('10月数据源'!$I:$I,'10月数据源'!$D:$D,$E113,'10月数据源'!$F:$F,"杭州知识跳跳科技有限公司")+SUMIFS('10月数据源'!$J:$J,'10月数据源'!$D:$D,$E113,'10月数据源'!$F:$F,"杭州知识跳跳科技有限公司")</f>
        <v/>
      </c>
      <c r="P113" s="89">
        <f>-SUMIFS('11月数据源'!$I:$I,'11月数据源'!$D:$D,$E113,'11月数据源'!$F:$F,"杭州知识跳跳科技有限公司")+SUMIFS('11月数据源'!$J:$J,'11月数据源'!$D:$D,$E113,'11月数据源'!$F:$F,"杭州知识跳跳科技有限公司")</f>
        <v/>
      </c>
      <c r="Q113" s="89">
        <f>-SUMIFS('12月数据源'!$I:$I,'12月数据源'!$D:$D,$E113,'12月数据源'!$F:$F,"杭州知识跳跳科技有限公司")+SUMIFS('12月数据源'!$J:$J,'12月数据源'!$D:$D,$E113,'12月数据源'!$F:$F,"杭州知识跳跳科技有限公司")</f>
        <v/>
      </c>
    </row>
    <row r="114" s="83">
      <c r="A114" s="5" t="inlineStr">
        <is>
          <t>销售费用</t>
        </is>
      </c>
      <c r="B114" s="6" t="inlineStr">
        <is>
          <t>投放转化</t>
        </is>
      </c>
      <c r="D114" s="5" t="inlineStr">
        <is>
          <t>视频号投放充值</t>
        </is>
      </c>
      <c r="E114" s="6" t="inlineStr">
        <is>
          <t>Q2004</t>
        </is>
      </c>
      <c r="F114" s="89">
        <f>-SUMIFS('1月数据源'!I:I,'1月数据源'!D:D,E114,'1月数据源'!F:F,"杭州知识跳跳科技有限公司")+SUMIFS('1月数据源'!J:J,'1月数据源'!D:D,E114,'1月数据源'!F:F,"杭州知识跳跳科技有限公司")</f>
        <v/>
      </c>
      <c r="G114" s="89">
        <f>-SUMIFS('2月数据源'!$I:$I,'2月数据源'!$D:$D,$E114,'2月数据源'!$F:$F,"杭州知识跳跳科技有限公司")+SUMIFS('2月数据源'!$J:$J,'2月数据源'!$D:$D,$E114,'2月数据源'!$F:$F,"杭州知识跳跳科技有限公司")</f>
        <v/>
      </c>
      <c r="H114" s="89">
        <f>-SUMIFS('3月数据源'!$I:$I,'3月数据源'!$D:$D,$E114,'3月数据源'!$F:$F,"杭州知识跳跳科技有限公司")+SUMIFS('3月数据源'!$J:$J,'3月数据源'!$D:$D,$E114,'3月数据源'!$F:$F,"杭州知识跳跳科技有限公司")</f>
        <v/>
      </c>
      <c r="I114" s="89">
        <f>-SUMIFS('4月数据源'!$I:$I,'4月数据源'!$D:$D,$E114,'4月数据源'!$F:$F,"杭州知识跳跳科技有限公司")+SUMIFS('4月数据源'!$J:$J,'4月数据源'!$D:$D,$E114,'4月数据源'!$F:$F,"杭州知识跳跳科技有限公司")</f>
        <v/>
      </c>
      <c r="J114" s="89">
        <f>-SUMIFS('5月数据源'!$I:$I,'5月数据源'!$D:$D,$E114,'5月数据源'!$F:$F,"杭州知识跳跳科技有限公司")+SUMIFS('5月数据源'!$J:$J,'5月数据源'!$D:$D,$E114,'5月数据源'!$F:$F,"杭州知识跳跳科技有限公司")</f>
        <v/>
      </c>
      <c r="K114" s="89">
        <f>-SUMIFS('6月数据源'!$I:$I,'6月数据源'!$D:$D,$E114,'6月数据源'!$F:$F,"杭州知识跳跳科技有限公司")+SUMIFS('6月数据源'!$J:$J,'6月数据源'!$D:$D,$E114,'6月数据源'!$F:$F,"杭州知识跳跳科技有限公司")</f>
        <v/>
      </c>
      <c r="L114" s="89">
        <f>-SUMIFS('7月数据源'!$I:$I,'7月数据源'!$D:$D,$E114,'7月数据源'!$F:$F,"杭州知识跳跳科技有限公司")+SUMIFS('7月数据源'!$J:$J,'7月数据源'!$D:$D,$E114,'7月数据源'!$F:$F,"杭州知识跳跳科技有限公司")</f>
        <v/>
      </c>
      <c r="M114" s="89">
        <f>-SUMIFS('8月数据源'!$I:$I,'8月数据源'!$D:$D,$E114,'8月数据源'!$F:$F,"杭州知识跳跳科技有限公司")+SUMIFS('8月数据源'!$J:$J,'8月数据源'!$D:$D,$E114,'8月数据源'!$F:$F,"杭州知识跳跳科技有限公司")</f>
        <v/>
      </c>
      <c r="N114" s="89">
        <f>-SUMIFS('9月数据源'!$I:$I,'9月数据源'!$D:$D,$E114,'9月数据源'!$F:$F,"杭州知识跳跳科技有限公司")+SUMIFS('9月数据源'!$J:$J,'9月数据源'!$D:$D,$E114,'9月数据源'!$F:$F,"杭州知识跳跳科技有限公司")</f>
        <v/>
      </c>
      <c r="O114" s="89">
        <f>-SUMIFS('10月数据源'!$I:$I,'10月数据源'!$D:$D,$E114,'10月数据源'!$F:$F,"杭州知识跳跳科技有限公司")+SUMIFS('10月数据源'!$J:$J,'10月数据源'!$D:$D,$E114,'10月数据源'!$F:$F,"杭州知识跳跳科技有限公司")</f>
        <v/>
      </c>
      <c r="P114" s="89">
        <f>-SUMIFS('11月数据源'!$I:$I,'11月数据源'!$D:$D,$E114,'11月数据源'!$F:$F,"杭州知识跳跳科技有限公司")+SUMIFS('11月数据源'!$J:$J,'11月数据源'!$D:$D,$E114,'11月数据源'!$F:$F,"杭州知识跳跳科技有限公司")</f>
        <v/>
      </c>
      <c r="Q114" s="89">
        <f>-SUMIFS('12月数据源'!$I:$I,'12月数据源'!$D:$D,$E114,'12月数据源'!$F:$F,"杭州知识跳跳科技有限公司")+SUMIFS('12月数据源'!$J:$J,'12月数据源'!$D:$D,$E114,'12月数据源'!$F:$F,"杭州知识跳跳科技有限公司")</f>
        <v/>
      </c>
    </row>
    <row r="115" s="83">
      <c r="A115" s="5" t="inlineStr">
        <is>
          <t>销售费用</t>
        </is>
      </c>
      <c r="B115" s="6" t="inlineStr">
        <is>
          <t>投放转化</t>
        </is>
      </c>
      <c r="D115" s="5" t="inlineStr">
        <is>
          <t>天猫平台投放充值</t>
        </is>
      </c>
      <c r="E115" s="6" t="inlineStr">
        <is>
          <t>Q2005</t>
        </is>
      </c>
      <c r="F115" s="89">
        <f>-SUMIFS('1月数据源'!I:I,'1月数据源'!D:D,E115,'1月数据源'!F:F,"杭州知识跳跳科技有限公司")+SUMIFS('1月数据源'!J:J,'1月数据源'!D:D,E115,'1月数据源'!F:F,"杭州知识跳跳科技有限公司")</f>
        <v/>
      </c>
      <c r="G115" s="89">
        <f>-SUMIFS('2月数据源'!$I:$I,'2月数据源'!$D:$D,$E115,'2月数据源'!$F:$F,"杭州知识跳跳科技有限公司")+SUMIFS('2月数据源'!$J:$J,'2月数据源'!$D:$D,$E115,'2月数据源'!$F:$F,"杭州知识跳跳科技有限公司")</f>
        <v/>
      </c>
      <c r="H115" s="89">
        <f>-SUMIFS('3月数据源'!$I:$I,'3月数据源'!$D:$D,$E115,'3月数据源'!$F:$F,"杭州知识跳跳科技有限公司")+SUMIFS('3月数据源'!$J:$J,'3月数据源'!$D:$D,$E115,'3月数据源'!$F:$F,"杭州知识跳跳科技有限公司")</f>
        <v/>
      </c>
      <c r="I115" s="89">
        <f>-SUMIFS('4月数据源'!$I:$I,'4月数据源'!$D:$D,$E115,'4月数据源'!$F:$F,"杭州知识跳跳科技有限公司")+SUMIFS('4月数据源'!$J:$J,'4月数据源'!$D:$D,$E115,'4月数据源'!$F:$F,"杭州知识跳跳科技有限公司")</f>
        <v/>
      </c>
      <c r="J115" s="89">
        <f>-SUMIFS('5月数据源'!$I:$I,'5月数据源'!$D:$D,$E115,'5月数据源'!$F:$F,"杭州知识跳跳科技有限公司")+SUMIFS('5月数据源'!$J:$J,'5月数据源'!$D:$D,$E115,'5月数据源'!$F:$F,"杭州知识跳跳科技有限公司")</f>
        <v/>
      </c>
      <c r="K115" s="89">
        <f>-SUMIFS('6月数据源'!$I:$I,'6月数据源'!$D:$D,$E115,'6月数据源'!$F:$F,"杭州知识跳跳科技有限公司")+SUMIFS('6月数据源'!$J:$J,'6月数据源'!$D:$D,$E115,'6月数据源'!$F:$F,"杭州知识跳跳科技有限公司")</f>
        <v/>
      </c>
      <c r="L115" s="89">
        <f>-SUMIFS('7月数据源'!$I:$I,'7月数据源'!$D:$D,$E115,'7月数据源'!$F:$F,"杭州知识跳跳科技有限公司")+SUMIFS('7月数据源'!$J:$J,'7月数据源'!$D:$D,$E115,'7月数据源'!$F:$F,"杭州知识跳跳科技有限公司")</f>
        <v/>
      </c>
      <c r="M115" s="89">
        <f>-SUMIFS('8月数据源'!$I:$I,'8月数据源'!$D:$D,$E115,'8月数据源'!$F:$F,"杭州知识跳跳科技有限公司")+SUMIFS('8月数据源'!$J:$J,'8月数据源'!$D:$D,$E115,'8月数据源'!$F:$F,"杭州知识跳跳科技有限公司")</f>
        <v/>
      </c>
      <c r="N115" s="89">
        <f>-SUMIFS('9月数据源'!$I:$I,'9月数据源'!$D:$D,$E115,'9月数据源'!$F:$F,"杭州知识跳跳科技有限公司")+SUMIFS('9月数据源'!$J:$J,'9月数据源'!$D:$D,$E115,'9月数据源'!$F:$F,"杭州知识跳跳科技有限公司")</f>
        <v/>
      </c>
      <c r="O115" s="89">
        <f>-SUMIFS('10月数据源'!$I:$I,'10月数据源'!$D:$D,$E115,'10月数据源'!$F:$F,"杭州知识跳跳科技有限公司")+SUMIFS('10月数据源'!$J:$J,'10月数据源'!$D:$D,$E115,'10月数据源'!$F:$F,"杭州知识跳跳科技有限公司")</f>
        <v/>
      </c>
      <c r="P115" s="89">
        <f>-SUMIFS('11月数据源'!$I:$I,'11月数据源'!$D:$D,$E115,'11月数据源'!$F:$F,"杭州知识跳跳科技有限公司")+SUMIFS('11月数据源'!$J:$J,'11月数据源'!$D:$D,$E115,'11月数据源'!$F:$F,"杭州知识跳跳科技有限公司")</f>
        <v/>
      </c>
      <c r="Q115" s="89">
        <f>-SUMIFS('12月数据源'!$I:$I,'12月数据源'!$D:$D,$E115,'12月数据源'!$F:$F,"杭州知识跳跳科技有限公司")+SUMIFS('12月数据源'!$J:$J,'12月数据源'!$D:$D,$E115,'12月数据源'!$F:$F,"杭州知识跳跳科技有限公司")</f>
        <v/>
      </c>
    </row>
    <row r="116" s="83">
      <c r="A116" s="5" t="inlineStr">
        <is>
          <t>销售费用</t>
        </is>
      </c>
      <c r="B116" s="6" t="inlineStr">
        <is>
          <t>直播间运营</t>
        </is>
      </c>
      <c r="C116" s="6" t="inlineStr">
        <is>
          <t>直播间运营</t>
        </is>
      </c>
      <c r="D116" s="5" t="inlineStr">
        <is>
          <t>DP-有熊团队服务费</t>
        </is>
      </c>
      <c r="E116" s="6" t="inlineStr">
        <is>
          <t>Q2101</t>
        </is>
      </c>
      <c r="F116" s="89">
        <f>-SUMIFS('1月数据源'!I:I,'1月数据源'!D:D,E116,'1月数据源'!F:F,"杭州知识跳跳科技有限公司")+SUMIFS('1月数据源'!J:J,'1月数据源'!D:D,E116,'1月数据源'!F:F,"杭州知识跳跳科技有限公司")</f>
        <v/>
      </c>
      <c r="G116" s="89">
        <f>-SUMIFS('2月数据源'!$I:$I,'2月数据源'!$D:$D,$E116,'2月数据源'!$F:$F,"杭州知识跳跳科技有限公司")+SUMIFS('2月数据源'!$J:$J,'2月数据源'!$D:$D,$E116,'2月数据源'!$F:$F,"杭州知识跳跳科技有限公司")</f>
        <v/>
      </c>
      <c r="H116" s="89">
        <f>-SUMIFS('3月数据源'!$I:$I,'3月数据源'!$D:$D,$E116,'3月数据源'!$F:$F,"杭州知识跳跳科技有限公司")+SUMIFS('3月数据源'!$J:$J,'3月数据源'!$D:$D,$E116,'3月数据源'!$F:$F,"杭州知识跳跳科技有限公司")</f>
        <v/>
      </c>
      <c r="I116" s="89">
        <f>-SUMIFS('4月数据源'!$I:$I,'4月数据源'!$D:$D,$E116,'4月数据源'!$F:$F,"杭州知识跳跳科技有限公司")+SUMIFS('4月数据源'!$J:$J,'4月数据源'!$D:$D,$E116,'4月数据源'!$F:$F,"杭州知识跳跳科技有限公司")</f>
        <v/>
      </c>
      <c r="J116" s="89">
        <f>-SUMIFS('5月数据源'!$I:$I,'5月数据源'!$D:$D,$E116,'5月数据源'!$F:$F,"杭州知识跳跳科技有限公司")+SUMIFS('5月数据源'!$J:$J,'5月数据源'!$D:$D,$E116,'5月数据源'!$F:$F,"杭州知识跳跳科技有限公司")</f>
        <v/>
      </c>
      <c r="K116" s="89">
        <f>-SUMIFS('6月数据源'!$I:$I,'6月数据源'!$D:$D,$E116,'6月数据源'!$F:$F,"杭州知识跳跳科技有限公司")+SUMIFS('6月数据源'!$J:$J,'6月数据源'!$D:$D,$E116,'6月数据源'!$F:$F,"杭州知识跳跳科技有限公司")</f>
        <v/>
      </c>
      <c r="L116" s="89">
        <f>-SUMIFS('7月数据源'!$I:$I,'7月数据源'!$D:$D,$E116,'7月数据源'!$F:$F,"杭州知识跳跳科技有限公司")+SUMIFS('7月数据源'!$J:$J,'7月数据源'!$D:$D,$E116,'7月数据源'!$F:$F,"杭州知识跳跳科技有限公司")</f>
        <v/>
      </c>
      <c r="M116" s="89">
        <f>-SUMIFS('8月数据源'!$I:$I,'8月数据源'!$D:$D,$E116,'8月数据源'!$F:$F,"杭州知识跳跳科技有限公司")+SUMIFS('8月数据源'!$J:$J,'8月数据源'!$D:$D,$E116,'8月数据源'!$F:$F,"杭州知识跳跳科技有限公司")</f>
        <v/>
      </c>
      <c r="N116" s="89">
        <f>-SUMIFS('9月数据源'!$I:$I,'9月数据源'!$D:$D,$E116,'9月数据源'!$F:$F,"杭州知识跳跳科技有限公司")+SUMIFS('9月数据源'!$J:$J,'9月数据源'!$D:$D,$E116,'9月数据源'!$F:$F,"杭州知识跳跳科技有限公司")</f>
        <v/>
      </c>
      <c r="O116" s="89">
        <f>-SUMIFS('10月数据源'!$I:$I,'10月数据源'!$D:$D,$E116,'10月数据源'!$F:$F,"杭州知识跳跳科技有限公司")+SUMIFS('10月数据源'!$J:$J,'10月数据源'!$D:$D,$E116,'10月数据源'!$F:$F,"杭州知识跳跳科技有限公司")</f>
        <v/>
      </c>
      <c r="P116" s="89">
        <f>-SUMIFS('11月数据源'!$I:$I,'11月数据源'!$D:$D,$E116,'11月数据源'!$F:$F,"杭州知识跳跳科技有限公司")+SUMIFS('11月数据源'!$J:$J,'11月数据源'!$D:$D,$E116,'11月数据源'!$F:$F,"杭州知识跳跳科技有限公司")</f>
        <v/>
      </c>
      <c r="Q116" s="89">
        <f>-SUMIFS('12月数据源'!$I:$I,'12月数据源'!$D:$D,$E116,'12月数据源'!$F:$F,"杭州知识跳跳科技有限公司")+SUMIFS('12月数据源'!$J:$J,'12月数据源'!$D:$D,$E116,'12月数据源'!$F:$F,"杭州知识跳跳科技有限公司")</f>
        <v/>
      </c>
    </row>
    <row r="117" s="83">
      <c r="A117" s="5" t="inlineStr">
        <is>
          <t>销售费用</t>
        </is>
      </c>
      <c r="B117" s="6" t="inlineStr">
        <is>
          <t>直播间运营</t>
        </is>
      </c>
      <c r="D117" s="5" t="inlineStr">
        <is>
          <t>DP-黑哥团队服务费</t>
        </is>
      </c>
      <c r="E117" s="6" t="inlineStr">
        <is>
          <t>Q2102</t>
        </is>
      </c>
      <c r="F117" s="89">
        <f>-SUMIFS('1月数据源'!I:I,'1月数据源'!D:D,E117,'1月数据源'!F:F,"杭州知识跳跳科技有限公司")+SUMIFS('1月数据源'!J:J,'1月数据源'!D:D,E117,'1月数据源'!F:F,"杭州知识跳跳科技有限公司")</f>
        <v/>
      </c>
      <c r="G117" s="89">
        <f>-SUMIFS('2月数据源'!$I:$I,'2月数据源'!$D:$D,$E117,'2月数据源'!$F:$F,"杭州知识跳跳科技有限公司")+SUMIFS('2月数据源'!$J:$J,'2月数据源'!$D:$D,$E117,'2月数据源'!$F:$F,"杭州知识跳跳科技有限公司")</f>
        <v/>
      </c>
      <c r="H117" s="89">
        <f>-SUMIFS('3月数据源'!$I:$I,'3月数据源'!$D:$D,$E117,'3月数据源'!$F:$F,"杭州知识跳跳科技有限公司")+SUMIFS('3月数据源'!$J:$J,'3月数据源'!$D:$D,$E117,'3月数据源'!$F:$F,"杭州知识跳跳科技有限公司")</f>
        <v/>
      </c>
      <c r="I117" s="89">
        <f>-SUMIFS('4月数据源'!$I:$I,'4月数据源'!$D:$D,$E117,'4月数据源'!$F:$F,"杭州知识跳跳科技有限公司")+SUMIFS('4月数据源'!$J:$J,'4月数据源'!$D:$D,$E117,'4月数据源'!$F:$F,"杭州知识跳跳科技有限公司")</f>
        <v/>
      </c>
      <c r="J117" s="89">
        <f>-SUMIFS('5月数据源'!$I:$I,'5月数据源'!$D:$D,$E117,'5月数据源'!$F:$F,"杭州知识跳跳科技有限公司")+SUMIFS('5月数据源'!$J:$J,'5月数据源'!$D:$D,$E117,'5月数据源'!$F:$F,"杭州知识跳跳科技有限公司")</f>
        <v/>
      </c>
      <c r="K117" s="89">
        <f>-SUMIFS('6月数据源'!$I:$I,'6月数据源'!$D:$D,$E117,'6月数据源'!$F:$F,"杭州知识跳跳科技有限公司")+SUMIFS('6月数据源'!$J:$J,'6月数据源'!$D:$D,$E117,'6月数据源'!$F:$F,"杭州知识跳跳科技有限公司")</f>
        <v/>
      </c>
      <c r="L117" s="89">
        <f>-SUMIFS('7月数据源'!$I:$I,'7月数据源'!$D:$D,$E117,'7月数据源'!$F:$F,"杭州知识跳跳科技有限公司")+SUMIFS('7月数据源'!$J:$J,'7月数据源'!$D:$D,$E117,'7月数据源'!$F:$F,"杭州知识跳跳科技有限公司")</f>
        <v/>
      </c>
      <c r="M117" s="89">
        <f>-SUMIFS('8月数据源'!$I:$I,'8月数据源'!$D:$D,$E117,'8月数据源'!$F:$F,"杭州知识跳跳科技有限公司")+SUMIFS('8月数据源'!$J:$J,'8月数据源'!$D:$D,$E117,'8月数据源'!$F:$F,"杭州知识跳跳科技有限公司")</f>
        <v/>
      </c>
      <c r="N117" s="89">
        <f>-SUMIFS('9月数据源'!$I:$I,'9月数据源'!$D:$D,$E117,'9月数据源'!$F:$F,"杭州知识跳跳科技有限公司")+SUMIFS('9月数据源'!$J:$J,'9月数据源'!$D:$D,$E117,'9月数据源'!$F:$F,"杭州知识跳跳科技有限公司")</f>
        <v/>
      </c>
      <c r="O117" s="89">
        <f>-SUMIFS('10月数据源'!$I:$I,'10月数据源'!$D:$D,$E117,'10月数据源'!$F:$F,"杭州知识跳跳科技有限公司")+SUMIFS('10月数据源'!$J:$J,'10月数据源'!$D:$D,$E117,'10月数据源'!$F:$F,"杭州知识跳跳科技有限公司")</f>
        <v/>
      </c>
      <c r="P117" s="89">
        <f>-SUMIFS('11月数据源'!$I:$I,'11月数据源'!$D:$D,$E117,'11月数据源'!$F:$F,"杭州知识跳跳科技有限公司")+SUMIFS('11月数据源'!$J:$J,'11月数据源'!$D:$D,$E117,'11月数据源'!$F:$F,"杭州知识跳跳科技有限公司")</f>
        <v/>
      </c>
      <c r="Q117" s="89">
        <f>-SUMIFS('12月数据源'!$I:$I,'12月数据源'!$D:$D,$E117,'12月数据源'!$F:$F,"杭州知识跳跳科技有限公司")+SUMIFS('12月数据源'!$J:$J,'12月数据源'!$D:$D,$E117,'12月数据源'!$F:$F,"杭州知识跳跳科技有限公司")</f>
        <v/>
      </c>
    </row>
    <row r="118" s="83">
      <c r="A118" s="5" t="inlineStr">
        <is>
          <t>销售费用</t>
        </is>
      </c>
      <c r="B118" s="6" t="inlineStr">
        <is>
          <t>直播间运营</t>
        </is>
      </c>
      <c r="D118" s="5" t="inlineStr">
        <is>
          <t>DP-小太阳团队服务费</t>
        </is>
      </c>
      <c r="E118" s="6" t="inlineStr">
        <is>
          <t>Q2103</t>
        </is>
      </c>
      <c r="F118" s="89">
        <f>-SUMIFS('1月数据源'!I:I,'1月数据源'!D:D,E118,'1月数据源'!F:F,"杭州知识跳跳科技有限公司")+SUMIFS('1月数据源'!J:J,'1月数据源'!D:D,E118,'1月数据源'!F:F,"杭州知识跳跳科技有限公司")</f>
        <v/>
      </c>
      <c r="G118" s="89">
        <f>-SUMIFS('2月数据源'!$I:$I,'2月数据源'!$D:$D,$E118,'2月数据源'!$F:$F,"杭州知识跳跳科技有限公司")+SUMIFS('2月数据源'!$J:$J,'2月数据源'!$D:$D,$E118,'2月数据源'!$F:$F,"杭州知识跳跳科技有限公司")</f>
        <v/>
      </c>
      <c r="H118" s="89">
        <f>-SUMIFS('3月数据源'!$I:$I,'3月数据源'!$D:$D,$E118,'3月数据源'!$F:$F,"杭州知识跳跳科技有限公司")+SUMIFS('3月数据源'!$J:$J,'3月数据源'!$D:$D,$E118,'3月数据源'!$F:$F,"杭州知识跳跳科技有限公司")</f>
        <v/>
      </c>
      <c r="I118" s="89">
        <f>-SUMIFS('4月数据源'!$I:$I,'4月数据源'!$D:$D,$E118,'4月数据源'!$F:$F,"杭州知识跳跳科技有限公司")+SUMIFS('4月数据源'!$J:$J,'4月数据源'!$D:$D,$E118,'4月数据源'!$F:$F,"杭州知识跳跳科技有限公司")</f>
        <v/>
      </c>
      <c r="J118" s="89">
        <f>-SUMIFS('5月数据源'!$I:$I,'5月数据源'!$D:$D,$E118,'5月数据源'!$F:$F,"杭州知识跳跳科技有限公司")+SUMIFS('5月数据源'!$J:$J,'5月数据源'!$D:$D,$E118,'5月数据源'!$F:$F,"杭州知识跳跳科技有限公司")</f>
        <v/>
      </c>
      <c r="K118" s="89">
        <f>-SUMIFS('6月数据源'!$I:$I,'6月数据源'!$D:$D,$E118,'6月数据源'!$F:$F,"杭州知识跳跳科技有限公司")+SUMIFS('6月数据源'!$J:$J,'6月数据源'!$D:$D,$E118,'6月数据源'!$F:$F,"杭州知识跳跳科技有限公司")</f>
        <v/>
      </c>
      <c r="L118" s="89">
        <f>-SUMIFS('7月数据源'!$I:$I,'7月数据源'!$D:$D,$E118,'7月数据源'!$F:$F,"杭州知识跳跳科技有限公司")+SUMIFS('7月数据源'!$J:$J,'7月数据源'!$D:$D,$E118,'7月数据源'!$F:$F,"杭州知识跳跳科技有限公司")</f>
        <v/>
      </c>
      <c r="M118" s="89">
        <f>-SUMIFS('8月数据源'!$I:$I,'8月数据源'!$D:$D,$E118,'8月数据源'!$F:$F,"杭州知识跳跳科技有限公司")+SUMIFS('8月数据源'!$J:$J,'8月数据源'!$D:$D,$E118,'8月数据源'!$F:$F,"杭州知识跳跳科技有限公司")</f>
        <v/>
      </c>
      <c r="N118" s="89">
        <f>-SUMIFS('9月数据源'!$I:$I,'9月数据源'!$D:$D,$E118,'9月数据源'!$F:$F,"杭州知识跳跳科技有限公司")+SUMIFS('9月数据源'!$J:$J,'9月数据源'!$D:$D,$E118,'9月数据源'!$F:$F,"杭州知识跳跳科技有限公司")</f>
        <v/>
      </c>
      <c r="O118" s="89">
        <f>-SUMIFS('10月数据源'!$I:$I,'10月数据源'!$D:$D,$E118,'10月数据源'!$F:$F,"杭州知识跳跳科技有限公司")+SUMIFS('10月数据源'!$J:$J,'10月数据源'!$D:$D,$E118,'10月数据源'!$F:$F,"杭州知识跳跳科技有限公司")</f>
        <v/>
      </c>
      <c r="P118" s="89">
        <f>-SUMIFS('11月数据源'!$I:$I,'11月数据源'!$D:$D,$E118,'11月数据源'!$F:$F,"杭州知识跳跳科技有限公司")+SUMIFS('11月数据源'!$J:$J,'11月数据源'!$D:$D,$E118,'11月数据源'!$F:$F,"杭州知识跳跳科技有限公司")</f>
        <v/>
      </c>
      <c r="Q118" s="89">
        <f>-SUMIFS('12月数据源'!$I:$I,'12月数据源'!$D:$D,$E118,'12月数据源'!$F:$F,"杭州知识跳跳科技有限公司")+SUMIFS('12月数据源'!$J:$J,'12月数据源'!$D:$D,$E118,'12月数据源'!$F:$F,"杭州知识跳跳科技有限公司")</f>
        <v/>
      </c>
    </row>
    <row r="119" s="83">
      <c r="A119" s="5" t="inlineStr">
        <is>
          <t>销售费用</t>
        </is>
      </c>
      <c r="B119" s="6" t="inlineStr">
        <is>
          <t>直播间运营</t>
        </is>
      </c>
      <c r="D119" s="5" t="inlineStr">
        <is>
          <t>直播间搭建费用</t>
        </is>
      </c>
      <c r="E119" s="6" t="inlineStr">
        <is>
          <t>Q2104</t>
        </is>
      </c>
      <c r="F119" s="89">
        <f>-SUMIFS('1月数据源'!I:I,'1月数据源'!D:D,E119,'1月数据源'!F:F,"杭州知识跳跳科技有限公司")+SUMIFS('1月数据源'!J:J,'1月数据源'!D:D,E119,'1月数据源'!F:F,"杭州知识跳跳科技有限公司")</f>
        <v/>
      </c>
      <c r="G119" s="89">
        <f>-SUMIFS('2月数据源'!$I:$I,'2月数据源'!$D:$D,$E119,'2月数据源'!$F:$F,"杭州知识跳跳科技有限公司")+SUMIFS('2月数据源'!$J:$J,'2月数据源'!$D:$D,$E119,'2月数据源'!$F:$F,"杭州知识跳跳科技有限公司")</f>
        <v/>
      </c>
      <c r="H119" s="89">
        <f>-SUMIFS('3月数据源'!$I:$I,'3月数据源'!$D:$D,$E119,'3月数据源'!$F:$F,"杭州知识跳跳科技有限公司")+SUMIFS('3月数据源'!$J:$J,'3月数据源'!$D:$D,$E119,'3月数据源'!$F:$F,"杭州知识跳跳科技有限公司")</f>
        <v/>
      </c>
      <c r="I119" s="89">
        <f>-SUMIFS('4月数据源'!$I:$I,'4月数据源'!$D:$D,$E119,'4月数据源'!$F:$F,"杭州知识跳跳科技有限公司")+SUMIFS('4月数据源'!$J:$J,'4月数据源'!$D:$D,$E119,'4月数据源'!$F:$F,"杭州知识跳跳科技有限公司")</f>
        <v/>
      </c>
      <c r="J119" s="89">
        <f>-SUMIFS('5月数据源'!$I:$I,'5月数据源'!$D:$D,$E119,'5月数据源'!$F:$F,"杭州知识跳跳科技有限公司")+SUMIFS('5月数据源'!$J:$J,'5月数据源'!$D:$D,$E119,'5月数据源'!$F:$F,"杭州知识跳跳科技有限公司")</f>
        <v/>
      </c>
      <c r="K119" s="89">
        <f>-SUMIFS('6月数据源'!$I:$I,'6月数据源'!$D:$D,$E119,'6月数据源'!$F:$F,"杭州知识跳跳科技有限公司")+SUMIFS('6月数据源'!$J:$J,'6月数据源'!$D:$D,$E119,'6月数据源'!$F:$F,"杭州知识跳跳科技有限公司")</f>
        <v/>
      </c>
      <c r="L119" s="89">
        <f>-SUMIFS('7月数据源'!$I:$I,'7月数据源'!$D:$D,$E119,'7月数据源'!$F:$F,"杭州知识跳跳科技有限公司")+SUMIFS('7月数据源'!$J:$J,'7月数据源'!$D:$D,$E119,'7月数据源'!$F:$F,"杭州知识跳跳科技有限公司")</f>
        <v/>
      </c>
      <c r="M119" s="89">
        <f>-SUMIFS('8月数据源'!$I:$I,'8月数据源'!$D:$D,$E119,'8月数据源'!$F:$F,"杭州知识跳跳科技有限公司")+SUMIFS('8月数据源'!$J:$J,'8月数据源'!$D:$D,$E119,'8月数据源'!$F:$F,"杭州知识跳跳科技有限公司")</f>
        <v/>
      </c>
      <c r="N119" s="89">
        <f>-SUMIFS('9月数据源'!$I:$I,'9月数据源'!$D:$D,$E119,'9月数据源'!$F:$F,"杭州知识跳跳科技有限公司")+SUMIFS('9月数据源'!$J:$J,'9月数据源'!$D:$D,$E119,'9月数据源'!$F:$F,"杭州知识跳跳科技有限公司")</f>
        <v/>
      </c>
      <c r="O119" s="89">
        <f>-SUMIFS('10月数据源'!$I:$I,'10月数据源'!$D:$D,$E119,'10月数据源'!$F:$F,"杭州知识跳跳科技有限公司")+SUMIFS('10月数据源'!$J:$J,'10月数据源'!$D:$D,$E119,'10月数据源'!$F:$F,"杭州知识跳跳科技有限公司")</f>
        <v/>
      </c>
      <c r="P119" s="89">
        <f>-SUMIFS('11月数据源'!$I:$I,'11月数据源'!$D:$D,$E119,'11月数据源'!$F:$F,"杭州知识跳跳科技有限公司")+SUMIFS('11月数据源'!$J:$J,'11月数据源'!$D:$D,$E119,'11月数据源'!$F:$F,"杭州知识跳跳科技有限公司")</f>
        <v/>
      </c>
      <c r="Q119" s="89">
        <f>-SUMIFS('12月数据源'!$I:$I,'12月数据源'!$D:$D,$E119,'12月数据源'!$F:$F,"杭州知识跳跳科技有限公司")+SUMIFS('12月数据源'!$J:$J,'12月数据源'!$D:$D,$E119,'12月数据源'!$F:$F,"杭州知识跳跳科技有限公司")</f>
        <v/>
      </c>
    </row>
    <row r="120" s="83">
      <c r="A120" s="5" t="inlineStr">
        <is>
          <t>销售费用</t>
        </is>
      </c>
      <c r="B120" s="6" t="inlineStr">
        <is>
          <t>平台运营</t>
        </is>
      </c>
      <c r="C120" s="6" t="inlineStr">
        <is>
          <t>平台运营</t>
        </is>
      </c>
      <c r="D120" s="5" t="inlineStr">
        <is>
          <t>分期服务费</t>
        </is>
      </c>
      <c r="E120" s="6" t="inlineStr">
        <is>
          <t>Q2204</t>
        </is>
      </c>
      <c r="F120" s="89">
        <f>-SUMIFS('1月数据源'!I:I,'1月数据源'!D:D,E120,'1月数据源'!F:F,"杭州知识跳跳科技有限公司")+SUMIFS('1月数据源'!J:J,'1月数据源'!D:D,E120,'1月数据源'!F:F,"杭州知识跳跳科技有限公司")</f>
        <v/>
      </c>
      <c r="G120" s="89">
        <f>-SUMIFS('2月数据源'!$I:$I,'2月数据源'!$D:$D,$E120,'2月数据源'!$F:$F,"杭州知识跳跳科技有限公司")+SUMIFS('2月数据源'!$J:$J,'2月数据源'!$D:$D,$E120,'2月数据源'!$F:$F,"杭州知识跳跳科技有限公司")</f>
        <v/>
      </c>
      <c r="H120" s="89">
        <f>-SUMIFS('3月数据源'!$I:$I,'3月数据源'!$D:$D,$E120,'3月数据源'!$F:$F,"杭州知识跳跳科技有限公司")+SUMIFS('3月数据源'!$J:$J,'3月数据源'!$D:$D,$E120,'3月数据源'!$F:$F,"杭州知识跳跳科技有限公司")</f>
        <v/>
      </c>
      <c r="I120" s="89">
        <f>-SUMIFS('4月数据源'!$I:$I,'4月数据源'!$D:$D,$E120,'4月数据源'!$F:$F,"杭州知识跳跳科技有限公司")+SUMIFS('4月数据源'!$J:$J,'4月数据源'!$D:$D,$E120,'4月数据源'!$F:$F,"杭州知识跳跳科技有限公司")</f>
        <v/>
      </c>
      <c r="J120" s="89">
        <f>-SUMIFS('5月数据源'!$I:$I,'5月数据源'!$D:$D,$E120,'5月数据源'!$F:$F,"杭州知识跳跳科技有限公司")+SUMIFS('5月数据源'!$J:$J,'5月数据源'!$D:$D,$E120,'5月数据源'!$F:$F,"杭州知识跳跳科技有限公司")</f>
        <v/>
      </c>
      <c r="K120" s="89">
        <f>-SUMIFS('6月数据源'!$I:$I,'6月数据源'!$D:$D,$E120,'6月数据源'!$F:$F,"杭州知识跳跳科技有限公司")+SUMIFS('6月数据源'!$J:$J,'6月数据源'!$D:$D,$E120,'6月数据源'!$F:$F,"杭州知识跳跳科技有限公司")</f>
        <v/>
      </c>
      <c r="L120" s="89">
        <f>-SUMIFS('7月数据源'!$I:$I,'7月数据源'!$D:$D,$E120,'7月数据源'!$F:$F,"杭州知识跳跳科技有限公司")+SUMIFS('7月数据源'!$J:$J,'7月数据源'!$D:$D,$E120,'7月数据源'!$F:$F,"杭州知识跳跳科技有限公司")</f>
        <v/>
      </c>
      <c r="M120" s="89">
        <f>-SUMIFS('8月数据源'!$I:$I,'8月数据源'!$D:$D,$E120,'8月数据源'!$F:$F,"杭州知识跳跳科技有限公司")+SUMIFS('8月数据源'!$J:$J,'8月数据源'!$D:$D,$E120,'8月数据源'!$F:$F,"杭州知识跳跳科技有限公司")</f>
        <v/>
      </c>
      <c r="N120" s="89">
        <f>-SUMIFS('9月数据源'!$I:$I,'9月数据源'!$D:$D,$E120,'9月数据源'!$F:$F,"杭州知识跳跳科技有限公司")+SUMIFS('9月数据源'!$J:$J,'9月数据源'!$D:$D,$E120,'9月数据源'!$F:$F,"杭州知识跳跳科技有限公司")</f>
        <v/>
      </c>
      <c r="O120" s="89">
        <f>-SUMIFS('10月数据源'!$I:$I,'10月数据源'!$D:$D,$E120,'10月数据源'!$F:$F,"杭州知识跳跳科技有限公司")+SUMIFS('10月数据源'!$J:$J,'10月数据源'!$D:$D,$E120,'10月数据源'!$F:$F,"杭州知识跳跳科技有限公司")</f>
        <v/>
      </c>
      <c r="P120" s="89">
        <f>-SUMIFS('11月数据源'!$I:$I,'11月数据源'!$D:$D,$E120,'11月数据源'!$F:$F,"杭州知识跳跳科技有限公司")+SUMIFS('11月数据源'!$J:$J,'11月数据源'!$D:$D,$E120,'11月数据源'!$F:$F,"杭州知识跳跳科技有限公司")</f>
        <v/>
      </c>
      <c r="Q120" s="89">
        <f>-SUMIFS('12月数据源'!$I:$I,'12月数据源'!$D:$D,$E120,'12月数据源'!$F:$F,"杭州知识跳跳科技有限公司")+SUMIFS('12月数据源'!$J:$J,'12月数据源'!$D:$D,$E120,'12月数据源'!$F:$F,"杭州知识跳跳科技有限公司")</f>
        <v/>
      </c>
    </row>
    <row r="121" s="83">
      <c r="A121" s="5" t="inlineStr">
        <is>
          <t>销售费用</t>
        </is>
      </c>
      <c r="B121" s="6" t="inlineStr">
        <is>
          <t>平台运营</t>
        </is>
      </c>
      <c r="D121" s="5" t="inlineStr">
        <is>
          <t>平台服务费</t>
        </is>
      </c>
      <c r="E121" s="6" t="inlineStr">
        <is>
          <t>Q2201</t>
        </is>
      </c>
      <c r="F121" s="89">
        <f>-SUMIFS('1月数据源'!I:I,'1月数据源'!D:D,E121,'1月数据源'!F:F,"杭州知识跳跳科技有限公司")+SUMIFS('1月数据源'!J:J,'1月数据源'!D:D,E121,'1月数据源'!F:F,"杭州知识跳跳科技有限公司")</f>
        <v/>
      </c>
      <c r="G121" s="89">
        <f>-SUMIFS('2月数据源'!$I:$I,'2月数据源'!$D:$D,$E121,'2月数据源'!$F:$F,"杭州知识跳跳科技有限公司")+SUMIFS('2月数据源'!$J:$J,'2月数据源'!$D:$D,$E121,'2月数据源'!$F:$F,"杭州知识跳跳科技有限公司")</f>
        <v/>
      </c>
      <c r="H121" s="89">
        <f>-SUMIFS('3月数据源'!$I:$I,'3月数据源'!$D:$D,$E121,'3月数据源'!$F:$F,"杭州知识跳跳科技有限公司")+SUMIFS('3月数据源'!$J:$J,'3月数据源'!$D:$D,$E121,'3月数据源'!$F:$F,"杭州知识跳跳科技有限公司")</f>
        <v/>
      </c>
      <c r="I121" s="89">
        <f>-SUMIFS('4月数据源'!$I:$I,'4月数据源'!$D:$D,$E121,'4月数据源'!$F:$F,"杭州知识跳跳科技有限公司")+SUMIFS('4月数据源'!$J:$J,'4月数据源'!$D:$D,$E121,'4月数据源'!$F:$F,"杭州知识跳跳科技有限公司")</f>
        <v/>
      </c>
      <c r="J121" s="89">
        <f>-SUMIFS('5月数据源'!$I:$I,'5月数据源'!$D:$D,$E121,'5月数据源'!$F:$F,"杭州知识跳跳科技有限公司")+SUMIFS('5月数据源'!$J:$J,'5月数据源'!$D:$D,$E121,'5月数据源'!$F:$F,"杭州知识跳跳科技有限公司")</f>
        <v/>
      </c>
      <c r="K121" s="89">
        <f>-SUMIFS('6月数据源'!$I:$I,'6月数据源'!$D:$D,$E121,'6月数据源'!$F:$F,"杭州知识跳跳科技有限公司")+SUMIFS('6月数据源'!$J:$J,'6月数据源'!$D:$D,$E121,'6月数据源'!$F:$F,"杭州知识跳跳科技有限公司")</f>
        <v/>
      </c>
      <c r="L121" s="89">
        <f>-SUMIFS('7月数据源'!$I:$I,'7月数据源'!$D:$D,$E121,'7月数据源'!$F:$F,"杭州知识跳跳科技有限公司")+SUMIFS('7月数据源'!$J:$J,'7月数据源'!$D:$D,$E121,'7月数据源'!$F:$F,"杭州知识跳跳科技有限公司")</f>
        <v/>
      </c>
      <c r="M121" s="89">
        <f>-SUMIFS('8月数据源'!$I:$I,'8月数据源'!$D:$D,$E121,'8月数据源'!$F:$F,"杭州知识跳跳科技有限公司")+SUMIFS('8月数据源'!$J:$J,'8月数据源'!$D:$D,$E121,'8月数据源'!$F:$F,"杭州知识跳跳科技有限公司")</f>
        <v/>
      </c>
      <c r="N121" s="89">
        <f>-SUMIFS('9月数据源'!$I:$I,'9月数据源'!$D:$D,$E121,'9月数据源'!$F:$F,"杭州知识跳跳科技有限公司")+SUMIFS('9月数据源'!$J:$J,'9月数据源'!$D:$D,$E121,'9月数据源'!$F:$F,"杭州知识跳跳科技有限公司")</f>
        <v/>
      </c>
      <c r="O121" s="89">
        <f>-SUMIFS('10月数据源'!$I:$I,'10月数据源'!$D:$D,$E121,'10月数据源'!$F:$F,"杭州知识跳跳科技有限公司")+SUMIFS('10月数据源'!$J:$J,'10月数据源'!$D:$D,$E121,'10月数据源'!$F:$F,"杭州知识跳跳科技有限公司")</f>
        <v/>
      </c>
      <c r="P121" s="89">
        <f>-SUMIFS('11月数据源'!$I:$I,'11月数据源'!$D:$D,$E121,'11月数据源'!$F:$F,"杭州知识跳跳科技有限公司")+SUMIFS('11月数据源'!$J:$J,'11月数据源'!$D:$D,$E121,'11月数据源'!$F:$F,"杭州知识跳跳科技有限公司")</f>
        <v/>
      </c>
      <c r="Q121" s="89">
        <f>-SUMIFS('12月数据源'!$I:$I,'12月数据源'!$D:$D,$E121,'12月数据源'!$F:$F,"杭州知识跳跳科技有限公司")+SUMIFS('12月数据源'!$J:$J,'12月数据源'!$D:$D,$E121,'12月数据源'!$F:$F,"杭州知识跳跳科技有限公司")</f>
        <v/>
      </c>
    </row>
    <row r="122" s="83">
      <c r="A122" s="5" t="inlineStr">
        <is>
          <t>销售费用</t>
        </is>
      </c>
      <c r="B122" s="6" t="inlineStr">
        <is>
          <t>平台运营</t>
        </is>
      </c>
      <c r="D122" s="5" t="inlineStr">
        <is>
          <t>权益保险</t>
        </is>
      </c>
      <c r="E122" s="6" t="inlineStr">
        <is>
          <t>Q2205</t>
        </is>
      </c>
      <c r="F122" s="89">
        <f>-SUMIFS('1月数据源'!I:I,'1月数据源'!D:D,E122,'1月数据源'!F:F,"杭州知识跳跳科技有限公司")+SUMIFS('1月数据源'!J:J,'1月数据源'!D:D,E122,'1月数据源'!F:F,"杭州知识跳跳科技有限公司")</f>
        <v/>
      </c>
      <c r="G122" s="89">
        <f>-SUMIFS('2月数据源'!$I:$I,'2月数据源'!$D:$D,$E122,'2月数据源'!$F:$F,"杭州知识跳跳科技有限公司")+SUMIFS('2月数据源'!$J:$J,'2月数据源'!$D:$D,$E122,'2月数据源'!$F:$F,"杭州知识跳跳科技有限公司")</f>
        <v/>
      </c>
      <c r="H122" s="89">
        <f>-SUMIFS('3月数据源'!$I:$I,'3月数据源'!$D:$D,$E122,'3月数据源'!$F:$F,"杭州知识跳跳科技有限公司")+SUMIFS('3月数据源'!$J:$J,'3月数据源'!$D:$D,$E122,'3月数据源'!$F:$F,"杭州知识跳跳科技有限公司")</f>
        <v/>
      </c>
      <c r="I122" s="89">
        <f>-SUMIFS('4月数据源'!$I:$I,'4月数据源'!$D:$D,$E122,'4月数据源'!$F:$F,"杭州知识跳跳科技有限公司")+SUMIFS('4月数据源'!$J:$J,'4月数据源'!$D:$D,$E122,'4月数据源'!$F:$F,"杭州知识跳跳科技有限公司")</f>
        <v/>
      </c>
      <c r="J122" s="89">
        <f>-SUMIFS('5月数据源'!$I:$I,'5月数据源'!$D:$D,$E122,'5月数据源'!$F:$F,"杭州知识跳跳科技有限公司")+SUMIFS('5月数据源'!$J:$J,'5月数据源'!$D:$D,$E122,'5月数据源'!$F:$F,"杭州知识跳跳科技有限公司")</f>
        <v/>
      </c>
      <c r="K122" s="89">
        <f>-SUMIFS('6月数据源'!$I:$I,'6月数据源'!$D:$D,$E122,'6月数据源'!$F:$F,"杭州知识跳跳科技有限公司")+SUMIFS('6月数据源'!$J:$J,'6月数据源'!$D:$D,$E122,'6月数据源'!$F:$F,"杭州知识跳跳科技有限公司")</f>
        <v/>
      </c>
      <c r="L122" s="89">
        <f>-SUMIFS('7月数据源'!$I:$I,'7月数据源'!$D:$D,$E122,'7月数据源'!$F:$F,"杭州知识跳跳科技有限公司")+SUMIFS('7月数据源'!$J:$J,'7月数据源'!$D:$D,$E122,'7月数据源'!$F:$F,"杭州知识跳跳科技有限公司")</f>
        <v/>
      </c>
      <c r="M122" s="89">
        <f>-SUMIFS('8月数据源'!$I:$I,'8月数据源'!$D:$D,$E122,'8月数据源'!$F:$F,"杭州知识跳跳科技有限公司")+SUMIFS('8月数据源'!$J:$J,'8月数据源'!$D:$D,$E122,'8月数据源'!$F:$F,"杭州知识跳跳科技有限公司")</f>
        <v/>
      </c>
      <c r="N122" s="89">
        <f>-SUMIFS('9月数据源'!$I:$I,'9月数据源'!$D:$D,$E122,'9月数据源'!$F:$F,"杭州知识跳跳科技有限公司")+SUMIFS('9月数据源'!$J:$J,'9月数据源'!$D:$D,$E122,'9月数据源'!$F:$F,"杭州知识跳跳科技有限公司")</f>
        <v/>
      </c>
      <c r="O122" s="89">
        <f>-SUMIFS('10月数据源'!$I:$I,'10月数据源'!$D:$D,$E122,'10月数据源'!$F:$F,"杭州知识跳跳科技有限公司")+SUMIFS('10月数据源'!$J:$J,'10月数据源'!$D:$D,$E122,'10月数据源'!$F:$F,"杭州知识跳跳科技有限公司")</f>
        <v/>
      </c>
      <c r="P122" s="89">
        <f>-SUMIFS('11月数据源'!$I:$I,'11月数据源'!$D:$D,$E122,'11月数据源'!$F:$F,"杭州知识跳跳科技有限公司")+SUMIFS('11月数据源'!$J:$J,'11月数据源'!$D:$D,$E122,'11月数据源'!$F:$F,"杭州知识跳跳科技有限公司")</f>
        <v/>
      </c>
      <c r="Q122" s="89">
        <f>-SUMIFS('12月数据源'!$I:$I,'12月数据源'!$D:$D,$E122,'12月数据源'!$F:$F,"杭州知识跳跳科技有限公司")+SUMIFS('12月数据源'!$J:$J,'12月数据源'!$D:$D,$E122,'12月数据源'!$F:$F,"杭州知识跳跳科技有限公司")</f>
        <v/>
      </c>
    </row>
    <row r="123" s="83">
      <c r="A123" s="5" t="inlineStr">
        <is>
          <t>销售费用</t>
        </is>
      </c>
      <c r="B123" s="6" t="inlineStr">
        <is>
          <t>平台运营</t>
        </is>
      </c>
      <c r="D123" s="5" t="inlineStr">
        <is>
          <t>消费者赔付</t>
        </is>
      </c>
      <c r="E123" s="6" t="inlineStr">
        <is>
          <t>Q2206</t>
        </is>
      </c>
      <c r="F123" s="89">
        <f>-SUMIFS('1月数据源'!I:I,'1月数据源'!D:D,E123,'1月数据源'!F:F,"杭州知识跳跳科技有限公司")+SUMIFS('1月数据源'!J:J,'1月数据源'!D:D,E123,'1月数据源'!F:F,"杭州知识跳跳科技有限公司")</f>
        <v/>
      </c>
      <c r="G123" s="89">
        <f>-SUMIFS('2月数据源'!$I:$I,'2月数据源'!$D:$D,$E123,'2月数据源'!$F:$F,"杭州知识跳跳科技有限公司")+SUMIFS('2月数据源'!$J:$J,'2月数据源'!$D:$D,$E123,'2月数据源'!$F:$F,"杭州知识跳跳科技有限公司")</f>
        <v/>
      </c>
      <c r="H123" s="89">
        <f>-SUMIFS('3月数据源'!$I:$I,'3月数据源'!$D:$D,$E123,'3月数据源'!$F:$F,"杭州知识跳跳科技有限公司")+SUMIFS('3月数据源'!$J:$J,'3月数据源'!$D:$D,$E123,'3月数据源'!$F:$F,"杭州知识跳跳科技有限公司")</f>
        <v/>
      </c>
      <c r="I123" s="89">
        <f>-SUMIFS('4月数据源'!$I:$I,'4月数据源'!$D:$D,$E123,'4月数据源'!$F:$F,"杭州知识跳跳科技有限公司")+SUMIFS('4月数据源'!$J:$J,'4月数据源'!$D:$D,$E123,'4月数据源'!$F:$F,"杭州知识跳跳科技有限公司")</f>
        <v/>
      </c>
      <c r="J123" s="89">
        <f>-SUMIFS('5月数据源'!$I:$I,'5月数据源'!$D:$D,$E123,'5月数据源'!$F:$F,"杭州知识跳跳科技有限公司")+SUMIFS('5月数据源'!$J:$J,'5月数据源'!$D:$D,$E123,'5月数据源'!$F:$F,"杭州知识跳跳科技有限公司")</f>
        <v/>
      </c>
      <c r="K123" s="89">
        <f>-SUMIFS('6月数据源'!$I:$I,'6月数据源'!$D:$D,$E123,'6月数据源'!$F:$F,"杭州知识跳跳科技有限公司")+SUMIFS('6月数据源'!$J:$J,'6月数据源'!$D:$D,$E123,'6月数据源'!$F:$F,"杭州知识跳跳科技有限公司")</f>
        <v/>
      </c>
      <c r="L123" s="89">
        <f>-SUMIFS('7月数据源'!$I:$I,'7月数据源'!$D:$D,$E123,'7月数据源'!$F:$F,"杭州知识跳跳科技有限公司")+SUMIFS('7月数据源'!$J:$J,'7月数据源'!$D:$D,$E123,'7月数据源'!$F:$F,"杭州知识跳跳科技有限公司")</f>
        <v/>
      </c>
      <c r="M123" s="89">
        <f>-SUMIFS('8月数据源'!$I:$I,'8月数据源'!$D:$D,$E123,'8月数据源'!$F:$F,"杭州知识跳跳科技有限公司")+SUMIFS('8月数据源'!$J:$J,'8月数据源'!$D:$D,$E123,'8月数据源'!$F:$F,"杭州知识跳跳科技有限公司")</f>
        <v/>
      </c>
      <c r="N123" s="89">
        <f>-SUMIFS('9月数据源'!$I:$I,'9月数据源'!$D:$D,$E123,'9月数据源'!$F:$F,"杭州知识跳跳科技有限公司")+SUMIFS('9月数据源'!$J:$J,'9月数据源'!$D:$D,$E123,'9月数据源'!$F:$F,"杭州知识跳跳科技有限公司")</f>
        <v/>
      </c>
      <c r="O123" s="89">
        <f>-SUMIFS('10月数据源'!$I:$I,'10月数据源'!$D:$D,$E123,'10月数据源'!$F:$F,"杭州知识跳跳科技有限公司")+SUMIFS('10月数据源'!$J:$J,'10月数据源'!$D:$D,$E123,'10月数据源'!$F:$F,"杭州知识跳跳科技有限公司")</f>
        <v/>
      </c>
      <c r="P123" s="89">
        <f>-SUMIFS('11月数据源'!$I:$I,'11月数据源'!$D:$D,$E123,'11月数据源'!$F:$F,"杭州知识跳跳科技有限公司")+SUMIFS('11月数据源'!$J:$J,'11月数据源'!$D:$D,$E123,'11月数据源'!$F:$F,"杭州知识跳跳科技有限公司")</f>
        <v/>
      </c>
      <c r="Q123" s="89">
        <f>-SUMIFS('12月数据源'!$I:$I,'12月数据源'!$D:$D,$E123,'12月数据源'!$F:$F,"杭州知识跳跳科技有限公司")+SUMIFS('12月数据源'!$J:$J,'12月数据源'!$D:$D,$E123,'12月数据源'!$F:$F,"杭州知识跳跳科技有限公司")</f>
        <v/>
      </c>
    </row>
    <row r="124" s="83">
      <c r="A124" s="5" t="inlineStr">
        <is>
          <t>销售费用</t>
        </is>
      </c>
      <c r="B124" s="6" t="inlineStr">
        <is>
          <t>平台运营</t>
        </is>
      </c>
      <c r="D124" s="5" t="inlineStr">
        <is>
          <t>平台积分扣款</t>
        </is>
      </c>
      <c r="E124" s="6" t="inlineStr">
        <is>
          <t>Q2207</t>
        </is>
      </c>
      <c r="F124" s="89">
        <f>-SUMIFS('1月数据源'!I:I,'1月数据源'!D:D,E124,'1月数据源'!F:F,"杭州知识跳跳科技有限公司")+SUMIFS('1月数据源'!J:J,'1月数据源'!D:D,E124,'1月数据源'!F:F,"杭州知识跳跳科技有限公司")</f>
        <v/>
      </c>
      <c r="G124" s="89">
        <f>-SUMIFS('2月数据源'!$I:$I,'2月数据源'!$D:$D,$E124,'2月数据源'!$F:$F,"杭州知识跳跳科技有限公司")+SUMIFS('2月数据源'!$J:$J,'2月数据源'!$D:$D,$E124,'2月数据源'!$F:$F,"杭州知识跳跳科技有限公司")</f>
        <v/>
      </c>
      <c r="H124" s="89">
        <f>-SUMIFS('3月数据源'!$I:$I,'3月数据源'!$D:$D,$E124,'3月数据源'!$F:$F,"杭州知识跳跳科技有限公司")+SUMIFS('3月数据源'!$J:$J,'3月数据源'!$D:$D,$E124,'3月数据源'!$F:$F,"杭州知识跳跳科技有限公司")</f>
        <v/>
      </c>
      <c r="I124" s="89">
        <f>-SUMIFS('4月数据源'!$I:$I,'4月数据源'!$D:$D,$E124,'4月数据源'!$F:$F,"杭州知识跳跳科技有限公司")+SUMIFS('4月数据源'!$J:$J,'4月数据源'!$D:$D,$E124,'4月数据源'!$F:$F,"杭州知识跳跳科技有限公司")</f>
        <v/>
      </c>
      <c r="J124" s="89">
        <f>-SUMIFS('5月数据源'!$I:$I,'5月数据源'!$D:$D,$E124,'5月数据源'!$F:$F,"杭州知识跳跳科技有限公司")+SUMIFS('5月数据源'!$J:$J,'5月数据源'!$D:$D,$E124,'5月数据源'!$F:$F,"杭州知识跳跳科技有限公司")</f>
        <v/>
      </c>
      <c r="K124" s="89">
        <f>-SUMIFS('6月数据源'!$I:$I,'6月数据源'!$D:$D,$E124,'6月数据源'!$F:$F,"杭州知识跳跳科技有限公司")+SUMIFS('6月数据源'!$J:$J,'6月数据源'!$D:$D,$E124,'6月数据源'!$F:$F,"杭州知识跳跳科技有限公司")</f>
        <v/>
      </c>
      <c r="L124" s="89">
        <f>-SUMIFS('7月数据源'!$I:$I,'7月数据源'!$D:$D,$E124,'7月数据源'!$F:$F,"杭州知识跳跳科技有限公司")+SUMIFS('7月数据源'!$J:$J,'7月数据源'!$D:$D,$E124,'7月数据源'!$F:$F,"杭州知识跳跳科技有限公司")</f>
        <v/>
      </c>
      <c r="M124" s="89">
        <f>-SUMIFS('8月数据源'!$I:$I,'8月数据源'!$D:$D,$E124,'8月数据源'!$F:$F,"杭州知识跳跳科技有限公司")+SUMIFS('8月数据源'!$J:$J,'8月数据源'!$D:$D,$E124,'8月数据源'!$F:$F,"杭州知识跳跳科技有限公司")</f>
        <v/>
      </c>
      <c r="N124" s="89">
        <f>-SUMIFS('9月数据源'!$I:$I,'9月数据源'!$D:$D,$E124,'9月数据源'!$F:$F,"杭州知识跳跳科技有限公司")+SUMIFS('9月数据源'!$J:$J,'9月数据源'!$D:$D,$E124,'9月数据源'!$F:$F,"杭州知识跳跳科技有限公司")</f>
        <v/>
      </c>
      <c r="O124" s="89">
        <f>-SUMIFS('10月数据源'!$I:$I,'10月数据源'!$D:$D,$E124,'10月数据源'!$F:$F,"杭州知识跳跳科技有限公司")+SUMIFS('10月数据源'!$J:$J,'10月数据源'!$D:$D,$E124,'10月数据源'!$F:$F,"杭州知识跳跳科技有限公司")</f>
        <v/>
      </c>
      <c r="P124" s="89">
        <f>-SUMIFS('11月数据源'!$I:$I,'11月数据源'!$D:$D,$E124,'11月数据源'!$F:$F,"杭州知识跳跳科技有限公司")+SUMIFS('11月数据源'!$J:$J,'11月数据源'!$D:$D,$E124,'11月数据源'!$F:$F,"杭州知识跳跳科技有限公司")</f>
        <v/>
      </c>
      <c r="Q124" s="89">
        <f>-SUMIFS('12月数据源'!$I:$I,'12月数据源'!$D:$D,$E124,'12月数据源'!$F:$F,"杭州知识跳跳科技有限公司")+SUMIFS('12月数据源'!$J:$J,'12月数据源'!$D:$D,$E124,'12月数据源'!$F:$F,"杭州知识跳跳科技有限公司")</f>
        <v/>
      </c>
    </row>
    <row r="125" s="83">
      <c r="A125" s="5" t="inlineStr">
        <is>
          <t>销售费用</t>
        </is>
      </c>
      <c r="B125" s="6" t="inlineStr">
        <is>
          <t>平台运营</t>
        </is>
      </c>
      <c r="D125" s="5" t="inlineStr">
        <is>
          <t>平台推荐佣金</t>
        </is>
      </c>
      <c r="E125" s="6" t="inlineStr">
        <is>
          <t>Q2208</t>
        </is>
      </c>
      <c r="F125" s="89">
        <f>-SUMIFS('1月数据源'!I:I,'1月数据源'!D:D,E125,'1月数据源'!F:F,"杭州知识跳跳科技有限公司")+SUMIFS('1月数据源'!J:J,'1月数据源'!D:D,E125,'1月数据源'!F:F,"杭州知识跳跳科技有限公司")</f>
        <v/>
      </c>
      <c r="G125" s="89">
        <f>-SUMIFS('2月数据源'!$I:$I,'2月数据源'!$D:$D,$E125,'2月数据源'!$F:$F,"杭州知识跳跳科技有限公司")+SUMIFS('2月数据源'!$J:$J,'2月数据源'!$D:$D,$E125,'2月数据源'!$F:$F,"杭州知识跳跳科技有限公司")</f>
        <v/>
      </c>
      <c r="H125" s="89">
        <f>-SUMIFS('3月数据源'!$I:$I,'3月数据源'!$D:$D,$E125,'3月数据源'!$F:$F,"杭州知识跳跳科技有限公司")+SUMIFS('3月数据源'!$J:$J,'3月数据源'!$D:$D,$E125,'3月数据源'!$F:$F,"杭州知识跳跳科技有限公司")</f>
        <v/>
      </c>
      <c r="I125" s="89">
        <f>-SUMIFS('4月数据源'!$I:$I,'4月数据源'!$D:$D,$E125,'4月数据源'!$F:$F,"杭州知识跳跳科技有限公司")+SUMIFS('4月数据源'!$J:$J,'4月数据源'!$D:$D,$E125,'4月数据源'!$F:$F,"杭州知识跳跳科技有限公司")</f>
        <v/>
      </c>
      <c r="J125" s="89">
        <f>-SUMIFS('5月数据源'!$I:$I,'5月数据源'!$D:$D,$E125,'5月数据源'!$F:$F,"杭州知识跳跳科技有限公司")+SUMIFS('5月数据源'!$J:$J,'5月数据源'!$D:$D,$E125,'5月数据源'!$F:$F,"杭州知识跳跳科技有限公司")</f>
        <v/>
      </c>
      <c r="K125" s="89">
        <f>-SUMIFS('6月数据源'!$I:$I,'6月数据源'!$D:$D,$E125,'6月数据源'!$F:$F,"杭州知识跳跳科技有限公司")+SUMIFS('6月数据源'!$J:$J,'6月数据源'!$D:$D,$E125,'6月数据源'!$F:$F,"杭州知识跳跳科技有限公司")</f>
        <v/>
      </c>
      <c r="L125" s="89">
        <f>-SUMIFS('7月数据源'!$I:$I,'7月数据源'!$D:$D,$E125,'7月数据源'!$F:$F,"杭州知识跳跳科技有限公司")+SUMIFS('7月数据源'!$J:$J,'7月数据源'!$D:$D,$E125,'7月数据源'!$F:$F,"杭州知识跳跳科技有限公司")</f>
        <v/>
      </c>
      <c r="M125" s="89">
        <f>-SUMIFS('8月数据源'!$I:$I,'8月数据源'!$D:$D,$E125,'8月数据源'!$F:$F,"杭州知识跳跳科技有限公司")+SUMIFS('8月数据源'!$J:$J,'8月数据源'!$D:$D,$E125,'8月数据源'!$F:$F,"杭州知识跳跳科技有限公司")</f>
        <v/>
      </c>
      <c r="N125" s="89">
        <f>-SUMIFS('9月数据源'!$I:$I,'9月数据源'!$D:$D,$E125,'9月数据源'!$F:$F,"杭州知识跳跳科技有限公司")+SUMIFS('9月数据源'!$J:$J,'9月数据源'!$D:$D,$E125,'9月数据源'!$F:$F,"杭州知识跳跳科技有限公司")</f>
        <v/>
      </c>
      <c r="O125" s="89">
        <f>-SUMIFS('10月数据源'!$I:$I,'10月数据源'!$D:$D,$E125,'10月数据源'!$F:$F,"杭州知识跳跳科技有限公司")+SUMIFS('10月数据源'!$J:$J,'10月数据源'!$D:$D,$E125,'10月数据源'!$F:$F,"杭州知识跳跳科技有限公司")</f>
        <v/>
      </c>
      <c r="P125" s="89">
        <f>-SUMIFS('11月数据源'!$I:$I,'11月数据源'!$D:$D,$E125,'11月数据源'!$F:$F,"杭州知识跳跳科技有限公司")+SUMIFS('11月数据源'!$J:$J,'11月数据源'!$D:$D,$E125,'11月数据源'!$F:$F,"杭州知识跳跳科技有限公司")</f>
        <v/>
      </c>
      <c r="Q125" s="89">
        <f>-SUMIFS('12月数据源'!$I:$I,'12月数据源'!$D:$D,$E125,'12月数据源'!$F:$F,"杭州知识跳跳科技有限公司")+SUMIFS('12月数据源'!$J:$J,'12月数据源'!$D:$D,$E125,'12月数据源'!$F:$F,"杭州知识跳跳科技有限公司")</f>
        <v/>
      </c>
    </row>
    <row r="126" s="83">
      <c r="A126" s="5" t="inlineStr">
        <is>
          <t>销售费用</t>
        </is>
      </c>
      <c r="B126" s="6" t="inlineStr">
        <is>
          <t>平台运营</t>
        </is>
      </c>
      <c r="D126" s="5" t="inlineStr">
        <is>
          <t>保证金及认证费用</t>
        </is>
      </c>
      <c r="E126" s="6" t="inlineStr">
        <is>
          <t>Q2202</t>
        </is>
      </c>
      <c r="F126" s="89">
        <f>-SUMIFS('1月数据源'!I:I,'1月数据源'!D:D,E126,'1月数据源'!F:F,"杭州知识跳跳科技有限公司")+SUMIFS('1月数据源'!J:J,'1月数据源'!D:D,E126,'1月数据源'!F:F,"杭州知识跳跳科技有限公司")</f>
        <v/>
      </c>
      <c r="G126" s="89">
        <f>-SUMIFS('2月数据源'!$I:$I,'2月数据源'!$D:$D,$E126,'2月数据源'!$F:$F,"杭州知识跳跳科技有限公司")+SUMIFS('2月数据源'!$J:$J,'2月数据源'!$D:$D,$E126,'2月数据源'!$F:$F,"杭州知识跳跳科技有限公司")</f>
        <v/>
      </c>
      <c r="H126" s="89">
        <f>-SUMIFS('3月数据源'!$I:$I,'3月数据源'!$D:$D,$E126,'3月数据源'!$F:$F,"杭州知识跳跳科技有限公司")+SUMIFS('3月数据源'!$J:$J,'3月数据源'!$D:$D,$E126,'3月数据源'!$F:$F,"杭州知识跳跳科技有限公司")</f>
        <v/>
      </c>
      <c r="I126" s="89">
        <f>-SUMIFS('4月数据源'!$I:$I,'4月数据源'!$D:$D,$E126,'4月数据源'!$F:$F,"杭州知识跳跳科技有限公司")+SUMIFS('4月数据源'!$J:$J,'4月数据源'!$D:$D,$E126,'4月数据源'!$F:$F,"杭州知识跳跳科技有限公司")</f>
        <v/>
      </c>
      <c r="J126" s="89">
        <f>-SUMIFS('5月数据源'!$I:$I,'5月数据源'!$D:$D,$E126,'5月数据源'!$F:$F,"杭州知识跳跳科技有限公司")+SUMIFS('5月数据源'!$J:$J,'5月数据源'!$D:$D,$E126,'5月数据源'!$F:$F,"杭州知识跳跳科技有限公司")</f>
        <v/>
      </c>
      <c r="K126" s="89">
        <f>-SUMIFS('6月数据源'!$I:$I,'6月数据源'!$D:$D,$E126,'6月数据源'!$F:$F,"杭州知识跳跳科技有限公司")+SUMIFS('6月数据源'!$J:$J,'6月数据源'!$D:$D,$E126,'6月数据源'!$F:$F,"杭州知识跳跳科技有限公司")</f>
        <v/>
      </c>
      <c r="L126" s="89">
        <f>-SUMIFS('7月数据源'!$I:$I,'7月数据源'!$D:$D,$E126,'7月数据源'!$F:$F,"杭州知识跳跳科技有限公司")+SUMIFS('7月数据源'!$J:$J,'7月数据源'!$D:$D,$E126,'7月数据源'!$F:$F,"杭州知识跳跳科技有限公司")</f>
        <v/>
      </c>
      <c r="M126" s="89">
        <f>-SUMIFS('8月数据源'!$I:$I,'8月数据源'!$D:$D,$E126,'8月数据源'!$F:$F,"杭州知识跳跳科技有限公司")+SUMIFS('8月数据源'!$J:$J,'8月数据源'!$D:$D,$E126,'8月数据源'!$F:$F,"杭州知识跳跳科技有限公司")</f>
        <v/>
      </c>
      <c r="N126" s="89">
        <f>-SUMIFS('9月数据源'!$I:$I,'9月数据源'!$D:$D,$E126,'9月数据源'!$F:$F,"杭州知识跳跳科技有限公司")+SUMIFS('9月数据源'!$J:$J,'9月数据源'!$D:$D,$E126,'9月数据源'!$F:$F,"杭州知识跳跳科技有限公司")</f>
        <v/>
      </c>
      <c r="O126" s="89">
        <f>-SUMIFS('10月数据源'!$I:$I,'10月数据源'!$D:$D,$E126,'10月数据源'!$F:$F,"杭州知识跳跳科技有限公司")+SUMIFS('10月数据源'!$J:$J,'10月数据源'!$D:$D,$E126,'10月数据源'!$F:$F,"杭州知识跳跳科技有限公司")</f>
        <v/>
      </c>
      <c r="P126" s="89">
        <f>-SUMIFS('11月数据源'!$I:$I,'11月数据源'!$D:$D,$E126,'11月数据源'!$F:$F,"杭州知识跳跳科技有限公司")+SUMIFS('11月数据源'!$J:$J,'11月数据源'!$D:$D,$E126,'11月数据源'!$F:$F,"杭州知识跳跳科技有限公司")</f>
        <v/>
      </c>
      <c r="Q126" s="89">
        <f>-SUMIFS('12月数据源'!$I:$I,'12月数据源'!$D:$D,$E126,'12月数据源'!$F:$F,"杭州知识跳跳科技有限公司")+SUMIFS('12月数据源'!$J:$J,'12月数据源'!$D:$D,$E126,'12月数据源'!$F:$F,"杭州知识跳跳科技有限公司")</f>
        <v/>
      </c>
    </row>
    <row r="127" s="83">
      <c r="A127" s="5" t="inlineStr">
        <is>
          <t>销售费用</t>
        </is>
      </c>
      <c r="B127" s="6" t="inlineStr">
        <is>
          <t>平台运营</t>
        </is>
      </c>
      <c r="D127" s="5" t="inlineStr">
        <is>
          <t>品专支出</t>
        </is>
      </c>
      <c r="E127" s="6" t="inlineStr">
        <is>
          <t>Q2203</t>
        </is>
      </c>
      <c r="F127" s="89">
        <f>-SUMIFS('1月数据源'!I:I,'1月数据源'!D:D,E127,'1月数据源'!F:F,"杭州知识跳跳科技有限公司")+SUMIFS('1月数据源'!J:J,'1月数据源'!D:D,E127,'1月数据源'!F:F,"杭州知识跳跳科技有限公司")</f>
        <v/>
      </c>
      <c r="G127" s="89">
        <f>-SUMIFS('2月数据源'!$I:$I,'2月数据源'!$D:$D,$E127,'2月数据源'!$F:$F,"杭州知识跳跳科技有限公司")+SUMIFS('2月数据源'!$J:$J,'2月数据源'!$D:$D,$E127,'2月数据源'!$F:$F,"杭州知识跳跳科技有限公司")</f>
        <v/>
      </c>
      <c r="H127" s="89">
        <f>-SUMIFS('3月数据源'!$I:$I,'3月数据源'!$D:$D,$E127,'3月数据源'!$F:$F,"杭州知识跳跳科技有限公司")+SUMIFS('3月数据源'!$J:$J,'3月数据源'!$D:$D,$E127,'3月数据源'!$F:$F,"杭州知识跳跳科技有限公司")</f>
        <v/>
      </c>
      <c r="I127" s="89">
        <f>-SUMIFS('4月数据源'!$I:$I,'4月数据源'!$D:$D,$E127,'4月数据源'!$F:$F,"杭州知识跳跳科技有限公司")+SUMIFS('4月数据源'!$J:$J,'4月数据源'!$D:$D,$E127,'4月数据源'!$F:$F,"杭州知识跳跳科技有限公司")</f>
        <v/>
      </c>
      <c r="J127" s="89">
        <f>-SUMIFS('5月数据源'!$I:$I,'5月数据源'!$D:$D,$E127,'5月数据源'!$F:$F,"杭州知识跳跳科技有限公司")+SUMIFS('5月数据源'!$J:$J,'5月数据源'!$D:$D,$E127,'5月数据源'!$F:$F,"杭州知识跳跳科技有限公司")</f>
        <v/>
      </c>
      <c r="K127" s="89">
        <f>-SUMIFS('6月数据源'!$I:$I,'6月数据源'!$D:$D,$E127,'6月数据源'!$F:$F,"杭州知识跳跳科技有限公司")+SUMIFS('6月数据源'!$J:$J,'6月数据源'!$D:$D,$E127,'6月数据源'!$F:$F,"杭州知识跳跳科技有限公司")</f>
        <v/>
      </c>
      <c r="L127" s="89">
        <f>-SUMIFS('7月数据源'!$I:$I,'7月数据源'!$D:$D,$E127,'7月数据源'!$F:$F,"杭州知识跳跳科技有限公司")+SUMIFS('7月数据源'!$J:$J,'7月数据源'!$D:$D,$E127,'7月数据源'!$F:$F,"杭州知识跳跳科技有限公司")</f>
        <v/>
      </c>
      <c r="M127" s="89">
        <f>-SUMIFS('8月数据源'!$I:$I,'8月数据源'!$D:$D,$E127,'8月数据源'!$F:$F,"杭州知识跳跳科技有限公司")+SUMIFS('8月数据源'!$J:$J,'8月数据源'!$D:$D,$E127,'8月数据源'!$F:$F,"杭州知识跳跳科技有限公司")</f>
        <v/>
      </c>
      <c r="N127" s="89">
        <f>-SUMIFS('9月数据源'!$I:$I,'9月数据源'!$D:$D,$E127,'9月数据源'!$F:$F,"杭州知识跳跳科技有限公司")+SUMIFS('9月数据源'!$J:$J,'9月数据源'!$D:$D,$E127,'9月数据源'!$F:$F,"杭州知识跳跳科技有限公司")</f>
        <v/>
      </c>
      <c r="O127" s="89">
        <f>-SUMIFS('10月数据源'!$I:$I,'10月数据源'!$D:$D,$E127,'10月数据源'!$F:$F,"杭州知识跳跳科技有限公司")+SUMIFS('10月数据源'!$J:$J,'10月数据源'!$D:$D,$E127,'10月数据源'!$F:$F,"杭州知识跳跳科技有限公司")</f>
        <v/>
      </c>
      <c r="P127" s="89">
        <f>-SUMIFS('11月数据源'!$I:$I,'11月数据源'!$D:$D,$E127,'11月数据源'!$F:$F,"杭州知识跳跳科技有限公司")+SUMIFS('11月数据源'!$J:$J,'11月数据源'!$D:$D,$E127,'11月数据源'!$F:$F,"杭州知识跳跳科技有限公司")</f>
        <v/>
      </c>
      <c r="Q127" s="89">
        <f>-SUMIFS('12月数据源'!$I:$I,'12月数据源'!$D:$D,$E127,'12月数据源'!$F:$F,"杭州知识跳跳科技有限公司")+SUMIFS('12月数据源'!$J:$J,'12月数据源'!$D:$D,$E127,'12月数据源'!$F:$F,"杭州知识跳跳科技有限公司")</f>
        <v/>
      </c>
    </row>
    <row r="128" s="83">
      <c r="A128" s="5" t="inlineStr">
        <is>
          <t>销售费用</t>
        </is>
      </c>
      <c r="B128" s="6" t="inlineStr">
        <is>
          <t>平台运营</t>
        </is>
      </c>
      <c r="D128" s="5" t="inlineStr">
        <is>
          <t>其他平台扣款</t>
        </is>
      </c>
      <c r="E128" s="6" t="inlineStr">
        <is>
          <t>Q2209</t>
        </is>
      </c>
      <c r="F128" s="89">
        <f>-SUMIFS('1月数据源'!I:I,'1月数据源'!D:D,E128,'1月数据源'!F:F,"杭州知识跳跳科技有限公司")+SUMIFS('1月数据源'!J:J,'1月数据源'!D:D,E128,'1月数据源'!F:F,"杭州知识跳跳科技有限公司")</f>
        <v/>
      </c>
      <c r="G128" s="89">
        <f>-SUMIFS('2月数据源'!$I:$I,'2月数据源'!$D:$D,$E128,'2月数据源'!$F:$F,"杭州知识跳跳科技有限公司")+SUMIFS('2月数据源'!$J:$J,'2月数据源'!$D:$D,$E128,'2月数据源'!$F:$F,"杭州知识跳跳科技有限公司")</f>
        <v/>
      </c>
      <c r="H128" s="89">
        <f>-SUMIFS('3月数据源'!$I:$I,'3月数据源'!$D:$D,$E128,'3月数据源'!$F:$F,"杭州知识跳跳科技有限公司")+SUMIFS('3月数据源'!$J:$J,'3月数据源'!$D:$D,$E128,'3月数据源'!$F:$F,"杭州知识跳跳科技有限公司")</f>
        <v/>
      </c>
      <c r="I128" s="89">
        <f>-SUMIFS('4月数据源'!$I:$I,'4月数据源'!$D:$D,$E128,'4月数据源'!$F:$F,"杭州知识跳跳科技有限公司")+SUMIFS('4月数据源'!$J:$J,'4月数据源'!$D:$D,$E128,'4月数据源'!$F:$F,"杭州知识跳跳科技有限公司")</f>
        <v/>
      </c>
      <c r="J128" s="89">
        <f>-SUMIFS('5月数据源'!$I:$I,'5月数据源'!$D:$D,$E128,'5月数据源'!$F:$F,"杭州知识跳跳科技有限公司")+SUMIFS('5月数据源'!$J:$J,'5月数据源'!$D:$D,$E128,'5月数据源'!$F:$F,"杭州知识跳跳科技有限公司")</f>
        <v/>
      </c>
      <c r="K128" s="89">
        <f>-SUMIFS('6月数据源'!$I:$I,'6月数据源'!$D:$D,$E128,'6月数据源'!$F:$F,"杭州知识跳跳科技有限公司")+SUMIFS('6月数据源'!$J:$J,'6月数据源'!$D:$D,$E128,'6月数据源'!$F:$F,"杭州知识跳跳科技有限公司")</f>
        <v/>
      </c>
      <c r="L128" s="89">
        <f>-SUMIFS('7月数据源'!$I:$I,'7月数据源'!$D:$D,$E128,'7月数据源'!$F:$F,"杭州知识跳跳科技有限公司")+SUMIFS('7月数据源'!$J:$J,'7月数据源'!$D:$D,$E128,'7月数据源'!$F:$F,"杭州知识跳跳科技有限公司")</f>
        <v/>
      </c>
      <c r="M128" s="89">
        <f>-SUMIFS('8月数据源'!$I:$I,'8月数据源'!$D:$D,$E128,'8月数据源'!$F:$F,"杭州知识跳跳科技有限公司")+SUMIFS('8月数据源'!$J:$J,'8月数据源'!$D:$D,$E128,'8月数据源'!$F:$F,"杭州知识跳跳科技有限公司")</f>
        <v/>
      </c>
      <c r="N128" s="89">
        <f>-SUMIFS('9月数据源'!$I:$I,'9月数据源'!$D:$D,$E128,'9月数据源'!$F:$F,"杭州知识跳跳科技有限公司")+SUMIFS('9月数据源'!$J:$J,'9月数据源'!$D:$D,$E128,'9月数据源'!$F:$F,"杭州知识跳跳科技有限公司")</f>
        <v/>
      </c>
      <c r="O128" s="89">
        <f>-SUMIFS('10月数据源'!$I:$I,'10月数据源'!$D:$D,$E128,'10月数据源'!$F:$F,"杭州知识跳跳科技有限公司")+SUMIFS('10月数据源'!$J:$J,'10月数据源'!$D:$D,$E128,'10月数据源'!$F:$F,"杭州知识跳跳科技有限公司")</f>
        <v/>
      </c>
      <c r="P128" s="89">
        <f>-SUMIFS('11月数据源'!$I:$I,'11月数据源'!$D:$D,$E128,'11月数据源'!$F:$F,"杭州知识跳跳科技有限公司")+SUMIFS('11月数据源'!$J:$J,'11月数据源'!$D:$D,$E128,'11月数据源'!$F:$F,"杭州知识跳跳科技有限公司")</f>
        <v/>
      </c>
      <c r="Q128" s="89">
        <f>-SUMIFS('12月数据源'!$I:$I,'12月数据源'!$D:$D,$E128,'12月数据源'!$F:$F,"杭州知识跳跳科技有限公司")+SUMIFS('12月数据源'!$J:$J,'12月数据源'!$D:$D,$E128,'12月数据源'!$F:$F,"杭州知识跳跳科技有限公司")</f>
        <v/>
      </c>
    </row>
    <row r="129" s="83">
      <c r="A129" s="5" t="inlineStr">
        <is>
          <t>销售费用</t>
        </is>
      </c>
      <c r="B129" s="6" t="inlineStr">
        <is>
          <t>私域运营</t>
        </is>
      </c>
      <c r="C129" s="6" t="inlineStr">
        <is>
          <t>私域运营</t>
        </is>
      </c>
      <c r="D129" s="5" t="inlineStr">
        <is>
          <t>返现活动</t>
        </is>
      </c>
      <c r="E129" s="6" t="inlineStr">
        <is>
          <t>Q2301</t>
        </is>
      </c>
      <c r="F129" s="89">
        <f>-SUMIFS('1月数据源'!I:I,'1月数据源'!D:D,E129,'1月数据源'!F:F,"杭州知识跳跳科技有限公司")+SUMIFS('1月数据源'!J:J,'1月数据源'!D:D,E129,'1月数据源'!F:F,"杭州知识跳跳科技有限公司")</f>
        <v/>
      </c>
      <c r="G129" s="89">
        <f>-SUMIFS('2月数据源'!$I:$I,'2月数据源'!$D:$D,$E129,'2月数据源'!$F:$F,"杭州知识跳跳科技有限公司")+SUMIFS('2月数据源'!$J:$J,'2月数据源'!$D:$D,$E129,'2月数据源'!$F:$F,"杭州知识跳跳科技有限公司")</f>
        <v/>
      </c>
      <c r="H129" s="89">
        <f>-SUMIFS('3月数据源'!$I:$I,'3月数据源'!$D:$D,$E129,'3月数据源'!$F:$F,"杭州知识跳跳科技有限公司")+SUMIFS('3月数据源'!$J:$J,'3月数据源'!$D:$D,$E129,'3月数据源'!$F:$F,"杭州知识跳跳科技有限公司")</f>
        <v/>
      </c>
      <c r="I129" s="89">
        <f>-SUMIFS('4月数据源'!$I:$I,'4月数据源'!$D:$D,$E129,'4月数据源'!$F:$F,"杭州知识跳跳科技有限公司")+SUMIFS('4月数据源'!$J:$J,'4月数据源'!$D:$D,$E129,'4月数据源'!$F:$F,"杭州知识跳跳科技有限公司")</f>
        <v/>
      </c>
      <c r="J129" s="89">
        <f>-SUMIFS('5月数据源'!$I:$I,'5月数据源'!$D:$D,$E129,'5月数据源'!$F:$F,"杭州知识跳跳科技有限公司")+SUMIFS('5月数据源'!$J:$J,'5月数据源'!$D:$D,$E129,'5月数据源'!$F:$F,"杭州知识跳跳科技有限公司")</f>
        <v/>
      </c>
      <c r="K129" s="89">
        <f>-SUMIFS('6月数据源'!$I:$I,'6月数据源'!$D:$D,$E129,'6月数据源'!$F:$F,"杭州知识跳跳科技有限公司")+SUMIFS('6月数据源'!$J:$J,'6月数据源'!$D:$D,$E129,'6月数据源'!$F:$F,"杭州知识跳跳科技有限公司")</f>
        <v/>
      </c>
      <c r="L129" s="89">
        <f>-SUMIFS('7月数据源'!$I:$I,'7月数据源'!$D:$D,$E129,'7月数据源'!$F:$F,"杭州知识跳跳科技有限公司")+SUMIFS('7月数据源'!$J:$J,'7月数据源'!$D:$D,$E129,'7月数据源'!$F:$F,"杭州知识跳跳科技有限公司")</f>
        <v/>
      </c>
      <c r="M129" s="89">
        <f>-SUMIFS('8月数据源'!$I:$I,'8月数据源'!$D:$D,$E129,'8月数据源'!$F:$F,"杭州知识跳跳科技有限公司")+SUMIFS('8月数据源'!$J:$J,'8月数据源'!$D:$D,$E129,'8月数据源'!$F:$F,"杭州知识跳跳科技有限公司")</f>
        <v/>
      </c>
      <c r="N129" s="89">
        <f>-SUMIFS('9月数据源'!$I:$I,'9月数据源'!$D:$D,$E129,'9月数据源'!$F:$F,"杭州知识跳跳科技有限公司")+SUMIFS('9月数据源'!$J:$J,'9月数据源'!$D:$D,$E129,'9月数据源'!$F:$F,"杭州知识跳跳科技有限公司")</f>
        <v/>
      </c>
      <c r="O129" s="89">
        <f>-SUMIFS('10月数据源'!$I:$I,'10月数据源'!$D:$D,$E129,'10月数据源'!$F:$F,"杭州知识跳跳科技有限公司")+SUMIFS('10月数据源'!$J:$J,'10月数据源'!$D:$D,$E129,'10月数据源'!$F:$F,"杭州知识跳跳科技有限公司")</f>
        <v/>
      </c>
      <c r="P129" s="89">
        <f>-SUMIFS('11月数据源'!$I:$I,'11月数据源'!$D:$D,$E129,'11月数据源'!$F:$F,"杭州知识跳跳科技有限公司")+SUMIFS('11月数据源'!$J:$J,'11月数据源'!$D:$D,$E129,'11月数据源'!$F:$F,"杭州知识跳跳科技有限公司")</f>
        <v/>
      </c>
      <c r="Q129" s="89">
        <f>-SUMIFS('12月数据源'!$I:$I,'12月数据源'!$D:$D,$E129,'12月数据源'!$F:$F,"杭州知识跳跳科技有限公司")+SUMIFS('12月数据源'!$J:$J,'12月数据源'!$D:$D,$E129,'12月数据源'!$F:$F,"杭州知识跳跳科技有限公司")</f>
        <v/>
      </c>
    </row>
    <row r="130" s="83">
      <c r="A130" s="5" t="inlineStr">
        <is>
          <t>销售费用</t>
        </is>
      </c>
      <c r="B130" s="6" t="inlineStr">
        <is>
          <t>私域运营</t>
        </is>
      </c>
      <c r="D130" s="5" t="inlineStr">
        <is>
          <t>转介绍佣金</t>
        </is>
      </c>
      <c r="E130" s="6" t="inlineStr">
        <is>
          <t>Q2302</t>
        </is>
      </c>
      <c r="F130" s="89">
        <f>-SUMIFS('1月数据源'!I:I,'1月数据源'!D:D,E130,'1月数据源'!F:F,"杭州知识跳跳科技有限公司")+SUMIFS('1月数据源'!J:J,'1月数据源'!D:D,E130,'1月数据源'!F:F,"杭州知识跳跳科技有限公司")</f>
        <v/>
      </c>
      <c r="G130" s="89">
        <f>-SUMIFS('2月数据源'!$I:$I,'2月数据源'!$D:$D,$E130,'2月数据源'!$F:$F,"杭州知识跳跳科技有限公司")+SUMIFS('2月数据源'!$J:$J,'2月数据源'!$D:$D,$E130,'2月数据源'!$F:$F,"杭州知识跳跳科技有限公司")</f>
        <v/>
      </c>
      <c r="H130" s="89">
        <f>-SUMIFS('3月数据源'!$I:$I,'3月数据源'!$D:$D,$E130,'3月数据源'!$F:$F,"杭州知识跳跳科技有限公司")+SUMIFS('3月数据源'!$J:$J,'3月数据源'!$D:$D,$E130,'3月数据源'!$F:$F,"杭州知识跳跳科技有限公司")</f>
        <v/>
      </c>
      <c r="I130" s="89">
        <f>-SUMIFS('4月数据源'!$I:$I,'4月数据源'!$D:$D,$E130,'4月数据源'!$F:$F,"杭州知识跳跳科技有限公司")+SUMIFS('4月数据源'!$J:$J,'4月数据源'!$D:$D,$E130,'4月数据源'!$F:$F,"杭州知识跳跳科技有限公司")</f>
        <v/>
      </c>
      <c r="J130" s="89">
        <f>-SUMIFS('5月数据源'!$I:$I,'5月数据源'!$D:$D,$E130,'5月数据源'!$F:$F,"杭州知识跳跳科技有限公司")+SUMIFS('5月数据源'!$J:$J,'5月数据源'!$D:$D,$E130,'5月数据源'!$F:$F,"杭州知识跳跳科技有限公司")</f>
        <v/>
      </c>
      <c r="K130" s="89">
        <f>-SUMIFS('6月数据源'!$I:$I,'6月数据源'!$D:$D,$E130,'6月数据源'!$F:$F,"杭州知识跳跳科技有限公司")+SUMIFS('6月数据源'!$J:$J,'6月数据源'!$D:$D,$E130,'6月数据源'!$F:$F,"杭州知识跳跳科技有限公司")</f>
        <v/>
      </c>
      <c r="L130" s="89">
        <f>-SUMIFS('7月数据源'!$I:$I,'7月数据源'!$D:$D,$E130,'7月数据源'!$F:$F,"杭州知识跳跳科技有限公司")+SUMIFS('7月数据源'!$J:$J,'7月数据源'!$D:$D,$E130,'7月数据源'!$F:$F,"杭州知识跳跳科技有限公司")</f>
        <v/>
      </c>
      <c r="M130" s="89">
        <f>-SUMIFS('8月数据源'!$I:$I,'8月数据源'!$D:$D,$E130,'8月数据源'!$F:$F,"杭州知识跳跳科技有限公司")+SUMIFS('8月数据源'!$J:$J,'8月数据源'!$D:$D,$E130,'8月数据源'!$F:$F,"杭州知识跳跳科技有限公司")</f>
        <v/>
      </c>
      <c r="N130" s="89">
        <f>-SUMIFS('9月数据源'!$I:$I,'9月数据源'!$D:$D,$E130,'9月数据源'!$F:$F,"杭州知识跳跳科技有限公司")+SUMIFS('9月数据源'!$J:$J,'9月数据源'!$D:$D,$E130,'9月数据源'!$F:$F,"杭州知识跳跳科技有限公司")</f>
        <v/>
      </c>
      <c r="O130" s="89">
        <f>-SUMIFS('10月数据源'!$I:$I,'10月数据源'!$D:$D,$E130,'10月数据源'!$F:$F,"杭州知识跳跳科技有限公司")+SUMIFS('10月数据源'!$J:$J,'10月数据源'!$D:$D,$E130,'10月数据源'!$F:$F,"杭州知识跳跳科技有限公司")</f>
        <v/>
      </c>
      <c r="P130" s="89">
        <f>-SUMIFS('11月数据源'!$I:$I,'11月数据源'!$D:$D,$E130,'11月数据源'!$F:$F,"杭州知识跳跳科技有限公司")+SUMIFS('11月数据源'!$J:$J,'11月数据源'!$D:$D,$E130,'11月数据源'!$F:$F,"杭州知识跳跳科技有限公司")</f>
        <v/>
      </c>
      <c r="Q130" s="89">
        <f>-SUMIFS('12月数据源'!$I:$I,'12月数据源'!$D:$D,$E130,'12月数据源'!$F:$F,"杭州知识跳跳科技有限公司")+SUMIFS('12月数据源'!$J:$J,'12月数据源'!$D:$D,$E130,'12月数据源'!$F:$F,"杭州知识跳跳科技有限公司")</f>
        <v/>
      </c>
    </row>
    <row r="131" s="83">
      <c r="A131" s="5" t="inlineStr">
        <is>
          <t>销售费用</t>
        </is>
      </c>
      <c r="B131" s="6" t="inlineStr">
        <is>
          <t>达人带货</t>
        </is>
      </c>
      <c r="C131" s="6" t="inlineStr">
        <is>
          <t>达人带货</t>
        </is>
      </c>
      <c r="D131" s="5" t="inlineStr">
        <is>
          <t>坑位费</t>
        </is>
      </c>
      <c r="E131" s="6" t="inlineStr">
        <is>
          <t>Q2401</t>
        </is>
      </c>
      <c r="F131" s="89">
        <f>-SUMIFS('1月数据源'!I:I,'1月数据源'!D:D,E131,'1月数据源'!F:F,"杭州知识跳跳科技有限公司")+SUMIFS('1月数据源'!J:J,'1月数据源'!D:D,E131,'1月数据源'!F:F,"杭州知识跳跳科技有限公司")</f>
        <v/>
      </c>
      <c r="G131" s="89">
        <f>-SUMIFS('2月数据源'!$I:$I,'2月数据源'!$D:$D,$E131,'2月数据源'!$F:$F,"杭州知识跳跳科技有限公司")+SUMIFS('2月数据源'!$J:$J,'2月数据源'!$D:$D,$E131,'2月数据源'!$F:$F,"杭州知识跳跳科技有限公司")</f>
        <v/>
      </c>
      <c r="H131" s="89">
        <f>-SUMIFS('3月数据源'!$I:$I,'3月数据源'!$D:$D,$E131,'3月数据源'!$F:$F,"杭州知识跳跳科技有限公司")+SUMIFS('3月数据源'!$J:$J,'3月数据源'!$D:$D,$E131,'3月数据源'!$F:$F,"杭州知识跳跳科技有限公司")</f>
        <v/>
      </c>
      <c r="I131" s="89">
        <f>-SUMIFS('4月数据源'!$I:$I,'4月数据源'!$D:$D,$E131,'4月数据源'!$F:$F,"杭州知识跳跳科技有限公司")+SUMIFS('4月数据源'!$J:$J,'4月数据源'!$D:$D,$E131,'4月数据源'!$F:$F,"杭州知识跳跳科技有限公司")</f>
        <v/>
      </c>
      <c r="J131" s="89">
        <f>-SUMIFS('5月数据源'!$I:$I,'5月数据源'!$D:$D,$E131,'5月数据源'!$F:$F,"杭州知识跳跳科技有限公司")+SUMIFS('5月数据源'!$J:$J,'5月数据源'!$D:$D,$E131,'5月数据源'!$F:$F,"杭州知识跳跳科技有限公司")</f>
        <v/>
      </c>
      <c r="K131" s="89">
        <f>-SUMIFS('6月数据源'!$I:$I,'6月数据源'!$D:$D,$E131,'6月数据源'!$F:$F,"杭州知识跳跳科技有限公司")+SUMIFS('6月数据源'!$J:$J,'6月数据源'!$D:$D,$E131,'6月数据源'!$F:$F,"杭州知识跳跳科技有限公司")</f>
        <v/>
      </c>
      <c r="L131" s="89">
        <f>-SUMIFS('7月数据源'!$I:$I,'7月数据源'!$D:$D,$E131,'7月数据源'!$F:$F,"杭州知识跳跳科技有限公司")+SUMIFS('7月数据源'!$J:$J,'7月数据源'!$D:$D,$E131,'7月数据源'!$F:$F,"杭州知识跳跳科技有限公司")</f>
        <v/>
      </c>
      <c r="M131" s="89">
        <f>-SUMIFS('8月数据源'!$I:$I,'8月数据源'!$D:$D,$E131,'8月数据源'!$F:$F,"杭州知识跳跳科技有限公司")+SUMIFS('8月数据源'!$J:$J,'8月数据源'!$D:$D,$E131,'8月数据源'!$F:$F,"杭州知识跳跳科技有限公司")</f>
        <v/>
      </c>
      <c r="N131" s="89">
        <f>-SUMIFS('9月数据源'!$I:$I,'9月数据源'!$D:$D,$E131,'9月数据源'!$F:$F,"杭州知识跳跳科技有限公司")+SUMIFS('9月数据源'!$J:$J,'9月数据源'!$D:$D,$E131,'9月数据源'!$F:$F,"杭州知识跳跳科技有限公司")</f>
        <v/>
      </c>
      <c r="O131" s="89">
        <f>-SUMIFS('10月数据源'!$I:$I,'10月数据源'!$D:$D,$E131,'10月数据源'!$F:$F,"杭州知识跳跳科技有限公司")+SUMIFS('10月数据源'!$J:$J,'10月数据源'!$D:$D,$E131,'10月数据源'!$F:$F,"杭州知识跳跳科技有限公司")</f>
        <v/>
      </c>
      <c r="P131" s="89">
        <f>-SUMIFS('11月数据源'!$I:$I,'11月数据源'!$D:$D,$E131,'11月数据源'!$F:$F,"杭州知识跳跳科技有限公司")+SUMIFS('11月数据源'!$J:$J,'11月数据源'!$D:$D,$E131,'11月数据源'!$F:$F,"杭州知识跳跳科技有限公司")</f>
        <v/>
      </c>
      <c r="Q131" s="89">
        <f>-SUMIFS('12月数据源'!$I:$I,'12月数据源'!$D:$D,$E131,'12月数据源'!$F:$F,"杭州知识跳跳科技有限公司")+SUMIFS('12月数据源'!$J:$J,'12月数据源'!$D:$D,$E131,'12月数据源'!$F:$F,"杭州知识跳跳科技有限公司")</f>
        <v/>
      </c>
    </row>
    <row r="132" s="83">
      <c r="A132" s="5" t="inlineStr">
        <is>
          <t>销售费用</t>
        </is>
      </c>
      <c r="B132" s="6" t="inlineStr">
        <is>
          <t>达人带货</t>
        </is>
      </c>
      <c r="D132" s="5" t="inlineStr">
        <is>
          <t>佣金</t>
        </is>
      </c>
      <c r="E132" s="6" t="inlineStr">
        <is>
          <t>Q2402</t>
        </is>
      </c>
      <c r="F132" s="89">
        <f>-SUMIFS('1月数据源'!I:I,'1月数据源'!D:D,E132,'1月数据源'!F:F,"杭州知识跳跳科技有限公司")+SUMIFS('1月数据源'!J:J,'1月数据源'!D:D,E132,'1月数据源'!F:F,"杭州知识跳跳科技有限公司")</f>
        <v/>
      </c>
      <c r="G132" s="89">
        <f>-SUMIFS('2月数据源'!$I:$I,'2月数据源'!$D:$D,$E132,'2月数据源'!$F:$F,"杭州知识跳跳科技有限公司")+SUMIFS('2月数据源'!$J:$J,'2月数据源'!$D:$D,$E132,'2月数据源'!$F:$F,"杭州知识跳跳科技有限公司")</f>
        <v/>
      </c>
      <c r="H132" s="89">
        <f>-SUMIFS('3月数据源'!$I:$I,'3月数据源'!$D:$D,$E132,'3月数据源'!$F:$F,"杭州知识跳跳科技有限公司")+SUMIFS('3月数据源'!$J:$J,'3月数据源'!$D:$D,$E132,'3月数据源'!$F:$F,"杭州知识跳跳科技有限公司")</f>
        <v/>
      </c>
      <c r="I132" s="89">
        <f>-SUMIFS('4月数据源'!$I:$I,'4月数据源'!$D:$D,$E132,'4月数据源'!$F:$F,"杭州知识跳跳科技有限公司")+SUMIFS('4月数据源'!$J:$J,'4月数据源'!$D:$D,$E132,'4月数据源'!$F:$F,"杭州知识跳跳科技有限公司")</f>
        <v/>
      </c>
      <c r="J132" s="89">
        <f>-SUMIFS('5月数据源'!$I:$I,'5月数据源'!$D:$D,$E132,'5月数据源'!$F:$F,"杭州知识跳跳科技有限公司")+SUMIFS('5月数据源'!$J:$J,'5月数据源'!$D:$D,$E132,'5月数据源'!$F:$F,"杭州知识跳跳科技有限公司")</f>
        <v/>
      </c>
      <c r="K132" s="89">
        <f>-SUMIFS('6月数据源'!$I:$I,'6月数据源'!$D:$D,$E132,'6月数据源'!$F:$F,"杭州知识跳跳科技有限公司")+SUMIFS('6月数据源'!$J:$J,'6月数据源'!$D:$D,$E132,'6月数据源'!$F:$F,"杭州知识跳跳科技有限公司")</f>
        <v/>
      </c>
      <c r="L132" s="89">
        <f>-SUMIFS('7月数据源'!$I:$I,'7月数据源'!$D:$D,$E132,'7月数据源'!$F:$F,"杭州知识跳跳科技有限公司")+SUMIFS('7月数据源'!$J:$J,'7月数据源'!$D:$D,$E132,'7月数据源'!$F:$F,"杭州知识跳跳科技有限公司")</f>
        <v/>
      </c>
      <c r="M132" s="89">
        <f>-SUMIFS('8月数据源'!$I:$I,'8月数据源'!$D:$D,$E132,'8月数据源'!$F:$F,"杭州知识跳跳科技有限公司")+SUMIFS('8月数据源'!$J:$J,'8月数据源'!$D:$D,$E132,'8月数据源'!$F:$F,"杭州知识跳跳科技有限公司")</f>
        <v/>
      </c>
      <c r="N132" s="89">
        <f>-SUMIFS('9月数据源'!$I:$I,'9月数据源'!$D:$D,$E132,'9月数据源'!$F:$F,"杭州知识跳跳科技有限公司")+SUMIFS('9月数据源'!$J:$J,'9月数据源'!$D:$D,$E132,'9月数据源'!$F:$F,"杭州知识跳跳科技有限公司")</f>
        <v/>
      </c>
      <c r="O132" s="89">
        <f>-SUMIFS('10月数据源'!$I:$I,'10月数据源'!$D:$D,$E132,'10月数据源'!$F:$F,"杭州知识跳跳科技有限公司")+SUMIFS('10月数据源'!$J:$J,'10月数据源'!$D:$D,$E132,'10月数据源'!$F:$F,"杭州知识跳跳科技有限公司")</f>
        <v/>
      </c>
      <c r="P132" s="89">
        <f>-SUMIFS('11月数据源'!$I:$I,'11月数据源'!$D:$D,$E132,'11月数据源'!$F:$F,"杭州知识跳跳科技有限公司")+SUMIFS('11月数据源'!$J:$J,'11月数据源'!$D:$D,$E132,'11月数据源'!$F:$F,"杭州知识跳跳科技有限公司")</f>
        <v/>
      </c>
      <c r="Q132" s="89">
        <f>-SUMIFS('12月数据源'!$I:$I,'12月数据源'!$D:$D,$E132,'12月数据源'!$F:$F,"杭州知识跳跳科技有限公司")+SUMIFS('12月数据源'!$J:$J,'12月数据源'!$D:$D,$E132,'12月数据源'!$F:$F,"杭州知识跳跳科技有限公司")</f>
        <v/>
      </c>
    </row>
    <row r="133" s="83">
      <c r="A133" s="5" t="inlineStr">
        <is>
          <t>销售费用</t>
        </is>
      </c>
      <c r="B133" s="6" t="inlineStr">
        <is>
          <t>达人带货</t>
        </is>
      </c>
      <c r="D133" s="5" t="inlineStr">
        <is>
          <t>助播费用</t>
        </is>
      </c>
      <c r="E133" s="6" t="inlineStr">
        <is>
          <t>Q2403</t>
        </is>
      </c>
      <c r="F133" s="89">
        <f>-SUMIFS('1月数据源'!I:I,'1月数据源'!D:D,E133,'1月数据源'!F:F,"杭州知识跳跳科技有限公司")+SUMIFS('1月数据源'!J:J,'1月数据源'!D:D,E133,'1月数据源'!F:F,"杭州知识跳跳科技有限公司")</f>
        <v/>
      </c>
      <c r="G133" s="89">
        <f>-SUMIFS('2月数据源'!$I:$I,'2月数据源'!$D:$D,$E133,'2月数据源'!$F:$F,"杭州知识跳跳科技有限公司")+SUMIFS('2月数据源'!$J:$J,'2月数据源'!$D:$D,$E133,'2月数据源'!$F:$F,"杭州知识跳跳科技有限公司")</f>
        <v/>
      </c>
      <c r="H133" s="89">
        <f>-SUMIFS('3月数据源'!$I:$I,'3月数据源'!$D:$D,$E133,'3月数据源'!$F:$F,"杭州知识跳跳科技有限公司")+SUMIFS('3月数据源'!$J:$J,'3月数据源'!$D:$D,$E133,'3月数据源'!$F:$F,"杭州知识跳跳科技有限公司")</f>
        <v/>
      </c>
      <c r="I133" s="89">
        <f>-SUMIFS('4月数据源'!$I:$I,'4月数据源'!$D:$D,$E133,'4月数据源'!$F:$F,"杭州知识跳跳科技有限公司")+SUMIFS('4月数据源'!$J:$J,'4月数据源'!$D:$D,$E133,'4月数据源'!$F:$F,"杭州知识跳跳科技有限公司")</f>
        <v/>
      </c>
      <c r="J133" s="89">
        <f>-SUMIFS('5月数据源'!$I:$I,'5月数据源'!$D:$D,$E133,'5月数据源'!$F:$F,"杭州知识跳跳科技有限公司")+SUMIFS('5月数据源'!$J:$J,'5月数据源'!$D:$D,$E133,'5月数据源'!$F:$F,"杭州知识跳跳科技有限公司")</f>
        <v/>
      </c>
      <c r="K133" s="89">
        <f>-SUMIFS('6月数据源'!$I:$I,'6月数据源'!$D:$D,$E133,'6月数据源'!$F:$F,"杭州知识跳跳科技有限公司")+SUMIFS('6月数据源'!$J:$J,'6月数据源'!$D:$D,$E133,'6月数据源'!$F:$F,"杭州知识跳跳科技有限公司")</f>
        <v/>
      </c>
      <c r="L133" s="89">
        <f>-SUMIFS('7月数据源'!$I:$I,'7月数据源'!$D:$D,$E133,'7月数据源'!$F:$F,"杭州知识跳跳科技有限公司")+SUMIFS('7月数据源'!$J:$J,'7月数据源'!$D:$D,$E133,'7月数据源'!$F:$F,"杭州知识跳跳科技有限公司")</f>
        <v/>
      </c>
      <c r="M133" s="89">
        <f>-SUMIFS('8月数据源'!$I:$I,'8月数据源'!$D:$D,$E133,'8月数据源'!$F:$F,"杭州知识跳跳科技有限公司")+SUMIFS('8月数据源'!$J:$J,'8月数据源'!$D:$D,$E133,'8月数据源'!$F:$F,"杭州知识跳跳科技有限公司")</f>
        <v/>
      </c>
      <c r="N133" s="89">
        <f>-SUMIFS('9月数据源'!$I:$I,'9月数据源'!$D:$D,$E133,'9月数据源'!$F:$F,"杭州知识跳跳科技有限公司")+SUMIFS('9月数据源'!$J:$J,'9月数据源'!$D:$D,$E133,'9月数据源'!$F:$F,"杭州知识跳跳科技有限公司")</f>
        <v/>
      </c>
      <c r="O133" s="89">
        <f>-SUMIFS('10月数据源'!$I:$I,'10月数据源'!$D:$D,$E133,'10月数据源'!$F:$F,"杭州知识跳跳科技有限公司")+SUMIFS('10月数据源'!$J:$J,'10月数据源'!$D:$D,$E133,'10月数据源'!$F:$F,"杭州知识跳跳科技有限公司")</f>
        <v/>
      </c>
      <c r="P133" s="89">
        <f>-SUMIFS('11月数据源'!$I:$I,'11月数据源'!$D:$D,$E133,'11月数据源'!$F:$F,"杭州知识跳跳科技有限公司")+SUMIFS('11月数据源'!$J:$J,'11月数据源'!$D:$D,$E133,'11月数据源'!$F:$F,"杭州知识跳跳科技有限公司")</f>
        <v/>
      </c>
      <c r="Q133" s="89">
        <f>-SUMIFS('12月数据源'!$I:$I,'12月数据源'!$D:$D,$E133,'12月数据源'!$F:$F,"杭州知识跳跳科技有限公司")+SUMIFS('12月数据源'!$J:$J,'12月数据源'!$D:$D,$E133,'12月数据源'!$F:$F,"杭州知识跳跳科技有限公司")</f>
        <v/>
      </c>
    </row>
    <row r="134" s="83">
      <c r="A134" s="5" t="inlineStr">
        <is>
          <t>销售费用</t>
        </is>
      </c>
      <c r="B134" s="6" t="inlineStr">
        <is>
          <t>发货成本</t>
        </is>
      </c>
      <c r="C134" s="6" t="inlineStr">
        <is>
          <t>发货成本</t>
        </is>
      </c>
      <c r="D134" s="5" t="inlineStr">
        <is>
          <t>快递费</t>
        </is>
      </c>
      <c r="E134" s="6" t="inlineStr">
        <is>
          <t>Q2501</t>
        </is>
      </c>
      <c r="F134" s="89">
        <f>-SUMIFS('1月数据源'!I:I,'1月数据源'!D:D,E134,'1月数据源'!F:F,"杭州知识跳跳科技有限公司")+SUMIFS('1月数据源'!J:J,'1月数据源'!D:D,E134,'1月数据源'!F:F,"杭州知识跳跳科技有限公司")</f>
        <v/>
      </c>
      <c r="G134" s="89">
        <f>-SUMIFS('2月数据源'!$I:$I,'2月数据源'!$D:$D,$E134,'2月数据源'!$F:$F,"杭州知识跳跳科技有限公司")+SUMIFS('2月数据源'!$J:$J,'2月数据源'!$D:$D,$E134,'2月数据源'!$F:$F,"杭州知识跳跳科技有限公司")</f>
        <v/>
      </c>
      <c r="H134" s="89">
        <f>-SUMIFS('3月数据源'!$I:$I,'3月数据源'!$D:$D,$E134,'3月数据源'!$F:$F,"杭州知识跳跳科技有限公司")+SUMIFS('3月数据源'!$J:$J,'3月数据源'!$D:$D,$E134,'3月数据源'!$F:$F,"杭州知识跳跳科技有限公司")</f>
        <v/>
      </c>
      <c r="I134" s="89">
        <f>-SUMIFS('4月数据源'!$I:$I,'4月数据源'!$D:$D,$E134,'4月数据源'!$F:$F,"杭州知识跳跳科技有限公司")+SUMIFS('4月数据源'!$J:$J,'4月数据源'!$D:$D,$E134,'4月数据源'!$F:$F,"杭州知识跳跳科技有限公司")</f>
        <v/>
      </c>
      <c r="J134" s="89">
        <f>-SUMIFS('5月数据源'!$I:$I,'5月数据源'!$D:$D,$E134,'5月数据源'!$F:$F,"杭州知识跳跳科技有限公司")+SUMIFS('5月数据源'!$J:$J,'5月数据源'!$D:$D,$E134,'5月数据源'!$F:$F,"杭州知识跳跳科技有限公司")</f>
        <v/>
      </c>
      <c r="K134" s="89">
        <f>-SUMIFS('6月数据源'!$I:$I,'6月数据源'!$D:$D,$E134,'6月数据源'!$F:$F,"杭州知识跳跳科技有限公司")+SUMIFS('6月数据源'!$J:$J,'6月数据源'!$D:$D,$E134,'6月数据源'!$F:$F,"杭州知识跳跳科技有限公司")</f>
        <v/>
      </c>
      <c r="L134" s="89">
        <f>-SUMIFS('7月数据源'!$I:$I,'7月数据源'!$D:$D,$E134,'7月数据源'!$F:$F,"杭州知识跳跳科技有限公司")+SUMIFS('7月数据源'!$J:$J,'7月数据源'!$D:$D,$E134,'7月数据源'!$F:$F,"杭州知识跳跳科技有限公司")</f>
        <v/>
      </c>
      <c r="M134" s="89">
        <f>-SUMIFS('8月数据源'!$I:$I,'8月数据源'!$D:$D,$E134,'8月数据源'!$F:$F,"杭州知识跳跳科技有限公司")+SUMIFS('8月数据源'!$J:$J,'8月数据源'!$D:$D,$E134,'8月数据源'!$F:$F,"杭州知识跳跳科技有限公司")</f>
        <v/>
      </c>
      <c r="N134" s="89">
        <f>-SUMIFS('9月数据源'!$I:$I,'9月数据源'!$D:$D,$E134,'9月数据源'!$F:$F,"杭州知识跳跳科技有限公司")+SUMIFS('9月数据源'!$J:$J,'9月数据源'!$D:$D,$E134,'9月数据源'!$F:$F,"杭州知识跳跳科技有限公司")</f>
        <v/>
      </c>
      <c r="O134" s="89">
        <f>-SUMIFS('10月数据源'!$I:$I,'10月数据源'!$D:$D,$E134,'10月数据源'!$F:$F,"杭州知识跳跳科技有限公司")+SUMIFS('10月数据源'!$J:$J,'10月数据源'!$D:$D,$E134,'10月数据源'!$F:$F,"杭州知识跳跳科技有限公司")</f>
        <v/>
      </c>
      <c r="P134" s="89">
        <f>-SUMIFS('11月数据源'!$I:$I,'11月数据源'!$D:$D,$E134,'11月数据源'!$F:$F,"杭州知识跳跳科技有限公司")+SUMIFS('11月数据源'!$J:$J,'11月数据源'!$D:$D,$E134,'11月数据源'!$F:$F,"杭州知识跳跳科技有限公司")</f>
        <v/>
      </c>
      <c r="Q134" s="89">
        <f>-SUMIFS('12月数据源'!$I:$I,'12月数据源'!$D:$D,$E134,'12月数据源'!$F:$F,"杭州知识跳跳科技有限公司")+SUMIFS('12月数据源'!$J:$J,'12月数据源'!$D:$D,$E134,'12月数据源'!$F:$F,"杭州知识跳跳科技有限公司")</f>
        <v/>
      </c>
    </row>
    <row r="135" s="83">
      <c r="A135" s="5" t="inlineStr">
        <is>
          <t>销售费用</t>
        </is>
      </c>
      <c r="B135" s="6" t="inlineStr">
        <is>
          <t>发货成本</t>
        </is>
      </c>
      <c r="D135" s="5" t="inlineStr">
        <is>
          <t>云仓租金</t>
        </is>
      </c>
      <c r="E135" s="6" t="inlineStr">
        <is>
          <t>Q2502</t>
        </is>
      </c>
      <c r="F135" s="89">
        <f>-SUMIFS('1月数据源'!I:I,'1月数据源'!D:D,E135,'1月数据源'!F:F,"杭州知识跳跳科技有限公司")+SUMIFS('1月数据源'!J:J,'1月数据源'!D:D,E135,'1月数据源'!F:F,"杭州知识跳跳科技有限公司")</f>
        <v/>
      </c>
      <c r="G135" s="89">
        <f>-SUMIFS('2月数据源'!$I:$I,'2月数据源'!$D:$D,$E135,'2月数据源'!$F:$F,"杭州知识跳跳科技有限公司")+SUMIFS('2月数据源'!$J:$J,'2月数据源'!$D:$D,$E135,'2月数据源'!$F:$F,"杭州知识跳跳科技有限公司")</f>
        <v/>
      </c>
      <c r="H135" s="89">
        <f>-SUMIFS('3月数据源'!$I:$I,'3月数据源'!$D:$D,$E135,'3月数据源'!$F:$F,"杭州知识跳跳科技有限公司")+SUMIFS('3月数据源'!$J:$J,'3月数据源'!$D:$D,$E135,'3月数据源'!$F:$F,"杭州知识跳跳科技有限公司")</f>
        <v/>
      </c>
      <c r="I135" s="89">
        <f>-SUMIFS('4月数据源'!$I:$I,'4月数据源'!$D:$D,$E135,'4月数据源'!$F:$F,"杭州知识跳跳科技有限公司")+SUMIFS('4月数据源'!$J:$J,'4月数据源'!$D:$D,$E135,'4月数据源'!$F:$F,"杭州知识跳跳科技有限公司")</f>
        <v/>
      </c>
      <c r="J135" s="89">
        <f>-SUMIFS('5月数据源'!$I:$I,'5月数据源'!$D:$D,$E135,'5月数据源'!$F:$F,"杭州知识跳跳科技有限公司")+SUMIFS('5月数据源'!$J:$J,'5月数据源'!$D:$D,$E135,'5月数据源'!$F:$F,"杭州知识跳跳科技有限公司")</f>
        <v/>
      </c>
      <c r="K135" s="89">
        <f>-SUMIFS('6月数据源'!$I:$I,'6月数据源'!$D:$D,$E135,'6月数据源'!$F:$F,"杭州知识跳跳科技有限公司")+SUMIFS('6月数据源'!$J:$J,'6月数据源'!$D:$D,$E135,'6月数据源'!$F:$F,"杭州知识跳跳科技有限公司")</f>
        <v/>
      </c>
      <c r="L135" s="89">
        <f>-SUMIFS('7月数据源'!$I:$I,'7月数据源'!$D:$D,$E135,'7月数据源'!$F:$F,"杭州知识跳跳科技有限公司")+SUMIFS('7月数据源'!$J:$J,'7月数据源'!$D:$D,$E135,'7月数据源'!$F:$F,"杭州知识跳跳科技有限公司")</f>
        <v/>
      </c>
      <c r="M135" s="89">
        <f>-SUMIFS('8月数据源'!$I:$I,'8月数据源'!$D:$D,$E135,'8月数据源'!$F:$F,"杭州知识跳跳科技有限公司")+SUMIFS('8月数据源'!$J:$J,'8月数据源'!$D:$D,$E135,'8月数据源'!$F:$F,"杭州知识跳跳科技有限公司")</f>
        <v/>
      </c>
      <c r="N135" s="89">
        <f>-SUMIFS('9月数据源'!$I:$I,'9月数据源'!$D:$D,$E135,'9月数据源'!$F:$F,"杭州知识跳跳科技有限公司")+SUMIFS('9月数据源'!$J:$J,'9月数据源'!$D:$D,$E135,'9月数据源'!$F:$F,"杭州知识跳跳科技有限公司")</f>
        <v/>
      </c>
      <c r="O135" s="89">
        <f>-SUMIFS('10月数据源'!$I:$I,'10月数据源'!$D:$D,$E135,'10月数据源'!$F:$F,"杭州知识跳跳科技有限公司")+SUMIFS('10月数据源'!$J:$J,'10月数据源'!$D:$D,$E135,'10月数据源'!$F:$F,"杭州知识跳跳科技有限公司")</f>
        <v/>
      </c>
      <c r="P135" s="89">
        <f>-SUMIFS('11月数据源'!$I:$I,'11月数据源'!$D:$D,$E135,'11月数据源'!$F:$F,"杭州知识跳跳科技有限公司")+SUMIFS('11月数据源'!$J:$J,'11月数据源'!$D:$D,$E135,'11月数据源'!$F:$F,"杭州知识跳跳科技有限公司")</f>
        <v/>
      </c>
      <c r="Q135" s="89">
        <f>-SUMIFS('12月数据源'!$I:$I,'12月数据源'!$D:$D,$E135,'12月数据源'!$F:$F,"杭州知识跳跳科技有限公司")+SUMIFS('12月数据源'!$J:$J,'12月数据源'!$D:$D,$E135,'12月数据源'!$F:$F,"杭州知识跳跳科技有限公司")</f>
        <v/>
      </c>
    </row>
    <row r="136" s="83">
      <c r="A136" s="5" t="inlineStr">
        <is>
          <t>销售费用</t>
        </is>
      </c>
      <c r="B136" s="6" t="inlineStr">
        <is>
          <t>品销-费用报销</t>
        </is>
      </c>
      <c r="C136" s="6" t="inlineStr">
        <is>
          <t>品销-费用报销</t>
        </is>
      </c>
      <c r="D136" s="5" t="inlineStr">
        <is>
          <t>品销员工报销</t>
        </is>
      </c>
      <c r="E136" s="6" t="inlineStr">
        <is>
          <t>Q2601</t>
        </is>
      </c>
      <c r="F136" s="89">
        <f>-SUMIFS('1月数据源'!I:I,'1月数据源'!D:D,E136,'1月数据源'!F:F,"杭州知识跳跳科技有限公司")+SUMIFS('1月数据源'!J:J,'1月数据源'!D:D,E136,'1月数据源'!F:F,"杭州知识跳跳科技有限公司")</f>
        <v/>
      </c>
      <c r="G136" s="89">
        <f>-SUMIFS('2月数据源'!$I:$I,'2月数据源'!$D:$D,$E136,'2月数据源'!$F:$F,"杭州知识跳跳科技有限公司")+SUMIFS('2月数据源'!$J:$J,'2月数据源'!$D:$D,$E136,'2月数据源'!$F:$F,"杭州知识跳跳科技有限公司")</f>
        <v/>
      </c>
      <c r="H136" s="89">
        <f>-SUMIFS('3月数据源'!$I:$I,'3月数据源'!$D:$D,$E136,'3月数据源'!$F:$F,"杭州知识跳跳科技有限公司")+SUMIFS('3月数据源'!$J:$J,'3月数据源'!$D:$D,$E136,'3月数据源'!$F:$F,"杭州知识跳跳科技有限公司")</f>
        <v/>
      </c>
      <c r="I136" s="89">
        <f>-SUMIFS('4月数据源'!$I:$I,'4月数据源'!$D:$D,$E136,'4月数据源'!$F:$F,"杭州知识跳跳科技有限公司")+SUMIFS('4月数据源'!$J:$J,'4月数据源'!$D:$D,$E136,'4月数据源'!$F:$F,"杭州知识跳跳科技有限公司")</f>
        <v/>
      </c>
      <c r="J136" s="89">
        <f>-SUMIFS('5月数据源'!$I:$I,'5月数据源'!$D:$D,$E136,'5月数据源'!$F:$F,"杭州知识跳跳科技有限公司")+SUMIFS('5月数据源'!$J:$J,'5月数据源'!$D:$D,$E136,'5月数据源'!$F:$F,"杭州知识跳跳科技有限公司")</f>
        <v/>
      </c>
      <c r="K136" s="89">
        <f>-SUMIFS('6月数据源'!$I:$I,'6月数据源'!$D:$D,$E136,'6月数据源'!$F:$F,"杭州知识跳跳科技有限公司")+SUMIFS('6月数据源'!$J:$J,'6月数据源'!$D:$D,$E136,'6月数据源'!$F:$F,"杭州知识跳跳科技有限公司")</f>
        <v/>
      </c>
      <c r="L136" s="89">
        <f>-SUMIFS('7月数据源'!$I:$I,'7月数据源'!$D:$D,$E136,'7月数据源'!$F:$F,"杭州知识跳跳科技有限公司")+SUMIFS('7月数据源'!$J:$J,'7月数据源'!$D:$D,$E136,'7月数据源'!$F:$F,"杭州知识跳跳科技有限公司")</f>
        <v/>
      </c>
      <c r="M136" s="89">
        <f>-SUMIFS('8月数据源'!$I:$I,'8月数据源'!$D:$D,$E136,'8月数据源'!$F:$F,"杭州知识跳跳科技有限公司")+SUMIFS('8月数据源'!$J:$J,'8月数据源'!$D:$D,$E136,'8月数据源'!$F:$F,"杭州知识跳跳科技有限公司")</f>
        <v/>
      </c>
      <c r="N136" s="89">
        <f>-SUMIFS('9月数据源'!$I:$I,'9月数据源'!$D:$D,$E136,'9月数据源'!$F:$F,"杭州知识跳跳科技有限公司")+SUMIFS('9月数据源'!$J:$J,'9月数据源'!$D:$D,$E136,'9月数据源'!$F:$F,"杭州知识跳跳科技有限公司")</f>
        <v/>
      </c>
      <c r="O136" s="89">
        <f>-SUMIFS('10月数据源'!$I:$I,'10月数据源'!$D:$D,$E136,'10月数据源'!$F:$F,"杭州知识跳跳科技有限公司")+SUMIFS('10月数据源'!$J:$J,'10月数据源'!$D:$D,$E136,'10月数据源'!$F:$F,"杭州知识跳跳科技有限公司")</f>
        <v/>
      </c>
      <c r="P136" s="89">
        <f>-SUMIFS('11月数据源'!$I:$I,'11月数据源'!$D:$D,$E136,'11月数据源'!$F:$F,"杭州知识跳跳科技有限公司")+SUMIFS('11月数据源'!$J:$J,'11月数据源'!$D:$D,$E136,'11月数据源'!$F:$F,"杭州知识跳跳科技有限公司")</f>
        <v/>
      </c>
      <c r="Q136" s="89">
        <f>-SUMIFS('12月数据源'!$I:$I,'12月数据源'!$D:$D,$E136,'12月数据源'!$F:$F,"杭州知识跳跳科技有限公司")+SUMIFS('12月数据源'!$J:$J,'12月数据源'!$D:$D,$E136,'12月数据源'!$F:$F,"杭州知识跳跳科技有限公司")</f>
        <v/>
      </c>
    </row>
    <row r="137" s="83">
      <c r="A137" s="49" t="inlineStr">
        <is>
          <t>销售费用合计</t>
        </is>
      </c>
      <c r="B137" s="50" t="n"/>
      <c r="C137" s="50" t="n"/>
      <c r="D137" s="49" t="n"/>
      <c r="E137" s="49" t="n"/>
      <c r="F137" s="89">
        <f>SUM(F99:F136)</f>
        <v/>
      </c>
      <c r="G137" s="89">
        <f>SUM(G99:G136)</f>
        <v/>
      </c>
      <c r="H137" s="89">
        <f>SUM(H99:H136)</f>
        <v/>
      </c>
      <c r="I137" s="89">
        <f>SUM(I99:I136)</f>
        <v/>
      </c>
      <c r="J137" s="89">
        <f>SUM(J99:J136)</f>
        <v/>
      </c>
      <c r="K137" s="89">
        <f>SUM(K99:K136)</f>
        <v/>
      </c>
      <c r="L137" s="89">
        <f>SUM(L99:L136)</f>
        <v/>
      </c>
      <c r="M137" s="89">
        <f>SUM(M99:M136)</f>
        <v/>
      </c>
      <c r="N137" s="89">
        <f>SUM(N99:N136)</f>
        <v/>
      </c>
      <c r="O137" s="89">
        <f>SUM(O99:O136)</f>
        <v/>
      </c>
      <c r="P137" s="89">
        <f>SUM(P99:P136)</f>
        <v/>
      </c>
      <c r="Q137" s="89">
        <f>SUM(Q99:Q136)</f>
        <v/>
      </c>
    </row>
    <row r="138" s="83">
      <c r="A138" s="5" t="inlineStr">
        <is>
          <t>管理费用</t>
        </is>
      </c>
      <c r="B138" s="6" t="inlineStr">
        <is>
          <t>办公场地使用费</t>
        </is>
      </c>
      <c r="C138" s="6" t="inlineStr">
        <is>
          <t>办公场地使用费</t>
        </is>
      </c>
      <c r="D138" s="5" t="inlineStr">
        <is>
          <t>西溪首座办公场地租金</t>
        </is>
      </c>
      <c r="E138" s="6" t="inlineStr">
        <is>
          <t>Q2702</t>
        </is>
      </c>
      <c r="F138" s="89">
        <f>-SUMIFS('1月数据源'!I:I,'1月数据源'!D:D,E138,'1月数据源'!F:F,"杭州知识跳跳科技有限公司")+SUMIFS('1月数据源'!J:J,'1月数据源'!D:D,E138,'1月数据源'!F:F,"杭州知识跳跳科技有限公司")</f>
        <v/>
      </c>
      <c r="G138" s="89">
        <f>-SUMIFS('2月数据源'!$I:$I,'2月数据源'!$D:$D,$E138,'2月数据源'!$F:$F,"杭州知识跳跳科技有限公司")+SUMIFS('2月数据源'!$J:$J,'2月数据源'!$D:$D,$E138,'2月数据源'!$F:$F,"杭州知识跳跳科技有限公司")</f>
        <v/>
      </c>
      <c r="H138" s="89">
        <f>-SUMIFS('3月数据源'!$I:$I,'3月数据源'!$D:$D,$E138,'3月数据源'!$F:$F,"杭州知识跳跳科技有限公司")+SUMIFS('3月数据源'!$J:$J,'3月数据源'!$D:$D,$E138,'3月数据源'!$F:$F,"杭州知识跳跳科技有限公司")</f>
        <v/>
      </c>
      <c r="I138" s="89">
        <f>-SUMIFS('4月数据源'!$I:$I,'4月数据源'!$D:$D,$E138,'4月数据源'!$F:$F,"杭州知识跳跳科技有限公司")+SUMIFS('4月数据源'!$J:$J,'4月数据源'!$D:$D,$E138,'4月数据源'!$F:$F,"杭州知识跳跳科技有限公司")</f>
        <v/>
      </c>
      <c r="J138" s="89">
        <f>-SUMIFS('5月数据源'!$I:$I,'5月数据源'!$D:$D,$E138,'5月数据源'!$F:$F,"杭州知识跳跳科技有限公司")+SUMIFS('5月数据源'!$J:$J,'5月数据源'!$D:$D,$E138,'5月数据源'!$F:$F,"杭州知识跳跳科技有限公司")</f>
        <v/>
      </c>
      <c r="K138" s="89">
        <f>-SUMIFS('6月数据源'!$I:$I,'6月数据源'!$D:$D,$E138,'6月数据源'!$F:$F,"杭州知识跳跳科技有限公司")+SUMIFS('6月数据源'!$J:$J,'6月数据源'!$D:$D,$E138,'6月数据源'!$F:$F,"杭州知识跳跳科技有限公司")</f>
        <v/>
      </c>
      <c r="L138" s="89">
        <f>-SUMIFS('7月数据源'!$I:$I,'7月数据源'!$D:$D,$E138,'7月数据源'!$F:$F,"杭州知识跳跳科技有限公司")+SUMIFS('7月数据源'!$J:$J,'7月数据源'!$D:$D,$E138,'7月数据源'!$F:$F,"杭州知识跳跳科技有限公司")</f>
        <v/>
      </c>
      <c r="M138" s="89">
        <f>-SUMIFS('8月数据源'!$I:$I,'8月数据源'!$D:$D,$E138,'8月数据源'!$F:$F,"杭州知识跳跳科技有限公司")+SUMIFS('8月数据源'!$J:$J,'8月数据源'!$D:$D,$E138,'8月数据源'!$F:$F,"杭州知识跳跳科技有限公司")</f>
        <v/>
      </c>
      <c r="N138" s="89">
        <f>-SUMIFS('9月数据源'!$I:$I,'9月数据源'!$D:$D,$E138,'9月数据源'!$F:$F,"杭州知识跳跳科技有限公司")+SUMIFS('9月数据源'!$J:$J,'9月数据源'!$D:$D,$E138,'9月数据源'!$F:$F,"杭州知识跳跳科技有限公司")</f>
        <v/>
      </c>
      <c r="O138" s="89">
        <f>-SUMIFS('10月数据源'!$I:$I,'10月数据源'!$D:$D,$E138,'10月数据源'!$F:$F,"杭州知识跳跳科技有限公司")+SUMIFS('10月数据源'!$J:$J,'10月数据源'!$D:$D,$E138,'10月数据源'!$F:$F,"杭州知识跳跳科技有限公司")</f>
        <v/>
      </c>
      <c r="P138" s="89">
        <f>-SUMIFS('11月数据源'!$I:$I,'11月数据源'!$D:$D,$E138,'11月数据源'!$F:$F,"杭州知识跳跳科技有限公司")+SUMIFS('11月数据源'!$J:$J,'11月数据源'!$D:$D,$E138,'11月数据源'!$F:$F,"杭州知识跳跳科技有限公司")</f>
        <v/>
      </c>
      <c r="Q138" s="89">
        <f>-SUMIFS('12月数据源'!$I:$I,'12月数据源'!$D:$D,$E138,'12月数据源'!$F:$F,"杭州知识跳跳科技有限公司")+SUMIFS('12月数据源'!$J:$J,'12月数据源'!$D:$D,$E138,'12月数据源'!$F:$F,"杭州知识跳跳科技有限公司")</f>
        <v/>
      </c>
    </row>
    <row r="139" s="83">
      <c r="A139" s="5" t="inlineStr">
        <is>
          <t>管理费用</t>
        </is>
      </c>
      <c r="B139" s="6" t="inlineStr">
        <is>
          <t>办公场地使用费</t>
        </is>
      </c>
      <c r="D139" s="5" t="inlineStr">
        <is>
          <t>西溪首座办公场地装修费</t>
        </is>
      </c>
      <c r="E139" s="6" t="inlineStr">
        <is>
          <t>Q2701</t>
        </is>
      </c>
      <c r="F139" s="89">
        <f>-SUMIFS('1月数据源'!I:I,'1月数据源'!D:D,E139,'1月数据源'!F:F,"杭州知识跳跳科技有限公司")+SUMIFS('1月数据源'!J:J,'1月数据源'!D:D,E139,'1月数据源'!F:F,"杭州知识跳跳科技有限公司")</f>
        <v/>
      </c>
      <c r="G139" s="89">
        <f>-SUMIFS('2月数据源'!$I:$I,'2月数据源'!$D:$D,$E139,'2月数据源'!$F:$F,"杭州知识跳跳科技有限公司")+SUMIFS('2月数据源'!$J:$J,'2月数据源'!$D:$D,$E139,'2月数据源'!$F:$F,"杭州知识跳跳科技有限公司")</f>
        <v/>
      </c>
      <c r="H139" s="89">
        <f>-SUMIFS('3月数据源'!$I:$I,'3月数据源'!$D:$D,$E139,'3月数据源'!$F:$F,"杭州知识跳跳科技有限公司")+SUMIFS('3月数据源'!$J:$J,'3月数据源'!$D:$D,$E139,'3月数据源'!$F:$F,"杭州知识跳跳科技有限公司")</f>
        <v/>
      </c>
      <c r="I139" s="89">
        <f>-SUMIFS('4月数据源'!$I:$I,'4月数据源'!$D:$D,$E139,'4月数据源'!$F:$F,"杭州知识跳跳科技有限公司")+SUMIFS('4月数据源'!$J:$J,'4月数据源'!$D:$D,$E139,'4月数据源'!$F:$F,"杭州知识跳跳科技有限公司")</f>
        <v/>
      </c>
      <c r="J139" s="89">
        <f>-SUMIFS('5月数据源'!$I:$I,'5月数据源'!$D:$D,$E139,'5月数据源'!$F:$F,"杭州知识跳跳科技有限公司")+SUMIFS('5月数据源'!$J:$J,'5月数据源'!$D:$D,$E139,'5月数据源'!$F:$F,"杭州知识跳跳科技有限公司")</f>
        <v/>
      </c>
      <c r="K139" s="89">
        <f>-SUMIFS('6月数据源'!$I:$I,'6月数据源'!$D:$D,$E139,'6月数据源'!$F:$F,"杭州知识跳跳科技有限公司")+SUMIFS('6月数据源'!$J:$J,'6月数据源'!$D:$D,$E139,'6月数据源'!$F:$F,"杭州知识跳跳科技有限公司")</f>
        <v/>
      </c>
      <c r="L139" s="89">
        <f>-SUMIFS('7月数据源'!$I:$I,'7月数据源'!$D:$D,$E139,'7月数据源'!$F:$F,"杭州知识跳跳科技有限公司")+SUMIFS('7月数据源'!$J:$J,'7月数据源'!$D:$D,$E139,'7月数据源'!$F:$F,"杭州知识跳跳科技有限公司")</f>
        <v/>
      </c>
      <c r="M139" s="89">
        <f>-SUMIFS('8月数据源'!$I:$I,'8月数据源'!$D:$D,$E139,'8月数据源'!$F:$F,"杭州知识跳跳科技有限公司")+SUMIFS('8月数据源'!$J:$J,'8月数据源'!$D:$D,$E139,'8月数据源'!$F:$F,"杭州知识跳跳科技有限公司")</f>
        <v/>
      </c>
      <c r="N139" s="89">
        <f>-SUMIFS('9月数据源'!$I:$I,'9月数据源'!$D:$D,$E139,'9月数据源'!$F:$F,"杭州知识跳跳科技有限公司")+SUMIFS('9月数据源'!$J:$J,'9月数据源'!$D:$D,$E139,'9月数据源'!$F:$F,"杭州知识跳跳科技有限公司")</f>
        <v/>
      </c>
      <c r="O139" s="89">
        <f>-SUMIFS('10月数据源'!$I:$I,'10月数据源'!$D:$D,$E139,'10月数据源'!$F:$F,"杭州知识跳跳科技有限公司")+SUMIFS('10月数据源'!$J:$J,'10月数据源'!$D:$D,$E139,'10月数据源'!$F:$F,"杭州知识跳跳科技有限公司")</f>
        <v/>
      </c>
      <c r="P139" s="89">
        <f>-SUMIFS('11月数据源'!$I:$I,'11月数据源'!$D:$D,$E139,'11月数据源'!$F:$F,"杭州知识跳跳科技有限公司")+SUMIFS('11月数据源'!$J:$J,'11月数据源'!$D:$D,$E139,'11月数据源'!$F:$F,"杭州知识跳跳科技有限公司")</f>
        <v/>
      </c>
      <c r="Q139" s="89">
        <f>-SUMIFS('12月数据源'!$I:$I,'12月数据源'!$D:$D,$E139,'12月数据源'!$F:$F,"杭州知识跳跳科技有限公司")+SUMIFS('12月数据源'!$J:$J,'12月数据源'!$D:$D,$E139,'12月数据源'!$F:$F,"杭州知识跳跳科技有限公司")</f>
        <v/>
      </c>
    </row>
    <row r="140" s="83">
      <c r="A140" s="5" t="inlineStr">
        <is>
          <t>管理费用</t>
        </is>
      </c>
      <c r="B140" s="6" t="inlineStr">
        <is>
          <t>办公场地使用费</t>
        </is>
      </c>
      <c r="D140" s="5" t="inlineStr">
        <is>
          <t>西溪首座办公室物业水电费</t>
        </is>
      </c>
      <c r="E140" s="6" t="inlineStr">
        <is>
          <t>Q2703</t>
        </is>
      </c>
      <c r="F140" s="89">
        <f>-SUMIFS('1月数据源'!I:I,'1月数据源'!D:D,E140,'1月数据源'!F:F,"杭州知识跳跳科技有限公司")+SUMIFS('1月数据源'!J:J,'1月数据源'!D:D,E140,'1月数据源'!F:F,"杭州知识跳跳科技有限公司")</f>
        <v/>
      </c>
      <c r="G140" s="89">
        <f>-SUMIFS('2月数据源'!$I:$I,'2月数据源'!$D:$D,$E140,'2月数据源'!$F:$F,"杭州知识跳跳科技有限公司")+SUMIFS('2月数据源'!$J:$J,'2月数据源'!$D:$D,$E140,'2月数据源'!$F:$F,"杭州知识跳跳科技有限公司")</f>
        <v/>
      </c>
      <c r="H140" s="89">
        <f>-SUMIFS('3月数据源'!$I:$I,'3月数据源'!$D:$D,$E140,'3月数据源'!$F:$F,"杭州知识跳跳科技有限公司")+SUMIFS('3月数据源'!$J:$J,'3月数据源'!$D:$D,$E140,'3月数据源'!$F:$F,"杭州知识跳跳科技有限公司")</f>
        <v/>
      </c>
      <c r="I140" s="89">
        <f>-SUMIFS('4月数据源'!$I:$I,'4月数据源'!$D:$D,$E140,'4月数据源'!$F:$F,"杭州知识跳跳科技有限公司")+SUMIFS('4月数据源'!$J:$J,'4月数据源'!$D:$D,$E140,'4月数据源'!$F:$F,"杭州知识跳跳科技有限公司")</f>
        <v/>
      </c>
      <c r="J140" s="89">
        <f>-SUMIFS('5月数据源'!$I:$I,'5月数据源'!$D:$D,$E140,'5月数据源'!$F:$F,"杭州知识跳跳科技有限公司")+SUMIFS('5月数据源'!$J:$J,'5月数据源'!$D:$D,$E140,'5月数据源'!$F:$F,"杭州知识跳跳科技有限公司")</f>
        <v/>
      </c>
      <c r="K140" s="89">
        <f>-SUMIFS('6月数据源'!$I:$I,'6月数据源'!$D:$D,$E140,'6月数据源'!$F:$F,"杭州知识跳跳科技有限公司")+SUMIFS('6月数据源'!$J:$J,'6月数据源'!$D:$D,$E140,'6月数据源'!$F:$F,"杭州知识跳跳科技有限公司")</f>
        <v/>
      </c>
      <c r="L140" s="89">
        <f>-SUMIFS('7月数据源'!$I:$I,'7月数据源'!$D:$D,$E140,'7月数据源'!$F:$F,"杭州知识跳跳科技有限公司")+SUMIFS('7月数据源'!$J:$J,'7月数据源'!$D:$D,$E140,'7月数据源'!$F:$F,"杭州知识跳跳科技有限公司")</f>
        <v/>
      </c>
      <c r="M140" s="89">
        <f>-SUMIFS('8月数据源'!$I:$I,'8月数据源'!$D:$D,$E140,'8月数据源'!$F:$F,"杭州知识跳跳科技有限公司")+SUMIFS('8月数据源'!$J:$J,'8月数据源'!$D:$D,$E140,'8月数据源'!$F:$F,"杭州知识跳跳科技有限公司")</f>
        <v/>
      </c>
      <c r="N140" s="89">
        <f>-SUMIFS('9月数据源'!$I:$I,'9月数据源'!$D:$D,$E140,'9月数据源'!$F:$F,"杭州知识跳跳科技有限公司")+SUMIFS('9月数据源'!$J:$J,'9月数据源'!$D:$D,$E140,'9月数据源'!$F:$F,"杭州知识跳跳科技有限公司")</f>
        <v/>
      </c>
      <c r="O140" s="89">
        <f>-SUMIFS('10月数据源'!$I:$I,'10月数据源'!$D:$D,$E140,'10月数据源'!$F:$F,"杭州知识跳跳科技有限公司")+SUMIFS('10月数据源'!$J:$J,'10月数据源'!$D:$D,$E140,'10月数据源'!$F:$F,"杭州知识跳跳科技有限公司")</f>
        <v/>
      </c>
      <c r="P140" s="89">
        <f>-SUMIFS('11月数据源'!$I:$I,'11月数据源'!$D:$D,$E140,'11月数据源'!$F:$F,"杭州知识跳跳科技有限公司")+SUMIFS('11月数据源'!$J:$J,'11月数据源'!$D:$D,$E140,'11月数据源'!$F:$F,"杭州知识跳跳科技有限公司")</f>
        <v/>
      </c>
      <c r="Q140" s="89">
        <f>-SUMIFS('12月数据源'!$I:$I,'12月数据源'!$D:$D,$E140,'12月数据源'!$F:$F,"杭州知识跳跳科技有限公司")+SUMIFS('12月数据源'!$J:$J,'12月数据源'!$D:$D,$E140,'12月数据源'!$F:$F,"杭州知识跳跳科技有限公司")</f>
        <v/>
      </c>
    </row>
    <row r="141" s="83">
      <c r="A141" s="5" t="inlineStr">
        <is>
          <t>管理费用</t>
        </is>
      </c>
      <c r="B141" s="6" t="inlineStr">
        <is>
          <t>办公场地使用费</t>
        </is>
      </c>
      <c r="D141" s="5" t="inlineStr">
        <is>
          <t>合肥办公室租金</t>
        </is>
      </c>
      <c r="E141" s="6" t="inlineStr">
        <is>
          <t>Q2704</t>
        </is>
      </c>
      <c r="F141" s="89">
        <f>-SUMIFS('1月数据源'!I:I,'1月数据源'!D:D,E141,'1月数据源'!F:F,"杭州知识跳跳科技有限公司")+SUMIFS('1月数据源'!J:J,'1月数据源'!D:D,E141,'1月数据源'!F:F,"杭州知识跳跳科技有限公司")</f>
        <v/>
      </c>
      <c r="G141" s="89">
        <f>-SUMIFS('2月数据源'!$I:$I,'2月数据源'!$D:$D,$E141,'2月数据源'!$F:$F,"杭州知识跳跳科技有限公司")+SUMIFS('2月数据源'!$J:$J,'2月数据源'!$D:$D,$E141,'2月数据源'!$F:$F,"杭州知识跳跳科技有限公司")</f>
        <v/>
      </c>
      <c r="H141" s="89">
        <f>-SUMIFS('3月数据源'!$I:$I,'3月数据源'!$D:$D,$E141,'3月数据源'!$F:$F,"杭州知识跳跳科技有限公司")+SUMIFS('3月数据源'!$J:$J,'3月数据源'!$D:$D,$E141,'3月数据源'!$F:$F,"杭州知识跳跳科技有限公司")</f>
        <v/>
      </c>
      <c r="I141" s="89">
        <f>-SUMIFS('4月数据源'!$I:$I,'4月数据源'!$D:$D,$E141,'4月数据源'!$F:$F,"杭州知识跳跳科技有限公司")+SUMIFS('4月数据源'!$J:$J,'4月数据源'!$D:$D,$E141,'4月数据源'!$F:$F,"杭州知识跳跳科技有限公司")</f>
        <v/>
      </c>
      <c r="J141" s="89">
        <f>-SUMIFS('5月数据源'!$I:$I,'5月数据源'!$D:$D,$E141,'5月数据源'!$F:$F,"杭州知识跳跳科技有限公司")+SUMIFS('5月数据源'!$J:$J,'5月数据源'!$D:$D,$E141,'5月数据源'!$F:$F,"杭州知识跳跳科技有限公司")</f>
        <v/>
      </c>
      <c r="K141" s="89">
        <f>-SUMIFS('6月数据源'!$I:$I,'6月数据源'!$D:$D,$E141,'6月数据源'!$F:$F,"杭州知识跳跳科技有限公司")+SUMIFS('6月数据源'!$J:$J,'6月数据源'!$D:$D,$E141,'6月数据源'!$F:$F,"杭州知识跳跳科技有限公司")</f>
        <v/>
      </c>
      <c r="L141" s="89">
        <f>-SUMIFS('7月数据源'!$I:$I,'7月数据源'!$D:$D,$E141,'7月数据源'!$F:$F,"杭州知识跳跳科技有限公司")+SUMIFS('7月数据源'!$J:$J,'7月数据源'!$D:$D,$E141,'7月数据源'!$F:$F,"杭州知识跳跳科技有限公司")</f>
        <v/>
      </c>
      <c r="M141" s="89">
        <f>-SUMIFS('8月数据源'!$I:$I,'8月数据源'!$D:$D,$E141,'8月数据源'!$F:$F,"杭州知识跳跳科技有限公司")+SUMIFS('8月数据源'!$J:$J,'8月数据源'!$D:$D,$E141,'8月数据源'!$F:$F,"杭州知识跳跳科技有限公司")</f>
        <v/>
      </c>
      <c r="N141" s="89">
        <f>-SUMIFS('9月数据源'!$I:$I,'9月数据源'!$D:$D,$E141,'9月数据源'!$F:$F,"杭州知识跳跳科技有限公司")+SUMIFS('9月数据源'!$J:$J,'9月数据源'!$D:$D,$E141,'9月数据源'!$F:$F,"杭州知识跳跳科技有限公司")</f>
        <v/>
      </c>
      <c r="O141" s="89">
        <f>-SUMIFS('10月数据源'!$I:$I,'10月数据源'!$D:$D,$E141,'10月数据源'!$F:$F,"杭州知识跳跳科技有限公司")+SUMIFS('10月数据源'!$J:$J,'10月数据源'!$D:$D,$E141,'10月数据源'!$F:$F,"杭州知识跳跳科技有限公司")</f>
        <v/>
      </c>
      <c r="P141" s="89">
        <f>-SUMIFS('11月数据源'!$I:$I,'11月数据源'!$D:$D,$E141,'11月数据源'!$F:$F,"杭州知识跳跳科技有限公司")+SUMIFS('11月数据源'!$J:$J,'11月数据源'!$D:$D,$E141,'11月数据源'!$F:$F,"杭州知识跳跳科技有限公司")</f>
        <v/>
      </c>
      <c r="Q141" s="89">
        <f>-SUMIFS('12月数据源'!$I:$I,'12月数据源'!$D:$D,$E141,'12月数据源'!$F:$F,"杭州知识跳跳科技有限公司")+SUMIFS('12月数据源'!$J:$J,'12月数据源'!$D:$D,$E141,'12月数据源'!$F:$F,"杭州知识跳跳科技有限公司")</f>
        <v/>
      </c>
    </row>
    <row r="142" s="83">
      <c r="A142" s="5" t="inlineStr">
        <is>
          <t>管理费用</t>
        </is>
      </c>
      <c r="B142" s="6" t="inlineStr">
        <is>
          <t>办公场地使用费</t>
        </is>
      </c>
      <c r="D142" s="5" t="inlineStr">
        <is>
          <t>合肥办公室物业水电费</t>
        </is>
      </c>
      <c r="E142" s="6" t="inlineStr">
        <is>
          <t>Q2705</t>
        </is>
      </c>
      <c r="F142" s="89">
        <f>-SUMIFS('1月数据源'!I:I,'1月数据源'!D:D,E142,'1月数据源'!F:F,"杭州知识跳跳科技有限公司")+SUMIFS('1月数据源'!J:J,'1月数据源'!D:D,E142,'1月数据源'!F:F,"杭州知识跳跳科技有限公司")</f>
        <v/>
      </c>
      <c r="G142" s="89">
        <f>-SUMIFS('2月数据源'!$I:$I,'2月数据源'!$D:$D,$E142,'2月数据源'!$F:$F,"杭州知识跳跳科技有限公司")+SUMIFS('2月数据源'!$J:$J,'2月数据源'!$D:$D,$E142,'2月数据源'!$F:$F,"杭州知识跳跳科技有限公司")</f>
        <v/>
      </c>
      <c r="H142" s="89">
        <f>-SUMIFS('3月数据源'!$I:$I,'3月数据源'!$D:$D,$E142,'3月数据源'!$F:$F,"杭州知识跳跳科技有限公司")+SUMIFS('3月数据源'!$J:$J,'3月数据源'!$D:$D,$E142,'3月数据源'!$F:$F,"杭州知识跳跳科技有限公司")</f>
        <v/>
      </c>
      <c r="I142" s="89">
        <f>-SUMIFS('4月数据源'!$I:$I,'4月数据源'!$D:$D,$E142,'4月数据源'!$F:$F,"杭州知识跳跳科技有限公司")+SUMIFS('4月数据源'!$J:$J,'4月数据源'!$D:$D,$E142,'4月数据源'!$F:$F,"杭州知识跳跳科技有限公司")</f>
        <v/>
      </c>
      <c r="J142" s="89">
        <f>-SUMIFS('5月数据源'!$I:$I,'5月数据源'!$D:$D,$E142,'5月数据源'!$F:$F,"杭州知识跳跳科技有限公司")+SUMIFS('5月数据源'!$J:$J,'5月数据源'!$D:$D,$E142,'5月数据源'!$F:$F,"杭州知识跳跳科技有限公司")</f>
        <v/>
      </c>
      <c r="K142" s="89">
        <f>-SUMIFS('6月数据源'!$I:$I,'6月数据源'!$D:$D,$E142,'6月数据源'!$F:$F,"杭州知识跳跳科技有限公司")+SUMIFS('6月数据源'!$J:$J,'6月数据源'!$D:$D,$E142,'6月数据源'!$F:$F,"杭州知识跳跳科技有限公司")</f>
        <v/>
      </c>
      <c r="L142" s="89">
        <f>-SUMIFS('7月数据源'!$I:$I,'7月数据源'!$D:$D,$E142,'7月数据源'!$F:$F,"杭州知识跳跳科技有限公司")+SUMIFS('7月数据源'!$J:$J,'7月数据源'!$D:$D,$E142,'7月数据源'!$F:$F,"杭州知识跳跳科技有限公司")</f>
        <v/>
      </c>
      <c r="M142" s="89">
        <f>-SUMIFS('8月数据源'!$I:$I,'8月数据源'!$D:$D,$E142,'8月数据源'!$F:$F,"杭州知识跳跳科技有限公司")+SUMIFS('8月数据源'!$J:$J,'8月数据源'!$D:$D,$E142,'8月数据源'!$F:$F,"杭州知识跳跳科技有限公司")</f>
        <v/>
      </c>
      <c r="N142" s="89">
        <f>-SUMIFS('9月数据源'!$I:$I,'9月数据源'!$D:$D,$E142,'9月数据源'!$F:$F,"杭州知识跳跳科技有限公司")+SUMIFS('9月数据源'!$J:$J,'9月数据源'!$D:$D,$E142,'9月数据源'!$F:$F,"杭州知识跳跳科技有限公司")</f>
        <v/>
      </c>
      <c r="O142" s="89">
        <f>-SUMIFS('10月数据源'!$I:$I,'10月数据源'!$D:$D,$E142,'10月数据源'!$F:$F,"杭州知识跳跳科技有限公司")+SUMIFS('10月数据源'!$J:$J,'10月数据源'!$D:$D,$E142,'10月数据源'!$F:$F,"杭州知识跳跳科技有限公司")</f>
        <v/>
      </c>
      <c r="P142" s="89">
        <f>-SUMIFS('11月数据源'!$I:$I,'11月数据源'!$D:$D,$E142,'11月数据源'!$F:$F,"杭州知识跳跳科技有限公司")+SUMIFS('11月数据源'!$J:$J,'11月数据源'!$D:$D,$E142,'11月数据源'!$F:$F,"杭州知识跳跳科技有限公司")</f>
        <v/>
      </c>
      <c r="Q142" s="89">
        <f>-SUMIFS('12月数据源'!$I:$I,'12月数据源'!$D:$D,$E142,'12月数据源'!$F:$F,"杭州知识跳跳科技有限公司")+SUMIFS('12月数据源'!$J:$J,'12月数据源'!$D:$D,$E142,'12月数据源'!$F:$F,"杭州知识跳跳科技有限公司")</f>
        <v/>
      </c>
    </row>
    <row r="143" s="83">
      <c r="A143" s="5" t="inlineStr">
        <is>
          <t>管理费用</t>
        </is>
      </c>
      <c r="B143" s="6" t="inlineStr">
        <is>
          <t>办公场地使用费</t>
        </is>
      </c>
      <c r="D143" s="5" t="inlineStr">
        <is>
          <t>其他办公场地使用费</t>
        </is>
      </c>
      <c r="E143" s="6" t="inlineStr">
        <is>
          <t>Q2706</t>
        </is>
      </c>
      <c r="F143" s="89">
        <f>-SUMIFS('1月数据源'!I:I,'1月数据源'!D:D,E143,'1月数据源'!F:F,"杭州知识跳跳科技有限公司")+SUMIFS('1月数据源'!J:J,'1月数据源'!D:D,E143,'1月数据源'!F:F,"杭州知识跳跳科技有限公司")</f>
        <v/>
      </c>
      <c r="G143" s="89">
        <f>-SUMIFS('2月数据源'!$I:$I,'2月数据源'!$D:$D,$E143,'2月数据源'!$F:$F,"杭州知识跳跳科技有限公司")+SUMIFS('2月数据源'!$J:$J,'2月数据源'!$D:$D,$E143,'2月数据源'!$F:$F,"杭州知识跳跳科技有限公司")</f>
        <v/>
      </c>
      <c r="H143" s="89">
        <f>-SUMIFS('3月数据源'!$I:$I,'3月数据源'!$D:$D,$E143,'3月数据源'!$F:$F,"杭州知识跳跳科技有限公司")+SUMIFS('3月数据源'!$J:$J,'3月数据源'!$D:$D,$E143,'3月数据源'!$F:$F,"杭州知识跳跳科技有限公司")</f>
        <v/>
      </c>
      <c r="I143" s="89">
        <f>-SUMIFS('4月数据源'!$I:$I,'4月数据源'!$D:$D,$E143,'4月数据源'!$F:$F,"杭州知识跳跳科技有限公司")+SUMIFS('4月数据源'!$J:$J,'4月数据源'!$D:$D,$E143,'4月数据源'!$F:$F,"杭州知识跳跳科技有限公司")</f>
        <v/>
      </c>
      <c r="J143" s="89">
        <f>-SUMIFS('5月数据源'!$I:$I,'5月数据源'!$D:$D,$E143,'5月数据源'!$F:$F,"杭州知识跳跳科技有限公司")+SUMIFS('5月数据源'!$J:$J,'5月数据源'!$D:$D,$E143,'5月数据源'!$F:$F,"杭州知识跳跳科技有限公司")</f>
        <v/>
      </c>
      <c r="K143" s="89">
        <f>-SUMIFS('6月数据源'!$I:$I,'6月数据源'!$D:$D,$E143,'6月数据源'!$F:$F,"杭州知识跳跳科技有限公司")+SUMIFS('6月数据源'!$J:$J,'6月数据源'!$D:$D,$E143,'6月数据源'!$F:$F,"杭州知识跳跳科技有限公司")</f>
        <v/>
      </c>
      <c r="L143" s="89">
        <f>-SUMIFS('7月数据源'!$I:$I,'7月数据源'!$D:$D,$E143,'7月数据源'!$F:$F,"杭州知识跳跳科技有限公司")+SUMIFS('7月数据源'!$J:$J,'7月数据源'!$D:$D,$E143,'7月数据源'!$F:$F,"杭州知识跳跳科技有限公司")</f>
        <v/>
      </c>
      <c r="M143" s="89">
        <f>-SUMIFS('8月数据源'!$I:$I,'8月数据源'!$D:$D,$E143,'8月数据源'!$F:$F,"杭州知识跳跳科技有限公司")+SUMIFS('8月数据源'!$J:$J,'8月数据源'!$D:$D,$E143,'8月数据源'!$F:$F,"杭州知识跳跳科技有限公司")</f>
        <v/>
      </c>
      <c r="N143" s="89">
        <f>-SUMIFS('9月数据源'!$I:$I,'9月数据源'!$D:$D,$E143,'9月数据源'!$F:$F,"杭州知识跳跳科技有限公司")+SUMIFS('9月数据源'!$J:$J,'9月数据源'!$D:$D,$E143,'9月数据源'!$F:$F,"杭州知识跳跳科技有限公司")</f>
        <v/>
      </c>
      <c r="O143" s="89">
        <f>-SUMIFS('10月数据源'!$I:$I,'10月数据源'!$D:$D,$E143,'10月数据源'!$F:$F,"杭州知识跳跳科技有限公司")+SUMIFS('10月数据源'!$J:$J,'10月数据源'!$D:$D,$E143,'10月数据源'!$F:$F,"杭州知识跳跳科技有限公司")</f>
        <v/>
      </c>
      <c r="P143" s="89">
        <f>-SUMIFS('11月数据源'!$I:$I,'11月数据源'!$D:$D,$E143,'11月数据源'!$F:$F,"杭州知识跳跳科技有限公司")+SUMIFS('11月数据源'!$J:$J,'11月数据源'!$D:$D,$E143,'11月数据源'!$F:$F,"杭州知识跳跳科技有限公司")</f>
        <v/>
      </c>
      <c r="Q143" s="89">
        <f>-SUMIFS('12月数据源'!$I:$I,'12月数据源'!$D:$D,$E143,'12月数据源'!$F:$F,"杭州知识跳跳科技有限公司")+SUMIFS('12月数据源'!$J:$J,'12月数据源'!$D:$D,$E143,'12月数据源'!$F:$F,"杭州知识跳跳科技有限公司")</f>
        <v/>
      </c>
    </row>
    <row r="144" s="83">
      <c r="A144" s="5" t="inlineStr">
        <is>
          <t>管理费用</t>
        </is>
      </c>
      <c r="B144" s="6" t="inlineStr">
        <is>
          <t>办公场地使用费</t>
        </is>
      </c>
      <c r="D144" s="5" t="inlineStr">
        <is>
          <t>其他办公场地物业水电费</t>
        </is>
      </c>
      <c r="E144" s="6" t="inlineStr">
        <is>
          <t>Q2708</t>
        </is>
      </c>
      <c r="F144" s="89">
        <f>-SUMIFS('1月数据源'!I:I,'1月数据源'!D:D,E144,'1月数据源'!F:F,"杭州知识跳跳科技有限公司")+SUMIFS('1月数据源'!J:J,'1月数据源'!D:D,E144,'1月数据源'!F:F,"杭州知识跳跳科技有限公司")</f>
        <v/>
      </c>
      <c r="G144" s="89">
        <f>-SUMIFS('2月数据源'!$I:$I,'2月数据源'!$D:$D,$E144,'2月数据源'!$F:$F,"杭州知识跳跳科技有限公司")+SUMIFS('2月数据源'!$J:$J,'2月数据源'!$D:$D,$E144,'2月数据源'!$F:$F,"杭州知识跳跳科技有限公司")</f>
        <v/>
      </c>
      <c r="H144" s="89">
        <f>-SUMIFS('3月数据源'!$I:$I,'3月数据源'!$D:$D,$E144,'3月数据源'!$F:$F,"杭州知识跳跳科技有限公司")+SUMIFS('3月数据源'!$J:$J,'3月数据源'!$D:$D,$E144,'3月数据源'!$F:$F,"杭州知识跳跳科技有限公司")</f>
        <v/>
      </c>
      <c r="I144" s="89">
        <f>-SUMIFS('4月数据源'!$I:$I,'4月数据源'!$D:$D,$E144,'4月数据源'!$F:$F,"杭州知识跳跳科技有限公司")+SUMIFS('4月数据源'!$J:$J,'4月数据源'!$D:$D,$E144,'4月数据源'!$F:$F,"杭州知识跳跳科技有限公司")</f>
        <v/>
      </c>
      <c r="J144" s="89">
        <f>-SUMIFS('5月数据源'!$I:$I,'5月数据源'!$D:$D,$E144,'5月数据源'!$F:$F,"杭州知识跳跳科技有限公司")+SUMIFS('5月数据源'!$J:$J,'5月数据源'!$D:$D,$E144,'5月数据源'!$F:$F,"杭州知识跳跳科技有限公司")</f>
        <v/>
      </c>
      <c r="K144" s="89">
        <f>-SUMIFS('6月数据源'!$I:$I,'6月数据源'!$D:$D,$E144,'6月数据源'!$F:$F,"杭州知识跳跳科技有限公司")+SUMIFS('6月数据源'!$J:$J,'6月数据源'!$D:$D,$E144,'6月数据源'!$F:$F,"杭州知识跳跳科技有限公司")</f>
        <v/>
      </c>
      <c r="L144" s="89">
        <f>-SUMIFS('7月数据源'!$I:$I,'7月数据源'!$D:$D,$E144,'7月数据源'!$F:$F,"杭州知识跳跳科技有限公司")+SUMIFS('7月数据源'!$J:$J,'7月数据源'!$D:$D,$E144,'7月数据源'!$F:$F,"杭州知识跳跳科技有限公司")</f>
        <v/>
      </c>
      <c r="M144" s="89">
        <f>-SUMIFS('8月数据源'!$I:$I,'8月数据源'!$D:$D,$E144,'8月数据源'!$F:$F,"杭州知识跳跳科技有限公司")+SUMIFS('8月数据源'!$J:$J,'8月数据源'!$D:$D,$E144,'8月数据源'!$F:$F,"杭州知识跳跳科技有限公司")</f>
        <v/>
      </c>
      <c r="N144" s="89">
        <f>-SUMIFS('9月数据源'!$I:$I,'9月数据源'!$D:$D,$E144,'9月数据源'!$F:$F,"杭州知识跳跳科技有限公司")+SUMIFS('9月数据源'!$J:$J,'9月数据源'!$D:$D,$E144,'9月数据源'!$F:$F,"杭州知识跳跳科技有限公司")</f>
        <v/>
      </c>
      <c r="O144" s="89">
        <f>-SUMIFS('10月数据源'!$I:$I,'10月数据源'!$D:$D,$E144,'10月数据源'!$F:$F,"杭州知识跳跳科技有限公司")+SUMIFS('10月数据源'!$J:$J,'10月数据源'!$D:$D,$E144,'10月数据源'!$F:$F,"杭州知识跳跳科技有限公司")</f>
        <v/>
      </c>
      <c r="P144" s="89">
        <f>-SUMIFS('11月数据源'!$I:$I,'11月数据源'!$D:$D,$E144,'11月数据源'!$F:$F,"杭州知识跳跳科技有限公司")+SUMIFS('11月数据源'!$J:$J,'11月数据源'!$D:$D,$E144,'11月数据源'!$F:$F,"杭州知识跳跳科技有限公司")</f>
        <v/>
      </c>
      <c r="Q144" s="89">
        <f>-SUMIFS('12月数据源'!$I:$I,'12月数据源'!$D:$D,$E144,'12月数据源'!$F:$F,"杭州知识跳跳科技有限公司")+SUMIFS('12月数据源'!$J:$J,'12月数据源'!$D:$D,$E144,'12月数据源'!$F:$F,"杭州知识跳跳科技有限公司")</f>
        <v/>
      </c>
    </row>
    <row r="145" s="83">
      <c r="A145" s="5" t="inlineStr">
        <is>
          <t>管理费用</t>
        </is>
      </c>
      <c r="B145" s="6" t="inlineStr">
        <is>
          <t>办公场地使用费</t>
        </is>
      </c>
      <c r="D145" s="5" t="inlineStr">
        <is>
          <t>押金</t>
        </is>
      </c>
      <c r="E145" s="6" t="inlineStr">
        <is>
          <t>Q2707</t>
        </is>
      </c>
      <c r="F145" s="89">
        <f>-SUMIFS('1月数据源'!I:I,'1月数据源'!D:D,E145,'1月数据源'!F:F,"杭州知识跳跳科技有限公司")+SUMIFS('1月数据源'!J:J,'1月数据源'!D:D,E145,'1月数据源'!F:F,"杭州知识跳跳科技有限公司")</f>
        <v/>
      </c>
      <c r="G145" s="89">
        <f>-SUMIFS('2月数据源'!$I:$I,'2月数据源'!$D:$D,$E145,'2月数据源'!$F:$F,"杭州知识跳跳科技有限公司")+SUMIFS('2月数据源'!$J:$J,'2月数据源'!$D:$D,$E145,'2月数据源'!$F:$F,"杭州知识跳跳科技有限公司")</f>
        <v/>
      </c>
      <c r="H145" s="89">
        <f>-SUMIFS('3月数据源'!$I:$I,'3月数据源'!$D:$D,$E145,'3月数据源'!$F:$F,"杭州知识跳跳科技有限公司")+SUMIFS('3月数据源'!$J:$J,'3月数据源'!$D:$D,$E145,'3月数据源'!$F:$F,"杭州知识跳跳科技有限公司")</f>
        <v/>
      </c>
      <c r="I145" s="89">
        <f>-SUMIFS('4月数据源'!$I:$I,'4月数据源'!$D:$D,$E145,'4月数据源'!$F:$F,"杭州知识跳跳科技有限公司")+SUMIFS('4月数据源'!$J:$J,'4月数据源'!$D:$D,$E145,'4月数据源'!$F:$F,"杭州知识跳跳科技有限公司")</f>
        <v/>
      </c>
      <c r="J145" s="89">
        <f>-SUMIFS('5月数据源'!$I:$I,'5月数据源'!$D:$D,$E145,'5月数据源'!$F:$F,"杭州知识跳跳科技有限公司")+SUMIFS('5月数据源'!$J:$J,'5月数据源'!$D:$D,$E145,'5月数据源'!$F:$F,"杭州知识跳跳科技有限公司")</f>
        <v/>
      </c>
      <c r="K145" s="89">
        <f>-SUMIFS('6月数据源'!$I:$I,'6月数据源'!$D:$D,$E145,'6月数据源'!$F:$F,"杭州知识跳跳科技有限公司")+SUMIFS('6月数据源'!$J:$J,'6月数据源'!$D:$D,$E145,'6月数据源'!$F:$F,"杭州知识跳跳科技有限公司")</f>
        <v/>
      </c>
      <c r="L145" s="89">
        <f>-SUMIFS('7月数据源'!$I:$I,'7月数据源'!$D:$D,$E145,'7月数据源'!$F:$F,"杭州知识跳跳科技有限公司")+SUMIFS('7月数据源'!$J:$J,'7月数据源'!$D:$D,$E145,'7月数据源'!$F:$F,"杭州知识跳跳科技有限公司")</f>
        <v/>
      </c>
      <c r="M145" s="89">
        <f>-SUMIFS('8月数据源'!$I:$I,'8月数据源'!$D:$D,$E145,'8月数据源'!$F:$F,"杭州知识跳跳科技有限公司")+SUMIFS('8月数据源'!$J:$J,'8月数据源'!$D:$D,$E145,'8月数据源'!$F:$F,"杭州知识跳跳科技有限公司")</f>
        <v/>
      </c>
      <c r="N145" s="89">
        <f>-SUMIFS('9月数据源'!$I:$I,'9月数据源'!$D:$D,$E145,'9月数据源'!$F:$F,"杭州知识跳跳科技有限公司")+SUMIFS('9月数据源'!$J:$J,'9月数据源'!$D:$D,$E145,'9月数据源'!$F:$F,"杭州知识跳跳科技有限公司")</f>
        <v/>
      </c>
      <c r="O145" s="89">
        <f>-SUMIFS('10月数据源'!$I:$I,'10月数据源'!$D:$D,$E145,'10月数据源'!$F:$F,"杭州知识跳跳科技有限公司")+SUMIFS('10月数据源'!$J:$J,'10月数据源'!$D:$D,$E145,'10月数据源'!$F:$F,"杭州知识跳跳科技有限公司")</f>
        <v/>
      </c>
      <c r="P145" s="89">
        <f>-SUMIFS('11月数据源'!$I:$I,'11月数据源'!$D:$D,$E145,'11月数据源'!$F:$F,"杭州知识跳跳科技有限公司")+SUMIFS('11月数据源'!$J:$J,'11月数据源'!$D:$D,$E145,'11月数据源'!$F:$F,"杭州知识跳跳科技有限公司")</f>
        <v/>
      </c>
      <c r="Q145" s="89">
        <f>-SUMIFS('12月数据源'!$I:$I,'12月数据源'!$D:$D,$E145,'12月数据源'!$F:$F,"杭州知识跳跳科技有限公司")+SUMIFS('12月数据源'!$J:$J,'12月数据源'!$D:$D,$E145,'12月数据源'!$F:$F,"杭州知识跳跳科技有限公司")</f>
        <v/>
      </c>
    </row>
    <row r="146" s="83">
      <c r="A146" s="5" t="inlineStr">
        <is>
          <t>管理费用</t>
        </is>
      </c>
      <c r="B146" s="6" t="inlineStr">
        <is>
          <t>服务费</t>
        </is>
      </c>
      <c r="C146" s="6" t="inlineStr">
        <is>
          <t>服务费</t>
        </is>
      </c>
      <c r="D146" s="5" t="inlineStr">
        <is>
          <t>律师费</t>
        </is>
      </c>
      <c r="E146" s="6" t="inlineStr">
        <is>
          <t>Q2801</t>
        </is>
      </c>
      <c r="F146" s="89">
        <f>-SUMIFS('1月数据源'!I:I,'1月数据源'!D:D,E146,'1月数据源'!F:F,"杭州知识跳跳科技有限公司")+SUMIFS('1月数据源'!J:J,'1月数据源'!D:D,E146,'1月数据源'!F:F,"杭州知识跳跳科技有限公司")</f>
        <v/>
      </c>
      <c r="G146" s="89">
        <f>-SUMIFS('2月数据源'!$I:$I,'2月数据源'!$D:$D,$E146,'2月数据源'!$F:$F,"杭州知识跳跳科技有限公司")+SUMIFS('2月数据源'!$J:$J,'2月数据源'!$D:$D,$E146,'2月数据源'!$F:$F,"杭州知识跳跳科技有限公司")</f>
        <v/>
      </c>
      <c r="H146" s="89">
        <f>-SUMIFS('3月数据源'!$I:$I,'3月数据源'!$D:$D,$E146,'3月数据源'!$F:$F,"杭州知识跳跳科技有限公司")+SUMIFS('3月数据源'!$J:$J,'3月数据源'!$D:$D,$E146,'3月数据源'!$F:$F,"杭州知识跳跳科技有限公司")</f>
        <v/>
      </c>
      <c r="I146" s="89">
        <f>-SUMIFS('4月数据源'!$I:$I,'4月数据源'!$D:$D,$E146,'4月数据源'!$F:$F,"杭州知识跳跳科技有限公司")+SUMIFS('4月数据源'!$J:$J,'4月数据源'!$D:$D,$E146,'4月数据源'!$F:$F,"杭州知识跳跳科技有限公司")</f>
        <v/>
      </c>
      <c r="J146" s="89">
        <f>-SUMIFS('5月数据源'!$I:$I,'5月数据源'!$D:$D,$E146,'5月数据源'!$F:$F,"杭州知识跳跳科技有限公司")+SUMIFS('5月数据源'!$J:$J,'5月数据源'!$D:$D,$E146,'5月数据源'!$F:$F,"杭州知识跳跳科技有限公司")</f>
        <v/>
      </c>
      <c r="K146" s="89">
        <f>-SUMIFS('6月数据源'!$I:$I,'6月数据源'!$D:$D,$E146,'6月数据源'!$F:$F,"杭州知识跳跳科技有限公司")+SUMIFS('6月数据源'!$J:$J,'6月数据源'!$D:$D,$E146,'6月数据源'!$F:$F,"杭州知识跳跳科技有限公司")</f>
        <v/>
      </c>
      <c r="L146" s="89">
        <f>-SUMIFS('7月数据源'!$I:$I,'7月数据源'!$D:$D,$E146,'7月数据源'!$F:$F,"杭州知识跳跳科技有限公司")+SUMIFS('7月数据源'!$J:$J,'7月数据源'!$D:$D,$E146,'7月数据源'!$F:$F,"杭州知识跳跳科技有限公司")</f>
        <v/>
      </c>
      <c r="M146" s="89">
        <f>-SUMIFS('8月数据源'!$I:$I,'8月数据源'!$D:$D,$E146,'8月数据源'!$F:$F,"杭州知识跳跳科技有限公司")+SUMIFS('8月数据源'!$J:$J,'8月数据源'!$D:$D,$E146,'8月数据源'!$F:$F,"杭州知识跳跳科技有限公司")</f>
        <v/>
      </c>
      <c r="N146" s="89">
        <f>-SUMIFS('9月数据源'!$I:$I,'9月数据源'!$D:$D,$E146,'9月数据源'!$F:$F,"杭州知识跳跳科技有限公司")+SUMIFS('9月数据源'!$J:$J,'9月数据源'!$D:$D,$E146,'9月数据源'!$F:$F,"杭州知识跳跳科技有限公司")</f>
        <v/>
      </c>
      <c r="O146" s="89">
        <f>-SUMIFS('10月数据源'!$I:$I,'10月数据源'!$D:$D,$E146,'10月数据源'!$F:$F,"杭州知识跳跳科技有限公司")+SUMIFS('10月数据源'!$J:$J,'10月数据源'!$D:$D,$E146,'10月数据源'!$F:$F,"杭州知识跳跳科技有限公司")</f>
        <v/>
      </c>
      <c r="P146" s="89">
        <f>-SUMIFS('11月数据源'!$I:$I,'11月数据源'!$D:$D,$E146,'11月数据源'!$F:$F,"杭州知识跳跳科技有限公司")+SUMIFS('11月数据源'!$J:$J,'11月数据源'!$D:$D,$E146,'11月数据源'!$F:$F,"杭州知识跳跳科技有限公司")</f>
        <v/>
      </c>
      <c r="Q146" s="89">
        <f>-SUMIFS('12月数据源'!$I:$I,'12月数据源'!$D:$D,$E146,'12月数据源'!$F:$F,"杭州知识跳跳科技有限公司")+SUMIFS('12月数据源'!$J:$J,'12月数据源'!$D:$D,$E146,'12月数据源'!$F:$F,"杭州知识跳跳科技有限公司")</f>
        <v/>
      </c>
    </row>
    <row r="147" s="83">
      <c r="A147" s="5" t="inlineStr">
        <is>
          <t>管理费用</t>
        </is>
      </c>
      <c r="B147" s="6" t="inlineStr">
        <is>
          <t>服务费</t>
        </is>
      </c>
      <c r="D147" s="5" t="inlineStr">
        <is>
          <t>中介代理费用</t>
        </is>
      </c>
      <c r="E147" s="6" t="inlineStr">
        <is>
          <t>Q2802</t>
        </is>
      </c>
      <c r="F147" s="89">
        <f>-SUMIFS('1月数据源'!I:I,'1月数据源'!D:D,E147,'1月数据源'!F:F,"杭州知识跳跳科技有限公司")+SUMIFS('1月数据源'!J:J,'1月数据源'!D:D,E147,'1月数据源'!F:F,"杭州知识跳跳科技有限公司")</f>
        <v/>
      </c>
      <c r="G147" s="89">
        <f>-SUMIFS('2月数据源'!$I:$I,'2月数据源'!$D:$D,$E147,'2月数据源'!$F:$F,"杭州知识跳跳科技有限公司")+SUMIFS('2月数据源'!$J:$J,'2月数据源'!$D:$D,$E147,'2月数据源'!$F:$F,"杭州知识跳跳科技有限公司")</f>
        <v/>
      </c>
      <c r="H147" s="89">
        <f>-SUMIFS('3月数据源'!$I:$I,'3月数据源'!$D:$D,$E147,'3月数据源'!$F:$F,"杭州知识跳跳科技有限公司")+SUMIFS('3月数据源'!$J:$J,'3月数据源'!$D:$D,$E147,'3月数据源'!$F:$F,"杭州知识跳跳科技有限公司")</f>
        <v/>
      </c>
      <c r="I147" s="89">
        <f>-SUMIFS('4月数据源'!$I:$I,'4月数据源'!$D:$D,$E147,'4月数据源'!$F:$F,"杭州知识跳跳科技有限公司")+SUMIFS('4月数据源'!$J:$J,'4月数据源'!$D:$D,$E147,'4月数据源'!$F:$F,"杭州知识跳跳科技有限公司")</f>
        <v/>
      </c>
      <c r="J147" s="89">
        <f>-SUMIFS('5月数据源'!$I:$I,'5月数据源'!$D:$D,$E147,'5月数据源'!$F:$F,"杭州知识跳跳科技有限公司")+SUMIFS('5月数据源'!$J:$J,'5月数据源'!$D:$D,$E147,'5月数据源'!$F:$F,"杭州知识跳跳科技有限公司")</f>
        <v/>
      </c>
      <c r="K147" s="89">
        <f>-SUMIFS('6月数据源'!$I:$I,'6月数据源'!$D:$D,$E147,'6月数据源'!$F:$F,"杭州知识跳跳科技有限公司")+SUMIFS('6月数据源'!$J:$J,'6月数据源'!$D:$D,$E147,'6月数据源'!$F:$F,"杭州知识跳跳科技有限公司")</f>
        <v/>
      </c>
      <c r="L147" s="89">
        <f>-SUMIFS('7月数据源'!$I:$I,'7月数据源'!$D:$D,$E147,'7月数据源'!$F:$F,"杭州知识跳跳科技有限公司")+SUMIFS('7月数据源'!$J:$J,'7月数据源'!$D:$D,$E147,'7月数据源'!$F:$F,"杭州知识跳跳科技有限公司")</f>
        <v/>
      </c>
      <c r="M147" s="89">
        <f>-SUMIFS('8月数据源'!$I:$I,'8月数据源'!$D:$D,$E147,'8月数据源'!$F:$F,"杭州知识跳跳科技有限公司")+SUMIFS('8月数据源'!$J:$J,'8月数据源'!$D:$D,$E147,'8月数据源'!$F:$F,"杭州知识跳跳科技有限公司")</f>
        <v/>
      </c>
      <c r="N147" s="89">
        <f>-SUMIFS('9月数据源'!$I:$I,'9月数据源'!$D:$D,$E147,'9月数据源'!$F:$F,"杭州知识跳跳科技有限公司")+SUMIFS('9月数据源'!$J:$J,'9月数据源'!$D:$D,$E147,'9月数据源'!$F:$F,"杭州知识跳跳科技有限公司")</f>
        <v/>
      </c>
      <c r="O147" s="89">
        <f>-SUMIFS('10月数据源'!$I:$I,'10月数据源'!$D:$D,$E147,'10月数据源'!$F:$F,"杭州知识跳跳科技有限公司")+SUMIFS('10月数据源'!$J:$J,'10月数据源'!$D:$D,$E147,'10月数据源'!$F:$F,"杭州知识跳跳科技有限公司")</f>
        <v/>
      </c>
      <c r="P147" s="89">
        <f>-SUMIFS('11月数据源'!$I:$I,'11月数据源'!$D:$D,$E147,'11月数据源'!$F:$F,"杭州知识跳跳科技有限公司")+SUMIFS('11月数据源'!$J:$J,'11月数据源'!$D:$D,$E147,'11月数据源'!$F:$F,"杭州知识跳跳科技有限公司")</f>
        <v/>
      </c>
      <c r="Q147" s="89">
        <f>-SUMIFS('12月数据源'!$I:$I,'12月数据源'!$D:$D,$E147,'12月数据源'!$F:$F,"杭州知识跳跳科技有限公司")+SUMIFS('12月数据源'!$J:$J,'12月数据源'!$D:$D,$E147,'12月数据源'!$F:$F,"杭州知识跳跳科技有限公司")</f>
        <v/>
      </c>
    </row>
    <row r="148" s="83">
      <c r="A148" s="5" t="inlineStr">
        <is>
          <t>管理费用</t>
        </is>
      </c>
      <c r="B148" s="6" t="inlineStr">
        <is>
          <t>服务费</t>
        </is>
      </c>
      <c r="D148" s="5" t="inlineStr">
        <is>
          <t>财务咨询费</t>
        </is>
      </c>
      <c r="E148" s="6" t="inlineStr">
        <is>
          <t>Q2803</t>
        </is>
      </c>
      <c r="F148" s="89">
        <f>-SUMIFS('1月数据源'!I:I,'1月数据源'!D:D,E148,'1月数据源'!F:F,"杭州知识跳跳科技有限公司")+SUMIFS('1月数据源'!J:J,'1月数据源'!D:D,E148,'1月数据源'!F:F,"杭州知识跳跳科技有限公司")</f>
        <v/>
      </c>
      <c r="G148" s="89">
        <f>-SUMIFS('2月数据源'!$I:$I,'2月数据源'!$D:$D,$E148,'2月数据源'!$F:$F,"杭州知识跳跳科技有限公司")+SUMIFS('2月数据源'!$J:$J,'2月数据源'!$D:$D,$E148,'2月数据源'!$F:$F,"杭州知识跳跳科技有限公司")</f>
        <v/>
      </c>
      <c r="H148" s="89">
        <f>-SUMIFS('3月数据源'!$I:$I,'3月数据源'!$D:$D,$E148,'3月数据源'!$F:$F,"杭州知识跳跳科技有限公司")+SUMIFS('3月数据源'!$J:$J,'3月数据源'!$D:$D,$E148,'3月数据源'!$F:$F,"杭州知识跳跳科技有限公司")</f>
        <v/>
      </c>
      <c r="I148" s="89">
        <f>-SUMIFS('4月数据源'!$I:$I,'4月数据源'!$D:$D,$E148,'4月数据源'!$F:$F,"杭州知识跳跳科技有限公司")+SUMIFS('4月数据源'!$J:$J,'4月数据源'!$D:$D,$E148,'4月数据源'!$F:$F,"杭州知识跳跳科技有限公司")</f>
        <v/>
      </c>
      <c r="J148" s="89">
        <f>-SUMIFS('5月数据源'!$I:$I,'5月数据源'!$D:$D,$E148,'5月数据源'!$F:$F,"杭州知识跳跳科技有限公司")+SUMIFS('5月数据源'!$J:$J,'5月数据源'!$D:$D,$E148,'5月数据源'!$F:$F,"杭州知识跳跳科技有限公司")</f>
        <v/>
      </c>
      <c r="K148" s="89">
        <f>-SUMIFS('6月数据源'!$I:$I,'6月数据源'!$D:$D,$E148,'6月数据源'!$F:$F,"杭州知识跳跳科技有限公司")+SUMIFS('6月数据源'!$J:$J,'6月数据源'!$D:$D,$E148,'6月数据源'!$F:$F,"杭州知识跳跳科技有限公司")</f>
        <v/>
      </c>
      <c r="L148" s="89">
        <f>-SUMIFS('7月数据源'!$I:$I,'7月数据源'!$D:$D,$E148,'7月数据源'!$F:$F,"杭州知识跳跳科技有限公司")+SUMIFS('7月数据源'!$J:$J,'7月数据源'!$D:$D,$E148,'7月数据源'!$F:$F,"杭州知识跳跳科技有限公司")</f>
        <v/>
      </c>
      <c r="M148" s="89">
        <f>-SUMIFS('8月数据源'!$I:$I,'8月数据源'!$D:$D,$E148,'8月数据源'!$F:$F,"杭州知识跳跳科技有限公司")+SUMIFS('8月数据源'!$J:$J,'8月数据源'!$D:$D,$E148,'8月数据源'!$F:$F,"杭州知识跳跳科技有限公司")</f>
        <v/>
      </c>
      <c r="N148" s="89">
        <f>-SUMIFS('9月数据源'!$I:$I,'9月数据源'!$D:$D,$E148,'9月数据源'!$F:$F,"杭州知识跳跳科技有限公司")+SUMIFS('9月数据源'!$J:$J,'9月数据源'!$D:$D,$E148,'9月数据源'!$F:$F,"杭州知识跳跳科技有限公司")</f>
        <v/>
      </c>
      <c r="O148" s="89">
        <f>-SUMIFS('10月数据源'!$I:$I,'10月数据源'!$D:$D,$E148,'10月数据源'!$F:$F,"杭州知识跳跳科技有限公司")+SUMIFS('10月数据源'!$J:$J,'10月数据源'!$D:$D,$E148,'10月数据源'!$F:$F,"杭州知识跳跳科技有限公司")</f>
        <v/>
      </c>
      <c r="P148" s="89">
        <f>-SUMIFS('11月数据源'!$I:$I,'11月数据源'!$D:$D,$E148,'11月数据源'!$F:$F,"杭州知识跳跳科技有限公司")+SUMIFS('11月数据源'!$J:$J,'11月数据源'!$D:$D,$E148,'11月数据源'!$F:$F,"杭州知识跳跳科技有限公司")</f>
        <v/>
      </c>
      <c r="Q148" s="89">
        <f>-SUMIFS('12月数据源'!$I:$I,'12月数据源'!$D:$D,$E148,'12月数据源'!$F:$F,"杭州知识跳跳科技有限公司")+SUMIFS('12月数据源'!$J:$J,'12月数据源'!$D:$D,$E148,'12月数据源'!$F:$F,"杭州知识跳跳科技有限公司")</f>
        <v/>
      </c>
    </row>
    <row r="149" s="83">
      <c r="A149" s="5" t="inlineStr">
        <is>
          <t>管理费用</t>
        </is>
      </c>
      <c r="B149" s="6" t="inlineStr">
        <is>
          <t>服务费</t>
        </is>
      </c>
      <c r="D149" s="5" t="inlineStr">
        <is>
          <t>审计费</t>
        </is>
      </c>
      <c r="E149" s="6" t="inlineStr">
        <is>
          <t>Q2804</t>
        </is>
      </c>
      <c r="F149" s="89">
        <f>-SUMIFS('1月数据源'!I:I,'1月数据源'!D:D,E149,'1月数据源'!F:F,"杭州知识跳跳科技有限公司")+SUMIFS('1月数据源'!J:J,'1月数据源'!D:D,E149,'1月数据源'!F:F,"杭州知识跳跳科技有限公司")</f>
        <v/>
      </c>
      <c r="G149" s="89">
        <f>-SUMIFS('2月数据源'!$I:$I,'2月数据源'!$D:$D,$E149,'2月数据源'!$F:$F,"杭州知识跳跳科技有限公司")+SUMIFS('2月数据源'!$J:$J,'2月数据源'!$D:$D,$E149,'2月数据源'!$F:$F,"杭州知识跳跳科技有限公司")</f>
        <v/>
      </c>
      <c r="H149" s="89">
        <f>-SUMIFS('3月数据源'!$I:$I,'3月数据源'!$D:$D,$E149,'3月数据源'!$F:$F,"杭州知识跳跳科技有限公司")+SUMIFS('3月数据源'!$J:$J,'3月数据源'!$D:$D,$E149,'3月数据源'!$F:$F,"杭州知识跳跳科技有限公司")</f>
        <v/>
      </c>
      <c r="I149" s="89">
        <f>-SUMIFS('4月数据源'!$I:$I,'4月数据源'!$D:$D,$E149,'4月数据源'!$F:$F,"杭州知识跳跳科技有限公司")+SUMIFS('4月数据源'!$J:$J,'4月数据源'!$D:$D,$E149,'4月数据源'!$F:$F,"杭州知识跳跳科技有限公司")</f>
        <v/>
      </c>
      <c r="J149" s="89">
        <f>-SUMIFS('5月数据源'!$I:$I,'5月数据源'!$D:$D,$E149,'5月数据源'!$F:$F,"杭州知识跳跳科技有限公司")+SUMIFS('5月数据源'!$J:$J,'5月数据源'!$D:$D,$E149,'5月数据源'!$F:$F,"杭州知识跳跳科技有限公司")</f>
        <v/>
      </c>
      <c r="K149" s="89">
        <f>-SUMIFS('6月数据源'!$I:$I,'6月数据源'!$D:$D,$E149,'6月数据源'!$F:$F,"杭州知识跳跳科技有限公司")+SUMIFS('6月数据源'!$J:$J,'6月数据源'!$D:$D,$E149,'6月数据源'!$F:$F,"杭州知识跳跳科技有限公司")</f>
        <v/>
      </c>
      <c r="L149" s="89">
        <f>-SUMIFS('7月数据源'!$I:$I,'7月数据源'!$D:$D,$E149,'7月数据源'!$F:$F,"杭州知识跳跳科技有限公司")+SUMIFS('7月数据源'!$J:$J,'7月数据源'!$D:$D,$E149,'7月数据源'!$F:$F,"杭州知识跳跳科技有限公司")</f>
        <v/>
      </c>
      <c r="M149" s="89">
        <f>-SUMIFS('8月数据源'!$I:$I,'8月数据源'!$D:$D,$E149,'8月数据源'!$F:$F,"杭州知识跳跳科技有限公司")+SUMIFS('8月数据源'!$J:$J,'8月数据源'!$D:$D,$E149,'8月数据源'!$F:$F,"杭州知识跳跳科技有限公司")</f>
        <v/>
      </c>
      <c r="N149" s="89">
        <f>-SUMIFS('9月数据源'!$I:$I,'9月数据源'!$D:$D,$E149,'9月数据源'!$F:$F,"杭州知识跳跳科技有限公司")+SUMIFS('9月数据源'!$J:$J,'9月数据源'!$D:$D,$E149,'9月数据源'!$F:$F,"杭州知识跳跳科技有限公司")</f>
        <v/>
      </c>
      <c r="O149" s="89">
        <f>-SUMIFS('10月数据源'!$I:$I,'10月数据源'!$D:$D,$E149,'10月数据源'!$F:$F,"杭州知识跳跳科技有限公司")+SUMIFS('10月数据源'!$J:$J,'10月数据源'!$D:$D,$E149,'10月数据源'!$F:$F,"杭州知识跳跳科技有限公司")</f>
        <v/>
      </c>
      <c r="P149" s="89">
        <f>-SUMIFS('11月数据源'!$I:$I,'11月数据源'!$D:$D,$E149,'11月数据源'!$F:$F,"杭州知识跳跳科技有限公司")+SUMIFS('11月数据源'!$J:$J,'11月数据源'!$D:$D,$E149,'11月数据源'!$F:$F,"杭州知识跳跳科技有限公司")</f>
        <v/>
      </c>
      <c r="Q149" s="89">
        <f>-SUMIFS('12月数据源'!$I:$I,'12月数据源'!$D:$D,$E149,'12月数据源'!$F:$F,"杭州知识跳跳科技有限公司")+SUMIFS('12月数据源'!$J:$J,'12月数据源'!$D:$D,$E149,'12月数据源'!$F:$F,"杭州知识跳跳科技有限公司")</f>
        <v/>
      </c>
    </row>
    <row r="150" s="83">
      <c r="A150" s="5" t="inlineStr">
        <is>
          <t>管理费用</t>
        </is>
      </c>
      <c r="B150" s="6" t="inlineStr">
        <is>
          <t>服务费</t>
        </is>
      </c>
      <c r="D150" s="5" t="inlineStr">
        <is>
          <t>招聘费用</t>
        </is>
      </c>
      <c r="E150" s="6" t="inlineStr">
        <is>
          <t>Q2805</t>
        </is>
      </c>
      <c r="F150" s="89">
        <f>-SUMIFS('1月数据源'!I:I,'1月数据源'!D:D,E150,'1月数据源'!F:F,"杭州知识跳跳科技有限公司")+SUMIFS('1月数据源'!J:J,'1月数据源'!D:D,E150,'1月数据源'!F:F,"杭州知识跳跳科技有限公司")</f>
        <v/>
      </c>
      <c r="G150" s="89">
        <f>-SUMIFS('2月数据源'!$I:$I,'2月数据源'!$D:$D,$E150,'2月数据源'!$F:$F,"杭州知识跳跳科技有限公司")+SUMIFS('2月数据源'!$J:$J,'2月数据源'!$D:$D,$E150,'2月数据源'!$F:$F,"杭州知识跳跳科技有限公司")</f>
        <v/>
      </c>
      <c r="H150" s="89">
        <f>-SUMIFS('3月数据源'!$I:$I,'3月数据源'!$D:$D,$E150,'3月数据源'!$F:$F,"杭州知识跳跳科技有限公司")+SUMIFS('3月数据源'!$J:$J,'3月数据源'!$D:$D,$E150,'3月数据源'!$F:$F,"杭州知识跳跳科技有限公司")</f>
        <v/>
      </c>
      <c r="I150" s="89">
        <f>-SUMIFS('4月数据源'!$I:$I,'4月数据源'!$D:$D,$E150,'4月数据源'!$F:$F,"杭州知识跳跳科技有限公司")+SUMIFS('4月数据源'!$J:$J,'4月数据源'!$D:$D,$E150,'4月数据源'!$F:$F,"杭州知识跳跳科技有限公司")</f>
        <v/>
      </c>
      <c r="J150" s="89">
        <f>-SUMIFS('5月数据源'!$I:$I,'5月数据源'!$D:$D,$E150,'5月数据源'!$F:$F,"杭州知识跳跳科技有限公司")+SUMIFS('5月数据源'!$J:$J,'5月数据源'!$D:$D,$E150,'5月数据源'!$F:$F,"杭州知识跳跳科技有限公司")</f>
        <v/>
      </c>
      <c r="K150" s="89">
        <f>-SUMIFS('6月数据源'!$I:$I,'6月数据源'!$D:$D,$E150,'6月数据源'!$F:$F,"杭州知识跳跳科技有限公司")+SUMIFS('6月数据源'!$J:$J,'6月数据源'!$D:$D,$E150,'6月数据源'!$F:$F,"杭州知识跳跳科技有限公司")</f>
        <v/>
      </c>
      <c r="L150" s="89">
        <f>-SUMIFS('7月数据源'!$I:$I,'7月数据源'!$D:$D,$E150,'7月数据源'!$F:$F,"杭州知识跳跳科技有限公司")+SUMIFS('7月数据源'!$J:$J,'7月数据源'!$D:$D,$E150,'7月数据源'!$F:$F,"杭州知识跳跳科技有限公司")</f>
        <v/>
      </c>
      <c r="M150" s="89">
        <f>-SUMIFS('8月数据源'!$I:$I,'8月数据源'!$D:$D,$E150,'8月数据源'!$F:$F,"杭州知识跳跳科技有限公司")+SUMIFS('8月数据源'!$J:$J,'8月数据源'!$D:$D,$E150,'8月数据源'!$F:$F,"杭州知识跳跳科技有限公司")</f>
        <v/>
      </c>
      <c r="N150" s="89">
        <f>-SUMIFS('9月数据源'!$I:$I,'9月数据源'!$D:$D,$E150,'9月数据源'!$F:$F,"杭州知识跳跳科技有限公司")+SUMIFS('9月数据源'!$J:$J,'9月数据源'!$D:$D,$E150,'9月数据源'!$F:$F,"杭州知识跳跳科技有限公司")</f>
        <v/>
      </c>
      <c r="O150" s="89">
        <f>-SUMIFS('10月数据源'!$I:$I,'10月数据源'!$D:$D,$E150,'10月数据源'!$F:$F,"杭州知识跳跳科技有限公司")+SUMIFS('10月数据源'!$J:$J,'10月数据源'!$D:$D,$E150,'10月数据源'!$F:$F,"杭州知识跳跳科技有限公司")</f>
        <v/>
      </c>
      <c r="P150" s="89">
        <f>-SUMIFS('11月数据源'!$I:$I,'11月数据源'!$D:$D,$E150,'11月数据源'!$F:$F,"杭州知识跳跳科技有限公司")+SUMIFS('11月数据源'!$J:$J,'11月数据源'!$D:$D,$E150,'11月数据源'!$F:$F,"杭州知识跳跳科技有限公司")</f>
        <v/>
      </c>
      <c r="Q150" s="89">
        <f>-SUMIFS('12月数据源'!$I:$I,'12月数据源'!$D:$D,$E150,'12月数据源'!$F:$F,"杭州知识跳跳科技有限公司")+SUMIFS('12月数据源'!$J:$J,'12月数据源'!$D:$D,$E150,'12月数据源'!$F:$F,"杭州知识跳跳科技有限公司")</f>
        <v/>
      </c>
    </row>
    <row r="151" s="83">
      <c r="A151" s="5" t="inlineStr">
        <is>
          <t>管理费用</t>
        </is>
      </c>
      <c r="B151" s="6" t="inlineStr">
        <is>
          <t>服务费</t>
        </is>
      </c>
      <c r="D151" s="5" t="inlineStr">
        <is>
          <t>软件服务费</t>
        </is>
      </c>
      <c r="E151" s="6" t="inlineStr">
        <is>
          <t>Q2807</t>
        </is>
      </c>
      <c r="F151" s="89">
        <f>-SUMIFS('1月数据源'!I:I,'1月数据源'!D:D,E151,'1月数据源'!F:F,"杭州知识跳跳科技有限公司")+SUMIFS('1月数据源'!J:J,'1月数据源'!D:D,E151,'1月数据源'!F:F,"杭州知识跳跳科技有限公司")</f>
        <v/>
      </c>
      <c r="G151" s="89">
        <f>-SUMIFS('2月数据源'!$I:$I,'2月数据源'!$D:$D,$E151,'2月数据源'!$F:$F,"杭州知识跳跳科技有限公司")+SUMIFS('2月数据源'!$J:$J,'2月数据源'!$D:$D,$E151,'2月数据源'!$F:$F,"杭州知识跳跳科技有限公司")</f>
        <v/>
      </c>
      <c r="H151" s="89">
        <f>-SUMIFS('3月数据源'!$I:$I,'3月数据源'!$D:$D,$E151,'3月数据源'!$F:$F,"杭州知识跳跳科技有限公司")+SUMIFS('3月数据源'!$J:$J,'3月数据源'!$D:$D,$E151,'3月数据源'!$F:$F,"杭州知识跳跳科技有限公司")</f>
        <v/>
      </c>
      <c r="I151" s="89">
        <f>-SUMIFS('4月数据源'!$I:$I,'4月数据源'!$D:$D,$E151,'4月数据源'!$F:$F,"杭州知识跳跳科技有限公司")+SUMIFS('4月数据源'!$J:$J,'4月数据源'!$D:$D,$E151,'4月数据源'!$F:$F,"杭州知识跳跳科技有限公司")</f>
        <v/>
      </c>
      <c r="J151" s="89">
        <f>-SUMIFS('5月数据源'!$I:$I,'5月数据源'!$D:$D,$E151,'5月数据源'!$F:$F,"杭州知识跳跳科技有限公司")+SUMIFS('5月数据源'!$J:$J,'5月数据源'!$D:$D,$E151,'5月数据源'!$F:$F,"杭州知识跳跳科技有限公司")</f>
        <v/>
      </c>
      <c r="K151" s="89">
        <f>-SUMIFS('6月数据源'!$I:$I,'6月数据源'!$D:$D,$E151,'6月数据源'!$F:$F,"杭州知识跳跳科技有限公司")+SUMIFS('6月数据源'!$J:$J,'6月数据源'!$D:$D,$E151,'6月数据源'!$F:$F,"杭州知识跳跳科技有限公司")</f>
        <v/>
      </c>
      <c r="L151" s="89">
        <f>-SUMIFS('7月数据源'!$I:$I,'7月数据源'!$D:$D,$E151,'7月数据源'!$F:$F,"杭州知识跳跳科技有限公司")+SUMIFS('7月数据源'!$J:$J,'7月数据源'!$D:$D,$E151,'7月数据源'!$F:$F,"杭州知识跳跳科技有限公司")</f>
        <v/>
      </c>
      <c r="M151" s="89">
        <f>-SUMIFS('8月数据源'!$I:$I,'8月数据源'!$D:$D,$E151,'8月数据源'!$F:$F,"杭州知识跳跳科技有限公司")+SUMIFS('8月数据源'!$J:$J,'8月数据源'!$D:$D,$E151,'8月数据源'!$F:$F,"杭州知识跳跳科技有限公司")</f>
        <v/>
      </c>
      <c r="N151" s="89">
        <f>-SUMIFS('9月数据源'!$I:$I,'9月数据源'!$D:$D,$E151,'9月数据源'!$F:$F,"杭州知识跳跳科技有限公司")+SUMIFS('9月数据源'!$J:$J,'9月数据源'!$D:$D,$E151,'9月数据源'!$F:$F,"杭州知识跳跳科技有限公司")</f>
        <v/>
      </c>
      <c r="O151" s="89">
        <f>-SUMIFS('10月数据源'!$I:$I,'10月数据源'!$D:$D,$E151,'10月数据源'!$F:$F,"杭州知识跳跳科技有限公司")+SUMIFS('10月数据源'!$J:$J,'10月数据源'!$D:$D,$E151,'10月数据源'!$F:$F,"杭州知识跳跳科技有限公司")</f>
        <v/>
      </c>
      <c r="P151" s="89">
        <f>-SUMIFS('11月数据源'!$I:$I,'11月数据源'!$D:$D,$E151,'11月数据源'!$F:$F,"杭州知识跳跳科技有限公司")+SUMIFS('11月数据源'!$J:$J,'11月数据源'!$D:$D,$E151,'11月数据源'!$F:$F,"杭州知识跳跳科技有限公司")</f>
        <v/>
      </c>
      <c r="Q151" s="89">
        <f>-SUMIFS('12月数据源'!$I:$I,'12月数据源'!$D:$D,$E151,'12月数据源'!$F:$F,"杭州知识跳跳科技有限公司")+SUMIFS('12月数据源'!$J:$J,'12月数据源'!$D:$D,$E151,'12月数据源'!$F:$F,"杭州知识跳跳科技有限公司")</f>
        <v/>
      </c>
    </row>
    <row r="152" s="83">
      <c r="A152" s="5" t="inlineStr">
        <is>
          <t>管理费用</t>
        </is>
      </c>
      <c r="B152" s="6" t="inlineStr">
        <is>
          <t>服务费</t>
        </is>
      </c>
      <c r="D152" s="5" t="inlineStr">
        <is>
          <t>其他服务费</t>
        </is>
      </c>
      <c r="E152" s="6" t="inlineStr">
        <is>
          <t>Q2806</t>
        </is>
      </c>
      <c r="F152" s="89">
        <f>-SUMIFS('1月数据源'!I:I,'1月数据源'!D:D,E152,'1月数据源'!F:F,"杭州知识跳跳科技有限公司")+SUMIFS('1月数据源'!J:J,'1月数据源'!D:D,E152,'1月数据源'!F:F,"杭州知识跳跳科技有限公司")</f>
        <v/>
      </c>
      <c r="G152" s="89">
        <f>-SUMIFS('2月数据源'!$I:$I,'2月数据源'!$D:$D,$E152,'2月数据源'!$F:$F,"杭州知识跳跳科技有限公司")+SUMIFS('2月数据源'!$J:$J,'2月数据源'!$D:$D,$E152,'2月数据源'!$F:$F,"杭州知识跳跳科技有限公司")</f>
        <v/>
      </c>
      <c r="H152" s="89">
        <f>-SUMIFS('3月数据源'!$I:$I,'3月数据源'!$D:$D,$E152,'3月数据源'!$F:$F,"杭州知识跳跳科技有限公司")+SUMIFS('3月数据源'!$J:$J,'3月数据源'!$D:$D,$E152,'3月数据源'!$F:$F,"杭州知识跳跳科技有限公司")</f>
        <v/>
      </c>
      <c r="I152" s="89">
        <f>-SUMIFS('4月数据源'!$I:$I,'4月数据源'!$D:$D,$E152,'4月数据源'!$F:$F,"杭州知识跳跳科技有限公司")+SUMIFS('4月数据源'!$J:$J,'4月数据源'!$D:$D,$E152,'4月数据源'!$F:$F,"杭州知识跳跳科技有限公司")</f>
        <v/>
      </c>
      <c r="J152" s="89">
        <f>-SUMIFS('5月数据源'!$I:$I,'5月数据源'!$D:$D,$E152,'5月数据源'!$F:$F,"杭州知识跳跳科技有限公司")+SUMIFS('5月数据源'!$J:$J,'5月数据源'!$D:$D,$E152,'5月数据源'!$F:$F,"杭州知识跳跳科技有限公司")</f>
        <v/>
      </c>
      <c r="K152" s="89">
        <f>-SUMIFS('6月数据源'!$I:$I,'6月数据源'!$D:$D,$E152,'6月数据源'!$F:$F,"杭州知识跳跳科技有限公司")+SUMIFS('6月数据源'!$J:$J,'6月数据源'!$D:$D,$E152,'6月数据源'!$F:$F,"杭州知识跳跳科技有限公司")</f>
        <v/>
      </c>
      <c r="L152" s="89">
        <f>-SUMIFS('7月数据源'!$I:$I,'7月数据源'!$D:$D,$E152,'7月数据源'!$F:$F,"杭州知识跳跳科技有限公司")+SUMIFS('7月数据源'!$J:$J,'7月数据源'!$D:$D,$E152,'7月数据源'!$F:$F,"杭州知识跳跳科技有限公司")</f>
        <v/>
      </c>
      <c r="M152" s="89">
        <f>-SUMIFS('8月数据源'!$I:$I,'8月数据源'!$D:$D,$E152,'8月数据源'!$F:$F,"杭州知识跳跳科技有限公司")+SUMIFS('8月数据源'!$J:$J,'8月数据源'!$D:$D,$E152,'8月数据源'!$F:$F,"杭州知识跳跳科技有限公司")</f>
        <v/>
      </c>
      <c r="N152" s="89">
        <f>-SUMIFS('9月数据源'!$I:$I,'9月数据源'!$D:$D,$E152,'9月数据源'!$F:$F,"杭州知识跳跳科技有限公司")+SUMIFS('9月数据源'!$J:$J,'9月数据源'!$D:$D,$E152,'9月数据源'!$F:$F,"杭州知识跳跳科技有限公司")</f>
        <v/>
      </c>
      <c r="O152" s="89">
        <f>-SUMIFS('10月数据源'!$I:$I,'10月数据源'!$D:$D,$E152,'10月数据源'!$F:$F,"杭州知识跳跳科技有限公司")+SUMIFS('10月数据源'!$J:$J,'10月数据源'!$D:$D,$E152,'10月数据源'!$F:$F,"杭州知识跳跳科技有限公司")</f>
        <v/>
      </c>
      <c r="P152" s="89">
        <f>-SUMIFS('11月数据源'!$I:$I,'11月数据源'!$D:$D,$E152,'11月数据源'!$F:$F,"杭州知识跳跳科技有限公司")+SUMIFS('11月数据源'!$J:$J,'11月数据源'!$D:$D,$E152,'11月数据源'!$F:$F,"杭州知识跳跳科技有限公司")</f>
        <v/>
      </c>
      <c r="Q152" s="89">
        <f>-SUMIFS('12月数据源'!$I:$I,'12月数据源'!$D:$D,$E152,'12月数据源'!$F:$F,"杭州知识跳跳科技有限公司")+SUMIFS('12月数据源'!$J:$J,'12月数据源'!$D:$D,$E152,'12月数据源'!$F:$F,"杭州知识跳跳科技有限公司")</f>
        <v/>
      </c>
    </row>
    <row r="153" s="83">
      <c r="A153" s="5" t="inlineStr">
        <is>
          <t>管理费用</t>
        </is>
      </c>
      <c r="B153" s="6" t="inlineStr">
        <is>
          <t>办公费用</t>
        </is>
      </c>
      <c r="C153" s="6" t="inlineStr">
        <is>
          <t>办公费用</t>
        </is>
      </c>
      <c r="D153" s="5" t="inlineStr">
        <is>
          <t>固定资产采购</t>
        </is>
      </c>
      <c r="E153" s="6" t="inlineStr">
        <is>
          <t>Q2901</t>
        </is>
      </c>
      <c r="F153" s="89">
        <f>-SUMIFS('1月数据源'!I:I,'1月数据源'!D:D,E153,'1月数据源'!F:F,"杭州知识跳跳科技有限公司")+SUMIFS('1月数据源'!J:J,'1月数据源'!D:D,E153,'1月数据源'!F:F,"杭州知识跳跳科技有限公司")</f>
        <v/>
      </c>
      <c r="G153" s="89">
        <f>-SUMIFS('2月数据源'!$I:$I,'2月数据源'!$D:$D,$E153,'2月数据源'!$F:$F,"杭州知识跳跳科技有限公司")+SUMIFS('2月数据源'!$J:$J,'2月数据源'!$D:$D,$E153,'2月数据源'!$F:$F,"杭州知识跳跳科技有限公司")</f>
        <v/>
      </c>
      <c r="H153" s="89">
        <f>-SUMIFS('3月数据源'!$I:$I,'3月数据源'!$D:$D,$E153,'3月数据源'!$F:$F,"杭州知识跳跳科技有限公司")+SUMIFS('3月数据源'!$J:$J,'3月数据源'!$D:$D,$E153,'3月数据源'!$F:$F,"杭州知识跳跳科技有限公司")</f>
        <v/>
      </c>
      <c r="I153" s="89">
        <f>-SUMIFS('4月数据源'!$I:$I,'4月数据源'!$D:$D,$E153,'4月数据源'!$F:$F,"杭州知识跳跳科技有限公司")+SUMIFS('4月数据源'!$J:$J,'4月数据源'!$D:$D,$E153,'4月数据源'!$F:$F,"杭州知识跳跳科技有限公司")</f>
        <v/>
      </c>
      <c r="J153" s="89">
        <f>-SUMIFS('5月数据源'!$I:$I,'5月数据源'!$D:$D,$E153,'5月数据源'!$F:$F,"杭州知识跳跳科技有限公司")+SUMIFS('5月数据源'!$J:$J,'5月数据源'!$D:$D,$E153,'5月数据源'!$F:$F,"杭州知识跳跳科技有限公司")</f>
        <v/>
      </c>
      <c r="K153" s="89">
        <f>-SUMIFS('6月数据源'!$I:$I,'6月数据源'!$D:$D,$E153,'6月数据源'!$F:$F,"杭州知识跳跳科技有限公司")+SUMIFS('6月数据源'!$J:$J,'6月数据源'!$D:$D,$E153,'6月数据源'!$F:$F,"杭州知识跳跳科技有限公司")</f>
        <v/>
      </c>
      <c r="L153" s="89">
        <f>-SUMIFS('7月数据源'!$I:$I,'7月数据源'!$D:$D,$E153,'7月数据源'!$F:$F,"杭州知识跳跳科技有限公司")+SUMIFS('7月数据源'!$J:$J,'7月数据源'!$D:$D,$E153,'7月数据源'!$F:$F,"杭州知识跳跳科技有限公司")</f>
        <v/>
      </c>
      <c r="M153" s="89">
        <f>-SUMIFS('8月数据源'!$I:$I,'8月数据源'!$D:$D,$E153,'8月数据源'!$F:$F,"杭州知识跳跳科技有限公司")+SUMIFS('8月数据源'!$J:$J,'8月数据源'!$D:$D,$E153,'8月数据源'!$F:$F,"杭州知识跳跳科技有限公司")</f>
        <v/>
      </c>
      <c r="N153" s="89">
        <f>-SUMIFS('9月数据源'!$I:$I,'9月数据源'!$D:$D,$E153,'9月数据源'!$F:$F,"杭州知识跳跳科技有限公司")+SUMIFS('9月数据源'!$J:$J,'9月数据源'!$D:$D,$E153,'9月数据源'!$F:$F,"杭州知识跳跳科技有限公司")</f>
        <v/>
      </c>
      <c r="O153" s="89">
        <f>-SUMIFS('10月数据源'!$I:$I,'10月数据源'!$D:$D,$E153,'10月数据源'!$F:$F,"杭州知识跳跳科技有限公司")+SUMIFS('10月数据源'!$J:$J,'10月数据源'!$D:$D,$E153,'10月数据源'!$F:$F,"杭州知识跳跳科技有限公司")</f>
        <v/>
      </c>
      <c r="P153" s="89">
        <f>-SUMIFS('11月数据源'!$I:$I,'11月数据源'!$D:$D,$E153,'11月数据源'!$F:$F,"杭州知识跳跳科技有限公司")+SUMIFS('11月数据源'!$J:$J,'11月数据源'!$D:$D,$E153,'11月数据源'!$F:$F,"杭州知识跳跳科技有限公司")</f>
        <v/>
      </c>
      <c r="Q153" s="89">
        <f>-SUMIFS('12月数据源'!$I:$I,'12月数据源'!$D:$D,$E153,'12月数据源'!$F:$F,"杭州知识跳跳科技有限公司")+SUMIFS('12月数据源'!$J:$J,'12月数据源'!$D:$D,$E153,'12月数据源'!$F:$F,"杭州知识跳跳科技有限公司")</f>
        <v/>
      </c>
    </row>
    <row r="154" s="83">
      <c r="A154" s="5" t="inlineStr">
        <is>
          <t>管理费用</t>
        </is>
      </c>
      <c r="B154" s="6" t="inlineStr">
        <is>
          <t>办公费用</t>
        </is>
      </c>
      <c r="D154" s="5" t="inlineStr">
        <is>
          <t>办公用品采购</t>
        </is>
      </c>
      <c r="E154" s="6" t="inlineStr">
        <is>
          <t>Q2902</t>
        </is>
      </c>
      <c r="F154" s="89">
        <f>-SUMIFS('1月数据源'!I:I,'1月数据源'!D:D,E154,'1月数据源'!F:F,"杭州知识跳跳科技有限公司")+SUMIFS('1月数据源'!J:J,'1月数据源'!D:D,E154,'1月数据源'!F:F,"杭州知识跳跳科技有限公司")</f>
        <v/>
      </c>
      <c r="G154" s="89">
        <f>-SUMIFS('2月数据源'!$I:$I,'2月数据源'!$D:$D,$E154,'2月数据源'!$F:$F,"杭州知识跳跳科技有限公司")+SUMIFS('2月数据源'!$J:$J,'2月数据源'!$D:$D,$E154,'2月数据源'!$F:$F,"杭州知识跳跳科技有限公司")</f>
        <v/>
      </c>
      <c r="H154" s="89">
        <f>-SUMIFS('3月数据源'!$I:$I,'3月数据源'!$D:$D,$E154,'3月数据源'!$F:$F,"杭州知识跳跳科技有限公司")+SUMIFS('3月数据源'!$J:$J,'3月数据源'!$D:$D,$E154,'3月数据源'!$F:$F,"杭州知识跳跳科技有限公司")</f>
        <v/>
      </c>
      <c r="I154" s="89">
        <f>-SUMIFS('4月数据源'!$I:$I,'4月数据源'!$D:$D,$E154,'4月数据源'!$F:$F,"杭州知识跳跳科技有限公司")+SUMIFS('4月数据源'!$J:$J,'4月数据源'!$D:$D,$E154,'4月数据源'!$F:$F,"杭州知识跳跳科技有限公司")</f>
        <v/>
      </c>
      <c r="J154" s="89">
        <f>-SUMIFS('5月数据源'!$I:$I,'5月数据源'!$D:$D,$E154,'5月数据源'!$F:$F,"杭州知识跳跳科技有限公司")+SUMIFS('5月数据源'!$J:$J,'5月数据源'!$D:$D,$E154,'5月数据源'!$F:$F,"杭州知识跳跳科技有限公司")</f>
        <v/>
      </c>
      <c r="K154" s="89">
        <f>-SUMIFS('6月数据源'!$I:$I,'6月数据源'!$D:$D,$E154,'6月数据源'!$F:$F,"杭州知识跳跳科技有限公司")+SUMIFS('6月数据源'!$J:$J,'6月数据源'!$D:$D,$E154,'6月数据源'!$F:$F,"杭州知识跳跳科技有限公司")</f>
        <v/>
      </c>
      <c r="L154" s="89">
        <f>-SUMIFS('7月数据源'!$I:$I,'7月数据源'!$D:$D,$E154,'7月数据源'!$F:$F,"杭州知识跳跳科技有限公司")+SUMIFS('7月数据源'!$J:$J,'7月数据源'!$D:$D,$E154,'7月数据源'!$F:$F,"杭州知识跳跳科技有限公司")</f>
        <v/>
      </c>
      <c r="M154" s="89">
        <f>-SUMIFS('8月数据源'!$I:$I,'8月数据源'!$D:$D,$E154,'8月数据源'!$F:$F,"杭州知识跳跳科技有限公司")+SUMIFS('8月数据源'!$J:$J,'8月数据源'!$D:$D,$E154,'8月数据源'!$F:$F,"杭州知识跳跳科技有限公司")</f>
        <v/>
      </c>
      <c r="N154" s="89">
        <f>-SUMIFS('9月数据源'!$I:$I,'9月数据源'!$D:$D,$E154,'9月数据源'!$F:$F,"杭州知识跳跳科技有限公司")+SUMIFS('9月数据源'!$J:$J,'9月数据源'!$D:$D,$E154,'9月数据源'!$F:$F,"杭州知识跳跳科技有限公司")</f>
        <v/>
      </c>
      <c r="O154" s="89">
        <f>-SUMIFS('10月数据源'!$I:$I,'10月数据源'!$D:$D,$E154,'10月数据源'!$F:$F,"杭州知识跳跳科技有限公司")+SUMIFS('10月数据源'!$J:$J,'10月数据源'!$D:$D,$E154,'10月数据源'!$F:$F,"杭州知识跳跳科技有限公司")</f>
        <v/>
      </c>
      <c r="P154" s="89">
        <f>-SUMIFS('11月数据源'!$I:$I,'11月数据源'!$D:$D,$E154,'11月数据源'!$F:$F,"杭州知识跳跳科技有限公司")+SUMIFS('11月数据源'!$J:$J,'11月数据源'!$D:$D,$E154,'11月数据源'!$F:$F,"杭州知识跳跳科技有限公司")</f>
        <v/>
      </c>
      <c r="Q154" s="89">
        <f>-SUMIFS('12月数据源'!$I:$I,'12月数据源'!$D:$D,$E154,'12月数据源'!$F:$F,"杭州知识跳跳科技有限公司")+SUMIFS('12月数据源'!$J:$J,'12月数据源'!$D:$D,$E154,'12月数据源'!$F:$F,"杭州知识跳跳科技有限公司")</f>
        <v/>
      </c>
    </row>
    <row r="155" s="83">
      <c r="A155" s="5" t="inlineStr">
        <is>
          <t>管理费用</t>
        </is>
      </c>
      <c r="B155" s="6" t="inlineStr">
        <is>
          <t>办公费用</t>
        </is>
      </c>
      <c r="D155" s="5" t="inlineStr">
        <is>
          <t>网络费</t>
        </is>
      </c>
      <c r="E155" s="6" t="inlineStr">
        <is>
          <t>Q2903</t>
        </is>
      </c>
      <c r="F155" s="89">
        <f>-SUMIFS('1月数据源'!I:I,'1月数据源'!D:D,E155,'1月数据源'!F:F,"杭州知识跳跳科技有限公司")+SUMIFS('1月数据源'!J:J,'1月数据源'!D:D,E155,'1月数据源'!F:F,"杭州知识跳跳科技有限公司")</f>
        <v/>
      </c>
      <c r="G155" s="89">
        <f>-SUMIFS('2月数据源'!$I:$I,'2月数据源'!$D:$D,$E155,'2月数据源'!$F:$F,"杭州知识跳跳科技有限公司")+SUMIFS('2月数据源'!$J:$J,'2月数据源'!$D:$D,$E155,'2月数据源'!$F:$F,"杭州知识跳跳科技有限公司")</f>
        <v/>
      </c>
      <c r="H155" s="89">
        <f>-SUMIFS('3月数据源'!$I:$I,'3月数据源'!$D:$D,$E155,'3月数据源'!$F:$F,"杭州知识跳跳科技有限公司")+SUMIFS('3月数据源'!$J:$J,'3月数据源'!$D:$D,$E155,'3月数据源'!$F:$F,"杭州知识跳跳科技有限公司")</f>
        <v/>
      </c>
      <c r="I155" s="89">
        <f>-SUMIFS('4月数据源'!$I:$I,'4月数据源'!$D:$D,$E155,'4月数据源'!$F:$F,"杭州知识跳跳科技有限公司")+SUMIFS('4月数据源'!$J:$J,'4月数据源'!$D:$D,$E155,'4月数据源'!$F:$F,"杭州知识跳跳科技有限公司")</f>
        <v/>
      </c>
      <c r="J155" s="89">
        <f>-SUMIFS('5月数据源'!$I:$I,'5月数据源'!$D:$D,$E155,'5月数据源'!$F:$F,"杭州知识跳跳科技有限公司")+SUMIFS('5月数据源'!$J:$J,'5月数据源'!$D:$D,$E155,'5月数据源'!$F:$F,"杭州知识跳跳科技有限公司")</f>
        <v/>
      </c>
      <c r="K155" s="89">
        <f>-SUMIFS('6月数据源'!$I:$I,'6月数据源'!$D:$D,$E155,'6月数据源'!$F:$F,"杭州知识跳跳科技有限公司")+SUMIFS('6月数据源'!$J:$J,'6月数据源'!$D:$D,$E155,'6月数据源'!$F:$F,"杭州知识跳跳科技有限公司")</f>
        <v/>
      </c>
      <c r="L155" s="89">
        <f>-SUMIFS('7月数据源'!$I:$I,'7月数据源'!$D:$D,$E155,'7月数据源'!$F:$F,"杭州知识跳跳科技有限公司")+SUMIFS('7月数据源'!$J:$J,'7月数据源'!$D:$D,$E155,'7月数据源'!$F:$F,"杭州知识跳跳科技有限公司")</f>
        <v/>
      </c>
      <c r="M155" s="89">
        <f>-SUMIFS('8月数据源'!$I:$I,'8月数据源'!$D:$D,$E155,'8月数据源'!$F:$F,"杭州知识跳跳科技有限公司")+SUMIFS('8月数据源'!$J:$J,'8月数据源'!$D:$D,$E155,'8月数据源'!$F:$F,"杭州知识跳跳科技有限公司")</f>
        <v/>
      </c>
      <c r="N155" s="89">
        <f>-SUMIFS('9月数据源'!$I:$I,'9月数据源'!$D:$D,$E155,'9月数据源'!$F:$F,"杭州知识跳跳科技有限公司")+SUMIFS('9月数据源'!$J:$J,'9月数据源'!$D:$D,$E155,'9月数据源'!$F:$F,"杭州知识跳跳科技有限公司")</f>
        <v/>
      </c>
      <c r="O155" s="89">
        <f>-SUMIFS('10月数据源'!$I:$I,'10月数据源'!$D:$D,$E155,'10月数据源'!$F:$F,"杭州知识跳跳科技有限公司")+SUMIFS('10月数据源'!$J:$J,'10月数据源'!$D:$D,$E155,'10月数据源'!$F:$F,"杭州知识跳跳科技有限公司")</f>
        <v/>
      </c>
      <c r="P155" s="89">
        <f>-SUMIFS('11月数据源'!$I:$I,'11月数据源'!$D:$D,$E155,'11月数据源'!$F:$F,"杭州知识跳跳科技有限公司")+SUMIFS('11月数据源'!$J:$J,'11月数据源'!$D:$D,$E155,'11月数据源'!$F:$F,"杭州知识跳跳科技有限公司")</f>
        <v/>
      </c>
      <c r="Q155" s="89">
        <f>-SUMIFS('12月数据源'!$I:$I,'12月数据源'!$D:$D,$E155,'12月数据源'!$F:$F,"杭州知识跳跳科技有限公司")+SUMIFS('12月数据源'!$J:$J,'12月数据源'!$D:$D,$E155,'12月数据源'!$F:$F,"杭州知识跳跳科技有限公司")</f>
        <v/>
      </c>
    </row>
    <row r="156" s="83">
      <c r="A156" s="5" t="inlineStr">
        <is>
          <t>管理费用</t>
        </is>
      </c>
      <c r="B156" s="6" t="inlineStr">
        <is>
          <t>办公费用</t>
        </is>
      </c>
      <c r="D156" s="5" t="inlineStr">
        <is>
          <t>通讯费</t>
        </is>
      </c>
      <c r="E156" s="6" t="inlineStr">
        <is>
          <t>Q2904</t>
        </is>
      </c>
      <c r="F156" s="89">
        <f>-SUMIFS('1月数据源'!I:I,'1月数据源'!D:D,E156,'1月数据源'!F:F,"杭州知识跳跳科技有限公司")+SUMIFS('1月数据源'!J:J,'1月数据源'!D:D,E156,'1月数据源'!F:F,"杭州知识跳跳科技有限公司")</f>
        <v/>
      </c>
      <c r="G156" s="89">
        <f>-SUMIFS('2月数据源'!$I:$I,'2月数据源'!$D:$D,$E156,'2月数据源'!$F:$F,"杭州知识跳跳科技有限公司")+SUMIFS('2月数据源'!$J:$J,'2月数据源'!$D:$D,$E156,'2月数据源'!$F:$F,"杭州知识跳跳科技有限公司")</f>
        <v/>
      </c>
      <c r="H156" s="89">
        <f>-SUMIFS('3月数据源'!$I:$I,'3月数据源'!$D:$D,$E156,'3月数据源'!$F:$F,"杭州知识跳跳科技有限公司")+SUMIFS('3月数据源'!$J:$J,'3月数据源'!$D:$D,$E156,'3月数据源'!$F:$F,"杭州知识跳跳科技有限公司")</f>
        <v/>
      </c>
      <c r="I156" s="89">
        <f>-SUMIFS('4月数据源'!$I:$I,'4月数据源'!$D:$D,$E156,'4月数据源'!$F:$F,"杭州知识跳跳科技有限公司")+SUMIFS('4月数据源'!$J:$J,'4月数据源'!$D:$D,$E156,'4月数据源'!$F:$F,"杭州知识跳跳科技有限公司")</f>
        <v/>
      </c>
      <c r="J156" s="89">
        <f>-SUMIFS('5月数据源'!$I:$I,'5月数据源'!$D:$D,$E156,'5月数据源'!$F:$F,"杭州知识跳跳科技有限公司")+SUMIFS('5月数据源'!$J:$J,'5月数据源'!$D:$D,$E156,'5月数据源'!$F:$F,"杭州知识跳跳科技有限公司")</f>
        <v/>
      </c>
      <c r="K156" s="89">
        <f>-SUMIFS('6月数据源'!$I:$I,'6月数据源'!$D:$D,$E156,'6月数据源'!$F:$F,"杭州知识跳跳科技有限公司")+SUMIFS('6月数据源'!$J:$J,'6月数据源'!$D:$D,$E156,'6月数据源'!$F:$F,"杭州知识跳跳科技有限公司")</f>
        <v/>
      </c>
      <c r="L156" s="89">
        <f>-SUMIFS('7月数据源'!$I:$I,'7月数据源'!$D:$D,$E156,'7月数据源'!$F:$F,"杭州知识跳跳科技有限公司")+SUMIFS('7月数据源'!$J:$J,'7月数据源'!$D:$D,$E156,'7月数据源'!$F:$F,"杭州知识跳跳科技有限公司")</f>
        <v/>
      </c>
      <c r="M156" s="89">
        <f>-SUMIFS('8月数据源'!$I:$I,'8月数据源'!$D:$D,$E156,'8月数据源'!$F:$F,"杭州知识跳跳科技有限公司")+SUMIFS('8月数据源'!$J:$J,'8月数据源'!$D:$D,$E156,'8月数据源'!$F:$F,"杭州知识跳跳科技有限公司")</f>
        <v/>
      </c>
      <c r="N156" s="89">
        <f>-SUMIFS('9月数据源'!$I:$I,'9月数据源'!$D:$D,$E156,'9月数据源'!$F:$F,"杭州知识跳跳科技有限公司")+SUMIFS('9月数据源'!$J:$J,'9月数据源'!$D:$D,$E156,'9月数据源'!$F:$F,"杭州知识跳跳科技有限公司")</f>
        <v/>
      </c>
      <c r="O156" s="89">
        <f>-SUMIFS('10月数据源'!$I:$I,'10月数据源'!$D:$D,$E156,'10月数据源'!$F:$F,"杭州知识跳跳科技有限公司")+SUMIFS('10月数据源'!$J:$J,'10月数据源'!$D:$D,$E156,'10月数据源'!$F:$F,"杭州知识跳跳科技有限公司")</f>
        <v/>
      </c>
      <c r="P156" s="89">
        <f>-SUMIFS('11月数据源'!$I:$I,'11月数据源'!$D:$D,$E156,'11月数据源'!$F:$F,"杭州知识跳跳科技有限公司")+SUMIFS('11月数据源'!$J:$J,'11月数据源'!$D:$D,$E156,'11月数据源'!$F:$F,"杭州知识跳跳科技有限公司")</f>
        <v/>
      </c>
      <c r="Q156" s="89">
        <f>-SUMIFS('12月数据源'!$I:$I,'12月数据源'!$D:$D,$E156,'12月数据源'!$F:$F,"杭州知识跳跳科技有限公司")+SUMIFS('12月数据源'!$J:$J,'12月数据源'!$D:$D,$E156,'12月数据源'!$F:$F,"杭州知识跳跳科技有限公司")</f>
        <v/>
      </c>
    </row>
    <row r="157" s="83">
      <c r="A157" s="5" t="inlineStr">
        <is>
          <t>管理费用</t>
        </is>
      </c>
      <c r="B157" s="6" t="inlineStr">
        <is>
          <t>办公费用</t>
        </is>
      </c>
      <c r="D157" s="5" t="inlineStr">
        <is>
          <t>快递费</t>
        </is>
      </c>
      <c r="E157" s="6" t="inlineStr">
        <is>
          <t>Q2905</t>
        </is>
      </c>
      <c r="F157" s="89">
        <f>-SUMIFS('1月数据源'!I:I,'1月数据源'!D:D,E157,'1月数据源'!F:F,"杭州知识跳跳科技有限公司")+SUMIFS('1月数据源'!J:J,'1月数据源'!D:D,E157,'1月数据源'!F:F,"杭州知识跳跳科技有限公司")</f>
        <v/>
      </c>
      <c r="G157" s="89">
        <f>-SUMIFS('2月数据源'!$I:$I,'2月数据源'!$D:$D,$E157,'2月数据源'!$F:$F,"杭州知识跳跳科技有限公司")+SUMIFS('2月数据源'!$J:$J,'2月数据源'!$D:$D,$E157,'2月数据源'!$F:$F,"杭州知识跳跳科技有限公司")</f>
        <v/>
      </c>
      <c r="H157" s="89">
        <f>-SUMIFS('3月数据源'!$I:$I,'3月数据源'!$D:$D,$E157,'3月数据源'!$F:$F,"杭州知识跳跳科技有限公司")+SUMIFS('3月数据源'!$J:$J,'3月数据源'!$D:$D,$E157,'3月数据源'!$F:$F,"杭州知识跳跳科技有限公司")</f>
        <v/>
      </c>
      <c r="I157" s="89">
        <f>-SUMIFS('4月数据源'!$I:$I,'4月数据源'!$D:$D,$E157,'4月数据源'!$F:$F,"杭州知识跳跳科技有限公司")+SUMIFS('4月数据源'!$J:$J,'4月数据源'!$D:$D,$E157,'4月数据源'!$F:$F,"杭州知识跳跳科技有限公司")</f>
        <v/>
      </c>
      <c r="J157" s="89">
        <f>-SUMIFS('5月数据源'!$I:$I,'5月数据源'!$D:$D,$E157,'5月数据源'!$F:$F,"杭州知识跳跳科技有限公司")+SUMIFS('5月数据源'!$J:$J,'5月数据源'!$D:$D,$E157,'5月数据源'!$F:$F,"杭州知识跳跳科技有限公司")</f>
        <v/>
      </c>
      <c r="K157" s="89">
        <f>-SUMIFS('6月数据源'!$I:$I,'6月数据源'!$D:$D,$E157,'6月数据源'!$F:$F,"杭州知识跳跳科技有限公司")+SUMIFS('6月数据源'!$J:$J,'6月数据源'!$D:$D,$E157,'6月数据源'!$F:$F,"杭州知识跳跳科技有限公司")</f>
        <v/>
      </c>
      <c r="L157" s="89">
        <f>-SUMIFS('7月数据源'!$I:$I,'7月数据源'!$D:$D,$E157,'7月数据源'!$F:$F,"杭州知识跳跳科技有限公司")+SUMIFS('7月数据源'!$J:$J,'7月数据源'!$D:$D,$E157,'7月数据源'!$F:$F,"杭州知识跳跳科技有限公司")</f>
        <v/>
      </c>
      <c r="M157" s="89">
        <f>-SUMIFS('8月数据源'!$I:$I,'8月数据源'!$D:$D,$E157,'8月数据源'!$F:$F,"杭州知识跳跳科技有限公司")+SUMIFS('8月数据源'!$J:$J,'8月数据源'!$D:$D,$E157,'8月数据源'!$F:$F,"杭州知识跳跳科技有限公司")</f>
        <v/>
      </c>
      <c r="N157" s="89">
        <f>-SUMIFS('9月数据源'!$I:$I,'9月数据源'!$D:$D,$E157,'9月数据源'!$F:$F,"杭州知识跳跳科技有限公司")+SUMIFS('9月数据源'!$J:$J,'9月数据源'!$D:$D,$E157,'9月数据源'!$F:$F,"杭州知识跳跳科技有限公司")</f>
        <v/>
      </c>
      <c r="O157" s="89">
        <f>-SUMIFS('10月数据源'!$I:$I,'10月数据源'!$D:$D,$E157,'10月数据源'!$F:$F,"杭州知识跳跳科技有限公司")+SUMIFS('10月数据源'!$J:$J,'10月数据源'!$D:$D,$E157,'10月数据源'!$F:$F,"杭州知识跳跳科技有限公司")</f>
        <v/>
      </c>
      <c r="P157" s="89">
        <f>-SUMIFS('11月数据源'!$I:$I,'11月数据源'!$D:$D,$E157,'11月数据源'!$F:$F,"杭州知识跳跳科技有限公司")+SUMIFS('11月数据源'!$J:$J,'11月数据源'!$D:$D,$E157,'11月数据源'!$F:$F,"杭州知识跳跳科技有限公司")</f>
        <v/>
      </c>
      <c r="Q157" s="89">
        <f>-SUMIFS('12月数据源'!$I:$I,'12月数据源'!$D:$D,$E157,'12月数据源'!$F:$F,"杭州知识跳跳科技有限公司")+SUMIFS('12月数据源'!$J:$J,'12月数据源'!$D:$D,$E157,'12月数据源'!$F:$F,"杭州知识跳跳科技有限公司")</f>
        <v/>
      </c>
    </row>
    <row r="158" s="83">
      <c r="A158" s="5" t="inlineStr">
        <is>
          <t>管理费用</t>
        </is>
      </c>
      <c r="B158" s="6" t="inlineStr">
        <is>
          <t>办公费用</t>
        </is>
      </c>
      <c r="D158" s="5" t="inlineStr">
        <is>
          <t>其他员工报销</t>
        </is>
      </c>
      <c r="E158" s="6" t="inlineStr">
        <is>
          <t>Q2907</t>
        </is>
      </c>
      <c r="F158" s="89">
        <f>-SUMIFS('1月数据源'!I:I,'1月数据源'!D:D,E158,'1月数据源'!F:F,"杭州知识跳跳科技有限公司")+SUMIFS('1月数据源'!J:J,'1月数据源'!D:D,E158,'1月数据源'!F:F,"杭州知识跳跳科技有限公司")</f>
        <v/>
      </c>
      <c r="G158" s="89">
        <f>-SUMIFS('2月数据源'!$I:$I,'2月数据源'!$D:$D,$E158,'2月数据源'!$F:$F,"杭州知识跳跳科技有限公司")+SUMIFS('2月数据源'!$J:$J,'2月数据源'!$D:$D,$E158,'2月数据源'!$F:$F,"杭州知识跳跳科技有限公司")</f>
        <v/>
      </c>
      <c r="H158" s="89">
        <f>-SUMIFS('3月数据源'!$I:$I,'3月数据源'!$D:$D,$E158,'3月数据源'!$F:$F,"杭州知识跳跳科技有限公司")+SUMIFS('3月数据源'!$J:$J,'3月数据源'!$D:$D,$E158,'3月数据源'!$F:$F,"杭州知识跳跳科技有限公司")</f>
        <v/>
      </c>
      <c r="I158" s="89">
        <f>-SUMIFS('4月数据源'!$I:$I,'4月数据源'!$D:$D,$E158,'4月数据源'!$F:$F,"杭州知识跳跳科技有限公司")+SUMIFS('4月数据源'!$J:$J,'4月数据源'!$D:$D,$E158,'4月数据源'!$F:$F,"杭州知识跳跳科技有限公司")</f>
        <v/>
      </c>
      <c r="J158" s="89">
        <f>-SUMIFS('5月数据源'!$I:$I,'5月数据源'!$D:$D,$E158,'5月数据源'!$F:$F,"杭州知识跳跳科技有限公司")+SUMIFS('5月数据源'!$J:$J,'5月数据源'!$D:$D,$E158,'5月数据源'!$F:$F,"杭州知识跳跳科技有限公司")</f>
        <v/>
      </c>
      <c r="K158" s="89">
        <f>-SUMIFS('6月数据源'!$I:$I,'6月数据源'!$D:$D,$E158,'6月数据源'!$F:$F,"杭州知识跳跳科技有限公司")+SUMIFS('6月数据源'!$J:$J,'6月数据源'!$D:$D,$E158,'6月数据源'!$F:$F,"杭州知识跳跳科技有限公司")</f>
        <v/>
      </c>
      <c r="L158" s="89">
        <f>-SUMIFS('7月数据源'!$I:$I,'7月数据源'!$D:$D,$E158,'7月数据源'!$F:$F,"杭州知识跳跳科技有限公司")+SUMIFS('7月数据源'!$J:$J,'7月数据源'!$D:$D,$E158,'7月数据源'!$F:$F,"杭州知识跳跳科技有限公司")</f>
        <v/>
      </c>
      <c r="M158" s="89">
        <f>-SUMIFS('8月数据源'!$I:$I,'8月数据源'!$D:$D,$E158,'8月数据源'!$F:$F,"杭州知识跳跳科技有限公司")+SUMIFS('8月数据源'!$J:$J,'8月数据源'!$D:$D,$E158,'8月数据源'!$F:$F,"杭州知识跳跳科技有限公司")</f>
        <v/>
      </c>
      <c r="N158" s="89">
        <f>-SUMIFS('9月数据源'!$I:$I,'9月数据源'!$D:$D,$E158,'9月数据源'!$F:$F,"杭州知识跳跳科技有限公司")+SUMIFS('9月数据源'!$J:$J,'9月数据源'!$D:$D,$E158,'9月数据源'!$F:$F,"杭州知识跳跳科技有限公司")</f>
        <v/>
      </c>
      <c r="O158" s="89">
        <f>-SUMIFS('10月数据源'!$I:$I,'10月数据源'!$D:$D,$E158,'10月数据源'!$F:$F,"杭州知识跳跳科技有限公司")+SUMIFS('10月数据源'!$J:$J,'10月数据源'!$D:$D,$E158,'10月数据源'!$F:$F,"杭州知识跳跳科技有限公司")</f>
        <v/>
      </c>
      <c r="P158" s="89">
        <f>-SUMIFS('11月数据源'!$I:$I,'11月数据源'!$D:$D,$E158,'11月数据源'!$F:$F,"杭州知识跳跳科技有限公司")+SUMIFS('11月数据源'!$J:$J,'11月数据源'!$D:$D,$E158,'11月数据源'!$F:$F,"杭州知识跳跳科技有限公司")</f>
        <v/>
      </c>
      <c r="Q158" s="89">
        <f>-SUMIFS('12月数据源'!$I:$I,'12月数据源'!$D:$D,$E158,'12月数据源'!$F:$F,"杭州知识跳跳科技有限公司")+SUMIFS('12月数据源'!$J:$J,'12月数据源'!$D:$D,$E158,'12月数据源'!$F:$F,"杭州知识跳跳科技有限公司")</f>
        <v/>
      </c>
    </row>
    <row r="159" s="83">
      <c r="A159" s="5" t="inlineStr">
        <is>
          <t>管理费用</t>
        </is>
      </c>
      <c r="B159" s="6" t="inlineStr">
        <is>
          <t>办公费用</t>
        </is>
      </c>
      <c r="D159" s="5" t="inlineStr">
        <is>
          <t>办公设备租赁费</t>
        </is>
      </c>
      <c r="E159" s="6" t="inlineStr">
        <is>
          <t>Q2908</t>
        </is>
      </c>
      <c r="F159" s="89">
        <f>-SUMIFS('1月数据源'!I:I,'1月数据源'!D:D,E159,'1月数据源'!F:F,"杭州知识跳跳科技有限公司")+SUMIFS('1月数据源'!J:J,'1月数据源'!D:D,E159,'1月数据源'!F:F,"杭州知识跳跳科技有限公司")</f>
        <v/>
      </c>
      <c r="G159" s="89">
        <f>-SUMIFS('2月数据源'!$I:$I,'2月数据源'!$D:$D,$E159,'2月数据源'!$F:$F,"杭州知识跳跳科技有限公司")+SUMIFS('2月数据源'!$J:$J,'2月数据源'!$D:$D,$E159,'2月数据源'!$F:$F,"杭州知识跳跳科技有限公司")</f>
        <v/>
      </c>
      <c r="H159" s="89">
        <f>-SUMIFS('3月数据源'!$I:$I,'3月数据源'!$D:$D,$E159,'3月数据源'!$F:$F,"杭州知识跳跳科技有限公司")+SUMIFS('3月数据源'!$J:$J,'3月数据源'!$D:$D,$E159,'3月数据源'!$F:$F,"杭州知识跳跳科技有限公司")</f>
        <v/>
      </c>
      <c r="I159" s="89">
        <f>-SUMIFS('4月数据源'!$I:$I,'4月数据源'!$D:$D,$E159,'4月数据源'!$F:$F,"杭州知识跳跳科技有限公司")+SUMIFS('4月数据源'!$J:$J,'4月数据源'!$D:$D,$E159,'4月数据源'!$F:$F,"杭州知识跳跳科技有限公司")</f>
        <v/>
      </c>
      <c r="J159" s="89">
        <f>-SUMIFS('5月数据源'!$I:$I,'5月数据源'!$D:$D,$E159,'5月数据源'!$F:$F,"杭州知识跳跳科技有限公司")+SUMIFS('5月数据源'!$J:$J,'5月数据源'!$D:$D,$E159,'5月数据源'!$F:$F,"杭州知识跳跳科技有限公司")</f>
        <v/>
      </c>
      <c r="K159" s="89">
        <f>-SUMIFS('6月数据源'!$I:$I,'6月数据源'!$D:$D,$E159,'6月数据源'!$F:$F,"杭州知识跳跳科技有限公司")+SUMIFS('6月数据源'!$J:$J,'6月数据源'!$D:$D,$E159,'6月数据源'!$F:$F,"杭州知识跳跳科技有限公司")</f>
        <v/>
      </c>
      <c r="L159" s="89">
        <f>-SUMIFS('7月数据源'!$I:$I,'7月数据源'!$D:$D,$E159,'7月数据源'!$F:$F,"杭州知识跳跳科技有限公司")+SUMIFS('7月数据源'!$J:$J,'7月数据源'!$D:$D,$E159,'7月数据源'!$F:$F,"杭州知识跳跳科技有限公司")</f>
        <v/>
      </c>
      <c r="M159" s="89">
        <f>-SUMIFS('8月数据源'!$I:$I,'8月数据源'!$D:$D,$E159,'8月数据源'!$F:$F,"杭州知识跳跳科技有限公司")+SUMIFS('8月数据源'!$J:$J,'8月数据源'!$D:$D,$E159,'8月数据源'!$F:$F,"杭州知识跳跳科技有限公司")</f>
        <v/>
      </c>
      <c r="N159" s="89">
        <f>-SUMIFS('9月数据源'!$I:$I,'9月数据源'!$D:$D,$E159,'9月数据源'!$F:$F,"杭州知识跳跳科技有限公司")+SUMIFS('9月数据源'!$J:$J,'9月数据源'!$D:$D,$E159,'9月数据源'!$F:$F,"杭州知识跳跳科技有限公司")</f>
        <v/>
      </c>
      <c r="O159" s="89">
        <f>-SUMIFS('10月数据源'!$I:$I,'10月数据源'!$D:$D,$E159,'10月数据源'!$F:$F,"杭州知识跳跳科技有限公司")+SUMIFS('10月数据源'!$J:$J,'10月数据源'!$D:$D,$E159,'10月数据源'!$F:$F,"杭州知识跳跳科技有限公司")</f>
        <v/>
      </c>
      <c r="P159" s="89">
        <f>-SUMIFS('11月数据源'!$I:$I,'11月数据源'!$D:$D,$E159,'11月数据源'!$F:$F,"杭州知识跳跳科技有限公司")+SUMIFS('11月数据源'!$J:$J,'11月数据源'!$D:$D,$E159,'11月数据源'!$F:$F,"杭州知识跳跳科技有限公司")</f>
        <v/>
      </c>
      <c r="Q159" s="89">
        <f>-SUMIFS('12月数据源'!$I:$I,'12月数据源'!$D:$D,$E159,'12月数据源'!$F:$F,"杭州知识跳跳科技有限公司")+SUMIFS('12月数据源'!$J:$J,'12月数据源'!$D:$D,$E159,'12月数据源'!$F:$F,"杭州知识跳跳科技有限公司")</f>
        <v/>
      </c>
    </row>
    <row r="160" s="83">
      <c r="A160" s="5" t="inlineStr">
        <is>
          <t>管理费用</t>
        </is>
      </c>
      <c r="B160" s="6" t="inlineStr">
        <is>
          <t>办公费用</t>
        </is>
      </c>
      <c r="D160" s="5" t="inlineStr">
        <is>
          <t>总经办报销费用</t>
        </is>
      </c>
      <c r="E160" s="6" t="inlineStr">
        <is>
          <t>Q2909</t>
        </is>
      </c>
      <c r="F160" s="89">
        <f>-SUMIFS('1月数据源'!I:I,'1月数据源'!D:D,E160,'1月数据源'!F:F,"杭州知识跳跳科技有限公司")+SUMIFS('1月数据源'!J:J,'1月数据源'!D:D,E160,'1月数据源'!F:F,"杭州知识跳跳科技有限公司")</f>
        <v/>
      </c>
      <c r="G160" s="89">
        <f>-SUMIFS('2月数据源'!$I:$I,'2月数据源'!$D:$D,$E160,'2月数据源'!$F:$F,"杭州知识跳跳科技有限公司")+SUMIFS('2月数据源'!$J:$J,'2月数据源'!$D:$D,$E160,'2月数据源'!$F:$F,"杭州知识跳跳科技有限公司")</f>
        <v/>
      </c>
      <c r="H160" s="89">
        <f>-SUMIFS('3月数据源'!$I:$I,'3月数据源'!$D:$D,$E160,'3月数据源'!$F:$F,"杭州知识跳跳科技有限公司")+SUMIFS('3月数据源'!$J:$J,'3月数据源'!$D:$D,$E160,'3月数据源'!$F:$F,"杭州知识跳跳科技有限公司")</f>
        <v/>
      </c>
      <c r="I160" s="89">
        <f>-SUMIFS('4月数据源'!$I:$I,'4月数据源'!$D:$D,$E160,'4月数据源'!$F:$F,"杭州知识跳跳科技有限公司")+SUMIFS('4月数据源'!$J:$J,'4月数据源'!$D:$D,$E160,'4月数据源'!$F:$F,"杭州知识跳跳科技有限公司")</f>
        <v/>
      </c>
      <c r="J160" s="89">
        <f>-SUMIFS('5月数据源'!$I:$I,'5月数据源'!$D:$D,$E160,'5月数据源'!$F:$F,"杭州知识跳跳科技有限公司")+SUMIFS('5月数据源'!$J:$J,'5月数据源'!$D:$D,$E160,'5月数据源'!$F:$F,"杭州知识跳跳科技有限公司")</f>
        <v/>
      </c>
      <c r="K160" s="89">
        <f>-SUMIFS('6月数据源'!$I:$I,'6月数据源'!$D:$D,$E160,'6月数据源'!$F:$F,"杭州知识跳跳科技有限公司")+SUMIFS('6月数据源'!$J:$J,'6月数据源'!$D:$D,$E160,'6月数据源'!$F:$F,"杭州知识跳跳科技有限公司")</f>
        <v/>
      </c>
      <c r="L160" s="89">
        <f>-SUMIFS('7月数据源'!$I:$I,'7月数据源'!$D:$D,$E160,'7月数据源'!$F:$F,"杭州知识跳跳科技有限公司")+SUMIFS('7月数据源'!$J:$J,'7月数据源'!$D:$D,$E160,'7月数据源'!$F:$F,"杭州知识跳跳科技有限公司")</f>
        <v/>
      </c>
      <c r="M160" s="89">
        <f>-SUMIFS('8月数据源'!$I:$I,'8月数据源'!$D:$D,$E160,'8月数据源'!$F:$F,"杭州知识跳跳科技有限公司")+SUMIFS('8月数据源'!$J:$J,'8月数据源'!$D:$D,$E160,'8月数据源'!$F:$F,"杭州知识跳跳科技有限公司")</f>
        <v/>
      </c>
      <c r="N160" s="89">
        <f>-SUMIFS('9月数据源'!$I:$I,'9月数据源'!$D:$D,$E160,'9月数据源'!$F:$F,"杭州知识跳跳科技有限公司")+SUMIFS('9月数据源'!$J:$J,'9月数据源'!$D:$D,$E160,'9月数据源'!$F:$F,"杭州知识跳跳科技有限公司")</f>
        <v/>
      </c>
      <c r="O160" s="89">
        <f>-SUMIFS('10月数据源'!$I:$I,'10月数据源'!$D:$D,$E160,'10月数据源'!$F:$F,"杭州知识跳跳科技有限公司")+SUMIFS('10月数据源'!$J:$J,'10月数据源'!$D:$D,$E160,'10月数据源'!$F:$F,"杭州知识跳跳科技有限公司")</f>
        <v/>
      </c>
      <c r="P160" s="89">
        <f>-SUMIFS('11月数据源'!$I:$I,'11月数据源'!$D:$D,$E160,'11月数据源'!$F:$F,"杭州知识跳跳科技有限公司")+SUMIFS('11月数据源'!$J:$J,'11月数据源'!$D:$D,$E160,'11月数据源'!$F:$F,"杭州知识跳跳科技有限公司")</f>
        <v/>
      </c>
      <c r="Q160" s="89">
        <f>-SUMIFS('12月数据源'!$I:$I,'12月数据源'!$D:$D,$E160,'12月数据源'!$F:$F,"杭州知识跳跳科技有限公司")+SUMIFS('12月数据源'!$J:$J,'12月数据源'!$D:$D,$E160,'12月数据源'!$F:$F,"杭州知识跳跳科技有限公司")</f>
        <v/>
      </c>
    </row>
    <row r="161" s="83">
      <c r="A161" s="5" t="inlineStr">
        <is>
          <t>管理费用</t>
        </is>
      </c>
      <c r="B161" s="6" t="inlineStr">
        <is>
          <t>办公费用</t>
        </is>
      </c>
      <c r="D161" s="5" t="inlineStr">
        <is>
          <t>其他办公费用</t>
        </is>
      </c>
      <c r="E161" s="6" t="inlineStr">
        <is>
          <t>Q29010</t>
        </is>
      </c>
      <c r="F161" s="89">
        <f>-SUMIFS('1月数据源'!I:I,'1月数据源'!D:D,E161,'1月数据源'!F:F,"杭州知识跳跳科技有限公司")+SUMIFS('1月数据源'!J:J,'1月数据源'!D:D,E161,'1月数据源'!F:F,"杭州知识跳跳科技有限公司")</f>
        <v/>
      </c>
      <c r="G161" s="89">
        <f>-SUMIFS('2月数据源'!$I:$I,'2月数据源'!$D:$D,$E161,'2月数据源'!$F:$F,"杭州知识跳跳科技有限公司")+SUMIFS('2月数据源'!$J:$J,'2月数据源'!$D:$D,$E161,'2月数据源'!$F:$F,"杭州知识跳跳科技有限公司")</f>
        <v/>
      </c>
      <c r="H161" s="89">
        <f>-SUMIFS('3月数据源'!$I:$I,'3月数据源'!$D:$D,$E161,'3月数据源'!$F:$F,"杭州知识跳跳科技有限公司")+SUMIFS('3月数据源'!$J:$J,'3月数据源'!$D:$D,$E161,'3月数据源'!$F:$F,"杭州知识跳跳科技有限公司")</f>
        <v/>
      </c>
      <c r="I161" s="89">
        <f>-SUMIFS('4月数据源'!$I:$I,'4月数据源'!$D:$D,$E161,'4月数据源'!$F:$F,"杭州知识跳跳科技有限公司")+SUMIFS('4月数据源'!$J:$J,'4月数据源'!$D:$D,$E161,'4月数据源'!$F:$F,"杭州知识跳跳科技有限公司")</f>
        <v/>
      </c>
      <c r="J161" s="89">
        <f>-SUMIFS('5月数据源'!$I:$I,'5月数据源'!$D:$D,$E161,'5月数据源'!$F:$F,"杭州知识跳跳科技有限公司")+SUMIFS('5月数据源'!$J:$J,'5月数据源'!$D:$D,$E161,'5月数据源'!$F:$F,"杭州知识跳跳科技有限公司")</f>
        <v/>
      </c>
      <c r="K161" s="89">
        <f>-SUMIFS('6月数据源'!$I:$I,'6月数据源'!$D:$D,$E161,'6月数据源'!$F:$F,"杭州知识跳跳科技有限公司")+SUMIFS('6月数据源'!$J:$J,'6月数据源'!$D:$D,$E161,'6月数据源'!$F:$F,"杭州知识跳跳科技有限公司")</f>
        <v/>
      </c>
      <c r="L161" s="89">
        <f>-SUMIFS('7月数据源'!$I:$I,'7月数据源'!$D:$D,$E161,'7月数据源'!$F:$F,"杭州知识跳跳科技有限公司")+SUMIFS('7月数据源'!$J:$J,'7月数据源'!$D:$D,$E161,'7月数据源'!$F:$F,"杭州知识跳跳科技有限公司")</f>
        <v/>
      </c>
      <c r="M161" s="89">
        <f>-SUMIFS('8月数据源'!$I:$I,'8月数据源'!$D:$D,$E161,'8月数据源'!$F:$F,"杭州知识跳跳科技有限公司")+SUMIFS('8月数据源'!$J:$J,'8月数据源'!$D:$D,$E161,'8月数据源'!$F:$F,"杭州知识跳跳科技有限公司")</f>
        <v/>
      </c>
      <c r="N161" s="89">
        <f>-SUMIFS('9月数据源'!$I:$I,'9月数据源'!$D:$D,$E161,'9月数据源'!$F:$F,"杭州知识跳跳科技有限公司")+SUMIFS('9月数据源'!$J:$J,'9月数据源'!$D:$D,$E161,'9月数据源'!$F:$F,"杭州知识跳跳科技有限公司")</f>
        <v/>
      </c>
      <c r="O161" s="89">
        <f>-SUMIFS('10月数据源'!$I:$I,'10月数据源'!$D:$D,$E161,'10月数据源'!$F:$F,"杭州知识跳跳科技有限公司")+SUMIFS('10月数据源'!$J:$J,'10月数据源'!$D:$D,$E161,'10月数据源'!$F:$F,"杭州知识跳跳科技有限公司")</f>
        <v/>
      </c>
      <c r="P161" s="89">
        <f>-SUMIFS('11月数据源'!$I:$I,'11月数据源'!$D:$D,$E161,'11月数据源'!$F:$F,"杭州知识跳跳科技有限公司")+SUMIFS('11月数据源'!$J:$J,'11月数据源'!$D:$D,$E161,'11月数据源'!$F:$F,"杭州知识跳跳科技有限公司")</f>
        <v/>
      </c>
      <c r="Q161" s="89">
        <f>-SUMIFS('12月数据源'!$I:$I,'12月数据源'!$D:$D,$E161,'12月数据源'!$F:$F,"杭州知识跳跳科技有限公司")+SUMIFS('12月数据源'!$J:$J,'12月数据源'!$D:$D,$E161,'12月数据源'!$F:$F,"杭州知识跳跳科技有限公司")</f>
        <v/>
      </c>
    </row>
    <row r="162" s="83">
      <c r="A162" s="49" t="inlineStr">
        <is>
          <t>管理费用合计</t>
        </is>
      </c>
      <c r="B162" s="50" t="n"/>
      <c r="C162" s="50" t="n"/>
      <c r="D162" s="49" t="n"/>
      <c r="E162" s="49" t="n"/>
      <c r="F162" s="89">
        <f>SUM(F138:F161)</f>
        <v/>
      </c>
      <c r="G162" s="89">
        <f>SUM(G138:G161)</f>
        <v/>
      </c>
      <c r="H162" s="89">
        <f>SUM(H138:H161)</f>
        <v/>
      </c>
      <c r="I162" s="89">
        <f>SUM(I138:I161)</f>
        <v/>
      </c>
      <c r="J162" s="89">
        <f>SUM(J138:J161)</f>
        <v/>
      </c>
      <c r="K162" s="89">
        <f>SUM(K138:K161)</f>
        <v/>
      </c>
      <c r="L162" s="89">
        <f>SUM(L138:L161)</f>
        <v/>
      </c>
      <c r="M162" s="89">
        <f>SUM(M138:M161)</f>
        <v/>
      </c>
      <c r="N162" s="89">
        <f>SUM(N138:N161)</f>
        <v/>
      </c>
      <c r="O162" s="89">
        <f>SUM(O138:O161)</f>
        <v/>
      </c>
      <c r="P162" s="89">
        <f>SUM(P138:P161)</f>
        <v/>
      </c>
      <c r="Q162" s="89">
        <f>SUM(Q138:Q161)</f>
        <v/>
      </c>
    </row>
    <row r="163" s="83">
      <c r="A163" s="5" t="inlineStr">
        <is>
          <t>税费成本</t>
        </is>
      </c>
      <c r="B163" s="6" t="inlineStr">
        <is>
          <t>税费成本</t>
        </is>
      </c>
      <c r="C163" s="6" t="inlineStr">
        <is>
          <t>税费成本</t>
        </is>
      </c>
      <c r="D163" s="5" t="inlineStr">
        <is>
          <t>增值税</t>
        </is>
      </c>
      <c r="E163" s="6" t="inlineStr">
        <is>
          <t>Q3001</t>
        </is>
      </c>
      <c r="F163" s="89">
        <f>-SUMIFS('1月数据源'!I:I,'1月数据源'!D:D,E163,'1月数据源'!F:F,"杭州知识跳跳科技有限公司")+SUMIFS('1月数据源'!J:J,'1月数据源'!D:D,E163,'1月数据源'!F:F,"杭州知识跳跳科技有限公司")</f>
        <v/>
      </c>
      <c r="G163" s="89">
        <f>-SUMIFS('2月数据源'!$I:$I,'2月数据源'!$D:$D,$E163,'2月数据源'!$F:$F,"杭州知识跳跳科技有限公司")+SUMIFS('2月数据源'!$J:$J,'2月数据源'!$D:$D,$E163,'2月数据源'!$F:$F,"杭州知识跳跳科技有限公司")</f>
        <v/>
      </c>
      <c r="H163" s="89">
        <f>-SUMIFS('3月数据源'!$I:$I,'3月数据源'!$D:$D,$E163,'3月数据源'!$F:$F,"杭州知识跳跳科技有限公司")+SUMIFS('3月数据源'!$J:$J,'3月数据源'!$D:$D,$E163,'3月数据源'!$F:$F,"杭州知识跳跳科技有限公司")</f>
        <v/>
      </c>
      <c r="I163" s="89">
        <f>-SUMIFS('4月数据源'!$I:$I,'4月数据源'!$D:$D,$E163,'4月数据源'!$F:$F,"杭州知识跳跳科技有限公司")+SUMIFS('4月数据源'!$J:$J,'4月数据源'!$D:$D,$E163,'4月数据源'!$F:$F,"杭州知识跳跳科技有限公司")</f>
        <v/>
      </c>
      <c r="J163" s="89">
        <f>-SUMIFS('5月数据源'!$I:$I,'5月数据源'!$D:$D,$E163,'5月数据源'!$F:$F,"杭州知识跳跳科技有限公司")+SUMIFS('5月数据源'!$J:$J,'5月数据源'!$D:$D,$E163,'5月数据源'!$F:$F,"杭州知识跳跳科技有限公司")</f>
        <v/>
      </c>
      <c r="K163" s="89">
        <f>-SUMIFS('6月数据源'!$I:$I,'6月数据源'!$D:$D,$E163,'6月数据源'!$F:$F,"杭州知识跳跳科技有限公司")+SUMIFS('6月数据源'!$J:$J,'6月数据源'!$D:$D,$E163,'6月数据源'!$F:$F,"杭州知识跳跳科技有限公司")</f>
        <v/>
      </c>
      <c r="L163" s="89">
        <f>-SUMIFS('7月数据源'!$I:$I,'7月数据源'!$D:$D,$E163,'7月数据源'!$F:$F,"杭州知识跳跳科技有限公司")+SUMIFS('7月数据源'!$J:$J,'7月数据源'!$D:$D,$E163,'7月数据源'!$F:$F,"杭州知识跳跳科技有限公司")</f>
        <v/>
      </c>
      <c r="M163" s="89">
        <f>-SUMIFS('8月数据源'!$I:$I,'8月数据源'!$D:$D,$E163,'8月数据源'!$F:$F,"杭州知识跳跳科技有限公司")+SUMIFS('8月数据源'!$J:$J,'8月数据源'!$D:$D,$E163,'8月数据源'!$F:$F,"杭州知识跳跳科技有限公司")</f>
        <v/>
      </c>
      <c r="N163" s="89">
        <f>-SUMIFS('9月数据源'!$I:$I,'9月数据源'!$D:$D,$E163,'9月数据源'!$F:$F,"杭州知识跳跳科技有限公司")+SUMIFS('9月数据源'!$J:$J,'9月数据源'!$D:$D,$E163,'9月数据源'!$F:$F,"杭州知识跳跳科技有限公司")</f>
        <v/>
      </c>
      <c r="O163" s="89">
        <f>-SUMIFS('10月数据源'!$I:$I,'10月数据源'!$D:$D,$E163,'10月数据源'!$F:$F,"杭州知识跳跳科技有限公司")+SUMIFS('10月数据源'!$J:$J,'10月数据源'!$D:$D,$E163,'10月数据源'!$F:$F,"杭州知识跳跳科技有限公司")</f>
        <v/>
      </c>
      <c r="P163" s="89">
        <f>-SUMIFS('11月数据源'!$I:$I,'11月数据源'!$D:$D,$E163,'11月数据源'!$F:$F,"杭州知识跳跳科技有限公司")+SUMIFS('11月数据源'!$J:$J,'11月数据源'!$D:$D,$E163,'11月数据源'!$F:$F,"杭州知识跳跳科技有限公司")</f>
        <v/>
      </c>
      <c r="Q163" s="89">
        <f>-SUMIFS('12月数据源'!$I:$I,'12月数据源'!$D:$D,$E163,'12月数据源'!$F:$F,"杭州知识跳跳科技有限公司")+SUMIFS('12月数据源'!$J:$J,'12月数据源'!$D:$D,$E163,'12月数据源'!$F:$F,"杭州知识跳跳科技有限公司")</f>
        <v/>
      </c>
    </row>
    <row r="164" s="83">
      <c r="A164" s="5" t="inlineStr">
        <is>
          <t>税费成本</t>
        </is>
      </c>
      <c r="B164" s="6" t="inlineStr">
        <is>
          <t>税费成本</t>
        </is>
      </c>
      <c r="D164" s="5" t="inlineStr">
        <is>
          <t>附加税</t>
        </is>
      </c>
      <c r="E164" s="6" t="inlineStr">
        <is>
          <t>Q3002</t>
        </is>
      </c>
      <c r="F164" s="89">
        <f>-SUMIFS('1月数据源'!I:I,'1月数据源'!D:D,E164,'1月数据源'!F:F,"杭州知识跳跳科技有限公司")+SUMIFS('1月数据源'!J:J,'1月数据源'!D:D,E164,'1月数据源'!F:F,"杭州知识跳跳科技有限公司")</f>
        <v/>
      </c>
      <c r="G164" s="89">
        <f>-SUMIFS('2月数据源'!$I:$I,'2月数据源'!$D:$D,$E164,'2月数据源'!$F:$F,"杭州知识跳跳科技有限公司")+SUMIFS('2月数据源'!$J:$J,'2月数据源'!$D:$D,$E164,'2月数据源'!$F:$F,"杭州知识跳跳科技有限公司")</f>
        <v/>
      </c>
      <c r="H164" s="89">
        <f>-SUMIFS('3月数据源'!$I:$I,'3月数据源'!$D:$D,$E164,'3月数据源'!$F:$F,"杭州知识跳跳科技有限公司")+SUMIFS('3月数据源'!$J:$J,'3月数据源'!$D:$D,$E164,'3月数据源'!$F:$F,"杭州知识跳跳科技有限公司")</f>
        <v/>
      </c>
      <c r="I164" s="89">
        <f>-SUMIFS('4月数据源'!$I:$I,'4月数据源'!$D:$D,$E164,'4月数据源'!$F:$F,"杭州知识跳跳科技有限公司")+SUMIFS('4月数据源'!$J:$J,'4月数据源'!$D:$D,$E164,'4月数据源'!$F:$F,"杭州知识跳跳科技有限公司")</f>
        <v/>
      </c>
      <c r="J164" s="89">
        <f>-SUMIFS('5月数据源'!$I:$I,'5月数据源'!$D:$D,$E164,'5月数据源'!$F:$F,"杭州知识跳跳科技有限公司")+SUMIFS('5月数据源'!$J:$J,'5月数据源'!$D:$D,$E164,'5月数据源'!$F:$F,"杭州知识跳跳科技有限公司")</f>
        <v/>
      </c>
      <c r="K164" s="89">
        <f>-SUMIFS('6月数据源'!$I:$I,'6月数据源'!$D:$D,$E164,'6月数据源'!$F:$F,"杭州知识跳跳科技有限公司")+SUMIFS('6月数据源'!$J:$J,'6月数据源'!$D:$D,$E164,'6月数据源'!$F:$F,"杭州知识跳跳科技有限公司")</f>
        <v/>
      </c>
      <c r="L164" s="89">
        <f>-SUMIFS('7月数据源'!$I:$I,'7月数据源'!$D:$D,$E164,'7月数据源'!$F:$F,"杭州知识跳跳科技有限公司")+SUMIFS('7月数据源'!$J:$J,'7月数据源'!$D:$D,$E164,'7月数据源'!$F:$F,"杭州知识跳跳科技有限公司")</f>
        <v/>
      </c>
      <c r="M164" s="89">
        <f>-SUMIFS('8月数据源'!$I:$I,'8月数据源'!$D:$D,$E164,'8月数据源'!$F:$F,"杭州知识跳跳科技有限公司")+SUMIFS('8月数据源'!$J:$J,'8月数据源'!$D:$D,$E164,'8月数据源'!$F:$F,"杭州知识跳跳科技有限公司")</f>
        <v/>
      </c>
      <c r="N164" s="89">
        <f>-SUMIFS('9月数据源'!$I:$I,'9月数据源'!$D:$D,$E164,'9月数据源'!$F:$F,"杭州知识跳跳科技有限公司")+SUMIFS('9月数据源'!$J:$J,'9月数据源'!$D:$D,$E164,'9月数据源'!$F:$F,"杭州知识跳跳科技有限公司")</f>
        <v/>
      </c>
      <c r="O164" s="89">
        <f>-SUMIFS('10月数据源'!$I:$I,'10月数据源'!$D:$D,$E164,'10月数据源'!$F:$F,"杭州知识跳跳科技有限公司")+SUMIFS('10月数据源'!$J:$J,'10月数据源'!$D:$D,$E164,'10月数据源'!$F:$F,"杭州知识跳跳科技有限公司")</f>
        <v/>
      </c>
      <c r="P164" s="89">
        <f>-SUMIFS('11月数据源'!$I:$I,'11月数据源'!$D:$D,$E164,'11月数据源'!$F:$F,"杭州知识跳跳科技有限公司")+SUMIFS('11月数据源'!$J:$J,'11月数据源'!$D:$D,$E164,'11月数据源'!$F:$F,"杭州知识跳跳科技有限公司")</f>
        <v/>
      </c>
      <c r="Q164" s="89">
        <f>-SUMIFS('12月数据源'!$I:$I,'12月数据源'!$D:$D,$E164,'12月数据源'!$F:$F,"杭州知识跳跳科技有限公司")+SUMIFS('12月数据源'!$J:$J,'12月数据源'!$D:$D,$E164,'12月数据源'!$F:$F,"杭州知识跳跳科技有限公司")</f>
        <v/>
      </c>
    </row>
    <row r="165" s="83">
      <c r="A165" s="5" t="inlineStr">
        <is>
          <t>税费成本</t>
        </is>
      </c>
      <c r="B165" s="6" t="inlineStr">
        <is>
          <t>税费成本</t>
        </is>
      </c>
      <c r="D165" s="5" t="inlineStr">
        <is>
          <t>印花税</t>
        </is>
      </c>
      <c r="E165" s="6" t="inlineStr">
        <is>
          <t>Q3003</t>
        </is>
      </c>
      <c r="F165" s="89">
        <f>-SUMIFS('1月数据源'!I:I,'1月数据源'!D:D,E165,'1月数据源'!F:F,"杭州知识跳跳科技有限公司")+SUMIFS('1月数据源'!J:J,'1月数据源'!D:D,E165,'1月数据源'!F:F,"杭州知识跳跳科技有限公司")</f>
        <v/>
      </c>
      <c r="G165" s="89">
        <f>-SUMIFS('2月数据源'!$I:$I,'2月数据源'!$D:$D,$E165,'2月数据源'!$F:$F,"杭州知识跳跳科技有限公司")+SUMIFS('2月数据源'!$J:$J,'2月数据源'!$D:$D,$E165,'2月数据源'!$F:$F,"杭州知识跳跳科技有限公司")</f>
        <v/>
      </c>
      <c r="H165" s="89">
        <f>-SUMIFS('3月数据源'!$I:$I,'3月数据源'!$D:$D,$E165,'3月数据源'!$F:$F,"杭州知识跳跳科技有限公司")+SUMIFS('3月数据源'!$J:$J,'3月数据源'!$D:$D,$E165,'3月数据源'!$F:$F,"杭州知识跳跳科技有限公司")</f>
        <v/>
      </c>
      <c r="I165" s="89">
        <f>-SUMIFS('4月数据源'!$I:$I,'4月数据源'!$D:$D,$E165,'4月数据源'!$F:$F,"杭州知识跳跳科技有限公司")+SUMIFS('4月数据源'!$J:$J,'4月数据源'!$D:$D,$E165,'4月数据源'!$F:$F,"杭州知识跳跳科技有限公司")</f>
        <v/>
      </c>
      <c r="J165" s="89">
        <f>-SUMIFS('5月数据源'!$I:$I,'5月数据源'!$D:$D,$E165,'5月数据源'!$F:$F,"杭州知识跳跳科技有限公司")+SUMIFS('5月数据源'!$J:$J,'5月数据源'!$D:$D,$E165,'5月数据源'!$F:$F,"杭州知识跳跳科技有限公司")</f>
        <v/>
      </c>
      <c r="K165" s="89">
        <f>-SUMIFS('6月数据源'!$I:$I,'6月数据源'!$D:$D,$E165,'6月数据源'!$F:$F,"杭州知识跳跳科技有限公司")+SUMIFS('6月数据源'!$J:$J,'6月数据源'!$D:$D,$E165,'6月数据源'!$F:$F,"杭州知识跳跳科技有限公司")</f>
        <v/>
      </c>
      <c r="L165" s="89">
        <f>-SUMIFS('7月数据源'!$I:$I,'7月数据源'!$D:$D,$E165,'7月数据源'!$F:$F,"杭州知识跳跳科技有限公司")+SUMIFS('7月数据源'!$J:$J,'7月数据源'!$D:$D,$E165,'7月数据源'!$F:$F,"杭州知识跳跳科技有限公司")</f>
        <v/>
      </c>
      <c r="M165" s="89">
        <f>-SUMIFS('8月数据源'!$I:$I,'8月数据源'!$D:$D,$E165,'8月数据源'!$F:$F,"杭州知识跳跳科技有限公司")+SUMIFS('8月数据源'!$J:$J,'8月数据源'!$D:$D,$E165,'8月数据源'!$F:$F,"杭州知识跳跳科技有限公司")</f>
        <v/>
      </c>
      <c r="N165" s="89">
        <f>-SUMIFS('9月数据源'!$I:$I,'9月数据源'!$D:$D,$E165,'9月数据源'!$F:$F,"杭州知识跳跳科技有限公司")+SUMIFS('9月数据源'!$J:$J,'9月数据源'!$D:$D,$E165,'9月数据源'!$F:$F,"杭州知识跳跳科技有限公司")</f>
        <v/>
      </c>
      <c r="O165" s="89">
        <f>-SUMIFS('10月数据源'!$I:$I,'10月数据源'!$D:$D,$E165,'10月数据源'!$F:$F,"杭州知识跳跳科技有限公司")+SUMIFS('10月数据源'!$J:$J,'10月数据源'!$D:$D,$E165,'10月数据源'!$F:$F,"杭州知识跳跳科技有限公司")</f>
        <v/>
      </c>
      <c r="P165" s="89">
        <f>-SUMIFS('11月数据源'!$I:$I,'11月数据源'!$D:$D,$E165,'11月数据源'!$F:$F,"杭州知识跳跳科技有限公司")+SUMIFS('11月数据源'!$J:$J,'11月数据源'!$D:$D,$E165,'11月数据源'!$F:$F,"杭州知识跳跳科技有限公司")</f>
        <v/>
      </c>
      <c r="Q165" s="89">
        <f>-SUMIFS('12月数据源'!$I:$I,'12月数据源'!$D:$D,$E165,'12月数据源'!$F:$F,"杭州知识跳跳科技有限公司")+SUMIFS('12月数据源'!$J:$J,'12月数据源'!$D:$D,$E165,'12月数据源'!$F:$F,"杭州知识跳跳科技有限公司")</f>
        <v/>
      </c>
    </row>
    <row r="166" s="83">
      <c r="A166" s="5" t="inlineStr">
        <is>
          <t>税费成本</t>
        </is>
      </c>
      <c r="B166" s="6" t="inlineStr">
        <is>
          <t>税费成本</t>
        </is>
      </c>
      <c r="D166" s="5" t="inlineStr">
        <is>
          <t>企业所得税</t>
        </is>
      </c>
      <c r="E166" s="6" t="inlineStr">
        <is>
          <t>Q3004</t>
        </is>
      </c>
      <c r="F166" s="89">
        <f>-SUMIFS('1月数据源'!I:I,'1月数据源'!D:D,E166,'1月数据源'!F:F,"杭州知识跳跳科技有限公司")+SUMIFS('1月数据源'!J:J,'1月数据源'!D:D,E166,'1月数据源'!F:F,"杭州知识跳跳科技有限公司")</f>
        <v/>
      </c>
      <c r="G166" s="89">
        <f>-SUMIFS('2月数据源'!$I:$I,'2月数据源'!$D:$D,$E166,'2月数据源'!$F:$F,"杭州知识跳跳科技有限公司")+SUMIFS('2月数据源'!$J:$J,'2月数据源'!$D:$D,$E166,'2月数据源'!$F:$F,"杭州知识跳跳科技有限公司")</f>
        <v/>
      </c>
      <c r="H166" s="89">
        <f>-SUMIFS('3月数据源'!$I:$I,'3月数据源'!$D:$D,$E166,'3月数据源'!$F:$F,"杭州知识跳跳科技有限公司")+SUMIFS('3月数据源'!$J:$J,'3月数据源'!$D:$D,$E166,'3月数据源'!$F:$F,"杭州知识跳跳科技有限公司")</f>
        <v/>
      </c>
      <c r="I166" s="89">
        <f>-SUMIFS('4月数据源'!$I:$I,'4月数据源'!$D:$D,$E166,'4月数据源'!$F:$F,"杭州知识跳跳科技有限公司")+SUMIFS('4月数据源'!$J:$J,'4月数据源'!$D:$D,$E166,'4月数据源'!$F:$F,"杭州知识跳跳科技有限公司")</f>
        <v/>
      </c>
      <c r="J166" s="89">
        <f>-SUMIFS('5月数据源'!$I:$I,'5月数据源'!$D:$D,$E166,'5月数据源'!$F:$F,"杭州知识跳跳科技有限公司")+SUMIFS('5月数据源'!$J:$J,'5月数据源'!$D:$D,$E166,'5月数据源'!$F:$F,"杭州知识跳跳科技有限公司")</f>
        <v/>
      </c>
      <c r="K166" s="89">
        <f>-SUMIFS('6月数据源'!$I:$I,'6月数据源'!$D:$D,$E166,'6月数据源'!$F:$F,"杭州知识跳跳科技有限公司")+SUMIFS('6月数据源'!$J:$J,'6月数据源'!$D:$D,$E166,'6月数据源'!$F:$F,"杭州知识跳跳科技有限公司")</f>
        <v/>
      </c>
      <c r="L166" s="89">
        <f>-SUMIFS('7月数据源'!$I:$I,'7月数据源'!$D:$D,$E166,'7月数据源'!$F:$F,"杭州知识跳跳科技有限公司")+SUMIFS('7月数据源'!$J:$J,'7月数据源'!$D:$D,$E166,'7月数据源'!$F:$F,"杭州知识跳跳科技有限公司")</f>
        <v/>
      </c>
      <c r="M166" s="89">
        <f>-SUMIFS('8月数据源'!$I:$I,'8月数据源'!$D:$D,$E166,'8月数据源'!$F:$F,"杭州知识跳跳科技有限公司")+SUMIFS('8月数据源'!$J:$J,'8月数据源'!$D:$D,$E166,'8月数据源'!$F:$F,"杭州知识跳跳科技有限公司")</f>
        <v/>
      </c>
      <c r="N166" s="89">
        <f>-SUMIFS('9月数据源'!$I:$I,'9月数据源'!$D:$D,$E166,'9月数据源'!$F:$F,"杭州知识跳跳科技有限公司")+SUMIFS('9月数据源'!$J:$J,'9月数据源'!$D:$D,$E166,'9月数据源'!$F:$F,"杭州知识跳跳科技有限公司")</f>
        <v/>
      </c>
      <c r="O166" s="89">
        <f>-SUMIFS('10月数据源'!$I:$I,'10月数据源'!$D:$D,$E166,'10月数据源'!$F:$F,"杭州知识跳跳科技有限公司")+SUMIFS('10月数据源'!$J:$J,'10月数据源'!$D:$D,$E166,'10月数据源'!$F:$F,"杭州知识跳跳科技有限公司")</f>
        <v/>
      </c>
      <c r="P166" s="89">
        <f>-SUMIFS('11月数据源'!$I:$I,'11月数据源'!$D:$D,$E166,'11月数据源'!$F:$F,"杭州知识跳跳科技有限公司")+SUMIFS('11月数据源'!$J:$J,'11月数据源'!$D:$D,$E166,'11月数据源'!$F:$F,"杭州知识跳跳科技有限公司")</f>
        <v/>
      </c>
      <c r="Q166" s="89">
        <f>-SUMIFS('12月数据源'!$I:$I,'12月数据源'!$D:$D,$E166,'12月数据源'!$F:$F,"杭州知识跳跳科技有限公司")+SUMIFS('12月数据源'!$J:$J,'12月数据源'!$D:$D,$E166,'12月数据源'!$F:$F,"杭州知识跳跳科技有限公司")</f>
        <v/>
      </c>
    </row>
    <row r="167" s="83">
      <c r="A167" s="49" t="inlineStr">
        <is>
          <t>税费成本合计</t>
        </is>
      </c>
      <c r="B167" s="50" t="n"/>
      <c r="C167" s="50" t="n"/>
      <c r="D167" s="49" t="n"/>
      <c r="E167" s="49" t="n"/>
      <c r="F167" s="89">
        <f>SUM(F163:F166)</f>
        <v/>
      </c>
      <c r="G167" s="89">
        <f>SUM(G163:G166)</f>
        <v/>
      </c>
      <c r="H167" s="89">
        <f>SUM(H163:H166)</f>
        <v/>
      </c>
      <c r="I167" s="89">
        <f>SUM(I163:I166)</f>
        <v/>
      </c>
      <c r="J167" s="89">
        <f>SUM(J163:J166)</f>
        <v/>
      </c>
      <c r="K167" s="89">
        <f>SUM(K163:K166)</f>
        <v/>
      </c>
      <c r="L167" s="89">
        <f>SUM(L163:L166)</f>
        <v/>
      </c>
      <c r="M167" s="89">
        <f>SUM(M163:M166)</f>
        <v/>
      </c>
      <c r="N167" s="89">
        <f>SUM(N163:N166)</f>
        <v/>
      </c>
      <c r="O167" s="89">
        <f>SUM(O163:O166)</f>
        <v/>
      </c>
      <c r="P167" s="89">
        <f>SUM(P163:P166)</f>
        <v/>
      </c>
      <c r="Q167" s="89">
        <f>SUM(Q163:Q166)</f>
        <v/>
      </c>
    </row>
    <row r="168" s="83">
      <c r="A168" s="5" t="inlineStr">
        <is>
          <t>营业外支出</t>
        </is>
      </c>
      <c r="B168" s="6" t="inlineStr">
        <is>
          <t>营业外支出</t>
        </is>
      </c>
      <c r="C168" s="34" t="inlineStr">
        <is>
          <t>营业外支出</t>
        </is>
      </c>
      <c r="D168" s="5" t="inlineStr">
        <is>
          <t>手续费</t>
        </is>
      </c>
      <c r="E168" s="6" t="inlineStr">
        <is>
          <t>Q3101</t>
        </is>
      </c>
      <c r="F168" s="89">
        <f>-SUMIFS('1月数据源'!I:I,'1月数据源'!D:D,E168,'1月数据源'!F:F,"杭州知识跳跳科技有限公司")+SUMIFS('1月数据源'!J:J,'1月数据源'!D:D,E168,'1月数据源'!F:F,"杭州知识跳跳科技有限公司")</f>
        <v/>
      </c>
      <c r="G168" s="89">
        <f>-SUMIFS('2月数据源'!$I:$I,'2月数据源'!$D:$D,$E168,'2月数据源'!$F:$F,"杭州知识跳跳科技有限公司")+SUMIFS('2月数据源'!$J:$J,'2月数据源'!$D:$D,$E168,'2月数据源'!$F:$F,"杭州知识跳跳科技有限公司")</f>
        <v/>
      </c>
      <c r="H168" s="89">
        <f>-SUMIFS('3月数据源'!$I:$I,'3月数据源'!$D:$D,$E168,'3月数据源'!$F:$F,"杭州知识跳跳科技有限公司")+SUMIFS('3月数据源'!$J:$J,'3月数据源'!$D:$D,$E168,'3月数据源'!$F:$F,"杭州知识跳跳科技有限公司")</f>
        <v/>
      </c>
      <c r="I168" s="89">
        <f>-SUMIFS('4月数据源'!$I:$I,'4月数据源'!$D:$D,$E168,'4月数据源'!$F:$F,"杭州知识跳跳科技有限公司")+SUMIFS('4月数据源'!$J:$J,'4月数据源'!$D:$D,$E168,'4月数据源'!$F:$F,"杭州知识跳跳科技有限公司")</f>
        <v/>
      </c>
      <c r="J168" s="89">
        <f>-SUMIFS('5月数据源'!$I:$I,'5月数据源'!$D:$D,$E168,'5月数据源'!$F:$F,"杭州知识跳跳科技有限公司")+SUMIFS('5月数据源'!$J:$J,'5月数据源'!$D:$D,$E168,'5月数据源'!$F:$F,"杭州知识跳跳科技有限公司")</f>
        <v/>
      </c>
      <c r="K168" s="89">
        <f>-SUMIFS('6月数据源'!$I:$I,'6月数据源'!$D:$D,$E168,'6月数据源'!$F:$F,"杭州知识跳跳科技有限公司")+SUMIFS('6月数据源'!$J:$J,'6月数据源'!$D:$D,$E168,'6月数据源'!$F:$F,"杭州知识跳跳科技有限公司")</f>
        <v/>
      </c>
      <c r="L168" s="89">
        <f>-SUMIFS('7月数据源'!$I:$I,'7月数据源'!$D:$D,$E168,'7月数据源'!$F:$F,"杭州知识跳跳科技有限公司")+SUMIFS('7月数据源'!$J:$J,'7月数据源'!$D:$D,$E168,'7月数据源'!$F:$F,"杭州知识跳跳科技有限公司")</f>
        <v/>
      </c>
      <c r="M168" s="89">
        <f>-SUMIFS('8月数据源'!$I:$I,'8月数据源'!$D:$D,$E168,'8月数据源'!$F:$F,"杭州知识跳跳科技有限公司")+SUMIFS('8月数据源'!$J:$J,'8月数据源'!$D:$D,$E168,'8月数据源'!$F:$F,"杭州知识跳跳科技有限公司")</f>
        <v/>
      </c>
      <c r="N168" s="89">
        <f>-SUMIFS('9月数据源'!$I:$I,'9月数据源'!$D:$D,$E168,'9月数据源'!$F:$F,"杭州知识跳跳科技有限公司")+SUMIFS('9月数据源'!$J:$J,'9月数据源'!$D:$D,$E168,'9月数据源'!$F:$F,"杭州知识跳跳科技有限公司")</f>
        <v/>
      </c>
      <c r="O168" s="89">
        <f>-SUMIFS('10月数据源'!$I:$I,'10月数据源'!$D:$D,$E168,'10月数据源'!$F:$F,"杭州知识跳跳科技有限公司")+SUMIFS('10月数据源'!$J:$J,'10月数据源'!$D:$D,$E168,'10月数据源'!$F:$F,"杭州知识跳跳科技有限公司")</f>
        <v/>
      </c>
      <c r="P168" s="89">
        <f>-SUMIFS('11月数据源'!$I:$I,'11月数据源'!$D:$D,$E168,'11月数据源'!$F:$F,"杭州知识跳跳科技有限公司")+SUMIFS('11月数据源'!$J:$J,'11月数据源'!$D:$D,$E168,'11月数据源'!$F:$F,"杭州知识跳跳科技有限公司")</f>
        <v/>
      </c>
      <c r="Q168" s="89">
        <f>-SUMIFS('12月数据源'!$I:$I,'12月数据源'!$D:$D,$E168,'12月数据源'!$F:$F,"杭州知识跳跳科技有限公司")+SUMIFS('12月数据源'!$J:$J,'12月数据源'!$D:$D,$E168,'12月数据源'!$F:$F,"杭州知识跳跳科技有限公司")</f>
        <v/>
      </c>
    </row>
    <row r="169" s="83">
      <c r="A169" s="5" t="inlineStr">
        <is>
          <t>营业外支出</t>
        </is>
      </c>
      <c r="B169" s="6" t="inlineStr">
        <is>
          <t>营业外支出</t>
        </is>
      </c>
      <c r="D169" s="5" t="inlineStr">
        <is>
          <t>罚款支出</t>
        </is>
      </c>
      <c r="E169" s="6" t="inlineStr">
        <is>
          <t>Q3102</t>
        </is>
      </c>
      <c r="F169" s="89">
        <f>-SUMIFS('1月数据源'!I:I,'1月数据源'!D:D,E169,'1月数据源'!F:F,"杭州知识跳跳科技有限公司")+SUMIFS('1月数据源'!J:J,'1月数据源'!D:D,E169,'1月数据源'!F:F,"杭州知识跳跳科技有限公司")</f>
        <v/>
      </c>
      <c r="G169" s="89">
        <f>-SUMIFS('2月数据源'!$I:$I,'2月数据源'!$D:$D,$E169,'2月数据源'!$F:$F,"杭州知识跳跳科技有限公司")+SUMIFS('2月数据源'!$J:$J,'2月数据源'!$D:$D,$E169,'2月数据源'!$F:$F,"杭州知识跳跳科技有限公司")</f>
        <v/>
      </c>
      <c r="H169" s="89">
        <f>-SUMIFS('3月数据源'!$I:$I,'3月数据源'!$D:$D,$E169,'3月数据源'!$F:$F,"杭州知识跳跳科技有限公司")+SUMIFS('3月数据源'!$J:$J,'3月数据源'!$D:$D,$E169,'3月数据源'!$F:$F,"杭州知识跳跳科技有限公司")</f>
        <v/>
      </c>
      <c r="I169" s="89">
        <f>-SUMIFS('4月数据源'!$I:$I,'4月数据源'!$D:$D,$E169,'4月数据源'!$F:$F,"杭州知识跳跳科技有限公司")+SUMIFS('4月数据源'!$J:$J,'4月数据源'!$D:$D,$E169,'4月数据源'!$F:$F,"杭州知识跳跳科技有限公司")</f>
        <v/>
      </c>
      <c r="J169" s="89">
        <f>-SUMIFS('5月数据源'!$I:$I,'5月数据源'!$D:$D,$E169,'5月数据源'!$F:$F,"杭州知识跳跳科技有限公司")+SUMIFS('5月数据源'!$J:$J,'5月数据源'!$D:$D,$E169,'5月数据源'!$F:$F,"杭州知识跳跳科技有限公司")</f>
        <v/>
      </c>
      <c r="K169" s="89">
        <f>-SUMIFS('6月数据源'!$I:$I,'6月数据源'!$D:$D,$E169,'6月数据源'!$F:$F,"杭州知识跳跳科技有限公司")+SUMIFS('6月数据源'!$J:$J,'6月数据源'!$D:$D,$E169,'6月数据源'!$F:$F,"杭州知识跳跳科技有限公司")</f>
        <v/>
      </c>
      <c r="L169" s="89">
        <f>-SUMIFS('7月数据源'!$I:$I,'7月数据源'!$D:$D,$E169,'7月数据源'!$F:$F,"杭州知识跳跳科技有限公司")+SUMIFS('7月数据源'!$J:$J,'7月数据源'!$D:$D,$E169,'7月数据源'!$F:$F,"杭州知识跳跳科技有限公司")</f>
        <v/>
      </c>
      <c r="M169" s="89">
        <f>-SUMIFS('8月数据源'!$I:$I,'8月数据源'!$D:$D,$E169,'8月数据源'!$F:$F,"杭州知识跳跳科技有限公司")+SUMIFS('8月数据源'!$J:$J,'8月数据源'!$D:$D,$E169,'8月数据源'!$F:$F,"杭州知识跳跳科技有限公司")</f>
        <v/>
      </c>
      <c r="N169" s="89">
        <f>-SUMIFS('9月数据源'!$I:$I,'9月数据源'!$D:$D,$E169,'9月数据源'!$F:$F,"杭州知识跳跳科技有限公司")+SUMIFS('9月数据源'!$J:$J,'9月数据源'!$D:$D,$E169,'9月数据源'!$F:$F,"杭州知识跳跳科技有限公司")</f>
        <v/>
      </c>
      <c r="O169" s="89">
        <f>-SUMIFS('10月数据源'!$I:$I,'10月数据源'!$D:$D,$E169,'10月数据源'!$F:$F,"杭州知识跳跳科技有限公司")+SUMIFS('10月数据源'!$J:$J,'10月数据源'!$D:$D,$E169,'10月数据源'!$F:$F,"杭州知识跳跳科技有限公司")</f>
        <v/>
      </c>
      <c r="P169" s="89">
        <f>-SUMIFS('11月数据源'!$I:$I,'11月数据源'!$D:$D,$E169,'11月数据源'!$F:$F,"杭州知识跳跳科技有限公司")+SUMIFS('11月数据源'!$J:$J,'11月数据源'!$D:$D,$E169,'11月数据源'!$F:$F,"杭州知识跳跳科技有限公司")</f>
        <v/>
      </c>
      <c r="Q169" s="89">
        <f>-SUMIFS('12月数据源'!$I:$I,'12月数据源'!$D:$D,$E169,'12月数据源'!$F:$F,"杭州知识跳跳科技有限公司")+SUMIFS('12月数据源'!$J:$J,'12月数据源'!$D:$D,$E169,'12月数据源'!$F:$F,"杭州知识跳跳科技有限公司")</f>
        <v/>
      </c>
    </row>
    <row r="170" s="83">
      <c r="A170" s="5" t="inlineStr">
        <is>
          <t>营业外支出</t>
        </is>
      </c>
      <c r="B170" s="6" t="inlineStr">
        <is>
          <t>营业外支出</t>
        </is>
      </c>
      <c r="D170" s="5" t="inlineStr">
        <is>
          <t>违约金支出</t>
        </is>
      </c>
      <c r="E170" s="6" t="inlineStr">
        <is>
          <t>Q3104</t>
        </is>
      </c>
      <c r="F170" s="89">
        <f>-SUMIFS('1月数据源'!I:I,'1月数据源'!D:D,E170,'1月数据源'!F:F,"杭州知识跳跳科技有限公司")+SUMIFS('1月数据源'!J:J,'1月数据源'!D:D,E170,'1月数据源'!F:F,"杭州知识跳跳科技有限公司")</f>
        <v/>
      </c>
      <c r="G170" s="89">
        <f>-SUMIFS('2月数据源'!$I:$I,'2月数据源'!$D:$D,$E170,'2月数据源'!$F:$F,"杭州知识跳跳科技有限公司")+SUMIFS('2月数据源'!$J:$J,'2月数据源'!$D:$D,$E170,'2月数据源'!$F:$F,"杭州知识跳跳科技有限公司")</f>
        <v/>
      </c>
      <c r="H170" s="89">
        <f>-SUMIFS('3月数据源'!$I:$I,'3月数据源'!$D:$D,$E170,'3月数据源'!$F:$F,"杭州知识跳跳科技有限公司")+SUMIFS('3月数据源'!$J:$J,'3月数据源'!$D:$D,$E170,'3月数据源'!$F:$F,"杭州知识跳跳科技有限公司")</f>
        <v/>
      </c>
      <c r="I170" s="89">
        <f>-SUMIFS('4月数据源'!$I:$I,'4月数据源'!$D:$D,$E170,'4月数据源'!$F:$F,"杭州知识跳跳科技有限公司")+SUMIFS('4月数据源'!$J:$J,'4月数据源'!$D:$D,$E170,'4月数据源'!$F:$F,"杭州知识跳跳科技有限公司")</f>
        <v/>
      </c>
      <c r="J170" s="89">
        <f>-SUMIFS('5月数据源'!$I:$I,'5月数据源'!$D:$D,$E170,'5月数据源'!$F:$F,"杭州知识跳跳科技有限公司")+SUMIFS('5月数据源'!$J:$J,'5月数据源'!$D:$D,$E170,'5月数据源'!$F:$F,"杭州知识跳跳科技有限公司")</f>
        <v/>
      </c>
      <c r="K170" s="89">
        <f>-SUMIFS('6月数据源'!$I:$I,'6月数据源'!$D:$D,$E170,'6月数据源'!$F:$F,"杭州知识跳跳科技有限公司")+SUMIFS('6月数据源'!$J:$J,'6月数据源'!$D:$D,$E170,'6月数据源'!$F:$F,"杭州知识跳跳科技有限公司")</f>
        <v/>
      </c>
      <c r="L170" s="89">
        <f>-SUMIFS('7月数据源'!$I:$I,'7月数据源'!$D:$D,$E170,'7月数据源'!$F:$F,"杭州知识跳跳科技有限公司")+SUMIFS('7月数据源'!$J:$J,'7月数据源'!$D:$D,$E170,'7月数据源'!$F:$F,"杭州知识跳跳科技有限公司")</f>
        <v/>
      </c>
      <c r="M170" s="89">
        <f>-SUMIFS('8月数据源'!$I:$I,'8月数据源'!$D:$D,$E170,'8月数据源'!$F:$F,"杭州知识跳跳科技有限公司")+SUMIFS('8月数据源'!$J:$J,'8月数据源'!$D:$D,$E170,'8月数据源'!$F:$F,"杭州知识跳跳科技有限公司")</f>
        <v/>
      </c>
      <c r="N170" s="89">
        <f>-SUMIFS('9月数据源'!$I:$I,'9月数据源'!$D:$D,$E170,'9月数据源'!$F:$F,"杭州知识跳跳科技有限公司")+SUMIFS('9月数据源'!$J:$J,'9月数据源'!$D:$D,$E170,'9月数据源'!$F:$F,"杭州知识跳跳科技有限公司")</f>
        <v/>
      </c>
      <c r="O170" s="89">
        <f>-SUMIFS('10月数据源'!$I:$I,'10月数据源'!$D:$D,$E170,'10月数据源'!$F:$F,"杭州知识跳跳科技有限公司")+SUMIFS('10月数据源'!$J:$J,'10月数据源'!$D:$D,$E170,'10月数据源'!$F:$F,"杭州知识跳跳科技有限公司")</f>
        <v/>
      </c>
      <c r="P170" s="89">
        <f>-SUMIFS('11月数据源'!$I:$I,'11月数据源'!$D:$D,$E170,'11月数据源'!$F:$F,"杭州知识跳跳科技有限公司")+SUMIFS('11月数据源'!$J:$J,'11月数据源'!$D:$D,$E170,'11月数据源'!$F:$F,"杭州知识跳跳科技有限公司")</f>
        <v/>
      </c>
      <c r="Q170" s="89">
        <f>-SUMIFS('12月数据源'!$I:$I,'12月数据源'!$D:$D,$E170,'12月数据源'!$F:$F,"杭州知识跳跳科技有限公司")+SUMIFS('12月数据源'!$J:$J,'12月数据源'!$D:$D,$E170,'12月数据源'!$F:$F,"杭州知识跳跳科技有限公司")</f>
        <v/>
      </c>
    </row>
    <row r="171" s="83">
      <c r="A171" s="5" t="inlineStr">
        <is>
          <t>营业外支出</t>
        </is>
      </c>
      <c r="B171" s="6" t="inlineStr">
        <is>
          <t>营业外支出</t>
        </is>
      </c>
      <c r="D171" s="5" t="inlineStr">
        <is>
          <t>滞纳金支出</t>
        </is>
      </c>
      <c r="E171" s="6" t="inlineStr">
        <is>
          <t>Q3103</t>
        </is>
      </c>
      <c r="F171" s="89">
        <f>-SUMIFS('1月数据源'!I:I,'1月数据源'!D:D,E171,'1月数据源'!F:F,"杭州知识跳跳科技有限公司")+SUMIFS('1月数据源'!J:J,'1月数据源'!D:D,E171,'1月数据源'!F:F,"杭州知识跳跳科技有限公司")</f>
        <v/>
      </c>
      <c r="G171" s="89">
        <f>-SUMIFS('2月数据源'!$I:$I,'2月数据源'!$D:$D,$E171,'2月数据源'!$F:$F,"杭州知识跳跳科技有限公司")+SUMIFS('2月数据源'!$J:$J,'2月数据源'!$D:$D,$E171,'2月数据源'!$F:$F,"杭州知识跳跳科技有限公司")</f>
        <v/>
      </c>
      <c r="H171" s="89">
        <f>-SUMIFS('3月数据源'!$I:$I,'3月数据源'!$D:$D,$E171,'3月数据源'!$F:$F,"杭州知识跳跳科技有限公司")+SUMIFS('3月数据源'!$J:$J,'3月数据源'!$D:$D,$E171,'3月数据源'!$F:$F,"杭州知识跳跳科技有限公司")</f>
        <v/>
      </c>
      <c r="I171" s="89">
        <f>-SUMIFS('4月数据源'!$I:$I,'4月数据源'!$D:$D,$E171,'4月数据源'!$F:$F,"杭州知识跳跳科技有限公司")+SUMIFS('4月数据源'!$J:$J,'4月数据源'!$D:$D,$E171,'4月数据源'!$F:$F,"杭州知识跳跳科技有限公司")</f>
        <v/>
      </c>
      <c r="J171" s="89">
        <f>-SUMIFS('5月数据源'!$I:$I,'5月数据源'!$D:$D,$E171,'5月数据源'!$F:$F,"杭州知识跳跳科技有限公司")+SUMIFS('5月数据源'!$J:$J,'5月数据源'!$D:$D,$E171,'5月数据源'!$F:$F,"杭州知识跳跳科技有限公司")</f>
        <v/>
      </c>
      <c r="K171" s="89">
        <f>-SUMIFS('6月数据源'!$I:$I,'6月数据源'!$D:$D,$E171,'6月数据源'!$F:$F,"杭州知识跳跳科技有限公司")+SUMIFS('6月数据源'!$J:$J,'6月数据源'!$D:$D,$E171,'6月数据源'!$F:$F,"杭州知识跳跳科技有限公司")</f>
        <v/>
      </c>
      <c r="L171" s="89">
        <f>-SUMIFS('7月数据源'!$I:$I,'7月数据源'!$D:$D,$E171,'7月数据源'!$F:$F,"杭州知识跳跳科技有限公司")+SUMIFS('7月数据源'!$J:$J,'7月数据源'!$D:$D,$E171,'7月数据源'!$F:$F,"杭州知识跳跳科技有限公司")</f>
        <v/>
      </c>
      <c r="M171" s="89">
        <f>-SUMIFS('8月数据源'!$I:$I,'8月数据源'!$D:$D,$E171,'8月数据源'!$F:$F,"杭州知识跳跳科技有限公司")+SUMIFS('8月数据源'!$J:$J,'8月数据源'!$D:$D,$E171,'8月数据源'!$F:$F,"杭州知识跳跳科技有限公司")</f>
        <v/>
      </c>
      <c r="N171" s="89">
        <f>-SUMIFS('9月数据源'!$I:$I,'9月数据源'!$D:$D,$E171,'9月数据源'!$F:$F,"杭州知识跳跳科技有限公司")+SUMIFS('9月数据源'!$J:$J,'9月数据源'!$D:$D,$E171,'9月数据源'!$F:$F,"杭州知识跳跳科技有限公司")</f>
        <v/>
      </c>
      <c r="O171" s="89">
        <f>-SUMIFS('10月数据源'!$I:$I,'10月数据源'!$D:$D,$E171,'10月数据源'!$F:$F,"杭州知识跳跳科技有限公司")+SUMIFS('10月数据源'!$J:$J,'10月数据源'!$D:$D,$E171,'10月数据源'!$F:$F,"杭州知识跳跳科技有限公司")</f>
        <v/>
      </c>
      <c r="P171" s="89">
        <f>-SUMIFS('11月数据源'!$I:$I,'11月数据源'!$D:$D,$E171,'11月数据源'!$F:$F,"杭州知识跳跳科技有限公司")+SUMIFS('11月数据源'!$J:$J,'11月数据源'!$D:$D,$E171,'11月数据源'!$F:$F,"杭州知识跳跳科技有限公司")</f>
        <v/>
      </c>
      <c r="Q171" s="89">
        <f>-SUMIFS('12月数据源'!$I:$I,'12月数据源'!$D:$D,$E171,'12月数据源'!$F:$F,"杭州知识跳跳科技有限公司")+SUMIFS('12月数据源'!$J:$J,'12月数据源'!$D:$D,$E171,'12月数据源'!$F:$F,"杭州知识跳跳科技有限公司")</f>
        <v/>
      </c>
    </row>
    <row r="172" s="83">
      <c r="A172" s="5" t="inlineStr">
        <is>
          <t>营业外支出</t>
        </is>
      </c>
      <c r="B172" s="6" t="inlineStr">
        <is>
          <t>营业外支出</t>
        </is>
      </c>
      <c r="D172" s="5" t="inlineStr">
        <is>
          <t>汇兑损益</t>
        </is>
      </c>
      <c r="E172" s="6" t="inlineStr">
        <is>
          <t>Q3105</t>
        </is>
      </c>
      <c r="F172" s="89">
        <f>-SUMIFS('1月数据源'!I:I,'1月数据源'!D:D,E172,'1月数据源'!F:F,"杭州知识跳跳科技有限公司")+SUMIFS('1月数据源'!J:J,'1月数据源'!D:D,E172,'1月数据源'!F:F,"杭州知识跳跳科技有限公司")</f>
        <v/>
      </c>
      <c r="G172" s="89">
        <f>-SUMIFS('2月数据源'!$I:$I,'2月数据源'!$D:$D,$E172,'2月数据源'!$F:$F,"杭州知识跳跳科技有限公司")+SUMIFS('2月数据源'!$J:$J,'2月数据源'!$D:$D,$E172,'2月数据源'!$F:$F,"杭州知识跳跳科技有限公司")</f>
        <v/>
      </c>
      <c r="H172" s="89">
        <f>-SUMIFS('3月数据源'!$I:$I,'3月数据源'!$D:$D,$E172,'3月数据源'!$F:$F,"杭州知识跳跳科技有限公司")+SUMIFS('3月数据源'!$J:$J,'3月数据源'!$D:$D,$E172,'3月数据源'!$F:$F,"杭州知识跳跳科技有限公司")</f>
        <v/>
      </c>
      <c r="I172" s="89">
        <f>-SUMIFS('4月数据源'!$I:$I,'4月数据源'!$D:$D,$E172,'4月数据源'!$F:$F,"杭州知识跳跳科技有限公司")+SUMIFS('4月数据源'!$J:$J,'4月数据源'!$D:$D,$E172,'4月数据源'!$F:$F,"杭州知识跳跳科技有限公司")</f>
        <v/>
      </c>
      <c r="J172" s="89">
        <f>-SUMIFS('5月数据源'!$I:$I,'5月数据源'!$D:$D,$E172,'5月数据源'!$F:$F,"杭州知识跳跳科技有限公司")+SUMIFS('5月数据源'!$J:$J,'5月数据源'!$D:$D,$E172,'5月数据源'!$F:$F,"杭州知识跳跳科技有限公司")</f>
        <v/>
      </c>
      <c r="K172" s="89">
        <f>-SUMIFS('6月数据源'!$I:$I,'6月数据源'!$D:$D,$E172,'6月数据源'!$F:$F,"杭州知识跳跳科技有限公司")+SUMIFS('6月数据源'!$J:$J,'6月数据源'!$D:$D,$E172,'6月数据源'!$F:$F,"杭州知识跳跳科技有限公司")</f>
        <v/>
      </c>
      <c r="L172" s="89">
        <f>-SUMIFS('7月数据源'!$I:$I,'7月数据源'!$D:$D,$E172,'7月数据源'!$F:$F,"杭州知识跳跳科技有限公司")+SUMIFS('7月数据源'!$J:$J,'7月数据源'!$D:$D,$E172,'7月数据源'!$F:$F,"杭州知识跳跳科技有限公司")</f>
        <v/>
      </c>
      <c r="M172" s="89">
        <f>-SUMIFS('8月数据源'!$I:$I,'8月数据源'!$D:$D,$E172,'8月数据源'!$F:$F,"杭州知识跳跳科技有限公司")+SUMIFS('8月数据源'!$J:$J,'8月数据源'!$D:$D,$E172,'8月数据源'!$F:$F,"杭州知识跳跳科技有限公司")</f>
        <v/>
      </c>
      <c r="N172" s="89">
        <f>-SUMIFS('9月数据源'!$I:$I,'9月数据源'!$D:$D,$E172,'9月数据源'!$F:$F,"杭州知识跳跳科技有限公司")+SUMIFS('9月数据源'!$J:$J,'9月数据源'!$D:$D,$E172,'9月数据源'!$F:$F,"杭州知识跳跳科技有限公司")</f>
        <v/>
      </c>
      <c r="O172" s="89">
        <f>-SUMIFS('10月数据源'!$I:$I,'10月数据源'!$D:$D,$E172,'10月数据源'!$F:$F,"杭州知识跳跳科技有限公司")+SUMIFS('10月数据源'!$J:$J,'10月数据源'!$D:$D,$E172,'10月数据源'!$F:$F,"杭州知识跳跳科技有限公司")</f>
        <v/>
      </c>
      <c r="P172" s="89">
        <f>-SUMIFS('11月数据源'!$I:$I,'11月数据源'!$D:$D,$E172,'11月数据源'!$F:$F,"杭州知识跳跳科技有限公司")+SUMIFS('11月数据源'!$J:$J,'11月数据源'!$D:$D,$E172,'11月数据源'!$F:$F,"杭州知识跳跳科技有限公司")</f>
        <v/>
      </c>
      <c r="Q172" s="89">
        <f>-SUMIFS('12月数据源'!$I:$I,'12月数据源'!$D:$D,$E172,'12月数据源'!$F:$F,"杭州知识跳跳科技有限公司")+SUMIFS('12月数据源'!$J:$J,'12月数据源'!$D:$D,$E172,'12月数据源'!$F:$F,"杭州知识跳跳科技有限公司")</f>
        <v/>
      </c>
    </row>
    <row r="173" s="83">
      <c r="A173" s="49" t="inlineStr">
        <is>
          <t>营业外支出合计</t>
        </is>
      </c>
      <c r="B173" s="50" t="n"/>
      <c r="C173" s="50" t="n"/>
      <c r="D173" s="49" t="n"/>
      <c r="E173" s="49" t="n"/>
      <c r="F173" s="89">
        <f>SUM(F168:F172)</f>
        <v/>
      </c>
      <c r="G173" s="89">
        <f>SUM(G168:G172)</f>
        <v/>
      </c>
      <c r="H173" s="89">
        <f>SUM(H168:H172)</f>
        <v/>
      </c>
      <c r="I173" s="89">
        <f>SUM(I168:I172)</f>
        <v/>
      </c>
      <c r="J173" s="89">
        <f>SUM(J168:J172)</f>
        <v/>
      </c>
      <c r="K173" s="89">
        <f>SUM(K168:K172)</f>
        <v/>
      </c>
      <c r="L173" s="89">
        <f>SUM(L168:L172)</f>
        <v/>
      </c>
      <c r="M173" s="89">
        <f>SUM(M168:M172)</f>
        <v/>
      </c>
      <c r="N173" s="89">
        <f>SUM(N168:N172)</f>
        <v/>
      </c>
      <c r="O173" s="89">
        <f>SUM(O168:O172)</f>
        <v/>
      </c>
      <c r="P173" s="89">
        <f>SUM(P168:P172)</f>
        <v/>
      </c>
      <c r="Q173" s="89">
        <f>SUM(Q168:Q172)</f>
        <v/>
      </c>
    </row>
    <row r="174" s="83">
      <c r="A174" s="5" t="inlineStr">
        <is>
          <t>理财收支</t>
        </is>
      </c>
      <c r="B174" s="6" t="inlineStr">
        <is>
          <t>理财收支</t>
        </is>
      </c>
      <c r="C174" s="6" t="inlineStr">
        <is>
          <t>理财支出</t>
        </is>
      </c>
      <c r="D174" s="5" t="inlineStr">
        <is>
          <t>理财收支</t>
        </is>
      </c>
      <c r="E174" s="6" t="inlineStr">
        <is>
          <t>Q3301</t>
        </is>
      </c>
      <c r="F174" s="89">
        <f>-SUMIFS('1月数据源'!I:I,'1月数据源'!D:D,E174,'1月数据源'!F:F,"杭州知识跳跳科技有限公司")+SUMIFS('1月数据源'!J:J,'1月数据源'!D:D,E174,'1月数据源'!F:F,"杭州知识跳跳科技有限公司")</f>
        <v/>
      </c>
      <c r="G174" s="89">
        <f>-SUMIFS('2月数据源'!$I:$I,'2月数据源'!$D:$D,$E174,'2月数据源'!$F:$F,"杭州知识跳跳科技有限公司")+SUMIFS('2月数据源'!$J:$J,'2月数据源'!$D:$D,$E174,'2月数据源'!$F:$F,"杭州知识跳跳科技有限公司")</f>
        <v/>
      </c>
      <c r="H174" s="89">
        <f>-SUMIFS('3月数据源'!$I:$I,'3月数据源'!$D:$D,$E174,'3月数据源'!$F:$F,"杭州知识跳跳科技有限公司")+SUMIFS('3月数据源'!$J:$J,'3月数据源'!$D:$D,$E174,'3月数据源'!$F:$F,"杭州知识跳跳科技有限公司")</f>
        <v/>
      </c>
      <c r="I174" s="89">
        <f>-SUMIFS('4月数据源'!$I:$I,'4月数据源'!$D:$D,$E174,'4月数据源'!$F:$F,"杭州知识跳跳科技有限公司")+SUMIFS('4月数据源'!$J:$J,'4月数据源'!$D:$D,$E174,'4月数据源'!$F:$F,"杭州知识跳跳科技有限公司")</f>
        <v/>
      </c>
      <c r="J174" s="89">
        <f>-SUMIFS('5月数据源'!$I:$I,'5月数据源'!$D:$D,$E174,'5月数据源'!$F:$F,"杭州知识跳跳科技有限公司")+SUMIFS('5月数据源'!$J:$J,'5月数据源'!$D:$D,$E174,'5月数据源'!$F:$F,"杭州知识跳跳科技有限公司")</f>
        <v/>
      </c>
      <c r="K174" s="89">
        <f>-SUMIFS('6月数据源'!$I:$I,'6月数据源'!$D:$D,$E174,'6月数据源'!$F:$F,"杭州知识跳跳科技有限公司")+SUMIFS('6月数据源'!$J:$J,'6月数据源'!$D:$D,$E174,'6月数据源'!$F:$F,"杭州知识跳跳科技有限公司")</f>
        <v/>
      </c>
      <c r="L174" s="89">
        <f>-SUMIFS('7月数据源'!$I:$I,'7月数据源'!$D:$D,$E174,'7月数据源'!$F:$F,"杭州知识跳跳科技有限公司")+SUMIFS('7月数据源'!$J:$J,'7月数据源'!$D:$D,$E174,'7月数据源'!$F:$F,"杭州知识跳跳科技有限公司")</f>
        <v/>
      </c>
      <c r="M174" s="89">
        <f>-SUMIFS('8月数据源'!$I:$I,'8月数据源'!$D:$D,$E174,'8月数据源'!$F:$F,"杭州知识跳跳科技有限公司")+SUMIFS('8月数据源'!$J:$J,'8月数据源'!$D:$D,$E174,'8月数据源'!$F:$F,"杭州知识跳跳科技有限公司")</f>
        <v/>
      </c>
      <c r="N174" s="89">
        <f>-SUMIFS('9月数据源'!$I:$I,'9月数据源'!$D:$D,$E174,'9月数据源'!$F:$F,"杭州知识跳跳科技有限公司")+SUMIFS('9月数据源'!$J:$J,'9月数据源'!$D:$D,$E174,'9月数据源'!$F:$F,"杭州知识跳跳科技有限公司")</f>
        <v/>
      </c>
      <c r="O174" s="89">
        <f>-SUMIFS('10月数据源'!$I:$I,'10月数据源'!$D:$D,$E174,'10月数据源'!$F:$F,"杭州知识跳跳科技有限公司")+SUMIFS('10月数据源'!$J:$J,'10月数据源'!$D:$D,$E174,'10月数据源'!$F:$F,"杭州知识跳跳科技有限公司")</f>
        <v/>
      </c>
      <c r="P174" s="89">
        <f>-SUMIFS('11月数据源'!$I:$I,'11月数据源'!$D:$D,$E174,'11月数据源'!$F:$F,"杭州知识跳跳科技有限公司")+SUMIFS('11月数据源'!$J:$J,'11月数据源'!$D:$D,$E174,'11月数据源'!$F:$F,"杭州知识跳跳科技有限公司")</f>
        <v/>
      </c>
      <c r="Q174" s="89">
        <f>-SUMIFS('12月数据源'!$I:$I,'12月数据源'!$D:$D,$E174,'12月数据源'!$F:$F,"杭州知识跳跳科技有限公司")+SUMIFS('12月数据源'!$J:$J,'12月数据源'!$D:$D,$E174,'12月数据源'!$F:$F,"杭州知识跳跳科技有限公司")</f>
        <v/>
      </c>
    </row>
    <row r="175" s="83">
      <c r="A175" s="49" t="inlineStr">
        <is>
          <t>理财收支合计</t>
        </is>
      </c>
      <c r="B175" s="50" t="n"/>
      <c r="C175" s="50" t="n"/>
      <c r="D175" s="49" t="n"/>
      <c r="E175" s="49" t="n"/>
      <c r="F175" s="89">
        <f>SUM(F174:F174)</f>
        <v/>
      </c>
      <c r="G175" s="89">
        <f>SUM(G174:G174)</f>
        <v/>
      </c>
      <c r="H175" s="89">
        <f>SUM(H174:H174)</f>
        <v/>
      </c>
      <c r="I175" s="89">
        <f>SUM(I174:I174)</f>
        <v/>
      </c>
      <c r="J175" s="89">
        <f>SUM(J174:J174)</f>
        <v/>
      </c>
      <c r="K175" s="89">
        <f>SUM(K174:K174)</f>
        <v/>
      </c>
      <c r="L175" s="89">
        <f>SUM(L174:L174)</f>
        <v/>
      </c>
      <c r="M175" s="89">
        <f>SUM(M174:M174)</f>
        <v/>
      </c>
      <c r="N175" s="89">
        <f>SUM(N174:N174)</f>
        <v/>
      </c>
      <c r="O175" s="89">
        <f>SUM(O174:O174)</f>
        <v/>
      </c>
      <c r="P175" s="89">
        <f>SUM(P174:P174)</f>
        <v/>
      </c>
      <c r="Q175" s="89">
        <f>SUM(Q174:Q174)</f>
        <v/>
      </c>
    </row>
    <row r="176" s="83">
      <c r="A176" s="51" t="inlineStr">
        <is>
          <t>付款合计</t>
        </is>
      </c>
      <c r="B176" s="52" t="n"/>
      <c r="C176" s="52" t="n"/>
      <c r="D176" s="51" t="n"/>
      <c r="E176" s="51" t="n"/>
      <c r="F176" s="89">
        <f>F22+F24+F35+F50+F63+F98+F137+F162+F167+F173+F175</f>
        <v/>
      </c>
      <c r="G176" s="89">
        <f>G22+G24+G35+G50+G63+G98+G137+G162+G167+G173+G175</f>
        <v/>
      </c>
      <c r="H176" s="89">
        <f>H22+H24+H35+H50+H63+H98+H137+H162+H167+H173+H175</f>
        <v/>
      </c>
      <c r="I176" s="89">
        <f>I22+I24+I35+I50+I63+I98+I137+I162+I167+I173+I175</f>
        <v/>
      </c>
      <c r="J176" s="89">
        <f>J22+J24+J35+J50+J63+J98+J137+J162+J167+J173+J175</f>
        <v/>
      </c>
      <c r="K176" s="89">
        <f>K22+K24+K35+K50+K63+K98+K137+K162+K167+K173+K175</f>
        <v/>
      </c>
      <c r="L176" s="89">
        <f>L22+L24+L35+L50+L63+L98+L137+L162+L167+L173+L175</f>
        <v/>
      </c>
      <c r="M176" s="89">
        <f>M22+M24+M35+M50+M63+M98+M137+M162+M167+M173+M175</f>
        <v/>
      </c>
      <c r="N176" s="89">
        <f>N22+N24+N35+N50+N63+N98+N137+N162+N167+N173+N175</f>
        <v/>
      </c>
      <c r="O176" s="89">
        <f>O22+O24+O35+O50+O63+O98+O137+O162+O167+O173+O175</f>
        <v/>
      </c>
      <c r="P176" s="89">
        <f>P22+P24+P35+P50+P63+P98+P137+P162+P167+P173+P175</f>
        <v/>
      </c>
      <c r="Q176" s="89">
        <f>Q22+Q24+Q35+Q50+Q63+Q98+Q137+Q162+Q167+Q173+Q175</f>
        <v/>
      </c>
    </row>
    <row r="177" s="83">
      <c r="A177" s="51" t="inlineStr">
        <is>
          <t>现金净流入</t>
        </is>
      </c>
      <c r="B177" s="54" t="n"/>
      <c r="C177" s="54" t="n"/>
      <c r="D177" s="51" t="n"/>
      <c r="E177" s="51" t="n"/>
      <c r="F177" s="89">
        <f>F19-F176</f>
        <v/>
      </c>
      <c r="G177" s="89">
        <f>G19-G176</f>
        <v/>
      </c>
      <c r="H177" s="89">
        <f>H19-H176</f>
        <v/>
      </c>
      <c r="I177" s="89">
        <f>I19-I176</f>
        <v/>
      </c>
      <c r="J177" s="89">
        <f>J19-J176</f>
        <v/>
      </c>
      <c r="K177" s="89">
        <f>K19-K176</f>
        <v/>
      </c>
      <c r="L177" s="89">
        <f>L19-L176</f>
        <v/>
      </c>
      <c r="M177" s="89">
        <f>M19-M176</f>
        <v/>
      </c>
      <c r="N177" s="89">
        <f>N19-N176</f>
        <v/>
      </c>
      <c r="O177" s="89">
        <f>O19-O176</f>
        <v/>
      </c>
      <c r="P177" s="89">
        <f>P19-P176</f>
        <v/>
      </c>
      <c r="Q177" s="89">
        <f>Q19-Q176</f>
        <v/>
      </c>
    </row>
    <row r="178" s="83">
      <c r="A178" s="51" t="inlineStr">
        <is>
          <t>现金期初数</t>
        </is>
      </c>
      <c r="B178" s="54" t="n"/>
      <c r="C178" s="54" t="n"/>
      <c r="D178" s="51" t="n"/>
      <c r="E178" s="51" t="n"/>
      <c r="F178" s="89">
        <f>19593201.72+77431.98</f>
        <v/>
      </c>
      <c r="G178" s="89">
        <f>F179</f>
        <v/>
      </c>
      <c r="H178" s="89">
        <f>G179</f>
        <v/>
      </c>
      <c r="I178" s="89">
        <f>H179</f>
        <v/>
      </c>
      <c r="J178" s="89">
        <f>I179</f>
        <v/>
      </c>
      <c r="K178" s="89">
        <f>J179</f>
        <v/>
      </c>
      <c r="L178" s="89">
        <f>K179</f>
        <v/>
      </c>
      <c r="M178" s="89">
        <f>L179</f>
        <v/>
      </c>
      <c r="N178" s="89">
        <f>M179</f>
        <v/>
      </c>
      <c r="O178" s="89">
        <f>N179</f>
        <v/>
      </c>
      <c r="P178" s="89">
        <f>O179</f>
        <v/>
      </c>
      <c r="Q178" s="89">
        <f>P179</f>
        <v/>
      </c>
    </row>
    <row r="179" s="83">
      <c r="A179" s="51" t="inlineStr">
        <is>
          <t>现金期末数</t>
        </is>
      </c>
      <c r="B179" s="54" t="n"/>
      <c r="C179" s="54" t="n"/>
      <c r="D179" s="51" t="n"/>
      <c r="E179" s="51" t="n"/>
      <c r="F179" s="89">
        <f>F178+F177</f>
        <v/>
      </c>
      <c r="G179" s="89">
        <f>G178+G177</f>
        <v/>
      </c>
      <c r="H179" s="89">
        <f>H178+H177</f>
        <v/>
      </c>
      <c r="I179" s="89">
        <f>I178+I177</f>
        <v/>
      </c>
      <c r="J179" s="89">
        <f>J178+J177</f>
        <v/>
      </c>
      <c r="K179" s="89">
        <f>K178+K177</f>
        <v/>
      </c>
      <c r="L179" s="89">
        <f>L178+L177</f>
        <v/>
      </c>
      <c r="M179" s="89">
        <f>M178+M177</f>
        <v/>
      </c>
      <c r="N179" s="89">
        <f>N178+N177</f>
        <v/>
      </c>
      <c r="O179" s="89">
        <f>O178+O177</f>
        <v/>
      </c>
      <c r="P179" s="89">
        <f>P178+P177</f>
        <v/>
      </c>
      <c r="Q179" s="89">
        <f>Q178+Q177</f>
        <v/>
      </c>
    </row>
    <row r="180" s="83">
      <c r="A180" s="51" t="inlineStr">
        <is>
          <t>报表期末数</t>
        </is>
      </c>
      <c r="B180" s="54" t="n"/>
      <c r="C180" s="54" t="n"/>
      <c r="D180" s="51" t="n"/>
      <c r="E180" s="51" t="n"/>
      <c r="F180" s="89">
        <f>20047040.71+58540.06</f>
        <v/>
      </c>
      <c r="G180" s="89" t="n">
        <v>13680972.26</v>
      </c>
      <c r="H180" s="89" t="n">
        <v>5622300.68</v>
      </c>
      <c r="I180" s="89">
        <f>341285.86+784230.18</f>
        <v/>
      </c>
      <c r="J180" s="89">
        <f>209734.4+96138.05</f>
        <v/>
      </c>
      <c r="K180" s="89">
        <f>1325635.05+13461.87</f>
        <v/>
      </c>
      <c r="L180" s="89" t="n"/>
      <c r="M180" s="89" t="n"/>
      <c r="N180" s="89" t="n"/>
      <c r="O180" s="89" t="n"/>
      <c r="P180" s="89" t="n"/>
      <c r="Q180" s="89" t="n"/>
    </row>
    <row r="181" s="83">
      <c r="A181" s="51" t="inlineStr">
        <is>
          <t>check</t>
        </is>
      </c>
      <c r="B181" s="54" t="n"/>
      <c r="C181" s="54" t="n"/>
      <c r="D181" s="51" t="n"/>
      <c r="E181" s="51" t="n"/>
      <c r="F181" s="89">
        <f>F180-F179</f>
        <v/>
      </c>
      <c r="G181" s="89">
        <f>G180-G179</f>
        <v/>
      </c>
      <c r="H181" s="89">
        <f>H180-H179</f>
        <v/>
      </c>
      <c r="I181" s="89">
        <f>I180-I179</f>
        <v/>
      </c>
      <c r="J181" s="89">
        <f>J180-J179</f>
        <v/>
      </c>
      <c r="K181" s="89">
        <f>K180-K179</f>
        <v/>
      </c>
      <c r="L181" s="89">
        <f>L180-L179</f>
        <v/>
      </c>
      <c r="M181" s="89">
        <f>M180-M179</f>
        <v/>
      </c>
      <c r="N181" s="89">
        <f>N180-N179</f>
        <v/>
      </c>
      <c r="O181" s="89">
        <f>O180-O179</f>
        <v/>
      </c>
      <c r="P181" s="89">
        <f>P180-P179</f>
        <v/>
      </c>
      <c r="Q181" s="89">
        <f>Q180-Q179</f>
        <v/>
      </c>
    </row>
    <row r="183" s="83">
      <c r="I183" s="57" t="n"/>
    </row>
    <row r="184" s="83">
      <c r="I184" s="57" t="n"/>
    </row>
    <row r="185" s="83">
      <c r="I185" s="89" t="n"/>
    </row>
  </sheetData>
  <autoFilter ref="A2:R181"/>
  <mergeCells count="30">
    <mergeCell ref="C20:C21"/>
    <mergeCell ref="C131:C133"/>
    <mergeCell ref="C116:C119"/>
    <mergeCell ref="C85:C86"/>
    <mergeCell ref="C134:C135"/>
    <mergeCell ref="C16:C17"/>
    <mergeCell ref="C42:C47"/>
    <mergeCell ref="C78:C84"/>
    <mergeCell ref="C120:C128"/>
    <mergeCell ref="C129:C130"/>
    <mergeCell ref="C111:C115"/>
    <mergeCell ref="C153:C161"/>
    <mergeCell ref="C163:C166"/>
    <mergeCell ref="C87:C93"/>
    <mergeCell ref="C105:C110"/>
    <mergeCell ref="C25:C34"/>
    <mergeCell ref="C99:C104"/>
    <mergeCell ref="C7:C8"/>
    <mergeCell ref="C94:C96"/>
    <mergeCell ref="C36:C41"/>
    <mergeCell ref="C48:C49"/>
    <mergeCell ref="C13:C14"/>
    <mergeCell ref="C70:C77"/>
    <mergeCell ref="C64:C68"/>
    <mergeCell ref="C146:C152"/>
    <mergeCell ref="C138:C145"/>
    <mergeCell ref="C3:C6"/>
    <mergeCell ref="C51:C62"/>
    <mergeCell ref="C168:C172"/>
    <mergeCell ref="C9:C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182"/>
  <sheetViews>
    <sheetView workbookViewId="0">
      <pane xSplit="5" ySplit="2" topLeftCell="I3" activePane="bottomRight" state="frozen"/>
      <selection activeCell="A1" sqref="A1"/>
      <selection pane="topRight" activeCell="A1" sqref="A1"/>
      <selection pane="bottomLeft" activeCell="A1" sqref="A1"/>
      <selection pane="bottomRight" activeCell="J15" sqref="J15"/>
    </sheetView>
  </sheetViews>
  <sheetFormatPr baseColWidth="8" defaultColWidth="8.838461538461541" defaultRowHeight="16.05" customHeight="1"/>
  <cols>
    <col width="9.38461538461539" customWidth="1" style="5" min="1" max="1"/>
    <col width="10.9230769230769" customWidth="1" style="6" min="2" max="2"/>
    <col width="9" customWidth="1" style="6" min="3" max="3"/>
    <col width="12" customWidth="1" style="5" min="4" max="4"/>
    <col width="14" customWidth="1" style="5" min="5" max="5"/>
    <col width="10.6153846153846" customWidth="1" style="89" min="6" max="6"/>
    <col width="13.8307692307692" customWidth="1" style="5" min="7" max="7"/>
    <col width="15.8384615384615" customWidth="1" style="5" min="8" max="8"/>
    <col width="15.1615384615385" customWidth="1" style="89" min="9" max="11"/>
    <col width="15" customWidth="1" style="5" min="12" max="12"/>
    <col width="10.6153846153846" customWidth="1" style="5" min="13" max="17"/>
    <col width="14.8384615384615" customWidth="1" style="5" min="18" max="18"/>
    <col width="8.838461538461541" customWidth="1" style="5" min="19" max="40"/>
  </cols>
  <sheetData>
    <row r="1" s="83">
      <c r="A1" s="6" t="inlineStr">
        <is>
          <t>公司：海南精准学</t>
        </is>
      </c>
    </row>
    <row r="2" customFormat="1" s="34">
      <c r="A2" s="34" t="inlineStr">
        <is>
          <t>一级</t>
        </is>
      </c>
      <c r="B2" s="34" t="inlineStr">
        <is>
          <t>二级</t>
        </is>
      </c>
      <c r="C2" s="34" t="inlineStr">
        <is>
          <t>二级</t>
        </is>
      </c>
      <c r="D2" s="34" t="inlineStr">
        <is>
          <t>三级</t>
        </is>
      </c>
      <c r="E2" s="34" t="inlineStr">
        <is>
          <t>三级科目对应编码</t>
        </is>
      </c>
      <c r="F2" s="91" t="inlineStr">
        <is>
          <t>1月</t>
        </is>
      </c>
      <c r="G2" s="34" t="inlineStr">
        <is>
          <t>2月</t>
        </is>
      </c>
      <c r="H2" s="34" t="inlineStr">
        <is>
          <t>3月</t>
        </is>
      </c>
      <c r="I2" s="91" t="inlineStr">
        <is>
          <t>4月</t>
        </is>
      </c>
      <c r="J2" s="91" t="inlineStr">
        <is>
          <t>5月</t>
        </is>
      </c>
      <c r="K2" s="91" t="inlineStr">
        <is>
          <t>6月</t>
        </is>
      </c>
      <c r="L2" s="34" t="inlineStr">
        <is>
          <t>7月</t>
        </is>
      </c>
      <c r="M2" s="34" t="inlineStr">
        <is>
          <t>8月</t>
        </is>
      </c>
      <c r="N2" s="34" t="inlineStr">
        <is>
          <t>9月</t>
        </is>
      </c>
      <c r="O2" s="34" t="inlineStr">
        <is>
          <t>10月</t>
        </is>
      </c>
      <c r="P2" s="34" t="inlineStr">
        <is>
          <t>11月</t>
        </is>
      </c>
      <c r="Q2" s="34" t="inlineStr">
        <is>
          <t>12月</t>
        </is>
      </c>
      <c r="R2" s="34" t="inlineStr">
        <is>
          <t>本年合计</t>
        </is>
      </c>
    </row>
    <row r="3" s="83">
      <c r="A3" s="5" t="inlineStr">
        <is>
          <t>收入</t>
        </is>
      </c>
      <c r="B3" s="6" t="inlineStr">
        <is>
          <t>业务收入</t>
        </is>
      </c>
      <c r="C3" s="6" t="inlineStr">
        <is>
          <t>业务收入</t>
        </is>
      </c>
      <c r="D3" s="6" t="inlineStr">
        <is>
          <t>平台硬件销售收入</t>
        </is>
      </c>
      <c r="E3" s="6" t="inlineStr">
        <is>
          <t>Q0101</t>
        </is>
      </c>
      <c r="F3" s="89">
        <f>SUMIFS('1月数据源'!$I:$I,'1月数据源'!$D:$D,$E3,'1月数据源'!$F:$F,"海南精准学科技有限公司")-SUMIFS('1月数据源'!$J:$J,'1月数据源'!$D:$D,$E3,'1月数据源'!$F:$F,"海南精准学科技有限公司")</f>
        <v/>
      </c>
      <c r="G3" s="89">
        <f>SUMIFS('2月数据源'!$I:$I,'2月数据源'!$D:$D,$E3,'2月数据源'!$F:$F,"海南精准学科技有限公司")-SUMIFS('2月数据源'!$J:$J,'2月数据源'!$D:$D,$E3,'2月数据源'!$F:$F,"海南精准学科技有限公司")</f>
        <v/>
      </c>
      <c r="H3" s="89">
        <f>SUMIFS('3月数据源'!$I:$I,'3月数据源'!$D:$D,$E3,'3月数据源'!$F:$F,"海南精准学科技有限公司")-SUMIFS('3月数据源'!$J:$J,'3月数据源'!$D:$D,$E3,'3月数据源'!$F:$F,"海南精准学科技有限公司")</f>
        <v/>
      </c>
      <c r="I3" s="89">
        <f>SUMIFS('4月数据源'!$I:$I,'4月数据源'!$D:$D,$E3,'4月数据源'!$F:$F,"海南精准学科技有限公司")-SUMIFS('4月数据源'!$J:$J,'4月数据源'!$D:$D,$E3,'4月数据源'!$F:$F,"海南精准学科技有限公司")</f>
        <v/>
      </c>
      <c r="J3" s="89">
        <f>SUMIFS('5月数据源'!$I:$I,'5月数据源'!$D:$D,$E3,'5月数据源'!$F:$F,"海南精准学科技有限公司")-SUMIFS('5月数据源'!$J:$J,'5月数据源'!$D:$D,$E3,'5月数据源'!$F:$F,"海南精准学科技有限公司")</f>
        <v/>
      </c>
      <c r="K3" s="89">
        <f>SUMIFS('6月数据源'!I:I,'6月数据源'!D:D,E3,'6月数据源'!F:F,"海南精准学科技有限公司")-SUMIFS('6月数据源'!J:J,'6月数据源'!D:D,E3,'6月数据源'!F:F,"海南精准学科技有限公司")</f>
        <v/>
      </c>
      <c r="L3" s="89">
        <f>SUMIFS('7月数据源'!J:J,'7月数据源'!E:E,F3,'7月数据源'!G:G,"海南精准学科技有限公司")-SUMIFS('7月数据源'!K:K,'7月数据源'!E:E,F3,'7月数据源'!G:G,"海南精准学科技有限公司")</f>
        <v/>
      </c>
      <c r="M3" s="89">
        <f>SUMIFS('8月数据源'!K:K,'8月数据源'!F:F,G3,'8月数据源'!H:H,"海南精准学科技有限公司")-SUMIFS('8月数据源'!L:L,'8月数据源'!F:F,G3,'8月数据源'!H:H,"海南精准学科技有限公司")</f>
        <v/>
      </c>
      <c r="N3" s="89">
        <f>SUMIFS('9月数据源'!L:L,'9月数据源'!G:G,H3,'9月数据源'!I:I,"海南精准学科技有限公司")-SUMIFS('9月数据源'!M:M,'9月数据源'!G:G,H3,'9月数据源'!I:I,"海南精准学科技有限公司")</f>
        <v/>
      </c>
      <c r="O3" s="89">
        <f>SUMIFS('10月数据源'!M:M,'10月数据源'!H:H,I3,'10月数据源'!J:J,"海南精准学科技有限公司")-SUMIFS('10月数据源'!N:N,'10月数据源'!H:H,I3,'10月数据源'!J:J,"海南精准学科技有限公司")</f>
        <v/>
      </c>
      <c r="P3" s="89">
        <f>SUMIFS('11月数据源'!N:N,'11月数据源'!I:I,J3,'11月数据源'!K:K,"海南精准学科技有限公司")-SUMIFS('11月数据源'!O:O,'11月数据源'!I:I,J3,'11月数据源'!K:K,"海南精准学科技有限公司")</f>
        <v/>
      </c>
      <c r="Q3" s="89">
        <f>SUMIFS('12月数据源'!O:O,'12月数据源'!J:J,K3,'12月数据源'!L:L,"海南精准学科技有限公司")-SUMIFS('12月数据源'!P:P,'12月数据源'!J:J,K3,'12月数据源'!L:L,"海南精准学科技有限公司")</f>
        <v/>
      </c>
    </row>
    <row r="4" s="83">
      <c r="A4" s="5" t="inlineStr">
        <is>
          <t>收入</t>
        </is>
      </c>
      <c r="B4" s="6" t="inlineStr">
        <is>
          <t>业务收入</t>
        </is>
      </c>
      <c r="D4" s="6" t="inlineStr">
        <is>
          <t>服务收款</t>
        </is>
      </c>
      <c r="E4" s="6" t="inlineStr">
        <is>
          <t>Q0102</t>
        </is>
      </c>
      <c r="F4" s="89">
        <f>SUMIFS('1月数据源'!I:I,'1月数据源'!D:D,E4,'1月数据源'!F:F,"海南精准学科技有限公司")-SUMIFS('1月数据源'!J:J,'1月数据源'!D:D,E4,'1月数据源'!F:F,"海南精准学科技有限公司")</f>
        <v/>
      </c>
      <c r="G4" s="89">
        <f>SUMIFS('2月数据源'!$I:$I,'2月数据源'!$D:$D,$E4,'2月数据源'!$F:$F,"海南精准学科技有限公司")-SUMIFS('2月数据源'!$J:$J,'2月数据源'!$D:$D,$E4,'2月数据源'!$F:$F,"海南精准学科技有限公司")</f>
        <v/>
      </c>
      <c r="H4" s="89">
        <f>SUMIFS('3月数据源'!$I:$I,'3月数据源'!$D:$D,$E4,'3月数据源'!$F:$F,"海南精准学科技有限公司")-SUMIFS('3月数据源'!$J:$J,'3月数据源'!$D:$D,$E4,'3月数据源'!$F:$F,"海南精准学科技有限公司")</f>
        <v/>
      </c>
      <c r="I4" s="89">
        <f>SUMIFS('4月数据源'!$I:$I,'4月数据源'!$D:$D,$E4,'4月数据源'!$F:$F,"海南精准学科技有限公司")-SUMIFS('4月数据源'!$J:$J,'4月数据源'!$D:$D,$E4,'4月数据源'!$F:$F,"海南精准学科技有限公司")</f>
        <v/>
      </c>
      <c r="J4" s="89">
        <f>SUMIFS('5月数据源'!$I:$I,'5月数据源'!$D:$D,$E4,'5月数据源'!$F:$F,"海南精准学科技有限公司")-SUMIFS('5月数据源'!$J:$J,'5月数据源'!$D:$D,$E4,'5月数据源'!$F:$F,"海南精准学科技有限公司")</f>
        <v/>
      </c>
      <c r="K4" s="89">
        <f>SUMIFS('6月数据源'!$I:$I,'6月数据源'!$D:$D,$E4,'6月数据源'!$F:$F,"海南精准学科技有限公司")-SUMIFS('6月数据源'!$J:$J,'6月数据源'!$D:$D,$E4,'6月数据源'!$F:$F,"海南精准学科技有限公司")</f>
        <v/>
      </c>
      <c r="L4" s="89">
        <f>SUMIFS('7月数据源'!$I:$I,'7月数据源'!$D:$D,$E4,'7月数据源'!$F:$F,"海南精准学科技有限公司")-SUMIFS('7月数据源'!$J:$J,'7月数据源'!$D:$D,$E4,'7月数据源'!$F:$F,"海南精准学科技有限公司")</f>
        <v/>
      </c>
      <c r="M4" s="89">
        <f>SUMIFS('8月数据源'!$I:$I,'8月数据源'!$D:$D,$E4,'8月数据源'!$F:$F,"海南精准学科技有限公司")-SUMIFS('8月数据源'!$J:$J,'8月数据源'!$D:$D,$E4,'8月数据源'!$F:$F,"海南精准学科技有限公司")</f>
        <v/>
      </c>
      <c r="N4" s="89">
        <f>SUMIFS('9月数据源'!$I:$I,'9月数据源'!$D:$D,$E4,'9月数据源'!$F:$F,"海南精准学科技有限公司")-SUMIFS('9月数据源'!$J:$J,'9月数据源'!$D:$D,$E4,'9月数据源'!$F:$F,"海南精准学科技有限公司")</f>
        <v/>
      </c>
      <c r="O4" s="89">
        <f>SUMIFS('10月数据源'!$I:$I,'10月数据源'!$D:$D,$E4,'10月数据源'!$F:$F,"海南精准学科技有限公司")-SUMIFS('10月数据源'!$J:$J,'10月数据源'!$D:$D,$E4,'10月数据源'!$F:$F,"海南精准学科技有限公司")</f>
        <v/>
      </c>
      <c r="P4" s="89">
        <f>SUMIFS('11月数据源'!$I:$I,'11月数据源'!$D:$D,$E4,'11月数据源'!$F:$F,"海南精准学科技有限公司")-SUMIFS('11月数据源'!$J:$J,'11月数据源'!$D:$D,$E4,'11月数据源'!$F:$F,"海南精准学科技有限公司")</f>
        <v/>
      </c>
      <c r="Q4" s="89">
        <f>SUMIFS('12月数据源'!$I:$I,'12月数据源'!$D:$D,$E4,'12月数据源'!$F:$F,"海南精准学科技有限公司")-SUMIFS('12月数据源'!$J:$J,'12月数据源'!$D:$D,$E4,'12月数据源'!$F:$F,"海南精准学科技有限公司")</f>
        <v/>
      </c>
    </row>
    <row r="5" s="83">
      <c r="A5" s="5" t="inlineStr">
        <is>
          <t>收入</t>
        </is>
      </c>
      <c r="B5" s="6" t="inlineStr">
        <is>
          <t>业务收入</t>
        </is>
      </c>
      <c r="D5" s="6" t="inlineStr">
        <is>
          <t>平台补贴收入</t>
        </is>
      </c>
      <c r="E5" s="6" t="inlineStr">
        <is>
          <t>Q0103</t>
        </is>
      </c>
      <c r="F5" s="89">
        <f>SUMIFS('1月数据源'!I:I,'1月数据源'!D:D,E5,'1月数据源'!F:F,"海南精准学科技有限公司")-SUMIFS('1月数据源'!J:J,'1月数据源'!D:D,E5,'1月数据源'!F:F,"海南精准学科技有限公司")</f>
        <v/>
      </c>
      <c r="G5" s="89">
        <f>SUMIFS('2月数据源'!$I:$I,'2月数据源'!$D:$D,$E5,'2月数据源'!$F:$F,"海南精准学科技有限公司")-SUMIFS('2月数据源'!$J:$J,'2月数据源'!$D:$D,$E5,'2月数据源'!$F:$F,"海南精准学科技有限公司")</f>
        <v/>
      </c>
      <c r="H5" s="89">
        <f>SUMIFS('3月数据源'!$I:$I,'3月数据源'!$D:$D,$E5,'3月数据源'!$F:$F,"海南精准学科技有限公司")-SUMIFS('3月数据源'!$J:$J,'3月数据源'!$D:$D,$E5,'3月数据源'!$F:$F,"海南精准学科技有限公司")</f>
        <v/>
      </c>
      <c r="I5" s="89">
        <f>SUMIFS('4月数据源'!$I:$I,'4月数据源'!$D:$D,$E5,'4月数据源'!$F:$F,"海南精准学科技有限公司")-SUMIFS('4月数据源'!$J:$J,'4月数据源'!$D:$D,$E5,'4月数据源'!$F:$F,"海南精准学科技有限公司")</f>
        <v/>
      </c>
      <c r="J5" s="89">
        <f>SUMIFS('5月数据源'!$I:$I,'5月数据源'!$D:$D,$E5,'5月数据源'!$F:$F,"海南精准学科技有限公司")-SUMIFS('5月数据源'!$J:$J,'5月数据源'!$D:$D,$E5,'5月数据源'!$F:$F,"海南精准学科技有限公司")</f>
        <v/>
      </c>
      <c r="K5" s="89">
        <f>SUMIFS('6月数据源'!$I:$I,'6月数据源'!$D:$D,$E5,'6月数据源'!$F:$F,"海南精准学科技有限公司")-SUMIFS('6月数据源'!$J:$J,'6月数据源'!$D:$D,$E5,'6月数据源'!$F:$F,"海南精准学科技有限公司")</f>
        <v/>
      </c>
      <c r="L5" s="89">
        <f>SUMIFS('7月数据源'!$I:$I,'7月数据源'!$D:$D,$E5,'7月数据源'!$F:$F,"海南精准学科技有限公司")-SUMIFS('7月数据源'!$J:$J,'7月数据源'!$D:$D,$E5,'7月数据源'!$F:$F,"海南精准学科技有限公司")</f>
        <v/>
      </c>
      <c r="M5" s="89">
        <f>SUMIFS('8月数据源'!$I:$I,'8月数据源'!$D:$D,$E5,'8月数据源'!$F:$F,"海南精准学科技有限公司")-SUMIFS('8月数据源'!$J:$J,'8月数据源'!$D:$D,$E5,'8月数据源'!$F:$F,"海南精准学科技有限公司")</f>
        <v/>
      </c>
      <c r="N5" s="89">
        <f>SUMIFS('9月数据源'!$I:$I,'9月数据源'!$D:$D,$E5,'9月数据源'!$F:$F,"海南精准学科技有限公司")-SUMIFS('9月数据源'!$J:$J,'9月数据源'!$D:$D,$E5,'9月数据源'!$F:$F,"海南精准学科技有限公司")</f>
        <v/>
      </c>
      <c r="O5" s="89">
        <f>SUMIFS('10月数据源'!$I:$I,'10月数据源'!$D:$D,$E5,'10月数据源'!$F:$F,"海南精准学科技有限公司")-SUMIFS('10月数据源'!$J:$J,'10月数据源'!$D:$D,$E5,'10月数据源'!$F:$F,"海南精准学科技有限公司")</f>
        <v/>
      </c>
      <c r="P5" s="89">
        <f>SUMIFS('11月数据源'!$I:$I,'11月数据源'!$D:$D,$E5,'11月数据源'!$F:$F,"海南精准学科技有限公司")-SUMIFS('11月数据源'!$J:$J,'11月数据源'!$D:$D,$E5,'11月数据源'!$F:$F,"海南精准学科技有限公司")</f>
        <v/>
      </c>
      <c r="Q5" s="89">
        <f>SUMIFS('12月数据源'!$I:$I,'12月数据源'!$D:$D,$E5,'12月数据源'!$F:$F,"海南精准学科技有限公司")-SUMIFS('12月数据源'!$J:$J,'12月数据源'!$D:$D,$E5,'12月数据源'!$F:$F,"海南精准学科技有限公司")</f>
        <v/>
      </c>
    </row>
    <row r="6" s="83">
      <c r="A6" s="5" t="inlineStr">
        <is>
          <t>收入</t>
        </is>
      </c>
      <c r="B6" s="6" t="inlineStr">
        <is>
          <t>业务收入</t>
        </is>
      </c>
      <c r="D6" s="6" t="inlineStr">
        <is>
          <t>自习室收入</t>
        </is>
      </c>
      <c r="E6" s="6" t="inlineStr">
        <is>
          <t>Q0104</t>
        </is>
      </c>
      <c r="F6" s="89">
        <f>SUMIFS('1月数据源'!I:I,'1月数据源'!D:D,E6,'1月数据源'!F:F,"海南精准学科技有限公司")-SUMIFS('1月数据源'!J:J,'1月数据源'!D:D,E6,'1月数据源'!F:F,"海南精准学科技有限公司")</f>
        <v/>
      </c>
      <c r="G6" s="89">
        <f>SUMIFS('2月数据源'!$I:$I,'2月数据源'!$D:$D,$E6,'2月数据源'!$F:$F,"海南精准学科技有限公司")-SUMIFS('2月数据源'!$J:$J,'2月数据源'!$D:$D,$E6,'2月数据源'!$F:$F,"海南精准学科技有限公司")</f>
        <v/>
      </c>
      <c r="H6" s="89">
        <f>SUMIFS('3月数据源'!$I:$I,'3月数据源'!$D:$D,$E6,'3月数据源'!$F:$F,"海南精准学科技有限公司")-SUMIFS('3月数据源'!$J:$J,'3月数据源'!$D:$D,$E6,'3月数据源'!$F:$F,"海南精准学科技有限公司")</f>
        <v/>
      </c>
      <c r="I6" s="89">
        <f>SUMIFS('4月数据源'!$I:$I,'4月数据源'!$D:$D,$E6,'4月数据源'!$F:$F,"海南精准学科技有限公司")-SUMIFS('4月数据源'!$J:$J,'4月数据源'!$D:$D,$E6,'4月数据源'!$F:$F,"海南精准学科技有限公司")</f>
        <v/>
      </c>
      <c r="J6" s="89">
        <f>SUMIFS('5月数据源'!$I:$I,'5月数据源'!$D:$D,$E6,'5月数据源'!$F:$F,"海南精准学科技有限公司")-SUMIFS('5月数据源'!$J:$J,'5月数据源'!$D:$D,$E6,'5月数据源'!$F:$F,"海南精准学科技有限公司")</f>
        <v/>
      </c>
      <c r="K6" s="89">
        <f>SUMIFS('6月数据源'!$I:$I,'6月数据源'!$D:$D,$E6,'6月数据源'!$F:$F,"海南精准学科技有限公司")-SUMIFS('6月数据源'!$J:$J,'6月数据源'!$D:$D,$E6,'6月数据源'!$F:$F,"海南精准学科技有限公司")</f>
        <v/>
      </c>
      <c r="L6" s="89">
        <f>SUMIFS('7月数据源'!$I:$I,'7月数据源'!$D:$D,$E6,'7月数据源'!$F:$F,"海南精准学科技有限公司")-SUMIFS('7月数据源'!$J:$J,'7月数据源'!$D:$D,$E6,'7月数据源'!$F:$F,"海南精准学科技有限公司")</f>
        <v/>
      </c>
      <c r="M6" s="89">
        <f>SUMIFS('8月数据源'!$I:$I,'8月数据源'!$D:$D,$E6,'8月数据源'!$F:$F,"海南精准学科技有限公司")-SUMIFS('8月数据源'!$J:$J,'8月数据源'!$D:$D,$E6,'8月数据源'!$F:$F,"海南精准学科技有限公司")</f>
        <v/>
      </c>
      <c r="N6" s="89">
        <f>SUMIFS('9月数据源'!$I:$I,'9月数据源'!$D:$D,$E6,'9月数据源'!$F:$F,"海南精准学科技有限公司")-SUMIFS('9月数据源'!$J:$J,'9月数据源'!$D:$D,$E6,'9月数据源'!$F:$F,"海南精准学科技有限公司")</f>
        <v/>
      </c>
      <c r="O6" s="89">
        <f>SUMIFS('10月数据源'!$I:$I,'10月数据源'!$D:$D,$E6,'10月数据源'!$F:$F,"海南精准学科技有限公司")-SUMIFS('10月数据源'!$J:$J,'10月数据源'!$D:$D,$E6,'10月数据源'!$F:$F,"海南精准学科技有限公司")</f>
        <v/>
      </c>
      <c r="P6" s="89">
        <f>SUMIFS('11月数据源'!$I:$I,'11月数据源'!$D:$D,$E6,'11月数据源'!$F:$F,"海南精准学科技有限公司")-SUMIFS('11月数据源'!$J:$J,'11月数据源'!$D:$D,$E6,'11月数据源'!$F:$F,"海南精准学科技有限公司")</f>
        <v/>
      </c>
      <c r="Q6" s="89">
        <f>SUMIFS('12月数据源'!$I:$I,'12月数据源'!$D:$D,$E6,'12月数据源'!$F:$F,"海南精准学科技有限公司")-SUMIFS('12月数据源'!$J:$J,'12月数据源'!$D:$D,$E6,'12月数据源'!$F:$F,"海南精准学科技有限公司")</f>
        <v/>
      </c>
    </row>
    <row r="7" s="83">
      <c r="A7" s="5" t="inlineStr">
        <is>
          <t>收入</t>
        </is>
      </c>
      <c r="B7" s="6" t="inlineStr">
        <is>
          <t>售后收入</t>
        </is>
      </c>
      <c r="C7" s="6" t="inlineStr">
        <is>
          <t>售后收入</t>
        </is>
      </c>
      <c r="D7" s="6" t="inlineStr">
        <is>
          <t>客户赔偿款</t>
        </is>
      </c>
      <c r="E7" s="6" t="inlineStr">
        <is>
          <t>Q0201</t>
        </is>
      </c>
      <c r="F7" s="89">
        <f>SUMIFS('1月数据源'!I:I,'1月数据源'!D:D,E7,'1月数据源'!F:F,"海南精准学科技有限公司")-SUMIFS('1月数据源'!J:J,'1月数据源'!D:D,E7,'1月数据源'!F:F,"海南精准学科技有限公司")</f>
        <v/>
      </c>
      <c r="G7" s="89">
        <f>SUMIFS('2月数据源'!$I:$I,'2月数据源'!$D:$D,$E7,'2月数据源'!$F:$F,"海南精准学科技有限公司")-SUMIFS('2月数据源'!$J:$J,'2月数据源'!$D:$D,$E7,'2月数据源'!$F:$F,"海南精准学科技有限公司")</f>
        <v/>
      </c>
      <c r="H7" s="89">
        <f>SUMIFS('3月数据源'!$I:$I,'3月数据源'!$D:$D,$E7,'3月数据源'!$F:$F,"海南精准学科技有限公司")-SUMIFS('3月数据源'!$J:$J,'3月数据源'!$D:$D,$E7,'3月数据源'!$F:$F,"海南精准学科技有限公司")</f>
        <v/>
      </c>
      <c r="I7" s="89">
        <f>SUMIFS('4月数据源'!$I:$I,'4月数据源'!$D:$D,$E7,'4月数据源'!$F:$F,"海南精准学科技有限公司")-SUMIFS('4月数据源'!$J:$J,'4月数据源'!$D:$D,$E7,'4月数据源'!$F:$F,"海南精准学科技有限公司")</f>
        <v/>
      </c>
      <c r="J7" s="89">
        <f>SUMIFS('5月数据源'!$I:$I,'5月数据源'!$D:$D,$E7,'5月数据源'!$F:$F,"海南精准学科技有限公司")-SUMIFS('5月数据源'!$J:$J,'5月数据源'!$D:$D,$E7,'5月数据源'!$F:$F,"海南精准学科技有限公司")</f>
        <v/>
      </c>
      <c r="K7" s="89">
        <f>SUMIFS('6月数据源'!$I:$I,'6月数据源'!$D:$D,$E7,'6月数据源'!$F:$F,"海南精准学科技有限公司")-SUMIFS('6月数据源'!$J:$J,'6月数据源'!$D:$D,$E7,'6月数据源'!$F:$F,"海南精准学科技有限公司")</f>
        <v/>
      </c>
      <c r="L7" s="89">
        <f>SUMIFS('7月数据源'!$I:$I,'7月数据源'!$D:$D,$E7,'7月数据源'!$F:$F,"海南精准学科技有限公司")-SUMIFS('7月数据源'!$J:$J,'7月数据源'!$D:$D,$E7,'7月数据源'!$F:$F,"海南精准学科技有限公司")</f>
        <v/>
      </c>
      <c r="M7" s="89">
        <f>SUMIFS('8月数据源'!$I:$I,'8月数据源'!$D:$D,$E7,'8月数据源'!$F:$F,"海南精准学科技有限公司")-SUMIFS('8月数据源'!$J:$J,'8月数据源'!$D:$D,$E7,'8月数据源'!$F:$F,"海南精准学科技有限公司")</f>
        <v/>
      </c>
      <c r="N7" s="89">
        <f>SUMIFS('9月数据源'!$I:$I,'9月数据源'!$D:$D,$E7,'9月数据源'!$F:$F,"海南精准学科技有限公司")-SUMIFS('9月数据源'!$J:$J,'9月数据源'!$D:$D,$E7,'9月数据源'!$F:$F,"海南精准学科技有限公司")</f>
        <v/>
      </c>
      <c r="O7" s="89">
        <f>SUMIFS('10月数据源'!$I:$I,'10月数据源'!$D:$D,$E7,'10月数据源'!$F:$F,"海南精准学科技有限公司")-SUMIFS('10月数据源'!$J:$J,'10月数据源'!$D:$D,$E7,'10月数据源'!$F:$F,"海南精准学科技有限公司")</f>
        <v/>
      </c>
      <c r="P7" s="89">
        <f>SUMIFS('11月数据源'!$I:$I,'11月数据源'!$D:$D,$E7,'11月数据源'!$F:$F,"海南精准学科技有限公司")-SUMIFS('11月数据源'!$J:$J,'11月数据源'!$D:$D,$E7,'11月数据源'!$F:$F,"海南精准学科技有限公司")</f>
        <v/>
      </c>
      <c r="Q7" s="89">
        <f>SUMIFS('12月数据源'!$I:$I,'12月数据源'!$D:$D,$E7,'12月数据源'!$F:$F,"海南精准学科技有限公司")-SUMIFS('12月数据源'!$J:$J,'12月数据源'!$D:$D,$E7,'12月数据源'!$F:$F,"海南精准学科技有限公司")</f>
        <v/>
      </c>
    </row>
    <row r="8" s="83">
      <c r="A8" s="5" t="inlineStr">
        <is>
          <t>收入</t>
        </is>
      </c>
      <c r="B8" s="6" t="inlineStr">
        <is>
          <t>售后收入</t>
        </is>
      </c>
      <c r="D8" s="6" t="inlineStr">
        <is>
          <t>供应商赔偿款</t>
        </is>
      </c>
      <c r="E8" s="6" t="inlineStr">
        <is>
          <t>Q0202</t>
        </is>
      </c>
      <c r="F8" s="89">
        <f>SUMIFS('1月数据源'!I:I,'1月数据源'!D:D,E8,'1月数据源'!F:F,"海南精准学科技有限公司")-SUMIFS('1月数据源'!J:J,'1月数据源'!D:D,E8,'1月数据源'!F:F,"海南精准学科技有限公司")</f>
        <v/>
      </c>
      <c r="G8" s="89">
        <f>SUMIFS('2月数据源'!$I:$I,'2月数据源'!$D:$D,$E8,'2月数据源'!$F:$F,"海南精准学科技有限公司")-SUMIFS('2月数据源'!$J:$J,'2月数据源'!$D:$D,$E8,'2月数据源'!$F:$F,"海南精准学科技有限公司")</f>
        <v/>
      </c>
      <c r="H8" s="89">
        <f>SUMIFS('3月数据源'!$I:$I,'3月数据源'!$D:$D,$E8,'3月数据源'!$F:$F,"海南精准学科技有限公司")-SUMIFS('3月数据源'!$J:$J,'3月数据源'!$D:$D,$E8,'3月数据源'!$F:$F,"海南精准学科技有限公司")</f>
        <v/>
      </c>
      <c r="I8" s="89">
        <f>SUMIFS('4月数据源'!$I:$I,'4月数据源'!$D:$D,$E8,'4月数据源'!$F:$F,"海南精准学科技有限公司")-SUMIFS('4月数据源'!$J:$J,'4月数据源'!$D:$D,$E8,'4月数据源'!$F:$F,"海南精准学科技有限公司")</f>
        <v/>
      </c>
      <c r="J8" s="89">
        <f>SUMIFS('5月数据源'!$I:$I,'5月数据源'!$D:$D,$E8,'5月数据源'!$F:$F,"海南精准学科技有限公司")-SUMIFS('5月数据源'!$J:$J,'5月数据源'!$D:$D,$E8,'5月数据源'!$F:$F,"海南精准学科技有限公司")</f>
        <v/>
      </c>
      <c r="K8" s="89">
        <f>SUMIFS('6月数据源'!$I:$I,'6月数据源'!$D:$D,$E8,'6月数据源'!$F:$F,"海南精准学科技有限公司")-SUMIFS('6月数据源'!$J:$J,'6月数据源'!$D:$D,$E8,'6月数据源'!$F:$F,"海南精准学科技有限公司")</f>
        <v/>
      </c>
      <c r="L8" s="89">
        <f>SUMIFS('7月数据源'!$I:$I,'7月数据源'!$D:$D,$E8,'7月数据源'!$F:$F,"海南精准学科技有限公司")-SUMIFS('7月数据源'!$J:$J,'7月数据源'!$D:$D,$E8,'7月数据源'!$F:$F,"海南精准学科技有限公司")</f>
        <v/>
      </c>
      <c r="M8" s="89">
        <f>SUMIFS('8月数据源'!$I:$I,'8月数据源'!$D:$D,$E8,'8月数据源'!$F:$F,"海南精准学科技有限公司")-SUMIFS('8月数据源'!$J:$J,'8月数据源'!$D:$D,$E8,'8月数据源'!$F:$F,"海南精准学科技有限公司")</f>
        <v/>
      </c>
      <c r="N8" s="89">
        <f>SUMIFS('9月数据源'!$I:$I,'9月数据源'!$D:$D,$E8,'9月数据源'!$F:$F,"海南精准学科技有限公司")-SUMIFS('9月数据源'!$J:$J,'9月数据源'!$D:$D,$E8,'9月数据源'!$F:$F,"海南精准学科技有限公司")</f>
        <v/>
      </c>
      <c r="O8" s="89">
        <f>SUMIFS('10月数据源'!$I:$I,'10月数据源'!$D:$D,$E8,'10月数据源'!$F:$F,"海南精准学科技有限公司")-SUMIFS('10月数据源'!$J:$J,'10月数据源'!$D:$D,$E8,'10月数据源'!$F:$F,"海南精准学科技有限公司")</f>
        <v/>
      </c>
      <c r="P8" s="89">
        <f>SUMIFS('11月数据源'!$I:$I,'11月数据源'!$D:$D,$E8,'11月数据源'!$F:$F,"海南精准学科技有限公司")-SUMIFS('11月数据源'!$J:$J,'11月数据源'!$D:$D,$E8,'11月数据源'!$F:$F,"海南精准学科技有限公司")</f>
        <v/>
      </c>
      <c r="Q8" s="89">
        <f>SUMIFS('12月数据源'!$I:$I,'12月数据源'!$D:$D,$E8,'12月数据源'!$F:$F,"海南精准学科技有限公司")-SUMIFS('12月数据源'!$J:$J,'12月数据源'!$D:$D,$E8,'12月数据源'!$F:$F,"海南精准学科技有限公司")</f>
        <v/>
      </c>
    </row>
    <row r="9" s="83">
      <c r="A9" s="5" t="inlineStr">
        <is>
          <t>收入</t>
        </is>
      </c>
      <c r="B9" s="6" t="inlineStr">
        <is>
          <t>营业外收入</t>
        </is>
      </c>
      <c r="C9" s="6" t="inlineStr">
        <is>
          <t>营业外收入</t>
        </is>
      </c>
      <c r="D9" s="6" t="inlineStr">
        <is>
          <t>政府补贴收入</t>
        </is>
      </c>
      <c r="E9" s="6" t="inlineStr">
        <is>
          <t>Q0301</t>
        </is>
      </c>
      <c r="F9" s="89">
        <f>SUMIFS('1月数据源'!I:I,'1月数据源'!D:D,E9,'1月数据源'!F:F,"海南精准学科技有限公司")-SUMIFS('1月数据源'!J:J,'1月数据源'!D:D,E9,'1月数据源'!F:F,"海南精准学科技有限公司")</f>
        <v/>
      </c>
      <c r="G9" s="89">
        <f>SUMIFS('2月数据源'!$I:$I,'2月数据源'!$D:$D,$E9,'2月数据源'!$F:$F,"海南精准学科技有限公司")-SUMIFS('2月数据源'!$J:$J,'2月数据源'!$D:$D,$E9,'2月数据源'!$F:$F,"海南精准学科技有限公司")</f>
        <v/>
      </c>
      <c r="H9" s="89">
        <f>SUMIFS('3月数据源'!$I:$I,'3月数据源'!$D:$D,$E9,'3月数据源'!$F:$F,"海南精准学科技有限公司")-SUMIFS('3月数据源'!$J:$J,'3月数据源'!$D:$D,$E9,'3月数据源'!$F:$F,"海南精准学科技有限公司")</f>
        <v/>
      </c>
      <c r="I9" s="89">
        <f>SUMIFS('4月数据源'!$I:$I,'4月数据源'!$D:$D,$E9,'4月数据源'!$F:$F,"海南精准学科技有限公司")-SUMIFS('4月数据源'!$J:$J,'4月数据源'!$D:$D,$E9,'4月数据源'!$F:$F,"海南精准学科技有限公司")</f>
        <v/>
      </c>
      <c r="J9" s="89">
        <f>SUMIFS('5月数据源'!$I:$I,'5月数据源'!$D:$D,$E9,'5月数据源'!$F:$F,"海南精准学科技有限公司")-SUMIFS('5月数据源'!$J:$J,'5月数据源'!$D:$D,$E9,'5月数据源'!$F:$F,"海南精准学科技有限公司")</f>
        <v/>
      </c>
      <c r="K9" s="89">
        <f>SUMIFS('6月数据源'!$I:$I,'6月数据源'!$D:$D,$E9,'6月数据源'!$F:$F,"海南精准学科技有限公司")-SUMIFS('6月数据源'!$J:$J,'6月数据源'!$D:$D,$E9,'6月数据源'!$F:$F,"海南精准学科技有限公司")</f>
        <v/>
      </c>
      <c r="L9" s="89">
        <f>SUMIFS('7月数据源'!$I:$I,'7月数据源'!$D:$D,$E9,'7月数据源'!$F:$F,"海南精准学科技有限公司")-SUMIFS('7月数据源'!$J:$J,'7月数据源'!$D:$D,$E9,'7月数据源'!$F:$F,"海南精准学科技有限公司")</f>
        <v/>
      </c>
      <c r="M9" s="89">
        <f>SUMIFS('8月数据源'!$I:$I,'8月数据源'!$D:$D,$E9,'8月数据源'!$F:$F,"海南精准学科技有限公司")-SUMIFS('8月数据源'!$J:$J,'8月数据源'!$D:$D,$E9,'8月数据源'!$F:$F,"海南精准学科技有限公司")</f>
        <v/>
      </c>
      <c r="N9" s="89">
        <f>SUMIFS('9月数据源'!$I:$I,'9月数据源'!$D:$D,$E9,'9月数据源'!$F:$F,"海南精准学科技有限公司")-SUMIFS('9月数据源'!$J:$J,'9月数据源'!$D:$D,$E9,'9月数据源'!$F:$F,"海南精准学科技有限公司")</f>
        <v/>
      </c>
      <c r="O9" s="89">
        <f>SUMIFS('10月数据源'!$I:$I,'10月数据源'!$D:$D,$E9,'10月数据源'!$F:$F,"海南精准学科技有限公司")-SUMIFS('10月数据源'!$J:$J,'10月数据源'!$D:$D,$E9,'10月数据源'!$F:$F,"海南精准学科技有限公司")</f>
        <v/>
      </c>
      <c r="P9" s="89">
        <f>SUMIFS('11月数据源'!$I:$I,'11月数据源'!$D:$D,$E9,'11月数据源'!$F:$F,"海南精准学科技有限公司")-SUMIFS('11月数据源'!$J:$J,'11月数据源'!$D:$D,$E9,'11月数据源'!$F:$F,"海南精准学科技有限公司")</f>
        <v/>
      </c>
      <c r="Q9" s="89">
        <f>SUMIFS('12月数据源'!$I:$I,'12月数据源'!$D:$D,$E9,'12月数据源'!$F:$F,"海南精准学科技有限公司")-SUMIFS('12月数据源'!$J:$J,'12月数据源'!$D:$D,$E9,'12月数据源'!$F:$F,"海南精准学科技有限公司")</f>
        <v/>
      </c>
    </row>
    <row r="10" s="83">
      <c r="A10" s="5" t="inlineStr">
        <is>
          <t>收入</t>
        </is>
      </c>
      <c r="B10" s="6" t="inlineStr">
        <is>
          <t>营业外收入</t>
        </is>
      </c>
      <c r="D10" s="6" t="inlineStr">
        <is>
          <t>利息收入</t>
        </is>
      </c>
      <c r="E10" s="6" t="inlineStr">
        <is>
          <t>Q0302</t>
        </is>
      </c>
      <c r="F10" s="89">
        <f>SUMIFS('1月数据源'!I:I,'1月数据源'!D:D,E10,'1月数据源'!F:F,"海南精准学科技有限公司")-SUMIFS('1月数据源'!J:J,'1月数据源'!D:D,E10,'1月数据源'!F:F,"海南精准学科技有限公司")</f>
        <v/>
      </c>
      <c r="G10" s="89">
        <f>SUMIFS('2月数据源'!$I:$I,'2月数据源'!$D:$D,$E10,'2月数据源'!$F:$F,"海南精准学科技有限公司")-SUMIFS('2月数据源'!$J:$J,'2月数据源'!$D:$D,$E10,'2月数据源'!$F:$F,"海南精准学科技有限公司")</f>
        <v/>
      </c>
      <c r="H10" s="89">
        <f>SUMIFS('3月数据源'!$I:$I,'3月数据源'!$D:$D,$E10,'3月数据源'!$F:$F,"海南精准学科技有限公司")-SUMIFS('3月数据源'!$J:$J,'3月数据源'!$D:$D,$E10,'3月数据源'!$F:$F,"海南精准学科技有限公司")</f>
        <v/>
      </c>
      <c r="I10" s="89">
        <f>SUMIFS('4月数据源'!$I:$I,'4月数据源'!$D:$D,$E10,'4月数据源'!$F:$F,"海南精准学科技有限公司")-SUMIFS('4月数据源'!$J:$J,'4月数据源'!$D:$D,$E10,'4月数据源'!$F:$F,"海南精准学科技有限公司")</f>
        <v/>
      </c>
      <c r="J10" s="89">
        <f>SUMIFS('5月数据源'!$I:$I,'5月数据源'!$D:$D,$E10,'5月数据源'!$F:$F,"海南精准学科技有限公司")-SUMIFS('5月数据源'!$J:$J,'5月数据源'!$D:$D,$E10,'5月数据源'!$F:$F,"海南精准学科技有限公司")</f>
        <v/>
      </c>
      <c r="K10" s="89">
        <f>SUMIFS('6月数据源'!$I:$I,'6月数据源'!$D:$D,$E10,'6月数据源'!$F:$F,"海南精准学科技有限公司")-SUMIFS('6月数据源'!$J:$J,'6月数据源'!$D:$D,$E10,'6月数据源'!$F:$F,"海南精准学科技有限公司")</f>
        <v/>
      </c>
      <c r="L10" s="89">
        <f>SUMIFS('7月数据源'!$I:$I,'7月数据源'!$D:$D,$E10,'7月数据源'!$F:$F,"海南精准学科技有限公司")-SUMIFS('7月数据源'!$J:$J,'7月数据源'!$D:$D,$E10,'7月数据源'!$F:$F,"海南精准学科技有限公司")</f>
        <v/>
      </c>
      <c r="M10" s="89">
        <f>SUMIFS('8月数据源'!$I:$I,'8月数据源'!$D:$D,$E10,'8月数据源'!$F:$F,"海南精准学科技有限公司")-SUMIFS('8月数据源'!$J:$J,'8月数据源'!$D:$D,$E10,'8月数据源'!$F:$F,"海南精准学科技有限公司")</f>
        <v/>
      </c>
      <c r="N10" s="89">
        <f>SUMIFS('9月数据源'!$I:$I,'9月数据源'!$D:$D,$E10,'9月数据源'!$F:$F,"海南精准学科技有限公司")-SUMIFS('9月数据源'!$J:$J,'9月数据源'!$D:$D,$E10,'9月数据源'!$F:$F,"海南精准学科技有限公司")</f>
        <v/>
      </c>
      <c r="O10" s="89">
        <f>SUMIFS('10月数据源'!$I:$I,'10月数据源'!$D:$D,$E10,'10月数据源'!$F:$F,"海南精准学科技有限公司")-SUMIFS('10月数据源'!$J:$J,'10月数据源'!$D:$D,$E10,'10月数据源'!$F:$F,"海南精准学科技有限公司")</f>
        <v/>
      </c>
      <c r="P10" s="89">
        <f>SUMIFS('11月数据源'!$I:$I,'11月数据源'!$D:$D,$E10,'11月数据源'!$F:$F,"海南精准学科技有限公司")-SUMIFS('11月数据源'!$J:$J,'11月数据源'!$D:$D,$E10,'11月数据源'!$F:$F,"海南精准学科技有限公司")</f>
        <v/>
      </c>
      <c r="Q10" s="89">
        <f>SUMIFS('12月数据源'!$I:$I,'12月数据源'!$D:$D,$E10,'12月数据源'!$F:$F,"海南精准学科技有限公司")-SUMIFS('12月数据源'!$J:$J,'12月数据源'!$D:$D,$E10,'12月数据源'!$F:$F,"海南精准学科技有限公司")</f>
        <v/>
      </c>
    </row>
    <row r="11" s="83">
      <c r="A11" s="5" t="inlineStr">
        <is>
          <t>收入</t>
        </is>
      </c>
      <c r="B11" s="6" t="inlineStr">
        <is>
          <t>营业外收入</t>
        </is>
      </c>
      <c r="D11" s="6" t="inlineStr">
        <is>
          <t>其他收入</t>
        </is>
      </c>
      <c r="E11" s="6" t="inlineStr">
        <is>
          <t>Q0303</t>
        </is>
      </c>
      <c r="F11" s="89">
        <f>SUMIFS('1月数据源'!I:I,'1月数据源'!D:D,E11,'1月数据源'!F:F,"海南精准学科技有限公司")-SUMIFS('1月数据源'!J:J,'1月数据源'!D:D,E11,'1月数据源'!F:F,"海南精准学科技有限公司")</f>
        <v/>
      </c>
      <c r="G11" s="89">
        <f>SUMIFS('2月数据源'!$I:$I,'2月数据源'!$D:$D,$E11,'2月数据源'!$F:$F,"海南精准学科技有限公司")-SUMIFS('2月数据源'!$J:$J,'2月数据源'!$D:$D,$E11,'2月数据源'!$F:$F,"海南精准学科技有限公司")</f>
        <v/>
      </c>
      <c r="H11" s="89">
        <f>SUMIFS('3月数据源'!$I:$I,'3月数据源'!$D:$D,$E11,'3月数据源'!$F:$F,"海南精准学科技有限公司")-SUMIFS('3月数据源'!$J:$J,'3月数据源'!$D:$D,$E11,'3月数据源'!$F:$F,"海南精准学科技有限公司")</f>
        <v/>
      </c>
      <c r="I11" s="89">
        <f>SUMIFS('4月数据源'!$I:$I,'4月数据源'!$D:$D,$E11,'4月数据源'!$F:$F,"海南精准学科技有限公司")-SUMIFS('4月数据源'!$J:$J,'4月数据源'!$D:$D,$E11,'4月数据源'!$F:$F,"海南精准学科技有限公司")</f>
        <v/>
      </c>
      <c r="J11" s="89">
        <f>SUMIFS('5月数据源'!$I:$I,'5月数据源'!$D:$D,$E11,'5月数据源'!$F:$F,"海南精准学科技有限公司")-SUMIFS('5月数据源'!$J:$J,'5月数据源'!$D:$D,$E11,'5月数据源'!$F:$F,"海南精准学科技有限公司")</f>
        <v/>
      </c>
      <c r="K11" s="89">
        <f>SUMIFS('6月数据源'!$I:$I,'6月数据源'!$D:$D,$E11,'6月数据源'!$F:$F,"海南精准学科技有限公司")-SUMIFS('6月数据源'!$J:$J,'6月数据源'!$D:$D,$E11,'6月数据源'!$F:$F,"海南精准学科技有限公司")</f>
        <v/>
      </c>
      <c r="L11" s="89">
        <f>SUMIFS('7月数据源'!$I:$I,'7月数据源'!$D:$D,$E11,'7月数据源'!$F:$F,"海南精准学科技有限公司")-SUMIFS('7月数据源'!$J:$J,'7月数据源'!$D:$D,$E11,'7月数据源'!$F:$F,"海南精准学科技有限公司")</f>
        <v/>
      </c>
      <c r="M11" s="89">
        <f>SUMIFS('8月数据源'!$I:$I,'8月数据源'!$D:$D,$E11,'8月数据源'!$F:$F,"海南精准学科技有限公司")-SUMIFS('8月数据源'!$J:$J,'8月数据源'!$D:$D,$E11,'8月数据源'!$F:$F,"海南精准学科技有限公司")</f>
        <v/>
      </c>
      <c r="N11" s="89">
        <f>SUMIFS('9月数据源'!$I:$I,'9月数据源'!$D:$D,$E11,'9月数据源'!$F:$F,"海南精准学科技有限公司")-SUMIFS('9月数据源'!$J:$J,'9月数据源'!$D:$D,$E11,'9月数据源'!$F:$F,"海南精准学科技有限公司")</f>
        <v/>
      </c>
      <c r="O11" s="89">
        <f>SUMIFS('10月数据源'!$I:$I,'10月数据源'!$D:$D,$E11,'10月数据源'!$F:$F,"海南精准学科技有限公司")-SUMIFS('10月数据源'!$J:$J,'10月数据源'!$D:$D,$E11,'10月数据源'!$F:$F,"海南精准学科技有限公司")</f>
        <v/>
      </c>
      <c r="P11" s="89">
        <f>SUMIFS('11月数据源'!$I:$I,'11月数据源'!$D:$D,$E11,'11月数据源'!$F:$F,"海南精准学科技有限公司")-SUMIFS('11月数据源'!$J:$J,'11月数据源'!$D:$D,$E11,'11月数据源'!$F:$F,"海南精准学科技有限公司")</f>
        <v/>
      </c>
      <c r="Q11" s="89">
        <f>SUMIFS('12月数据源'!$I:$I,'12月数据源'!$D:$D,$E11,'12月数据源'!$F:$F,"海南精准学科技有限公司")-SUMIFS('12月数据源'!$J:$J,'12月数据源'!$D:$D,$E11,'12月数据源'!$F:$F,"海南精准学科技有限公司")</f>
        <v/>
      </c>
    </row>
    <row r="12" s="83">
      <c r="A12" s="49" t="inlineStr">
        <is>
          <t>收入合计</t>
        </is>
      </c>
      <c r="B12" s="50" t="n"/>
      <c r="C12" s="50" t="n"/>
      <c r="D12" s="49" t="n"/>
      <c r="E12" s="49" t="n"/>
      <c r="F12" s="89">
        <f>SUM(F3:F11)</f>
        <v/>
      </c>
      <c r="G12" s="89">
        <f>SUM(G3:G11)</f>
        <v/>
      </c>
      <c r="H12" s="89">
        <f>SUM(H3:H11)</f>
        <v/>
      </c>
      <c r="I12" s="89">
        <f>SUM(I3:I11)</f>
        <v/>
      </c>
      <c r="J12" s="89">
        <f>SUM(J3:J11)</f>
        <v/>
      </c>
      <c r="K12" s="89">
        <f>SUM(K3:K11)</f>
        <v/>
      </c>
      <c r="L12" s="89">
        <f>SUM(L3:L11)</f>
        <v/>
      </c>
      <c r="M12" s="89">
        <f>SUM(M3:M11)</f>
        <v/>
      </c>
      <c r="N12" s="89">
        <f>SUM(N3:N11)</f>
        <v/>
      </c>
      <c r="O12" s="89">
        <f>SUM(O3:O11)</f>
        <v/>
      </c>
      <c r="P12" s="89">
        <f>SUM(P3:P11)</f>
        <v/>
      </c>
      <c r="Q12" s="89">
        <f>SUM(Q3:Q11)</f>
        <v/>
      </c>
    </row>
    <row r="13" s="83">
      <c r="A13" s="5" t="inlineStr">
        <is>
          <t>往来款项收入</t>
        </is>
      </c>
      <c r="B13" s="6" t="inlineStr">
        <is>
          <t>往来款项收入</t>
        </is>
      </c>
      <c r="C13" s="6" t="inlineStr">
        <is>
          <t>往来款项收入</t>
        </is>
      </c>
      <c r="D13" s="5" t="inlineStr">
        <is>
          <t>内部往来收入</t>
        </is>
      </c>
      <c r="E13" s="6" t="inlineStr">
        <is>
          <t>Q0401</t>
        </is>
      </c>
      <c r="F13" s="89">
        <f>SUMIFS('1月数据源'!I:I,'1月数据源'!D:D,E13,'1月数据源'!F:F,"海南精准学科技有限公司")-SUMIFS('1月数据源'!J:J,'1月数据源'!D:D,E13,'1月数据源'!F:F,"海南精准学科技有限公司")</f>
        <v/>
      </c>
      <c r="G13" s="89">
        <f>SUMIFS('2月数据源'!$I:$I,'2月数据源'!$D:$D,$E13,'2月数据源'!$F:$F,"海南精准学科技有限公司")-SUMIFS('2月数据源'!$J:$J,'2月数据源'!$D:$D,$E13,'2月数据源'!$F:$F,"海南精准学科技有限公司")</f>
        <v/>
      </c>
      <c r="H13" s="89">
        <f>SUMIFS('3月数据源'!$I:$I,'3月数据源'!$D:$D,$E13,'3月数据源'!$F:$F,"海南精准学科技有限公司")-SUMIFS('3月数据源'!$J:$J,'3月数据源'!$D:$D,$E13,'3月数据源'!$F:$F,"海南精准学科技有限公司")</f>
        <v/>
      </c>
      <c r="I13" s="89">
        <f>SUMIFS('4月数据源'!$I:$I,'4月数据源'!$D:$D,$E13,'4月数据源'!$F:$F,"海南精准学科技有限公司")-SUMIFS('4月数据源'!$J:$J,'4月数据源'!$D:$D,$E13,'4月数据源'!$F:$F,"海南精准学科技有限公司")</f>
        <v/>
      </c>
      <c r="J13" s="89">
        <f>SUMIFS('5月数据源'!$I:$I,'5月数据源'!$D:$D,$E13,'5月数据源'!$F:$F,"海南精准学科技有限公司")-SUMIFS('5月数据源'!$J:$J,'5月数据源'!$D:$D,$E13,'5月数据源'!$F:$F,"海南精准学科技有限公司")</f>
        <v/>
      </c>
      <c r="K13" s="89">
        <f>SUMIFS('6月数据源'!$I:$I,'6月数据源'!$D:$D,$E13,'6月数据源'!$F:$F,"海南精准学科技有限公司")-SUMIFS('6月数据源'!$J:$J,'6月数据源'!$D:$D,$E13,'6月数据源'!$F:$F,"海南精准学科技有限公司")</f>
        <v/>
      </c>
      <c r="L13" s="89">
        <f>SUMIFS('7月数据源'!$I:$I,'7月数据源'!$D:$D,$E13,'7月数据源'!$F:$F,"海南精准学科技有限公司")-SUMIFS('7月数据源'!$J:$J,'7月数据源'!$D:$D,$E13,'7月数据源'!$F:$F,"海南精准学科技有限公司")</f>
        <v/>
      </c>
      <c r="M13" s="89">
        <f>SUMIFS('8月数据源'!$I:$I,'8月数据源'!$D:$D,$E13,'8月数据源'!$F:$F,"海南精准学科技有限公司")-SUMIFS('8月数据源'!$J:$J,'8月数据源'!$D:$D,$E13,'8月数据源'!$F:$F,"海南精准学科技有限公司")</f>
        <v/>
      </c>
      <c r="N13" s="89">
        <f>SUMIFS('9月数据源'!$I:$I,'9月数据源'!$D:$D,$E13,'9月数据源'!$F:$F,"海南精准学科技有限公司")-SUMIFS('9月数据源'!$J:$J,'9月数据源'!$D:$D,$E13,'9月数据源'!$F:$F,"海南精准学科技有限公司")</f>
        <v/>
      </c>
      <c r="O13" s="89">
        <f>SUMIFS('10月数据源'!$I:$I,'10月数据源'!$D:$D,$E13,'10月数据源'!$F:$F,"海南精准学科技有限公司")-SUMIFS('10月数据源'!$J:$J,'10月数据源'!$D:$D,$E13,'10月数据源'!$F:$F,"海南精准学科技有限公司")</f>
        <v/>
      </c>
      <c r="P13" s="89">
        <f>SUMIFS('11月数据源'!$I:$I,'11月数据源'!$D:$D,$E13,'11月数据源'!$F:$F,"海南精准学科技有限公司")-SUMIFS('11月数据源'!$J:$J,'11月数据源'!$D:$D,$E13,'11月数据源'!$F:$F,"海南精准学科技有限公司")</f>
        <v/>
      </c>
      <c r="Q13" s="89">
        <f>SUMIFS('12月数据源'!$I:$I,'12月数据源'!$D:$D,$E13,'12月数据源'!$F:$F,"海南精准学科技有限公司")-SUMIFS('12月数据源'!$J:$J,'12月数据源'!$D:$D,$E13,'12月数据源'!$F:$F,"海南精准学科技有限公司")</f>
        <v/>
      </c>
    </row>
    <row r="14" s="83">
      <c r="A14" s="5" t="inlineStr">
        <is>
          <t>往来款项收入</t>
        </is>
      </c>
      <c r="B14" s="6" t="inlineStr">
        <is>
          <t>往来款项收入</t>
        </is>
      </c>
      <c r="D14" s="5" t="inlineStr">
        <is>
          <t>外部往来收入</t>
        </is>
      </c>
      <c r="E14" s="6" t="inlineStr">
        <is>
          <t>Q0402</t>
        </is>
      </c>
      <c r="F14" s="89">
        <f>SUMIFS('1月数据源'!I:I,'1月数据源'!D:D,E14,'1月数据源'!F:F,"海南精准学科技有限公司")-SUMIFS('1月数据源'!J:J,'1月数据源'!D:D,E14,'1月数据源'!F:F,"海南精准学科技有限公司")</f>
        <v/>
      </c>
      <c r="G14" s="89">
        <f>SUMIFS('2月数据源'!$I:$I,'2月数据源'!$D:$D,$E14,'2月数据源'!$F:$F,"海南精准学科技有限公司")-SUMIFS('2月数据源'!$J:$J,'2月数据源'!$D:$D,$E14,'2月数据源'!$F:$F,"海南精准学科技有限公司")</f>
        <v/>
      </c>
      <c r="H14" s="89">
        <f>SUMIFS('3月数据源'!$I:$I,'3月数据源'!$D:$D,$E14,'3月数据源'!$F:$F,"海南精准学科技有限公司")-SUMIFS('3月数据源'!$J:$J,'3月数据源'!$D:$D,$E14,'3月数据源'!$F:$F,"海南精准学科技有限公司")</f>
        <v/>
      </c>
      <c r="I14" s="89">
        <f>SUMIFS('4月数据源'!$I:$I,'4月数据源'!$D:$D,$E14,'4月数据源'!$F:$F,"海南精准学科技有限公司")-SUMIFS('4月数据源'!$J:$J,'4月数据源'!$D:$D,$E14,'4月数据源'!$F:$F,"海南精准学科技有限公司")</f>
        <v/>
      </c>
      <c r="J14" s="89">
        <f>SUMIFS('5月数据源'!$I:$I,'5月数据源'!$D:$D,$E14,'5月数据源'!$F:$F,"海南精准学科技有限公司")-SUMIFS('5月数据源'!$J:$J,'5月数据源'!$D:$D,$E14,'5月数据源'!$F:$F,"海南精准学科技有限公司")</f>
        <v/>
      </c>
      <c r="K14" s="89">
        <f>SUMIFS('6月数据源'!$I:$I,'6月数据源'!$D:$D,$E14,'6月数据源'!$F:$F,"海南精准学科技有限公司")-SUMIFS('6月数据源'!$J:$J,'6月数据源'!$D:$D,$E14,'6月数据源'!$F:$F,"海南精准学科技有限公司")</f>
        <v/>
      </c>
      <c r="L14" s="89">
        <f>SUMIFS('7月数据源'!$I:$I,'7月数据源'!$D:$D,$E14,'7月数据源'!$F:$F,"海南精准学科技有限公司")-SUMIFS('7月数据源'!$J:$J,'7月数据源'!$D:$D,$E14,'7月数据源'!$F:$F,"海南精准学科技有限公司")</f>
        <v/>
      </c>
      <c r="M14" s="89">
        <f>SUMIFS('8月数据源'!$I:$I,'8月数据源'!$D:$D,$E14,'8月数据源'!$F:$F,"海南精准学科技有限公司")-SUMIFS('8月数据源'!$J:$J,'8月数据源'!$D:$D,$E14,'8月数据源'!$F:$F,"海南精准学科技有限公司")</f>
        <v/>
      </c>
      <c r="N14" s="89">
        <f>SUMIFS('9月数据源'!$I:$I,'9月数据源'!$D:$D,$E14,'9月数据源'!$F:$F,"海南精准学科技有限公司")-SUMIFS('9月数据源'!$J:$J,'9月数据源'!$D:$D,$E14,'9月数据源'!$F:$F,"海南精准学科技有限公司")</f>
        <v/>
      </c>
      <c r="O14" s="89">
        <f>SUMIFS('10月数据源'!$I:$I,'10月数据源'!$D:$D,$E14,'10月数据源'!$F:$F,"海南精准学科技有限公司")-SUMIFS('10月数据源'!$J:$J,'10月数据源'!$D:$D,$E14,'10月数据源'!$F:$F,"海南精准学科技有限公司")</f>
        <v/>
      </c>
      <c r="P14" s="89">
        <f>SUMIFS('11月数据源'!$I:$I,'11月数据源'!$D:$D,$E14,'11月数据源'!$F:$F,"海南精准学科技有限公司")-SUMIFS('11月数据源'!$J:$J,'11月数据源'!$D:$D,$E14,'11月数据源'!$F:$F,"海南精准学科技有限公司")</f>
        <v/>
      </c>
      <c r="Q14" s="89">
        <f>SUMIFS('12月数据源'!$I:$I,'12月数据源'!$D:$D,$E14,'12月数据源'!$F:$F,"海南精准学科技有限公司")-SUMIFS('12月数据源'!$J:$J,'12月数据源'!$D:$D,$E14,'12月数据源'!$F:$F,"海南精准学科技有限公司")</f>
        <v/>
      </c>
    </row>
    <row r="15" s="83">
      <c r="A15" s="49" t="inlineStr">
        <is>
          <t>往来款项收入合计</t>
        </is>
      </c>
      <c r="B15" s="50" t="n"/>
      <c r="C15" s="50" t="n"/>
      <c r="D15" s="49" t="n"/>
      <c r="E15" s="49" t="n"/>
      <c r="F15" s="89">
        <f>SUM(F13:F14)</f>
        <v/>
      </c>
      <c r="G15" s="89">
        <f>SUM(G13:G14)</f>
        <v/>
      </c>
      <c r="H15" s="89">
        <f>SUM(H13:H14)</f>
        <v/>
      </c>
      <c r="I15" s="89">
        <f>SUM(I13:I14)</f>
        <v/>
      </c>
      <c r="J15" s="89">
        <f>SUM(J13:J14)</f>
        <v/>
      </c>
      <c r="K15" s="89">
        <f>SUM(K13:K14)</f>
        <v/>
      </c>
      <c r="L15" s="89">
        <f>SUM(L13:L14)</f>
        <v/>
      </c>
      <c r="M15" s="89">
        <f>SUM(M13:M14)</f>
        <v/>
      </c>
      <c r="N15" s="89">
        <f>SUM(N13:N14)</f>
        <v/>
      </c>
      <c r="O15" s="89">
        <f>SUM(O13:O14)</f>
        <v/>
      </c>
      <c r="P15" s="89">
        <f>SUM(P13:P14)</f>
        <v/>
      </c>
      <c r="Q15" s="89">
        <f>SUM(Q13:Q14)</f>
        <v/>
      </c>
    </row>
    <row r="16" s="83">
      <c r="A16" s="5" t="inlineStr">
        <is>
          <t>投资款收入</t>
        </is>
      </c>
      <c r="B16" s="6" t="inlineStr">
        <is>
          <t>投资款收入</t>
        </is>
      </c>
      <c r="C16" s="6" t="inlineStr">
        <is>
          <t>投资款收入</t>
        </is>
      </c>
      <c r="D16" s="5" t="inlineStr">
        <is>
          <t>内部投资款收入</t>
        </is>
      </c>
      <c r="E16" s="6" t="inlineStr">
        <is>
          <t>Q0501</t>
        </is>
      </c>
      <c r="F16" s="89">
        <f>SUMIFS('1月数据源'!I:I,'1月数据源'!D:D,E16,'1月数据源'!F:F,"海南精准学科技有限公司")-SUMIFS('1月数据源'!J:J,'1月数据源'!D:D,E16,'1月数据源'!F:F,"海南精准学科技有限公司")</f>
        <v/>
      </c>
      <c r="G16" s="89">
        <f>SUMIFS('2月数据源'!$I:$I,'2月数据源'!$D:$D,$E16,'2月数据源'!$F:$F,"海南精准学科技有限公司")-SUMIFS('2月数据源'!$J:$J,'2月数据源'!$D:$D,$E16,'2月数据源'!$F:$F,"海南精准学科技有限公司")</f>
        <v/>
      </c>
      <c r="H16" s="89">
        <f>SUMIFS('3月数据源'!$I:$I,'3月数据源'!$D:$D,$E16,'3月数据源'!$F:$F,"海南精准学科技有限公司")-SUMIFS('3月数据源'!$J:$J,'3月数据源'!$D:$D,$E16,'3月数据源'!$F:$F,"海南精准学科技有限公司")</f>
        <v/>
      </c>
      <c r="I16" s="89">
        <f>SUMIFS('4月数据源'!$I:$I,'4月数据源'!$D:$D,$E16,'4月数据源'!$F:$F,"海南精准学科技有限公司")-SUMIFS('4月数据源'!$J:$J,'4月数据源'!$D:$D,$E16,'4月数据源'!$F:$F,"海南精准学科技有限公司")</f>
        <v/>
      </c>
      <c r="J16" s="89">
        <f>SUMIFS('5月数据源'!$I:$I,'5月数据源'!$D:$D,$E16,'5月数据源'!$F:$F,"海南精准学科技有限公司")-SUMIFS('5月数据源'!$J:$J,'5月数据源'!$D:$D,$E16,'5月数据源'!$F:$F,"海南精准学科技有限公司")</f>
        <v/>
      </c>
      <c r="K16" s="89">
        <f>SUMIFS('6月数据源'!$I:$I,'6月数据源'!$D:$D,$E16,'6月数据源'!$F:$F,"海南精准学科技有限公司")-SUMIFS('6月数据源'!$J:$J,'6月数据源'!$D:$D,$E16,'6月数据源'!$F:$F,"海南精准学科技有限公司")</f>
        <v/>
      </c>
      <c r="L16" s="89">
        <f>SUMIFS('7月数据源'!$I:$I,'7月数据源'!$D:$D,$E16,'7月数据源'!$F:$F,"海南精准学科技有限公司")-SUMIFS('7月数据源'!$J:$J,'7月数据源'!$D:$D,$E16,'7月数据源'!$F:$F,"海南精准学科技有限公司")</f>
        <v/>
      </c>
      <c r="M16" s="89">
        <f>SUMIFS('8月数据源'!$I:$I,'8月数据源'!$D:$D,$E16,'8月数据源'!$F:$F,"海南精准学科技有限公司")-SUMIFS('8月数据源'!$J:$J,'8月数据源'!$D:$D,$E16,'8月数据源'!$F:$F,"海南精准学科技有限公司")</f>
        <v/>
      </c>
      <c r="N16" s="89">
        <f>SUMIFS('9月数据源'!$I:$I,'9月数据源'!$D:$D,$E16,'9月数据源'!$F:$F,"海南精准学科技有限公司")-SUMIFS('9月数据源'!$J:$J,'9月数据源'!$D:$D,$E16,'9月数据源'!$F:$F,"海南精准学科技有限公司")</f>
        <v/>
      </c>
      <c r="O16" s="89">
        <f>SUMIFS('10月数据源'!$I:$I,'10月数据源'!$D:$D,$E16,'10月数据源'!$F:$F,"海南精准学科技有限公司")-SUMIFS('10月数据源'!$J:$J,'10月数据源'!$D:$D,$E16,'10月数据源'!$F:$F,"海南精准学科技有限公司")</f>
        <v/>
      </c>
      <c r="P16" s="89">
        <f>SUMIFS('11月数据源'!$I:$I,'11月数据源'!$D:$D,$E16,'11月数据源'!$F:$F,"海南精准学科技有限公司")-SUMIFS('11月数据源'!$J:$J,'11月数据源'!$D:$D,$E16,'11月数据源'!$F:$F,"海南精准学科技有限公司")</f>
        <v/>
      </c>
      <c r="Q16" s="89">
        <f>SUMIFS('12月数据源'!$I:$I,'12月数据源'!$D:$D,$E16,'12月数据源'!$F:$F,"海南精准学科技有限公司")-SUMIFS('12月数据源'!$J:$J,'12月数据源'!$D:$D,$E16,'12月数据源'!$F:$F,"海南精准学科技有限公司")</f>
        <v/>
      </c>
    </row>
    <row r="17" s="83">
      <c r="A17" s="5" t="inlineStr">
        <is>
          <t>投资款收入</t>
        </is>
      </c>
      <c r="B17" s="6" t="inlineStr">
        <is>
          <t>投资款收入</t>
        </is>
      </c>
      <c r="D17" s="5" t="inlineStr">
        <is>
          <t>外部投资款收入</t>
        </is>
      </c>
      <c r="E17" s="6" t="inlineStr">
        <is>
          <t>Q0502</t>
        </is>
      </c>
      <c r="F17" s="89">
        <f>SUMIFS('1月数据源'!I:I,'1月数据源'!D:D,E17,'1月数据源'!F:F,"海南精准学科技有限公司")-SUMIFS('1月数据源'!J:J,'1月数据源'!D:D,E17,'1月数据源'!F:F,"海南精准学科技有限公司")</f>
        <v/>
      </c>
      <c r="G17" s="89">
        <f>SUMIFS('2月数据源'!$I:$I,'2月数据源'!$D:$D,$E17,'2月数据源'!$F:$F,"海南精准学科技有限公司")-SUMIFS('2月数据源'!$J:$J,'2月数据源'!$D:$D,$E17,'2月数据源'!$F:$F,"海南精准学科技有限公司")</f>
        <v/>
      </c>
      <c r="H17" s="89">
        <f>SUMIFS('3月数据源'!$I:$I,'3月数据源'!$D:$D,$E17,'3月数据源'!$F:$F,"海南精准学科技有限公司")-SUMIFS('3月数据源'!$J:$J,'3月数据源'!$D:$D,$E17,'3月数据源'!$F:$F,"海南精准学科技有限公司")</f>
        <v/>
      </c>
      <c r="I17" s="89">
        <f>SUMIFS('4月数据源'!$I:$I,'4月数据源'!$D:$D,$E17,'4月数据源'!$F:$F,"海南精准学科技有限公司")-SUMIFS('4月数据源'!$J:$J,'4月数据源'!$D:$D,$E17,'4月数据源'!$F:$F,"海南精准学科技有限公司")</f>
        <v/>
      </c>
      <c r="J17" s="89">
        <f>SUMIFS('5月数据源'!$I:$I,'5月数据源'!$D:$D,$E17,'5月数据源'!$F:$F,"海南精准学科技有限公司")-SUMIFS('5月数据源'!$J:$J,'5月数据源'!$D:$D,$E17,'5月数据源'!$F:$F,"海南精准学科技有限公司")</f>
        <v/>
      </c>
      <c r="K17" s="89">
        <f>SUMIFS('6月数据源'!$I:$I,'6月数据源'!$D:$D,$E17,'6月数据源'!$F:$F,"海南精准学科技有限公司")-SUMIFS('6月数据源'!$J:$J,'6月数据源'!$D:$D,$E17,'6月数据源'!$F:$F,"海南精准学科技有限公司")</f>
        <v/>
      </c>
      <c r="L17" s="89">
        <f>SUMIFS('7月数据源'!$I:$I,'7月数据源'!$D:$D,$E17,'7月数据源'!$F:$F,"海南精准学科技有限公司")-SUMIFS('7月数据源'!$J:$J,'7月数据源'!$D:$D,$E17,'7月数据源'!$F:$F,"海南精准学科技有限公司")</f>
        <v/>
      </c>
      <c r="M17" s="89">
        <f>SUMIFS('8月数据源'!$I:$I,'8月数据源'!$D:$D,$E17,'8月数据源'!$F:$F,"海南精准学科技有限公司")-SUMIFS('8月数据源'!$J:$J,'8月数据源'!$D:$D,$E17,'8月数据源'!$F:$F,"海南精准学科技有限公司")</f>
        <v/>
      </c>
      <c r="N17" s="89">
        <f>SUMIFS('9月数据源'!$I:$I,'9月数据源'!$D:$D,$E17,'9月数据源'!$F:$F,"海南精准学科技有限公司")-SUMIFS('9月数据源'!$J:$J,'9月数据源'!$D:$D,$E17,'9月数据源'!$F:$F,"海南精准学科技有限公司")</f>
        <v/>
      </c>
      <c r="O17" s="89">
        <f>SUMIFS('10月数据源'!$I:$I,'10月数据源'!$D:$D,$E17,'10月数据源'!$F:$F,"海南精准学科技有限公司")-SUMIFS('10月数据源'!$J:$J,'10月数据源'!$D:$D,$E17,'10月数据源'!$F:$F,"海南精准学科技有限公司")</f>
        <v/>
      </c>
      <c r="P17" s="89">
        <f>SUMIFS('11月数据源'!$I:$I,'11月数据源'!$D:$D,$E17,'11月数据源'!$F:$F,"海南精准学科技有限公司")-SUMIFS('11月数据源'!$J:$J,'11月数据源'!$D:$D,$E17,'11月数据源'!$F:$F,"海南精准学科技有限公司")</f>
        <v/>
      </c>
      <c r="Q17" s="89">
        <f>SUMIFS('12月数据源'!$I:$I,'12月数据源'!$D:$D,$E17,'12月数据源'!$F:$F,"海南精准学科技有限公司")-SUMIFS('12月数据源'!$J:$J,'12月数据源'!$D:$D,$E17,'12月数据源'!$F:$F,"海南精准学科技有限公司")</f>
        <v/>
      </c>
    </row>
    <row r="18" s="83">
      <c r="A18" s="49" t="inlineStr">
        <is>
          <t>投资款收入合计</t>
        </is>
      </c>
      <c r="B18" s="50" t="n"/>
      <c r="C18" s="50" t="n"/>
      <c r="D18" s="49" t="n"/>
      <c r="E18" s="49" t="n"/>
      <c r="F18" s="89">
        <f>SUM(F16:F17)</f>
        <v/>
      </c>
      <c r="G18" s="89">
        <f>SUM(G16:G17)</f>
        <v/>
      </c>
      <c r="H18" s="89">
        <f>SUM(H16:H17)</f>
        <v/>
      </c>
      <c r="I18" s="89">
        <f>SUM(I16:I17)</f>
        <v/>
      </c>
      <c r="J18" s="89">
        <f>SUM(J16:J17)</f>
        <v/>
      </c>
      <c r="K18" s="89">
        <f>SUM(K16:K17)</f>
        <v/>
      </c>
      <c r="L18" s="89">
        <f>SUM(L16:L17)</f>
        <v/>
      </c>
      <c r="M18" s="89">
        <f>SUM(M16:M17)</f>
        <v/>
      </c>
      <c r="N18" s="89">
        <f>SUM(N16:N17)</f>
        <v/>
      </c>
      <c r="O18" s="89">
        <f>SUM(O16:O17)</f>
        <v/>
      </c>
      <c r="P18" s="89">
        <f>SUM(P16:P17)</f>
        <v/>
      </c>
      <c r="Q18" s="89">
        <f>SUM(Q16:Q17)</f>
        <v/>
      </c>
    </row>
    <row r="19" s="83">
      <c r="A19" s="51" t="inlineStr">
        <is>
          <t>收款合计</t>
        </is>
      </c>
      <c r="B19" s="52" t="n"/>
      <c r="C19" s="52" t="n"/>
      <c r="D19" s="51" t="n"/>
      <c r="E19" s="51" t="n"/>
      <c r="F19" s="89">
        <f>F12+F15+F18</f>
        <v/>
      </c>
      <c r="G19" s="89">
        <f>G12+G15+G18</f>
        <v/>
      </c>
      <c r="H19" s="89">
        <f>H12+H15+H18</f>
        <v/>
      </c>
      <c r="I19" s="89">
        <f>I12+I15+I18</f>
        <v/>
      </c>
      <c r="J19" s="89">
        <f>J12+J15+J18</f>
        <v/>
      </c>
      <c r="K19" s="89">
        <f>K12+K15+K18</f>
        <v/>
      </c>
      <c r="L19" s="89">
        <f>L12+L15+L18</f>
        <v/>
      </c>
      <c r="M19" s="89">
        <f>M12+M15+M18</f>
        <v/>
      </c>
      <c r="N19" s="89">
        <f>N12+N15+N18</f>
        <v/>
      </c>
      <c r="O19" s="89">
        <f>O12+O15+O18</f>
        <v/>
      </c>
      <c r="P19" s="89">
        <f>P12+P15+P18</f>
        <v/>
      </c>
      <c r="Q19" s="89">
        <f>Q12+Q15+Q18</f>
        <v/>
      </c>
    </row>
    <row r="20" s="83">
      <c r="A20" s="5" t="inlineStr">
        <is>
          <t>往来款项支出</t>
        </is>
      </c>
      <c r="B20" s="6" t="inlineStr">
        <is>
          <t>往来款项支出</t>
        </is>
      </c>
      <c r="C20" s="6" t="inlineStr">
        <is>
          <t>往来款项支出</t>
        </is>
      </c>
      <c r="D20" s="5" t="inlineStr">
        <is>
          <t>内部往来支出</t>
        </is>
      </c>
      <c r="E20" s="6" t="inlineStr">
        <is>
          <t>Q0601</t>
        </is>
      </c>
      <c r="F20" s="89">
        <f>-SUMIFS('1月数据源'!$I:$I,'1月数据源'!$D:$D,$E20,'1月数据源'!$F:$F,"海南精准学科技有限公司")+SUMIFS('1月数据源'!$J:$J,'1月数据源'!$D:$D,$E20,'1月数据源'!$F:$F,"海南精准学科技有限公司")</f>
        <v/>
      </c>
      <c r="G20" s="89">
        <f>-SUMIFS('2月数据源'!$I:$I,'2月数据源'!$D:$D,$E20,'2月数据源'!$F:$F,"海南精准学科技有限公司")+SUMIFS('2月数据源'!$J:$J,'2月数据源'!$D:$D,$E20,'2月数据源'!$F:$F,"海南精准学科技有限公司")</f>
        <v/>
      </c>
      <c r="H20" s="89">
        <f>-SUMIFS('3月数据源'!$I:$I,'3月数据源'!$D:$D,$E20,'3月数据源'!$F:$F,"海南精准学科技有限公司")+SUMIFS('3月数据源'!$J:$J,'3月数据源'!$D:$D,$E20,'3月数据源'!$F:$F,"海南精准学科技有限公司")</f>
        <v/>
      </c>
      <c r="I20" s="89">
        <f>-SUMIFS('4月数据源'!$I:$I,'4月数据源'!$D:$D,$E20,'4月数据源'!$F:$F,"海南精准学科技有限公司")+SUMIFS('4月数据源'!$J:$J,'4月数据源'!$D:$D,$E20,'4月数据源'!$F:$F,"海南精准学科技有限公司")</f>
        <v/>
      </c>
      <c r="J20" s="89">
        <f>-SUMIFS('5月数据源'!$I:$I,'5月数据源'!$D:$D,$E20,'5月数据源'!$F:$F,"海南精准学科技有限公司")+SUMIFS('5月数据源'!$J:$J,'5月数据源'!$D:$D,$E20,'5月数据源'!$F:$F,"海南精准学科技有限公司")</f>
        <v/>
      </c>
      <c r="K20" s="89">
        <f>-SUMIFS('6月数据源'!$I:$I,'6月数据源'!$D:$D,$E20,'6月数据源'!$F:$F,"海南精准学科技有限公司")+SUMIFS('6月数据源'!$J:$J,'6月数据源'!$D:$D,$E20,'6月数据源'!$F:$F,"海南精准学科技有限公司")</f>
        <v/>
      </c>
      <c r="L20" s="89">
        <f>-SUMIFS('7月数据源'!$I:$I,'7月数据源'!$D:$D,$E20,'7月数据源'!$F:$F,"海南精准学科技有限公司")+SUMIFS('7月数据源'!$J:$J,'7月数据源'!$D:$D,$E20,'7月数据源'!$F:$F,"海南精准学科技有限公司")</f>
        <v/>
      </c>
      <c r="M20" s="89">
        <f>-SUMIFS('8月数据源'!$I:$I,'8月数据源'!$D:$D,$E20,'8月数据源'!$F:$F,"海南精准学科技有限公司")+SUMIFS('8月数据源'!$J:$J,'8月数据源'!$D:$D,$E20,'8月数据源'!$F:$F,"海南精准学科技有限公司")</f>
        <v/>
      </c>
      <c r="N20" s="89">
        <f>-SUMIFS('9月数据源'!$I:$I,'9月数据源'!$D:$D,$E20,'9月数据源'!$F:$F,"海南精准学科技有限公司")+SUMIFS('9月数据源'!$J:$J,'9月数据源'!$D:$D,$E20,'9月数据源'!$F:$F,"海南精准学科技有限公司")</f>
        <v/>
      </c>
      <c r="O20" s="89">
        <f>-SUMIFS('10月数据源'!$I:$I,'10月数据源'!$D:$D,$E20,'10月数据源'!$F:$F,"海南精准学科技有限公司")+SUMIFS('10月数据源'!$J:$J,'10月数据源'!$D:$D,$E20,'10月数据源'!$F:$F,"海南精准学科技有限公司")</f>
        <v/>
      </c>
      <c r="P20" s="89">
        <f>-SUMIFS('11月数据源'!$I:$I,'11月数据源'!$D:$D,$E20,'11月数据源'!$F:$F,"海南精准学科技有限公司")+SUMIFS('11月数据源'!$J:$J,'11月数据源'!$D:$D,$E20,'11月数据源'!$F:$F,"海南精准学科技有限公司")</f>
        <v/>
      </c>
      <c r="Q20" s="89">
        <f>-SUMIFS('12月数据源'!$I:$I,'12月数据源'!$D:$D,$E20,'12月数据源'!$F:$F,"海南精准学科技有限公司")+SUMIFS('12月数据源'!$J:$J,'12月数据源'!$D:$D,$E20,'12月数据源'!$F:$F,"海南精准学科技有限公司")</f>
        <v/>
      </c>
    </row>
    <row r="21" s="83">
      <c r="A21" s="5" t="inlineStr">
        <is>
          <t>往来款项支出</t>
        </is>
      </c>
      <c r="B21" s="6" t="inlineStr">
        <is>
          <t>往来款项支出</t>
        </is>
      </c>
      <c r="D21" s="5" t="inlineStr">
        <is>
          <t>外部往来支出</t>
        </is>
      </c>
      <c r="E21" s="6" t="inlineStr">
        <is>
          <t>Q0602</t>
        </is>
      </c>
      <c r="F21" s="89">
        <f>-SUMIFS('1月数据源'!I:I,'1月数据源'!D:D,E21,'1月数据源'!F:F,"海南精准学科技有限公司")+SUMIFS('1月数据源'!J:J,'1月数据源'!D:D,E21,'1月数据源'!F:F,"海南精准学科技有限公司")</f>
        <v/>
      </c>
      <c r="G21" s="89">
        <f>-SUMIFS('2月数据源'!$I:$I,'2月数据源'!$D:$D,$E21,'2月数据源'!$F:$F,"海南精准学科技有限公司")+SUMIFS('2月数据源'!$J:$J,'2月数据源'!$D:$D,$E21,'2月数据源'!$F:$F,"海南精准学科技有限公司")</f>
        <v/>
      </c>
      <c r="H21" s="89">
        <f>-SUMIFS('3月数据源'!$I:$I,'3月数据源'!$D:$D,$E21,'3月数据源'!$F:$F,"海南精准学科技有限公司")+SUMIFS('3月数据源'!$J:$J,'3月数据源'!$D:$D,$E21,'3月数据源'!$F:$F,"海南精准学科技有限公司")</f>
        <v/>
      </c>
      <c r="I21" s="89">
        <f>-SUMIFS('4月数据源'!$I:$I,'4月数据源'!$D:$D,$E21,'4月数据源'!$F:$F,"海南精准学科技有限公司")+SUMIFS('4月数据源'!$J:$J,'4月数据源'!$D:$D,$E21,'4月数据源'!$F:$F,"海南精准学科技有限公司")</f>
        <v/>
      </c>
      <c r="J21" s="89">
        <f>-SUMIFS('5月数据源'!$I:$I,'5月数据源'!$D:$D,$E21,'5月数据源'!$F:$F,"海南精准学科技有限公司")+SUMIFS('5月数据源'!$J:$J,'5月数据源'!$D:$D,$E21,'5月数据源'!$F:$F,"海南精准学科技有限公司")</f>
        <v/>
      </c>
      <c r="K21" s="89">
        <f>-SUMIFS('6月数据源'!$I:$I,'6月数据源'!$D:$D,$E21,'6月数据源'!$F:$F,"海南精准学科技有限公司")+SUMIFS('6月数据源'!$J:$J,'6月数据源'!$D:$D,$E21,'6月数据源'!$F:$F,"海南精准学科技有限公司")</f>
        <v/>
      </c>
      <c r="L21" s="89">
        <f>-SUMIFS('7月数据源'!$I:$I,'7月数据源'!$D:$D,$E21,'7月数据源'!$F:$F,"海南精准学科技有限公司")+SUMIFS('7月数据源'!$J:$J,'7月数据源'!$D:$D,$E21,'7月数据源'!$F:$F,"海南精准学科技有限公司")</f>
        <v/>
      </c>
      <c r="M21" s="89">
        <f>-SUMIFS('8月数据源'!$I:$I,'8月数据源'!$D:$D,$E21,'8月数据源'!$F:$F,"海南精准学科技有限公司")+SUMIFS('8月数据源'!$J:$J,'8月数据源'!$D:$D,$E21,'8月数据源'!$F:$F,"海南精准学科技有限公司")</f>
        <v/>
      </c>
      <c r="N21" s="89">
        <f>-SUMIFS('9月数据源'!$I:$I,'9月数据源'!$D:$D,$E21,'9月数据源'!$F:$F,"海南精准学科技有限公司")+SUMIFS('9月数据源'!$J:$J,'9月数据源'!$D:$D,$E21,'9月数据源'!$F:$F,"海南精准学科技有限公司")</f>
        <v/>
      </c>
      <c r="O21" s="89">
        <f>-SUMIFS('10月数据源'!$I:$I,'10月数据源'!$D:$D,$E21,'10月数据源'!$F:$F,"海南精准学科技有限公司")+SUMIFS('10月数据源'!$J:$J,'10月数据源'!$D:$D,$E21,'10月数据源'!$F:$F,"海南精准学科技有限公司")</f>
        <v/>
      </c>
      <c r="P21" s="89">
        <f>-SUMIFS('11月数据源'!$I:$I,'11月数据源'!$D:$D,$E21,'11月数据源'!$F:$F,"海南精准学科技有限公司")+SUMIFS('11月数据源'!$J:$J,'11月数据源'!$D:$D,$E21,'11月数据源'!$F:$F,"海南精准学科技有限公司")</f>
        <v/>
      </c>
      <c r="Q21" s="89">
        <f>-SUMIFS('12月数据源'!$I:$I,'12月数据源'!$D:$D,$E21,'12月数据源'!$F:$F,"海南精准学科技有限公司")+SUMIFS('12月数据源'!$J:$J,'12月数据源'!$D:$D,$E21,'12月数据源'!$F:$F,"海南精准学科技有限公司")</f>
        <v/>
      </c>
    </row>
    <row r="22" s="83">
      <c r="A22" s="49" t="inlineStr">
        <is>
          <t>往来款项支出合计</t>
        </is>
      </c>
      <c r="B22" s="50" t="n"/>
      <c r="C22" s="50" t="n"/>
      <c r="D22" s="49" t="n"/>
      <c r="E22" s="49" t="n"/>
      <c r="F22" s="89">
        <f>SUM(F20:F21)</f>
        <v/>
      </c>
      <c r="G22" s="89">
        <f>SUM(G20:G21)</f>
        <v/>
      </c>
      <c r="H22" s="89">
        <f>SUM(H20:H21)</f>
        <v/>
      </c>
      <c r="I22" s="89">
        <f>SUM(I20:I21)</f>
        <v/>
      </c>
      <c r="J22" s="89">
        <f>SUM(J20:J21)</f>
        <v/>
      </c>
      <c r="K22" s="89">
        <f>SUM(K20:K21)</f>
        <v/>
      </c>
      <c r="L22" s="89">
        <f>SUM(L20:L21)</f>
        <v/>
      </c>
      <c r="M22" s="89">
        <f>SUM(M20:M21)</f>
        <v/>
      </c>
      <c r="N22" s="89">
        <f>SUM(N20:N21)</f>
        <v/>
      </c>
      <c r="O22" s="89">
        <f>SUM(O20:O21)</f>
        <v/>
      </c>
      <c r="P22" s="89">
        <f>SUM(P20:P21)</f>
        <v/>
      </c>
      <c r="Q22" s="89">
        <f>SUM(Q20:Q21)</f>
        <v/>
      </c>
    </row>
    <row r="23" s="83">
      <c r="A23" s="5" t="inlineStr">
        <is>
          <t>投资款支出</t>
        </is>
      </c>
      <c r="B23" s="6" t="inlineStr">
        <is>
          <t>投资款支出</t>
        </is>
      </c>
      <c r="C23" s="6" t="inlineStr">
        <is>
          <t>投资款支出</t>
        </is>
      </c>
      <c r="D23" s="5" t="inlineStr">
        <is>
          <t>内部投资款支出</t>
        </is>
      </c>
      <c r="E23" s="6" t="inlineStr">
        <is>
          <t>Q0701</t>
        </is>
      </c>
      <c r="F23" s="89">
        <f>-SUMIFS('1月数据源'!I:I,'1月数据源'!D:D,E23,'1月数据源'!F:F,"海南精准学科技有限公司")+SUMIFS('1月数据源'!J:J,'1月数据源'!D:D,E23,'1月数据源'!F:F,"海南精准学科技有限公司")</f>
        <v/>
      </c>
      <c r="G23" s="89">
        <f>-SUMIFS('2月数据源'!$I:$I,'2月数据源'!$D:$D,$E23,'2月数据源'!$F:$F,"海南精准学科技有限公司")+SUMIFS('2月数据源'!$J:$J,'2月数据源'!$D:$D,$E23,'2月数据源'!$F:$F,"海南精准学科技有限公司")</f>
        <v/>
      </c>
      <c r="H23" s="89">
        <f>-SUMIFS('3月数据源'!$I:$I,'3月数据源'!$D:$D,$E23,'3月数据源'!$F:$F,"海南精准学科技有限公司")+SUMIFS('3月数据源'!$J:$J,'3月数据源'!$D:$D,$E23,'3月数据源'!$F:$F,"海南精准学科技有限公司")</f>
        <v/>
      </c>
      <c r="I23" s="89">
        <f>-SUMIFS('4月数据源'!$I:$I,'4月数据源'!$D:$D,$E23,'4月数据源'!$F:$F,"海南精准学科技有限公司")+SUMIFS('4月数据源'!$J:$J,'4月数据源'!$D:$D,$E23,'4月数据源'!$F:$F,"海南精准学科技有限公司")</f>
        <v/>
      </c>
      <c r="J23" s="89">
        <f>-SUMIFS('5月数据源'!$I:$I,'5月数据源'!$D:$D,$E23,'5月数据源'!$F:$F,"海南精准学科技有限公司")+SUMIFS('5月数据源'!$J:$J,'5月数据源'!$D:$D,$E23,'5月数据源'!$F:$F,"海南精准学科技有限公司")</f>
        <v/>
      </c>
      <c r="K23" s="89">
        <f>-SUMIFS('6月数据源'!$I:$I,'6月数据源'!$D:$D,$E23,'6月数据源'!$F:$F,"海南精准学科技有限公司")+SUMIFS('6月数据源'!$J:$J,'6月数据源'!$D:$D,$E23,'6月数据源'!$F:$F,"海南精准学科技有限公司")</f>
        <v/>
      </c>
      <c r="L23" s="89">
        <f>-SUMIFS('7月数据源'!$I:$I,'7月数据源'!$D:$D,$E23,'7月数据源'!$F:$F,"海南精准学科技有限公司")+SUMIFS('7月数据源'!$J:$J,'7月数据源'!$D:$D,$E23,'7月数据源'!$F:$F,"海南精准学科技有限公司")</f>
        <v/>
      </c>
      <c r="M23" s="89">
        <f>-SUMIFS('8月数据源'!$I:$I,'8月数据源'!$D:$D,$E23,'8月数据源'!$F:$F,"海南精准学科技有限公司")+SUMIFS('8月数据源'!$J:$J,'8月数据源'!$D:$D,$E23,'8月数据源'!$F:$F,"海南精准学科技有限公司")</f>
        <v/>
      </c>
      <c r="N23" s="89">
        <f>-SUMIFS('9月数据源'!$I:$I,'9月数据源'!$D:$D,$E23,'9月数据源'!$F:$F,"海南精准学科技有限公司")+SUMIFS('9月数据源'!$J:$J,'9月数据源'!$D:$D,$E23,'9月数据源'!$F:$F,"海南精准学科技有限公司")</f>
        <v/>
      </c>
      <c r="O23" s="89">
        <f>-SUMIFS('10月数据源'!$I:$I,'10月数据源'!$D:$D,$E23,'10月数据源'!$F:$F,"海南精准学科技有限公司")+SUMIFS('10月数据源'!$J:$J,'10月数据源'!$D:$D,$E23,'10月数据源'!$F:$F,"海南精准学科技有限公司")</f>
        <v/>
      </c>
      <c r="P23" s="89">
        <f>-SUMIFS('11月数据源'!$I:$I,'11月数据源'!$D:$D,$E23,'11月数据源'!$F:$F,"海南精准学科技有限公司")+SUMIFS('11月数据源'!$J:$J,'11月数据源'!$D:$D,$E23,'11月数据源'!$F:$F,"海南精准学科技有限公司")</f>
        <v/>
      </c>
      <c r="Q23" s="89">
        <f>-SUMIFS('12月数据源'!$I:$I,'12月数据源'!$D:$D,$E23,'12月数据源'!$F:$F,"海南精准学科技有限公司")+SUMIFS('12月数据源'!$J:$J,'12月数据源'!$D:$D,$E23,'12月数据源'!$F:$F,"海南精准学科技有限公司")</f>
        <v/>
      </c>
    </row>
    <row r="24" s="83">
      <c r="A24" s="49" t="inlineStr">
        <is>
          <t>投资款支出合计</t>
        </is>
      </c>
      <c r="B24" s="50" t="n"/>
      <c r="C24" s="50" t="n"/>
      <c r="D24" s="49" t="n"/>
      <c r="E24" s="49" t="n"/>
      <c r="F24" s="89">
        <f>SUM(F23:F23)</f>
        <v/>
      </c>
      <c r="G24" s="89">
        <f>SUM(G23:G23)</f>
        <v/>
      </c>
      <c r="H24" s="89">
        <f>SUM(H23:H23)</f>
        <v/>
      </c>
      <c r="I24" s="89">
        <f>SUM(I23:I23)</f>
        <v/>
      </c>
      <c r="J24" s="89">
        <f>SUM(J23:J23)</f>
        <v/>
      </c>
      <c r="K24" s="89">
        <f>SUM(K23:K23)</f>
        <v/>
      </c>
      <c r="L24" s="89">
        <f>SUM(L23:L23)</f>
        <v/>
      </c>
      <c r="M24" s="89">
        <f>SUM(M23:M23)</f>
        <v/>
      </c>
      <c r="N24" s="89">
        <f>SUM(N23:N23)</f>
        <v/>
      </c>
      <c r="O24" s="89">
        <f>SUM(O23:O23)</f>
        <v/>
      </c>
      <c r="P24" s="89">
        <f>SUM(P23:P23)</f>
        <v/>
      </c>
      <c r="Q24" s="89">
        <f>SUM(Q23:Q23)</f>
        <v/>
      </c>
    </row>
    <row r="25" s="83">
      <c r="A25" s="5" t="inlineStr">
        <is>
          <t>人工成本</t>
        </is>
      </c>
      <c r="B25" s="6" t="inlineStr">
        <is>
          <t>人工成本</t>
        </is>
      </c>
      <c r="C25" s="6" t="inlineStr">
        <is>
          <t>人工成本</t>
        </is>
      </c>
      <c r="D25" s="5" t="inlineStr">
        <is>
          <t>实发工资</t>
        </is>
      </c>
      <c r="E25" s="6" t="inlineStr">
        <is>
          <t>Q0801</t>
        </is>
      </c>
      <c r="F25" s="89">
        <f>-SUMIFS('1月数据源'!I:I,'1月数据源'!D:D,E25,'1月数据源'!F:F,"海南精准学科技有限公司")+SUMIFS('1月数据源'!J:J,'1月数据源'!D:D,E25,'1月数据源'!F:F,"海南精准学科技有限公司")</f>
        <v/>
      </c>
      <c r="G25" s="89">
        <f>-SUMIFS('2月数据源'!$I:$I,'2月数据源'!$D:$D,$E25,'2月数据源'!$F:$F,"海南精准学科技有限公司")+SUMIFS('2月数据源'!$J:$J,'2月数据源'!$D:$D,$E25,'2月数据源'!$F:$F,"海南精准学科技有限公司")</f>
        <v/>
      </c>
      <c r="H25" s="89">
        <f>-SUMIFS('3月数据源'!$I:$I,'3月数据源'!$D:$D,$E25,'3月数据源'!$F:$F,"海南精准学科技有限公司")+SUMIFS('3月数据源'!$J:$J,'3月数据源'!$D:$D,$E25,'3月数据源'!$F:$F,"海南精准学科技有限公司")</f>
        <v/>
      </c>
      <c r="I25" s="89">
        <f>-SUMIFS('4月数据源'!$I:$I,'4月数据源'!$D:$D,$E25,'4月数据源'!$F:$F,"海南精准学科技有限公司")+SUMIFS('4月数据源'!$J:$J,'4月数据源'!$D:$D,$E25,'4月数据源'!$F:$F,"海南精准学科技有限公司")</f>
        <v/>
      </c>
      <c r="J25" s="89">
        <f>-SUMIFS('5月数据源'!$I:$I,'5月数据源'!$D:$D,$E25,'5月数据源'!$F:$F,"海南精准学科技有限公司")+SUMIFS('5月数据源'!$J:$J,'5月数据源'!$D:$D,$E25,'5月数据源'!$F:$F,"海南精准学科技有限公司")</f>
        <v/>
      </c>
      <c r="K25" s="89">
        <f>-SUMIFS('6月数据源'!$I:$I,'6月数据源'!$D:$D,$E25,'6月数据源'!$F:$F,"海南精准学科技有限公司")+SUMIFS('6月数据源'!$J:$J,'6月数据源'!$D:$D,$E25,'6月数据源'!$F:$F,"海南精准学科技有限公司")</f>
        <v/>
      </c>
      <c r="L25" s="89">
        <f>-SUMIFS('7月数据源'!$I:$I,'7月数据源'!$D:$D,$E25,'7月数据源'!$F:$F,"海南精准学科技有限公司")+SUMIFS('7月数据源'!$J:$J,'7月数据源'!$D:$D,$E25,'7月数据源'!$F:$F,"海南精准学科技有限公司")</f>
        <v/>
      </c>
      <c r="M25" s="89">
        <f>-SUMIFS('8月数据源'!$I:$I,'8月数据源'!$D:$D,$E25,'8月数据源'!$F:$F,"海南精准学科技有限公司")+SUMIFS('8月数据源'!$J:$J,'8月数据源'!$D:$D,$E25,'8月数据源'!$F:$F,"海南精准学科技有限公司")</f>
        <v/>
      </c>
      <c r="N25" s="89">
        <f>-SUMIFS('9月数据源'!$I:$I,'9月数据源'!$D:$D,$E25,'9月数据源'!$F:$F,"海南精准学科技有限公司")+SUMIFS('9月数据源'!$J:$J,'9月数据源'!$D:$D,$E25,'9月数据源'!$F:$F,"海南精准学科技有限公司")</f>
        <v/>
      </c>
      <c r="O25" s="89">
        <f>-SUMIFS('10月数据源'!$I:$I,'10月数据源'!$D:$D,$E25,'10月数据源'!$F:$F,"海南精准学科技有限公司")+SUMIFS('10月数据源'!$J:$J,'10月数据源'!$D:$D,$E25,'10月数据源'!$F:$F,"海南精准学科技有限公司")</f>
        <v/>
      </c>
      <c r="P25" s="89">
        <f>-SUMIFS('11月数据源'!$I:$I,'11月数据源'!$D:$D,$E25,'11月数据源'!$F:$F,"海南精准学科技有限公司")+SUMIFS('11月数据源'!$J:$J,'11月数据源'!$D:$D,$E25,'11月数据源'!$F:$F,"海南精准学科技有限公司")</f>
        <v/>
      </c>
      <c r="Q25" s="89">
        <f>-SUMIFS('12月数据源'!$I:$I,'12月数据源'!$D:$D,$E25,'12月数据源'!$F:$F,"海南精准学科技有限公司")+SUMIFS('12月数据源'!$J:$J,'12月数据源'!$D:$D,$E25,'12月数据源'!$F:$F,"海南精准学科技有限公司")</f>
        <v/>
      </c>
    </row>
    <row r="26" s="83">
      <c r="A26" s="5" t="inlineStr">
        <is>
          <t>人工成本</t>
        </is>
      </c>
      <c r="B26" s="6" t="inlineStr">
        <is>
          <t>人工成本</t>
        </is>
      </c>
      <c r="D26" s="5" t="inlineStr">
        <is>
          <t>奖金</t>
        </is>
      </c>
      <c r="E26" s="6" t="inlineStr">
        <is>
          <t>Q0802</t>
        </is>
      </c>
      <c r="F26" s="89">
        <f>-SUMIFS('1月数据源'!I:I,'1月数据源'!D:D,E26,'1月数据源'!F:F,"海南精准学科技有限公司")+SUMIFS('1月数据源'!J:J,'1月数据源'!D:D,E26,'1月数据源'!F:F,"海南精准学科技有限公司")</f>
        <v/>
      </c>
      <c r="G26" s="89">
        <f>-SUMIFS('2月数据源'!$I:$I,'2月数据源'!$D:$D,$E26,'2月数据源'!$F:$F,"海南精准学科技有限公司")+SUMIFS('2月数据源'!$J:$J,'2月数据源'!$D:$D,$E26,'2月数据源'!$F:$F,"海南精准学科技有限公司")</f>
        <v/>
      </c>
      <c r="H26" s="89">
        <f>-SUMIFS('3月数据源'!$I:$I,'3月数据源'!$D:$D,$E26,'3月数据源'!$F:$F,"海南精准学科技有限公司")+SUMIFS('3月数据源'!$J:$J,'3月数据源'!$D:$D,$E26,'3月数据源'!$F:$F,"海南精准学科技有限公司")</f>
        <v/>
      </c>
      <c r="I26" s="89">
        <f>-SUMIFS('4月数据源'!$I:$I,'4月数据源'!$D:$D,$E26,'4月数据源'!$F:$F,"海南精准学科技有限公司")+SUMIFS('4月数据源'!$J:$J,'4月数据源'!$D:$D,$E26,'4月数据源'!$F:$F,"海南精准学科技有限公司")</f>
        <v/>
      </c>
      <c r="J26" s="89">
        <f>-SUMIFS('5月数据源'!$I:$I,'5月数据源'!$D:$D,$E26,'5月数据源'!$F:$F,"海南精准学科技有限公司")+SUMIFS('5月数据源'!$J:$J,'5月数据源'!$D:$D,$E26,'5月数据源'!$F:$F,"海南精准学科技有限公司")</f>
        <v/>
      </c>
      <c r="K26" s="89">
        <f>-SUMIFS('6月数据源'!$I:$I,'6月数据源'!$D:$D,$E26,'6月数据源'!$F:$F,"海南精准学科技有限公司")+SUMIFS('6月数据源'!$J:$J,'6月数据源'!$D:$D,$E26,'6月数据源'!$F:$F,"海南精准学科技有限公司")</f>
        <v/>
      </c>
      <c r="L26" s="89">
        <f>-SUMIFS('7月数据源'!$I:$I,'7月数据源'!$D:$D,$E26,'7月数据源'!$F:$F,"海南精准学科技有限公司")+SUMIFS('7月数据源'!$J:$J,'7月数据源'!$D:$D,$E26,'7月数据源'!$F:$F,"海南精准学科技有限公司")</f>
        <v/>
      </c>
      <c r="M26" s="89">
        <f>-SUMIFS('8月数据源'!$I:$I,'8月数据源'!$D:$D,$E26,'8月数据源'!$F:$F,"海南精准学科技有限公司")+SUMIFS('8月数据源'!$J:$J,'8月数据源'!$D:$D,$E26,'8月数据源'!$F:$F,"海南精准学科技有限公司")</f>
        <v/>
      </c>
      <c r="N26" s="89">
        <f>-SUMIFS('9月数据源'!$I:$I,'9月数据源'!$D:$D,$E26,'9月数据源'!$F:$F,"海南精准学科技有限公司")+SUMIFS('9月数据源'!$J:$J,'9月数据源'!$D:$D,$E26,'9月数据源'!$F:$F,"海南精准学科技有限公司")</f>
        <v/>
      </c>
      <c r="O26" s="89">
        <f>-SUMIFS('10月数据源'!$I:$I,'10月数据源'!$D:$D,$E26,'10月数据源'!$F:$F,"海南精准学科技有限公司")+SUMIFS('10月数据源'!$J:$J,'10月数据源'!$D:$D,$E26,'10月数据源'!$F:$F,"海南精准学科技有限公司")</f>
        <v/>
      </c>
      <c r="P26" s="89">
        <f>-SUMIFS('11月数据源'!$I:$I,'11月数据源'!$D:$D,$E26,'11月数据源'!$F:$F,"海南精准学科技有限公司")+SUMIFS('11月数据源'!$J:$J,'11月数据源'!$D:$D,$E26,'11月数据源'!$F:$F,"海南精准学科技有限公司")</f>
        <v/>
      </c>
      <c r="Q26" s="89">
        <f>-SUMIFS('12月数据源'!$I:$I,'12月数据源'!$D:$D,$E26,'12月数据源'!$F:$F,"海南精准学科技有限公司")+SUMIFS('12月数据源'!$J:$J,'12月数据源'!$D:$D,$E26,'12月数据源'!$F:$F,"海南精准学科技有限公司")</f>
        <v/>
      </c>
    </row>
    <row r="27" s="83">
      <c r="A27" s="5" t="inlineStr">
        <is>
          <t>人工成本</t>
        </is>
      </c>
      <c r="B27" s="6" t="inlineStr">
        <is>
          <t>人工成本</t>
        </is>
      </c>
      <c r="D27" s="5" t="inlineStr">
        <is>
          <t>社保（单位+个人）</t>
        </is>
      </c>
      <c r="E27" s="6" t="inlineStr">
        <is>
          <t>Q0803</t>
        </is>
      </c>
      <c r="F27" s="89">
        <f>-SUMIFS('1月数据源'!I:I,'1月数据源'!D:D,E27,'1月数据源'!F:F,"海南精准学科技有限公司")+SUMIFS('1月数据源'!J:J,'1月数据源'!D:D,E27,'1月数据源'!F:F,"海南精准学科技有限公司")</f>
        <v/>
      </c>
      <c r="G27" s="89">
        <f>-SUMIFS('2月数据源'!$I:$I,'2月数据源'!$D:$D,$E27,'2月数据源'!$F:$F,"海南精准学科技有限公司")+SUMIFS('2月数据源'!$J:$J,'2月数据源'!$D:$D,$E27,'2月数据源'!$F:$F,"海南精准学科技有限公司")</f>
        <v/>
      </c>
      <c r="H27" s="89">
        <f>-SUMIFS('3月数据源'!$I:$I,'3月数据源'!$D:$D,$E27,'3月数据源'!$F:$F,"海南精准学科技有限公司")+SUMIFS('3月数据源'!$J:$J,'3月数据源'!$D:$D,$E27,'3月数据源'!$F:$F,"海南精准学科技有限公司")</f>
        <v/>
      </c>
      <c r="I27" s="89">
        <f>-SUMIFS('4月数据源'!$I:$I,'4月数据源'!$D:$D,$E27,'4月数据源'!$F:$F,"海南精准学科技有限公司")+SUMIFS('4月数据源'!$J:$J,'4月数据源'!$D:$D,$E27,'4月数据源'!$F:$F,"海南精准学科技有限公司")</f>
        <v/>
      </c>
      <c r="J27" s="89">
        <f>-SUMIFS('5月数据源'!$I:$I,'5月数据源'!$D:$D,$E27,'5月数据源'!$F:$F,"海南精准学科技有限公司")+SUMIFS('5月数据源'!$J:$J,'5月数据源'!$D:$D,$E27,'5月数据源'!$F:$F,"海南精准学科技有限公司")</f>
        <v/>
      </c>
      <c r="K27" s="89">
        <f>-SUMIFS('6月数据源'!$I:$I,'6月数据源'!$D:$D,$E27,'6月数据源'!$F:$F,"海南精准学科技有限公司")+SUMIFS('6月数据源'!$J:$J,'6月数据源'!$D:$D,$E27,'6月数据源'!$F:$F,"海南精准学科技有限公司")</f>
        <v/>
      </c>
      <c r="L27" s="89">
        <f>-SUMIFS('7月数据源'!$I:$I,'7月数据源'!$D:$D,$E27,'7月数据源'!$F:$F,"海南精准学科技有限公司")+SUMIFS('7月数据源'!$J:$J,'7月数据源'!$D:$D,$E27,'7月数据源'!$F:$F,"海南精准学科技有限公司")</f>
        <v/>
      </c>
      <c r="M27" s="89">
        <f>-SUMIFS('8月数据源'!$I:$I,'8月数据源'!$D:$D,$E27,'8月数据源'!$F:$F,"海南精准学科技有限公司")+SUMIFS('8月数据源'!$J:$J,'8月数据源'!$D:$D,$E27,'8月数据源'!$F:$F,"海南精准学科技有限公司")</f>
        <v/>
      </c>
      <c r="N27" s="89">
        <f>-SUMIFS('9月数据源'!$I:$I,'9月数据源'!$D:$D,$E27,'9月数据源'!$F:$F,"海南精准学科技有限公司")+SUMIFS('9月数据源'!$J:$J,'9月数据源'!$D:$D,$E27,'9月数据源'!$F:$F,"海南精准学科技有限公司")</f>
        <v/>
      </c>
      <c r="O27" s="89">
        <f>-SUMIFS('10月数据源'!$I:$I,'10月数据源'!$D:$D,$E27,'10月数据源'!$F:$F,"海南精准学科技有限公司")+SUMIFS('10月数据源'!$J:$J,'10月数据源'!$D:$D,$E27,'10月数据源'!$F:$F,"海南精准学科技有限公司")</f>
        <v/>
      </c>
      <c r="P27" s="89">
        <f>-SUMIFS('11月数据源'!$I:$I,'11月数据源'!$D:$D,$E27,'11月数据源'!$F:$F,"海南精准学科技有限公司")+SUMIFS('11月数据源'!$J:$J,'11月数据源'!$D:$D,$E27,'11月数据源'!$F:$F,"海南精准学科技有限公司")</f>
        <v/>
      </c>
      <c r="Q27" s="89">
        <f>-SUMIFS('12月数据源'!$I:$I,'12月数据源'!$D:$D,$E27,'12月数据源'!$F:$F,"海南精准学科技有限公司")+SUMIFS('12月数据源'!$J:$J,'12月数据源'!$D:$D,$E27,'12月数据源'!$F:$F,"海南精准学科技有限公司")</f>
        <v/>
      </c>
    </row>
    <row r="28" s="83">
      <c r="A28" s="5" t="inlineStr">
        <is>
          <t>人工成本</t>
        </is>
      </c>
      <c r="B28" s="6" t="inlineStr">
        <is>
          <t>人工成本</t>
        </is>
      </c>
      <c r="D28" s="5" t="inlineStr">
        <is>
          <t>公积金（单位+个人）</t>
        </is>
      </c>
      <c r="E28" s="6" t="inlineStr">
        <is>
          <t>Q0804</t>
        </is>
      </c>
      <c r="F28" s="89">
        <f>-SUMIFS('1月数据源'!I:I,'1月数据源'!D:D,E28,'1月数据源'!F:F,"海南精准学科技有限公司")+SUMIFS('1月数据源'!J:J,'1月数据源'!D:D,E28,'1月数据源'!F:F,"海南精准学科技有限公司")</f>
        <v/>
      </c>
      <c r="G28" s="89">
        <f>-SUMIFS('2月数据源'!$I:$I,'2月数据源'!$D:$D,$E28,'2月数据源'!$F:$F,"海南精准学科技有限公司")+SUMIFS('2月数据源'!$J:$J,'2月数据源'!$D:$D,$E28,'2月数据源'!$F:$F,"海南精准学科技有限公司")</f>
        <v/>
      </c>
      <c r="H28" s="89">
        <f>-SUMIFS('3月数据源'!$I:$I,'3月数据源'!$D:$D,$E28,'3月数据源'!$F:$F,"海南精准学科技有限公司")+SUMIFS('3月数据源'!$J:$J,'3月数据源'!$D:$D,$E28,'3月数据源'!$F:$F,"海南精准学科技有限公司")</f>
        <v/>
      </c>
      <c r="I28" s="89">
        <f>-SUMIFS('4月数据源'!$I:$I,'4月数据源'!$D:$D,$E28,'4月数据源'!$F:$F,"海南精准学科技有限公司")+SUMIFS('4月数据源'!$J:$J,'4月数据源'!$D:$D,$E28,'4月数据源'!$F:$F,"海南精准学科技有限公司")</f>
        <v/>
      </c>
      <c r="J28" s="89">
        <f>-SUMIFS('5月数据源'!$I:$I,'5月数据源'!$D:$D,$E28,'5月数据源'!$F:$F,"海南精准学科技有限公司")+SUMIFS('5月数据源'!$J:$J,'5月数据源'!$D:$D,$E28,'5月数据源'!$F:$F,"海南精准学科技有限公司")</f>
        <v/>
      </c>
      <c r="K28" s="89">
        <f>-SUMIFS('6月数据源'!$I:$I,'6月数据源'!$D:$D,$E28,'6月数据源'!$F:$F,"海南精准学科技有限公司")+SUMIFS('6月数据源'!$J:$J,'6月数据源'!$D:$D,$E28,'6月数据源'!$F:$F,"海南精准学科技有限公司")</f>
        <v/>
      </c>
      <c r="L28" s="89">
        <f>-SUMIFS('7月数据源'!$I:$I,'7月数据源'!$D:$D,$E28,'7月数据源'!$F:$F,"海南精准学科技有限公司")+SUMIFS('7月数据源'!$J:$J,'7月数据源'!$D:$D,$E28,'7月数据源'!$F:$F,"海南精准学科技有限公司")</f>
        <v/>
      </c>
      <c r="M28" s="89">
        <f>-SUMIFS('8月数据源'!$I:$I,'8月数据源'!$D:$D,$E28,'8月数据源'!$F:$F,"海南精准学科技有限公司")+SUMIFS('8月数据源'!$J:$J,'8月数据源'!$D:$D,$E28,'8月数据源'!$F:$F,"海南精准学科技有限公司")</f>
        <v/>
      </c>
      <c r="N28" s="89">
        <f>-SUMIFS('9月数据源'!$I:$I,'9月数据源'!$D:$D,$E28,'9月数据源'!$F:$F,"海南精准学科技有限公司")+SUMIFS('9月数据源'!$J:$J,'9月数据源'!$D:$D,$E28,'9月数据源'!$F:$F,"海南精准学科技有限公司")</f>
        <v/>
      </c>
      <c r="O28" s="89">
        <f>-SUMIFS('10月数据源'!$I:$I,'10月数据源'!$D:$D,$E28,'10月数据源'!$F:$F,"海南精准学科技有限公司")+SUMIFS('10月数据源'!$J:$J,'10月数据源'!$D:$D,$E28,'10月数据源'!$F:$F,"海南精准学科技有限公司")</f>
        <v/>
      </c>
      <c r="P28" s="89">
        <f>-SUMIFS('11月数据源'!$I:$I,'11月数据源'!$D:$D,$E28,'11月数据源'!$F:$F,"海南精准学科技有限公司")+SUMIFS('11月数据源'!$J:$J,'11月数据源'!$D:$D,$E28,'11月数据源'!$F:$F,"海南精准学科技有限公司")</f>
        <v/>
      </c>
      <c r="Q28" s="89">
        <f>-SUMIFS('12月数据源'!$I:$I,'12月数据源'!$D:$D,$E28,'12月数据源'!$F:$F,"海南精准学科技有限公司")+SUMIFS('12月数据源'!$J:$J,'12月数据源'!$D:$D,$E28,'12月数据源'!$F:$F,"海南精准学科技有限公司")</f>
        <v/>
      </c>
    </row>
    <row r="29" s="83">
      <c r="A29" s="5" t="inlineStr">
        <is>
          <t>人工成本</t>
        </is>
      </c>
      <c r="B29" s="6" t="inlineStr">
        <is>
          <t>人工成本</t>
        </is>
      </c>
      <c r="D29" s="5" t="inlineStr">
        <is>
          <t>个税</t>
        </is>
      </c>
      <c r="E29" s="6" t="inlineStr">
        <is>
          <t>Q0805</t>
        </is>
      </c>
      <c r="F29" s="89">
        <f>-SUMIFS('1月数据源'!I:I,'1月数据源'!D:D,E29,'1月数据源'!F:F,"海南精准学科技有限公司")+SUMIFS('1月数据源'!J:J,'1月数据源'!D:D,E29,'1月数据源'!F:F,"海南精准学科技有限公司")</f>
        <v/>
      </c>
      <c r="G29" s="89">
        <f>-SUMIFS('2月数据源'!$I:$I,'2月数据源'!$D:$D,$E29,'2月数据源'!$F:$F,"海南精准学科技有限公司")+SUMIFS('2月数据源'!$J:$J,'2月数据源'!$D:$D,$E29,'2月数据源'!$F:$F,"海南精准学科技有限公司")</f>
        <v/>
      </c>
      <c r="H29" s="89">
        <f>-SUMIFS('3月数据源'!$I:$I,'3月数据源'!$D:$D,$E29,'3月数据源'!$F:$F,"海南精准学科技有限公司")+SUMIFS('3月数据源'!$J:$J,'3月数据源'!$D:$D,$E29,'3月数据源'!$F:$F,"海南精准学科技有限公司")</f>
        <v/>
      </c>
      <c r="I29" s="89">
        <f>-SUMIFS('4月数据源'!$I:$I,'4月数据源'!$D:$D,$E29,'4月数据源'!$F:$F,"海南精准学科技有限公司")+SUMIFS('4月数据源'!$J:$J,'4月数据源'!$D:$D,$E29,'4月数据源'!$F:$F,"海南精准学科技有限公司")</f>
        <v/>
      </c>
      <c r="J29" s="89">
        <f>-SUMIFS('5月数据源'!$I:$I,'5月数据源'!$D:$D,$E29,'5月数据源'!$F:$F,"海南精准学科技有限公司")+SUMIFS('5月数据源'!$J:$J,'5月数据源'!$D:$D,$E29,'5月数据源'!$F:$F,"海南精准学科技有限公司")</f>
        <v/>
      </c>
      <c r="K29" s="89">
        <f>-SUMIFS('6月数据源'!$I:$I,'6月数据源'!$D:$D,$E29,'6月数据源'!$F:$F,"海南精准学科技有限公司")+SUMIFS('6月数据源'!$J:$J,'6月数据源'!$D:$D,$E29,'6月数据源'!$F:$F,"海南精准学科技有限公司")</f>
        <v/>
      </c>
      <c r="L29" s="89">
        <f>-SUMIFS('7月数据源'!$I:$I,'7月数据源'!$D:$D,$E29,'7月数据源'!$F:$F,"海南精准学科技有限公司")+SUMIFS('7月数据源'!$J:$J,'7月数据源'!$D:$D,$E29,'7月数据源'!$F:$F,"海南精准学科技有限公司")</f>
        <v/>
      </c>
      <c r="M29" s="89">
        <f>-SUMIFS('8月数据源'!$I:$I,'8月数据源'!$D:$D,$E29,'8月数据源'!$F:$F,"海南精准学科技有限公司")+SUMIFS('8月数据源'!$J:$J,'8月数据源'!$D:$D,$E29,'8月数据源'!$F:$F,"海南精准学科技有限公司")</f>
        <v/>
      </c>
      <c r="N29" s="89">
        <f>-SUMIFS('9月数据源'!$I:$I,'9月数据源'!$D:$D,$E29,'9月数据源'!$F:$F,"海南精准学科技有限公司")+SUMIFS('9月数据源'!$J:$J,'9月数据源'!$D:$D,$E29,'9月数据源'!$F:$F,"海南精准学科技有限公司")</f>
        <v/>
      </c>
      <c r="O29" s="89">
        <f>-SUMIFS('10月数据源'!$I:$I,'10月数据源'!$D:$D,$E29,'10月数据源'!$F:$F,"海南精准学科技有限公司")+SUMIFS('10月数据源'!$J:$J,'10月数据源'!$D:$D,$E29,'10月数据源'!$F:$F,"海南精准学科技有限公司")</f>
        <v/>
      </c>
      <c r="P29" s="89">
        <f>-SUMIFS('11月数据源'!$I:$I,'11月数据源'!$D:$D,$E29,'11月数据源'!$F:$F,"海南精准学科技有限公司")+SUMIFS('11月数据源'!$J:$J,'11月数据源'!$D:$D,$E29,'11月数据源'!$F:$F,"海南精准学科技有限公司")</f>
        <v/>
      </c>
      <c r="Q29" s="89">
        <f>-SUMIFS('12月数据源'!$I:$I,'12月数据源'!$D:$D,$E29,'12月数据源'!$F:$F,"海南精准学科技有限公司")+SUMIFS('12月数据源'!$J:$J,'12月数据源'!$D:$D,$E29,'12月数据源'!$F:$F,"海南精准学科技有限公司")</f>
        <v/>
      </c>
    </row>
    <row r="30" s="83">
      <c r="A30" s="5" t="inlineStr">
        <is>
          <t>人工成本</t>
        </is>
      </c>
      <c r="B30" s="6" t="inlineStr">
        <is>
          <t>人工成本</t>
        </is>
      </c>
      <c r="D30" s="5" t="inlineStr">
        <is>
          <t>福利费</t>
        </is>
      </c>
      <c r="E30" s="6" t="inlineStr">
        <is>
          <t>Q0806</t>
        </is>
      </c>
      <c r="F30" s="89">
        <f>-SUMIFS('1月数据源'!I:I,'1月数据源'!D:D,E30,'1月数据源'!F:F,"海南精准学科技有限公司")+SUMIFS('1月数据源'!J:J,'1月数据源'!D:D,E30,'1月数据源'!F:F,"海南精准学科技有限公司")</f>
        <v/>
      </c>
      <c r="G30" s="89">
        <f>-SUMIFS('2月数据源'!$I:$I,'2月数据源'!$D:$D,$E30,'2月数据源'!$F:$F,"海南精准学科技有限公司")+SUMIFS('2月数据源'!$J:$J,'2月数据源'!$D:$D,$E30,'2月数据源'!$F:$F,"海南精准学科技有限公司")</f>
        <v/>
      </c>
      <c r="H30" s="89">
        <f>-SUMIFS('3月数据源'!$I:$I,'3月数据源'!$D:$D,$E30,'3月数据源'!$F:$F,"海南精准学科技有限公司")+SUMIFS('3月数据源'!$J:$J,'3月数据源'!$D:$D,$E30,'3月数据源'!$F:$F,"海南精准学科技有限公司")</f>
        <v/>
      </c>
      <c r="I30" s="89">
        <f>-SUMIFS('4月数据源'!$I:$I,'4月数据源'!$D:$D,$E30,'4月数据源'!$F:$F,"海南精准学科技有限公司")+SUMIFS('4月数据源'!$J:$J,'4月数据源'!$D:$D,$E30,'4月数据源'!$F:$F,"海南精准学科技有限公司")</f>
        <v/>
      </c>
      <c r="J30" s="89">
        <f>-SUMIFS('5月数据源'!$I:$I,'5月数据源'!$D:$D,$E30,'5月数据源'!$F:$F,"海南精准学科技有限公司")+SUMIFS('5月数据源'!$J:$J,'5月数据源'!$D:$D,$E30,'5月数据源'!$F:$F,"海南精准学科技有限公司")</f>
        <v/>
      </c>
      <c r="K30" s="89">
        <f>-SUMIFS('6月数据源'!$I:$I,'6月数据源'!$D:$D,$E30,'6月数据源'!$F:$F,"海南精准学科技有限公司")+SUMIFS('6月数据源'!$J:$J,'6月数据源'!$D:$D,$E30,'6月数据源'!$F:$F,"海南精准学科技有限公司")</f>
        <v/>
      </c>
      <c r="L30" s="89">
        <f>-SUMIFS('7月数据源'!$I:$I,'7月数据源'!$D:$D,$E30,'7月数据源'!$F:$F,"海南精准学科技有限公司")+SUMIFS('7月数据源'!$J:$J,'7月数据源'!$D:$D,$E30,'7月数据源'!$F:$F,"海南精准学科技有限公司")</f>
        <v/>
      </c>
      <c r="M30" s="89">
        <f>-SUMIFS('8月数据源'!$I:$I,'8月数据源'!$D:$D,$E30,'8月数据源'!$F:$F,"海南精准学科技有限公司")+SUMIFS('8月数据源'!$J:$J,'8月数据源'!$D:$D,$E30,'8月数据源'!$F:$F,"海南精准学科技有限公司")</f>
        <v/>
      </c>
      <c r="N30" s="89">
        <f>-SUMIFS('9月数据源'!$I:$I,'9月数据源'!$D:$D,$E30,'9月数据源'!$F:$F,"海南精准学科技有限公司")+SUMIFS('9月数据源'!$J:$J,'9月数据源'!$D:$D,$E30,'9月数据源'!$F:$F,"海南精准学科技有限公司")</f>
        <v/>
      </c>
      <c r="O30" s="89">
        <f>-SUMIFS('10月数据源'!$I:$I,'10月数据源'!$D:$D,$E30,'10月数据源'!$F:$F,"海南精准学科技有限公司")+SUMIFS('10月数据源'!$J:$J,'10月数据源'!$D:$D,$E30,'10月数据源'!$F:$F,"海南精准学科技有限公司")</f>
        <v/>
      </c>
      <c r="P30" s="89">
        <f>-SUMIFS('11月数据源'!$I:$I,'11月数据源'!$D:$D,$E30,'11月数据源'!$F:$F,"海南精准学科技有限公司")+SUMIFS('11月数据源'!$J:$J,'11月数据源'!$D:$D,$E30,'11月数据源'!$F:$F,"海南精准学科技有限公司")</f>
        <v/>
      </c>
      <c r="Q30" s="89">
        <f>-SUMIFS('12月数据源'!$I:$I,'12月数据源'!$D:$D,$E30,'12月数据源'!$F:$F,"海南精准学科技有限公司")+SUMIFS('12月数据源'!$J:$J,'12月数据源'!$D:$D,$E30,'12月数据源'!$F:$F,"海南精准学科技有限公司")</f>
        <v/>
      </c>
    </row>
    <row r="31" s="83">
      <c r="A31" s="5" t="inlineStr">
        <is>
          <t>人工成本</t>
        </is>
      </c>
      <c r="B31" s="6" t="inlineStr">
        <is>
          <t>人工成本</t>
        </is>
      </c>
      <c r="D31" s="5" t="inlineStr">
        <is>
          <t>补偿金</t>
        </is>
      </c>
      <c r="E31" s="6" t="inlineStr">
        <is>
          <t>Q0807</t>
        </is>
      </c>
      <c r="F31" s="89">
        <f>-SUMIFS('1月数据源'!I:I,'1月数据源'!D:D,E31,'1月数据源'!F:F,"海南精准学科技有限公司")+SUMIFS('1月数据源'!J:J,'1月数据源'!D:D,E31,'1月数据源'!F:F,"海南精准学科技有限公司")</f>
        <v/>
      </c>
      <c r="G31" s="89">
        <f>-SUMIFS('2月数据源'!$I:$I,'2月数据源'!$D:$D,$E31,'2月数据源'!$F:$F,"海南精准学科技有限公司")+SUMIFS('2月数据源'!$J:$J,'2月数据源'!$D:$D,$E31,'2月数据源'!$F:$F,"海南精准学科技有限公司")</f>
        <v/>
      </c>
      <c r="H31" s="89">
        <f>-SUMIFS('3月数据源'!$I:$I,'3月数据源'!$D:$D,$E31,'3月数据源'!$F:$F,"海南精准学科技有限公司")+SUMIFS('3月数据源'!$J:$J,'3月数据源'!$D:$D,$E31,'3月数据源'!$F:$F,"海南精准学科技有限公司")</f>
        <v/>
      </c>
      <c r="I31" s="89">
        <f>-SUMIFS('4月数据源'!$I:$I,'4月数据源'!$D:$D,$E31,'4月数据源'!$F:$F,"海南精准学科技有限公司")+SUMIFS('4月数据源'!$J:$J,'4月数据源'!$D:$D,$E31,'4月数据源'!$F:$F,"海南精准学科技有限公司")</f>
        <v/>
      </c>
      <c r="J31" s="89">
        <f>-SUMIFS('5月数据源'!$I:$I,'5月数据源'!$D:$D,$E31,'5月数据源'!$F:$F,"海南精准学科技有限公司")+SUMIFS('5月数据源'!$J:$J,'5月数据源'!$D:$D,$E31,'5月数据源'!$F:$F,"海南精准学科技有限公司")</f>
        <v/>
      </c>
      <c r="K31" s="89">
        <f>-SUMIFS('6月数据源'!$I:$I,'6月数据源'!$D:$D,$E31,'6月数据源'!$F:$F,"海南精准学科技有限公司")+SUMIFS('6月数据源'!$J:$J,'6月数据源'!$D:$D,$E31,'6月数据源'!$F:$F,"海南精准学科技有限公司")</f>
        <v/>
      </c>
      <c r="L31" s="89">
        <f>-SUMIFS('7月数据源'!$I:$I,'7月数据源'!$D:$D,$E31,'7月数据源'!$F:$F,"海南精准学科技有限公司")+SUMIFS('7月数据源'!$J:$J,'7月数据源'!$D:$D,$E31,'7月数据源'!$F:$F,"海南精准学科技有限公司")</f>
        <v/>
      </c>
      <c r="M31" s="89">
        <f>-SUMIFS('8月数据源'!$I:$I,'8月数据源'!$D:$D,$E31,'8月数据源'!$F:$F,"海南精准学科技有限公司")+SUMIFS('8月数据源'!$J:$J,'8月数据源'!$D:$D,$E31,'8月数据源'!$F:$F,"海南精准学科技有限公司")</f>
        <v/>
      </c>
      <c r="N31" s="89">
        <f>-SUMIFS('9月数据源'!$I:$I,'9月数据源'!$D:$D,$E31,'9月数据源'!$F:$F,"海南精准学科技有限公司")+SUMIFS('9月数据源'!$J:$J,'9月数据源'!$D:$D,$E31,'9月数据源'!$F:$F,"海南精准学科技有限公司")</f>
        <v/>
      </c>
      <c r="O31" s="89">
        <f>-SUMIFS('10月数据源'!$I:$I,'10月数据源'!$D:$D,$E31,'10月数据源'!$F:$F,"海南精准学科技有限公司")+SUMIFS('10月数据源'!$J:$J,'10月数据源'!$D:$D,$E31,'10月数据源'!$F:$F,"海南精准学科技有限公司")</f>
        <v/>
      </c>
      <c r="P31" s="89">
        <f>-SUMIFS('11月数据源'!$I:$I,'11月数据源'!$D:$D,$E31,'11月数据源'!$F:$F,"海南精准学科技有限公司")+SUMIFS('11月数据源'!$J:$J,'11月数据源'!$D:$D,$E31,'11月数据源'!$F:$F,"海南精准学科技有限公司")</f>
        <v/>
      </c>
      <c r="Q31" s="89">
        <f>-SUMIFS('12月数据源'!$I:$I,'12月数据源'!$D:$D,$E31,'12月数据源'!$F:$F,"海南精准学科技有限公司")+SUMIFS('12月数据源'!$J:$J,'12月数据源'!$D:$D,$E31,'12月数据源'!$F:$F,"海南精准学科技有限公司")</f>
        <v/>
      </c>
    </row>
    <row r="32" s="83">
      <c r="A32" s="5" t="inlineStr">
        <is>
          <t>人工成本</t>
        </is>
      </c>
      <c r="B32" s="6" t="inlineStr">
        <is>
          <t>人工成本</t>
        </is>
      </c>
      <c r="D32" s="5" t="inlineStr">
        <is>
          <t>派遣费用</t>
        </is>
      </c>
      <c r="E32" s="6" t="inlineStr">
        <is>
          <t>Q0808</t>
        </is>
      </c>
      <c r="F32" s="89">
        <f>-SUMIFS('1月数据源'!I:I,'1月数据源'!D:D,E32,'1月数据源'!F:F,"海南精准学科技有限公司")+SUMIFS('1月数据源'!J:J,'1月数据源'!D:D,E32,'1月数据源'!F:F,"海南精准学科技有限公司")</f>
        <v/>
      </c>
      <c r="G32" s="89">
        <f>-SUMIFS('2月数据源'!$I:$I,'2月数据源'!$D:$D,$E32,'2月数据源'!$F:$F,"海南精准学科技有限公司")+SUMIFS('2月数据源'!$J:$J,'2月数据源'!$D:$D,$E32,'2月数据源'!$F:$F,"海南精准学科技有限公司")</f>
        <v/>
      </c>
      <c r="H32" s="89">
        <f>-SUMIFS('3月数据源'!$I:$I,'3月数据源'!$D:$D,$E32,'3月数据源'!$F:$F,"海南精准学科技有限公司")+SUMIFS('3月数据源'!$J:$J,'3月数据源'!$D:$D,$E32,'3月数据源'!$F:$F,"海南精准学科技有限公司")</f>
        <v/>
      </c>
      <c r="I32" s="89">
        <f>-SUMIFS('4月数据源'!$I:$I,'4月数据源'!$D:$D,$E32,'4月数据源'!$F:$F,"海南精准学科技有限公司")+SUMIFS('4月数据源'!$J:$J,'4月数据源'!$D:$D,$E32,'4月数据源'!$F:$F,"海南精准学科技有限公司")</f>
        <v/>
      </c>
      <c r="J32" s="89">
        <f>-SUMIFS('5月数据源'!$I:$I,'5月数据源'!$D:$D,$E32,'5月数据源'!$F:$F,"海南精准学科技有限公司")+SUMIFS('5月数据源'!$J:$J,'5月数据源'!$D:$D,$E32,'5月数据源'!$F:$F,"海南精准学科技有限公司")</f>
        <v/>
      </c>
      <c r="K32" s="89">
        <f>-SUMIFS('6月数据源'!$I:$I,'6月数据源'!$D:$D,$E32,'6月数据源'!$F:$F,"海南精准学科技有限公司")+SUMIFS('6月数据源'!$J:$J,'6月数据源'!$D:$D,$E32,'6月数据源'!$F:$F,"海南精准学科技有限公司")</f>
        <v/>
      </c>
      <c r="L32" s="89">
        <f>-SUMIFS('7月数据源'!$I:$I,'7月数据源'!$D:$D,$E32,'7月数据源'!$F:$F,"海南精准学科技有限公司")+SUMIFS('7月数据源'!$J:$J,'7月数据源'!$D:$D,$E32,'7月数据源'!$F:$F,"海南精准学科技有限公司")</f>
        <v/>
      </c>
      <c r="M32" s="89">
        <f>-SUMIFS('8月数据源'!$I:$I,'8月数据源'!$D:$D,$E32,'8月数据源'!$F:$F,"海南精准学科技有限公司")+SUMIFS('8月数据源'!$J:$J,'8月数据源'!$D:$D,$E32,'8月数据源'!$F:$F,"海南精准学科技有限公司")</f>
        <v/>
      </c>
      <c r="N32" s="89">
        <f>-SUMIFS('9月数据源'!$I:$I,'9月数据源'!$D:$D,$E32,'9月数据源'!$F:$F,"海南精准学科技有限公司")+SUMIFS('9月数据源'!$J:$J,'9月数据源'!$D:$D,$E32,'9月数据源'!$F:$F,"海南精准学科技有限公司")</f>
        <v/>
      </c>
      <c r="O32" s="89">
        <f>-SUMIFS('10月数据源'!$I:$I,'10月数据源'!$D:$D,$E32,'10月数据源'!$F:$F,"海南精准学科技有限公司")+SUMIFS('10月数据源'!$J:$J,'10月数据源'!$D:$D,$E32,'10月数据源'!$F:$F,"海南精准学科技有限公司")</f>
        <v/>
      </c>
      <c r="P32" s="89">
        <f>-SUMIFS('11月数据源'!$I:$I,'11月数据源'!$D:$D,$E32,'11月数据源'!$F:$F,"海南精准学科技有限公司")+SUMIFS('11月数据源'!$J:$J,'11月数据源'!$D:$D,$E32,'11月数据源'!$F:$F,"海南精准学科技有限公司")</f>
        <v/>
      </c>
      <c r="Q32" s="89">
        <f>-SUMIFS('12月数据源'!$I:$I,'12月数据源'!$D:$D,$E32,'12月数据源'!$F:$F,"海南精准学科技有限公司")+SUMIFS('12月数据源'!$J:$J,'12月数据源'!$D:$D,$E32,'12月数据源'!$F:$F,"海南精准学科技有限公司")</f>
        <v/>
      </c>
    </row>
    <row r="33" s="83">
      <c r="A33" s="5" t="inlineStr">
        <is>
          <t>人工成本</t>
        </is>
      </c>
      <c r="B33" s="6" t="inlineStr">
        <is>
          <t>人工成本</t>
        </is>
      </c>
      <c r="D33" s="5" t="inlineStr">
        <is>
          <t>顾问费</t>
        </is>
      </c>
      <c r="E33" s="6" t="inlineStr">
        <is>
          <t>Q0809</t>
        </is>
      </c>
      <c r="F33" s="89">
        <f>-SUMIFS('1月数据源'!I:I,'1月数据源'!D:D,E33,'1月数据源'!F:F,"海南精准学科技有限公司")+SUMIFS('1月数据源'!J:J,'1月数据源'!D:D,E33,'1月数据源'!F:F,"海南精准学科技有限公司")</f>
        <v/>
      </c>
      <c r="G33" s="89">
        <f>-SUMIFS('2月数据源'!$I:$I,'2月数据源'!$D:$D,$E33,'2月数据源'!$F:$F,"海南精准学科技有限公司")+SUMIFS('2月数据源'!$J:$J,'2月数据源'!$D:$D,$E33,'2月数据源'!$F:$F,"海南精准学科技有限公司")</f>
        <v/>
      </c>
      <c r="H33" s="89">
        <f>-SUMIFS('3月数据源'!$I:$I,'3月数据源'!$D:$D,$E33,'3月数据源'!$F:$F,"海南精准学科技有限公司")+SUMIFS('3月数据源'!$J:$J,'3月数据源'!$D:$D,$E33,'3月数据源'!$F:$F,"海南精准学科技有限公司")</f>
        <v/>
      </c>
      <c r="I33" s="89">
        <f>-SUMIFS('4月数据源'!$I:$I,'4月数据源'!$D:$D,$E33,'4月数据源'!$F:$F,"海南精准学科技有限公司")+SUMIFS('4月数据源'!$J:$J,'4月数据源'!$D:$D,$E33,'4月数据源'!$F:$F,"海南精准学科技有限公司")</f>
        <v/>
      </c>
      <c r="J33" s="89">
        <f>-SUMIFS('5月数据源'!$I:$I,'5月数据源'!$D:$D,$E33,'5月数据源'!$F:$F,"海南精准学科技有限公司")+SUMIFS('5月数据源'!$J:$J,'5月数据源'!$D:$D,$E33,'5月数据源'!$F:$F,"海南精准学科技有限公司")</f>
        <v/>
      </c>
      <c r="K33" s="89">
        <f>-SUMIFS('6月数据源'!$I:$I,'6月数据源'!$D:$D,$E33,'6月数据源'!$F:$F,"海南精准学科技有限公司")+SUMIFS('6月数据源'!$J:$J,'6月数据源'!$D:$D,$E33,'6月数据源'!$F:$F,"海南精准学科技有限公司")</f>
        <v/>
      </c>
      <c r="L33" s="89">
        <f>-SUMIFS('7月数据源'!$I:$I,'7月数据源'!$D:$D,$E33,'7月数据源'!$F:$F,"海南精准学科技有限公司")+SUMIFS('7月数据源'!$J:$J,'7月数据源'!$D:$D,$E33,'7月数据源'!$F:$F,"海南精准学科技有限公司")</f>
        <v/>
      </c>
      <c r="M33" s="89">
        <f>-SUMIFS('8月数据源'!$I:$I,'8月数据源'!$D:$D,$E33,'8月数据源'!$F:$F,"海南精准学科技有限公司")+SUMIFS('8月数据源'!$J:$J,'8月数据源'!$D:$D,$E33,'8月数据源'!$F:$F,"海南精准学科技有限公司")</f>
        <v/>
      </c>
      <c r="N33" s="89">
        <f>-SUMIFS('9月数据源'!$I:$I,'9月数据源'!$D:$D,$E33,'9月数据源'!$F:$F,"海南精准学科技有限公司")+SUMIFS('9月数据源'!$J:$J,'9月数据源'!$D:$D,$E33,'9月数据源'!$F:$F,"海南精准学科技有限公司")</f>
        <v/>
      </c>
      <c r="O33" s="89">
        <f>-SUMIFS('10月数据源'!$I:$I,'10月数据源'!$D:$D,$E33,'10月数据源'!$F:$F,"海南精准学科技有限公司")+SUMIFS('10月数据源'!$J:$J,'10月数据源'!$D:$D,$E33,'10月数据源'!$F:$F,"海南精准学科技有限公司")</f>
        <v/>
      </c>
      <c r="P33" s="89">
        <f>-SUMIFS('11月数据源'!$I:$I,'11月数据源'!$D:$D,$E33,'11月数据源'!$F:$F,"海南精准学科技有限公司")+SUMIFS('11月数据源'!$J:$J,'11月数据源'!$D:$D,$E33,'11月数据源'!$F:$F,"海南精准学科技有限公司")</f>
        <v/>
      </c>
      <c r="Q33" s="89">
        <f>-SUMIFS('12月数据源'!$I:$I,'12月数据源'!$D:$D,$E33,'12月数据源'!$F:$F,"海南精准学科技有限公司")+SUMIFS('12月数据源'!$J:$J,'12月数据源'!$D:$D,$E33,'12月数据源'!$F:$F,"海南精准学科技有限公司")</f>
        <v/>
      </c>
    </row>
    <row r="34" s="83">
      <c r="A34" s="5" t="inlineStr">
        <is>
          <t>人工成本</t>
        </is>
      </c>
      <c r="B34" s="6" t="inlineStr">
        <is>
          <t>人工成本</t>
        </is>
      </c>
      <c r="D34" s="5" t="inlineStr">
        <is>
          <t>其他人工成本</t>
        </is>
      </c>
      <c r="E34" s="6" t="inlineStr">
        <is>
          <t>Q08010</t>
        </is>
      </c>
      <c r="F34" s="89">
        <f>-SUMIFS('1月数据源'!I:I,'1月数据源'!D:D,E34,'1月数据源'!F:F,"海南精准学科技有限公司")+SUMIFS('1月数据源'!J:J,'1月数据源'!D:D,E34,'1月数据源'!F:F,"海南精准学科技有限公司")</f>
        <v/>
      </c>
      <c r="G34" s="89">
        <f>-SUMIFS('2月数据源'!$I:$I,'2月数据源'!$D:$D,$E34,'2月数据源'!$F:$F,"海南精准学科技有限公司")+SUMIFS('2月数据源'!$J:$J,'2月数据源'!$D:$D,$E34,'2月数据源'!$F:$F,"海南精准学科技有限公司")</f>
        <v/>
      </c>
      <c r="H34" s="89">
        <f>-SUMIFS('3月数据源'!$I:$I,'3月数据源'!$D:$D,$E34,'3月数据源'!$F:$F,"海南精准学科技有限公司")+SUMIFS('3月数据源'!$J:$J,'3月数据源'!$D:$D,$E34,'3月数据源'!$F:$F,"海南精准学科技有限公司")</f>
        <v/>
      </c>
      <c r="I34" s="89">
        <f>-SUMIFS('4月数据源'!$I:$I,'4月数据源'!$D:$D,$E34,'4月数据源'!$F:$F,"海南精准学科技有限公司")+SUMIFS('4月数据源'!$J:$J,'4月数据源'!$D:$D,$E34,'4月数据源'!$F:$F,"海南精准学科技有限公司")</f>
        <v/>
      </c>
      <c r="J34" s="89">
        <f>-SUMIFS('5月数据源'!$I:$I,'5月数据源'!$D:$D,$E34,'5月数据源'!$F:$F,"海南精准学科技有限公司")+SUMIFS('5月数据源'!$J:$J,'5月数据源'!$D:$D,$E34,'5月数据源'!$F:$F,"海南精准学科技有限公司")</f>
        <v/>
      </c>
      <c r="K34" s="89">
        <f>-SUMIFS('6月数据源'!$I:$I,'6月数据源'!$D:$D,$E34,'6月数据源'!$F:$F,"海南精准学科技有限公司")+SUMIFS('6月数据源'!$J:$J,'6月数据源'!$D:$D,$E34,'6月数据源'!$F:$F,"海南精准学科技有限公司")</f>
        <v/>
      </c>
      <c r="L34" s="89">
        <f>-SUMIFS('7月数据源'!$I:$I,'7月数据源'!$D:$D,$E34,'7月数据源'!$F:$F,"海南精准学科技有限公司")+SUMIFS('7月数据源'!$J:$J,'7月数据源'!$D:$D,$E34,'7月数据源'!$F:$F,"海南精准学科技有限公司")</f>
        <v/>
      </c>
      <c r="M34" s="89">
        <f>-SUMIFS('8月数据源'!$I:$I,'8月数据源'!$D:$D,$E34,'8月数据源'!$F:$F,"海南精准学科技有限公司")+SUMIFS('8月数据源'!$J:$J,'8月数据源'!$D:$D,$E34,'8月数据源'!$F:$F,"海南精准学科技有限公司")</f>
        <v/>
      </c>
      <c r="N34" s="89">
        <f>-SUMIFS('9月数据源'!$I:$I,'9月数据源'!$D:$D,$E34,'9月数据源'!$F:$F,"海南精准学科技有限公司")+SUMIFS('9月数据源'!$J:$J,'9月数据源'!$D:$D,$E34,'9月数据源'!$F:$F,"海南精准学科技有限公司")</f>
        <v/>
      </c>
      <c r="O34" s="89">
        <f>-SUMIFS('10月数据源'!$I:$I,'10月数据源'!$D:$D,$E34,'10月数据源'!$F:$F,"海南精准学科技有限公司")+SUMIFS('10月数据源'!$J:$J,'10月数据源'!$D:$D,$E34,'10月数据源'!$F:$F,"海南精准学科技有限公司")</f>
        <v/>
      </c>
      <c r="P34" s="89">
        <f>-SUMIFS('11月数据源'!$I:$I,'11月数据源'!$D:$D,$E34,'11月数据源'!$F:$F,"海南精准学科技有限公司")+SUMIFS('11月数据源'!$J:$J,'11月数据源'!$D:$D,$E34,'11月数据源'!$F:$F,"海南精准学科技有限公司")</f>
        <v/>
      </c>
      <c r="Q34" s="89">
        <f>-SUMIFS('12月数据源'!$I:$I,'12月数据源'!$D:$D,$E34,'12月数据源'!$F:$F,"海南精准学科技有限公司")+SUMIFS('12月数据源'!$J:$J,'12月数据源'!$D:$D,$E34,'12月数据源'!$F:$F,"海南精准学科技有限公司")</f>
        <v/>
      </c>
    </row>
    <row r="35" s="83">
      <c r="A35" s="49" t="inlineStr">
        <is>
          <t>人工成本合计</t>
        </is>
      </c>
      <c r="B35" s="50" t="n"/>
      <c r="C35" s="50" t="n"/>
      <c r="D35" s="49" t="n"/>
      <c r="E35" s="49" t="n"/>
      <c r="F35" s="89">
        <f>SUM(F25:F34)</f>
        <v/>
      </c>
      <c r="G35" s="89">
        <f>SUM(G25:G34)</f>
        <v/>
      </c>
      <c r="H35" s="89">
        <f>SUM(H25:H34)</f>
        <v/>
      </c>
      <c r="I35" s="89">
        <f>SUM(I25:I34)</f>
        <v/>
      </c>
      <c r="J35" s="89">
        <f>SUM(J25:J34)</f>
        <v/>
      </c>
      <c r="K35" s="89">
        <f>SUM(K25:K34)</f>
        <v/>
      </c>
      <c r="L35" s="89">
        <f>SUM(L25:L34)</f>
        <v/>
      </c>
      <c r="M35" s="89">
        <f>SUM(M25:M34)</f>
        <v/>
      </c>
      <c r="N35" s="89">
        <f>SUM(N25:N34)</f>
        <v/>
      </c>
      <c r="O35" s="89">
        <f>SUM(O25:O34)</f>
        <v/>
      </c>
      <c r="P35" s="89">
        <f>SUM(P25:P34)</f>
        <v/>
      </c>
      <c r="Q35" s="89">
        <f>SUM(Q25:Q34)</f>
        <v/>
      </c>
    </row>
    <row r="36" s="83">
      <c r="A36" s="5" t="inlineStr">
        <is>
          <t>硬件支出</t>
        </is>
      </c>
      <c r="B36" s="6" t="inlineStr">
        <is>
          <t>BONG MAX</t>
        </is>
      </c>
      <c r="C36" s="6" t="inlineStr">
        <is>
          <t>BONG MAX</t>
        </is>
      </c>
      <c r="D36" s="5" t="inlineStr">
        <is>
          <t>TCL平板电脑款项</t>
        </is>
      </c>
      <c r="E36" s="6" t="inlineStr">
        <is>
          <t>Q0901</t>
        </is>
      </c>
      <c r="F36" s="89">
        <f>-SUMIFS('1月数据源'!I:I,'1月数据源'!D:D,E36,'1月数据源'!F:F,"海南精准学科技有限公司")+SUMIFS('1月数据源'!J:J,'1月数据源'!D:D,E36,'1月数据源'!F:F,"海南精准学科技有限公司")</f>
        <v/>
      </c>
      <c r="G36" s="89">
        <f>-SUMIFS('2月数据源'!$I:$I,'2月数据源'!$D:$D,$E36,'2月数据源'!$F:$F,"海南精准学科技有限公司")+SUMIFS('2月数据源'!$J:$J,'2月数据源'!$D:$D,$E36,'2月数据源'!$F:$F,"海南精准学科技有限公司")</f>
        <v/>
      </c>
      <c r="H36" s="89">
        <f>-SUMIFS('3月数据源'!$I:$I,'3月数据源'!$D:$D,$E36,'3月数据源'!$F:$F,"海南精准学科技有限公司")+SUMIFS('3月数据源'!$J:$J,'3月数据源'!$D:$D,$E36,'3月数据源'!$F:$F,"海南精准学科技有限公司")</f>
        <v/>
      </c>
      <c r="I36" s="89">
        <f>-SUMIFS('4月数据源'!$I:$I,'4月数据源'!$D:$D,$E36,'4月数据源'!$F:$F,"海南精准学科技有限公司")+SUMIFS('4月数据源'!$J:$J,'4月数据源'!$D:$D,$E36,'4月数据源'!$F:$F,"海南精准学科技有限公司")</f>
        <v/>
      </c>
      <c r="J36" s="89">
        <f>-SUMIFS('5月数据源'!$I:$I,'5月数据源'!$D:$D,$E36,'5月数据源'!$F:$F,"海南精准学科技有限公司")+SUMIFS('5月数据源'!$J:$J,'5月数据源'!$D:$D,$E36,'5月数据源'!$F:$F,"海南精准学科技有限公司")</f>
        <v/>
      </c>
      <c r="K36" s="89">
        <f>-SUMIFS('6月数据源'!$I:$I,'6月数据源'!$D:$D,$E36,'6月数据源'!$F:$F,"海南精准学科技有限公司")+SUMIFS('6月数据源'!$J:$J,'6月数据源'!$D:$D,$E36,'6月数据源'!$F:$F,"海南精准学科技有限公司")</f>
        <v/>
      </c>
      <c r="L36" s="89">
        <f>-SUMIFS('7月数据源'!$I:$I,'7月数据源'!$D:$D,$E36,'7月数据源'!$F:$F,"海南精准学科技有限公司")+SUMIFS('7月数据源'!$J:$J,'7月数据源'!$D:$D,$E36,'7月数据源'!$F:$F,"海南精准学科技有限公司")</f>
        <v/>
      </c>
      <c r="M36" s="89">
        <f>-SUMIFS('8月数据源'!$I:$I,'8月数据源'!$D:$D,$E36,'8月数据源'!$F:$F,"海南精准学科技有限公司")+SUMIFS('8月数据源'!$J:$J,'8月数据源'!$D:$D,$E36,'8月数据源'!$F:$F,"海南精准学科技有限公司")</f>
        <v/>
      </c>
      <c r="N36" s="89">
        <f>-SUMIFS('9月数据源'!$I:$I,'9月数据源'!$D:$D,$E36,'9月数据源'!$F:$F,"海南精准学科技有限公司")+SUMIFS('9月数据源'!$J:$J,'9月数据源'!$D:$D,$E36,'9月数据源'!$F:$F,"海南精准学科技有限公司")</f>
        <v/>
      </c>
      <c r="O36" s="89">
        <f>-SUMIFS('10月数据源'!$I:$I,'10月数据源'!$D:$D,$E36,'10月数据源'!$F:$F,"海南精准学科技有限公司")+SUMIFS('10月数据源'!$J:$J,'10月数据源'!$D:$D,$E36,'10月数据源'!$F:$F,"海南精准学科技有限公司")</f>
        <v/>
      </c>
      <c r="P36" s="89">
        <f>-SUMIFS('11月数据源'!$I:$I,'11月数据源'!$D:$D,$E36,'11月数据源'!$F:$F,"海南精准学科技有限公司")+SUMIFS('11月数据源'!$J:$J,'11月数据源'!$D:$D,$E36,'11月数据源'!$F:$F,"海南精准学科技有限公司")</f>
        <v/>
      </c>
      <c r="Q36" s="89">
        <f>-SUMIFS('12月数据源'!$I:$I,'12月数据源'!$D:$D,$E36,'12月数据源'!$F:$F,"海南精准学科技有限公司")+SUMIFS('12月数据源'!$J:$J,'12月数据源'!$D:$D,$E36,'12月数据源'!$F:$F,"海南精准学科技有限公司")</f>
        <v/>
      </c>
    </row>
    <row r="37" s="83">
      <c r="A37" s="5" t="inlineStr">
        <is>
          <t>硬件支出</t>
        </is>
      </c>
      <c r="B37" s="6" t="inlineStr">
        <is>
          <t>BONG MAX</t>
        </is>
      </c>
      <c r="D37" s="5" t="inlineStr">
        <is>
          <t>保护套</t>
        </is>
      </c>
      <c r="E37" s="6" t="inlineStr">
        <is>
          <t>Q0902</t>
        </is>
      </c>
      <c r="F37" s="89">
        <f>-SUMIFS('1月数据源'!I:I,'1月数据源'!D:D,E37,'1月数据源'!F:F,"海南精准学科技有限公司")+SUMIFS('1月数据源'!J:J,'1月数据源'!D:D,E37,'1月数据源'!F:F,"海南精准学科技有限公司")</f>
        <v/>
      </c>
      <c r="G37" s="89">
        <f>-SUMIFS('2月数据源'!$I:$I,'2月数据源'!$D:$D,$E37,'2月数据源'!$F:$F,"海南精准学科技有限公司")+SUMIFS('2月数据源'!$J:$J,'2月数据源'!$D:$D,$E37,'2月数据源'!$F:$F,"海南精准学科技有限公司")</f>
        <v/>
      </c>
      <c r="H37" s="89">
        <f>-SUMIFS('3月数据源'!$I:$I,'3月数据源'!$D:$D,$E37,'3月数据源'!$F:$F,"海南精准学科技有限公司")+SUMIFS('3月数据源'!$J:$J,'3月数据源'!$D:$D,$E37,'3月数据源'!$F:$F,"海南精准学科技有限公司")</f>
        <v/>
      </c>
      <c r="I37" s="89">
        <f>-SUMIFS('4月数据源'!$I:$I,'4月数据源'!$D:$D,$E37,'4月数据源'!$F:$F,"海南精准学科技有限公司")+SUMIFS('4月数据源'!$J:$J,'4月数据源'!$D:$D,$E37,'4月数据源'!$F:$F,"海南精准学科技有限公司")</f>
        <v/>
      </c>
      <c r="J37" s="89">
        <f>-SUMIFS('5月数据源'!$I:$I,'5月数据源'!$D:$D,$E37,'5月数据源'!$F:$F,"海南精准学科技有限公司")+SUMIFS('5月数据源'!$J:$J,'5月数据源'!$D:$D,$E37,'5月数据源'!$F:$F,"海南精准学科技有限公司")</f>
        <v/>
      </c>
      <c r="K37" s="89">
        <f>-SUMIFS('6月数据源'!$I:$I,'6月数据源'!$D:$D,$E37,'6月数据源'!$F:$F,"海南精准学科技有限公司")+SUMIFS('6月数据源'!$J:$J,'6月数据源'!$D:$D,$E37,'6月数据源'!$F:$F,"海南精准学科技有限公司")</f>
        <v/>
      </c>
      <c r="L37" s="89">
        <f>-SUMIFS('7月数据源'!$I:$I,'7月数据源'!$D:$D,$E37,'7月数据源'!$F:$F,"海南精准学科技有限公司")+SUMIFS('7月数据源'!$J:$J,'7月数据源'!$D:$D,$E37,'7月数据源'!$F:$F,"海南精准学科技有限公司")</f>
        <v/>
      </c>
      <c r="M37" s="89">
        <f>-SUMIFS('8月数据源'!$I:$I,'8月数据源'!$D:$D,$E37,'8月数据源'!$F:$F,"海南精准学科技有限公司")+SUMIFS('8月数据源'!$J:$J,'8月数据源'!$D:$D,$E37,'8月数据源'!$F:$F,"海南精准学科技有限公司")</f>
        <v/>
      </c>
      <c r="N37" s="89">
        <f>-SUMIFS('9月数据源'!$I:$I,'9月数据源'!$D:$D,$E37,'9月数据源'!$F:$F,"海南精准学科技有限公司")+SUMIFS('9月数据源'!$J:$J,'9月数据源'!$D:$D,$E37,'9月数据源'!$F:$F,"海南精准学科技有限公司")</f>
        <v/>
      </c>
      <c r="O37" s="89">
        <f>-SUMIFS('10月数据源'!$I:$I,'10月数据源'!$D:$D,$E37,'10月数据源'!$F:$F,"海南精准学科技有限公司")+SUMIFS('10月数据源'!$J:$J,'10月数据源'!$D:$D,$E37,'10月数据源'!$F:$F,"海南精准学科技有限公司")</f>
        <v/>
      </c>
      <c r="P37" s="89">
        <f>-SUMIFS('11月数据源'!$I:$I,'11月数据源'!$D:$D,$E37,'11月数据源'!$F:$F,"海南精准学科技有限公司")+SUMIFS('11月数据源'!$J:$J,'11月数据源'!$D:$D,$E37,'11月数据源'!$F:$F,"海南精准学科技有限公司")</f>
        <v/>
      </c>
      <c r="Q37" s="89">
        <f>-SUMIFS('12月数据源'!$I:$I,'12月数据源'!$D:$D,$E37,'12月数据源'!$F:$F,"海南精准学科技有限公司")+SUMIFS('12月数据源'!$J:$J,'12月数据源'!$D:$D,$E37,'12月数据源'!$F:$F,"海南精准学科技有限公司")</f>
        <v/>
      </c>
    </row>
    <row r="38" s="83">
      <c r="A38" s="5" t="inlineStr">
        <is>
          <t>硬件支出</t>
        </is>
      </c>
      <c r="B38" s="6" t="inlineStr">
        <is>
          <t>BONG MAX</t>
        </is>
      </c>
      <c r="D38" s="5" t="inlineStr">
        <is>
          <t>包装盒</t>
        </is>
      </c>
      <c r="E38" s="6" t="inlineStr">
        <is>
          <t>Q0903</t>
        </is>
      </c>
      <c r="F38" s="89">
        <f>-SUMIFS('1月数据源'!I:I,'1月数据源'!D:D,E38,'1月数据源'!F:F,"海南精准学科技有限公司")+SUMIFS('1月数据源'!J:J,'1月数据源'!D:D,E38,'1月数据源'!F:F,"海南精准学科技有限公司")</f>
        <v/>
      </c>
      <c r="G38" s="89">
        <f>-SUMIFS('2月数据源'!$I:$I,'2月数据源'!$D:$D,$E38,'2月数据源'!$F:$F,"海南精准学科技有限公司")+SUMIFS('2月数据源'!$J:$J,'2月数据源'!$D:$D,$E38,'2月数据源'!$F:$F,"海南精准学科技有限公司")</f>
        <v/>
      </c>
      <c r="H38" s="89">
        <f>-SUMIFS('3月数据源'!$I:$I,'3月数据源'!$D:$D,$E38,'3月数据源'!$F:$F,"海南精准学科技有限公司")+SUMIFS('3月数据源'!$J:$J,'3月数据源'!$D:$D,$E38,'3月数据源'!$F:$F,"海南精准学科技有限公司")</f>
        <v/>
      </c>
      <c r="I38" s="89">
        <f>-SUMIFS('4月数据源'!$I:$I,'4月数据源'!$D:$D,$E38,'4月数据源'!$F:$F,"海南精准学科技有限公司")+SUMIFS('4月数据源'!$J:$J,'4月数据源'!$D:$D,$E38,'4月数据源'!$F:$F,"海南精准学科技有限公司")</f>
        <v/>
      </c>
      <c r="J38" s="89">
        <f>-SUMIFS('5月数据源'!$I:$I,'5月数据源'!$D:$D,$E38,'5月数据源'!$F:$F,"海南精准学科技有限公司")+SUMIFS('5月数据源'!$J:$J,'5月数据源'!$D:$D,$E38,'5月数据源'!$F:$F,"海南精准学科技有限公司")</f>
        <v/>
      </c>
      <c r="K38" s="89">
        <f>-SUMIFS('6月数据源'!$I:$I,'6月数据源'!$D:$D,$E38,'6月数据源'!$F:$F,"海南精准学科技有限公司")+SUMIFS('6月数据源'!$J:$J,'6月数据源'!$D:$D,$E38,'6月数据源'!$F:$F,"海南精准学科技有限公司")</f>
        <v/>
      </c>
      <c r="L38" s="89">
        <f>-SUMIFS('7月数据源'!$I:$I,'7月数据源'!$D:$D,$E38,'7月数据源'!$F:$F,"海南精准学科技有限公司")+SUMIFS('7月数据源'!$J:$J,'7月数据源'!$D:$D,$E38,'7月数据源'!$F:$F,"海南精准学科技有限公司")</f>
        <v/>
      </c>
      <c r="M38" s="89">
        <f>-SUMIFS('8月数据源'!$I:$I,'8月数据源'!$D:$D,$E38,'8月数据源'!$F:$F,"海南精准学科技有限公司")+SUMIFS('8月数据源'!$J:$J,'8月数据源'!$D:$D,$E38,'8月数据源'!$F:$F,"海南精准学科技有限公司")</f>
        <v/>
      </c>
      <c r="N38" s="89">
        <f>-SUMIFS('9月数据源'!$I:$I,'9月数据源'!$D:$D,$E38,'9月数据源'!$F:$F,"海南精准学科技有限公司")+SUMIFS('9月数据源'!$J:$J,'9月数据源'!$D:$D,$E38,'9月数据源'!$F:$F,"海南精准学科技有限公司")</f>
        <v/>
      </c>
      <c r="O38" s="89">
        <f>-SUMIFS('10月数据源'!$I:$I,'10月数据源'!$D:$D,$E38,'10月数据源'!$F:$F,"海南精准学科技有限公司")+SUMIFS('10月数据源'!$J:$J,'10月数据源'!$D:$D,$E38,'10月数据源'!$F:$F,"海南精准学科技有限公司")</f>
        <v/>
      </c>
      <c r="P38" s="89">
        <f>-SUMIFS('11月数据源'!$I:$I,'11月数据源'!$D:$D,$E38,'11月数据源'!$F:$F,"海南精准学科技有限公司")+SUMIFS('11月数据源'!$J:$J,'11月数据源'!$D:$D,$E38,'11月数据源'!$F:$F,"海南精准学科技有限公司")</f>
        <v/>
      </c>
      <c r="Q38" s="89">
        <f>-SUMIFS('12月数据源'!$I:$I,'12月数据源'!$D:$D,$E38,'12月数据源'!$F:$F,"海南精准学科技有限公司")+SUMIFS('12月数据源'!$J:$J,'12月数据源'!$D:$D,$E38,'12月数据源'!$F:$F,"海南精准学科技有限公司")</f>
        <v/>
      </c>
    </row>
    <row r="39" s="83">
      <c r="A39" s="5" t="inlineStr">
        <is>
          <t>硬件支出</t>
        </is>
      </c>
      <c r="B39" s="6" t="inlineStr">
        <is>
          <t>BONG MAX</t>
        </is>
      </c>
      <c r="D39" s="5" t="inlineStr">
        <is>
          <t>充电器</t>
        </is>
      </c>
      <c r="E39" s="6" t="inlineStr">
        <is>
          <t>Q0904</t>
        </is>
      </c>
      <c r="F39" s="89">
        <f>-SUMIFS('1月数据源'!I:I,'1月数据源'!D:D,E39,'1月数据源'!F:F,"海南精准学科技有限公司")+SUMIFS('1月数据源'!J:J,'1月数据源'!D:D,E39,'1月数据源'!F:F,"海南精准学科技有限公司")</f>
        <v/>
      </c>
      <c r="G39" s="89">
        <f>-SUMIFS('2月数据源'!$I:$I,'2月数据源'!$D:$D,$E39,'2月数据源'!$F:$F,"海南精准学科技有限公司")+SUMIFS('2月数据源'!$J:$J,'2月数据源'!$D:$D,$E39,'2月数据源'!$F:$F,"海南精准学科技有限公司")</f>
        <v/>
      </c>
      <c r="H39" s="89">
        <f>-SUMIFS('3月数据源'!$I:$I,'3月数据源'!$D:$D,$E39,'3月数据源'!$F:$F,"海南精准学科技有限公司")+SUMIFS('3月数据源'!$J:$J,'3月数据源'!$D:$D,$E39,'3月数据源'!$F:$F,"海南精准学科技有限公司")</f>
        <v/>
      </c>
      <c r="I39" s="89">
        <f>-SUMIFS('4月数据源'!$I:$I,'4月数据源'!$D:$D,$E39,'4月数据源'!$F:$F,"海南精准学科技有限公司")+SUMIFS('4月数据源'!$J:$J,'4月数据源'!$D:$D,$E39,'4月数据源'!$F:$F,"海南精准学科技有限公司")</f>
        <v/>
      </c>
      <c r="J39" s="89">
        <f>-SUMIFS('5月数据源'!$I:$I,'5月数据源'!$D:$D,$E39,'5月数据源'!$F:$F,"海南精准学科技有限公司")+SUMIFS('5月数据源'!$J:$J,'5月数据源'!$D:$D,$E39,'5月数据源'!$F:$F,"海南精准学科技有限公司")</f>
        <v/>
      </c>
      <c r="K39" s="89">
        <f>-SUMIFS('6月数据源'!$I:$I,'6月数据源'!$D:$D,$E39,'6月数据源'!$F:$F,"海南精准学科技有限公司")+SUMIFS('6月数据源'!$J:$J,'6月数据源'!$D:$D,$E39,'6月数据源'!$F:$F,"海南精准学科技有限公司")</f>
        <v/>
      </c>
      <c r="L39" s="89">
        <f>-SUMIFS('7月数据源'!$I:$I,'7月数据源'!$D:$D,$E39,'7月数据源'!$F:$F,"海南精准学科技有限公司")+SUMIFS('7月数据源'!$J:$J,'7月数据源'!$D:$D,$E39,'7月数据源'!$F:$F,"海南精准学科技有限公司")</f>
        <v/>
      </c>
      <c r="M39" s="89">
        <f>-SUMIFS('8月数据源'!$I:$I,'8月数据源'!$D:$D,$E39,'8月数据源'!$F:$F,"海南精准学科技有限公司")+SUMIFS('8月数据源'!$J:$J,'8月数据源'!$D:$D,$E39,'8月数据源'!$F:$F,"海南精准学科技有限公司")</f>
        <v/>
      </c>
      <c r="N39" s="89">
        <f>-SUMIFS('9月数据源'!$I:$I,'9月数据源'!$D:$D,$E39,'9月数据源'!$F:$F,"海南精准学科技有限公司")+SUMIFS('9月数据源'!$J:$J,'9月数据源'!$D:$D,$E39,'9月数据源'!$F:$F,"海南精准学科技有限公司")</f>
        <v/>
      </c>
      <c r="O39" s="89">
        <f>-SUMIFS('10月数据源'!$I:$I,'10月数据源'!$D:$D,$E39,'10月数据源'!$F:$F,"海南精准学科技有限公司")+SUMIFS('10月数据源'!$J:$J,'10月数据源'!$D:$D,$E39,'10月数据源'!$F:$F,"海南精准学科技有限公司")</f>
        <v/>
      </c>
      <c r="P39" s="89">
        <f>-SUMIFS('11月数据源'!$I:$I,'11月数据源'!$D:$D,$E39,'11月数据源'!$F:$F,"海南精准学科技有限公司")+SUMIFS('11月数据源'!$J:$J,'11月数据源'!$D:$D,$E39,'11月数据源'!$F:$F,"海南精准学科技有限公司")</f>
        <v/>
      </c>
      <c r="Q39" s="89">
        <f>-SUMIFS('12月数据源'!$I:$I,'12月数据源'!$D:$D,$E39,'12月数据源'!$F:$F,"海南精准学科技有限公司")+SUMIFS('12月数据源'!$J:$J,'12月数据源'!$D:$D,$E39,'12月数据源'!$F:$F,"海南精准学科技有限公司")</f>
        <v/>
      </c>
    </row>
    <row r="40" s="83">
      <c r="A40" s="5" t="inlineStr">
        <is>
          <t>硬件支出</t>
        </is>
      </c>
      <c r="B40" s="6" t="inlineStr">
        <is>
          <t>BONG MAX</t>
        </is>
      </c>
      <c r="D40" s="5" t="inlineStr">
        <is>
          <t>指学镜</t>
        </is>
      </c>
      <c r="E40" s="6" t="inlineStr">
        <is>
          <t>Q0905</t>
        </is>
      </c>
      <c r="F40" s="89">
        <f>-SUMIFS('1月数据源'!I:I,'1月数据源'!D:D,E40,'1月数据源'!F:F,"海南精准学科技有限公司")+SUMIFS('1月数据源'!J:J,'1月数据源'!D:D,E40,'1月数据源'!F:F,"海南精准学科技有限公司")</f>
        <v/>
      </c>
      <c r="G40" s="89">
        <f>-SUMIFS('2月数据源'!$I:$I,'2月数据源'!$D:$D,$E40,'2月数据源'!$F:$F,"海南精准学科技有限公司")+SUMIFS('2月数据源'!$J:$J,'2月数据源'!$D:$D,$E40,'2月数据源'!$F:$F,"海南精准学科技有限公司")</f>
        <v/>
      </c>
      <c r="H40" s="89">
        <f>-SUMIFS('3月数据源'!$I:$I,'3月数据源'!$D:$D,$E40,'3月数据源'!$F:$F,"海南精准学科技有限公司")+SUMIFS('3月数据源'!$J:$J,'3月数据源'!$D:$D,$E40,'3月数据源'!$F:$F,"海南精准学科技有限公司")</f>
        <v/>
      </c>
      <c r="I40" s="89">
        <f>-SUMIFS('4月数据源'!$I:$I,'4月数据源'!$D:$D,$E40,'4月数据源'!$F:$F,"海南精准学科技有限公司")+SUMIFS('4月数据源'!$J:$J,'4月数据源'!$D:$D,$E40,'4月数据源'!$F:$F,"海南精准学科技有限公司")</f>
        <v/>
      </c>
      <c r="J40" s="89">
        <f>-SUMIFS('5月数据源'!$I:$I,'5月数据源'!$D:$D,$E40,'5月数据源'!$F:$F,"海南精准学科技有限公司")+SUMIFS('5月数据源'!$J:$J,'5月数据源'!$D:$D,$E40,'5月数据源'!$F:$F,"海南精准学科技有限公司")</f>
        <v/>
      </c>
      <c r="K40" s="89">
        <f>-SUMIFS('6月数据源'!$I:$I,'6月数据源'!$D:$D,$E40,'6月数据源'!$F:$F,"海南精准学科技有限公司")+SUMIFS('6月数据源'!$J:$J,'6月数据源'!$D:$D,$E40,'6月数据源'!$F:$F,"海南精准学科技有限公司")</f>
        <v/>
      </c>
      <c r="L40" s="89">
        <f>-SUMIFS('7月数据源'!$I:$I,'7月数据源'!$D:$D,$E40,'7月数据源'!$F:$F,"海南精准学科技有限公司")+SUMIFS('7月数据源'!$J:$J,'7月数据源'!$D:$D,$E40,'7月数据源'!$F:$F,"海南精准学科技有限公司")</f>
        <v/>
      </c>
      <c r="M40" s="89">
        <f>-SUMIFS('8月数据源'!$I:$I,'8月数据源'!$D:$D,$E40,'8月数据源'!$F:$F,"海南精准学科技有限公司")+SUMIFS('8月数据源'!$J:$J,'8月数据源'!$D:$D,$E40,'8月数据源'!$F:$F,"海南精准学科技有限公司")</f>
        <v/>
      </c>
      <c r="N40" s="89">
        <f>-SUMIFS('9月数据源'!$I:$I,'9月数据源'!$D:$D,$E40,'9月数据源'!$F:$F,"海南精准学科技有限公司")+SUMIFS('9月数据源'!$J:$J,'9月数据源'!$D:$D,$E40,'9月数据源'!$F:$F,"海南精准学科技有限公司")</f>
        <v/>
      </c>
      <c r="O40" s="89">
        <f>-SUMIFS('10月数据源'!$I:$I,'10月数据源'!$D:$D,$E40,'10月数据源'!$F:$F,"海南精准学科技有限公司")+SUMIFS('10月数据源'!$J:$J,'10月数据源'!$D:$D,$E40,'10月数据源'!$F:$F,"海南精准学科技有限公司")</f>
        <v/>
      </c>
      <c r="P40" s="89">
        <f>-SUMIFS('11月数据源'!$I:$I,'11月数据源'!$D:$D,$E40,'11月数据源'!$F:$F,"海南精准学科技有限公司")+SUMIFS('11月数据源'!$J:$J,'11月数据源'!$D:$D,$E40,'11月数据源'!$F:$F,"海南精准学科技有限公司")</f>
        <v/>
      </c>
      <c r="Q40" s="89">
        <f>-SUMIFS('12月数据源'!$I:$I,'12月数据源'!$D:$D,$E40,'12月数据源'!$F:$F,"海南精准学科技有限公司")+SUMIFS('12月数据源'!$J:$J,'12月数据源'!$D:$D,$E40,'12月数据源'!$F:$F,"海南精准学科技有限公司")</f>
        <v/>
      </c>
    </row>
    <row r="41" s="83">
      <c r="A41" s="5" t="inlineStr">
        <is>
          <t>硬件支出</t>
        </is>
      </c>
      <c r="B41" s="6" t="inlineStr">
        <is>
          <t>BONG MAX</t>
        </is>
      </c>
      <c r="D41" s="5" t="inlineStr">
        <is>
          <t>学习机系统授权费</t>
        </is>
      </c>
      <c r="E41" s="6" t="inlineStr">
        <is>
          <t>Q0906</t>
        </is>
      </c>
      <c r="F41" s="89">
        <f>-SUMIFS('1月数据源'!I:I,'1月数据源'!D:D,E41,'1月数据源'!F:F,"海南精准学科技有限公司")+SUMIFS('1月数据源'!J:J,'1月数据源'!D:D,E41,'1月数据源'!F:F,"海南精准学科技有限公司")</f>
        <v/>
      </c>
      <c r="G41" s="89">
        <f>-SUMIFS('2月数据源'!$I:$I,'2月数据源'!$D:$D,$E41,'2月数据源'!$F:$F,"海南精准学科技有限公司")+SUMIFS('2月数据源'!$J:$J,'2月数据源'!$D:$D,$E41,'2月数据源'!$F:$F,"海南精准学科技有限公司")</f>
        <v/>
      </c>
      <c r="H41" s="89">
        <f>-SUMIFS('3月数据源'!$I:$I,'3月数据源'!$D:$D,$E41,'3月数据源'!$F:$F,"海南精准学科技有限公司")+SUMIFS('3月数据源'!$J:$J,'3月数据源'!$D:$D,$E41,'3月数据源'!$F:$F,"海南精准学科技有限公司")</f>
        <v/>
      </c>
      <c r="I41" s="89">
        <f>-SUMIFS('4月数据源'!$I:$I,'4月数据源'!$D:$D,$E41,'4月数据源'!$F:$F,"海南精准学科技有限公司")+SUMIFS('4月数据源'!$J:$J,'4月数据源'!$D:$D,$E41,'4月数据源'!$F:$F,"海南精准学科技有限公司")</f>
        <v/>
      </c>
      <c r="J41" s="89">
        <f>-SUMIFS('5月数据源'!$I:$I,'5月数据源'!$D:$D,$E41,'5月数据源'!$F:$F,"海南精准学科技有限公司")+SUMIFS('5月数据源'!$J:$J,'5月数据源'!$D:$D,$E41,'5月数据源'!$F:$F,"海南精准学科技有限公司")</f>
        <v/>
      </c>
      <c r="K41" s="89">
        <f>-SUMIFS('6月数据源'!$I:$I,'6月数据源'!$D:$D,$E41,'6月数据源'!$F:$F,"海南精准学科技有限公司")+SUMIFS('6月数据源'!$J:$J,'6月数据源'!$D:$D,$E41,'6月数据源'!$F:$F,"海南精准学科技有限公司")</f>
        <v/>
      </c>
      <c r="L41" s="89">
        <f>-SUMIFS('7月数据源'!$I:$I,'7月数据源'!$D:$D,$E41,'7月数据源'!$F:$F,"海南精准学科技有限公司")+SUMIFS('7月数据源'!$J:$J,'7月数据源'!$D:$D,$E41,'7月数据源'!$F:$F,"海南精准学科技有限公司")</f>
        <v/>
      </c>
      <c r="M41" s="89">
        <f>-SUMIFS('8月数据源'!$I:$I,'8月数据源'!$D:$D,$E41,'8月数据源'!$F:$F,"海南精准学科技有限公司")+SUMIFS('8月数据源'!$J:$J,'8月数据源'!$D:$D,$E41,'8月数据源'!$F:$F,"海南精准学科技有限公司")</f>
        <v/>
      </c>
      <c r="N41" s="89">
        <f>-SUMIFS('9月数据源'!$I:$I,'9月数据源'!$D:$D,$E41,'9月数据源'!$F:$F,"海南精准学科技有限公司")+SUMIFS('9月数据源'!$J:$J,'9月数据源'!$D:$D,$E41,'9月数据源'!$F:$F,"海南精准学科技有限公司")</f>
        <v/>
      </c>
      <c r="O41" s="89">
        <f>-SUMIFS('10月数据源'!$I:$I,'10月数据源'!$D:$D,$E41,'10月数据源'!$F:$F,"海南精准学科技有限公司")+SUMIFS('10月数据源'!$J:$J,'10月数据源'!$D:$D,$E41,'10月数据源'!$F:$F,"海南精准学科技有限公司")</f>
        <v/>
      </c>
      <c r="P41" s="89">
        <f>-SUMIFS('11月数据源'!$I:$I,'11月数据源'!$D:$D,$E41,'11月数据源'!$F:$F,"海南精准学科技有限公司")+SUMIFS('11月数据源'!$J:$J,'11月数据源'!$D:$D,$E41,'11月数据源'!$F:$F,"海南精准学科技有限公司")</f>
        <v/>
      </c>
      <c r="Q41" s="89">
        <f>-SUMIFS('12月数据源'!$I:$I,'12月数据源'!$D:$D,$E41,'12月数据源'!$F:$F,"海南精准学科技有限公司")+SUMIFS('12月数据源'!$J:$J,'12月数据源'!$D:$D,$E41,'12月数据源'!$F:$F,"海南精准学科技有限公司")</f>
        <v/>
      </c>
    </row>
    <row r="42" s="83">
      <c r="A42" s="5" t="inlineStr">
        <is>
          <t>硬件支出</t>
        </is>
      </c>
      <c r="B42" s="6" t="inlineStr">
        <is>
          <t>BONG PRO</t>
        </is>
      </c>
      <c r="C42" s="6" t="inlineStr">
        <is>
          <t>BONG PRO</t>
        </is>
      </c>
      <c r="D42" s="5" t="inlineStr">
        <is>
          <t>BOE平板电脑款项</t>
        </is>
      </c>
      <c r="E42" s="6" t="inlineStr">
        <is>
          <t>Q1001</t>
        </is>
      </c>
      <c r="F42" s="89">
        <f>-SUMIFS('1月数据源'!I:I,'1月数据源'!D:D,E42,'1月数据源'!F:F,"海南精准学科技有限公司")+SUMIFS('1月数据源'!J:J,'1月数据源'!D:D,E42,'1月数据源'!F:F,"海南精准学科技有限公司")</f>
        <v/>
      </c>
      <c r="G42" s="89">
        <f>-SUMIFS('2月数据源'!$I:$I,'2月数据源'!$D:$D,$E42,'2月数据源'!$F:$F,"海南精准学科技有限公司")+SUMIFS('2月数据源'!$J:$J,'2月数据源'!$D:$D,$E42,'2月数据源'!$F:$F,"海南精准学科技有限公司")</f>
        <v/>
      </c>
      <c r="H42" s="89">
        <f>-SUMIFS('3月数据源'!$I:$I,'3月数据源'!$D:$D,$E42,'3月数据源'!$F:$F,"海南精准学科技有限公司")+SUMIFS('3月数据源'!$J:$J,'3月数据源'!$D:$D,$E42,'3月数据源'!$F:$F,"海南精准学科技有限公司")</f>
        <v/>
      </c>
      <c r="I42" s="89">
        <f>-SUMIFS('4月数据源'!$I:$I,'4月数据源'!$D:$D,$E42,'4月数据源'!$F:$F,"海南精准学科技有限公司")+SUMIFS('4月数据源'!$J:$J,'4月数据源'!$D:$D,$E42,'4月数据源'!$F:$F,"海南精准学科技有限公司")</f>
        <v/>
      </c>
      <c r="J42" s="89">
        <f>-SUMIFS('5月数据源'!$I:$I,'5月数据源'!$D:$D,$E42,'5月数据源'!$F:$F,"海南精准学科技有限公司")+SUMIFS('5月数据源'!$J:$J,'5月数据源'!$D:$D,$E42,'5月数据源'!$F:$F,"海南精准学科技有限公司")</f>
        <v/>
      </c>
      <c r="K42" s="89">
        <f>-SUMIFS('6月数据源'!$I:$I,'6月数据源'!$D:$D,$E42,'6月数据源'!$F:$F,"海南精准学科技有限公司")+SUMIFS('6月数据源'!$J:$J,'6月数据源'!$D:$D,$E42,'6月数据源'!$F:$F,"海南精准学科技有限公司")</f>
        <v/>
      </c>
      <c r="L42" s="89">
        <f>-SUMIFS('7月数据源'!$I:$I,'7月数据源'!$D:$D,$E42,'7月数据源'!$F:$F,"海南精准学科技有限公司")+SUMIFS('7月数据源'!$J:$J,'7月数据源'!$D:$D,$E42,'7月数据源'!$F:$F,"海南精准学科技有限公司")</f>
        <v/>
      </c>
      <c r="M42" s="89">
        <f>-SUMIFS('8月数据源'!$I:$I,'8月数据源'!$D:$D,$E42,'8月数据源'!$F:$F,"海南精准学科技有限公司")+SUMIFS('8月数据源'!$J:$J,'8月数据源'!$D:$D,$E42,'8月数据源'!$F:$F,"海南精准学科技有限公司")</f>
        <v/>
      </c>
      <c r="N42" s="89">
        <f>-SUMIFS('9月数据源'!$I:$I,'9月数据源'!$D:$D,$E42,'9月数据源'!$F:$F,"海南精准学科技有限公司")+SUMIFS('9月数据源'!$J:$J,'9月数据源'!$D:$D,$E42,'9月数据源'!$F:$F,"海南精准学科技有限公司")</f>
        <v/>
      </c>
      <c r="O42" s="89">
        <f>-SUMIFS('10月数据源'!$I:$I,'10月数据源'!$D:$D,$E42,'10月数据源'!$F:$F,"海南精准学科技有限公司")+SUMIFS('10月数据源'!$J:$J,'10月数据源'!$D:$D,$E42,'10月数据源'!$F:$F,"海南精准学科技有限公司")</f>
        <v/>
      </c>
      <c r="P42" s="89">
        <f>-SUMIFS('11月数据源'!$I:$I,'11月数据源'!$D:$D,$E42,'11月数据源'!$F:$F,"海南精准学科技有限公司")+SUMIFS('11月数据源'!$J:$J,'11月数据源'!$D:$D,$E42,'11月数据源'!$F:$F,"海南精准学科技有限公司")</f>
        <v/>
      </c>
      <c r="Q42" s="89">
        <f>-SUMIFS('12月数据源'!$I:$I,'12月数据源'!$D:$D,$E42,'12月数据源'!$F:$F,"海南精准学科技有限公司")+SUMIFS('12月数据源'!$J:$J,'12月数据源'!$D:$D,$E42,'12月数据源'!$F:$F,"海南精准学科技有限公司")</f>
        <v/>
      </c>
    </row>
    <row r="43" s="83">
      <c r="A43" s="5" t="inlineStr">
        <is>
          <t>硬件支出</t>
        </is>
      </c>
      <c r="B43" s="6" t="inlineStr">
        <is>
          <t>BONG PRO</t>
        </is>
      </c>
      <c r="D43" s="5" t="inlineStr">
        <is>
          <t>保护套</t>
        </is>
      </c>
      <c r="E43" s="6" t="inlineStr">
        <is>
          <t>Q1002</t>
        </is>
      </c>
      <c r="F43" s="89">
        <f>-SUMIFS('1月数据源'!I:I,'1月数据源'!D:D,E43,'1月数据源'!F:F,"海南精准学科技有限公司")+SUMIFS('1月数据源'!J:J,'1月数据源'!D:D,E43,'1月数据源'!F:F,"海南精准学科技有限公司")</f>
        <v/>
      </c>
      <c r="G43" s="89">
        <f>-SUMIFS('2月数据源'!$I:$I,'2月数据源'!$D:$D,$E43,'2月数据源'!$F:$F,"海南精准学科技有限公司")+SUMIFS('2月数据源'!$J:$J,'2月数据源'!$D:$D,$E43,'2月数据源'!$F:$F,"海南精准学科技有限公司")</f>
        <v/>
      </c>
      <c r="H43" s="89">
        <f>-SUMIFS('3月数据源'!$I:$I,'3月数据源'!$D:$D,$E43,'3月数据源'!$F:$F,"海南精准学科技有限公司")+SUMIFS('3月数据源'!$J:$J,'3月数据源'!$D:$D,$E43,'3月数据源'!$F:$F,"海南精准学科技有限公司")</f>
        <v/>
      </c>
      <c r="I43" s="89">
        <f>-SUMIFS('4月数据源'!$I:$I,'4月数据源'!$D:$D,$E43,'4月数据源'!$F:$F,"海南精准学科技有限公司")+SUMIFS('4月数据源'!$J:$J,'4月数据源'!$D:$D,$E43,'4月数据源'!$F:$F,"海南精准学科技有限公司")</f>
        <v/>
      </c>
      <c r="J43" s="89">
        <f>-SUMIFS('5月数据源'!$I:$I,'5月数据源'!$D:$D,$E43,'5月数据源'!$F:$F,"海南精准学科技有限公司")+SUMIFS('5月数据源'!$J:$J,'5月数据源'!$D:$D,$E43,'5月数据源'!$F:$F,"海南精准学科技有限公司")</f>
        <v/>
      </c>
      <c r="K43" s="89">
        <f>-SUMIFS('6月数据源'!$I:$I,'6月数据源'!$D:$D,$E43,'6月数据源'!$F:$F,"海南精准学科技有限公司")+SUMIFS('6月数据源'!$J:$J,'6月数据源'!$D:$D,$E43,'6月数据源'!$F:$F,"海南精准学科技有限公司")</f>
        <v/>
      </c>
      <c r="L43" s="89">
        <f>-SUMIFS('7月数据源'!$I:$I,'7月数据源'!$D:$D,$E43,'7月数据源'!$F:$F,"海南精准学科技有限公司")+SUMIFS('7月数据源'!$J:$J,'7月数据源'!$D:$D,$E43,'7月数据源'!$F:$F,"海南精准学科技有限公司")</f>
        <v/>
      </c>
      <c r="M43" s="89">
        <f>-SUMIFS('8月数据源'!$I:$I,'8月数据源'!$D:$D,$E43,'8月数据源'!$F:$F,"海南精准学科技有限公司")+SUMIFS('8月数据源'!$J:$J,'8月数据源'!$D:$D,$E43,'8月数据源'!$F:$F,"海南精准学科技有限公司")</f>
        <v/>
      </c>
      <c r="N43" s="89">
        <f>-SUMIFS('9月数据源'!$I:$I,'9月数据源'!$D:$D,$E43,'9月数据源'!$F:$F,"海南精准学科技有限公司")+SUMIFS('9月数据源'!$J:$J,'9月数据源'!$D:$D,$E43,'9月数据源'!$F:$F,"海南精准学科技有限公司")</f>
        <v/>
      </c>
      <c r="O43" s="89">
        <f>-SUMIFS('10月数据源'!$I:$I,'10月数据源'!$D:$D,$E43,'10月数据源'!$F:$F,"海南精准学科技有限公司")+SUMIFS('10月数据源'!$J:$J,'10月数据源'!$D:$D,$E43,'10月数据源'!$F:$F,"海南精准学科技有限公司")</f>
        <v/>
      </c>
      <c r="P43" s="89">
        <f>-SUMIFS('11月数据源'!$I:$I,'11月数据源'!$D:$D,$E43,'11月数据源'!$F:$F,"海南精准学科技有限公司")+SUMIFS('11月数据源'!$J:$J,'11月数据源'!$D:$D,$E43,'11月数据源'!$F:$F,"海南精准学科技有限公司")</f>
        <v/>
      </c>
      <c r="Q43" s="89">
        <f>-SUMIFS('12月数据源'!$I:$I,'12月数据源'!$D:$D,$E43,'12月数据源'!$F:$F,"海南精准学科技有限公司")+SUMIFS('12月数据源'!$J:$J,'12月数据源'!$D:$D,$E43,'12月数据源'!$F:$F,"海南精准学科技有限公司")</f>
        <v/>
      </c>
    </row>
    <row r="44" s="83">
      <c r="A44" s="5" t="inlineStr">
        <is>
          <t>硬件支出</t>
        </is>
      </c>
      <c r="B44" s="6" t="inlineStr">
        <is>
          <t>BONG PRO</t>
        </is>
      </c>
      <c r="D44" s="5" t="inlineStr">
        <is>
          <t>包装盒</t>
        </is>
      </c>
      <c r="E44" s="6" t="inlineStr">
        <is>
          <t>Q1003</t>
        </is>
      </c>
      <c r="F44" s="89">
        <f>-SUMIFS('1月数据源'!I:I,'1月数据源'!D:D,E44,'1月数据源'!F:F,"海南精准学科技有限公司")+SUMIFS('1月数据源'!J:J,'1月数据源'!D:D,E44,'1月数据源'!F:F,"海南精准学科技有限公司")</f>
        <v/>
      </c>
      <c r="G44" s="89">
        <f>-SUMIFS('2月数据源'!$I:$I,'2月数据源'!$D:$D,$E44,'2月数据源'!$F:$F,"海南精准学科技有限公司")+SUMIFS('2月数据源'!$J:$J,'2月数据源'!$D:$D,$E44,'2月数据源'!$F:$F,"海南精准学科技有限公司")</f>
        <v/>
      </c>
      <c r="H44" s="89">
        <f>-SUMIFS('3月数据源'!$I:$I,'3月数据源'!$D:$D,$E44,'3月数据源'!$F:$F,"海南精准学科技有限公司")+SUMIFS('3月数据源'!$J:$J,'3月数据源'!$D:$D,$E44,'3月数据源'!$F:$F,"海南精准学科技有限公司")</f>
        <v/>
      </c>
      <c r="I44" s="89">
        <f>-SUMIFS('4月数据源'!$I:$I,'4月数据源'!$D:$D,$E44,'4月数据源'!$F:$F,"海南精准学科技有限公司")+SUMIFS('4月数据源'!$J:$J,'4月数据源'!$D:$D,$E44,'4月数据源'!$F:$F,"海南精准学科技有限公司")</f>
        <v/>
      </c>
      <c r="J44" s="89">
        <f>-SUMIFS('5月数据源'!$I:$I,'5月数据源'!$D:$D,$E44,'5月数据源'!$F:$F,"海南精准学科技有限公司")+SUMIFS('5月数据源'!$J:$J,'5月数据源'!$D:$D,$E44,'5月数据源'!$F:$F,"海南精准学科技有限公司")</f>
        <v/>
      </c>
      <c r="K44" s="89">
        <f>-SUMIFS('6月数据源'!$I:$I,'6月数据源'!$D:$D,$E44,'6月数据源'!$F:$F,"海南精准学科技有限公司")+SUMIFS('6月数据源'!$J:$J,'6月数据源'!$D:$D,$E44,'6月数据源'!$F:$F,"海南精准学科技有限公司")</f>
        <v/>
      </c>
      <c r="L44" s="89">
        <f>-SUMIFS('7月数据源'!$I:$I,'7月数据源'!$D:$D,$E44,'7月数据源'!$F:$F,"海南精准学科技有限公司")+SUMIFS('7月数据源'!$J:$J,'7月数据源'!$D:$D,$E44,'7月数据源'!$F:$F,"海南精准学科技有限公司")</f>
        <v/>
      </c>
      <c r="M44" s="89">
        <f>-SUMIFS('8月数据源'!$I:$I,'8月数据源'!$D:$D,$E44,'8月数据源'!$F:$F,"海南精准学科技有限公司")+SUMIFS('8月数据源'!$J:$J,'8月数据源'!$D:$D,$E44,'8月数据源'!$F:$F,"海南精准学科技有限公司")</f>
        <v/>
      </c>
      <c r="N44" s="89">
        <f>-SUMIFS('9月数据源'!$I:$I,'9月数据源'!$D:$D,$E44,'9月数据源'!$F:$F,"海南精准学科技有限公司")+SUMIFS('9月数据源'!$J:$J,'9月数据源'!$D:$D,$E44,'9月数据源'!$F:$F,"海南精准学科技有限公司")</f>
        <v/>
      </c>
      <c r="O44" s="89">
        <f>-SUMIFS('10月数据源'!$I:$I,'10月数据源'!$D:$D,$E44,'10月数据源'!$F:$F,"海南精准学科技有限公司")+SUMIFS('10月数据源'!$J:$J,'10月数据源'!$D:$D,$E44,'10月数据源'!$F:$F,"海南精准学科技有限公司")</f>
        <v/>
      </c>
      <c r="P44" s="89">
        <f>-SUMIFS('11月数据源'!$I:$I,'11月数据源'!$D:$D,$E44,'11月数据源'!$F:$F,"海南精准学科技有限公司")+SUMIFS('11月数据源'!$J:$J,'11月数据源'!$D:$D,$E44,'11月数据源'!$F:$F,"海南精准学科技有限公司")</f>
        <v/>
      </c>
      <c r="Q44" s="89">
        <f>-SUMIFS('12月数据源'!$I:$I,'12月数据源'!$D:$D,$E44,'12月数据源'!$F:$F,"海南精准学科技有限公司")+SUMIFS('12月数据源'!$J:$J,'12月数据源'!$D:$D,$E44,'12月数据源'!$F:$F,"海南精准学科技有限公司")</f>
        <v/>
      </c>
    </row>
    <row r="45" s="83">
      <c r="A45" s="5" t="inlineStr">
        <is>
          <t>硬件支出</t>
        </is>
      </c>
      <c r="B45" s="6" t="inlineStr">
        <is>
          <t>BONG PRO</t>
        </is>
      </c>
      <c r="D45" s="5" t="inlineStr">
        <is>
          <t>充电器</t>
        </is>
      </c>
      <c r="E45" s="6" t="inlineStr">
        <is>
          <t>Q1004</t>
        </is>
      </c>
      <c r="F45" s="89">
        <f>-SUMIFS('1月数据源'!I:I,'1月数据源'!D:D,E45,'1月数据源'!F:F,"海南精准学科技有限公司")+SUMIFS('1月数据源'!J:J,'1月数据源'!D:D,E45,'1月数据源'!F:F,"海南精准学科技有限公司")</f>
        <v/>
      </c>
      <c r="G45" s="89">
        <f>-SUMIFS('2月数据源'!$I:$I,'2月数据源'!$D:$D,$E45,'2月数据源'!$F:$F,"海南精准学科技有限公司")+SUMIFS('2月数据源'!$J:$J,'2月数据源'!$D:$D,$E45,'2月数据源'!$F:$F,"海南精准学科技有限公司")</f>
        <v/>
      </c>
      <c r="H45" s="89">
        <f>-SUMIFS('3月数据源'!$I:$I,'3月数据源'!$D:$D,$E45,'3月数据源'!$F:$F,"海南精准学科技有限公司")+SUMIFS('3月数据源'!$J:$J,'3月数据源'!$D:$D,$E45,'3月数据源'!$F:$F,"海南精准学科技有限公司")</f>
        <v/>
      </c>
      <c r="I45" s="89">
        <f>-SUMIFS('4月数据源'!$I:$I,'4月数据源'!$D:$D,$E45,'4月数据源'!$F:$F,"海南精准学科技有限公司")+SUMIFS('4月数据源'!$J:$J,'4月数据源'!$D:$D,$E45,'4月数据源'!$F:$F,"海南精准学科技有限公司")</f>
        <v/>
      </c>
      <c r="J45" s="89">
        <f>-SUMIFS('5月数据源'!$I:$I,'5月数据源'!$D:$D,$E45,'5月数据源'!$F:$F,"海南精准学科技有限公司")+SUMIFS('5月数据源'!$J:$J,'5月数据源'!$D:$D,$E45,'5月数据源'!$F:$F,"海南精准学科技有限公司")</f>
        <v/>
      </c>
      <c r="K45" s="89">
        <f>-SUMIFS('6月数据源'!$I:$I,'6月数据源'!$D:$D,$E45,'6月数据源'!$F:$F,"海南精准学科技有限公司")+SUMIFS('6月数据源'!$J:$J,'6月数据源'!$D:$D,$E45,'6月数据源'!$F:$F,"海南精准学科技有限公司")</f>
        <v/>
      </c>
      <c r="L45" s="89">
        <f>-SUMIFS('7月数据源'!$I:$I,'7月数据源'!$D:$D,$E45,'7月数据源'!$F:$F,"海南精准学科技有限公司")+SUMIFS('7月数据源'!$J:$J,'7月数据源'!$D:$D,$E45,'7月数据源'!$F:$F,"海南精准学科技有限公司")</f>
        <v/>
      </c>
      <c r="M45" s="89">
        <f>-SUMIFS('8月数据源'!$I:$I,'8月数据源'!$D:$D,$E45,'8月数据源'!$F:$F,"海南精准学科技有限公司")+SUMIFS('8月数据源'!$J:$J,'8月数据源'!$D:$D,$E45,'8月数据源'!$F:$F,"海南精准学科技有限公司")</f>
        <v/>
      </c>
      <c r="N45" s="89">
        <f>-SUMIFS('9月数据源'!$I:$I,'9月数据源'!$D:$D,$E45,'9月数据源'!$F:$F,"海南精准学科技有限公司")+SUMIFS('9月数据源'!$J:$J,'9月数据源'!$D:$D,$E45,'9月数据源'!$F:$F,"海南精准学科技有限公司")</f>
        <v/>
      </c>
      <c r="O45" s="89">
        <f>-SUMIFS('10月数据源'!$I:$I,'10月数据源'!$D:$D,$E45,'10月数据源'!$F:$F,"海南精准学科技有限公司")+SUMIFS('10月数据源'!$J:$J,'10月数据源'!$D:$D,$E45,'10月数据源'!$F:$F,"海南精准学科技有限公司")</f>
        <v/>
      </c>
      <c r="P45" s="89">
        <f>-SUMIFS('11月数据源'!$I:$I,'11月数据源'!$D:$D,$E45,'11月数据源'!$F:$F,"海南精准学科技有限公司")+SUMIFS('11月数据源'!$J:$J,'11月数据源'!$D:$D,$E45,'11月数据源'!$F:$F,"海南精准学科技有限公司")</f>
        <v/>
      </c>
      <c r="Q45" s="89">
        <f>-SUMIFS('12月数据源'!$I:$I,'12月数据源'!$D:$D,$E45,'12月数据源'!$F:$F,"海南精准学科技有限公司")+SUMIFS('12月数据源'!$J:$J,'12月数据源'!$D:$D,$E45,'12月数据源'!$F:$F,"海南精准学科技有限公司")</f>
        <v/>
      </c>
    </row>
    <row r="46" s="83">
      <c r="A46" s="5" t="inlineStr">
        <is>
          <t>硬件支出</t>
        </is>
      </c>
      <c r="B46" s="6" t="inlineStr">
        <is>
          <t>BONG PRO</t>
        </is>
      </c>
      <c r="D46" s="5" t="inlineStr">
        <is>
          <t>指学镜</t>
        </is>
      </c>
      <c r="E46" s="6" t="inlineStr">
        <is>
          <t>Q1005</t>
        </is>
      </c>
      <c r="F46" s="89">
        <f>-SUMIFS('1月数据源'!I:I,'1月数据源'!D:D,E46,'1月数据源'!F:F,"海南精准学科技有限公司")+SUMIFS('1月数据源'!J:J,'1月数据源'!D:D,E46,'1月数据源'!F:F,"海南精准学科技有限公司")</f>
        <v/>
      </c>
      <c r="G46" s="89">
        <f>-SUMIFS('2月数据源'!$I:$I,'2月数据源'!$D:$D,$E46,'2月数据源'!$F:$F,"海南精准学科技有限公司")+SUMIFS('2月数据源'!$J:$J,'2月数据源'!$D:$D,$E46,'2月数据源'!$F:$F,"海南精准学科技有限公司")</f>
        <v/>
      </c>
      <c r="H46" s="89">
        <f>-SUMIFS('3月数据源'!$I:$I,'3月数据源'!$D:$D,$E46,'3月数据源'!$F:$F,"海南精准学科技有限公司")+SUMIFS('3月数据源'!$J:$J,'3月数据源'!$D:$D,$E46,'3月数据源'!$F:$F,"海南精准学科技有限公司")</f>
        <v/>
      </c>
      <c r="I46" s="89">
        <f>-SUMIFS('4月数据源'!$I:$I,'4月数据源'!$D:$D,$E46,'4月数据源'!$F:$F,"海南精准学科技有限公司")+SUMIFS('4月数据源'!$J:$J,'4月数据源'!$D:$D,$E46,'4月数据源'!$F:$F,"海南精准学科技有限公司")</f>
        <v/>
      </c>
      <c r="J46" s="89">
        <f>-SUMIFS('5月数据源'!$I:$I,'5月数据源'!$D:$D,$E46,'5月数据源'!$F:$F,"海南精准学科技有限公司")+SUMIFS('5月数据源'!$J:$J,'5月数据源'!$D:$D,$E46,'5月数据源'!$F:$F,"海南精准学科技有限公司")</f>
        <v/>
      </c>
      <c r="K46" s="89">
        <f>-SUMIFS('6月数据源'!$I:$I,'6月数据源'!$D:$D,$E46,'6月数据源'!$F:$F,"海南精准学科技有限公司")+SUMIFS('6月数据源'!$J:$J,'6月数据源'!$D:$D,$E46,'6月数据源'!$F:$F,"海南精准学科技有限公司")</f>
        <v/>
      </c>
      <c r="L46" s="89">
        <f>-SUMIFS('7月数据源'!$I:$I,'7月数据源'!$D:$D,$E46,'7月数据源'!$F:$F,"海南精准学科技有限公司")+SUMIFS('7月数据源'!$J:$J,'7月数据源'!$D:$D,$E46,'7月数据源'!$F:$F,"海南精准学科技有限公司")</f>
        <v/>
      </c>
      <c r="M46" s="89">
        <f>-SUMIFS('8月数据源'!$I:$I,'8月数据源'!$D:$D,$E46,'8月数据源'!$F:$F,"海南精准学科技有限公司")+SUMIFS('8月数据源'!$J:$J,'8月数据源'!$D:$D,$E46,'8月数据源'!$F:$F,"海南精准学科技有限公司")</f>
        <v/>
      </c>
      <c r="N46" s="89">
        <f>-SUMIFS('9月数据源'!$I:$I,'9月数据源'!$D:$D,$E46,'9月数据源'!$F:$F,"海南精准学科技有限公司")+SUMIFS('9月数据源'!$J:$J,'9月数据源'!$D:$D,$E46,'9月数据源'!$F:$F,"海南精准学科技有限公司")</f>
        <v/>
      </c>
      <c r="O46" s="89">
        <f>-SUMIFS('10月数据源'!$I:$I,'10月数据源'!$D:$D,$E46,'10月数据源'!$F:$F,"海南精准学科技有限公司")+SUMIFS('10月数据源'!$J:$J,'10月数据源'!$D:$D,$E46,'10月数据源'!$F:$F,"海南精准学科技有限公司")</f>
        <v/>
      </c>
      <c r="P46" s="89">
        <f>-SUMIFS('11月数据源'!$I:$I,'11月数据源'!$D:$D,$E46,'11月数据源'!$F:$F,"海南精准学科技有限公司")+SUMIFS('11月数据源'!$J:$J,'11月数据源'!$D:$D,$E46,'11月数据源'!$F:$F,"海南精准学科技有限公司")</f>
        <v/>
      </c>
      <c r="Q46" s="89">
        <f>-SUMIFS('12月数据源'!$I:$I,'12月数据源'!$D:$D,$E46,'12月数据源'!$F:$F,"海南精准学科技有限公司")+SUMIFS('12月数据源'!$J:$J,'12月数据源'!$D:$D,$E46,'12月数据源'!$F:$F,"海南精准学科技有限公司")</f>
        <v/>
      </c>
    </row>
    <row r="47" s="83">
      <c r="A47" s="5" t="inlineStr">
        <is>
          <t>硬件支出</t>
        </is>
      </c>
      <c r="B47" s="6" t="inlineStr">
        <is>
          <t>BONG PRO</t>
        </is>
      </c>
      <c r="D47" s="5" t="inlineStr">
        <is>
          <t>学习机系统授权费</t>
        </is>
      </c>
      <c r="E47" s="6" t="inlineStr">
        <is>
          <t>Q1006</t>
        </is>
      </c>
      <c r="F47" s="89">
        <f>-SUMIFS('1月数据源'!I:I,'1月数据源'!D:D,E47,'1月数据源'!F:F,"海南精准学科技有限公司")+SUMIFS('1月数据源'!J:J,'1月数据源'!D:D,E47,'1月数据源'!F:F,"海南精准学科技有限公司")</f>
        <v/>
      </c>
      <c r="G47" s="89">
        <f>-SUMIFS('2月数据源'!$I:$I,'2月数据源'!$D:$D,$E47,'2月数据源'!$F:$F,"海南精准学科技有限公司")+SUMIFS('2月数据源'!$J:$J,'2月数据源'!$D:$D,$E47,'2月数据源'!$F:$F,"海南精准学科技有限公司")</f>
        <v/>
      </c>
      <c r="H47" s="89">
        <f>-SUMIFS('3月数据源'!$I:$I,'3月数据源'!$D:$D,$E47,'3月数据源'!$F:$F,"海南精准学科技有限公司")+SUMIFS('3月数据源'!$J:$J,'3月数据源'!$D:$D,$E47,'3月数据源'!$F:$F,"海南精准学科技有限公司")</f>
        <v/>
      </c>
      <c r="I47" s="89">
        <f>-SUMIFS('4月数据源'!$I:$I,'4月数据源'!$D:$D,$E47,'4月数据源'!$F:$F,"海南精准学科技有限公司")+SUMIFS('4月数据源'!$J:$J,'4月数据源'!$D:$D,$E47,'4月数据源'!$F:$F,"海南精准学科技有限公司")</f>
        <v/>
      </c>
      <c r="J47" s="89">
        <f>-SUMIFS('5月数据源'!$I:$I,'5月数据源'!$D:$D,$E47,'5月数据源'!$F:$F,"海南精准学科技有限公司")+SUMIFS('5月数据源'!$J:$J,'5月数据源'!$D:$D,$E47,'5月数据源'!$F:$F,"海南精准学科技有限公司")</f>
        <v/>
      </c>
      <c r="K47" s="89">
        <f>-SUMIFS('6月数据源'!$I:$I,'6月数据源'!$D:$D,$E47,'6月数据源'!$F:$F,"海南精准学科技有限公司")+SUMIFS('6月数据源'!$J:$J,'6月数据源'!$D:$D,$E47,'6月数据源'!$F:$F,"海南精准学科技有限公司")</f>
        <v/>
      </c>
      <c r="L47" s="89">
        <f>-SUMIFS('7月数据源'!$I:$I,'7月数据源'!$D:$D,$E47,'7月数据源'!$F:$F,"海南精准学科技有限公司")+SUMIFS('7月数据源'!$J:$J,'7月数据源'!$D:$D,$E47,'7月数据源'!$F:$F,"海南精准学科技有限公司")</f>
        <v/>
      </c>
      <c r="M47" s="89">
        <f>-SUMIFS('8月数据源'!$I:$I,'8月数据源'!$D:$D,$E47,'8月数据源'!$F:$F,"海南精准学科技有限公司")+SUMIFS('8月数据源'!$J:$J,'8月数据源'!$D:$D,$E47,'8月数据源'!$F:$F,"海南精准学科技有限公司")</f>
        <v/>
      </c>
      <c r="N47" s="89">
        <f>-SUMIFS('9月数据源'!$I:$I,'9月数据源'!$D:$D,$E47,'9月数据源'!$F:$F,"海南精准学科技有限公司")+SUMIFS('9月数据源'!$J:$J,'9月数据源'!$D:$D,$E47,'9月数据源'!$F:$F,"海南精准学科技有限公司")</f>
        <v/>
      </c>
      <c r="O47" s="89">
        <f>-SUMIFS('10月数据源'!$I:$I,'10月数据源'!$D:$D,$E47,'10月数据源'!$F:$F,"海南精准学科技有限公司")+SUMIFS('10月数据源'!$J:$J,'10月数据源'!$D:$D,$E47,'10月数据源'!$F:$F,"海南精准学科技有限公司")</f>
        <v/>
      </c>
      <c r="P47" s="89">
        <f>-SUMIFS('11月数据源'!$I:$I,'11月数据源'!$D:$D,$E47,'11月数据源'!$F:$F,"海南精准学科技有限公司")+SUMIFS('11月数据源'!$J:$J,'11月数据源'!$D:$D,$E47,'11月数据源'!$F:$F,"海南精准学科技有限公司")</f>
        <v/>
      </c>
      <c r="Q47" s="89">
        <f>-SUMIFS('12月数据源'!$I:$I,'12月数据源'!$D:$D,$E47,'12月数据源'!$F:$F,"海南精准学科技有限公司")+SUMIFS('12月数据源'!$J:$J,'12月数据源'!$D:$D,$E47,'12月数据源'!$F:$F,"海南精准学科技有限公司")</f>
        <v/>
      </c>
    </row>
    <row r="48" s="83">
      <c r="A48" s="5" t="inlineStr">
        <is>
          <t>硬件支出</t>
        </is>
      </c>
      <c r="B48" s="6" t="inlineStr">
        <is>
          <t>其他硬件成本</t>
        </is>
      </c>
      <c r="C48" s="6" t="inlineStr">
        <is>
          <t>其他硬件成本</t>
        </is>
      </c>
      <c r="D48" s="5" t="inlineStr">
        <is>
          <t>电容笔</t>
        </is>
      </c>
      <c r="E48" s="6" t="inlineStr">
        <is>
          <t>Q1101</t>
        </is>
      </c>
      <c r="F48" s="89">
        <f>-SUMIFS('1月数据源'!I:I,'1月数据源'!D:D,E48,'1月数据源'!F:F,"海南精准学科技有限公司")+SUMIFS('1月数据源'!J:J,'1月数据源'!D:D,E48,'1月数据源'!F:F,"海南精准学科技有限公司")</f>
        <v/>
      </c>
      <c r="G48" s="89">
        <f>-SUMIFS('2月数据源'!$I:$I,'2月数据源'!$D:$D,$E48,'2月数据源'!$F:$F,"海南精准学科技有限公司")+SUMIFS('2月数据源'!$J:$J,'2月数据源'!$D:$D,$E48,'2月数据源'!$F:$F,"海南精准学科技有限公司")</f>
        <v/>
      </c>
      <c r="H48" s="89">
        <f>-SUMIFS('3月数据源'!$I:$I,'3月数据源'!$D:$D,$E48,'3月数据源'!$F:$F,"海南精准学科技有限公司")+SUMIFS('3月数据源'!$J:$J,'3月数据源'!$D:$D,$E48,'3月数据源'!$F:$F,"海南精准学科技有限公司")</f>
        <v/>
      </c>
      <c r="I48" s="89">
        <f>-SUMIFS('4月数据源'!$I:$I,'4月数据源'!$D:$D,$E48,'4月数据源'!$F:$F,"海南精准学科技有限公司")+SUMIFS('4月数据源'!$J:$J,'4月数据源'!$D:$D,$E48,'4月数据源'!$F:$F,"海南精准学科技有限公司")</f>
        <v/>
      </c>
      <c r="J48" s="89">
        <f>-SUMIFS('5月数据源'!$I:$I,'5月数据源'!$D:$D,$E48,'5月数据源'!$F:$F,"海南精准学科技有限公司")+SUMIFS('5月数据源'!$J:$J,'5月数据源'!$D:$D,$E48,'5月数据源'!$F:$F,"海南精准学科技有限公司")</f>
        <v/>
      </c>
      <c r="K48" s="89">
        <f>-SUMIFS('6月数据源'!$I:$I,'6月数据源'!$D:$D,$E48,'6月数据源'!$F:$F,"海南精准学科技有限公司")+SUMIFS('6月数据源'!$J:$J,'6月数据源'!$D:$D,$E48,'6月数据源'!$F:$F,"海南精准学科技有限公司")</f>
        <v/>
      </c>
      <c r="L48" s="89">
        <f>-SUMIFS('7月数据源'!$I:$I,'7月数据源'!$D:$D,$E48,'7月数据源'!$F:$F,"海南精准学科技有限公司")+SUMIFS('7月数据源'!$J:$J,'7月数据源'!$D:$D,$E48,'7月数据源'!$F:$F,"海南精准学科技有限公司")</f>
        <v/>
      </c>
      <c r="M48" s="89">
        <f>-SUMIFS('8月数据源'!$I:$I,'8月数据源'!$D:$D,$E48,'8月数据源'!$F:$F,"海南精准学科技有限公司")+SUMIFS('8月数据源'!$J:$J,'8月数据源'!$D:$D,$E48,'8月数据源'!$F:$F,"海南精准学科技有限公司")</f>
        <v/>
      </c>
      <c r="N48" s="89">
        <f>-SUMIFS('9月数据源'!$I:$I,'9月数据源'!$D:$D,$E48,'9月数据源'!$F:$F,"海南精准学科技有限公司")+SUMIFS('9月数据源'!$J:$J,'9月数据源'!$D:$D,$E48,'9月数据源'!$F:$F,"海南精准学科技有限公司")</f>
        <v/>
      </c>
      <c r="O48" s="89">
        <f>-SUMIFS('10月数据源'!$I:$I,'10月数据源'!$D:$D,$E48,'10月数据源'!$F:$F,"海南精准学科技有限公司")+SUMIFS('10月数据源'!$J:$J,'10月数据源'!$D:$D,$E48,'10月数据源'!$F:$F,"海南精准学科技有限公司")</f>
        <v/>
      </c>
      <c r="P48" s="89">
        <f>-SUMIFS('11月数据源'!$I:$I,'11月数据源'!$D:$D,$E48,'11月数据源'!$F:$F,"海南精准学科技有限公司")+SUMIFS('11月数据源'!$J:$J,'11月数据源'!$D:$D,$E48,'11月数据源'!$F:$F,"海南精准学科技有限公司")</f>
        <v/>
      </c>
      <c r="Q48" s="89">
        <f>-SUMIFS('12月数据源'!$I:$I,'12月数据源'!$D:$D,$E48,'12月数据源'!$F:$F,"海南精准学科技有限公司")+SUMIFS('12月数据源'!$J:$J,'12月数据源'!$D:$D,$E48,'12月数据源'!$F:$F,"海南精准学科技有限公司")</f>
        <v/>
      </c>
    </row>
    <row r="49" s="83">
      <c r="A49" s="5" t="inlineStr">
        <is>
          <t>硬件支出</t>
        </is>
      </c>
      <c r="B49" s="6" t="inlineStr">
        <is>
          <t>其他硬件成本</t>
        </is>
      </c>
      <c r="D49" s="5" t="inlineStr">
        <is>
          <t>支架</t>
        </is>
      </c>
      <c r="E49" s="6" t="inlineStr">
        <is>
          <t>Q1102</t>
        </is>
      </c>
      <c r="F49" s="89">
        <f>-SUMIFS('1月数据源'!I:I,'1月数据源'!D:D,E49,'1月数据源'!F:F,"海南精准学科技有限公司")+SUMIFS('1月数据源'!J:J,'1月数据源'!D:D,E49,'1月数据源'!F:F,"海南精准学科技有限公司")</f>
        <v/>
      </c>
      <c r="G49" s="89">
        <f>-SUMIFS('2月数据源'!$I:$I,'2月数据源'!$D:$D,$E49,'2月数据源'!$F:$F,"海南精准学科技有限公司")+SUMIFS('2月数据源'!$J:$J,'2月数据源'!$D:$D,$E49,'2月数据源'!$F:$F,"海南精准学科技有限公司")</f>
        <v/>
      </c>
      <c r="H49" s="89">
        <f>-SUMIFS('3月数据源'!$I:$I,'3月数据源'!$D:$D,$E49,'3月数据源'!$F:$F,"海南精准学科技有限公司")+SUMIFS('3月数据源'!$J:$J,'3月数据源'!$D:$D,$E49,'3月数据源'!$F:$F,"海南精准学科技有限公司")</f>
        <v/>
      </c>
      <c r="I49" s="89">
        <f>-SUMIFS('4月数据源'!$I:$I,'4月数据源'!$D:$D,$E49,'4月数据源'!$F:$F,"海南精准学科技有限公司")+SUMIFS('4月数据源'!$J:$J,'4月数据源'!$D:$D,$E49,'4月数据源'!$F:$F,"海南精准学科技有限公司")</f>
        <v/>
      </c>
      <c r="J49" s="89">
        <f>-SUMIFS('5月数据源'!$I:$I,'5月数据源'!$D:$D,$E49,'5月数据源'!$F:$F,"海南精准学科技有限公司")+SUMIFS('5月数据源'!$J:$J,'5月数据源'!$D:$D,$E49,'5月数据源'!$F:$F,"海南精准学科技有限公司")</f>
        <v/>
      </c>
      <c r="K49" s="89">
        <f>-SUMIFS('6月数据源'!$I:$I,'6月数据源'!$D:$D,$E49,'6月数据源'!$F:$F,"海南精准学科技有限公司")+SUMIFS('6月数据源'!$J:$J,'6月数据源'!$D:$D,$E49,'6月数据源'!$F:$F,"海南精准学科技有限公司")</f>
        <v/>
      </c>
      <c r="L49" s="89">
        <f>-SUMIFS('7月数据源'!$I:$I,'7月数据源'!$D:$D,$E49,'7月数据源'!$F:$F,"海南精准学科技有限公司")+SUMIFS('7月数据源'!$J:$J,'7月数据源'!$D:$D,$E49,'7月数据源'!$F:$F,"海南精准学科技有限公司")</f>
        <v/>
      </c>
      <c r="M49" s="89">
        <f>-SUMIFS('8月数据源'!$I:$I,'8月数据源'!$D:$D,$E49,'8月数据源'!$F:$F,"海南精准学科技有限公司")+SUMIFS('8月数据源'!$J:$J,'8月数据源'!$D:$D,$E49,'8月数据源'!$F:$F,"海南精准学科技有限公司")</f>
        <v/>
      </c>
      <c r="N49" s="89">
        <f>-SUMIFS('9月数据源'!$I:$I,'9月数据源'!$D:$D,$E49,'9月数据源'!$F:$F,"海南精准学科技有限公司")+SUMIFS('9月数据源'!$J:$J,'9月数据源'!$D:$D,$E49,'9月数据源'!$F:$F,"海南精准学科技有限公司")</f>
        <v/>
      </c>
      <c r="O49" s="89">
        <f>-SUMIFS('10月数据源'!$I:$I,'10月数据源'!$D:$D,$E49,'10月数据源'!$F:$F,"海南精准学科技有限公司")+SUMIFS('10月数据源'!$J:$J,'10月数据源'!$D:$D,$E49,'10月数据源'!$F:$F,"海南精准学科技有限公司")</f>
        <v/>
      </c>
      <c r="P49" s="89">
        <f>-SUMIFS('11月数据源'!$I:$I,'11月数据源'!$D:$D,$E49,'11月数据源'!$F:$F,"海南精准学科技有限公司")+SUMIFS('11月数据源'!$J:$J,'11月数据源'!$D:$D,$E49,'11月数据源'!$F:$F,"海南精准学科技有限公司")</f>
        <v/>
      </c>
      <c r="Q49" s="89">
        <f>-SUMIFS('12月数据源'!$I:$I,'12月数据源'!$D:$D,$E49,'12月数据源'!$F:$F,"海南精准学科技有限公司")+SUMIFS('12月数据源'!$J:$J,'12月数据源'!$D:$D,$E49,'12月数据源'!$F:$F,"海南精准学科技有限公司")</f>
        <v/>
      </c>
    </row>
    <row r="50" s="83">
      <c r="A50" s="49" t="inlineStr">
        <is>
          <t>硬件支出合计</t>
        </is>
      </c>
      <c r="B50" s="50" t="n"/>
      <c r="C50" s="50" t="n"/>
      <c r="D50" s="49" t="n"/>
      <c r="E50" s="49" t="n"/>
      <c r="F50" s="89">
        <f>SUM(F36:F49)</f>
        <v/>
      </c>
      <c r="G50" s="89">
        <f>SUM(G36:G49)</f>
        <v/>
      </c>
      <c r="H50" s="89">
        <f>SUM(H36:H49)</f>
        <v/>
      </c>
      <c r="I50" s="89">
        <f>SUM(I36:I49)</f>
        <v/>
      </c>
      <c r="J50" s="89">
        <f>SUM(J36:J49)</f>
        <v/>
      </c>
      <c r="K50" s="89">
        <f>SUM(K36:K49)</f>
        <v/>
      </c>
      <c r="L50" s="89">
        <f>SUM(L36:L49)</f>
        <v/>
      </c>
      <c r="M50" s="89">
        <f>SUM(M36:M49)</f>
        <v/>
      </c>
      <c r="N50" s="89">
        <f>SUM(N36:N49)</f>
        <v/>
      </c>
      <c r="O50" s="89">
        <f>SUM(O36:O49)</f>
        <v/>
      </c>
      <c r="P50" s="89">
        <f>SUM(P36:P49)</f>
        <v/>
      </c>
      <c r="Q50" s="89">
        <f>SUM(Q36:Q49)</f>
        <v/>
      </c>
    </row>
    <row r="51" s="83">
      <c r="A51" s="5" t="inlineStr">
        <is>
          <t>制造费用</t>
        </is>
      </c>
      <c r="B51" s="5" t="inlineStr">
        <is>
          <t>制造费用</t>
        </is>
      </c>
      <c r="C51" s="6" t="inlineStr">
        <is>
          <t>制造费用</t>
        </is>
      </c>
      <c r="D51" s="5" t="inlineStr">
        <is>
          <t>西溪首座仓库租金</t>
        </is>
      </c>
      <c r="E51" s="6" t="inlineStr">
        <is>
          <t>Q3201</t>
        </is>
      </c>
      <c r="F51" s="89">
        <f>-SUMIFS('1月数据源'!I:I,'1月数据源'!D:D,E51,'1月数据源'!F:F,"海南精准学科技有限公司")+SUMIFS('1月数据源'!J:J,'1月数据源'!D:D,E51,'1月数据源'!F:F,"海南精准学科技有限公司")</f>
        <v/>
      </c>
      <c r="G51" s="89">
        <f>-SUMIFS('2月数据源'!$I:$I,'2月数据源'!$D:$D,$E51,'2月数据源'!$F:$F,"海南精准学科技有限公司")+SUMIFS('2月数据源'!$J:$J,'2月数据源'!$D:$D,$E51,'2月数据源'!$F:$F,"海南精准学科技有限公司")</f>
        <v/>
      </c>
      <c r="H51" s="89">
        <f>-SUMIFS('3月数据源'!$I:$I,'3月数据源'!$D:$D,$E51,'3月数据源'!$F:$F,"海南精准学科技有限公司")+SUMIFS('3月数据源'!$J:$J,'3月数据源'!$D:$D,$E51,'3月数据源'!$F:$F,"海南精准学科技有限公司")</f>
        <v/>
      </c>
      <c r="I51" s="89">
        <f>-SUMIFS('4月数据源'!$I:$I,'4月数据源'!$D:$D,$E51,'4月数据源'!$F:$F,"海南精准学科技有限公司")+SUMIFS('4月数据源'!$J:$J,'4月数据源'!$D:$D,$E51,'4月数据源'!$F:$F,"海南精准学科技有限公司")</f>
        <v/>
      </c>
      <c r="J51" s="89">
        <f>-SUMIFS('5月数据源'!$I:$I,'5月数据源'!$D:$D,$E51,'5月数据源'!$F:$F,"海南精准学科技有限公司")+SUMIFS('5月数据源'!$J:$J,'5月数据源'!$D:$D,$E51,'5月数据源'!$F:$F,"海南精准学科技有限公司")</f>
        <v/>
      </c>
      <c r="K51" s="89">
        <f>-SUMIFS('6月数据源'!$I:$I,'6月数据源'!$D:$D,$E51,'6月数据源'!$F:$F,"海南精准学科技有限公司")+SUMIFS('6月数据源'!$J:$J,'6月数据源'!$D:$D,$E51,'6月数据源'!$F:$F,"海南精准学科技有限公司")</f>
        <v/>
      </c>
      <c r="L51" s="89">
        <f>-SUMIFS('7月数据源'!$I:$I,'7月数据源'!$D:$D,$E51,'7月数据源'!$F:$F,"海南精准学科技有限公司")+SUMIFS('7月数据源'!$J:$J,'7月数据源'!$D:$D,$E51,'7月数据源'!$F:$F,"海南精准学科技有限公司")</f>
        <v/>
      </c>
      <c r="M51" s="89">
        <f>-SUMIFS('8月数据源'!$I:$I,'8月数据源'!$D:$D,$E51,'8月数据源'!$F:$F,"海南精准学科技有限公司")+SUMIFS('8月数据源'!$J:$J,'8月数据源'!$D:$D,$E51,'8月数据源'!$F:$F,"海南精准学科技有限公司")</f>
        <v/>
      </c>
      <c r="N51" s="89">
        <f>-SUMIFS('9月数据源'!$I:$I,'9月数据源'!$D:$D,$E51,'9月数据源'!$F:$F,"海南精准学科技有限公司")+SUMIFS('9月数据源'!$J:$J,'9月数据源'!$D:$D,$E51,'9月数据源'!$F:$F,"海南精准学科技有限公司")</f>
        <v/>
      </c>
      <c r="O51" s="89">
        <f>-SUMIFS('10月数据源'!$I:$I,'10月数据源'!$D:$D,$E51,'10月数据源'!$F:$F,"海南精准学科技有限公司")+SUMIFS('10月数据源'!$J:$J,'10月数据源'!$D:$D,$E51,'10月数据源'!$F:$F,"海南精准学科技有限公司")</f>
        <v/>
      </c>
      <c r="P51" s="89">
        <f>-SUMIFS('11月数据源'!$I:$I,'11月数据源'!$D:$D,$E51,'11月数据源'!$F:$F,"海南精准学科技有限公司")+SUMIFS('11月数据源'!$J:$J,'11月数据源'!$D:$D,$E51,'11月数据源'!$F:$F,"海南精准学科技有限公司")</f>
        <v/>
      </c>
      <c r="Q51" s="89">
        <f>-SUMIFS('12月数据源'!$I:$I,'12月数据源'!$D:$D,$E51,'12月数据源'!$F:$F,"海南精准学科技有限公司")+SUMIFS('12月数据源'!$J:$J,'12月数据源'!$D:$D,$E51,'12月数据源'!$F:$F,"海南精准学科技有限公司")</f>
        <v/>
      </c>
    </row>
    <row r="52" s="83">
      <c r="A52" s="5" t="inlineStr">
        <is>
          <t>制造费用</t>
        </is>
      </c>
      <c r="B52" s="5" t="inlineStr">
        <is>
          <t>制造费用</t>
        </is>
      </c>
      <c r="D52" s="5" t="inlineStr">
        <is>
          <t>西溪首座仓库物业水电费</t>
        </is>
      </c>
      <c r="E52" s="6" t="inlineStr">
        <is>
          <t>Q3202</t>
        </is>
      </c>
      <c r="F52" s="89">
        <f>-SUMIFS('1月数据源'!I:I,'1月数据源'!D:D,E52,'1月数据源'!F:F,"海南精准学科技有限公司")+SUMIFS('1月数据源'!J:J,'1月数据源'!D:D,E52,'1月数据源'!F:F,"海南精准学科技有限公司")</f>
        <v/>
      </c>
      <c r="G52" s="89">
        <f>-SUMIFS('2月数据源'!$I:$I,'2月数据源'!$D:$D,$E52,'2月数据源'!$F:$F,"海南精准学科技有限公司")+SUMIFS('2月数据源'!$J:$J,'2月数据源'!$D:$D,$E52,'2月数据源'!$F:$F,"海南精准学科技有限公司")</f>
        <v/>
      </c>
      <c r="H52" s="89">
        <f>-SUMIFS('3月数据源'!$I:$I,'3月数据源'!$D:$D,$E52,'3月数据源'!$F:$F,"海南精准学科技有限公司")+SUMIFS('3月数据源'!$J:$J,'3月数据源'!$D:$D,$E52,'3月数据源'!$F:$F,"海南精准学科技有限公司")</f>
        <v/>
      </c>
      <c r="I52" s="89">
        <f>-SUMIFS('4月数据源'!$I:$I,'4月数据源'!$D:$D,$E52,'4月数据源'!$F:$F,"海南精准学科技有限公司")+SUMIFS('4月数据源'!$J:$J,'4月数据源'!$D:$D,$E52,'4月数据源'!$F:$F,"海南精准学科技有限公司")</f>
        <v/>
      </c>
      <c r="J52" s="89">
        <f>-SUMIFS('5月数据源'!$I:$I,'5月数据源'!$D:$D,$E52,'5月数据源'!$F:$F,"海南精准学科技有限公司")+SUMIFS('5月数据源'!$J:$J,'5月数据源'!$D:$D,$E52,'5月数据源'!$F:$F,"海南精准学科技有限公司")</f>
        <v/>
      </c>
      <c r="K52" s="89">
        <f>-SUMIFS('6月数据源'!$I:$I,'6月数据源'!$D:$D,$E52,'6月数据源'!$F:$F,"海南精准学科技有限公司")+SUMIFS('6月数据源'!$J:$J,'6月数据源'!$D:$D,$E52,'6月数据源'!$F:$F,"海南精准学科技有限公司")</f>
        <v/>
      </c>
      <c r="L52" s="89">
        <f>-SUMIFS('7月数据源'!$I:$I,'7月数据源'!$D:$D,$E52,'7月数据源'!$F:$F,"海南精准学科技有限公司")+SUMIFS('7月数据源'!$J:$J,'7月数据源'!$D:$D,$E52,'7月数据源'!$F:$F,"海南精准学科技有限公司")</f>
        <v/>
      </c>
      <c r="M52" s="89">
        <f>-SUMIFS('8月数据源'!$I:$I,'8月数据源'!$D:$D,$E52,'8月数据源'!$F:$F,"海南精准学科技有限公司")+SUMIFS('8月数据源'!$J:$J,'8月数据源'!$D:$D,$E52,'8月数据源'!$F:$F,"海南精准学科技有限公司")</f>
        <v/>
      </c>
      <c r="N52" s="89">
        <f>-SUMIFS('9月数据源'!$I:$I,'9月数据源'!$D:$D,$E52,'9月数据源'!$F:$F,"海南精准学科技有限公司")+SUMIFS('9月数据源'!$J:$J,'9月数据源'!$D:$D,$E52,'9月数据源'!$F:$F,"海南精准学科技有限公司")</f>
        <v/>
      </c>
      <c r="O52" s="89">
        <f>-SUMIFS('10月数据源'!$I:$I,'10月数据源'!$D:$D,$E52,'10月数据源'!$F:$F,"海南精准学科技有限公司")+SUMIFS('10月数据源'!$J:$J,'10月数据源'!$D:$D,$E52,'10月数据源'!$F:$F,"海南精准学科技有限公司")</f>
        <v/>
      </c>
      <c r="P52" s="89">
        <f>-SUMIFS('11月数据源'!$I:$I,'11月数据源'!$D:$D,$E52,'11月数据源'!$F:$F,"海南精准学科技有限公司")+SUMIFS('11月数据源'!$J:$J,'11月数据源'!$D:$D,$E52,'11月数据源'!$F:$F,"海南精准学科技有限公司")</f>
        <v/>
      </c>
      <c r="Q52" s="89">
        <f>-SUMIFS('12月数据源'!$I:$I,'12月数据源'!$D:$D,$E52,'12月数据源'!$F:$F,"海南精准学科技有限公司")+SUMIFS('12月数据源'!$J:$J,'12月数据源'!$D:$D,$E52,'12月数据源'!$F:$F,"海南精准学科技有限公司")</f>
        <v/>
      </c>
    </row>
    <row r="53" s="83">
      <c r="A53" s="5" t="inlineStr">
        <is>
          <t>制造费用</t>
        </is>
      </c>
      <c r="B53" s="5" t="inlineStr">
        <is>
          <t>制造费用</t>
        </is>
      </c>
      <c r="D53" s="5" t="inlineStr">
        <is>
          <t>西溪首座仓库装修费</t>
        </is>
      </c>
      <c r="E53" s="6" t="inlineStr">
        <is>
          <t>Q3203</t>
        </is>
      </c>
      <c r="F53" s="89">
        <f>-SUMIFS('1月数据源'!I:I,'1月数据源'!D:D,E53,'1月数据源'!F:F,"海南精准学科技有限公司")+SUMIFS('1月数据源'!J:J,'1月数据源'!D:D,E53,'1月数据源'!F:F,"海南精准学科技有限公司")</f>
        <v/>
      </c>
      <c r="G53" s="89">
        <f>-SUMIFS('2月数据源'!$I:$I,'2月数据源'!$D:$D,$E53,'2月数据源'!$F:$F,"海南精准学科技有限公司")+SUMIFS('2月数据源'!$J:$J,'2月数据源'!$D:$D,$E53,'2月数据源'!$F:$F,"海南精准学科技有限公司")</f>
        <v/>
      </c>
      <c r="H53" s="89">
        <f>-SUMIFS('3月数据源'!$I:$I,'3月数据源'!$D:$D,$E53,'3月数据源'!$F:$F,"海南精准学科技有限公司")+SUMIFS('3月数据源'!$J:$J,'3月数据源'!$D:$D,$E53,'3月数据源'!$F:$F,"海南精准学科技有限公司")</f>
        <v/>
      </c>
      <c r="I53" s="89">
        <f>-SUMIFS('4月数据源'!$I:$I,'4月数据源'!$D:$D,$E53,'4月数据源'!$F:$F,"海南精准学科技有限公司")+SUMIFS('4月数据源'!$J:$J,'4月数据源'!$D:$D,$E53,'4月数据源'!$F:$F,"海南精准学科技有限公司")</f>
        <v/>
      </c>
      <c r="J53" s="89">
        <f>-SUMIFS('5月数据源'!$I:$I,'5月数据源'!$D:$D,$E53,'5月数据源'!$F:$F,"海南精准学科技有限公司")+SUMIFS('5月数据源'!$J:$J,'5月数据源'!$D:$D,$E53,'5月数据源'!$F:$F,"海南精准学科技有限公司")</f>
        <v/>
      </c>
      <c r="K53" s="89">
        <f>-SUMIFS('6月数据源'!$I:$I,'6月数据源'!$D:$D,$E53,'6月数据源'!$F:$F,"海南精准学科技有限公司")+SUMIFS('6月数据源'!$J:$J,'6月数据源'!$D:$D,$E53,'6月数据源'!$F:$F,"海南精准学科技有限公司")</f>
        <v/>
      </c>
      <c r="L53" s="89">
        <f>-SUMIFS('7月数据源'!$I:$I,'7月数据源'!$D:$D,$E53,'7月数据源'!$F:$F,"海南精准学科技有限公司")+SUMIFS('7月数据源'!$J:$J,'7月数据源'!$D:$D,$E53,'7月数据源'!$F:$F,"海南精准学科技有限公司")</f>
        <v/>
      </c>
      <c r="M53" s="89">
        <f>-SUMIFS('8月数据源'!$I:$I,'8月数据源'!$D:$D,$E53,'8月数据源'!$F:$F,"海南精准学科技有限公司")+SUMIFS('8月数据源'!$J:$J,'8月数据源'!$D:$D,$E53,'8月数据源'!$F:$F,"海南精准学科技有限公司")</f>
        <v/>
      </c>
      <c r="N53" s="89">
        <f>-SUMIFS('9月数据源'!$I:$I,'9月数据源'!$D:$D,$E53,'9月数据源'!$F:$F,"海南精准学科技有限公司")+SUMIFS('9月数据源'!$J:$J,'9月数据源'!$D:$D,$E53,'9月数据源'!$F:$F,"海南精准学科技有限公司")</f>
        <v/>
      </c>
      <c r="O53" s="89">
        <f>-SUMIFS('10月数据源'!$I:$I,'10月数据源'!$D:$D,$E53,'10月数据源'!$F:$F,"海南精准学科技有限公司")+SUMIFS('10月数据源'!$J:$J,'10月数据源'!$D:$D,$E53,'10月数据源'!$F:$F,"海南精准学科技有限公司")</f>
        <v/>
      </c>
      <c r="P53" s="89">
        <f>-SUMIFS('11月数据源'!$I:$I,'11月数据源'!$D:$D,$E53,'11月数据源'!$F:$F,"海南精准学科技有限公司")+SUMIFS('11月数据源'!$J:$J,'11月数据源'!$D:$D,$E53,'11月数据源'!$F:$F,"海南精准学科技有限公司")</f>
        <v/>
      </c>
      <c r="Q53" s="89">
        <f>-SUMIFS('12月数据源'!$I:$I,'12月数据源'!$D:$D,$E53,'12月数据源'!$F:$F,"海南精准学科技有限公司")+SUMIFS('12月数据源'!$J:$J,'12月数据源'!$D:$D,$E53,'12月数据源'!$F:$F,"海南精准学科技有限公司")</f>
        <v/>
      </c>
    </row>
    <row r="54" s="83">
      <c r="A54" s="5" t="inlineStr">
        <is>
          <t>制造费用</t>
        </is>
      </c>
      <c r="B54" s="5" t="inlineStr">
        <is>
          <t>制造费用</t>
        </is>
      </c>
      <c r="D54" s="5" t="inlineStr">
        <is>
          <t>运输费</t>
        </is>
      </c>
      <c r="E54" s="6" t="inlineStr">
        <is>
          <t>Q3204</t>
        </is>
      </c>
      <c r="F54" s="89">
        <f>-SUMIFS('1月数据源'!I:I,'1月数据源'!D:D,E54,'1月数据源'!F:F,"海南精准学科技有限公司")+SUMIFS('1月数据源'!J:J,'1月数据源'!D:D,E54,'1月数据源'!F:F,"海南精准学科技有限公司")</f>
        <v/>
      </c>
      <c r="G54" s="89">
        <f>-SUMIFS('2月数据源'!$I:$I,'2月数据源'!$D:$D,$E54,'2月数据源'!$F:$F,"海南精准学科技有限公司")+SUMIFS('2月数据源'!$J:$J,'2月数据源'!$D:$D,$E54,'2月数据源'!$F:$F,"海南精准学科技有限公司")</f>
        <v/>
      </c>
      <c r="H54" s="89">
        <f>-SUMIFS('3月数据源'!$I:$I,'3月数据源'!$D:$D,$E54,'3月数据源'!$F:$F,"海南精准学科技有限公司")+SUMIFS('3月数据源'!$J:$J,'3月数据源'!$D:$D,$E54,'3月数据源'!$F:$F,"海南精准学科技有限公司")</f>
        <v/>
      </c>
      <c r="I54" s="89">
        <f>-SUMIFS('4月数据源'!$I:$I,'4月数据源'!$D:$D,$E54,'4月数据源'!$F:$F,"海南精准学科技有限公司")+SUMIFS('4月数据源'!$J:$J,'4月数据源'!$D:$D,$E54,'4月数据源'!$F:$F,"海南精准学科技有限公司")</f>
        <v/>
      </c>
      <c r="J54" s="89">
        <f>-SUMIFS('5月数据源'!$I:$I,'5月数据源'!$D:$D,$E54,'5月数据源'!$F:$F,"海南精准学科技有限公司")+SUMIFS('5月数据源'!$J:$J,'5月数据源'!$D:$D,$E54,'5月数据源'!$F:$F,"海南精准学科技有限公司")</f>
        <v/>
      </c>
      <c r="K54" s="89">
        <f>-SUMIFS('6月数据源'!$I:$I,'6月数据源'!$D:$D,$E54,'6月数据源'!$F:$F,"海南精准学科技有限公司")+SUMIFS('6月数据源'!$J:$J,'6月数据源'!$D:$D,$E54,'6月数据源'!$F:$F,"海南精准学科技有限公司")</f>
        <v/>
      </c>
      <c r="L54" s="89">
        <f>-SUMIFS('7月数据源'!$I:$I,'7月数据源'!$D:$D,$E54,'7月数据源'!$F:$F,"海南精准学科技有限公司")+SUMIFS('7月数据源'!$J:$J,'7月数据源'!$D:$D,$E54,'7月数据源'!$F:$F,"海南精准学科技有限公司")</f>
        <v/>
      </c>
      <c r="M54" s="89">
        <f>-SUMIFS('8月数据源'!$I:$I,'8月数据源'!$D:$D,$E54,'8月数据源'!$F:$F,"海南精准学科技有限公司")+SUMIFS('8月数据源'!$J:$J,'8月数据源'!$D:$D,$E54,'8月数据源'!$F:$F,"海南精准学科技有限公司")</f>
        <v/>
      </c>
      <c r="N54" s="89">
        <f>-SUMIFS('9月数据源'!$I:$I,'9月数据源'!$D:$D,$E54,'9月数据源'!$F:$F,"海南精准学科技有限公司")+SUMIFS('9月数据源'!$J:$J,'9月数据源'!$D:$D,$E54,'9月数据源'!$F:$F,"海南精准学科技有限公司")</f>
        <v/>
      </c>
      <c r="O54" s="89">
        <f>-SUMIFS('10月数据源'!$I:$I,'10月数据源'!$D:$D,$E54,'10月数据源'!$F:$F,"海南精准学科技有限公司")+SUMIFS('10月数据源'!$J:$J,'10月数据源'!$D:$D,$E54,'10月数据源'!$F:$F,"海南精准学科技有限公司")</f>
        <v/>
      </c>
      <c r="P54" s="89">
        <f>-SUMIFS('11月数据源'!$I:$I,'11月数据源'!$D:$D,$E54,'11月数据源'!$F:$F,"海南精准学科技有限公司")+SUMIFS('11月数据源'!$J:$J,'11月数据源'!$D:$D,$E54,'11月数据源'!$F:$F,"海南精准学科技有限公司")</f>
        <v/>
      </c>
      <c r="Q54" s="89">
        <f>-SUMIFS('12月数据源'!$I:$I,'12月数据源'!$D:$D,$E54,'12月数据源'!$F:$F,"海南精准学科技有限公司")+SUMIFS('12月数据源'!$J:$J,'12月数据源'!$D:$D,$E54,'12月数据源'!$F:$F,"海南精准学科技有限公司")</f>
        <v/>
      </c>
    </row>
    <row r="55" s="83">
      <c r="A55" s="5" t="inlineStr">
        <is>
          <t>制造费用</t>
        </is>
      </c>
      <c r="B55" s="5" t="inlineStr">
        <is>
          <t>制造费用</t>
        </is>
      </c>
      <c r="D55" s="5" t="inlineStr">
        <is>
          <t>低值易耗品采购</t>
        </is>
      </c>
      <c r="E55" s="6" t="inlineStr">
        <is>
          <t>Q3205</t>
        </is>
      </c>
      <c r="F55" s="89">
        <f>-SUMIFS('1月数据源'!I:I,'1月数据源'!D:D,E55,'1月数据源'!F:F,"海南精准学科技有限公司")+SUMIFS('1月数据源'!J:J,'1月数据源'!D:D,E55,'1月数据源'!F:F,"海南精准学科技有限公司")</f>
        <v/>
      </c>
      <c r="G55" s="89">
        <f>-SUMIFS('2月数据源'!$I:$I,'2月数据源'!$D:$D,$E55,'2月数据源'!$F:$F,"海南精准学科技有限公司")+SUMIFS('2月数据源'!$J:$J,'2月数据源'!$D:$D,$E55,'2月数据源'!$F:$F,"海南精准学科技有限公司")</f>
        <v/>
      </c>
      <c r="H55" s="89">
        <f>-SUMIFS('3月数据源'!$I:$I,'3月数据源'!$D:$D,$E55,'3月数据源'!$F:$F,"海南精准学科技有限公司")+SUMIFS('3月数据源'!$J:$J,'3月数据源'!$D:$D,$E55,'3月数据源'!$F:$F,"海南精准学科技有限公司")</f>
        <v/>
      </c>
      <c r="I55" s="89">
        <f>-SUMIFS('4月数据源'!$I:$I,'4月数据源'!$D:$D,$E55,'4月数据源'!$F:$F,"海南精准学科技有限公司")+SUMIFS('4月数据源'!$J:$J,'4月数据源'!$D:$D,$E55,'4月数据源'!$F:$F,"海南精准学科技有限公司")</f>
        <v/>
      </c>
      <c r="J55" s="89">
        <f>-SUMIFS('5月数据源'!$I:$I,'5月数据源'!$D:$D,$E55,'5月数据源'!$F:$F,"海南精准学科技有限公司")+SUMIFS('5月数据源'!$J:$J,'5月数据源'!$D:$D,$E55,'5月数据源'!$F:$F,"海南精准学科技有限公司")</f>
        <v/>
      </c>
      <c r="K55" s="89">
        <f>-SUMIFS('6月数据源'!$I:$I,'6月数据源'!$D:$D,$E55,'6月数据源'!$F:$F,"海南精准学科技有限公司")+SUMIFS('6月数据源'!$J:$J,'6月数据源'!$D:$D,$E55,'6月数据源'!$F:$F,"海南精准学科技有限公司")</f>
        <v/>
      </c>
      <c r="L55" s="89">
        <f>-SUMIFS('7月数据源'!$I:$I,'7月数据源'!$D:$D,$E55,'7月数据源'!$F:$F,"海南精准学科技有限公司")+SUMIFS('7月数据源'!$J:$J,'7月数据源'!$D:$D,$E55,'7月数据源'!$F:$F,"海南精准学科技有限公司")</f>
        <v/>
      </c>
      <c r="M55" s="89">
        <f>-SUMIFS('8月数据源'!$I:$I,'8月数据源'!$D:$D,$E55,'8月数据源'!$F:$F,"海南精准学科技有限公司")+SUMIFS('8月数据源'!$J:$J,'8月数据源'!$D:$D,$E55,'8月数据源'!$F:$F,"海南精准学科技有限公司")</f>
        <v/>
      </c>
      <c r="N55" s="89">
        <f>-SUMIFS('9月数据源'!$I:$I,'9月数据源'!$D:$D,$E55,'9月数据源'!$F:$F,"海南精准学科技有限公司")+SUMIFS('9月数据源'!$J:$J,'9月数据源'!$D:$D,$E55,'9月数据源'!$F:$F,"海南精准学科技有限公司")</f>
        <v/>
      </c>
      <c r="O55" s="89">
        <f>-SUMIFS('10月数据源'!$I:$I,'10月数据源'!$D:$D,$E55,'10月数据源'!$F:$F,"海南精准学科技有限公司")+SUMIFS('10月数据源'!$J:$J,'10月数据源'!$D:$D,$E55,'10月数据源'!$F:$F,"海南精准学科技有限公司")</f>
        <v/>
      </c>
      <c r="P55" s="89">
        <f>-SUMIFS('11月数据源'!$I:$I,'11月数据源'!$D:$D,$E55,'11月数据源'!$F:$F,"海南精准学科技有限公司")+SUMIFS('11月数据源'!$J:$J,'11月数据源'!$D:$D,$E55,'11月数据源'!$F:$F,"海南精准学科技有限公司")</f>
        <v/>
      </c>
      <c r="Q55" s="89">
        <f>-SUMIFS('12月数据源'!$I:$I,'12月数据源'!$D:$D,$E55,'12月数据源'!$F:$F,"海南精准学科技有限公司")+SUMIFS('12月数据源'!$J:$J,'12月数据源'!$D:$D,$E55,'12月数据源'!$F:$F,"海南精准学科技有限公司")</f>
        <v/>
      </c>
    </row>
    <row r="56" s="83">
      <c r="A56" s="5" t="inlineStr">
        <is>
          <t>制造费用</t>
        </is>
      </c>
      <c r="B56" s="5" t="inlineStr">
        <is>
          <t>制造费用</t>
        </is>
      </c>
      <c r="D56" s="5" t="inlineStr">
        <is>
          <t>生产成本-员工报销</t>
        </is>
      </c>
      <c r="E56" s="6" t="inlineStr">
        <is>
          <t>Q3206</t>
        </is>
      </c>
      <c r="F56" s="89">
        <f>-SUMIFS('1月数据源'!I:I,'1月数据源'!D:D,E56,'1月数据源'!F:F,"海南精准学科技有限公司")+SUMIFS('1月数据源'!J:J,'1月数据源'!D:D,E56,'1月数据源'!F:F,"海南精准学科技有限公司")</f>
        <v/>
      </c>
      <c r="G56" s="89">
        <f>-SUMIFS('2月数据源'!$I:$I,'2月数据源'!$D:$D,$E56,'2月数据源'!$F:$F,"海南精准学科技有限公司")+SUMIFS('2月数据源'!$J:$J,'2月数据源'!$D:$D,$E56,'2月数据源'!$F:$F,"海南精准学科技有限公司")</f>
        <v/>
      </c>
      <c r="H56" s="89">
        <f>-SUMIFS('3月数据源'!$I:$I,'3月数据源'!$D:$D,$E56,'3月数据源'!$F:$F,"海南精准学科技有限公司")+SUMIFS('3月数据源'!$J:$J,'3月数据源'!$D:$D,$E56,'3月数据源'!$F:$F,"海南精准学科技有限公司")</f>
        <v/>
      </c>
      <c r="I56" s="89">
        <f>-SUMIFS('4月数据源'!$I:$I,'4月数据源'!$D:$D,$E56,'4月数据源'!$F:$F,"海南精准学科技有限公司")+SUMIFS('4月数据源'!$J:$J,'4月数据源'!$D:$D,$E56,'4月数据源'!$F:$F,"海南精准学科技有限公司")</f>
        <v/>
      </c>
      <c r="J56" s="89">
        <f>-SUMIFS('5月数据源'!$I:$I,'5月数据源'!$D:$D,$E56,'5月数据源'!$F:$F,"海南精准学科技有限公司")+SUMIFS('5月数据源'!$J:$J,'5月数据源'!$D:$D,$E56,'5月数据源'!$F:$F,"海南精准学科技有限公司")</f>
        <v/>
      </c>
      <c r="K56" s="89">
        <f>-SUMIFS('6月数据源'!$I:$I,'6月数据源'!$D:$D,$E56,'6月数据源'!$F:$F,"海南精准学科技有限公司")+SUMIFS('6月数据源'!$J:$J,'6月数据源'!$D:$D,$E56,'6月数据源'!$F:$F,"海南精准学科技有限公司")</f>
        <v/>
      </c>
      <c r="L56" s="89">
        <f>-SUMIFS('7月数据源'!$I:$I,'7月数据源'!$D:$D,$E56,'7月数据源'!$F:$F,"海南精准学科技有限公司")+SUMIFS('7月数据源'!$J:$J,'7月数据源'!$D:$D,$E56,'7月数据源'!$F:$F,"海南精准学科技有限公司")</f>
        <v/>
      </c>
      <c r="M56" s="89">
        <f>-SUMIFS('8月数据源'!$I:$I,'8月数据源'!$D:$D,$E56,'8月数据源'!$F:$F,"海南精准学科技有限公司")+SUMIFS('8月数据源'!$J:$J,'8月数据源'!$D:$D,$E56,'8月数据源'!$F:$F,"海南精准学科技有限公司")</f>
        <v/>
      </c>
      <c r="N56" s="89">
        <f>-SUMIFS('9月数据源'!$I:$I,'9月数据源'!$D:$D,$E56,'9月数据源'!$F:$F,"海南精准学科技有限公司")+SUMIFS('9月数据源'!$J:$J,'9月数据源'!$D:$D,$E56,'9月数据源'!$F:$F,"海南精准学科技有限公司")</f>
        <v/>
      </c>
      <c r="O56" s="89">
        <f>-SUMIFS('10月数据源'!$I:$I,'10月数据源'!$D:$D,$E56,'10月数据源'!$F:$F,"海南精准学科技有限公司")+SUMIFS('10月数据源'!$J:$J,'10月数据源'!$D:$D,$E56,'10月数据源'!$F:$F,"海南精准学科技有限公司")</f>
        <v/>
      </c>
      <c r="P56" s="89">
        <f>-SUMIFS('11月数据源'!$I:$I,'11月数据源'!$D:$D,$E56,'11月数据源'!$F:$F,"海南精准学科技有限公司")+SUMIFS('11月数据源'!$J:$J,'11月数据源'!$D:$D,$E56,'11月数据源'!$F:$F,"海南精准学科技有限公司")</f>
        <v/>
      </c>
      <c r="Q56" s="89">
        <f>-SUMIFS('12月数据源'!$I:$I,'12月数据源'!$D:$D,$E56,'12月数据源'!$F:$F,"海南精准学科技有限公司")+SUMIFS('12月数据源'!$J:$J,'12月数据源'!$D:$D,$E56,'12月数据源'!$F:$F,"海南精准学科技有限公司")</f>
        <v/>
      </c>
    </row>
    <row r="57" s="83">
      <c r="A57" s="5" t="inlineStr">
        <is>
          <t>制造费用</t>
        </is>
      </c>
      <c r="B57" s="5" t="inlineStr">
        <is>
          <t>制造费用</t>
        </is>
      </c>
      <c r="D57" s="5" t="inlineStr">
        <is>
          <t>包机膜</t>
        </is>
      </c>
      <c r="E57" s="6" t="inlineStr">
        <is>
          <t>Q3207</t>
        </is>
      </c>
      <c r="F57" s="89">
        <f>-SUMIFS('1月数据源'!I:I,'1月数据源'!D:D,E57,'1月数据源'!F:F,"海南精准学科技有限公司")+SUMIFS('1月数据源'!J:J,'1月数据源'!D:D,E57,'1月数据源'!F:F,"海南精准学科技有限公司")</f>
        <v/>
      </c>
      <c r="G57" s="89">
        <f>-SUMIFS('2月数据源'!$I:$I,'2月数据源'!$D:$D,$E57,'2月数据源'!$F:$F,"海南精准学科技有限公司")+SUMIFS('2月数据源'!$J:$J,'2月数据源'!$D:$D,$E57,'2月数据源'!$F:$F,"海南精准学科技有限公司")</f>
        <v/>
      </c>
      <c r="H57" s="89">
        <f>-SUMIFS('3月数据源'!$I:$I,'3月数据源'!$D:$D,$E57,'3月数据源'!$F:$F,"海南精准学科技有限公司")+SUMIFS('3月数据源'!$J:$J,'3月数据源'!$D:$D,$E57,'3月数据源'!$F:$F,"海南精准学科技有限公司")</f>
        <v/>
      </c>
      <c r="I57" s="89">
        <f>-SUMIFS('4月数据源'!$I:$I,'4月数据源'!$D:$D,$E57,'4月数据源'!$F:$F,"海南精准学科技有限公司")+SUMIFS('4月数据源'!$J:$J,'4月数据源'!$D:$D,$E57,'4月数据源'!$F:$F,"海南精准学科技有限公司")</f>
        <v/>
      </c>
      <c r="J57" s="89">
        <f>-SUMIFS('5月数据源'!$I:$I,'5月数据源'!$D:$D,$E57,'5月数据源'!$F:$F,"海南精准学科技有限公司")+SUMIFS('5月数据源'!$J:$J,'5月数据源'!$D:$D,$E57,'5月数据源'!$F:$F,"海南精准学科技有限公司")</f>
        <v/>
      </c>
      <c r="K57" s="89">
        <f>-SUMIFS('6月数据源'!$I:$I,'6月数据源'!$D:$D,$E57,'6月数据源'!$F:$F,"海南精准学科技有限公司")+SUMIFS('6月数据源'!$J:$J,'6月数据源'!$D:$D,$E57,'6月数据源'!$F:$F,"海南精准学科技有限公司")</f>
        <v/>
      </c>
      <c r="L57" s="89">
        <f>-SUMIFS('7月数据源'!$I:$I,'7月数据源'!$D:$D,$E57,'7月数据源'!$F:$F,"海南精准学科技有限公司")+SUMIFS('7月数据源'!$J:$J,'7月数据源'!$D:$D,$E57,'7月数据源'!$F:$F,"海南精准学科技有限公司")</f>
        <v/>
      </c>
      <c r="M57" s="89">
        <f>-SUMIFS('8月数据源'!$I:$I,'8月数据源'!$D:$D,$E57,'8月数据源'!$F:$F,"海南精准学科技有限公司")+SUMIFS('8月数据源'!$J:$J,'8月数据源'!$D:$D,$E57,'8月数据源'!$F:$F,"海南精准学科技有限公司")</f>
        <v/>
      </c>
      <c r="N57" s="89">
        <f>-SUMIFS('9月数据源'!$I:$I,'9月数据源'!$D:$D,$E57,'9月数据源'!$F:$F,"海南精准学科技有限公司")+SUMIFS('9月数据源'!$J:$J,'9月数据源'!$D:$D,$E57,'9月数据源'!$F:$F,"海南精准学科技有限公司")</f>
        <v/>
      </c>
      <c r="O57" s="89">
        <f>-SUMIFS('10月数据源'!$I:$I,'10月数据源'!$D:$D,$E57,'10月数据源'!$F:$F,"海南精准学科技有限公司")+SUMIFS('10月数据源'!$J:$J,'10月数据源'!$D:$D,$E57,'10月数据源'!$F:$F,"海南精准学科技有限公司")</f>
        <v/>
      </c>
      <c r="P57" s="89">
        <f>-SUMIFS('11月数据源'!$I:$I,'11月数据源'!$D:$D,$E57,'11月数据源'!$F:$F,"海南精准学科技有限公司")+SUMIFS('11月数据源'!$J:$J,'11月数据源'!$D:$D,$E57,'11月数据源'!$F:$F,"海南精准学科技有限公司")</f>
        <v/>
      </c>
      <c r="Q57" s="89">
        <f>-SUMIFS('12月数据源'!$I:$I,'12月数据源'!$D:$D,$E57,'12月数据源'!$F:$F,"海南精准学科技有限公司")+SUMIFS('12月数据源'!$J:$J,'12月数据源'!$D:$D,$E57,'12月数据源'!$F:$F,"海南精准学科技有限公司")</f>
        <v/>
      </c>
    </row>
    <row r="58" s="83">
      <c r="A58" s="5" t="inlineStr">
        <is>
          <t>制造费用</t>
        </is>
      </c>
      <c r="B58" s="5" t="inlineStr">
        <is>
          <t>制造费用</t>
        </is>
      </c>
      <c r="D58" s="5" t="inlineStr">
        <is>
          <t>贴纸/说明书</t>
        </is>
      </c>
      <c r="E58" s="6" t="inlineStr">
        <is>
          <t>Q3208</t>
        </is>
      </c>
      <c r="F58" s="89">
        <f>-SUMIFS('1月数据源'!I:I,'1月数据源'!D:D,E58,'1月数据源'!F:F,"海南精准学科技有限公司")+SUMIFS('1月数据源'!J:J,'1月数据源'!D:D,E58,'1月数据源'!F:F,"海南精准学科技有限公司")</f>
        <v/>
      </c>
      <c r="G58" s="89">
        <f>-SUMIFS('2月数据源'!$I:$I,'2月数据源'!$D:$D,$E58,'2月数据源'!$F:$F,"海南精准学科技有限公司")+SUMIFS('2月数据源'!$J:$J,'2月数据源'!$D:$D,$E58,'2月数据源'!$F:$F,"海南精准学科技有限公司")</f>
        <v/>
      </c>
      <c r="H58" s="89">
        <f>-SUMIFS('3月数据源'!$I:$I,'3月数据源'!$D:$D,$E58,'3月数据源'!$F:$F,"海南精准学科技有限公司")+SUMIFS('3月数据源'!$J:$J,'3月数据源'!$D:$D,$E58,'3月数据源'!$F:$F,"海南精准学科技有限公司")</f>
        <v/>
      </c>
      <c r="I58" s="89">
        <f>-SUMIFS('4月数据源'!$I:$I,'4月数据源'!$D:$D,$E58,'4月数据源'!$F:$F,"海南精准学科技有限公司")+SUMIFS('4月数据源'!$J:$J,'4月数据源'!$D:$D,$E58,'4月数据源'!$F:$F,"海南精准学科技有限公司")</f>
        <v/>
      </c>
      <c r="J58" s="89">
        <f>-SUMIFS('5月数据源'!$I:$I,'5月数据源'!$D:$D,$E58,'5月数据源'!$F:$F,"海南精准学科技有限公司")+SUMIFS('5月数据源'!$J:$J,'5月数据源'!$D:$D,$E58,'5月数据源'!$F:$F,"海南精准学科技有限公司")</f>
        <v/>
      </c>
      <c r="K58" s="89">
        <f>-SUMIFS('6月数据源'!$I:$I,'6月数据源'!$D:$D,$E58,'6月数据源'!$F:$F,"海南精准学科技有限公司")+SUMIFS('6月数据源'!$J:$J,'6月数据源'!$D:$D,$E58,'6月数据源'!$F:$F,"海南精准学科技有限公司")</f>
        <v/>
      </c>
      <c r="L58" s="89">
        <f>-SUMIFS('7月数据源'!$I:$I,'7月数据源'!$D:$D,$E58,'7月数据源'!$F:$F,"海南精准学科技有限公司")+SUMIFS('7月数据源'!$J:$J,'7月数据源'!$D:$D,$E58,'7月数据源'!$F:$F,"海南精准学科技有限公司")</f>
        <v/>
      </c>
      <c r="M58" s="89">
        <f>-SUMIFS('8月数据源'!$I:$I,'8月数据源'!$D:$D,$E58,'8月数据源'!$F:$F,"海南精准学科技有限公司")+SUMIFS('8月数据源'!$J:$J,'8月数据源'!$D:$D,$E58,'8月数据源'!$F:$F,"海南精准学科技有限公司")</f>
        <v/>
      </c>
      <c r="N58" s="89">
        <f>-SUMIFS('9月数据源'!$I:$I,'9月数据源'!$D:$D,$E58,'9月数据源'!$F:$F,"海南精准学科技有限公司")+SUMIFS('9月数据源'!$J:$J,'9月数据源'!$D:$D,$E58,'9月数据源'!$F:$F,"海南精准学科技有限公司")</f>
        <v/>
      </c>
      <c r="O58" s="89">
        <f>-SUMIFS('10月数据源'!$I:$I,'10月数据源'!$D:$D,$E58,'10月数据源'!$F:$F,"海南精准学科技有限公司")+SUMIFS('10月数据源'!$J:$J,'10月数据源'!$D:$D,$E58,'10月数据源'!$F:$F,"海南精准学科技有限公司")</f>
        <v/>
      </c>
      <c r="P58" s="89">
        <f>-SUMIFS('11月数据源'!$I:$I,'11月数据源'!$D:$D,$E58,'11月数据源'!$F:$F,"海南精准学科技有限公司")+SUMIFS('11月数据源'!$J:$J,'11月数据源'!$D:$D,$E58,'11月数据源'!$F:$F,"海南精准学科技有限公司")</f>
        <v/>
      </c>
      <c r="Q58" s="89">
        <f>-SUMIFS('12月数据源'!$I:$I,'12月数据源'!$D:$D,$E58,'12月数据源'!$F:$F,"海南精准学科技有限公司")+SUMIFS('12月数据源'!$J:$J,'12月数据源'!$D:$D,$E58,'12月数据源'!$F:$F,"海南精准学科技有限公司")</f>
        <v/>
      </c>
    </row>
    <row r="59" s="83">
      <c r="A59" s="5" t="inlineStr">
        <is>
          <t>制造费用</t>
        </is>
      </c>
      <c r="B59" s="5" t="inlineStr">
        <is>
          <t>制造费用</t>
        </is>
      </c>
      <c r="D59" s="5" t="inlineStr">
        <is>
          <t>笔尖</t>
        </is>
      </c>
      <c r="E59" s="6" t="inlineStr">
        <is>
          <t>Q3209</t>
        </is>
      </c>
      <c r="F59" s="89">
        <f>-SUMIFS('1月数据源'!I:I,'1月数据源'!D:D,E59,'1月数据源'!F:F,"海南精准学科技有限公司")+SUMIFS('1月数据源'!J:J,'1月数据源'!D:D,E59,'1月数据源'!F:F,"海南精准学科技有限公司")</f>
        <v/>
      </c>
      <c r="G59" s="89">
        <f>-SUMIFS('2月数据源'!$I:$I,'2月数据源'!$D:$D,$E59,'2月数据源'!$F:$F,"海南精准学科技有限公司")+SUMIFS('2月数据源'!$J:$J,'2月数据源'!$D:$D,$E59,'2月数据源'!$F:$F,"海南精准学科技有限公司")</f>
        <v/>
      </c>
      <c r="H59" s="89">
        <f>-SUMIFS('3月数据源'!$I:$I,'3月数据源'!$D:$D,$E59,'3月数据源'!$F:$F,"海南精准学科技有限公司")+SUMIFS('3月数据源'!$J:$J,'3月数据源'!$D:$D,$E59,'3月数据源'!$F:$F,"海南精准学科技有限公司")</f>
        <v/>
      </c>
      <c r="I59" s="89">
        <f>-SUMIFS('4月数据源'!$I:$I,'4月数据源'!$D:$D,$E59,'4月数据源'!$F:$F,"海南精准学科技有限公司")+SUMIFS('4月数据源'!$J:$J,'4月数据源'!$D:$D,$E59,'4月数据源'!$F:$F,"海南精准学科技有限公司")</f>
        <v/>
      </c>
      <c r="J59" s="89">
        <f>-SUMIFS('5月数据源'!$I:$I,'5月数据源'!$D:$D,$E59,'5月数据源'!$F:$F,"海南精准学科技有限公司")+SUMIFS('5月数据源'!$J:$J,'5月数据源'!$D:$D,$E59,'5月数据源'!$F:$F,"海南精准学科技有限公司")</f>
        <v/>
      </c>
      <c r="K59" s="89">
        <f>-SUMIFS('6月数据源'!$I:$I,'6月数据源'!$D:$D,$E59,'6月数据源'!$F:$F,"海南精准学科技有限公司")+SUMIFS('6月数据源'!$J:$J,'6月数据源'!$D:$D,$E59,'6月数据源'!$F:$F,"海南精准学科技有限公司")</f>
        <v/>
      </c>
      <c r="L59" s="89">
        <f>-SUMIFS('7月数据源'!$I:$I,'7月数据源'!$D:$D,$E59,'7月数据源'!$F:$F,"海南精准学科技有限公司")+SUMIFS('7月数据源'!$J:$J,'7月数据源'!$D:$D,$E59,'7月数据源'!$F:$F,"海南精准学科技有限公司")</f>
        <v/>
      </c>
      <c r="M59" s="89">
        <f>-SUMIFS('8月数据源'!$I:$I,'8月数据源'!$D:$D,$E59,'8月数据源'!$F:$F,"海南精准学科技有限公司")+SUMIFS('8月数据源'!$J:$J,'8月数据源'!$D:$D,$E59,'8月数据源'!$F:$F,"海南精准学科技有限公司")</f>
        <v/>
      </c>
      <c r="N59" s="89">
        <f>-SUMIFS('9月数据源'!$I:$I,'9月数据源'!$D:$D,$E59,'9月数据源'!$F:$F,"海南精准学科技有限公司")+SUMIFS('9月数据源'!$J:$J,'9月数据源'!$D:$D,$E59,'9月数据源'!$F:$F,"海南精准学科技有限公司")</f>
        <v/>
      </c>
      <c r="O59" s="89">
        <f>-SUMIFS('10月数据源'!$I:$I,'10月数据源'!$D:$D,$E59,'10月数据源'!$F:$F,"海南精准学科技有限公司")+SUMIFS('10月数据源'!$J:$J,'10月数据源'!$D:$D,$E59,'10月数据源'!$F:$F,"海南精准学科技有限公司")</f>
        <v/>
      </c>
      <c r="P59" s="89">
        <f>-SUMIFS('11月数据源'!$I:$I,'11月数据源'!$D:$D,$E59,'11月数据源'!$F:$F,"海南精准学科技有限公司")+SUMIFS('11月数据源'!$J:$J,'11月数据源'!$D:$D,$E59,'11月数据源'!$F:$F,"海南精准学科技有限公司")</f>
        <v/>
      </c>
      <c r="Q59" s="89">
        <f>-SUMIFS('12月数据源'!$I:$I,'12月数据源'!$D:$D,$E59,'12月数据源'!$F:$F,"海南精准学科技有限公司")+SUMIFS('12月数据源'!$J:$J,'12月数据源'!$D:$D,$E59,'12月数据源'!$F:$F,"海南精准学科技有限公司")</f>
        <v/>
      </c>
    </row>
    <row r="60" s="83">
      <c r="A60" s="5" t="inlineStr">
        <is>
          <t>制造费用</t>
        </is>
      </c>
      <c r="B60" s="5" t="inlineStr">
        <is>
          <t>制造费用</t>
        </is>
      </c>
      <c r="D60" s="5" t="inlineStr">
        <is>
          <t>华泰租金</t>
        </is>
      </c>
      <c r="E60" s="6" t="inlineStr">
        <is>
          <t>Q3210</t>
        </is>
      </c>
      <c r="F60" s="89">
        <f>-SUMIFS('1月数据源'!I:I,'1月数据源'!D:D,E60,'1月数据源'!F:F,"海南精准学科技有限公司")+SUMIFS('1月数据源'!J:J,'1月数据源'!D:D,E60,'1月数据源'!F:F,"海南精准学科技有限公司")</f>
        <v/>
      </c>
      <c r="G60" s="89">
        <f>-SUMIFS('2月数据源'!$I:$I,'2月数据源'!$D:$D,$E60,'2月数据源'!$F:$F,"海南精准学科技有限公司")+SUMIFS('2月数据源'!$J:$J,'2月数据源'!$D:$D,$E60,'2月数据源'!$F:$F,"海南精准学科技有限公司")</f>
        <v/>
      </c>
      <c r="H60" s="89">
        <f>-SUMIFS('3月数据源'!$I:$I,'3月数据源'!$D:$D,$E60,'3月数据源'!$F:$F,"海南精准学科技有限公司")+SUMIFS('3月数据源'!$J:$J,'3月数据源'!$D:$D,$E60,'3月数据源'!$F:$F,"海南精准学科技有限公司")</f>
        <v/>
      </c>
      <c r="I60" s="89">
        <f>-SUMIFS('4月数据源'!$I:$I,'4月数据源'!$D:$D,$E60,'4月数据源'!$F:$F,"海南精准学科技有限公司")+SUMIFS('4月数据源'!$J:$J,'4月数据源'!$D:$D,$E60,'4月数据源'!$F:$F,"海南精准学科技有限公司")</f>
        <v/>
      </c>
      <c r="J60" s="89">
        <f>-SUMIFS('5月数据源'!$I:$I,'5月数据源'!$D:$D,$E60,'5月数据源'!$F:$F,"海南精准学科技有限公司")+SUMIFS('5月数据源'!$J:$J,'5月数据源'!$D:$D,$E60,'5月数据源'!$F:$F,"海南精准学科技有限公司")</f>
        <v/>
      </c>
      <c r="K60" s="89">
        <f>-SUMIFS('6月数据源'!$I:$I,'6月数据源'!$D:$D,$E60,'6月数据源'!$F:$F,"海南精准学科技有限公司")+SUMIFS('6月数据源'!$J:$J,'6月数据源'!$D:$D,$E60,'6月数据源'!$F:$F,"海南精准学科技有限公司")</f>
        <v/>
      </c>
      <c r="L60" s="89">
        <f>-SUMIFS('7月数据源'!$I:$I,'7月数据源'!$D:$D,$E60,'7月数据源'!$F:$F,"海南精准学科技有限公司")+SUMIFS('7月数据源'!$J:$J,'7月数据源'!$D:$D,$E60,'7月数据源'!$F:$F,"海南精准学科技有限公司")</f>
        <v/>
      </c>
      <c r="M60" s="89">
        <f>-SUMIFS('8月数据源'!$I:$I,'8月数据源'!$D:$D,$E60,'8月数据源'!$F:$F,"海南精准学科技有限公司")+SUMIFS('8月数据源'!$J:$J,'8月数据源'!$D:$D,$E60,'8月数据源'!$F:$F,"海南精准学科技有限公司")</f>
        <v/>
      </c>
      <c r="N60" s="89">
        <f>-SUMIFS('9月数据源'!$I:$I,'9月数据源'!$D:$D,$E60,'9月数据源'!$F:$F,"海南精准学科技有限公司")+SUMIFS('9月数据源'!$J:$J,'9月数据源'!$D:$D,$E60,'9月数据源'!$F:$F,"海南精准学科技有限公司")</f>
        <v/>
      </c>
      <c r="O60" s="89">
        <f>-SUMIFS('10月数据源'!$I:$I,'10月数据源'!$D:$D,$E60,'10月数据源'!$F:$F,"海南精准学科技有限公司")+SUMIFS('10月数据源'!$J:$J,'10月数据源'!$D:$D,$E60,'10月数据源'!$F:$F,"海南精准学科技有限公司")</f>
        <v/>
      </c>
      <c r="P60" s="89">
        <f>-SUMIFS('11月数据源'!$I:$I,'11月数据源'!$D:$D,$E60,'11月数据源'!$F:$F,"海南精准学科技有限公司")+SUMIFS('11月数据源'!$J:$J,'11月数据源'!$D:$D,$E60,'11月数据源'!$F:$F,"海南精准学科技有限公司")</f>
        <v/>
      </c>
      <c r="Q60" s="89">
        <f>-SUMIFS('12月数据源'!$I:$I,'12月数据源'!$D:$D,$E60,'12月数据源'!$F:$F,"海南精准学科技有限公司")+SUMIFS('12月数据源'!$J:$J,'12月数据源'!$D:$D,$E60,'12月数据源'!$F:$F,"海南精准学科技有限公司")</f>
        <v/>
      </c>
    </row>
    <row r="61" s="83">
      <c r="A61" s="5" t="inlineStr">
        <is>
          <t>制造费用</t>
        </is>
      </c>
      <c r="B61" s="5" t="inlineStr">
        <is>
          <t>制造费用</t>
        </is>
      </c>
      <c r="D61" s="5" t="inlineStr">
        <is>
          <t>华泰水电费</t>
        </is>
      </c>
      <c r="E61" s="6" t="inlineStr">
        <is>
          <t>Q3211</t>
        </is>
      </c>
      <c r="F61" s="89">
        <f>-SUMIFS('1月数据源'!I:I,'1月数据源'!D:D,E61,'1月数据源'!F:F,"海南精准学科技有限公司")+SUMIFS('1月数据源'!J:J,'1月数据源'!D:D,E61,'1月数据源'!F:F,"海南精准学科技有限公司")</f>
        <v/>
      </c>
      <c r="G61" s="89">
        <f>-SUMIFS('2月数据源'!$I:$I,'2月数据源'!$D:$D,$E61,'2月数据源'!$F:$F,"海南精准学科技有限公司")+SUMIFS('2月数据源'!$J:$J,'2月数据源'!$D:$D,$E61,'2月数据源'!$F:$F,"海南精准学科技有限公司")</f>
        <v/>
      </c>
      <c r="H61" s="89">
        <f>-SUMIFS('3月数据源'!$I:$I,'3月数据源'!$D:$D,$E61,'3月数据源'!$F:$F,"海南精准学科技有限公司")+SUMIFS('3月数据源'!$J:$J,'3月数据源'!$D:$D,$E61,'3月数据源'!$F:$F,"海南精准学科技有限公司")</f>
        <v/>
      </c>
      <c r="I61" s="89">
        <f>-SUMIFS('4月数据源'!$I:$I,'4月数据源'!$D:$D,$E61,'4月数据源'!$F:$F,"海南精准学科技有限公司")+SUMIFS('4月数据源'!$J:$J,'4月数据源'!$D:$D,$E61,'4月数据源'!$F:$F,"海南精准学科技有限公司")</f>
        <v/>
      </c>
      <c r="J61" s="89">
        <f>-SUMIFS('5月数据源'!$I:$I,'5月数据源'!$D:$D,$E61,'5月数据源'!$F:$F,"海南精准学科技有限公司")+SUMIFS('5月数据源'!$J:$J,'5月数据源'!$D:$D,$E61,'5月数据源'!$F:$F,"海南精准学科技有限公司")</f>
        <v/>
      </c>
      <c r="K61" s="89">
        <f>-SUMIFS('6月数据源'!$I:$I,'6月数据源'!$D:$D,$E61,'6月数据源'!$F:$F,"海南精准学科技有限公司")+SUMIFS('6月数据源'!$J:$J,'6月数据源'!$D:$D,$E61,'6月数据源'!$F:$F,"海南精准学科技有限公司")</f>
        <v/>
      </c>
      <c r="L61" s="89">
        <f>-SUMIFS('7月数据源'!$I:$I,'7月数据源'!$D:$D,$E61,'7月数据源'!$F:$F,"海南精准学科技有限公司")+SUMIFS('7月数据源'!$J:$J,'7月数据源'!$D:$D,$E61,'7月数据源'!$F:$F,"海南精准学科技有限公司")</f>
        <v/>
      </c>
      <c r="M61" s="89">
        <f>-SUMIFS('8月数据源'!$I:$I,'8月数据源'!$D:$D,$E61,'8月数据源'!$F:$F,"海南精准学科技有限公司")+SUMIFS('8月数据源'!$J:$J,'8月数据源'!$D:$D,$E61,'8月数据源'!$F:$F,"海南精准学科技有限公司")</f>
        <v/>
      </c>
      <c r="N61" s="89">
        <f>-SUMIFS('9月数据源'!$I:$I,'9月数据源'!$D:$D,$E61,'9月数据源'!$F:$F,"海南精准学科技有限公司")+SUMIFS('9月数据源'!$J:$J,'9月数据源'!$D:$D,$E61,'9月数据源'!$F:$F,"海南精准学科技有限公司")</f>
        <v/>
      </c>
      <c r="O61" s="89">
        <f>-SUMIFS('10月数据源'!$I:$I,'10月数据源'!$D:$D,$E61,'10月数据源'!$F:$F,"海南精准学科技有限公司")+SUMIFS('10月数据源'!$J:$J,'10月数据源'!$D:$D,$E61,'10月数据源'!$F:$F,"海南精准学科技有限公司")</f>
        <v/>
      </c>
      <c r="P61" s="89">
        <f>-SUMIFS('11月数据源'!$I:$I,'11月数据源'!$D:$D,$E61,'11月数据源'!$F:$F,"海南精准学科技有限公司")+SUMIFS('11月数据源'!$J:$J,'11月数据源'!$D:$D,$E61,'11月数据源'!$F:$F,"海南精准学科技有限公司")</f>
        <v/>
      </c>
      <c r="Q61" s="89">
        <f>-SUMIFS('12月数据源'!$I:$I,'12月数据源'!$D:$D,$E61,'12月数据源'!$F:$F,"海南精准学科技有限公司")+SUMIFS('12月数据源'!$J:$J,'12月数据源'!$D:$D,$E61,'12月数据源'!$F:$F,"海南精准学科技有限公司")</f>
        <v/>
      </c>
    </row>
    <row r="62" s="83">
      <c r="A62" s="5" t="inlineStr">
        <is>
          <t>制造费用</t>
        </is>
      </c>
      <c r="B62" s="5" t="inlineStr">
        <is>
          <t>制造费用</t>
        </is>
      </c>
      <c r="D62" s="5" t="inlineStr">
        <is>
          <t>华泰装修费</t>
        </is>
      </c>
      <c r="E62" s="6" t="inlineStr">
        <is>
          <t>Q3212</t>
        </is>
      </c>
      <c r="F62" s="89">
        <f>-SUMIFS('1月数据源'!I:I,'1月数据源'!D:D,E62,'1月数据源'!F:F,"海南精准学科技有限公司")+SUMIFS('1月数据源'!J:J,'1月数据源'!D:D,E62,'1月数据源'!F:F,"海南精准学科技有限公司")</f>
        <v/>
      </c>
      <c r="G62" s="89">
        <f>-SUMIFS('2月数据源'!$I:$I,'2月数据源'!$D:$D,$E62,'2月数据源'!$F:$F,"海南精准学科技有限公司")+SUMIFS('2月数据源'!$J:$J,'2月数据源'!$D:$D,$E62,'2月数据源'!$F:$F,"海南精准学科技有限公司")</f>
        <v/>
      </c>
      <c r="H62" s="89">
        <f>-SUMIFS('3月数据源'!$I:$I,'3月数据源'!$D:$D,$E62,'3月数据源'!$F:$F,"海南精准学科技有限公司")+SUMIFS('3月数据源'!$J:$J,'3月数据源'!$D:$D,$E62,'3月数据源'!$F:$F,"海南精准学科技有限公司")</f>
        <v/>
      </c>
      <c r="I62" s="89">
        <f>-SUMIFS('4月数据源'!$I:$I,'4月数据源'!$D:$D,$E62,'4月数据源'!$F:$F,"海南精准学科技有限公司")+SUMIFS('4月数据源'!$J:$J,'4月数据源'!$D:$D,$E62,'4月数据源'!$F:$F,"海南精准学科技有限公司")</f>
        <v/>
      </c>
      <c r="J62" s="89">
        <f>-SUMIFS('5月数据源'!$I:$I,'5月数据源'!$D:$D,$E62,'5月数据源'!$F:$F,"海南精准学科技有限公司")+SUMIFS('5月数据源'!$J:$J,'5月数据源'!$D:$D,$E62,'5月数据源'!$F:$F,"海南精准学科技有限公司")</f>
        <v/>
      </c>
      <c r="K62" s="89">
        <f>-SUMIFS('6月数据源'!$I:$I,'6月数据源'!$D:$D,$E62,'6月数据源'!$F:$F,"海南精准学科技有限公司")+SUMIFS('6月数据源'!$J:$J,'6月数据源'!$D:$D,$E62,'6月数据源'!$F:$F,"海南精准学科技有限公司")</f>
        <v/>
      </c>
      <c r="L62" s="89">
        <f>-SUMIFS('7月数据源'!$I:$I,'7月数据源'!$D:$D,$E62,'7月数据源'!$F:$F,"海南精准学科技有限公司")+SUMIFS('7月数据源'!$J:$J,'7月数据源'!$D:$D,$E62,'7月数据源'!$F:$F,"海南精准学科技有限公司")</f>
        <v/>
      </c>
      <c r="M62" s="89">
        <f>-SUMIFS('8月数据源'!$I:$I,'8月数据源'!$D:$D,$E62,'8月数据源'!$F:$F,"海南精准学科技有限公司")+SUMIFS('8月数据源'!$J:$J,'8月数据源'!$D:$D,$E62,'8月数据源'!$F:$F,"海南精准学科技有限公司")</f>
        <v/>
      </c>
      <c r="N62" s="89">
        <f>-SUMIFS('9月数据源'!$I:$I,'9月数据源'!$D:$D,$E62,'9月数据源'!$F:$F,"海南精准学科技有限公司")+SUMIFS('9月数据源'!$J:$J,'9月数据源'!$D:$D,$E62,'9月数据源'!$F:$F,"海南精准学科技有限公司")</f>
        <v/>
      </c>
      <c r="O62" s="89">
        <f>-SUMIFS('10月数据源'!$I:$I,'10月数据源'!$D:$D,$E62,'10月数据源'!$F:$F,"海南精准学科技有限公司")+SUMIFS('10月数据源'!$J:$J,'10月数据源'!$D:$D,$E62,'10月数据源'!$F:$F,"海南精准学科技有限公司")</f>
        <v/>
      </c>
      <c r="P62" s="89">
        <f>-SUMIFS('11月数据源'!$I:$I,'11月数据源'!$D:$D,$E62,'11月数据源'!$F:$F,"海南精准学科技有限公司")+SUMIFS('11月数据源'!$J:$J,'11月数据源'!$D:$D,$E62,'11月数据源'!$F:$F,"海南精准学科技有限公司")</f>
        <v/>
      </c>
      <c r="Q62" s="89">
        <f>-SUMIFS('12月数据源'!$I:$I,'12月数据源'!$D:$D,$E62,'12月数据源'!$F:$F,"海南精准学科技有限公司")+SUMIFS('12月数据源'!$J:$J,'12月数据源'!$D:$D,$E62,'12月数据源'!$F:$F,"海南精准学科技有限公司")</f>
        <v/>
      </c>
    </row>
    <row r="63" s="83">
      <c r="A63" s="49" t="inlineStr">
        <is>
          <t>制造费用合计</t>
        </is>
      </c>
      <c r="B63" s="50" t="n"/>
      <c r="C63" s="50" t="n"/>
      <c r="D63" s="49" t="n"/>
      <c r="E63" s="49" t="n"/>
      <c r="F63" s="89">
        <f>SUM(F51:F62)</f>
        <v/>
      </c>
      <c r="G63" s="89">
        <f>SUM(G51:G62)</f>
        <v/>
      </c>
      <c r="H63" s="89">
        <f>SUM(H51:H62)</f>
        <v/>
      </c>
      <c r="I63" s="89">
        <f>SUM(I51:I62)</f>
        <v/>
      </c>
      <c r="J63" s="89">
        <f>SUM(J51:J62)</f>
        <v/>
      </c>
      <c r="K63" s="89">
        <f>SUM(K51:K62)</f>
        <v/>
      </c>
      <c r="L63" s="89">
        <f>SUM(L51:L62)</f>
        <v/>
      </c>
      <c r="M63" s="89">
        <f>SUM(M51:M62)</f>
        <v/>
      </c>
      <c r="N63" s="89">
        <f>SUM(N51:N62)</f>
        <v/>
      </c>
      <c r="O63" s="89">
        <f>SUM(O51:O62)</f>
        <v/>
      </c>
      <c r="P63" s="89">
        <f>SUM(P51:P62)</f>
        <v/>
      </c>
      <c r="Q63" s="89">
        <f>SUM(Q51:Q62)</f>
        <v/>
      </c>
    </row>
    <row r="64" s="83">
      <c r="A64" s="5" t="inlineStr">
        <is>
          <t>自习室支出</t>
        </is>
      </c>
      <c r="B64" s="5" t="inlineStr">
        <is>
          <t>自习室支出</t>
        </is>
      </c>
      <c r="C64" s="6" t="inlineStr">
        <is>
          <t>自习室支出</t>
        </is>
      </c>
      <c r="D64" s="5" t="inlineStr">
        <is>
          <t>人力成本</t>
        </is>
      </c>
      <c r="E64" s="53" t="n"/>
      <c r="G64" s="89" t="n"/>
      <c r="H64" s="89" t="n"/>
      <c r="L64" s="89" t="n"/>
      <c r="M64" s="89" t="n"/>
      <c r="N64" s="89" t="n"/>
      <c r="O64" s="89" t="n"/>
      <c r="P64" s="89" t="n"/>
      <c r="Q64" s="89" t="n"/>
    </row>
    <row r="65" s="83">
      <c r="A65" s="5" t="inlineStr">
        <is>
          <t>自习室支出</t>
        </is>
      </c>
      <c r="B65" s="5" t="inlineStr">
        <is>
          <t>自习室支出</t>
        </is>
      </c>
      <c r="D65" s="5" t="inlineStr">
        <is>
          <t>装修支出</t>
        </is>
      </c>
      <c r="E65" s="53" t="n"/>
      <c r="G65" s="89" t="n"/>
      <c r="H65" s="89" t="n"/>
      <c r="L65" s="89" t="n"/>
      <c r="M65" s="89" t="n"/>
      <c r="N65" s="89" t="n"/>
      <c r="O65" s="89" t="n"/>
      <c r="P65" s="89" t="n"/>
      <c r="Q65" s="89" t="n"/>
    </row>
    <row r="66" s="83">
      <c r="A66" s="5" t="inlineStr">
        <is>
          <t>自习室支出</t>
        </is>
      </c>
      <c r="B66" s="5" t="inlineStr">
        <is>
          <t>自习室支出</t>
        </is>
      </c>
      <c r="D66" s="5" t="inlineStr">
        <is>
          <t>推广费用</t>
        </is>
      </c>
      <c r="E66" s="53" t="n"/>
      <c r="G66" s="89" t="n"/>
      <c r="H66" s="89" t="n"/>
      <c r="L66" s="89" t="n"/>
      <c r="M66" s="89" t="n"/>
      <c r="N66" s="89" t="n"/>
      <c r="O66" s="89" t="n"/>
      <c r="P66" s="89" t="n"/>
      <c r="Q66" s="89" t="n"/>
    </row>
    <row r="67" s="83">
      <c r="A67" s="5" t="inlineStr">
        <is>
          <t>自习室支出</t>
        </is>
      </c>
      <c r="B67" s="5" t="inlineStr">
        <is>
          <t>自习室支出</t>
        </is>
      </c>
      <c r="D67" s="5" t="inlineStr">
        <is>
          <t>管理系统</t>
        </is>
      </c>
      <c r="E67" s="53" t="n"/>
      <c r="G67" s="89" t="n"/>
      <c r="H67" s="89" t="n"/>
      <c r="L67" s="89" t="n"/>
      <c r="M67" s="89" t="n"/>
      <c r="N67" s="89" t="n"/>
      <c r="O67" s="89" t="n"/>
      <c r="P67" s="89" t="n"/>
      <c r="Q67" s="89" t="n"/>
    </row>
    <row r="68" s="83">
      <c r="A68" s="5" t="inlineStr">
        <is>
          <t>自习室支出</t>
        </is>
      </c>
      <c r="B68" s="5" t="inlineStr">
        <is>
          <t>自习室支出</t>
        </is>
      </c>
      <c r="D68" s="5" t="inlineStr">
        <is>
          <t>其他经营支出</t>
        </is>
      </c>
      <c r="E68" s="53" t="n"/>
      <c r="G68" s="89" t="n"/>
      <c r="H68" s="89" t="n"/>
      <c r="L68" s="89" t="n"/>
      <c r="M68" s="89" t="n"/>
      <c r="N68" s="89" t="n"/>
      <c r="O68" s="89" t="n"/>
      <c r="P68" s="89" t="n"/>
      <c r="Q68" s="89" t="n"/>
    </row>
    <row r="69" s="83">
      <c r="A69" s="49" t="inlineStr">
        <is>
          <t>自习室支出合计</t>
        </is>
      </c>
      <c r="B69" s="50" t="n"/>
      <c r="C69" s="50" t="n"/>
      <c r="D69" s="49" t="n"/>
      <c r="E69" s="49" t="n"/>
      <c r="F69" s="89">
        <f>SUM('SMART AI LIMITED:HK01'!F64:F68)</f>
        <v/>
      </c>
      <c r="G69" s="89">
        <f>SUM('SMART AI LIMITED:HK01'!G64:G68)</f>
        <v/>
      </c>
      <c r="H69" s="89">
        <f>SUM('SMART AI LIMITED:HK01'!H64:H68)</f>
        <v/>
      </c>
      <c r="I69" s="89">
        <f>SUM('SMART AI LIMITED:HK01'!I64:I68)</f>
        <v/>
      </c>
      <c r="J69" s="89">
        <f>SUM('SMART AI LIMITED:HK01'!J64:J68)</f>
        <v/>
      </c>
      <c r="K69" s="89">
        <f>SUM('SMART AI LIMITED:HK01'!K64:K68)</f>
        <v/>
      </c>
      <c r="L69" s="89">
        <f>SUM('SMART AI LIMITED:HK01'!L64:L68)</f>
        <v/>
      </c>
      <c r="M69" s="89">
        <f>SUM('SMART AI LIMITED:HK01'!M64:M68)</f>
        <v/>
      </c>
      <c r="N69" s="89">
        <f>SUM('SMART AI LIMITED:HK01'!N64:N68)</f>
        <v/>
      </c>
      <c r="O69" s="89">
        <f>SUM('SMART AI LIMITED:HK01'!O64:O68)</f>
        <v/>
      </c>
      <c r="P69" s="89">
        <f>SUM('SMART AI LIMITED:HK01'!P64:P68)</f>
        <v/>
      </c>
      <c r="Q69" s="89">
        <f>SUM('SMART AI LIMITED:HK01'!Q64:Q68)</f>
        <v/>
      </c>
    </row>
    <row r="70" s="83">
      <c r="A70" s="5" t="inlineStr">
        <is>
          <t>研发支出</t>
        </is>
      </c>
      <c r="B70" s="6" t="inlineStr">
        <is>
          <t>产品开发-MAX</t>
        </is>
      </c>
      <c r="C70" s="6" t="inlineStr">
        <is>
          <t>产品开发-MAX</t>
        </is>
      </c>
      <c r="D70" s="5" t="inlineStr">
        <is>
          <t>检测费</t>
        </is>
      </c>
      <c r="E70" s="6" t="inlineStr">
        <is>
          <t>Q1201</t>
        </is>
      </c>
      <c r="F70" s="89">
        <f>-SUMIFS('1月数据源'!I:I,'1月数据源'!D:D,E70,'1月数据源'!F:F,"海南精准学科技有限公司")+SUMIFS('1月数据源'!J:J,'1月数据源'!D:D,E70,'1月数据源'!F:F,"海南精准学科技有限公司")</f>
        <v/>
      </c>
      <c r="G70" s="89">
        <f>-SUMIFS('2月数据源'!$I:$I,'2月数据源'!$D:$D,$E70,'2月数据源'!$F:$F,"海南精准学科技有限公司")+SUMIFS('2月数据源'!$J:$J,'2月数据源'!$D:$D,$E70,'2月数据源'!$F:$F,"海南精准学科技有限公司")</f>
        <v/>
      </c>
      <c r="H70" s="89">
        <f>-SUMIFS('3月数据源'!$I:$I,'3月数据源'!$D:$D,$E70,'3月数据源'!$F:$F,"海南精准学科技有限公司")+SUMIFS('3月数据源'!$J:$J,'3月数据源'!$D:$D,$E70,'3月数据源'!$F:$F,"海南精准学科技有限公司")</f>
        <v/>
      </c>
      <c r="I70" s="89">
        <f>-SUMIFS('4月数据源'!$I:$I,'4月数据源'!$D:$D,$E70,'4月数据源'!$F:$F,"海南精准学科技有限公司")+SUMIFS('4月数据源'!$J:$J,'4月数据源'!$D:$D,$E70,'4月数据源'!$F:$F,"海南精准学科技有限公司")</f>
        <v/>
      </c>
      <c r="J70" s="89">
        <f>-SUMIFS('5月数据源'!$I:$I,'5月数据源'!$D:$D,$E70,'5月数据源'!$F:$F,"海南精准学科技有限公司")+SUMIFS('5月数据源'!$J:$J,'5月数据源'!$D:$D,$E70,'5月数据源'!$F:$F,"海南精准学科技有限公司")</f>
        <v/>
      </c>
      <c r="K70" s="89">
        <f>-SUMIFS('6月数据源'!$I:$I,'6月数据源'!$D:$D,$E70,'6月数据源'!$F:$F,"海南精准学科技有限公司")+SUMIFS('6月数据源'!$J:$J,'6月数据源'!$D:$D,$E70,'6月数据源'!$F:$F,"海南精准学科技有限公司")</f>
        <v/>
      </c>
      <c r="L70" s="89">
        <f>-SUMIFS('7月数据源'!$I:$I,'7月数据源'!$D:$D,$E70,'7月数据源'!$F:$F,"海南精准学科技有限公司")+SUMIFS('7月数据源'!$J:$J,'7月数据源'!$D:$D,$E70,'7月数据源'!$F:$F,"海南精准学科技有限公司")</f>
        <v/>
      </c>
      <c r="M70" s="89">
        <f>-SUMIFS('8月数据源'!$I:$I,'8月数据源'!$D:$D,$E70,'8月数据源'!$F:$F,"海南精准学科技有限公司")+SUMIFS('8月数据源'!$J:$J,'8月数据源'!$D:$D,$E70,'8月数据源'!$F:$F,"海南精准学科技有限公司")</f>
        <v/>
      </c>
      <c r="N70" s="89">
        <f>-SUMIFS('9月数据源'!$I:$I,'9月数据源'!$D:$D,$E70,'9月数据源'!$F:$F,"海南精准学科技有限公司")+SUMIFS('9月数据源'!$J:$J,'9月数据源'!$D:$D,$E70,'9月数据源'!$F:$F,"海南精准学科技有限公司")</f>
        <v/>
      </c>
      <c r="O70" s="89">
        <f>-SUMIFS('10月数据源'!$I:$I,'10月数据源'!$D:$D,$E70,'10月数据源'!$F:$F,"海南精准学科技有限公司")+SUMIFS('10月数据源'!$J:$J,'10月数据源'!$D:$D,$E70,'10月数据源'!$F:$F,"海南精准学科技有限公司")</f>
        <v/>
      </c>
      <c r="P70" s="89">
        <f>-SUMIFS('11月数据源'!$I:$I,'11月数据源'!$D:$D,$E70,'11月数据源'!$F:$F,"海南精准学科技有限公司")+SUMIFS('11月数据源'!$J:$J,'11月数据源'!$D:$D,$E70,'11月数据源'!$F:$F,"海南精准学科技有限公司")</f>
        <v/>
      </c>
      <c r="Q70" s="89">
        <f>-SUMIFS('12月数据源'!$I:$I,'12月数据源'!$D:$D,$E70,'12月数据源'!$F:$F,"海南精准学科技有限公司")+SUMIFS('12月数据源'!$J:$J,'12月数据源'!$D:$D,$E70,'12月数据源'!$F:$F,"海南精准学科技有限公司")</f>
        <v/>
      </c>
    </row>
    <row r="71" s="83">
      <c r="A71" s="5" t="inlineStr">
        <is>
          <t>研发支出</t>
        </is>
      </c>
      <c r="B71" s="6" t="inlineStr">
        <is>
          <t>产品开发-MAX</t>
        </is>
      </c>
      <c r="D71" s="5" t="inlineStr">
        <is>
          <t>认证费</t>
        </is>
      </c>
      <c r="E71" s="6" t="inlineStr">
        <is>
          <t>Q1202</t>
        </is>
      </c>
      <c r="F71" s="89">
        <f>-SUMIFS('1月数据源'!I:I,'1月数据源'!D:D,E71,'1月数据源'!F:F,"海南精准学科技有限公司")+SUMIFS('1月数据源'!J:J,'1月数据源'!D:D,E71,'1月数据源'!F:F,"海南精准学科技有限公司")</f>
        <v/>
      </c>
      <c r="G71" s="89">
        <f>-SUMIFS('2月数据源'!$I:$I,'2月数据源'!$D:$D,$E71,'2月数据源'!$F:$F,"海南精准学科技有限公司")+SUMIFS('2月数据源'!$J:$J,'2月数据源'!$D:$D,$E71,'2月数据源'!$F:$F,"海南精准学科技有限公司")</f>
        <v/>
      </c>
      <c r="H71" s="89">
        <f>-SUMIFS('3月数据源'!$I:$I,'3月数据源'!$D:$D,$E71,'3月数据源'!$F:$F,"海南精准学科技有限公司")+SUMIFS('3月数据源'!$J:$J,'3月数据源'!$D:$D,$E71,'3月数据源'!$F:$F,"海南精准学科技有限公司")</f>
        <v/>
      </c>
      <c r="I71" s="89">
        <f>-SUMIFS('4月数据源'!$I:$I,'4月数据源'!$D:$D,$E71,'4月数据源'!$F:$F,"海南精准学科技有限公司")+SUMIFS('4月数据源'!$J:$J,'4月数据源'!$D:$D,$E71,'4月数据源'!$F:$F,"海南精准学科技有限公司")</f>
        <v/>
      </c>
      <c r="J71" s="89">
        <f>-SUMIFS('5月数据源'!$I:$I,'5月数据源'!$D:$D,$E71,'5月数据源'!$F:$F,"海南精准学科技有限公司")+SUMIFS('5月数据源'!$J:$J,'5月数据源'!$D:$D,$E71,'5月数据源'!$F:$F,"海南精准学科技有限公司")</f>
        <v/>
      </c>
      <c r="K71" s="89">
        <f>-SUMIFS('6月数据源'!$I:$I,'6月数据源'!$D:$D,$E71,'6月数据源'!$F:$F,"海南精准学科技有限公司")+SUMIFS('6月数据源'!$J:$J,'6月数据源'!$D:$D,$E71,'6月数据源'!$F:$F,"海南精准学科技有限公司")</f>
        <v/>
      </c>
      <c r="L71" s="89">
        <f>-SUMIFS('7月数据源'!$I:$I,'7月数据源'!$D:$D,$E71,'7月数据源'!$F:$F,"海南精准学科技有限公司")+SUMIFS('7月数据源'!$J:$J,'7月数据源'!$D:$D,$E71,'7月数据源'!$F:$F,"海南精准学科技有限公司")</f>
        <v/>
      </c>
      <c r="M71" s="89">
        <f>-SUMIFS('8月数据源'!$I:$I,'8月数据源'!$D:$D,$E71,'8月数据源'!$F:$F,"海南精准学科技有限公司")+SUMIFS('8月数据源'!$J:$J,'8月数据源'!$D:$D,$E71,'8月数据源'!$F:$F,"海南精准学科技有限公司")</f>
        <v/>
      </c>
      <c r="N71" s="89">
        <f>-SUMIFS('9月数据源'!$I:$I,'9月数据源'!$D:$D,$E71,'9月数据源'!$F:$F,"海南精准学科技有限公司")+SUMIFS('9月数据源'!$J:$J,'9月数据源'!$D:$D,$E71,'9月数据源'!$F:$F,"海南精准学科技有限公司")</f>
        <v/>
      </c>
      <c r="O71" s="89">
        <f>-SUMIFS('10月数据源'!$I:$I,'10月数据源'!$D:$D,$E71,'10月数据源'!$F:$F,"海南精准学科技有限公司")+SUMIFS('10月数据源'!$J:$J,'10月数据源'!$D:$D,$E71,'10月数据源'!$F:$F,"海南精准学科技有限公司")</f>
        <v/>
      </c>
      <c r="P71" s="89">
        <f>-SUMIFS('11月数据源'!$I:$I,'11月数据源'!$D:$D,$E71,'11月数据源'!$F:$F,"海南精准学科技有限公司")+SUMIFS('11月数据源'!$J:$J,'11月数据源'!$D:$D,$E71,'11月数据源'!$F:$F,"海南精准学科技有限公司")</f>
        <v/>
      </c>
      <c r="Q71" s="89">
        <f>-SUMIFS('12月数据源'!$I:$I,'12月数据源'!$D:$D,$E71,'12月数据源'!$F:$F,"海南精准学科技有限公司")+SUMIFS('12月数据源'!$J:$J,'12月数据源'!$D:$D,$E71,'12月数据源'!$F:$F,"海南精准学科技有限公司")</f>
        <v/>
      </c>
    </row>
    <row r="72" s="83">
      <c r="A72" s="5" t="inlineStr">
        <is>
          <t>研发支出</t>
        </is>
      </c>
      <c r="B72" s="6" t="inlineStr">
        <is>
          <t>产品开发-MAX</t>
        </is>
      </c>
      <c r="D72" s="5" t="inlineStr">
        <is>
          <t>设计费</t>
        </is>
      </c>
      <c r="E72" s="6" t="inlineStr">
        <is>
          <t>Q1203</t>
        </is>
      </c>
      <c r="F72" s="89">
        <f>-SUMIFS('1月数据源'!I:I,'1月数据源'!D:D,E72,'1月数据源'!F:F,"海南精准学科技有限公司")+SUMIFS('1月数据源'!J:J,'1月数据源'!D:D,E72,'1月数据源'!F:F,"海南精准学科技有限公司")</f>
        <v/>
      </c>
      <c r="G72" s="89">
        <f>-SUMIFS('2月数据源'!$I:$I,'2月数据源'!$D:$D,$E72,'2月数据源'!$F:$F,"海南精准学科技有限公司")+SUMIFS('2月数据源'!$J:$J,'2月数据源'!$D:$D,$E72,'2月数据源'!$F:$F,"海南精准学科技有限公司")</f>
        <v/>
      </c>
      <c r="H72" s="89">
        <f>-SUMIFS('3月数据源'!$I:$I,'3月数据源'!$D:$D,$E72,'3月数据源'!$F:$F,"海南精准学科技有限公司")+SUMIFS('3月数据源'!$J:$J,'3月数据源'!$D:$D,$E72,'3月数据源'!$F:$F,"海南精准学科技有限公司")</f>
        <v/>
      </c>
      <c r="I72" s="89">
        <f>-SUMIFS('4月数据源'!$I:$I,'4月数据源'!$D:$D,$E72,'4月数据源'!$F:$F,"海南精准学科技有限公司")+SUMIFS('4月数据源'!$J:$J,'4月数据源'!$D:$D,$E72,'4月数据源'!$F:$F,"海南精准学科技有限公司")</f>
        <v/>
      </c>
      <c r="J72" s="89">
        <f>-SUMIFS('5月数据源'!$I:$I,'5月数据源'!$D:$D,$E72,'5月数据源'!$F:$F,"海南精准学科技有限公司")+SUMIFS('5月数据源'!$J:$J,'5月数据源'!$D:$D,$E72,'5月数据源'!$F:$F,"海南精准学科技有限公司")</f>
        <v/>
      </c>
      <c r="K72" s="89">
        <f>-SUMIFS('6月数据源'!$I:$I,'6月数据源'!$D:$D,$E72,'6月数据源'!$F:$F,"海南精准学科技有限公司")+SUMIFS('6月数据源'!$J:$J,'6月数据源'!$D:$D,$E72,'6月数据源'!$F:$F,"海南精准学科技有限公司")</f>
        <v/>
      </c>
      <c r="L72" s="89">
        <f>-SUMIFS('7月数据源'!$I:$I,'7月数据源'!$D:$D,$E72,'7月数据源'!$F:$F,"海南精准学科技有限公司")+SUMIFS('7月数据源'!$J:$J,'7月数据源'!$D:$D,$E72,'7月数据源'!$F:$F,"海南精准学科技有限公司")</f>
        <v/>
      </c>
      <c r="M72" s="89">
        <f>-SUMIFS('8月数据源'!$I:$I,'8月数据源'!$D:$D,$E72,'8月数据源'!$F:$F,"海南精准学科技有限公司")+SUMIFS('8月数据源'!$J:$J,'8月数据源'!$D:$D,$E72,'8月数据源'!$F:$F,"海南精准学科技有限公司")</f>
        <v/>
      </c>
      <c r="N72" s="89">
        <f>-SUMIFS('9月数据源'!$I:$I,'9月数据源'!$D:$D,$E72,'9月数据源'!$F:$F,"海南精准学科技有限公司")+SUMIFS('9月数据源'!$J:$J,'9月数据源'!$D:$D,$E72,'9月数据源'!$F:$F,"海南精准学科技有限公司")</f>
        <v/>
      </c>
      <c r="O72" s="89">
        <f>-SUMIFS('10月数据源'!$I:$I,'10月数据源'!$D:$D,$E72,'10月数据源'!$F:$F,"海南精准学科技有限公司")+SUMIFS('10月数据源'!$J:$J,'10月数据源'!$D:$D,$E72,'10月数据源'!$F:$F,"海南精准学科技有限公司")</f>
        <v/>
      </c>
      <c r="P72" s="89">
        <f>-SUMIFS('11月数据源'!$I:$I,'11月数据源'!$D:$D,$E72,'11月数据源'!$F:$F,"海南精准学科技有限公司")+SUMIFS('11月数据源'!$J:$J,'11月数据源'!$D:$D,$E72,'11月数据源'!$F:$F,"海南精准学科技有限公司")</f>
        <v/>
      </c>
      <c r="Q72" s="89">
        <f>-SUMIFS('12月数据源'!$I:$I,'12月数据源'!$D:$D,$E72,'12月数据源'!$F:$F,"海南精准学科技有限公司")+SUMIFS('12月数据源'!$J:$J,'12月数据源'!$D:$D,$E72,'12月数据源'!$F:$F,"海南精准学科技有限公司")</f>
        <v/>
      </c>
    </row>
    <row r="73" s="83">
      <c r="A73" s="5" t="inlineStr">
        <is>
          <t>研发支出</t>
        </is>
      </c>
      <c r="B73" s="6" t="inlineStr">
        <is>
          <t>产品开发-MAX</t>
        </is>
      </c>
      <c r="D73" s="5" t="inlineStr">
        <is>
          <t>OTA费用</t>
        </is>
      </c>
      <c r="E73" s="6" t="inlineStr">
        <is>
          <t>Q1204</t>
        </is>
      </c>
      <c r="F73" s="89">
        <f>-SUMIFS('1月数据源'!I:I,'1月数据源'!D:D,E73,'1月数据源'!F:F,"海南精准学科技有限公司")+SUMIFS('1月数据源'!J:J,'1月数据源'!D:D,E73,'1月数据源'!F:F,"海南精准学科技有限公司")</f>
        <v/>
      </c>
      <c r="G73" s="89">
        <f>-SUMIFS('2月数据源'!$I:$I,'2月数据源'!$D:$D,$E73,'2月数据源'!$F:$F,"海南精准学科技有限公司")+SUMIFS('2月数据源'!$J:$J,'2月数据源'!$D:$D,$E73,'2月数据源'!$F:$F,"海南精准学科技有限公司")</f>
        <v/>
      </c>
      <c r="H73" s="89">
        <f>-SUMIFS('3月数据源'!$I:$I,'3月数据源'!$D:$D,$E73,'3月数据源'!$F:$F,"海南精准学科技有限公司")+SUMIFS('3月数据源'!$J:$J,'3月数据源'!$D:$D,$E73,'3月数据源'!$F:$F,"海南精准学科技有限公司")</f>
        <v/>
      </c>
      <c r="I73" s="89">
        <f>-SUMIFS('4月数据源'!$I:$I,'4月数据源'!$D:$D,$E73,'4月数据源'!$F:$F,"海南精准学科技有限公司")+SUMIFS('4月数据源'!$J:$J,'4月数据源'!$D:$D,$E73,'4月数据源'!$F:$F,"海南精准学科技有限公司")</f>
        <v/>
      </c>
      <c r="J73" s="89">
        <f>-SUMIFS('5月数据源'!$I:$I,'5月数据源'!$D:$D,$E73,'5月数据源'!$F:$F,"海南精准学科技有限公司")+SUMIFS('5月数据源'!$J:$J,'5月数据源'!$D:$D,$E73,'5月数据源'!$F:$F,"海南精准学科技有限公司")</f>
        <v/>
      </c>
      <c r="K73" s="89">
        <f>-SUMIFS('6月数据源'!$I:$I,'6月数据源'!$D:$D,$E73,'6月数据源'!$F:$F,"海南精准学科技有限公司")+SUMIFS('6月数据源'!$J:$J,'6月数据源'!$D:$D,$E73,'6月数据源'!$F:$F,"海南精准学科技有限公司")</f>
        <v/>
      </c>
      <c r="L73" s="89">
        <f>-SUMIFS('7月数据源'!$I:$I,'7月数据源'!$D:$D,$E73,'7月数据源'!$F:$F,"海南精准学科技有限公司")+SUMIFS('7月数据源'!$J:$J,'7月数据源'!$D:$D,$E73,'7月数据源'!$F:$F,"海南精准学科技有限公司")</f>
        <v/>
      </c>
      <c r="M73" s="89">
        <f>-SUMIFS('8月数据源'!$I:$I,'8月数据源'!$D:$D,$E73,'8月数据源'!$F:$F,"海南精准学科技有限公司")+SUMIFS('8月数据源'!$J:$J,'8月数据源'!$D:$D,$E73,'8月数据源'!$F:$F,"海南精准学科技有限公司")</f>
        <v/>
      </c>
      <c r="N73" s="89">
        <f>-SUMIFS('9月数据源'!$I:$I,'9月数据源'!$D:$D,$E73,'9月数据源'!$F:$F,"海南精准学科技有限公司")+SUMIFS('9月数据源'!$J:$J,'9月数据源'!$D:$D,$E73,'9月数据源'!$F:$F,"海南精准学科技有限公司")</f>
        <v/>
      </c>
      <c r="O73" s="89">
        <f>-SUMIFS('10月数据源'!$I:$I,'10月数据源'!$D:$D,$E73,'10月数据源'!$F:$F,"海南精准学科技有限公司")+SUMIFS('10月数据源'!$J:$J,'10月数据源'!$D:$D,$E73,'10月数据源'!$F:$F,"海南精准学科技有限公司")</f>
        <v/>
      </c>
      <c r="P73" s="89">
        <f>-SUMIFS('11月数据源'!$I:$I,'11月数据源'!$D:$D,$E73,'11月数据源'!$F:$F,"海南精准学科技有限公司")+SUMIFS('11月数据源'!$J:$J,'11月数据源'!$D:$D,$E73,'11月数据源'!$F:$F,"海南精准学科技有限公司")</f>
        <v/>
      </c>
      <c r="Q73" s="89">
        <f>-SUMIFS('12月数据源'!$I:$I,'12月数据源'!$D:$D,$E73,'12月数据源'!$F:$F,"海南精准学科技有限公司")+SUMIFS('12月数据源'!$J:$J,'12月数据源'!$D:$D,$E73,'12月数据源'!$F:$F,"海南精准学科技有限公司")</f>
        <v/>
      </c>
    </row>
    <row r="74" s="83">
      <c r="A74" s="5" t="inlineStr">
        <is>
          <t>研发支出</t>
        </is>
      </c>
      <c r="B74" s="6" t="inlineStr">
        <is>
          <t>产品开发-MAX</t>
        </is>
      </c>
      <c r="D74" s="5" t="inlineStr">
        <is>
          <t>模具费用</t>
        </is>
      </c>
      <c r="E74" s="6" t="inlineStr">
        <is>
          <t>Q1205</t>
        </is>
      </c>
      <c r="F74" s="89">
        <f>-SUMIFS('1月数据源'!I:I,'1月数据源'!D:D,E74,'1月数据源'!F:F,"海南精准学科技有限公司")+SUMIFS('1月数据源'!J:J,'1月数据源'!D:D,E74,'1月数据源'!F:F,"海南精准学科技有限公司")</f>
        <v/>
      </c>
      <c r="G74" s="89">
        <f>-SUMIFS('2月数据源'!$I:$I,'2月数据源'!$D:$D,$E74,'2月数据源'!$F:$F,"海南精准学科技有限公司")+SUMIFS('2月数据源'!$J:$J,'2月数据源'!$D:$D,$E74,'2月数据源'!$F:$F,"海南精准学科技有限公司")</f>
        <v/>
      </c>
      <c r="H74" s="89">
        <f>-SUMIFS('3月数据源'!$I:$I,'3月数据源'!$D:$D,$E74,'3月数据源'!$F:$F,"海南精准学科技有限公司")+SUMIFS('3月数据源'!$J:$J,'3月数据源'!$D:$D,$E74,'3月数据源'!$F:$F,"海南精准学科技有限公司")</f>
        <v/>
      </c>
      <c r="I74" s="89">
        <f>-SUMIFS('4月数据源'!$I:$I,'4月数据源'!$D:$D,$E74,'4月数据源'!$F:$F,"海南精准学科技有限公司")+SUMIFS('4月数据源'!$J:$J,'4月数据源'!$D:$D,$E74,'4月数据源'!$F:$F,"海南精准学科技有限公司")</f>
        <v/>
      </c>
      <c r="J74" s="89">
        <f>-SUMIFS('5月数据源'!$I:$I,'5月数据源'!$D:$D,$E74,'5月数据源'!$F:$F,"海南精准学科技有限公司")+SUMIFS('5月数据源'!$J:$J,'5月数据源'!$D:$D,$E74,'5月数据源'!$F:$F,"海南精准学科技有限公司")</f>
        <v/>
      </c>
      <c r="K74" s="89">
        <f>-SUMIFS('6月数据源'!$I:$I,'6月数据源'!$D:$D,$E74,'6月数据源'!$F:$F,"海南精准学科技有限公司")+SUMIFS('6月数据源'!$J:$J,'6月数据源'!$D:$D,$E74,'6月数据源'!$F:$F,"海南精准学科技有限公司")</f>
        <v/>
      </c>
      <c r="L74" s="89">
        <f>-SUMIFS('7月数据源'!$I:$I,'7月数据源'!$D:$D,$E74,'7月数据源'!$F:$F,"海南精准学科技有限公司")+SUMIFS('7月数据源'!$J:$J,'7月数据源'!$D:$D,$E74,'7月数据源'!$F:$F,"海南精准学科技有限公司")</f>
        <v/>
      </c>
      <c r="M74" s="89">
        <f>-SUMIFS('8月数据源'!$I:$I,'8月数据源'!$D:$D,$E74,'8月数据源'!$F:$F,"海南精准学科技有限公司")+SUMIFS('8月数据源'!$J:$J,'8月数据源'!$D:$D,$E74,'8月数据源'!$F:$F,"海南精准学科技有限公司")</f>
        <v/>
      </c>
      <c r="N74" s="89">
        <f>-SUMIFS('9月数据源'!$I:$I,'9月数据源'!$D:$D,$E74,'9月数据源'!$F:$F,"海南精准学科技有限公司")+SUMIFS('9月数据源'!$J:$J,'9月数据源'!$D:$D,$E74,'9月数据源'!$F:$F,"海南精准学科技有限公司")</f>
        <v/>
      </c>
      <c r="O74" s="89">
        <f>-SUMIFS('10月数据源'!$I:$I,'10月数据源'!$D:$D,$E74,'10月数据源'!$F:$F,"海南精准学科技有限公司")+SUMIFS('10月数据源'!$J:$J,'10月数据源'!$D:$D,$E74,'10月数据源'!$F:$F,"海南精准学科技有限公司")</f>
        <v/>
      </c>
      <c r="P74" s="89">
        <f>-SUMIFS('11月数据源'!$I:$I,'11月数据源'!$D:$D,$E74,'11月数据源'!$F:$F,"海南精准学科技有限公司")+SUMIFS('11月数据源'!$J:$J,'11月数据源'!$D:$D,$E74,'11月数据源'!$F:$F,"海南精准学科技有限公司")</f>
        <v/>
      </c>
      <c r="Q74" s="89">
        <f>-SUMIFS('12月数据源'!$I:$I,'12月数据源'!$D:$D,$E74,'12月数据源'!$F:$F,"海南精准学科技有限公司")+SUMIFS('12月数据源'!$J:$J,'12月数据源'!$D:$D,$E74,'12月数据源'!$F:$F,"海南精准学科技有限公司")</f>
        <v/>
      </c>
    </row>
    <row r="75" s="83">
      <c r="A75" s="5" t="inlineStr">
        <is>
          <t>研发支出</t>
        </is>
      </c>
      <c r="B75" s="6" t="inlineStr">
        <is>
          <t>产品开发-MAX</t>
        </is>
      </c>
      <c r="D75" s="5" t="inlineStr">
        <is>
          <t>TCL研发费</t>
        </is>
      </c>
      <c r="E75" s="6" t="inlineStr">
        <is>
          <t>Q1206</t>
        </is>
      </c>
      <c r="F75" s="89">
        <f>-SUMIFS('1月数据源'!I:I,'1月数据源'!D:D,E75,'1月数据源'!F:F,"海南精准学科技有限公司")+SUMIFS('1月数据源'!J:J,'1月数据源'!D:D,E75,'1月数据源'!F:F,"海南精准学科技有限公司")</f>
        <v/>
      </c>
      <c r="G75" s="89">
        <f>-SUMIFS('2月数据源'!$I:$I,'2月数据源'!$D:$D,$E75,'2月数据源'!$F:$F,"海南精准学科技有限公司")+SUMIFS('2月数据源'!$J:$J,'2月数据源'!$D:$D,$E75,'2月数据源'!$F:$F,"海南精准学科技有限公司")</f>
        <v/>
      </c>
      <c r="H75" s="89">
        <f>-SUMIFS('3月数据源'!$I:$I,'3月数据源'!$D:$D,$E75,'3月数据源'!$F:$F,"海南精准学科技有限公司")+SUMIFS('3月数据源'!$J:$J,'3月数据源'!$D:$D,$E75,'3月数据源'!$F:$F,"海南精准学科技有限公司")</f>
        <v/>
      </c>
      <c r="I75" s="89">
        <f>-SUMIFS('4月数据源'!$I:$I,'4月数据源'!$D:$D,$E75,'4月数据源'!$F:$F,"海南精准学科技有限公司")+SUMIFS('4月数据源'!$J:$J,'4月数据源'!$D:$D,$E75,'4月数据源'!$F:$F,"海南精准学科技有限公司")</f>
        <v/>
      </c>
      <c r="J75" s="89">
        <f>-SUMIFS('5月数据源'!$I:$I,'5月数据源'!$D:$D,$E75,'5月数据源'!$F:$F,"海南精准学科技有限公司")+SUMIFS('5月数据源'!$J:$J,'5月数据源'!$D:$D,$E75,'5月数据源'!$F:$F,"海南精准学科技有限公司")</f>
        <v/>
      </c>
      <c r="K75" s="89">
        <f>-SUMIFS('6月数据源'!$I:$I,'6月数据源'!$D:$D,$E75,'6月数据源'!$F:$F,"海南精准学科技有限公司")+SUMIFS('6月数据源'!$J:$J,'6月数据源'!$D:$D,$E75,'6月数据源'!$F:$F,"海南精准学科技有限公司")</f>
        <v/>
      </c>
      <c r="L75" s="89">
        <f>-SUMIFS('7月数据源'!$I:$I,'7月数据源'!$D:$D,$E75,'7月数据源'!$F:$F,"海南精准学科技有限公司")+SUMIFS('7月数据源'!$J:$J,'7月数据源'!$D:$D,$E75,'7月数据源'!$F:$F,"海南精准学科技有限公司")</f>
        <v/>
      </c>
      <c r="M75" s="89">
        <f>-SUMIFS('8月数据源'!$I:$I,'8月数据源'!$D:$D,$E75,'8月数据源'!$F:$F,"海南精准学科技有限公司")+SUMIFS('8月数据源'!$J:$J,'8月数据源'!$D:$D,$E75,'8月数据源'!$F:$F,"海南精准学科技有限公司")</f>
        <v/>
      </c>
      <c r="N75" s="89">
        <f>-SUMIFS('9月数据源'!$I:$I,'9月数据源'!$D:$D,$E75,'9月数据源'!$F:$F,"海南精准学科技有限公司")+SUMIFS('9月数据源'!$J:$J,'9月数据源'!$D:$D,$E75,'9月数据源'!$F:$F,"海南精准学科技有限公司")</f>
        <v/>
      </c>
      <c r="O75" s="89">
        <f>-SUMIFS('10月数据源'!$I:$I,'10月数据源'!$D:$D,$E75,'10月数据源'!$F:$F,"海南精准学科技有限公司")+SUMIFS('10月数据源'!$J:$J,'10月数据源'!$D:$D,$E75,'10月数据源'!$F:$F,"海南精准学科技有限公司")</f>
        <v/>
      </c>
      <c r="P75" s="89">
        <f>-SUMIFS('11月数据源'!$I:$I,'11月数据源'!$D:$D,$E75,'11月数据源'!$F:$F,"海南精准学科技有限公司")+SUMIFS('11月数据源'!$J:$J,'11月数据源'!$D:$D,$E75,'11月数据源'!$F:$F,"海南精准学科技有限公司")</f>
        <v/>
      </c>
      <c r="Q75" s="89">
        <f>-SUMIFS('12月数据源'!$I:$I,'12月数据源'!$D:$D,$E75,'12月数据源'!$F:$F,"海南精准学科技有限公司")+SUMIFS('12月数据源'!$J:$J,'12月数据源'!$D:$D,$E75,'12月数据源'!$F:$F,"海南精准学科技有限公司")</f>
        <v/>
      </c>
    </row>
    <row r="76" s="83">
      <c r="A76" s="5" t="inlineStr">
        <is>
          <t>研发支出</t>
        </is>
      </c>
      <c r="B76" s="6" t="inlineStr">
        <is>
          <t>产品开发-MAX</t>
        </is>
      </c>
      <c r="D76" s="5" t="inlineStr">
        <is>
          <t>唤醒功能开发</t>
        </is>
      </c>
      <c r="E76" s="6" t="inlineStr">
        <is>
          <t>Q1207</t>
        </is>
      </c>
      <c r="F76" s="89">
        <f>-SUMIFS('1月数据源'!I:I,'1月数据源'!D:D,E76,'1月数据源'!F:F,"海南精准学科技有限公司")+SUMIFS('1月数据源'!J:J,'1月数据源'!D:D,E76,'1月数据源'!F:F,"海南精准学科技有限公司")</f>
        <v/>
      </c>
      <c r="G76" s="89">
        <f>-SUMIFS('2月数据源'!$I:$I,'2月数据源'!$D:$D,$E76,'2月数据源'!$F:$F,"海南精准学科技有限公司")+SUMIFS('2月数据源'!$J:$J,'2月数据源'!$D:$D,$E76,'2月数据源'!$F:$F,"海南精准学科技有限公司")</f>
        <v/>
      </c>
      <c r="H76" s="89">
        <f>-SUMIFS('3月数据源'!$I:$I,'3月数据源'!$D:$D,$E76,'3月数据源'!$F:$F,"海南精准学科技有限公司")+SUMIFS('3月数据源'!$J:$J,'3月数据源'!$D:$D,$E76,'3月数据源'!$F:$F,"海南精准学科技有限公司")</f>
        <v/>
      </c>
      <c r="I76" s="89">
        <f>-SUMIFS('4月数据源'!$I:$I,'4月数据源'!$D:$D,$E76,'4月数据源'!$F:$F,"海南精准学科技有限公司")+SUMIFS('4月数据源'!$J:$J,'4月数据源'!$D:$D,$E76,'4月数据源'!$F:$F,"海南精准学科技有限公司")</f>
        <v/>
      </c>
      <c r="J76" s="89">
        <f>-SUMIFS('5月数据源'!$I:$I,'5月数据源'!$D:$D,$E76,'5月数据源'!$F:$F,"海南精准学科技有限公司")+SUMIFS('5月数据源'!$J:$J,'5月数据源'!$D:$D,$E76,'5月数据源'!$F:$F,"海南精准学科技有限公司")</f>
        <v/>
      </c>
      <c r="K76" s="89">
        <f>-SUMIFS('6月数据源'!$I:$I,'6月数据源'!$D:$D,$E76,'6月数据源'!$F:$F,"海南精准学科技有限公司")+SUMIFS('6月数据源'!$J:$J,'6月数据源'!$D:$D,$E76,'6月数据源'!$F:$F,"海南精准学科技有限公司")</f>
        <v/>
      </c>
      <c r="L76" s="89">
        <f>-SUMIFS('7月数据源'!$I:$I,'7月数据源'!$D:$D,$E76,'7月数据源'!$F:$F,"海南精准学科技有限公司")+SUMIFS('7月数据源'!$J:$J,'7月数据源'!$D:$D,$E76,'7月数据源'!$F:$F,"海南精准学科技有限公司")</f>
        <v/>
      </c>
      <c r="M76" s="89">
        <f>-SUMIFS('8月数据源'!$I:$I,'8月数据源'!$D:$D,$E76,'8月数据源'!$F:$F,"海南精准学科技有限公司")+SUMIFS('8月数据源'!$J:$J,'8月数据源'!$D:$D,$E76,'8月数据源'!$F:$F,"海南精准学科技有限公司")</f>
        <v/>
      </c>
      <c r="N76" s="89">
        <f>-SUMIFS('9月数据源'!$I:$I,'9月数据源'!$D:$D,$E76,'9月数据源'!$F:$F,"海南精准学科技有限公司")+SUMIFS('9月数据源'!$J:$J,'9月数据源'!$D:$D,$E76,'9月数据源'!$F:$F,"海南精准学科技有限公司")</f>
        <v/>
      </c>
      <c r="O76" s="89">
        <f>-SUMIFS('10月数据源'!$I:$I,'10月数据源'!$D:$D,$E76,'10月数据源'!$F:$F,"海南精准学科技有限公司")+SUMIFS('10月数据源'!$J:$J,'10月数据源'!$D:$D,$E76,'10月数据源'!$F:$F,"海南精准学科技有限公司")</f>
        <v/>
      </c>
      <c r="P76" s="89">
        <f>-SUMIFS('11月数据源'!$I:$I,'11月数据源'!$D:$D,$E76,'11月数据源'!$F:$F,"海南精准学科技有限公司")+SUMIFS('11月数据源'!$J:$J,'11月数据源'!$D:$D,$E76,'11月数据源'!$F:$F,"海南精准学科技有限公司")</f>
        <v/>
      </c>
      <c r="Q76" s="89">
        <f>-SUMIFS('12月数据源'!$I:$I,'12月数据源'!$D:$D,$E76,'12月数据源'!$F:$F,"海南精准学科技有限公司")+SUMIFS('12月数据源'!$J:$J,'12月数据源'!$D:$D,$E76,'12月数据源'!$F:$F,"海南精准学科技有限公司")</f>
        <v/>
      </c>
    </row>
    <row r="77" s="83">
      <c r="A77" s="5" t="inlineStr">
        <is>
          <t>研发支出</t>
        </is>
      </c>
      <c r="B77" s="6" t="inlineStr">
        <is>
          <t>产品开发-MAX</t>
        </is>
      </c>
      <c r="D77" s="5" t="inlineStr">
        <is>
          <t>题库费</t>
        </is>
      </c>
      <c r="E77" s="6" t="inlineStr">
        <is>
          <t>Q1208</t>
        </is>
      </c>
      <c r="F77" s="89">
        <f>-SUMIFS('1月数据源'!I:I,'1月数据源'!D:D,E77,'1月数据源'!F:F,"海南精准学科技有限公司")+SUMIFS('1月数据源'!J:J,'1月数据源'!D:D,E77,'1月数据源'!F:F,"海南精准学科技有限公司")</f>
        <v/>
      </c>
      <c r="G77" s="89">
        <f>-SUMIFS('2月数据源'!$I:$I,'2月数据源'!$D:$D,$E77,'2月数据源'!$F:$F,"海南精准学科技有限公司")+SUMIFS('2月数据源'!$J:$J,'2月数据源'!$D:$D,$E77,'2月数据源'!$F:$F,"海南精准学科技有限公司")</f>
        <v/>
      </c>
      <c r="H77" s="89">
        <f>-SUMIFS('3月数据源'!$I:$I,'3月数据源'!$D:$D,$E77,'3月数据源'!$F:$F,"海南精准学科技有限公司")+SUMIFS('3月数据源'!$J:$J,'3月数据源'!$D:$D,$E77,'3月数据源'!$F:$F,"海南精准学科技有限公司")</f>
        <v/>
      </c>
      <c r="I77" s="89">
        <f>-SUMIFS('4月数据源'!$I:$I,'4月数据源'!$D:$D,$E77,'4月数据源'!$F:$F,"海南精准学科技有限公司")+SUMIFS('4月数据源'!$J:$J,'4月数据源'!$D:$D,$E77,'4月数据源'!$F:$F,"海南精准学科技有限公司")</f>
        <v/>
      </c>
      <c r="J77" s="89">
        <f>-SUMIFS('5月数据源'!$I:$I,'5月数据源'!$D:$D,$E77,'5月数据源'!$F:$F,"海南精准学科技有限公司")+SUMIFS('5月数据源'!$J:$J,'5月数据源'!$D:$D,$E77,'5月数据源'!$F:$F,"海南精准学科技有限公司")</f>
        <v/>
      </c>
      <c r="K77" s="89">
        <f>-SUMIFS('6月数据源'!$I:$I,'6月数据源'!$D:$D,$E77,'6月数据源'!$F:$F,"海南精准学科技有限公司")+SUMIFS('6月数据源'!$J:$J,'6月数据源'!$D:$D,$E77,'6月数据源'!$F:$F,"海南精准学科技有限公司")</f>
        <v/>
      </c>
      <c r="L77" s="89">
        <f>-SUMIFS('7月数据源'!$I:$I,'7月数据源'!$D:$D,$E77,'7月数据源'!$F:$F,"海南精准学科技有限公司")+SUMIFS('7月数据源'!$J:$J,'7月数据源'!$D:$D,$E77,'7月数据源'!$F:$F,"海南精准学科技有限公司")</f>
        <v/>
      </c>
      <c r="M77" s="89">
        <f>-SUMIFS('8月数据源'!$I:$I,'8月数据源'!$D:$D,$E77,'8月数据源'!$F:$F,"海南精准学科技有限公司")+SUMIFS('8月数据源'!$J:$J,'8月数据源'!$D:$D,$E77,'8月数据源'!$F:$F,"海南精准学科技有限公司")</f>
        <v/>
      </c>
      <c r="N77" s="89">
        <f>-SUMIFS('9月数据源'!$I:$I,'9月数据源'!$D:$D,$E77,'9月数据源'!$F:$F,"海南精准学科技有限公司")+SUMIFS('9月数据源'!$J:$J,'9月数据源'!$D:$D,$E77,'9月数据源'!$F:$F,"海南精准学科技有限公司")</f>
        <v/>
      </c>
      <c r="O77" s="89">
        <f>-SUMIFS('10月数据源'!$I:$I,'10月数据源'!$D:$D,$E77,'10月数据源'!$F:$F,"海南精准学科技有限公司")+SUMIFS('10月数据源'!$J:$J,'10月数据源'!$D:$D,$E77,'10月数据源'!$F:$F,"海南精准学科技有限公司")</f>
        <v/>
      </c>
      <c r="P77" s="89">
        <f>-SUMIFS('11月数据源'!$I:$I,'11月数据源'!$D:$D,$E77,'11月数据源'!$F:$F,"海南精准学科技有限公司")+SUMIFS('11月数据源'!$J:$J,'11月数据源'!$D:$D,$E77,'11月数据源'!$F:$F,"海南精准学科技有限公司")</f>
        <v/>
      </c>
      <c r="Q77" s="89">
        <f>-SUMIFS('12月数据源'!$I:$I,'12月数据源'!$D:$D,$E77,'12月数据源'!$F:$F,"海南精准学科技有限公司")+SUMIFS('12月数据源'!$J:$J,'12月数据源'!$D:$D,$E77,'12月数据源'!$F:$F,"海南精准学科技有限公司")</f>
        <v/>
      </c>
    </row>
    <row r="78" s="83">
      <c r="A78" s="5" t="inlineStr">
        <is>
          <t>研发支出</t>
        </is>
      </c>
      <c r="B78" s="6" t="inlineStr">
        <is>
          <t>产品开发-PRO</t>
        </is>
      </c>
      <c r="C78" s="6" t="inlineStr">
        <is>
          <t>产品开发-PRO</t>
        </is>
      </c>
      <c r="D78" s="5" t="inlineStr">
        <is>
          <t>检测费</t>
        </is>
      </c>
      <c r="E78" s="6" t="inlineStr">
        <is>
          <t>Q1301</t>
        </is>
      </c>
      <c r="F78" s="89">
        <f>-SUMIFS('1月数据源'!I:I,'1月数据源'!D:D,E78,'1月数据源'!F:F,"海南精准学科技有限公司")+SUMIFS('1月数据源'!J:J,'1月数据源'!D:D,E78,'1月数据源'!F:F,"海南精准学科技有限公司")</f>
        <v/>
      </c>
      <c r="G78" s="89">
        <f>-SUMIFS('2月数据源'!$I:$I,'2月数据源'!$D:$D,$E78,'2月数据源'!$F:$F,"海南精准学科技有限公司")+SUMIFS('2月数据源'!$J:$J,'2月数据源'!$D:$D,$E78,'2月数据源'!$F:$F,"海南精准学科技有限公司")</f>
        <v/>
      </c>
      <c r="H78" s="89">
        <f>-SUMIFS('3月数据源'!$I:$I,'3月数据源'!$D:$D,$E78,'3月数据源'!$F:$F,"海南精准学科技有限公司")+SUMIFS('3月数据源'!$J:$J,'3月数据源'!$D:$D,$E78,'3月数据源'!$F:$F,"海南精准学科技有限公司")</f>
        <v/>
      </c>
      <c r="I78" s="89">
        <f>-SUMIFS('4月数据源'!$I:$I,'4月数据源'!$D:$D,$E78,'4月数据源'!$F:$F,"海南精准学科技有限公司")+SUMIFS('4月数据源'!$J:$J,'4月数据源'!$D:$D,$E78,'4月数据源'!$F:$F,"海南精准学科技有限公司")</f>
        <v/>
      </c>
      <c r="J78" s="89">
        <f>-SUMIFS('5月数据源'!$I:$I,'5月数据源'!$D:$D,$E78,'5月数据源'!$F:$F,"海南精准学科技有限公司")+SUMIFS('5月数据源'!$J:$J,'5月数据源'!$D:$D,$E78,'5月数据源'!$F:$F,"海南精准学科技有限公司")</f>
        <v/>
      </c>
      <c r="K78" s="89">
        <f>-SUMIFS('6月数据源'!$I:$I,'6月数据源'!$D:$D,$E78,'6月数据源'!$F:$F,"海南精准学科技有限公司")+SUMIFS('6月数据源'!$J:$J,'6月数据源'!$D:$D,$E78,'6月数据源'!$F:$F,"海南精准学科技有限公司")</f>
        <v/>
      </c>
      <c r="L78" s="89">
        <f>-SUMIFS('7月数据源'!$I:$I,'7月数据源'!$D:$D,$E78,'7月数据源'!$F:$F,"海南精准学科技有限公司")+SUMIFS('7月数据源'!$J:$J,'7月数据源'!$D:$D,$E78,'7月数据源'!$F:$F,"海南精准学科技有限公司")</f>
        <v/>
      </c>
      <c r="M78" s="89">
        <f>-SUMIFS('8月数据源'!$I:$I,'8月数据源'!$D:$D,$E78,'8月数据源'!$F:$F,"海南精准学科技有限公司")+SUMIFS('8月数据源'!$J:$J,'8月数据源'!$D:$D,$E78,'8月数据源'!$F:$F,"海南精准学科技有限公司")</f>
        <v/>
      </c>
      <c r="N78" s="89">
        <f>-SUMIFS('9月数据源'!$I:$I,'9月数据源'!$D:$D,$E78,'9月数据源'!$F:$F,"海南精准学科技有限公司")+SUMIFS('9月数据源'!$J:$J,'9月数据源'!$D:$D,$E78,'9月数据源'!$F:$F,"海南精准学科技有限公司")</f>
        <v/>
      </c>
      <c r="O78" s="89">
        <f>-SUMIFS('10月数据源'!$I:$I,'10月数据源'!$D:$D,$E78,'10月数据源'!$F:$F,"海南精准学科技有限公司")+SUMIFS('10月数据源'!$J:$J,'10月数据源'!$D:$D,$E78,'10月数据源'!$F:$F,"海南精准学科技有限公司")</f>
        <v/>
      </c>
      <c r="P78" s="89">
        <f>-SUMIFS('11月数据源'!$I:$I,'11月数据源'!$D:$D,$E78,'11月数据源'!$F:$F,"海南精准学科技有限公司")+SUMIFS('11月数据源'!$J:$J,'11月数据源'!$D:$D,$E78,'11月数据源'!$F:$F,"海南精准学科技有限公司")</f>
        <v/>
      </c>
      <c r="Q78" s="89">
        <f>-SUMIFS('12月数据源'!$I:$I,'12月数据源'!$D:$D,$E78,'12月数据源'!$F:$F,"海南精准学科技有限公司")+SUMIFS('12月数据源'!$J:$J,'12月数据源'!$D:$D,$E78,'12月数据源'!$F:$F,"海南精准学科技有限公司")</f>
        <v/>
      </c>
    </row>
    <row r="79" s="83">
      <c r="A79" s="5" t="inlineStr">
        <is>
          <t>研发支出</t>
        </is>
      </c>
      <c r="B79" s="6" t="inlineStr">
        <is>
          <t>产品开发-PRO</t>
        </is>
      </c>
      <c r="D79" s="5" t="inlineStr">
        <is>
          <t>认证费</t>
        </is>
      </c>
      <c r="E79" s="6" t="inlineStr">
        <is>
          <t>Q1302</t>
        </is>
      </c>
      <c r="F79" s="89">
        <f>-SUMIFS('1月数据源'!I:I,'1月数据源'!D:D,E79,'1月数据源'!F:F,"海南精准学科技有限公司")+SUMIFS('1月数据源'!J:J,'1月数据源'!D:D,E79,'1月数据源'!F:F,"海南精准学科技有限公司")</f>
        <v/>
      </c>
      <c r="G79" s="89">
        <f>-SUMIFS('2月数据源'!$I:$I,'2月数据源'!$D:$D,$E79,'2月数据源'!$F:$F,"海南精准学科技有限公司")+SUMIFS('2月数据源'!$J:$J,'2月数据源'!$D:$D,$E79,'2月数据源'!$F:$F,"海南精准学科技有限公司")</f>
        <v/>
      </c>
      <c r="H79" s="89">
        <f>-SUMIFS('3月数据源'!$I:$I,'3月数据源'!$D:$D,$E79,'3月数据源'!$F:$F,"海南精准学科技有限公司")+SUMIFS('3月数据源'!$J:$J,'3月数据源'!$D:$D,$E79,'3月数据源'!$F:$F,"海南精准学科技有限公司")</f>
        <v/>
      </c>
      <c r="I79" s="89">
        <f>-SUMIFS('4月数据源'!$I:$I,'4月数据源'!$D:$D,$E79,'4月数据源'!$F:$F,"海南精准学科技有限公司")+SUMIFS('4月数据源'!$J:$J,'4月数据源'!$D:$D,$E79,'4月数据源'!$F:$F,"海南精准学科技有限公司")</f>
        <v/>
      </c>
      <c r="J79" s="89">
        <f>-SUMIFS('5月数据源'!$I:$I,'5月数据源'!$D:$D,$E79,'5月数据源'!$F:$F,"海南精准学科技有限公司")+SUMIFS('5月数据源'!$J:$J,'5月数据源'!$D:$D,$E79,'5月数据源'!$F:$F,"海南精准学科技有限公司")</f>
        <v/>
      </c>
      <c r="K79" s="89">
        <f>-SUMIFS('6月数据源'!$I:$I,'6月数据源'!$D:$D,$E79,'6月数据源'!$F:$F,"海南精准学科技有限公司")+SUMIFS('6月数据源'!$J:$J,'6月数据源'!$D:$D,$E79,'6月数据源'!$F:$F,"海南精准学科技有限公司")</f>
        <v/>
      </c>
      <c r="L79" s="89">
        <f>-SUMIFS('7月数据源'!$I:$I,'7月数据源'!$D:$D,$E79,'7月数据源'!$F:$F,"海南精准学科技有限公司")+SUMIFS('7月数据源'!$J:$J,'7月数据源'!$D:$D,$E79,'7月数据源'!$F:$F,"海南精准学科技有限公司")</f>
        <v/>
      </c>
      <c r="M79" s="89">
        <f>-SUMIFS('8月数据源'!$I:$I,'8月数据源'!$D:$D,$E79,'8月数据源'!$F:$F,"海南精准学科技有限公司")+SUMIFS('8月数据源'!$J:$J,'8月数据源'!$D:$D,$E79,'8月数据源'!$F:$F,"海南精准学科技有限公司")</f>
        <v/>
      </c>
      <c r="N79" s="89">
        <f>-SUMIFS('9月数据源'!$I:$I,'9月数据源'!$D:$D,$E79,'9月数据源'!$F:$F,"海南精准学科技有限公司")+SUMIFS('9月数据源'!$J:$J,'9月数据源'!$D:$D,$E79,'9月数据源'!$F:$F,"海南精准学科技有限公司")</f>
        <v/>
      </c>
      <c r="O79" s="89">
        <f>-SUMIFS('10月数据源'!$I:$I,'10月数据源'!$D:$D,$E79,'10月数据源'!$F:$F,"海南精准学科技有限公司")+SUMIFS('10月数据源'!$J:$J,'10月数据源'!$D:$D,$E79,'10月数据源'!$F:$F,"海南精准学科技有限公司")</f>
        <v/>
      </c>
      <c r="P79" s="89">
        <f>-SUMIFS('11月数据源'!$I:$I,'11月数据源'!$D:$D,$E79,'11月数据源'!$F:$F,"海南精准学科技有限公司")+SUMIFS('11月数据源'!$J:$J,'11月数据源'!$D:$D,$E79,'11月数据源'!$F:$F,"海南精准学科技有限公司")</f>
        <v/>
      </c>
      <c r="Q79" s="89">
        <f>-SUMIFS('12月数据源'!$I:$I,'12月数据源'!$D:$D,$E79,'12月数据源'!$F:$F,"海南精准学科技有限公司")+SUMIFS('12月数据源'!$J:$J,'12月数据源'!$D:$D,$E79,'12月数据源'!$F:$F,"海南精准学科技有限公司")</f>
        <v/>
      </c>
    </row>
    <row r="80" s="83">
      <c r="A80" s="5" t="inlineStr">
        <is>
          <t>研发支出</t>
        </is>
      </c>
      <c r="B80" s="6" t="inlineStr">
        <is>
          <t>产品开发-PRO</t>
        </is>
      </c>
      <c r="D80" s="5" t="inlineStr">
        <is>
          <t>设计费</t>
        </is>
      </c>
      <c r="E80" s="6" t="inlineStr">
        <is>
          <t>Q1303</t>
        </is>
      </c>
      <c r="F80" s="89">
        <f>-SUMIFS('1月数据源'!I:I,'1月数据源'!D:D,E80,'1月数据源'!F:F,"海南精准学科技有限公司")+SUMIFS('1月数据源'!J:J,'1月数据源'!D:D,E80,'1月数据源'!F:F,"海南精准学科技有限公司")</f>
        <v/>
      </c>
      <c r="G80" s="89">
        <f>-SUMIFS('2月数据源'!$I:$I,'2月数据源'!$D:$D,$E80,'2月数据源'!$F:$F,"海南精准学科技有限公司")+SUMIFS('2月数据源'!$J:$J,'2月数据源'!$D:$D,$E80,'2月数据源'!$F:$F,"海南精准学科技有限公司")</f>
        <v/>
      </c>
      <c r="H80" s="89">
        <f>-SUMIFS('3月数据源'!$I:$I,'3月数据源'!$D:$D,$E80,'3月数据源'!$F:$F,"海南精准学科技有限公司")+SUMIFS('3月数据源'!$J:$J,'3月数据源'!$D:$D,$E80,'3月数据源'!$F:$F,"海南精准学科技有限公司")</f>
        <v/>
      </c>
      <c r="I80" s="89">
        <f>-SUMIFS('4月数据源'!$I:$I,'4月数据源'!$D:$D,$E80,'4月数据源'!$F:$F,"海南精准学科技有限公司")+SUMIFS('4月数据源'!$J:$J,'4月数据源'!$D:$D,$E80,'4月数据源'!$F:$F,"海南精准学科技有限公司")</f>
        <v/>
      </c>
      <c r="J80" s="89">
        <f>-SUMIFS('5月数据源'!$I:$I,'5月数据源'!$D:$D,$E80,'5月数据源'!$F:$F,"海南精准学科技有限公司")+SUMIFS('5月数据源'!$J:$J,'5月数据源'!$D:$D,$E80,'5月数据源'!$F:$F,"海南精准学科技有限公司")</f>
        <v/>
      </c>
      <c r="K80" s="89">
        <f>-SUMIFS('6月数据源'!$I:$I,'6月数据源'!$D:$D,$E80,'6月数据源'!$F:$F,"海南精准学科技有限公司")+SUMIFS('6月数据源'!$J:$J,'6月数据源'!$D:$D,$E80,'6月数据源'!$F:$F,"海南精准学科技有限公司")</f>
        <v/>
      </c>
      <c r="L80" s="89">
        <f>-SUMIFS('7月数据源'!$I:$I,'7月数据源'!$D:$D,$E80,'7月数据源'!$F:$F,"海南精准学科技有限公司")+SUMIFS('7月数据源'!$J:$J,'7月数据源'!$D:$D,$E80,'7月数据源'!$F:$F,"海南精准学科技有限公司")</f>
        <v/>
      </c>
      <c r="M80" s="89">
        <f>-SUMIFS('8月数据源'!$I:$I,'8月数据源'!$D:$D,$E80,'8月数据源'!$F:$F,"海南精准学科技有限公司")+SUMIFS('8月数据源'!$J:$J,'8月数据源'!$D:$D,$E80,'8月数据源'!$F:$F,"海南精准学科技有限公司")</f>
        <v/>
      </c>
      <c r="N80" s="89">
        <f>-SUMIFS('9月数据源'!$I:$I,'9月数据源'!$D:$D,$E80,'9月数据源'!$F:$F,"海南精准学科技有限公司")+SUMIFS('9月数据源'!$J:$J,'9月数据源'!$D:$D,$E80,'9月数据源'!$F:$F,"海南精准学科技有限公司")</f>
        <v/>
      </c>
      <c r="O80" s="89">
        <f>-SUMIFS('10月数据源'!$I:$I,'10月数据源'!$D:$D,$E80,'10月数据源'!$F:$F,"海南精准学科技有限公司")+SUMIFS('10月数据源'!$J:$J,'10月数据源'!$D:$D,$E80,'10月数据源'!$F:$F,"海南精准学科技有限公司")</f>
        <v/>
      </c>
      <c r="P80" s="89">
        <f>-SUMIFS('11月数据源'!$I:$I,'11月数据源'!$D:$D,$E80,'11月数据源'!$F:$F,"海南精准学科技有限公司")+SUMIFS('11月数据源'!$J:$J,'11月数据源'!$D:$D,$E80,'11月数据源'!$F:$F,"海南精准学科技有限公司")</f>
        <v/>
      </c>
      <c r="Q80" s="89">
        <f>-SUMIFS('12月数据源'!$I:$I,'12月数据源'!$D:$D,$E80,'12月数据源'!$F:$F,"海南精准学科技有限公司")+SUMIFS('12月数据源'!$J:$J,'12月数据源'!$D:$D,$E80,'12月数据源'!$F:$F,"海南精准学科技有限公司")</f>
        <v/>
      </c>
    </row>
    <row r="81" s="83">
      <c r="A81" s="5" t="inlineStr">
        <is>
          <t>研发支出</t>
        </is>
      </c>
      <c r="B81" s="6" t="inlineStr">
        <is>
          <t>产品开发-PRO</t>
        </is>
      </c>
      <c r="D81" s="5" t="inlineStr">
        <is>
          <t>OTA费用</t>
        </is>
      </c>
      <c r="E81" s="6" t="inlineStr">
        <is>
          <t>Q1304</t>
        </is>
      </c>
      <c r="F81" s="89">
        <f>-SUMIFS('1月数据源'!I:I,'1月数据源'!D:D,E81,'1月数据源'!F:F,"海南精准学科技有限公司")+SUMIFS('1月数据源'!J:J,'1月数据源'!D:D,E81,'1月数据源'!F:F,"海南精准学科技有限公司")</f>
        <v/>
      </c>
      <c r="G81" s="89">
        <f>-SUMIFS('2月数据源'!$I:$I,'2月数据源'!$D:$D,$E81,'2月数据源'!$F:$F,"海南精准学科技有限公司")+SUMIFS('2月数据源'!$J:$J,'2月数据源'!$D:$D,$E81,'2月数据源'!$F:$F,"海南精准学科技有限公司")</f>
        <v/>
      </c>
      <c r="H81" s="89">
        <f>-SUMIFS('3月数据源'!$I:$I,'3月数据源'!$D:$D,$E81,'3月数据源'!$F:$F,"海南精准学科技有限公司")+SUMIFS('3月数据源'!$J:$J,'3月数据源'!$D:$D,$E81,'3月数据源'!$F:$F,"海南精准学科技有限公司")</f>
        <v/>
      </c>
      <c r="I81" s="89">
        <f>-SUMIFS('4月数据源'!$I:$I,'4月数据源'!$D:$D,$E81,'4月数据源'!$F:$F,"海南精准学科技有限公司")+SUMIFS('4月数据源'!$J:$J,'4月数据源'!$D:$D,$E81,'4月数据源'!$F:$F,"海南精准学科技有限公司")</f>
        <v/>
      </c>
      <c r="J81" s="89">
        <f>-SUMIFS('5月数据源'!$I:$I,'5月数据源'!$D:$D,$E81,'5月数据源'!$F:$F,"海南精准学科技有限公司")+SUMIFS('5月数据源'!$J:$J,'5月数据源'!$D:$D,$E81,'5月数据源'!$F:$F,"海南精准学科技有限公司")</f>
        <v/>
      </c>
      <c r="K81" s="89">
        <f>-SUMIFS('6月数据源'!$I:$I,'6月数据源'!$D:$D,$E81,'6月数据源'!$F:$F,"海南精准学科技有限公司")+SUMIFS('6月数据源'!$J:$J,'6月数据源'!$D:$D,$E81,'6月数据源'!$F:$F,"海南精准学科技有限公司")</f>
        <v/>
      </c>
      <c r="L81" s="89">
        <f>-SUMIFS('7月数据源'!$I:$I,'7月数据源'!$D:$D,$E81,'7月数据源'!$F:$F,"海南精准学科技有限公司")+SUMIFS('7月数据源'!$J:$J,'7月数据源'!$D:$D,$E81,'7月数据源'!$F:$F,"海南精准学科技有限公司")</f>
        <v/>
      </c>
      <c r="M81" s="89">
        <f>-SUMIFS('8月数据源'!$I:$I,'8月数据源'!$D:$D,$E81,'8月数据源'!$F:$F,"海南精准学科技有限公司")+SUMIFS('8月数据源'!$J:$J,'8月数据源'!$D:$D,$E81,'8月数据源'!$F:$F,"海南精准学科技有限公司")</f>
        <v/>
      </c>
      <c r="N81" s="89">
        <f>-SUMIFS('9月数据源'!$I:$I,'9月数据源'!$D:$D,$E81,'9月数据源'!$F:$F,"海南精准学科技有限公司")+SUMIFS('9月数据源'!$J:$J,'9月数据源'!$D:$D,$E81,'9月数据源'!$F:$F,"海南精准学科技有限公司")</f>
        <v/>
      </c>
      <c r="O81" s="89">
        <f>-SUMIFS('10月数据源'!$I:$I,'10月数据源'!$D:$D,$E81,'10月数据源'!$F:$F,"海南精准学科技有限公司")+SUMIFS('10月数据源'!$J:$J,'10月数据源'!$D:$D,$E81,'10月数据源'!$F:$F,"海南精准学科技有限公司")</f>
        <v/>
      </c>
      <c r="P81" s="89">
        <f>-SUMIFS('11月数据源'!$I:$I,'11月数据源'!$D:$D,$E81,'11月数据源'!$F:$F,"海南精准学科技有限公司")+SUMIFS('11月数据源'!$J:$J,'11月数据源'!$D:$D,$E81,'11月数据源'!$F:$F,"海南精准学科技有限公司")</f>
        <v/>
      </c>
      <c r="Q81" s="89">
        <f>-SUMIFS('12月数据源'!$I:$I,'12月数据源'!$D:$D,$E81,'12月数据源'!$F:$F,"海南精准学科技有限公司")+SUMIFS('12月数据源'!$J:$J,'12月数据源'!$D:$D,$E81,'12月数据源'!$F:$F,"海南精准学科技有限公司")</f>
        <v/>
      </c>
    </row>
    <row r="82" s="83">
      <c r="A82" s="5" t="inlineStr">
        <is>
          <t>研发支出</t>
        </is>
      </c>
      <c r="B82" s="6" t="inlineStr">
        <is>
          <t>产品开发-PRO</t>
        </is>
      </c>
      <c r="D82" s="5" t="inlineStr">
        <is>
          <t>模具费用</t>
        </is>
      </c>
      <c r="E82" s="6" t="inlineStr">
        <is>
          <t>Q1305</t>
        </is>
      </c>
      <c r="F82" s="89">
        <f>-SUMIFS('1月数据源'!I:I,'1月数据源'!D:D,E82,'1月数据源'!F:F,"海南精准学科技有限公司")+SUMIFS('1月数据源'!J:J,'1月数据源'!D:D,E82,'1月数据源'!F:F,"海南精准学科技有限公司")</f>
        <v/>
      </c>
      <c r="G82" s="89">
        <f>-SUMIFS('2月数据源'!$I:$I,'2月数据源'!$D:$D,$E82,'2月数据源'!$F:$F,"海南精准学科技有限公司")+SUMIFS('2月数据源'!$J:$J,'2月数据源'!$D:$D,$E82,'2月数据源'!$F:$F,"海南精准学科技有限公司")</f>
        <v/>
      </c>
      <c r="H82" s="89">
        <f>-SUMIFS('3月数据源'!$I:$I,'3月数据源'!$D:$D,$E82,'3月数据源'!$F:$F,"海南精准学科技有限公司")+SUMIFS('3月数据源'!$J:$J,'3月数据源'!$D:$D,$E82,'3月数据源'!$F:$F,"海南精准学科技有限公司")</f>
        <v/>
      </c>
      <c r="I82" s="89">
        <f>-SUMIFS('4月数据源'!$I:$I,'4月数据源'!$D:$D,$E82,'4月数据源'!$F:$F,"海南精准学科技有限公司")+SUMIFS('4月数据源'!$J:$J,'4月数据源'!$D:$D,$E82,'4月数据源'!$F:$F,"海南精准学科技有限公司")</f>
        <v/>
      </c>
      <c r="J82" s="89">
        <f>-SUMIFS('5月数据源'!$I:$I,'5月数据源'!$D:$D,$E82,'5月数据源'!$F:$F,"海南精准学科技有限公司")+SUMIFS('5月数据源'!$J:$J,'5月数据源'!$D:$D,$E82,'5月数据源'!$F:$F,"海南精准学科技有限公司")</f>
        <v/>
      </c>
      <c r="K82" s="89">
        <f>-SUMIFS('6月数据源'!$I:$I,'6月数据源'!$D:$D,$E82,'6月数据源'!$F:$F,"海南精准学科技有限公司")+SUMIFS('6月数据源'!$J:$J,'6月数据源'!$D:$D,$E82,'6月数据源'!$F:$F,"海南精准学科技有限公司")</f>
        <v/>
      </c>
      <c r="L82" s="89">
        <f>-SUMIFS('7月数据源'!$I:$I,'7月数据源'!$D:$D,$E82,'7月数据源'!$F:$F,"海南精准学科技有限公司")+SUMIFS('7月数据源'!$J:$J,'7月数据源'!$D:$D,$E82,'7月数据源'!$F:$F,"海南精准学科技有限公司")</f>
        <v/>
      </c>
      <c r="M82" s="89">
        <f>-SUMIFS('8月数据源'!$I:$I,'8月数据源'!$D:$D,$E82,'8月数据源'!$F:$F,"海南精准学科技有限公司")+SUMIFS('8月数据源'!$J:$J,'8月数据源'!$D:$D,$E82,'8月数据源'!$F:$F,"海南精准学科技有限公司")</f>
        <v/>
      </c>
      <c r="N82" s="89">
        <f>-SUMIFS('9月数据源'!$I:$I,'9月数据源'!$D:$D,$E82,'9月数据源'!$F:$F,"海南精准学科技有限公司")+SUMIFS('9月数据源'!$J:$J,'9月数据源'!$D:$D,$E82,'9月数据源'!$F:$F,"海南精准学科技有限公司")</f>
        <v/>
      </c>
      <c r="O82" s="89">
        <f>-SUMIFS('10月数据源'!$I:$I,'10月数据源'!$D:$D,$E82,'10月数据源'!$F:$F,"海南精准学科技有限公司")+SUMIFS('10月数据源'!$J:$J,'10月数据源'!$D:$D,$E82,'10月数据源'!$F:$F,"海南精准学科技有限公司")</f>
        <v/>
      </c>
      <c r="P82" s="89">
        <f>-SUMIFS('11月数据源'!$I:$I,'11月数据源'!$D:$D,$E82,'11月数据源'!$F:$F,"海南精准学科技有限公司")+SUMIFS('11月数据源'!$J:$J,'11月数据源'!$D:$D,$E82,'11月数据源'!$F:$F,"海南精准学科技有限公司")</f>
        <v/>
      </c>
      <c r="Q82" s="89">
        <f>-SUMIFS('12月数据源'!$I:$I,'12月数据源'!$D:$D,$E82,'12月数据源'!$F:$F,"海南精准学科技有限公司")+SUMIFS('12月数据源'!$J:$J,'12月数据源'!$D:$D,$E82,'12月数据源'!$F:$F,"海南精准学科技有限公司")</f>
        <v/>
      </c>
    </row>
    <row r="83" s="83">
      <c r="A83" s="5" t="inlineStr">
        <is>
          <t>研发支出</t>
        </is>
      </c>
      <c r="B83" s="6" t="inlineStr">
        <is>
          <t>产品开发-PRO</t>
        </is>
      </c>
      <c r="D83" s="5" t="inlineStr">
        <is>
          <t>BOE研发费</t>
        </is>
      </c>
      <c r="E83" s="6" t="inlineStr">
        <is>
          <t>Q1306</t>
        </is>
      </c>
      <c r="F83" s="89">
        <f>-SUMIFS('1月数据源'!I:I,'1月数据源'!D:D,E83,'1月数据源'!F:F,"海南精准学科技有限公司")+SUMIFS('1月数据源'!J:J,'1月数据源'!D:D,E83,'1月数据源'!F:F,"海南精准学科技有限公司")</f>
        <v/>
      </c>
      <c r="G83" s="89">
        <f>-SUMIFS('2月数据源'!$I:$I,'2月数据源'!$D:$D,$E83,'2月数据源'!$F:$F,"海南精准学科技有限公司")+SUMIFS('2月数据源'!$J:$J,'2月数据源'!$D:$D,$E83,'2月数据源'!$F:$F,"海南精准学科技有限公司")</f>
        <v/>
      </c>
      <c r="H83" s="89">
        <f>-SUMIFS('3月数据源'!$I:$I,'3月数据源'!$D:$D,$E83,'3月数据源'!$F:$F,"海南精准学科技有限公司")+SUMIFS('3月数据源'!$J:$J,'3月数据源'!$D:$D,$E83,'3月数据源'!$F:$F,"海南精准学科技有限公司")</f>
        <v/>
      </c>
      <c r="I83" s="89">
        <f>-SUMIFS('4月数据源'!$I:$I,'4月数据源'!$D:$D,$E83,'4月数据源'!$F:$F,"海南精准学科技有限公司")+SUMIFS('4月数据源'!$J:$J,'4月数据源'!$D:$D,$E83,'4月数据源'!$F:$F,"海南精准学科技有限公司")</f>
        <v/>
      </c>
      <c r="J83" s="89">
        <f>-SUMIFS('5月数据源'!$I:$I,'5月数据源'!$D:$D,$E83,'5月数据源'!$F:$F,"海南精准学科技有限公司")+SUMIFS('5月数据源'!$J:$J,'5月数据源'!$D:$D,$E83,'5月数据源'!$F:$F,"海南精准学科技有限公司")</f>
        <v/>
      </c>
      <c r="K83" s="89">
        <f>-SUMIFS('6月数据源'!$I:$I,'6月数据源'!$D:$D,$E83,'6月数据源'!$F:$F,"海南精准学科技有限公司")+SUMIFS('6月数据源'!$J:$J,'6月数据源'!$D:$D,$E83,'6月数据源'!$F:$F,"海南精准学科技有限公司")</f>
        <v/>
      </c>
      <c r="L83" s="89">
        <f>-SUMIFS('7月数据源'!$I:$I,'7月数据源'!$D:$D,$E83,'7月数据源'!$F:$F,"海南精准学科技有限公司")+SUMIFS('7月数据源'!$J:$J,'7月数据源'!$D:$D,$E83,'7月数据源'!$F:$F,"海南精准学科技有限公司")</f>
        <v/>
      </c>
      <c r="M83" s="89">
        <f>-SUMIFS('8月数据源'!$I:$I,'8月数据源'!$D:$D,$E83,'8月数据源'!$F:$F,"海南精准学科技有限公司")+SUMIFS('8月数据源'!$J:$J,'8月数据源'!$D:$D,$E83,'8月数据源'!$F:$F,"海南精准学科技有限公司")</f>
        <v/>
      </c>
      <c r="N83" s="89">
        <f>-SUMIFS('9月数据源'!$I:$I,'9月数据源'!$D:$D,$E83,'9月数据源'!$F:$F,"海南精准学科技有限公司")+SUMIFS('9月数据源'!$J:$J,'9月数据源'!$D:$D,$E83,'9月数据源'!$F:$F,"海南精准学科技有限公司")</f>
        <v/>
      </c>
      <c r="O83" s="89">
        <f>-SUMIFS('10月数据源'!$I:$I,'10月数据源'!$D:$D,$E83,'10月数据源'!$F:$F,"海南精准学科技有限公司")+SUMIFS('10月数据源'!$J:$J,'10月数据源'!$D:$D,$E83,'10月数据源'!$F:$F,"海南精准学科技有限公司")</f>
        <v/>
      </c>
      <c r="P83" s="89">
        <f>-SUMIFS('11月数据源'!$I:$I,'11月数据源'!$D:$D,$E83,'11月数据源'!$F:$F,"海南精准学科技有限公司")+SUMIFS('11月数据源'!$J:$J,'11月数据源'!$D:$D,$E83,'11月数据源'!$F:$F,"海南精准学科技有限公司")</f>
        <v/>
      </c>
      <c r="Q83" s="89">
        <f>-SUMIFS('12月数据源'!$I:$I,'12月数据源'!$D:$D,$E83,'12月数据源'!$F:$F,"海南精准学科技有限公司")+SUMIFS('12月数据源'!$J:$J,'12月数据源'!$D:$D,$E83,'12月数据源'!$F:$F,"海南精准学科技有限公司")</f>
        <v/>
      </c>
    </row>
    <row r="84" s="83">
      <c r="A84" s="5" t="inlineStr">
        <is>
          <t>研发支出</t>
        </is>
      </c>
      <c r="B84" s="6" t="inlineStr">
        <is>
          <t>产品开发-PRO</t>
        </is>
      </c>
      <c r="D84" s="5" t="inlineStr">
        <is>
          <t>题库费</t>
        </is>
      </c>
      <c r="E84" s="6" t="inlineStr">
        <is>
          <t>Q1307</t>
        </is>
      </c>
      <c r="F84" s="89">
        <f>-SUMIFS('1月数据源'!I:I,'1月数据源'!D:D,E84,'1月数据源'!F:F,"海南精准学科技有限公司")+SUMIFS('1月数据源'!J:J,'1月数据源'!D:D,E84,'1月数据源'!F:F,"海南精准学科技有限公司")</f>
        <v/>
      </c>
      <c r="G84" s="89">
        <f>-SUMIFS('2月数据源'!$I:$I,'2月数据源'!$D:$D,$E84,'2月数据源'!$F:$F,"海南精准学科技有限公司")+SUMIFS('2月数据源'!$J:$J,'2月数据源'!$D:$D,$E84,'2月数据源'!$F:$F,"海南精准学科技有限公司")</f>
        <v/>
      </c>
      <c r="H84" s="89">
        <f>-SUMIFS('3月数据源'!$I:$I,'3月数据源'!$D:$D,$E84,'3月数据源'!$F:$F,"海南精准学科技有限公司")+SUMIFS('3月数据源'!$J:$J,'3月数据源'!$D:$D,$E84,'3月数据源'!$F:$F,"海南精准学科技有限公司")</f>
        <v/>
      </c>
      <c r="I84" s="89">
        <f>-SUMIFS('4月数据源'!$I:$I,'4月数据源'!$D:$D,$E84,'4月数据源'!$F:$F,"海南精准学科技有限公司")+SUMIFS('4月数据源'!$J:$J,'4月数据源'!$D:$D,$E84,'4月数据源'!$F:$F,"海南精准学科技有限公司")</f>
        <v/>
      </c>
      <c r="J84" s="89">
        <f>-SUMIFS('5月数据源'!$I:$I,'5月数据源'!$D:$D,$E84,'5月数据源'!$F:$F,"海南精准学科技有限公司")+SUMIFS('5月数据源'!$J:$J,'5月数据源'!$D:$D,$E84,'5月数据源'!$F:$F,"海南精准学科技有限公司")</f>
        <v/>
      </c>
      <c r="K84" s="89">
        <f>-SUMIFS('6月数据源'!$I:$I,'6月数据源'!$D:$D,$E84,'6月数据源'!$F:$F,"海南精准学科技有限公司")+SUMIFS('6月数据源'!$J:$J,'6月数据源'!$D:$D,$E84,'6月数据源'!$F:$F,"海南精准学科技有限公司")</f>
        <v/>
      </c>
      <c r="L84" s="89">
        <f>-SUMIFS('7月数据源'!$I:$I,'7月数据源'!$D:$D,$E84,'7月数据源'!$F:$F,"海南精准学科技有限公司")+SUMIFS('7月数据源'!$J:$J,'7月数据源'!$D:$D,$E84,'7月数据源'!$F:$F,"海南精准学科技有限公司")</f>
        <v/>
      </c>
      <c r="M84" s="89">
        <f>-SUMIFS('8月数据源'!$I:$I,'8月数据源'!$D:$D,$E84,'8月数据源'!$F:$F,"海南精准学科技有限公司")+SUMIFS('8月数据源'!$J:$J,'8月数据源'!$D:$D,$E84,'8月数据源'!$F:$F,"海南精准学科技有限公司")</f>
        <v/>
      </c>
      <c r="N84" s="89">
        <f>-SUMIFS('9月数据源'!$I:$I,'9月数据源'!$D:$D,$E84,'9月数据源'!$F:$F,"海南精准学科技有限公司")+SUMIFS('9月数据源'!$J:$J,'9月数据源'!$D:$D,$E84,'9月数据源'!$F:$F,"海南精准学科技有限公司")</f>
        <v/>
      </c>
      <c r="O84" s="89">
        <f>-SUMIFS('10月数据源'!$I:$I,'10月数据源'!$D:$D,$E84,'10月数据源'!$F:$F,"海南精准学科技有限公司")+SUMIFS('10月数据源'!$J:$J,'10月数据源'!$D:$D,$E84,'10月数据源'!$F:$F,"海南精准学科技有限公司")</f>
        <v/>
      </c>
      <c r="P84" s="89">
        <f>-SUMIFS('11月数据源'!$I:$I,'11月数据源'!$D:$D,$E84,'11月数据源'!$F:$F,"海南精准学科技有限公司")+SUMIFS('11月数据源'!$J:$J,'11月数据源'!$D:$D,$E84,'11月数据源'!$F:$F,"海南精准学科技有限公司")</f>
        <v/>
      </c>
      <c r="Q84" s="89">
        <f>-SUMIFS('12月数据源'!$I:$I,'12月数据源'!$D:$D,$E84,'12月数据源'!$F:$F,"海南精准学科技有限公司")+SUMIFS('12月数据源'!$J:$J,'12月数据源'!$D:$D,$E84,'12月数据源'!$F:$F,"海南精准学科技有限公司")</f>
        <v/>
      </c>
    </row>
    <row r="85" s="83">
      <c r="A85" s="5" t="inlineStr">
        <is>
          <t>研发支出</t>
        </is>
      </c>
      <c r="B85" s="6" t="inlineStr">
        <is>
          <t>其他产品开发</t>
        </is>
      </c>
      <c r="C85" s="6" t="inlineStr">
        <is>
          <t>其他产品开发</t>
        </is>
      </c>
      <c r="D85" s="5" t="inlineStr">
        <is>
          <t>产品开发-员工报销</t>
        </is>
      </c>
      <c r="E85" s="6" t="inlineStr">
        <is>
          <t>Q1402</t>
        </is>
      </c>
      <c r="F85" s="89">
        <f>-SUMIFS('1月数据源'!I:I,'1月数据源'!D:D,E85,'1月数据源'!F:F,"海南精准学科技有限公司")+SUMIFS('1月数据源'!J:J,'1月数据源'!D:D,E85,'1月数据源'!F:F,"海南精准学科技有限公司")</f>
        <v/>
      </c>
      <c r="G85" s="89">
        <f>-SUMIFS('2月数据源'!$I:$I,'2月数据源'!$D:$D,$E85,'2月数据源'!$F:$F,"海南精准学科技有限公司")+SUMIFS('2月数据源'!$J:$J,'2月数据源'!$D:$D,$E85,'2月数据源'!$F:$F,"海南精准学科技有限公司")</f>
        <v/>
      </c>
      <c r="H85" s="89">
        <f>-SUMIFS('3月数据源'!$I:$I,'3月数据源'!$D:$D,$E85,'3月数据源'!$F:$F,"海南精准学科技有限公司")+SUMIFS('3月数据源'!$J:$J,'3月数据源'!$D:$D,$E85,'3月数据源'!$F:$F,"海南精准学科技有限公司")</f>
        <v/>
      </c>
      <c r="I85" s="89">
        <f>-SUMIFS('4月数据源'!$I:$I,'4月数据源'!$D:$D,$E85,'4月数据源'!$F:$F,"海南精准学科技有限公司")+SUMIFS('4月数据源'!$J:$J,'4月数据源'!$D:$D,$E85,'4月数据源'!$F:$F,"海南精准学科技有限公司")</f>
        <v/>
      </c>
      <c r="J85" s="89">
        <f>-SUMIFS('5月数据源'!$I:$I,'5月数据源'!$D:$D,$E85,'5月数据源'!$F:$F,"海南精准学科技有限公司")+SUMIFS('5月数据源'!$J:$J,'5月数据源'!$D:$D,$E85,'5月数据源'!$F:$F,"海南精准学科技有限公司")</f>
        <v/>
      </c>
      <c r="K85" s="89">
        <f>-SUMIFS('6月数据源'!$I:$I,'6月数据源'!$D:$D,$E85,'6月数据源'!$F:$F,"海南精准学科技有限公司")+SUMIFS('6月数据源'!$J:$J,'6月数据源'!$D:$D,$E85,'6月数据源'!$F:$F,"海南精准学科技有限公司")</f>
        <v/>
      </c>
      <c r="L85" s="89">
        <f>-SUMIFS('7月数据源'!$I:$I,'7月数据源'!$D:$D,$E85,'7月数据源'!$F:$F,"海南精准学科技有限公司")+SUMIFS('7月数据源'!$J:$J,'7月数据源'!$D:$D,$E85,'7月数据源'!$F:$F,"海南精准学科技有限公司")</f>
        <v/>
      </c>
      <c r="M85" s="89">
        <f>-SUMIFS('8月数据源'!$I:$I,'8月数据源'!$D:$D,$E85,'8月数据源'!$F:$F,"海南精准学科技有限公司")+SUMIFS('8月数据源'!$J:$J,'8月数据源'!$D:$D,$E85,'8月数据源'!$F:$F,"海南精准学科技有限公司")</f>
        <v/>
      </c>
      <c r="N85" s="89">
        <f>-SUMIFS('9月数据源'!$I:$I,'9月数据源'!$D:$D,$E85,'9月数据源'!$F:$F,"海南精准学科技有限公司")+SUMIFS('9月数据源'!$J:$J,'9月数据源'!$D:$D,$E85,'9月数据源'!$F:$F,"海南精准学科技有限公司")</f>
        <v/>
      </c>
      <c r="O85" s="89">
        <f>-SUMIFS('10月数据源'!$I:$I,'10月数据源'!$D:$D,$E85,'10月数据源'!$F:$F,"海南精准学科技有限公司")+SUMIFS('10月数据源'!$J:$J,'10月数据源'!$D:$D,$E85,'10月数据源'!$F:$F,"海南精准学科技有限公司")</f>
        <v/>
      </c>
      <c r="P85" s="89">
        <f>-SUMIFS('11月数据源'!$I:$I,'11月数据源'!$D:$D,$E85,'11月数据源'!$F:$F,"海南精准学科技有限公司")+SUMIFS('11月数据源'!$J:$J,'11月数据源'!$D:$D,$E85,'11月数据源'!$F:$F,"海南精准学科技有限公司")</f>
        <v/>
      </c>
      <c r="Q85" s="89">
        <f>-SUMIFS('12月数据源'!$I:$I,'12月数据源'!$D:$D,$E85,'12月数据源'!$F:$F,"海南精准学科技有限公司")+SUMIFS('12月数据源'!$J:$J,'12月数据源'!$D:$D,$E85,'12月数据源'!$F:$F,"海南精准学科技有限公司")</f>
        <v/>
      </c>
    </row>
    <row r="86" s="83">
      <c r="A86" s="5" t="inlineStr">
        <is>
          <t>研发支出</t>
        </is>
      </c>
      <c r="B86" s="6" t="inlineStr">
        <is>
          <t>其他产品开发</t>
        </is>
      </c>
      <c r="D86" s="5" t="inlineStr">
        <is>
          <t>软件使用费</t>
        </is>
      </c>
      <c r="E86" s="6" t="inlineStr">
        <is>
          <t>Q1401</t>
        </is>
      </c>
      <c r="F86" s="89">
        <f>-SUMIFS('1月数据源'!I:I,'1月数据源'!D:D,E86,'1月数据源'!F:F,"海南精准学科技有限公司")+SUMIFS('1月数据源'!J:J,'1月数据源'!D:D,E86,'1月数据源'!F:F,"海南精准学科技有限公司")</f>
        <v/>
      </c>
      <c r="G86" s="89">
        <f>-SUMIFS('2月数据源'!$I:$I,'2月数据源'!$D:$D,$E86,'2月数据源'!$F:$F,"海南精准学科技有限公司")+SUMIFS('2月数据源'!$J:$J,'2月数据源'!$D:$D,$E86,'2月数据源'!$F:$F,"海南精准学科技有限公司")</f>
        <v/>
      </c>
      <c r="H86" s="89">
        <f>-SUMIFS('3月数据源'!$I:$I,'3月数据源'!$D:$D,$E86,'3月数据源'!$F:$F,"海南精准学科技有限公司")+SUMIFS('3月数据源'!$J:$J,'3月数据源'!$D:$D,$E86,'3月数据源'!$F:$F,"海南精准学科技有限公司")</f>
        <v/>
      </c>
      <c r="I86" s="89">
        <f>-SUMIFS('4月数据源'!$I:$I,'4月数据源'!$D:$D,$E86,'4月数据源'!$F:$F,"海南精准学科技有限公司")+SUMIFS('4月数据源'!$J:$J,'4月数据源'!$D:$D,$E86,'4月数据源'!$F:$F,"海南精准学科技有限公司")</f>
        <v/>
      </c>
      <c r="J86" s="89">
        <f>-SUMIFS('5月数据源'!$I:$I,'5月数据源'!$D:$D,$E86,'5月数据源'!$F:$F,"海南精准学科技有限公司")+SUMIFS('5月数据源'!$J:$J,'5月数据源'!$D:$D,$E86,'5月数据源'!$F:$F,"海南精准学科技有限公司")</f>
        <v/>
      </c>
      <c r="K86" s="89">
        <f>-SUMIFS('6月数据源'!$I:$I,'6月数据源'!$D:$D,$E86,'6月数据源'!$F:$F,"海南精准学科技有限公司")+SUMIFS('6月数据源'!$J:$J,'6月数据源'!$D:$D,$E86,'6月数据源'!$F:$F,"海南精准学科技有限公司")</f>
        <v/>
      </c>
      <c r="L86" s="89">
        <f>-SUMIFS('7月数据源'!$I:$I,'7月数据源'!$D:$D,$E86,'7月数据源'!$F:$F,"海南精准学科技有限公司")+SUMIFS('7月数据源'!$J:$J,'7月数据源'!$D:$D,$E86,'7月数据源'!$F:$F,"海南精准学科技有限公司")</f>
        <v/>
      </c>
      <c r="M86" s="89">
        <f>-SUMIFS('8月数据源'!$I:$I,'8月数据源'!$D:$D,$E86,'8月数据源'!$F:$F,"海南精准学科技有限公司")+SUMIFS('8月数据源'!$J:$J,'8月数据源'!$D:$D,$E86,'8月数据源'!$F:$F,"海南精准学科技有限公司")</f>
        <v/>
      </c>
      <c r="N86" s="89">
        <f>-SUMIFS('9月数据源'!$I:$I,'9月数据源'!$D:$D,$E86,'9月数据源'!$F:$F,"海南精准学科技有限公司")+SUMIFS('9月数据源'!$J:$J,'9月数据源'!$D:$D,$E86,'9月数据源'!$F:$F,"海南精准学科技有限公司")</f>
        <v/>
      </c>
      <c r="O86" s="89">
        <f>-SUMIFS('10月数据源'!$I:$I,'10月数据源'!$D:$D,$E86,'10月数据源'!$F:$F,"海南精准学科技有限公司")+SUMIFS('10月数据源'!$J:$J,'10月数据源'!$D:$D,$E86,'10月数据源'!$F:$F,"海南精准学科技有限公司")</f>
        <v/>
      </c>
      <c r="P86" s="89">
        <f>-SUMIFS('11月数据源'!$I:$I,'11月数据源'!$D:$D,$E86,'11月数据源'!$F:$F,"海南精准学科技有限公司")+SUMIFS('11月数据源'!$J:$J,'11月数据源'!$D:$D,$E86,'11月数据源'!$F:$F,"海南精准学科技有限公司")</f>
        <v/>
      </c>
      <c r="Q86" s="89">
        <f>-SUMIFS('12月数据源'!$I:$I,'12月数据源'!$D:$D,$E86,'12月数据源'!$F:$F,"海南精准学科技有限公司")+SUMIFS('12月数据源'!$J:$J,'12月数据源'!$D:$D,$E86,'12月数据源'!$F:$F,"海南精准学科技有限公司")</f>
        <v/>
      </c>
    </row>
    <row r="87" s="83">
      <c r="A87" s="5" t="inlineStr">
        <is>
          <t>研发支出</t>
        </is>
      </c>
      <c r="B87" s="6" t="inlineStr">
        <is>
          <t>服务器算法充值</t>
        </is>
      </c>
      <c r="C87" s="6" t="inlineStr">
        <is>
          <t>服务器算法充值</t>
        </is>
      </c>
      <c r="D87" s="5" t="inlineStr">
        <is>
          <t>阿里云充值费用</t>
        </is>
      </c>
      <c r="E87" s="6" t="inlineStr">
        <is>
          <t>Q1501</t>
        </is>
      </c>
      <c r="F87" s="89">
        <f>-SUMIFS('1月数据源'!I:I,'1月数据源'!D:D,E87,'1月数据源'!F:F,"海南精准学科技有限公司")+SUMIFS('1月数据源'!J:J,'1月数据源'!D:D,E87,'1月数据源'!F:F,"海南精准学科技有限公司")</f>
        <v/>
      </c>
      <c r="G87" s="89">
        <f>-SUMIFS('2月数据源'!$I:$I,'2月数据源'!$D:$D,$E87,'2月数据源'!$F:$F,"海南精准学科技有限公司")+SUMIFS('2月数据源'!$J:$J,'2月数据源'!$D:$D,$E87,'2月数据源'!$F:$F,"海南精准学科技有限公司")</f>
        <v/>
      </c>
      <c r="H87" s="89">
        <f>-SUMIFS('3月数据源'!$I:$I,'3月数据源'!$D:$D,$E87,'3月数据源'!$F:$F,"海南精准学科技有限公司")+SUMIFS('3月数据源'!$J:$J,'3月数据源'!$D:$D,$E87,'3月数据源'!$F:$F,"海南精准学科技有限公司")</f>
        <v/>
      </c>
      <c r="I87" s="89">
        <f>-SUMIFS('4月数据源'!$I:$I,'4月数据源'!$D:$D,$E87,'4月数据源'!$F:$F,"海南精准学科技有限公司")+SUMIFS('4月数据源'!$J:$J,'4月数据源'!$D:$D,$E87,'4月数据源'!$F:$F,"海南精准学科技有限公司")</f>
        <v/>
      </c>
      <c r="J87" s="89">
        <f>-SUMIFS('5月数据源'!$I:$I,'5月数据源'!$D:$D,$E87,'5月数据源'!$F:$F,"海南精准学科技有限公司")+SUMIFS('5月数据源'!$J:$J,'5月数据源'!$D:$D,$E87,'5月数据源'!$F:$F,"海南精准学科技有限公司")</f>
        <v/>
      </c>
      <c r="K87" s="89">
        <f>-SUMIFS('6月数据源'!$I:$I,'6月数据源'!$D:$D,$E87,'6月数据源'!$F:$F,"海南精准学科技有限公司")+SUMIFS('6月数据源'!$J:$J,'6月数据源'!$D:$D,$E87,'6月数据源'!$F:$F,"海南精准学科技有限公司")</f>
        <v/>
      </c>
      <c r="L87" s="89">
        <f>-SUMIFS('7月数据源'!$I:$I,'7月数据源'!$D:$D,$E87,'7月数据源'!$F:$F,"海南精准学科技有限公司")+SUMIFS('7月数据源'!$J:$J,'7月数据源'!$D:$D,$E87,'7月数据源'!$F:$F,"海南精准学科技有限公司")</f>
        <v/>
      </c>
      <c r="M87" s="89">
        <f>-SUMIFS('8月数据源'!$I:$I,'8月数据源'!$D:$D,$E87,'8月数据源'!$F:$F,"海南精准学科技有限公司")+SUMIFS('8月数据源'!$J:$J,'8月数据源'!$D:$D,$E87,'8月数据源'!$F:$F,"海南精准学科技有限公司")</f>
        <v/>
      </c>
      <c r="N87" s="89">
        <f>-SUMIFS('9月数据源'!$I:$I,'9月数据源'!$D:$D,$E87,'9月数据源'!$F:$F,"海南精准学科技有限公司")+SUMIFS('9月数据源'!$J:$J,'9月数据源'!$D:$D,$E87,'9月数据源'!$F:$F,"海南精准学科技有限公司")</f>
        <v/>
      </c>
      <c r="O87" s="89">
        <f>-SUMIFS('10月数据源'!$I:$I,'10月数据源'!$D:$D,$E87,'10月数据源'!$F:$F,"海南精准学科技有限公司")+SUMIFS('10月数据源'!$J:$J,'10月数据源'!$D:$D,$E87,'10月数据源'!$F:$F,"海南精准学科技有限公司")</f>
        <v/>
      </c>
      <c r="P87" s="89">
        <f>-SUMIFS('11月数据源'!$I:$I,'11月数据源'!$D:$D,$E87,'11月数据源'!$F:$F,"海南精准学科技有限公司")+SUMIFS('11月数据源'!$J:$J,'11月数据源'!$D:$D,$E87,'11月数据源'!$F:$F,"海南精准学科技有限公司")</f>
        <v/>
      </c>
      <c r="Q87" s="89">
        <f>-SUMIFS('12月数据源'!$I:$I,'12月数据源'!$D:$D,$E87,'12月数据源'!$F:$F,"海南精准学科技有限公司")+SUMIFS('12月数据源'!$J:$J,'12月数据源'!$D:$D,$E87,'12月数据源'!$F:$F,"海南精准学科技有限公司")</f>
        <v/>
      </c>
    </row>
    <row r="88" s="83">
      <c r="A88" s="5" t="inlineStr">
        <is>
          <t>研发支出</t>
        </is>
      </c>
      <c r="B88" s="6" t="inlineStr">
        <is>
          <t>服务器算法充值</t>
        </is>
      </c>
      <c r="D88" s="5" t="inlineStr">
        <is>
          <t>微软充值费用</t>
        </is>
      </c>
      <c r="E88" s="6" t="inlineStr">
        <is>
          <t>Q1502</t>
        </is>
      </c>
      <c r="F88" s="89">
        <f>-SUMIFS('1月数据源'!I:I,'1月数据源'!D:D,E88,'1月数据源'!F:F,"海南精准学科技有限公司")+SUMIFS('1月数据源'!J:J,'1月数据源'!D:D,E88,'1月数据源'!F:F,"海南精准学科技有限公司")</f>
        <v/>
      </c>
      <c r="G88" s="89">
        <f>-SUMIFS('2月数据源'!$I:$I,'2月数据源'!$D:$D,$E88,'2月数据源'!$F:$F,"海南精准学科技有限公司")+SUMIFS('2月数据源'!$J:$J,'2月数据源'!$D:$D,$E88,'2月数据源'!$F:$F,"海南精准学科技有限公司")</f>
        <v/>
      </c>
      <c r="H88" s="89">
        <f>-SUMIFS('3月数据源'!$I:$I,'3月数据源'!$D:$D,$E88,'3月数据源'!$F:$F,"海南精准学科技有限公司")+SUMIFS('3月数据源'!$J:$J,'3月数据源'!$D:$D,$E88,'3月数据源'!$F:$F,"海南精准学科技有限公司")</f>
        <v/>
      </c>
      <c r="I88" s="89">
        <f>-SUMIFS('4月数据源'!$I:$I,'4月数据源'!$D:$D,$E88,'4月数据源'!$F:$F,"海南精准学科技有限公司")+SUMIFS('4月数据源'!$J:$J,'4月数据源'!$D:$D,$E88,'4月数据源'!$F:$F,"海南精准学科技有限公司")</f>
        <v/>
      </c>
      <c r="J88" s="89">
        <f>-SUMIFS('5月数据源'!$I:$I,'5月数据源'!$D:$D,$E88,'5月数据源'!$F:$F,"海南精准学科技有限公司")+SUMIFS('5月数据源'!$J:$J,'5月数据源'!$D:$D,$E88,'5月数据源'!$F:$F,"海南精准学科技有限公司")</f>
        <v/>
      </c>
      <c r="K88" s="89">
        <f>-SUMIFS('6月数据源'!$I:$I,'6月数据源'!$D:$D,$E88,'6月数据源'!$F:$F,"海南精准学科技有限公司")+SUMIFS('6月数据源'!$J:$J,'6月数据源'!$D:$D,$E88,'6月数据源'!$F:$F,"海南精准学科技有限公司")</f>
        <v/>
      </c>
      <c r="L88" s="89">
        <f>-SUMIFS('7月数据源'!$I:$I,'7月数据源'!$D:$D,$E88,'7月数据源'!$F:$F,"海南精准学科技有限公司")+SUMIFS('7月数据源'!$J:$J,'7月数据源'!$D:$D,$E88,'7月数据源'!$F:$F,"海南精准学科技有限公司")</f>
        <v/>
      </c>
      <c r="M88" s="89">
        <f>-SUMIFS('8月数据源'!$I:$I,'8月数据源'!$D:$D,$E88,'8月数据源'!$F:$F,"海南精准学科技有限公司")+SUMIFS('8月数据源'!$J:$J,'8月数据源'!$D:$D,$E88,'8月数据源'!$F:$F,"海南精准学科技有限公司")</f>
        <v/>
      </c>
      <c r="N88" s="89">
        <f>-SUMIFS('9月数据源'!$I:$I,'9月数据源'!$D:$D,$E88,'9月数据源'!$F:$F,"海南精准学科技有限公司")+SUMIFS('9月数据源'!$J:$J,'9月数据源'!$D:$D,$E88,'9月数据源'!$F:$F,"海南精准学科技有限公司")</f>
        <v/>
      </c>
      <c r="O88" s="89">
        <f>-SUMIFS('10月数据源'!$I:$I,'10月数据源'!$D:$D,$E88,'10月数据源'!$F:$F,"海南精准学科技有限公司")+SUMIFS('10月数据源'!$J:$J,'10月数据源'!$D:$D,$E88,'10月数据源'!$F:$F,"海南精准学科技有限公司")</f>
        <v/>
      </c>
      <c r="P88" s="89">
        <f>-SUMIFS('11月数据源'!$I:$I,'11月数据源'!$D:$D,$E88,'11月数据源'!$F:$F,"海南精准学科技有限公司")+SUMIFS('11月数据源'!$J:$J,'11月数据源'!$D:$D,$E88,'11月数据源'!$F:$F,"海南精准学科技有限公司")</f>
        <v/>
      </c>
      <c r="Q88" s="89">
        <f>-SUMIFS('12月数据源'!$I:$I,'12月数据源'!$D:$D,$E88,'12月数据源'!$F:$F,"海南精准学科技有限公司")+SUMIFS('12月数据源'!$J:$J,'12月数据源'!$D:$D,$E88,'12月数据源'!$F:$F,"海南精准学科技有限公司")</f>
        <v/>
      </c>
    </row>
    <row r="89" s="83">
      <c r="A89" s="5" t="inlineStr">
        <is>
          <t>研发支出</t>
        </is>
      </c>
      <c r="B89" s="6" t="inlineStr">
        <is>
          <t>服务器算法充值</t>
        </is>
      </c>
      <c r="D89" s="5" t="inlineStr">
        <is>
          <t>kimi充值费用</t>
        </is>
      </c>
      <c r="E89" s="6" t="inlineStr">
        <is>
          <t>Q1503</t>
        </is>
      </c>
      <c r="F89" s="89">
        <f>-SUMIFS('1月数据源'!I:I,'1月数据源'!D:D,E89,'1月数据源'!F:F,"海南精准学科技有限公司")+SUMIFS('1月数据源'!J:J,'1月数据源'!D:D,E89,'1月数据源'!F:F,"海南精准学科技有限公司")</f>
        <v/>
      </c>
      <c r="G89" s="89">
        <f>-SUMIFS('2月数据源'!$I:$I,'2月数据源'!$D:$D,$E89,'2月数据源'!$F:$F,"海南精准学科技有限公司")+SUMIFS('2月数据源'!$J:$J,'2月数据源'!$D:$D,$E89,'2月数据源'!$F:$F,"海南精准学科技有限公司")</f>
        <v/>
      </c>
      <c r="H89" s="89">
        <f>-SUMIFS('3月数据源'!$I:$I,'3月数据源'!$D:$D,$E89,'3月数据源'!$F:$F,"海南精准学科技有限公司")+SUMIFS('3月数据源'!$J:$J,'3月数据源'!$D:$D,$E89,'3月数据源'!$F:$F,"海南精准学科技有限公司")</f>
        <v/>
      </c>
      <c r="I89" s="89">
        <f>-SUMIFS('4月数据源'!$I:$I,'4月数据源'!$D:$D,$E89,'4月数据源'!$F:$F,"海南精准学科技有限公司")+SUMIFS('4月数据源'!$J:$J,'4月数据源'!$D:$D,$E89,'4月数据源'!$F:$F,"海南精准学科技有限公司")</f>
        <v/>
      </c>
      <c r="J89" s="89">
        <f>-SUMIFS('5月数据源'!$I:$I,'5月数据源'!$D:$D,$E89,'5月数据源'!$F:$F,"海南精准学科技有限公司")+SUMIFS('5月数据源'!$J:$J,'5月数据源'!$D:$D,$E89,'5月数据源'!$F:$F,"海南精准学科技有限公司")</f>
        <v/>
      </c>
      <c r="K89" s="89">
        <f>-SUMIFS('6月数据源'!$I:$I,'6月数据源'!$D:$D,$E89,'6月数据源'!$F:$F,"海南精准学科技有限公司")+SUMIFS('6月数据源'!$J:$J,'6月数据源'!$D:$D,$E89,'6月数据源'!$F:$F,"海南精准学科技有限公司")</f>
        <v/>
      </c>
      <c r="L89" s="89">
        <f>-SUMIFS('7月数据源'!$I:$I,'7月数据源'!$D:$D,$E89,'7月数据源'!$F:$F,"海南精准学科技有限公司")+SUMIFS('7月数据源'!$J:$J,'7月数据源'!$D:$D,$E89,'7月数据源'!$F:$F,"海南精准学科技有限公司")</f>
        <v/>
      </c>
      <c r="M89" s="89">
        <f>-SUMIFS('8月数据源'!$I:$I,'8月数据源'!$D:$D,$E89,'8月数据源'!$F:$F,"海南精准学科技有限公司")+SUMIFS('8月数据源'!$J:$J,'8月数据源'!$D:$D,$E89,'8月数据源'!$F:$F,"海南精准学科技有限公司")</f>
        <v/>
      </c>
      <c r="N89" s="89">
        <f>-SUMIFS('9月数据源'!$I:$I,'9月数据源'!$D:$D,$E89,'9月数据源'!$F:$F,"海南精准学科技有限公司")+SUMIFS('9月数据源'!$J:$J,'9月数据源'!$D:$D,$E89,'9月数据源'!$F:$F,"海南精准学科技有限公司")</f>
        <v/>
      </c>
      <c r="O89" s="89">
        <f>-SUMIFS('10月数据源'!$I:$I,'10月数据源'!$D:$D,$E89,'10月数据源'!$F:$F,"海南精准学科技有限公司")+SUMIFS('10月数据源'!$J:$J,'10月数据源'!$D:$D,$E89,'10月数据源'!$F:$F,"海南精准学科技有限公司")</f>
        <v/>
      </c>
      <c r="P89" s="89">
        <f>-SUMIFS('11月数据源'!$I:$I,'11月数据源'!$D:$D,$E89,'11月数据源'!$F:$F,"海南精准学科技有限公司")+SUMIFS('11月数据源'!$J:$J,'11月数据源'!$D:$D,$E89,'11月数据源'!$F:$F,"海南精准学科技有限公司")</f>
        <v/>
      </c>
      <c r="Q89" s="89">
        <f>-SUMIFS('12月数据源'!$I:$I,'12月数据源'!$D:$D,$E89,'12月数据源'!$F:$F,"海南精准学科技有限公司")+SUMIFS('12月数据源'!$J:$J,'12月数据源'!$D:$D,$E89,'12月数据源'!$F:$F,"海南精准学科技有限公司")</f>
        <v/>
      </c>
    </row>
    <row r="90" s="83">
      <c r="A90" s="5" t="inlineStr">
        <is>
          <t>研发支出</t>
        </is>
      </c>
      <c r="B90" s="6" t="inlineStr">
        <is>
          <t>服务器算法充值</t>
        </is>
      </c>
      <c r="D90" s="5" t="inlineStr">
        <is>
          <t>智普AI充值费用</t>
        </is>
      </c>
      <c r="E90" s="6" t="inlineStr">
        <is>
          <t>Q1504</t>
        </is>
      </c>
      <c r="F90" s="89">
        <f>-SUMIFS('1月数据源'!I:I,'1月数据源'!D:D,E90,'1月数据源'!F:F,"海南精准学科技有限公司")+SUMIFS('1月数据源'!J:J,'1月数据源'!D:D,E90,'1月数据源'!F:F,"海南精准学科技有限公司")</f>
        <v/>
      </c>
      <c r="G90" s="89">
        <f>-SUMIFS('2月数据源'!$I:$I,'2月数据源'!$D:$D,$E90,'2月数据源'!$F:$F,"海南精准学科技有限公司")+SUMIFS('2月数据源'!$J:$J,'2月数据源'!$D:$D,$E90,'2月数据源'!$F:$F,"海南精准学科技有限公司")</f>
        <v/>
      </c>
      <c r="H90" s="89">
        <f>-SUMIFS('3月数据源'!$I:$I,'3月数据源'!$D:$D,$E90,'3月数据源'!$F:$F,"海南精准学科技有限公司")+SUMIFS('3月数据源'!$J:$J,'3月数据源'!$D:$D,$E90,'3月数据源'!$F:$F,"海南精准学科技有限公司")</f>
        <v/>
      </c>
      <c r="I90" s="89">
        <f>-SUMIFS('4月数据源'!$I:$I,'4月数据源'!$D:$D,$E90,'4月数据源'!$F:$F,"海南精准学科技有限公司")+SUMIFS('4月数据源'!$J:$J,'4月数据源'!$D:$D,$E90,'4月数据源'!$F:$F,"海南精准学科技有限公司")</f>
        <v/>
      </c>
      <c r="J90" s="89">
        <f>-SUMIFS('5月数据源'!$I:$I,'5月数据源'!$D:$D,$E90,'5月数据源'!$F:$F,"海南精准学科技有限公司")+SUMIFS('5月数据源'!$J:$J,'5月数据源'!$D:$D,$E90,'5月数据源'!$F:$F,"海南精准学科技有限公司")</f>
        <v/>
      </c>
      <c r="K90" s="89">
        <f>-SUMIFS('6月数据源'!$I:$I,'6月数据源'!$D:$D,$E90,'6月数据源'!$F:$F,"海南精准学科技有限公司")+SUMIFS('6月数据源'!$J:$J,'6月数据源'!$D:$D,$E90,'6月数据源'!$F:$F,"海南精准学科技有限公司")</f>
        <v/>
      </c>
      <c r="L90" s="89">
        <f>-SUMIFS('7月数据源'!$I:$I,'7月数据源'!$D:$D,$E90,'7月数据源'!$F:$F,"海南精准学科技有限公司")+SUMIFS('7月数据源'!$J:$J,'7月数据源'!$D:$D,$E90,'7月数据源'!$F:$F,"海南精准学科技有限公司")</f>
        <v/>
      </c>
      <c r="M90" s="89">
        <f>-SUMIFS('8月数据源'!$I:$I,'8月数据源'!$D:$D,$E90,'8月数据源'!$F:$F,"海南精准学科技有限公司")+SUMIFS('8月数据源'!$J:$J,'8月数据源'!$D:$D,$E90,'8月数据源'!$F:$F,"海南精准学科技有限公司")</f>
        <v/>
      </c>
      <c r="N90" s="89">
        <f>-SUMIFS('9月数据源'!$I:$I,'9月数据源'!$D:$D,$E90,'9月数据源'!$F:$F,"海南精准学科技有限公司")+SUMIFS('9月数据源'!$J:$J,'9月数据源'!$D:$D,$E90,'9月数据源'!$F:$F,"海南精准学科技有限公司")</f>
        <v/>
      </c>
      <c r="O90" s="89">
        <f>-SUMIFS('10月数据源'!$I:$I,'10月数据源'!$D:$D,$E90,'10月数据源'!$F:$F,"海南精准学科技有限公司")+SUMIFS('10月数据源'!$J:$J,'10月数据源'!$D:$D,$E90,'10月数据源'!$F:$F,"海南精准学科技有限公司")</f>
        <v/>
      </c>
      <c r="P90" s="89">
        <f>-SUMIFS('11月数据源'!$I:$I,'11月数据源'!$D:$D,$E90,'11月数据源'!$F:$F,"海南精准学科技有限公司")+SUMIFS('11月数据源'!$J:$J,'11月数据源'!$D:$D,$E90,'11月数据源'!$F:$F,"海南精准学科技有限公司")</f>
        <v/>
      </c>
      <c r="Q90" s="89">
        <f>-SUMIFS('12月数据源'!$I:$I,'12月数据源'!$D:$D,$E90,'12月数据源'!$F:$F,"海南精准学科技有限公司")+SUMIFS('12月数据源'!$J:$J,'12月数据源'!$D:$D,$E90,'12月数据源'!$F:$F,"海南精准学科技有限公司")</f>
        <v/>
      </c>
    </row>
    <row r="91" s="83">
      <c r="A91" s="5" t="inlineStr">
        <is>
          <t>研发支出</t>
        </is>
      </c>
      <c r="B91" s="6" t="inlineStr">
        <is>
          <t>服务器算法充值</t>
        </is>
      </c>
      <c r="D91" s="5" t="inlineStr">
        <is>
          <t>硅基流动充值费用</t>
        </is>
      </c>
      <c r="E91" s="6" t="inlineStr">
        <is>
          <t>Q1506</t>
        </is>
      </c>
      <c r="F91" s="89">
        <f>-SUMIFS('1月数据源'!I:I,'1月数据源'!D:D,E91,'1月数据源'!F:F,"海南精准学科技有限公司")+SUMIFS('1月数据源'!J:J,'1月数据源'!D:D,E91,'1月数据源'!F:F,"海南精准学科技有限公司")</f>
        <v/>
      </c>
      <c r="G91" s="89">
        <f>-SUMIFS('2月数据源'!$I:$I,'2月数据源'!$D:$D,$E91,'2月数据源'!$F:$F,"海南精准学科技有限公司")+SUMIFS('2月数据源'!$J:$J,'2月数据源'!$D:$D,$E91,'2月数据源'!$F:$F,"海南精准学科技有限公司")</f>
        <v/>
      </c>
      <c r="H91" s="89">
        <f>-SUMIFS('3月数据源'!$I:$I,'3月数据源'!$D:$D,$E91,'3月数据源'!$F:$F,"海南精准学科技有限公司")+SUMIFS('3月数据源'!$J:$J,'3月数据源'!$D:$D,$E91,'3月数据源'!$F:$F,"海南精准学科技有限公司")</f>
        <v/>
      </c>
      <c r="I91" s="89">
        <f>-SUMIFS('4月数据源'!$I:$I,'4月数据源'!$D:$D,$E91,'4月数据源'!$F:$F,"海南精准学科技有限公司")+SUMIFS('4月数据源'!$J:$J,'4月数据源'!$D:$D,$E91,'4月数据源'!$F:$F,"海南精准学科技有限公司")</f>
        <v/>
      </c>
      <c r="J91" s="89">
        <f>-SUMIFS('5月数据源'!$I:$I,'5月数据源'!$D:$D,$E91,'5月数据源'!$F:$F,"海南精准学科技有限公司")+SUMIFS('5月数据源'!$J:$J,'5月数据源'!$D:$D,$E91,'5月数据源'!$F:$F,"海南精准学科技有限公司")</f>
        <v/>
      </c>
      <c r="K91" s="89">
        <f>-SUMIFS('6月数据源'!$I:$I,'6月数据源'!$D:$D,$E91,'6月数据源'!$F:$F,"海南精准学科技有限公司")+SUMIFS('6月数据源'!$J:$J,'6月数据源'!$D:$D,$E91,'6月数据源'!$F:$F,"海南精准学科技有限公司")</f>
        <v/>
      </c>
      <c r="L91" s="89">
        <f>-SUMIFS('7月数据源'!$I:$I,'7月数据源'!$D:$D,$E91,'7月数据源'!$F:$F,"海南精准学科技有限公司")+SUMIFS('7月数据源'!$J:$J,'7月数据源'!$D:$D,$E91,'7月数据源'!$F:$F,"海南精准学科技有限公司")</f>
        <v/>
      </c>
      <c r="M91" s="89">
        <f>-SUMIFS('8月数据源'!$I:$I,'8月数据源'!$D:$D,$E91,'8月数据源'!$F:$F,"海南精准学科技有限公司")+SUMIFS('8月数据源'!$J:$J,'8月数据源'!$D:$D,$E91,'8月数据源'!$F:$F,"海南精准学科技有限公司")</f>
        <v/>
      </c>
      <c r="N91" s="89">
        <f>-SUMIFS('9月数据源'!$I:$I,'9月数据源'!$D:$D,$E91,'9月数据源'!$F:$F,"海南精准学科技有限公司")+SUMIFS('9月数据源'!$J:$J,'9月数据源'!$D:$D,$E91,'9月数据源'!$F:$F,"海南精准学科技有限公司")</f>
        <v/>
      </c>
      <c r="O91" s="89">
        <f>-SUMIFS('10月数据源'!$I:$I,'10月数据源'!$D:$D,$E91,'10月数据源'!$F:$F,"海南精准学科技有限公司")+SUMIFS('10月数据源'!$J:$J,'10月数据源'!$D:$D,$E91,'10月数据源'!$F:$F,"海南精准学科技有限公司")</f>
        <v/>
      </c>
      <c r="P91" s="89">
        <f>-SUMIFS('11月数据源'!$I:$I,'11月数据源'!$D:$D,$E91,'11月数据源'!$F:$F,"海南精准学科技有限公司")+SUMIFS('11月数据源'!$J:$J,'11月数据源'!$D:$D,$E91,'11月数据源'!$F:$F,"海南精准学科技有限公司")</f>
        <v/>
      </c>
      <c r="Q91" s="89">
        <f>-SUMIFS('12月数据源'!$I:$I,'12月数据源'!$D:$D,$E91,'12月数据源'!$F:$F,"海南精准学科技有限公司")+SUMIFS('12月数据源'!$J:$J,'12月数据源'!$D:$D,$E91,'12月数据源'!$F:$F,"海南精准学科技有限公司")</f>
        <v/>
      </c>
    </row>
    <row r="92" s="83">
      <c r="A92" s="5" t="inlineStr">
        <is>
          <t>研发支出</t>
        </is>
      </c>
      <c r="B92" s="6" t="inlineStr">
        <is>
          <t>服务器算法充值</t>
        </is>
      </c>
      <c r="D92" s="5" t="inlineStr">
        <is>
          <t>无问芯穹充值费用</t>
        </is>
      </c>
      <c r="E92" s="6" t="inlineStr">
        <is>
          <t>Q1507</t>
        </is>
      </c>
      <c r="F92" s="89">
        <f>-SUMIFS('1月数据源'!I:I,'1月数据源'!D:D,E92,'1月数据源'!F:F,"海南精准学科技有限公司")+SUMIFS('1月数据源'!J:J,'1月数据源'!D:D,E92,'1月数据源'!F:F,"海南精准学科技有限公司")</f>
        <v/>
      </c>
      <c r="G92" s="89">
        <f>-SUMIFS('2月数据源'!$I:$I,'2月数据源'!$D:$D,$E92,'2月数据源'!$F:$F,"海南精准学科技有限公司")+SUMIFS('2月数据源'!$J:$J,'2月数据源'!$D:$D,$E92,'2月数据源'!$F:$F,"海南精准学科技有限公司")</f>
        <v/>
      </c>
      <c r="H92" s="89">
        <f>-SUMIFS('3月数据源'!$I:$I,'3月数据源'!$D:$D,$E92,'3月数据源'!$F:$F,"海南精准学科技有限公司")+SUMIFS('3月数据源'!$J:$J,'3月数据源'!$D:$D,$E92,'3月数据源'!$F:$F,"海南精准学科技有限公司")</f>
        <v/>
      </c>
      <c r="I92" s="89">
        <f>-SUMIFS('4月数据源'!$I:$I,'4月数据源'!$D:$D,$E92,'4月数据源'!$F:$F,"海南精准学科技有限公司")+SUMIFS('4月数据源'!$J:$J,'4月数据源'!$D:$D,$E92,'4月数据源'!$F:$F,"海南精准学科技有限公司")</f>
        <v/>
      </c>
      <c r="J92" s="89">
        <f>-SUMIFS('5月数据源'!$I:$I,'5月数据源'!$D:$D,$E92,'5月数据源'!$F:$F,"海南精准学科技有限公司")+SUMIFS('5月数据源'!$J:$J,'5月数据源'!$D:$D,$E92,'5月数据源'!$F:$F,"海南精准学科技有限公司")</f>
        <v/>
      </c>
      <c r="K92" s="89">
        <f>-SUMIFS('6月数据源'!$I:$I,'6月数据源'!$D:$D,$E92,'6月数据源'!$F:$F,"海南精准学科技有限公司")+SUMIFS('6月数据源'!$J:$J,'6月数据源'!$D:$D,$E92,'6月数据源'!$F:$F,"海南精准学科技有限公司")</f>
        <v/>
      </c>
      <c r="L92" s="89">
        <f>-SUMIFS('7月数据源'!$I:$I,'7月数据源'!$D:$D,$E92,'7月数据源'!$F:$F,"海南精准学科技有限公司")+SUMIFS('7月数据源'!$J:$J,'7月数据源'!$D:$D,$E92,'7月数据源'!$F:$F,"海南精准学科技有限公司")</f>
        <v/>
      </c>
      <c r="M92" s="89">
        <f>-SUMIFS('8月数据源'!$I:$I,'8月数据源'!$D:$D,$E92,'8月数据源'!$F:$F,"海南精准学科技有限公司")+SUMIFS('8月数据源'!$J:$J,'8月数据源'!$D:$D,$E92,'8月数据源'!$F:$F,"海南精准学科技有限公司")</f>
        <v/>
      </c>
      <c r="N92" s="89">
        <f>-SUMIFS('9月数据源'!$I:$I,'9月数据源'!$D:$D,$E92,'9月数据源'!$F:$F,"海南精准学科技有限公司")+SUMIFS('9月数据源'!$J:$J,'9月数据源'!$D:$D,$E92,'9月数据源'!$F:$F,"海南精准学科技有限公司")</f>
        <v/>
      </c>
      <c r="O92" s="89">
        <f>-SUMIFS('10月数据源'!$I:$I,'10月数据源'!$D:$D,$E92,'10月数据源'!$F:$F,"海南精准学科技有限公司")+SUMIFS('10月数据源'!$J:$J,'10月数据源'!$D:$D,$E92,'10月数据源'!$F:$F,"海南精准学科技有限公司")</f>
        <v/>
      </c>
      <c r="P92" s="89">
        <f>-SUMIFS('11月数据源'!$I:$I,'11月数据源'!$D:$D,$E92,'11月数据源'!$F:$F,"海南精准学科技有限公司")+SUMIFS('11月数据源'!$J:$J,'11月数据源'!$D:$D,$E92,'11月数据源'!$F:$F,"海南精准学科技有限公司")</f>
        <v/>
      </c>
      <c r="Q92" s="89">
        <f>-SUMIFS('12月数据源'!$I:$I,'12月数据源'!$D:$D,$E92,'12月数据源'!$F:$F,"海南精准学科技有限公司")+SUMIFS('12月数据源'!$J:$J,'12月数据源'!$D:$D,$E92,'12月数据源'!$F:$F,"海南精准学科技有限公司")</f>
        <v/>
      </c>
    </row>
    <row r="93" s="83">
      <c r="A93" s="5" t="inlineStr">
        <is>
          <t>研发支出</t>
        </is>
      </c>
      <c r="B93" s="6" t="inlineStr">
        <is>
          <t>服务器算法充值</t>
        </is>
      </c>
      <c r="D93" s="5" t="inlineStr">
        <is>
          <t>其他服务器算法充值</t>
        </is>
      </c>
      <c r="E93" s="6" t="inlineStr">
        <is>
          <t>Q1505</t>
        </is>
      </c>
      <c r="F93" s="89">
        <f>-SUMIFS('1月数据源'!I:I,'1月数据源'!D:D,E93,'1月数据源'!F:F,"海南精准学科技有限公司")+SUMIFS('1月数据源'!J:J,'1月数据源'!D:D,E93,'1月数据源'!F:F,"海南精准学科技有限公司")</f>
        <v/>
      </c>
      <c r="G93" s="89">
        <f>-SUMIFS('2月数据源'!$I:$I,'2月数据源'!$D:$D,$E93,'2月数据源'!$F:$F,"海南精准学科技有限公司")+SUMIFS('2月数据源'!$J:$J,'2月数据源'!$D:$D,$E93,'2月数据源'!$F:$F,"海南精准学科技有限公司")</f>
        <v/>
      </c>
      <c r="H93" s="89">
        <f>-SUMIFS('3月数据源'!$I:$I,'3月数据源'!$D:$D,$E93,'3月数据源'!$F:$F,"海南精准学科技有限公司")+SUMIFS('3月数据源'!$J:$J,'3月数据源'!$D:$D,$E93,'3月数据源'!$F:$F,"海南精准学科技有限公司")</f>
        <v/>
      </c>
      <c r="I93" s="89">
        <f>-SUMIFS('4月数据源'!$I:$I,'4月数据源'!$D:$D,$E93,'4月数据源'!$F:$F,"海南精准学科技有限公司")+SUMIFS('4月数据源'!$J:$J,'4月数据源'!$D:$D,$E93,'4月数据源'!$F:$F,"海南精准学科技有限公司")</f>
        <v/>
      </c>
      <c r="J93" s="89">
        <f>-SUMIFS('5月数据源'!$I:$I,'5月数据源'!$D:$D,$E93,'5月数据源'!$F:$F,"海南精准学科技有限公司")+SUMIFS('5月数据源'!$J:$J,'5月数据源'!$D:$D,$E93,'5月数据源'!$F:$F,"海南精准学科技有限公司")</f>
        <v/>
      </c>
      <c r="K93" s="89">
        <f>-SUMIFS('6月数据源'!$I:$I,'6月数据源'!$D:$D,$E93,'6月数据源'!$F:$F,"海南精准学科技有限公司")+SUMIFS('6月数据源'!$J:$J,'6月数据源'!$D:$D,$E93,'6月数据源'!$F:$F,"海南精准学科技有限公司")</f>
        <v/>
      </c>
      <c r="L93" s="89">
        <f>-SUMIFS('7月数据源'!$I:$I,'7月数据源'!$D:$D,$E93,'7月数据源'!$F:$F,"海南精准学科技有限公司")+SUMIFS('7月数据源'!$J:$J,'7月数据源'!$D:$D,$E93,'7月数据源'!$F:$F,"海南精准学科技有限公司")</f>
        <v/>
      </c>
      <c r="M93" s="89">
        <f>-SUMIFS('8月数据源'!$I:$I,'8月数据源'!$D:$D,$E93,'8月数据源'!$F:$F,"海南精准学科技有限公司")+SUMIFS('8月数据源'!$J:$J,'8月数据源'!$D:$D,$E93,'8月数据源'!$F:$F,"海南精准学科技有限公司")</f>
        <v/>
      </c>
      <c r="N93" s="89">
        <f>-SUMIFS('9月数据源'!$I:$I,'9月数据源'!$D:$D,$E93,'9月数据源'!$F:$F,"海南精准学科技有限公司")+SUMIFS('9月数据源'!$J:$J,'9月数据源'!$D:$D,$E93,'9月数据源'!$F:$F,"海南精准学科技有限公司")</f>
        <v/>
      </c>
      <c r="O93" s="89">
        <f>-SUMIFS('10月数据源'!$I:$I,'10月数据源'!$D:$D,$E93,'10月数据源'!$F:$F,"海南精准学科技有限公司")+SUMIFS('10月数据源'!$J:$J,'10月数据源'!$D:$D,$E93,'10月数据源'!$F:$F,"海南精准学科技有限公司")</f>
        <v/>
      </c>
      <c r="P93" s="89">
        <f>-SUMIFS('11月数据源'!$I:$I,'11月数据源'!$D:$D,$E93,'11月数据源'!$F:$F,"海南精准学科技有限公司")+SUMIFS('11月数据源'!$J:$J,'11月数据源'!$D:$D,$E93,'11月数据源'!$F:$F,"海南精准学科技有限公司")</f>
        <v/>
      </c>
      <c r="Q93" s="89">
        <f>-SUMIFS('12月数据源'!$I:$I,'12月数据源'!$D:$D,$E93,'12月数据源'!$F:$F,"海南精准学科技有限公司")+SUMIFS('12月数据源'!$J:$J,'12月数据源'!$D:$D,$E93,'12月数据源'!$F:$F,"海南精准学科技有限公司")</f>
        <v/>
      </c>
    </row>
    <row r="94" s="83">
      <c r="A94" s="5" t="inlineStr">
        <is>
          <t>研发支出</t>
        </is>
      </c>
      <c r="B94" s="6" t="inlineStr">
        <is>
          <t>研发-服务费</t>
        </is>
      </c>
      <c r="C94" s="6" t="inlineStr">
        <is>
          <t>研发-服务费</t>
        </is>
      </c>
      <c r="D94" s="5" t="inlineStr">
        <is>
          <t>设计外包服务费</t>
        </is>
      </c>
      <c r="E94" s="6" t="inlineStr">
        <is>
          <t>Q1601</t>
        </is>
      </c>
      <c r="F94" s="89">
        <f>-SUMIFS('1月数据源'!I:I,'1月数据源'!D:D,E94,'1月数据源'!F:F,"海南精准学科技有限公司")+SUMIFS('1月数据源'!J:J,'1月数据源'!D:D,E94,'1月数据源'!F:F,"海南精准学科技有限公司")</f>
        <v/>
      </c>
      <c r="G94" s="89">
        <f>-SUMIFS('2月数据源'!$I:$I,'2月数据源'!$D:$D,$E94,'2月数据源'!$F:$F,"海南精准学科技有限公司")+SUMIFS('2月数据源'!$J:$J,'2月数据源'!$D:$D,$E94,'2月数据源'!$F:$F,"海南精准学科技有限公司")</f>
        <v/>
      </c>
      <c r="H94" s="89">
        <f>-SUMIFS('3月数据源'!$I:$I,'3月数据源'!$D:$D,$E94,'3月数据源'!$F:$F,"海南精准学科技有限公司")+SUMIFS('3月数据源'!$J:$J,'3月数据源'!$D:$D,$E94,'3月数据源'!$F:$F,"海南精准学科技有限公司")</f>
        <v/>
      </c>
      <c r="I94" s="89">
        <f>-SUMIFS('4月数据源'!$I:$I,'4月数据源'!$D:$D,$E94,'4月数据源'!$F:$F,"海南精准学科技有限公司")+SUMIFS('4月数据源'!$J:$J,'4月数据源'!$D:$D,$E94,'4月数据源'!$F:$F,"海南精准学科技有限公司")</f>
        <v/>
      </c>
      <c r="J94" s="89">
        <f>-SUMIFS('5月数据源'!$I:$I,'5月数据源'!$D:$D,$E94,'5月数据源'!$F:$F,"海南精准学科技有限公司")+SUMIFS('5月数据源'!$J:$J,'5月数据源'!$D:$D,$E94,'5月数据源'!$F:$F,"海南精准学科技有限公司")</f>
        <v/>
      </c>
      <c r="K94" s="89">
        <f>-SUMIFS('6月数据源'!$I:$I,'6月数据源'!$D:$D,$E94,'6月数据源'!$F:$F,"海南精准学科技有限公司")+SUMIFS('6月数据源'!$J:$J,'6月数据源'!$D:$D,$E94,'6月数据源'!$F:$F,"海南精准学科技有限公司")</f>
        <v/>
      </c>
      <c r="L94" s="89">
        <f>-SUMIFS('7月数据源'!$I:$I,'7月数据源'!$D:$D,$E94,'7月数据源'!$F:$F,"海南精准学科技有限公司")+SUMIFS('7月数据源'!$J:$J,'7月数据源'!$D:$D,$E94,'7月数据源'!$F:$F,"海南精准学科技有限公司")</f>
        <v/>
      </c>
      <c r="M94" s="89">
        <f>-SUMIFS('8月数据源'!$I:$I,'8月数据源'!$D:$D,$E94,'8月数据源'!$F:$F,"海南精准学科技有限公司")+SUMIFS('8月数据源'!$J:$J,'8月数据源'!$D:$D,$E94,'8月数据源'!$F:$F,"海南精准学科技有限公司")</f>
        <v/>
      </c>
      <c r="N94" s="89">
        <f>-SUMIFS('9月数据源'!$I:$I,'9月数据源'!$D:$D,$E94,'9月数据源'!$F:$F,"海南精准学科技有限公司")+SUMIFS('9月数据源'!$J:$J,'9月数据源'!$D:$D,$E94,'9月数据源'!$F:$F,"海南精准学科技有限公司")</f>
        <v/>
      </c>
      <c r="O94" s="89">
        <f>-SUMIFS('10月数据源'!$I:$I,'10月数据源'!$D:$D,$E94,'10月数据源'!$F:$F,"海南精准学科技有限公司")+SUMIFS('10月数据源'!$J:$J,'10月数据源'!$D:$D,$E94,'10月数据源'!$F:$F,"海南精准学科技有限公司")</f>
        <v/>
      </c>
      <c r="P94" s="89">
        <f>-SUMIFS('11月数据源'!$I:$I,'11月数据源'!$D:$D,$E94,'11月数据源'!$F:$F,"海南精准学科技有限公司")+SUMIFS('11月数据源'!$J:$J,'11月数据源'!$D:$D,$E94,'11月数据源'!$F:$F,"海南精准学科技有限公司")</f>
        <v/>
      </c>
      <c r="Q94" s="89">
        <f>-SUMIFS('12月数据源'!$I:$I,'12月数据源'!$D:$D,$E94,'12月数据源'!$F:$F,"海南精准学科技有限公司")+SUMIFS('12月数据源'!$J:$J,'12月数据源'!$D:$D,$E94,'12月数据源'!$F:$F,"海南精准学科技有限公司")</f>
        <v/>
      </c>
    </row>
    <row r="95" s="83">
      <c r="A95" s="5" t="inlineStr">
        <is>
          <t>研发支出</t>
        </is>
      </c>
      <c r="B95" s="6" t="inlineStr">
        <is>
          <t>研发-服务费</t>
        </is>
      </c>
      <c r="D95" s="5" t="inlineStr">
        <is>
          <t>AI技术外包服务费</t>
        </is>
      </c>
      <c r="E95" s="6" t="inlineStr">
        <is>
          <t>Q1602</t>
        </is>
      </c>
      <c r="F95" s="89">
        <f>-SUMIFS('1月数据源'!I:I,'1月数据源'!D:D,E95,'1月数据源'!F:F,"海南精准学科技有限公司")+SUMIFS('1月数据源'!J:J,'1月数据源'!D:D,E95,'1月数据源'!F:F,"海南精准学科技有限公司")</f>
        <v/>
      </c>
      <c r="G95" s="89">
        <f>-SUMIFS('2月数据源'!$I:$I,'2月数据源'!$D:$D,$E95,'2月数据源'!$F:$F,"海南精准学科技有限公司")+SUMIFS('2月数据源'!$J:$J,'2月数据源'!$D:$D,$E95,'2月数据源'!$F:$F,"海南精准学科技有限公司")</f>
        <v/>
      </c>
      <c r="H95" s="89">
        <f>-SUMIFS('3月数据源'!$I:$I,'3月数据源'!$D:$D,$E95,'3月数据源'!$F:$F,"海南精准学科技有限公司")+SUMIFS('3月数据源'!$J:$J,'3月数据源'!$D:$D,$E95,'3月数据源'!$F:$F,"海南精准学科技有限公司")</f>
        <v/>
      </c>
      <c r="I95" s="89">
        <f>-SUMIFS('4月数据源'!$I:$I,'4月数据源'!$D:$D,$E95,'4月数据源'!$F:$F,"海南精准学科技有限公司")+SUMIFS('4月数据源'!$J:$J,'4月数据源'!$D:$D,$E95,'4月数据源'!$F:$F,"海南精准学科技有限公司")</f>
        <v/>
      </c>
      <c r="J95" s="89">
        <f>-SUMIFS('5月数据源'!$I:$I,'5月数据源'!$D:$D,$E95,'5月数据源'!$F:$F,"海南精准学科技有限公司")+SUMIFS('5月数据源'!$J:$J,'5月数据源'!$D:$D,$E95,'5月数据源'!$F:$F,"海南精准学科技有限公司")</f>
        <v/>
      </c>
      <c r="K95" s="89">
        <f>-SUMIFS('6月数据源'!$I:$I,'6月数据源'!$D:$D,$E95,'6月数据源'!$F:$F,"海南精准学科技有限公司")+SUMIFS('6月数据源'!$J:$J,'6月数据源'!$D:$D,$E95,'6月数据源'!$F:$F,"海南精准学科技有限公司")</f>
        <v/>
      </c>
      <c r="L95" s="89">
        <f>-SUMIFS('7月数据源'!$I:$I,'7月数据源'!$D:$D,$E95,'7月数据源'!$F:$F,"海南精准学科技有限公司")+SUMIFS('7月数据源'!$J:$J,'7月数据源'!$D:$D,$E95,'7月数据源'!$F:$F,"海南精准学科技有限公司")</f>
        <v/>
      </c>
      <c r="M95" s="89">
        <f>-SUMIFS('8月数据源'!$I:$I,'8月数据源'!$D:$D,$E95,'8月数据源'!$F:$F,"海南精准学科技有限公司")+SUMIFS('8月数据源'!$J:$J,'8月数据源'!$D:$D,$E95,'8月数据源'!$F:$F,"海南精准学科技有限公司")</f>
        <v/>
      </c>
      <c r="N95" s="89">
        <f>-SUMIFS('9月数据源'!$I:$I,'9月数据源'!$D:$D,$E95,'9月数据源'!$F:$F,"海南精准学科技有限公司")+SUMIFS('9月数据源'!$J:$J,'9月数据源'!$D:$D,$E95,'9月数据源'!$F:$F,"海南精准学科技有限公司")</f>
        <v/>
      </c>
      <c r="O95" s="89">
        <f>-SUMIFS('10月数据源'!$I:$I,'10月数据源'!$D:$D,$E95,'10月数据源'!$F:$F,"海南精准学科技有限公司")+SUMIFS('10月数据源'!$J:$J,'10月数据源'!$D:$D,$E95,'10月数据源'!$F:$F,"海南精准学科技有限公司")</f>
        <v/>
      </c>
      <c r="P95" s="89">
        <f>-SUMIFS('11月数据源'!$I:$I,'11月数据源'!$D:$D,$E95,'11月数据源'!$F:$F,"海南精准学科技有限公司")+SUMIFS('11月数据源'!$J:$J,'11月数据源'!$D:$D,$E95,'11月数据源'!$F:$F,"海南精准学科技有限公司")</f>
        <v/>
      </c>
      <c r="Q95" s="89">
        <f>-SUMIFS('12月数据源'!$I:$I,'12月数据源'!$D:$D,$E95,'12月数据源'!$F:$F,"海南精准学科技有限公司")+SUMIFS('12月数据源'!$J:$J,'12月数据源'!$D:$D,$E95,'12月数据源'!$F:$F,"海南精准学科技有限公司")</f>
        <v/>
      </c>
    </row>
    <row r="96" s="83">
      <c r="A96" s="5" t="inlineStr">
        <is>
          <t>研发支出</t>
        </is>
      </c>
      <c r="B96" s="6" t="inlineStr">
        <is>
          <t>研发-服务费</t>
        </is>
      </c>
      <c r="D96" s="5" t="inlineStr">
        <is>
          <t>知识产权服务费</t>
        </is>
      </c>
      <c r="E96" s="6" t="inlineStr">
        <is>
          <t>Q1603</t>
        </is>
      </c>
      <c r="F96" s="89">
        <f>-SUMIFS('1月数据源'!I:I,'1月数据源'!D:D,E96,'1月数据源'!F:F,"海南精准学科技有限公司")+SUMIFS('1月数据源'!J:J,'1月数据源'!D:D,E96,'1月数据源'!F:F,"海南精准学科技有限公司")</f>
        <v/>
      </c>
      <c r="G96" s="89">
        <f>-SUMIFS('2月数据源'!$I:$I,'2月数据源'!$D:$D,$E96,'2月数据源'!$F:$F,"海南精准学科技有限公司")+SUMIFS('2月数据源'!$J:$J,'2月数据源'!$D:$D,$E96,'2月数据源'!$F:$F,"海南精准学科技有限公司")</f>
        <v/>
      </c>
      <c r="H96" s="89">
        <f>-SUMIFS('3月数据源'!$I:$I,'3月数据源'!$D:$D,$E96,'3月数据源'!$F:$F,"海南精准学科技有限公司")+SUMIFS('3月数据源'!$J:$J,'3月数据源'!$D:$D,$E96,'3月数据源'!$F:$F,"海南精准学科技有限公司")</f>
        <v/>
      </c>
      <c r="I96" s="89">
        <f>-SUMIFS('4月数据源'!$I:$I,'4月数据源'!$D:$D,$E96,'4月数据源'!$F:$F,"海南精准学科技有限公司")+SUMIFS('4月数据源'!$J:$J,'4月数据源'!$D:$D,$E96,'4月数据源'!$F:$F,"海南精准学科技有限公司")</f>
        <v/>
      </c>
      <c r="J96" s="89">
        <f>-SUMIFS('5月数据源'!$I:$I,'5月数据源'!$D:$D,$E96,'5月数据源'!$F:$F,"海南精准学科技有限公司")+SUMIFS('5月数据源'!$J:$J,'5月数据源'!$D:$D,$E96,'5月数据源'!$F:$F,"海南精准学科技有限公司")</f>
        <v/>
      </c>
      <c r="K96" s="89">
        <f>-SUMIFS('6月数据源'!$I:$I,'6月数据源'!$D:$D,$E96,'6月数据源'!$F:$F,"海南精准学科技有限公司")+SUMIFS('6月数据源'!$J:$J,'6月数据源'!$D:$D,$E96,'6月数据源'!$F:$F,"海南精准学科技有限公司")</f>
        <v/>
      </c>
      <c r="L96" s="89">
        <f>-SUMIFS('7月数据源'!$I:$I,'7月数据源'!$D:$D,$E96,'7月数据源'!$F:$F,"海南精准学科技有限公司")+SUMIFS('7月数据源'!$J:$J,'7月数据源'!$D:$D,$E96,'7月数据源'!$F:$F,"海南精准学科技有限公司")</f>
        <v/>
      </c>
      <c r="M96" s="89">
        <f>-SUMIFS('8月数据源'!$I:$I,'8月数据源'!$D:$D,$E96,'8月数据源'!$F:$F,"海南精准学科技有限公司")+SUMIFS('8月数据源'!$J:$J,'8月数据源'!$D:$D,$E96,'8月数据源'!$F:$F,"海南精准学科技有限公司")</f>
        <v/>
      </c>
      <c r="N96" s="89">
        <f>-SUMIFS('9月数据源'!$I:$I,'9月数据源'!$D:$D,$E96,'9月数据源'!$F:$F,"海南精准学科技有限公司")+SUMIFS('9月数据源'!$J:$J,'9月数据源'!$D:$D,$E96,'9月数据源'!$F:$F,"海南精准学科技有限公司")</f>
        <v/>
      </c>
      <c r="O96" s="89">
        <f>-SUMIFS('10月数据源'!$I:$I,'10月数据源'!$D:$D,$E96,'10月数据源'!$F:$F,"海南精准学科技有限公司")+SUMIFS('10月数据源'!$J:$J,'10月数据源'!$D:$D,$E96,'10月数据源'!$F:$F,"海南精准学科技有限公司")</f>
        <v/>
      </c>
      <c r="P96" s="89">
        <f>-SUMIFS('11月数据源'!$I:$I,'11月数据源'!$D:$D,$E96,'11月数据源'!$F:$F,"海南精准学科技有限公司")+SUMIFS('11月数据源'!$J:$J,'11月数据源'!$D:$D,$E96,'11月数据源'!$F:$F,"海南精准学科技有限公司")</f>
        <v/>
      </c>
      <c r="Q96" s="89">
        <f>-SUMIFS('12月数据源'!$I:$I,'12月数据源'!$D:$D,$E96,'12月数据源'!$F:$F,"海南精准学科技有限公司")+SUMIFS('12月数据源'!$J:$J,'12月数据源'!$D:$D,$E96,'12月数据源'!$F:$F,"海南精准学科技有限公司")</f>
        <v/>
      </c>
    </row>
    <row r="97" s="83">
      <c r="A97" s="5" t="inlineStr">
        <is>
          <t>研发支出</t>
        </is>
      </c>
      <c r="B97" s="6" t="inlineStr">
        <is>
          <t>研发-费用报销</t>
        </is>
      </c>
      <c r="C97" s="6" t="inlineStr">
        <is>
          <t>研发-费用报销</t>
        </is>
      </c>
      <c r="D97" s="5" t="inlineStr">
        <is>
          <t>研发员工报销</t>
        </is>
      </c>
      <c r="E97" s="6" t="inlineStr">
        <is>
          <t>Q1701</t>
        </is>
      </c>
      <c r="F97" s="89">
        <f>-SUMIFS('1月数据源'!I:I,'1月数据源'!D:D,E97,'1月数据源'!F:F,"海南精准学科技有限公司")+SUMIFS('1月数据源'!J:J,'1月数据源'!D:D,E97,'1月数据源'!F:F,"海南精准学科技有限公司")</f>
        <v/>
      </c>
      <c r="G97" s="89">
        <f>-SUMIFS('2月数据源'!$I:$I,'2月数据源'!$D:$D,$E97,'2月数据源'!$F:$F,"海南精准学科技有限公司")+SUMIFS('2月数据源'!$J:$J,'2月数据源'!$D:$D,$E97,'2月数据源'!$F:$F,"海南精准学科技有限公司")</f>
        <v/>
      </c>
      <c r="H97" s="89">
        <f>-SUMIFS('3月数据源'!$I:$I,'3月数据源'!$D:$D,$E97,'3月数据源'!$F:$F,"海南精准学科技有限公司")+SUMIFS('3月数据源'!$J:$J,'3月数据源'!$D:$D,$E97,'3月数据源'!$F:$F,"海南精准学科技有限公司")</f>
        <v/>
      </c>
      <c r="I97" s="89">
        <f>-SUMIFS('4月数据源'!$I:$I,'4月数据源'!$D:$D,$E97,'4月数据源'!$F:$F,"海南精准学科技有限公司")+SUMIFS('4月数据源'!$J:$J,'4月数据源'!$D:$D,$E97,'4月数据源'!$F:$F,"海南精准学科技有限公司")</f>
        <v/>
      </c>
      <c r="J97" s="89">
        <f>-SUMIFS('5月数据源'!$I:$I,'5月数据源'!$D:$D,$E97,'5月数据源'!$F:$F,"海南精准学科技有限公司")+SUMIFS('5月数据源'!$J:$J,'5月数据源'!$D:$D,$E97,'5月数据源'!$F:$F,"海南精准学科技有限公司")</f>
        <v/>
      </c>
      <c r="K97" s="89">
        <f>-SUMIFS('6月数据源'!$I:$I,'6月数据源'!$D:$D,$E97,'6月数据源'!$F:$F,"海南精准学科技有限公司")+SUMIFS('6月数据源'!$J:$J,'6月数据源'!$D:$D,$E97,'6月数据源'!$F:$F,"海南精准学科技有限公司")</f>
        <v/>
      </c>
      <c r="L97" s="89">
        <f>-SUMIFS('7月数据源'!$I:$I,'7月数据源'!$D:$D,$E97,'7月数据源'!$F:$F,"海南精准学科技有限公司")+SUMIFS('7月数据源'!$J:$J,'7月数据源'!$D:$D,$E97,'7月数据源'!$F:$F,"海南精准学科技有限公司")</f>
        <v/>
      </c>
      <c r="M97" s="89">
        <f>-SUMIFS('8月数据源'!$I:$I,'8月数据源'!$D:$D,$E97,'8月数据源'!$F:$F,"海南精准学科技有限公司")+SUMIFS('8月数据源'!$J:$J,'8月数据源'!$D:$D,$E97,'8月数据源'!$F:$F,"海南精准学科技有限公司")</f>
        <v/>
      </c>
      <c r="N97" s="89">
        <f>-SUMIFS('9月数据源'!$I:$I,'9月数据源'!$D:$D,$E97,'9月数据源'!$F:$F,"海南精准学科技有限公司")+SUMIFS('9月数据源'!$J:$J,'9月数据源'!$D:$D,$E97,'9月数据源'!$F:$F,"海南精准学科技有限公司")</f>
        <v/>
      </c>
      <c r="O97" s="89">
        <f>-SUMIFS('10月数据源'!$I:$I,'10月数据源'!$D:$D,$E97,'10月数据源'!$F:$F,"海南精准学科技有限公司")+SUMIFS('10月数据源'!$J:$J,'10月数据源'!$D:$D,$E97,'10月数据源'!$F:$F,"海南精准学科技有限公司")</f>
        <v/>
      </c>
      <c r="P97" s="89">
        <f>-SUMIFS('11月数据源'!$I:$I,'11月数据源'!$D:$D,$E97,'11月数据源'!$F:$F,"海南精准学科技有限公司")+SUMIFS('11月数据源'!$J:$J,'11月数据源'!$D:$D,$E97,'11月数据源'!$F:$F,"海南精准学科技有限公司")</f>
        <v/>
      </c>
      <c r="Q97" s="89">
        <f>-SUMIFS('12月数据源'!$I:$I,'12月数据源'!$D:$D,$E97,'12月数据源'!$F:$F,"海南精准学科技有限公司")+SUMIFS('12月数据源'!$J:$J,'12月数据源'!$D:$D,$E97,'12月数据源'!$F:$F,"海南精准学科技有限公司")</f>
        <v/>
      </c>
    </row>
    <row r="98" s="83">
      <c r="A98" s="49" t="inlineStr">
        <is>
          <t>研发支出合计</t>
        </is>
      </c>
      <c r="B98" s="50" t="n"/>
      <c r="C98" s="50" t="n"/>
      <c r="D98" s="49" t="n"/>
      <c r="E98" s="49" t="n"/>
      <c r="F98" s="89">
        <f>SUM(F70:F97)</f>
        <v/>
      </c>
      <c r="G98" s="89">
        <f>SUM(G70:G97)</f>
        <v/>
      </c>
      <c r="H98" s="89">
        <f>SUM(H70:H97)</f>
        <v/>
      </c>
      <c r="I98" s="89">
        <f>SUM(I70:I97)</f>
        <v/>
      </c>
      <c r="J98" s="89">
        <f>SUM(J70:J97)</f>
        <v/>
      </c>
      <c r="K98" s="89">
        <f>SUM(K70:K97)</f>
        <v/>
      </c>
      <c r="L98" s="89">
        <f>SUM(L70:L97)</f>
        <v/>
      </c>
      <c r="M98" s="89">
        <f>SUM(M70:M97)</f>
        <v/>
      </c>
      <c r="N98" s="89">
        <f>SUM(N70:N97)</f>
        <v/>
      </c>
      <c r="O98" s="89">
        <f>SUM(O70:O97)</f>
        <v/>
      </c>
      <c r="P98" s="89">
        <f>SUM(P70:P97)</f>
        <v/>
      </c>
      <c r="Q98" s="89">
        <f>SUM(Q70:Q97)</f>
        <v/>
      </c>
    </row>
    <row r="99" s="83">
      <c r="A99" s="5" t="inlineStr">
        <is>
          <t>销售费用</t>
        </is>
      </c>
      <c r="B99" s="6" t="inlineStr">
        <is>
          <t>品牌建设</t>
        </is>
      </c>
      <c r="C99" s="6" t="inlineStr">
        <is>
          <t>品牌建设</t>
        </is>
      </c>
      <c r="D99" s="5" t="inlineStr">
        <is>
          <t>媒体采购</t>
        </is>
      </c>
      <c r="E99" s="6" t="inlineStr">
        <is>
          <t>Q1801</t>
        </is>
      </c>
      <c r="F99" s="89">
        <f>-SUMIFS('1月数据源'!I:I,'1月数据源'!D:D,E99,'1月数据源'!F:F,"海南精准学科技有限公司")+SUMIFS('1月数据源'!J:J,'1月数据源'!D:D,E99,'1月数据源'!F:F,"海南精准学科技有限公司")</f>
        <v/>
      </c>
      <c r="G99" s="89">
        <f>-SUMIFS('2月数据源'!$I:$I,'2月数据源'!$D:$D,$E99,'2月数据源'!$F:$F,"海南精准学科技有限公司")+SUMIFS('2月数据源'!$J:$J,'2月数据源'!$D:$D,$E99,'2月数据源'!$F:$F,"海南精准学科技有限公司")</f>
        <v/>
      </c>
      <c r="H99" s="89">
        <f>-SUMIFS('3月数据源'!$I:$I,'3月数据源'!$D:$D,$E99,'3月数据源'!$F:$F,"海南精准学科技有限公司")+SUMIFS('3月数据源'!$J:$J,'3月数据源'!$D:$D,$E99,'3月数据源'!$F:$F,"海南精准学科技有限公司")</f>
        <v/>
      </c>
      <c r="I99" s="89">
        <f>-SUMIFS('4月数据源'!$I:$I,'4月数据源'!$D:$D,$E99,'4月数据源'!$F:$F,"海南精准学科技有限公司")+SUMIFS('4月数据源'!$J:$J,'4月数据源'!$D:$D,$E99,'4月数据源'!$F:$F,"海南精准学科技有限公司")</f>
        <v/>
      </c>
      <c r="J99" s="89">
        <f>-SUMIFS('5月数据源'!$I:$I,'5月数据源'!$D:$D,$E99,'5月数据源'!$F:$F,"海南精准学科技有限公司")+SUMIFS('5月数据源'!$J:$J,'5月数据源'!$D:$D,$E99,'5月数据源'!$F:$F,"海南精准学科技有限公司")</f>
        <v/>
      </c>
      <c r="K99" s="89">
        <f>-SUMIFS('6月数据源'!$I:$I,'6月数据源'!$D:$D,$E99,'6月数据源'!$F:$F,"海南精准学科技有限公司")+SUMIFS('6月数据源'!$J:$J,'6月数据源'!$D:$D,$E99,'6月数据源'!$F:$F,"海南精准学科技有限公司")</f>
        <v/>
      </c>
      <c r="L99" s="89">
        <f>-SUMIFS('7月数据源'!$I:$I,'7月数据源'!$D:$D,$E99,'7月数据源'!$F:$F,"海南精准学科技有限公司")+SUMIFS('7月数据源'!$J:$J,'7月数据源'!$D:$D,$E99,'7月数据源'!$F:$F,"海南精准学科技有限公司")</f>
        <v/>
      </c>
      <c r="M99" s="89">
        <f>-SUMIFS('8月数据源'!$I:$I,'8月数据源'!$D:$D,$E99,'8月数据源'!$F:$F,"海南精准学科技有限公司")+SUMIFS('8月数据源'!$J:$J,'8月数据源'!$D:$D,$E99,'8月数据源'!$F:$F,"海南精准学科技有限公司")</f>
        <v/>
      </c>
      <c r="N99" s="89">
        <f>-SUMIFS('9月数据源'!$I:$I,'9月数据源'!$D:$D,$E99,'9月数据源'!$F:$F,"海南精准学科技有限公司")+SUMIFS('9月数据源'!$J:$J,'9月数据源'!$D:$D,$E99,'9月数据源'!$F:$F,"海南精准学科技有限公司")</f>
        <v/>
      </c>
      <c r="O99" s="89">
        <f>-SUMIFS('10月数据源'!$I:$I,'10月数据源'!$D:$D,$E99,'10月数据源'!$F:$F,"海南精准学科技有限公司")+SUMIFS('10月数据源'!$J:$J,'10月数据源'!$D:$D,$E99,'10月数据源'!$F:$F,"海南精准学科技有限公司")</f>
        <v/>
      </c>
      <c r="P99" s="89">
        <f>-SUMIFS('11月数据源'!$I:$I,'11月数据源'!$D:$D,$E99,'11月数据源'!$F:$F,"海南精准学科技有限公司")+SUMIFS('11月数据源'!$J:$J,'11月数据源'!$D:$D,$E99,'11月数据源'!$F:$F,"海南精准学科技有限公司")</f>
        <v/>
      </c>
      <c r="Q99" s="89">
        <f>-SUMIFS('12月数据源'!$I:$I,'12月数据源'!$D:$D,$E99,'12月数据源'!$F:$F,"海南精准学科技有限公司")+SUMIFS('12月数据源'!$J:$J,'12月数据源'!$D:$D,$E99,'12月数据源'!$F:$F,"海南精准学科技有限公司")</f>
        <v/>
      </c>
    </row>
    <row r="100" s="83">
      <c r="A100" s="5" t="inlineStr">
        <is>
          <t>销售费用</t>
        </is>
      </c>
      <c r="B100" s="6" t="inlineStr">
        <is>
          <t>品牌建设</t>
        </is>
      </c>
      <c r="D100" s="5" t="inlineStr">
        <is>
          <t>舆情服务</t>
        </is>
      </c>
      <c r="E100" s="6" t="inlineStr">
        <is>
          <t>Q1802</t>
        </is>
      </c>
      <c r="F100" s="89">
        <f>-SUMIFS('1月数据源'!I:I,'1月数据源'!D:D,E100,'1月数据源'!F:F,"海南精准学科技有限公司")+SUMIFS('1月数据源'!J:J,'1月数据源'!D:D,E100,'1月数据源'!F:F,"海南精准学科技有限公司")</f>
        <v/>
      </c>
      <c r="G100" s="89">
        <f>-SUMIFS('2月数据源'!$I:$I,'2月数据源'!$D:$D,$E100,'2月数据源'!$F:$F,"海南精准学科技有限公司")+SUMIFS('2月数据源'!$J:$J,'2月数据源'!$D:$D,$E100,'2月数据源'!$F:$F,"海南精准学科技有限公司")</f>
        <v/>
      </c>
      <c r="H100" s="89">
        <f>-SUMIFS('3月数据源'!$I:$I,'3月数据源'!$D:$D,$E100,'3月数据源'!$F:$F,"海南精准学科技有限公司")+SUMIFS('3月数据源'!$J:$J,'3月数据源'!$D:$D,$E100,'3月数据源'!$F:$F,"海南精准学科技有限公司")</f>
        <v/>
      </c>
      <c r="I100" s="89">
        <f>-SUMIFS('4月数据源'!$I:$I,'4月数据源'!$D:$D,$E100,'4月数据源'!$F:$F,"海南精准学科技有限公司")+SUMIFS('4月数据源'!$J:$J,'4月数据源'!$D:$D,$E100,'4月数据源'!$F:$F,"海南精准学科技有限公司")</f>
        <v/>
      </c>
      <c r="J100" s="89">
        <f>-SUMIFS('5月数据源'!$I:$I,'5月数据源'!$D:$D,$E100,'5月数据源'!$F:$F,"海南精准学科技有限公司")+SUMIFS('5月数据源'!$J:$J,'5月数据源'!$D:$D,$E100,'5月数据源'!$F:$F,"海南精准学科技有限公司")</f>
        <v/>
      </c>
      <c r="K100" s="89">
        <f>-SUMIFS('6月数据源'!$I:$I,'6月数据源'!$D:$D,$E100,'6月数据源'!$F:$F,"海南精准学科技有限公司")+SUMIFS('6月数据源'!$J:$J,'6月数据源'!$D:$D,$E100,'6月数据源'!$F:$F,"海南精准学科技有限公司")</f>
        <v/>
      </c>
      <c r="L100" s="89">
        <f>-SUMIFS('7月数据源'!$I:$I,'7月数据源'!$D:$D,$E100,'7月数据源'!$F:$F,"海南精准学科技有限公司")+SUMIFS('7月数据源'!$J:$J,'7月数据源'!$D:$D,$E100,'7月数据源'!$F:$F,"海南精准学科技有限公司")</f>
        <v/>
      </c>
      <c r="M100" s="89">
        <f>-SUMIFS('8月数据源'!$I:$I,'8月数据源'!$D:$D,$E100,'8月数据源'!$F:$F,"海南精准学科技有限公司")+SUMIFS('8月数据源'!$J:$J,'8月数据源'!$D:$D,$E100,'8月数据源'!$F:$F,"海南精准学科技有限公司")</f>
        <v/>
      </c>
      <c r="N100" s="89">
        <f>-SUMIFS('9月数据源'!$I:$I,'9月数据源'!$D:$D,$E100,'9月数据源'!$F:$F,"海南精准学科技有限公司")+SUMIFS('9月数据源'!$J:$J,'9月数据源'!$D:$D,$E100,'9月数据源'!$F:$F,"海南精准学科技有限公司")</f>
        <v/>
      </c>
      <c r="O100" s="89">
        <f>-SUMIFS('10月数据源'!$I:$I,'10月数据源'!$D:$D,$E100,'10月数据源'!$F:$F,"海南精准学科技有限公司")+SUMIFS('10月数据源'!$J:$J,'10月数据源'!$D:$D,$E100,'10月数据源'!$F:$F,"海南精准学科技有限公司")</f>
        <v/>
      </c>
      <c r="P100" s="89">
        <f>-SUMIFS('11月数据源'!$I:$I,'11月数据源'!$D:$D,$E100,'11月数据源'!$F:$F,"海南精准学科技有限公司")+SUMIFS('11月数据源'!$J:$J,'11月数据源'!$D:$D,$E100,'11月数据源'!$F:$F,"海南精准学科技有限公司")</f>
        <v/>
      </c>
      <c r="Q100" s="89">
        <f>-SUMIFS('12月数据源'!$I:$I,'12月数据源'!$D:$D,$E100,'12月数据源'!$F:$F,"海南精准学科技有限公司")+SUMIFS('12月数据源'!$J:$J,'12月数据源'!$D:$D,$E100,'12月数据源'!$F:$F,"海南精准学科技有限公司")</f>
        <v/>
      </c>
    </row>
    <row r="101" s="83">
      <c r="A101" s="5" t="inlineStr">
        <is>
          <t>销售费用</t>
        </is>
      </c>
      <c r="B101" s="6" t="inlineStr">
        <is>
          <t>品牌建设</t>
        </is>
      </c>
      <c r="D101" s="5" t="inlineStr">
        <is>
          <t>会务服务</t>
        </is>
      </c>
      <c r="E101" s="6" t="inlineStr">
        <is>
          <t>Q1803</t>
        </is>
      </c>
      <c r="F101" s="89">
        <f>-SUMIFS('1月数据源'!I:I,'1月数据源'!D:D,E101,'1月数据源'!F:F,"海南精准学科技有限公司")+SUMIFS('1月数据源'!J:J,'1月数据源'!D:D,E101,'1月数据源'!F:F,"海南精准学科技有限公司")</f>
        <v/>
      </c>
      <c r="G101" s="89">
        <f>-SUMIFS('2月数据源'!$I:$I,'2月数据源'!$D:$D,$E101,'2月数据源'!$F:$F,"海南精准学科技有限公司")+SUMIFS('2月数据源'!$J:$J,'2月数据源'!$D:$D,$E101,'2月数据源'!$F:$F,"海南精准学科技有限公司")</f>
        <v/>
      </c>
      <c r="H101" s="89">
        <f>-SUMIFS('3月数据源'!$I:$I,'3月数据源'!$D:$D,$E101,'3月数据源'!$F:$F,"海南精准学科技有限公司")+SUMIFS('3月数据源'!$J:$J,'3月数据源'!$D:$D,$E101,'3月数据源'!$F:$F,"海南精准学科技有限公司")</f>
        <v/>
      </c>
      <c r="I101" s="89">
        <f>-SUMIFS('4月数据源'!$I:$I,'4月数据源'!$D:$D,$E101,'4月数据源'!$F:$F,"海南精准学科技有限公司")+SUMIFS('4月数据源'!$J:$J,'4月数据源'!$D:$D,$E101,'4月数据源'!$F:$F,"海南精准学科技有限公司")</f>
        <v/>
      </c>
      <c r="J101" s="89">
        <f>-SUMIFS('5月数据源'!$I:$I,'5月数据源'!$D:$D,$E101,'5月数据源'!$F:$F,"海南精准学科技有限公司")+SUMIFS('5月数据源'!$J:$J,'5月数据源'!$D:$D,$E101,'5月数据源'!$F:$F,"海南精准学科技有限公司")</f>
        <v/>
      </c>
      <c r="K101" s="89">
        <f>-SUMIFS('6月数据源'!$I:$I,'6月数据源'!$D:$D,$E101,'6月数据源'!$F:$F,"海南精准学科技有限公司")+SUMIFS('6月数据源'!$J:$J,'6月数据源'!$D:$D,$E101,'6月数据源'!$F:$F,"海南精准学科技有限公司")</f>
        <v/>
      </c>
      <c r="L101" s="89">
        <f>-SUMIFS('7月数据源'!$I:$I,'7月数据源'!$D:$D,$E101,'7月数据源'!$F:$F,"海南精准学科技有限公司")+SUMIFS('7月数据源'!$J:$J,'7月数据源'!$D:$D,$E101,'7月数据源'!$F:$F,"海南精准学科技有限公司")</f>
        <v/>
      </c>
      <c r="M101" s="89">
        <f>-SUMIFS('8月数据源'!$I:$I,'8月数据源'!$D:$D,$E101,'8月数据源'!$F:$F,"海南精准学科技有限公司")+SUMIFS('8月数据源'!$J:$J,'8月数据源'!$D:$D,$E101,'8月数据源'!$F:$F,"海南精准学科技有限公司")</f>
        <v/>
      </c>
      <c r="N101" s="89">
        <f>-SUMIFS('9月数据源'!$I:$I,'9月数据源'!$D:$D,$E101,'9月数据源'!$F:$F,"海南精准学科技有限公司")+SUMIFS('9月数据源'!$J:$J,'9月数据源'!$D:$D,$E101,'9月数据源'!$F:$F,"海南精准学科技有限公司")</f>
        <v/>
      </c>
      <c r="O101" s="89">
        <f>-SUMIFS('10月数据源'!$I:$I,'10月数据源'!$D:$D,$E101,'10月数据源'!$F:$F,"海南精准学科技有限公司")+SUMIFS('10月数据源'!$J:$J,'10月数据源'!$D:$D,$E101,'10月数据源'!$F:$F,"海南精准学科技有限公司")</f>
        <v/>
      </c>
      <c r="P101" s="89">
        <f>-SUMIFS('11月数据源'!$I:$I,'11月数据源'!$D:$D,$E101,'11月数据源'!$F:$F,"海南精准学科技有限公司")+SUMIFS('11月数据源'!$J:$J,'11月数据源'!$D:$D,$E101,'11月数据源'!$F:$F,"海南精准学科技有限公司")</f>
        <v/>
      </c>
      <c r="Q101" s="89">
        <f>-SUMIFS('12月数据源'!$I:$I,'12月数据源'!$D:$D,$E101,'12月数据源'!$F:$F,"海南精准学科技有限公司")+SUMIFS('12月数据源'!$J:$J,'12月数据源'!$D:$D,$E101,'12月数据源'!$F:$F,"海南精准学科技有限公司")</f>
        <v/>
      </c>
    </row>
    <row r="102" s="83">
      <c r="A102" s="5" t="inlineStr">
        <is>
          <t>销售费用</t>
        </is>
      </c>
      <c r="B102" s="6" t="inlineStr">
        <is>
          <t>品牌建设</t>
        </is>
      </c>
      <c r="D102" s="5" t="inlineStr">
        <is>
          <t>场地搭建</t>
        </is>
      </c>
      <c r="E102" s="6" t="inlineStr">
        <is>
          <t>Q1804</t>
        </is>
      </c>
      <c r="F102" s="89">
        <f>-SUMIFS('1月数据源'!I:I,'1月数据源'!D:D,E102,'1月数据源'!F:F,"海南精准学科技有限公司")+SUMIFS('1月数据源'!J:J,'1月数据源'!D:D,E102,'1月数据源'!F:F,"海南精准学科技有限公司")</f>
        <v/>
      </c>
      <c r="G102" s="89">
        <f>-SUMIFS('2月数据源'!$I:$I,'2月数据源'!$D:$D,$E102,'2月数据源'!$F:$F,"海南精准学科技有限公司")+SUMIFS('2月数据源'!$J:$J,'2月数据源'!$D:$D,$E102,'2月数据源'!$F:$F,"海南精准学科技有限公司")</f>
        <v/>
      </c>
      <c r="H102" s="89">
        <f>-SUMIFS('3月数据源'!$I:$I,'3月数据源'!$D:$D,$E102,'3月数据源'!$F:$F,"海南精准学科技有限公司")+SUMIFS('3月数据源'!$J:$J,'3月数据源'!$D:$D,$E102,'3月数据源'!$F:$F,"海南精准学科技有限公司")</f>
        <v/>
      </c>
      <c r="I102" s="89">
        <f>-SUMIFS('4月数据源'!$I:$I,'4月数据源'!$D:$D,$E102,'4月数据源'!$F:$F,"海南精准学科技有限公司")+SUMIFS('4月数据源'!$J:$J,'4月数据源'!$D:$D,$E102,'4月数据源'!$F:$F,"海南精准学科技有限公司")</f>
        <v/>
      </c>
      <c r="J102" s="89">
        <f>-SUMIFS('5月数据源'!$I:$I,'5月数据源'!$D:$D,$E102,'5月数据源'!$F:$F,"海南精准学科技有限公司")+SUMIFS('5月数据源'!$J:$J,'5月数据源'!$D:$D,$E102,'5月数据源'!$F:$F,"海南精准学科技有限公司")</f>
        <v/>
      </c>
      <c r="K102" s="89">
        <f>-SUMIFS('6月数据源'!$I:$I,'6月数据源'!$D:$D,$E102,'6月数据源'!$F:$F,"海南精准学科技有限公司")+SUMIFS('6月数据源'!$J:$J,'6月数据源'!$D:$D,$E102,'6月数据源'!$F:$F,"海南精准学科技有限公司")</f>
        <v/>
      </c>
      <c r="L102" s="89">
        <f>-SUMIFS('7月数据源'!$I:$I,'7月数据源'!$D:$D,$E102,'7月数据源'!$F:$F,"海南精准学科技有限公司")+SUMIFS('7月数据源'!$J:$J,'7月数据源'!$D:$D,$E102,'7月数据源'!$F:$F,"海南精准学科技有限公司")</f>
        <v/>
      </c>
      <c r="M102" s="89">
        <f>-SUMIFS('8月数据源'!$I:$I,'8月数据源'!$D:$D,$E102,'8月数据源'!$F:$F,"海南精准学科技有限公司")+SUMIFS('8月数据源'!$J:$J,'8月数据源'!$D:$D,$E102,'8月数据源'!$F:$F,"海南精准学科技有限公司")</f>
        <v/>
      </c>
      <c r="N102" s="89">
        <f>-SUMIFS('9月数据源'!$I:$I,'9月数据源'!$D:$D,$E102,'9月数据源'!$F:$F,"海南精准学科技有限公司")+SUMIFS('9月数据源'!$J:$J,'9月数据源'!$D:$D,$E102,'9月数据源'!$F:$F,"海南精准学科技有限公司")</f>
        <v/>
      </c>
      <c r="O102" s="89">
        <f>-SUMIFS('10月数据源'!$I:$I,'10月数据源'!$D:$D,$E102,'10月数据源'!$F:$F,"海南精准学科技有限公司")+SUMIFS('10月数据源'!$J:$J,'10月数据源'!$D:$D,$E102,'10月数据源'!$F:$F,"海南精准学科技有限公司")</f>
        <v/>
      </c>
      <c r="P102" s="89">
        <f>-SUMIFS('11月数据源'!$I:$I,'11月数据源'!$D:$D,$E102,'11月数据源'!$F:$F,"海南精准学科技有限公司")+SUMIFS('11月数据源'!$J:$J,'11月数据源'!$D:$D,$E102,'11月数据源'!$F:$F,"海南精准学科技有限公司")</f>
        <v/>
      </c>
      <c r="Q102" s="89">
        <f>-SUMIFS('12月数据源'!$I:$I,'12月数据源'!$D:$D,$E102,'12月数据源'!$F:$F,"海南精准学科技有限公司")+SUMIFS('12月数据源'!$J:$J,'12月数据源'!$D:$D,$E102,'12月数据源'!$F:$F,"海南精准学科技有限公司")</f>
        <v/>
      </c>
    </row>
    <row r="103" s="83">
      <c r="A103" s="5" t="inlineStr">
        <is>
          <t>销售费用</t>
        </is>
      </c>
      <c r="B103" s="6" t="inlineStr">
        <is>
          <t>品牌建设</t>
        </is>
      </c>
      <c r="D103" s="5" t="inlineStr">
        <is>
          <t>素材拍摄</t>
        </is>
      </c>
      <c r="E103" s="6" t="inlineStr">
        <is>
          <t>Q1805</t>
        </is>
      </c>
      <c r="F103" s="89">
        <f>-SUMIFS('1月数据源'!I:I,'1月数据源'!D:D,E103,'1月数据源'!F:F,"海南精准学科技有限公司")+SUMIFS('1月数据源'!J:J,'1月数据源'!D:D,E103,'1月数据源'!F:F,"海南精准学科技有限公司")</f>
        <v/>
      </c>
      <c r="G103" s="89">
        <f>-SUMIFS('2月数据源'!$I:$I,'2月数据源'!$D:$D,$E103,'2月数据源'!$F:$F,"海南精准学科技有限公司")+SUMIFS('2月数据源'!$J:$J,'2月数据源'!$D:$D,$E103,'2月数据源'!$F:$F,"海南精准学科技有限公司")</f>
        <v/>
      </c>
      <c r="H103" s="89">
        <f>-SUMIFS('3月数据源'!$I:$I,'3月数据源'!$D:$D,$E103,'3月数据源'!$F:$F,"海南精准学科技有限公司")+SUMIFS('3月数据源'!$J:$J,'3月数据源'!$D:$D,$E103,'3月数据源'!$F:$F,"海南精准学科技有限公司")</f>
        <v/>
      </c>
      <c r="I103" s="89">
        <f>-SUMIFS('4月数据源'!$I:$I,'4月数据源'!$D:$D,$E103,'4月数据源'!$F:$F,"海南精准学科技有限公司")+SUMIFS('4月数据源'!$J:$J,'4月数据源'!$D:$D,$E103,'4月数据源'!$F:$F,"海南精准学科技有限公司")</f>
        <v/>
      </c>
      <c r="J103" s="89">
        <f>-SUMIFS('5月数据源'!$I:$I,'5月数据源'!$D:$D,$E103,'5月数据源'!$F:$F,"海南精准学科技有限公司")+SUMIFS('5月数据源'!$J:$J,'5月数据源'!$D:$D,$E103,'5月数据源'!$F:$F,"海南精准学科技有限公司")</f>
        <v/>
      </c>
      <c r="K103" s="89">
        <f>-SUMIFS('6月数据源'!$I:$I,'6月数据源'!$D:$D,$E103,'6月数据源'!$F:$F,"海南精准学科技有限公司")+SUMIFS('6月数据源'!$J:$J,'6月数据源'!$D:$D,$E103,'6月数据源'!$F:$F,"海南精准学科技有限公司")</f>
        <v/>
      </c>
      <c r="L103" s="89">
        <f>-SUMIFS('7月数据源'!$I:$I,'7月数据源'!$D:$D,$E103,'7月数据源'!$F:$F,"海南精准学科技有限公司")+SUMIFS('7月数据源'!$J:$J,'7月数据源'!$D:$D,$E103,'7月数据源'!$F:$F,"海南精准学科技有限公司")</f>
        <v/>
      </c>
      <c r="M103" s="89">
        <f>-SUMIFS('8月数据源'!$I:$I,'8月数据源'!$D:$D,$E103,'8月数据源'!$F:$F,"海南精准学科技有限公司")+SUMIFS('8月数据源'!$J:$J,'8月数据源'!$D:$D,$E103,'8月数据源'!$F:$F,"海南精准学科技有限公司")</f>
        <v/>
      </c>
      <c r="N103" s="89">
        <f>-SUMIFS('9月数据源'!$I:$I,'9月数据源'!$D:$D,$E103,'9月数据源'!$F:$F,"海南精准学科技有限公司")+SUMIFS('9月数据源'!$J:$J,'9月数据源'!$D:$D,$E103,'9月数据源'!$F:$F,"海南精准学科技有限公司")</f>
        <v/>
      </c>
      <c r="O103" s="89">
        <f>-SUMIFS('10月数据源'!$I:$I,'10月数据源'!$D:$D,$E103,'10月数据源'!$F:$F,"海南精准学科技有限公司")+SUMIFS('10月数据源'!$J:$J,'10月数据源'!$D:$D,$E103,'10月数据源'!$F:$F,"海南精准学科技有限公司")</f>
        <v/>
      </c>
      <c r="P103" s="89">
        <f>-SUMIFS('11月数据源'!$I:$I,'11月数据源'!$D:$D,$E103,'11月数据源'!$F:$F,"海南精准学科技有限公司")+SUMIFS('11月数据源'!$J:$J,'11月数据源'!$D:$D,$E103,'11月数据源'!$F:$F,"海南精准学科技有限公司")</f>
        <v/>
      </c>
      <c r="Q103" s="89">
        <f>-SUMIFS('12月数据源'!$I:$I,'12月数据源'!$D:$D,$E103,'12月数据源'!$F:$F,"海南精准学科技有限公司")+SUMIFS('12月数据源'!$J:$J,'12月数据源'!$D:$D,$E103,'12月数据源'!$F:$F,"海南精准学科技有限公司")</f>
        <v/>
      </c>
    </row>
    <row r="104" s="83">
      <c r="A104" s="5" t="inlineStr">
        <is>
          <t>销售费用</t>
        </is>
      </c>
      <c r="B104" s="6" t="inlineStr">
        <is>
          <t>品牌建设</t>
        </is>
      </c>
      <c r="D104" s="5" t="inlineStr">
        <is>
          <t>背书合作费用</t>
        </is>
      </c>
      <c r="E104" s="6" t="inlineStr">
        <is>
          <t>Q1806</t>
        </is>
      </c>
      <c r="F104" s="89">
        <f>-SUMIFS('1月数据源'!I:I,'1月数据源'!D:D,E104,'1月数据源'!F:F,"海南精准学科技有限公司")+SUMIFS('1月数据源'!J:J,'1月数据源'!D:D,E104,'1月数据源'!F:F,"海南精准学科技有限公司")</f>
        <v/>
      </c>
      <c r="G104" s="89">
        <f>-SUMIFS('2月数据源'!$I:$I,'2月数据源'!$D:$D,$E104,'2月数据源'!$F:$F,"海南精准学科技有限公司")+SUMIFS('2月数据源'!$J:$J,'2月数据源'!$D:$D,$E104,'2月数据源'!$F:$F,"海南精准学科技有限公司")</f>
        <v/>
      </c>
      <c r="H104" s="89">
        <f>-SUMIFS('3月数据源'!$I:$I,'3月数据源'!$D:$D,$E104,'3月数据源'!$F:$F,"海南精准学科技有限公司")+SUMIFS('3月数据源'!$J:$J,'3月数据源'!$D:$D,$E104,'3月数据源'!$F:$F,"海南精准学科技有限公司")</f>
        <v/>
      </c>
      <c r="I104" s="89">
        <f>-SUMIFS('4月数据源'!$I:$I,'4月数据源'!$D:$D,$E104,'4月数据源'!$F:$F,"海南精准学科技有限公司")+SUMIFS('4月数据源'!$J:$J,'4月数据源'!$D:$D,$E104,'4月数据源'!$F:$F,"海南精准学科技有限公司")</f>
        <v/>
      </c>
      <c r="J104" s="89">
        <f>-SUMIFS('5月数据源'!$I:$I,'5月数据源'!$D:$D,$E104,'5月数据源'!$F:$F,"海南精准学科技有限公司")+SUMIFS('5月数据源'!$J:$J,'5月数据源'!$D:$D,$E104,'5月数据源'!$F:$F,"海南精准学科技有限公司")</f>
        <v/>
      </c>
      <c r="K104" s="89">
        <f>-SUMIFS('6月数据源'!$I:$I,'6月数据源'!$D:$D,$E104,'6月数据源'!$F:$F,"海南精准学科技有限公司")+SUMIFS('6月数据源'!$J:$J,'6月数据源'!$D:$D,$E104,'6月数据源'!$F:$F,"海南精准学科技有限公司")</f>
        <v/>
      </c>
      <c r="L104" s="89">
        <f>-SUMIFS('7月数据源'!$I:$I,'7月数据源'!$D:$D,$E104,'7月数据源'!$F:$F,"海南精准学科技有限公司")+SUMIFS('7月数据源'!$J:$J,'7月数据源'!$D:$D,$E104,'7月数据源'!$F:$F,"海南精准学科技有限公司")</f>
        <v/>
      </c>
      <c r="M104" s="89">
        <f>-SUMIFS('8月数据源'!$I:$I,'8月数据源'!$D:$D,$E104,'8月数据源'!$F:$F,"海南精准学科技有限公司")+SUMIFS('8月数据源'!$J:$J,'8月数据源'!$D:$D,$E104,'8月数据源'!$F:$F,"海南精准学科技有限公司")</f>
        <v/>
      </c>
      <c r="N104" s="89">
        <f>-SUMIFS('9月数据源'!$I:$I,'9月数据源'!$D:$D,$E104,'9月数据源'!$F:$F,"海南精准学科技有限公司")+SUMIFS('9月数据源'!$J:$J,'9月数据源'!$D:$D,$E104,'9月数据源'!$F:$F,"海南精准学科技有限公司")</f>
        <v/>
      </c>
      <c r="O104" s="89">
        <f>-SUMIFS('10月数据源'!$I:$I,'10月数据源'!$D:$D,$E104,'10月数据源'!$F:$F,"海南精准学科技有限公司")+SUMIFS('10月数据源'!$J:$J,'10月数据源'!$D:$D,$E104,'10月数据源'!$F:$F,"海南精准学科技有限公司")</f>
        <v/>
      </c>
      <c r="P104" s="89">
        <f>-SUMIFS('11月数据源'!$I:$I,'11月数据源'!$D:$D,$E104,'11月数据源'!$F:$F,"海南精准学科技有限公司")+SUMIFS('11月数据源'!$J:$J,'11月数据源'!$D:$D,$E104,'11月数据源'!$F:$F,"海南精准学科技有限公司")</f>
        <v/>
      </c>
      <c r="Q104" s="89">
        <f>-SUMIFS('12月数据源'!$I:$I,'12月数据源'!$D:$D,$E104,'12月数据源'!$F:$F,"海南精准学科技有限公司")+SUMIFS('12月数据源'!$J:$J,'12月数据源'!$D:$D,$E104,'12月数据源'!$F:$F,"海南精准学科技有限公司")</f>
        <v/>
      </c>
    </row>
    <row r="105" s="83">
      <c r="A105" s="5" t="inlineStr">
        <is>
          <t>销售费用</t>
        </is>
      </c>
      <c r="B105" s="6" t="inlineStr">
        <is>
          <t>内容种草</t>
        </is>
      </c>
      <c r="C105" s="6" t="inlineStr">
        <is>
          <t>内容种草</t>
        </is>
      </c>
      <c r="D105" s="5" t="inlineStr">
        <is>
          <t>抖音平台种草-GD广告</t>
        </is>
      </c>
      <c r="E105" s="6" t="inlineStr">
        <is>
          <t>Q1901</t>
        </is>
      </c>
      <c r="F105" s="89">
        <f>-SUMIFS('1月数据源'!I:I,'1月数据源'!D:D,E105,'1月数据源'!F:F,"海南精准学科技有限公司")+SUMIFS('1月数据源'!J:J,'1月数据源'!D:D,E105,'1月数据源'!F:F,"海南精准学科技有限公司")</f>
        <v/>
      </c>
      <c r="G105" s="89">
        <f>-SUMIFS('2月数据源'!$I:$I,'2月数据源'!$D:$D,$E105,'2月数据源'!$F:$F,"海南精准学科技有限公司")+SUMIFS('2月数据源'!$J:$J,'2月数据源'!$D:$D,$E105,'2月数据源'!$F:$F,"海南精准学科技有限公司")</f>
        <v/>
      </c>
      <c r="H105" s="89">
        <f>-SUMIFS('3月数据源'!$I:$I,'3月数据源'!$D:$D,$E105,'3月数据源'!$F:$F,"海南精准学科技有限公司")+SUMIFS('3月数据源'!$J:$J,'3月数据源'!$D:$D,$E105,'3月数据源'!$F:$F,"海南精准学科技有限公司")</f>
        <v/>
      </c>
      <c r="I105" s="89">
        <f>-SUMIFS('4月数据源'!$I:$I,'4月数据源'!$D:$D,$E105,'4月数据源'!$F:$F,"海南精准学科技有限公司")+SUMIFS('4月数据源'!$J:$J,'4月数据源'!$D:$D,$E105,'4月数据源'!$F:$F,"海南精准学科技有限公司")</f>
        <v/>
      </c>
      <c r="J105" s="89">
        <f>-SUMIFS('5月数据源'!$I:$I,'5月数据源'!$D:$D,$E105,'5月数据源'!$F:$F,"海南精准学科技有限公司")+SUMIFS('5月数据源'!$J:$J,'5月数据源'!$D:$D,$E105,'5月数据源'!$F:$F,"海南精准学科技有限公司")</f>
        <v/>
      </c>
      <c r="K105" s="89">
        <f>-SUMIFS('6月数据源'!$I:$I,'6月数据源'!$D:$D,$E105,'6月数据源'!$F:$F,"海南精准学科技有限公司")+SUMIFS('6月数据源'!$J:$J,'6月数据源'!$D:$D,$E105,'6月数据源'!$F:$F,"海南精准学科技有限公司")</f>
        <v/>
      </c>
      <c r="L105" s="89">
        <f>-SUMIFS('7月数据源'!$I:$I,'7月数据源'!$D:$D,$E105,'7月数据源'!$F:$F,"海南精准学科技有限公司")+SUMIFS('7月数据源'!$J:$J,'7月数据源'!$D:$D,$E105,'7月数据源'!$F:$F,"海南精准学科技有限公司")</f>
        <v/>
      </c>
      <c r="M105" s="89">
        <f>-SUMIFS('8月数据源'!$I:$I,'8月数据源'!$D:$D,$E105,'8月数据源'!$F:$F,"海南精准学科技有限公司")+SUMIFS('8月数据源'!$J:$J,'8月数据源'!$D:$D,$E105,'8月数据源'!$F:$F,"海南精准学科技有限公司")</f>
        <v/>
      </c>
      <c r="N105" s="89">
        <f>-SUMIFS('9月数据源'!$I:$I,'9月数据源'!$D:$D,$E105,'9月数据源'!$F:$F,"海南精准学科技有限公司")+SUMIFS('9月数据源'!$J:$J,'9月数据源'!$D:$D,$E105,'9月数据源'!$F:$F,"海南精准学科技有限公司")</f>
        <v/>
      </c>
      <c r="O105" s="89">
        <f>-SUMIFS('10月数据源'!$I:$I,'10月数据源'!$D:$D,$E105,'10月数据源'!$F:$F,"海南精准学科技有限公司")+SUMIFS('10月数据源'!$J:$J,'10月数据源'!$D:$D,$E105,'10月数据源'!$F:$F,"海南精准学科技有限公司")</f>
        <v/>
      </c>
      <c r="P105" s="89">
        <f>-SUMIFS('11月数据源'!$I:$I,'11月数据源'!$D:$D,$E105,'11月数据源'!$F:$F,"海南精准学科技有限公司")+SUMIFS('11月数据源'!$J:$J,'11月数据源'!$D:$D,$E105,'11月数据源'!$F:$F,"海南精准学科技有限公司")</f>
        <v/>
      </c>
      <c r="Q105" s="89">
        <f>-SUMIFS('12月数据源'!$I:$I,'12月数据源'!$D:$D,$E105,'12月数据源'!$F:$F,"海南精准学科技有限公司")+SUMIFS('12月数据源'!$J:$J,'12月数据源'!$D:$D,$E105,'12月数据源'!$F:$F,"海南精准学科技有限公司")</f>
        <v/>
      </c>
    </row>
    <row r="106" s="83">
      <c r="A106" s="5" t="inlineStr">
        <is>
          <t>销售费用</t>
        </is>
      </c>
      <c r="B106" s="6" t="inlineStr">
        <is>
          <t>内容种草</t>
        </is>
      </c>
      <c r="D106" s="5" t="inlineStr">
        <is>
          <t>抖音平台种草-种草通</t>
        </is>
      </c>
      <c r="E106" s="6" t="inlineStr">
        <is>
          <t>Q1902</t>
        </is>
      </c>
      <c r="F106" s="89">
        <f>-SUMIFS('1月数据源'!I:I,'1月数据源'!D:D,E106,'1月数据源'!F:F,"海南精准学科技有限公司")+SUMIFS('1月数据源'!J:J,'1月数据源'!D:D,E106,'1月数据源'!F:F,"海南精准学科技有限公司")</f>
        <v/>
      </c>
      <c r="G106" s="89">
        <f>-SUMIFS('2月数据源'!$I:$I,'2月数据源'!$D:$D,$E106,'2月数据源'!$F:$F,"海南精准学科技有限公司")+SUMIFS('2月数据源'!$J:$J,'2月数据源'!$D:$D,$E106,'2月数据源'!$F:$F,"海南精准学科技有限公司")</f>
        <v/>
      </c>
      <c r="H106" s="89">
        <f>-SUMIFS('3月数据源'!$I:$I,'3月数据源'!$D:$D,$E106,'3月数据源'!$F:$F,"海南精准学科技有限公司")+SUMIFS('3月数据源'!$J:$J,'3月数据源'!$D:$D,$E106,'3月数据源'!$F:$F,"海南精准学科技有限公司")</f>
        <v/>
      </c>
      <c r="I106" s="89">
        <f>-SUMIFS('4月数据源'!$I:$I,'4月数据源'!$D:$D,$E106,'4月数据源'!$F:$F,"海南精准学科技有限公司")+SUMIFS('4月数据源'!$J:$J,'4月数据源'!$D:$D,$E106,'4月数据源'!$F:$F,"海南精准学科技有限公司")</f>
        <v/>
      </c>
      <c r="J106" s="89">
        <f>-SUMIFS('5月数据源'!$I:$I,'5月数据源'!$D:$D,$E106,'5月数据源'!$F:$F,"海南精准学科技有限公司")+SUMIFS('5月数据源'!$J:$J,'5月数据源'!$D:$D,$E106,'5月数据源'!$F:$F,"海南精准学科技有限公司")</f>
        <v/>
      </c>
      <c r="K106" s="89">
        <f>-SUMIFS('6月数据源'!$I:$I,'6月数据源'!$D:$D,$E106,'6月数据源'!$F:$F,"海南精准学科技有限公司")+SUMIFS('6月数据源'!$J:$J,'6月数据源'!$D:$D,$E106,'6月数据源'!$F:$F,"海南精准学科技有限公司")</f>
        <v/>
      </c>
      <c r="L106" s="89">
        <f>-SUMIFS('7月数据源'!$I:$I,'7月数据源'!$D:$D,$E106,'7月数据源'!$F:$F,"海南精准学科技有限公司")+SUMIFS('7月数据源'!$J:$J,'7月数据源'!$D:$D,$E106,'7月数据源'!$F:$F,"海南精准学科技有限公司")</f>
        <v/>
      </c>
      <c r="M106" s="89">
        <f>-SUMIFS('8月数据源'!$I:$I,'8月数据源'!$D:$D,$E106,'8月数据源'!$F:$F,"海南精准学科技有限公司")+SUMIFS('8月数据源'!$J:$J,'8月数据源'!$D:$D,$E106,'8月数据源'!$F:$F,"海南精准学科技有限公司")</f>
        <v/>
      </c>
      <c r="N106" s="89">
        <f>-SUMIFS('9月数据源'!$I:$I,'9月数据源'!$D:$D,$E106,'9月数据源'!$F:$F,"海南精准学科技有限公司")+SUMIFS('9月数据源'!$J:$J,'9月数据源'!$D:$D,$E106,'9月数据源'!$F:$F,"海南精准学科技有限公司")</f>
        <v/>
      </c>
      <c r="O106" s="89">
        <f>-SUMIFS('10月数据源'!$I:$I,'10月数据源'!$D:$D,$E106,'10月数据源'!$F:$F,"海南精准学科技有限公司")+SUMIFS('10月数据源'!$J:$J,'10月数据源'!$D:$D,$E106,'10月数据源'!$F:$F,"海南精准学科技有限公司")</f>
        <v/>
      </c>
      <c r="P106" s="89">
        <f>-SUMIFS('11月数据源'!$I:$I,'11月数据源'!$D:$D,$E106,'11月数据源'!$F:$F,"海南精准学科技有限公司")+SUMIFS('11月数据源'!$J:$J,'11月数据源'!$D:$D,$E106,'11月数据源'!$F:$F,"海南精准学科技有限公司")</f>
        <v/>
      </c>
      <c r="Q106" s="89">
        <f>-SUMIFS('12月数据源'!$I:$I,'12月数据源'!$D:$D,$E106,'12月数据源'!$F:$F,"海南精准学科技有限公司")+SUMIFS('12月数据源'!$J:$J,'12月数据源'!$D:$D,$E106,'12月数据源'!$F:$F,"海南精准学科技有限公司")</f>
        <v/>
      </c>
    </row>
    <row r="107" s="83">
      <c r="A107" s="5" t="inlineStr">
        <is>
          <t>销售费用</t>
        </is>
      </c>
      <c r="B107" s="6" t="inlineStr">
        <is>
          <t>内容种草</t>
        </is>
      </c>
      <c r="D107" s="5" t="inlineStr">
        <is>
          <t>抖音平台种草-达人合作</t>
        </is>
      </c>
      <c r="E107" s="6" t="inlineStr">
        <is>
          <t>Q1903</t>
        </is>
      </c>
      <c r="F107" s="89">
        <f>-SUMIFS('1月数据源'!I:I,'1月数据源'!D:D,E107,'1月数据源'!F:F,"海南精准学科技有限公司")+SUMIFS('1月数据源'!J:J,'1月数据源'!D:D,E107,'1月数据源'!F:F,"海南精准学科技有限公司")</f>
        <v/>
      </c>
      <c r="G107" s="89">
        <f>-SUMIFS('2月数据源'!$I:$I,'2月数据源'!$D:$D,$E107,'2月数据源'!$F:$F,"海南精准学科技有限公司")+SUMIFS('2月数据源'!$J:$J,'2月数据源'!$D:$D,$E107,'2月数据源'!$F:$F,"海南精准学科技有限公司")</f>
        <v/>
      </c>
      <c r="H107" s="89">
        <f>-SUMIFS('3月数据源'!$I:$I,'3月数据源'!$D:$D,$E107,'3月数据源'!$F:$F,"海南精准学科技有限公司")+SUMIFS('3月数据源'!$J:$J,'3月数据源'!$D:$D,$E107,'3月数据源'!$F:$F,"海南精准学科技有限公司")</f>
        <v/>
      </c>
      <c r="I107" s="89">
        <f>-SUMIFS('4月数据源'!$I:$I,'4月数据源'!$D:$D,$E107,'4月数据源'!$F:$F,"海南精准学科技有限公司")+SUMIFS('4月数据源'!$J:$J,'4月数据源'!$D:$D,$E107,'4月数据源'!$F:$F,"海南精准学科技有限公司")</f>
        <v/>
      </c>
      <c r="J107" s="89">
        <f>-SUMIFS('5月数据源'!$I:$I,'5月数据源'!$D:$D,$E107,'5月数据源'!$F:$F,"海南精准学科技有限公司")+SUMIFS('5月数据源'!$J:$J,'5月数据源'!$D:$D,$E107,'5月数据源'!$F:$F,"海南精准学科技有限公司")</f>
        <v/>
      </c>
      <c r="K107" s="89">
        <f>-SUMIFS('6月数据源'!$I:$I,'6月数据源'!$D:$D,$E107,'6月数据源'!$F:$F,"海南精准学科技有限公司")+SUMIFS('6月数据源'!$J:$J,'6月数据源'!$D:$D,$E107,'6月数据源'!$F:$F,"海南精准学科技有限公司")</f>
        <v/>
      </c>
      <c r="L107" s="89">
        <f>-SUMIFS('7月数据源'!$I:$I,'7月数据源'!$D:$D,$E107,'7月数据源'!$F:$F,"海南精准学科技有限公司")+SUMIFS('7月数据源'!$J:$J,'7月数据源'!$D:$D,$E107,'7月数据源'!$F:$F,"海南精准学科技有限公司")</f>
        <v/>
      </c>
      <c r="M107" s="89">
        <f>-SUMIFS('8月数据源'!$I:$I,'8月数据源'!$D:$D,$E107,'8月数据源'!$F:$F,"海南精准学科技有限公司")+SUMIFS('8月数据源'!$J:$J,'8月数据源'!$D:$D,$E107,'8月数据源'!$F:$F,"海南精准学科技有限公司")</f>
        <v/>
      </c>
      <c r="N107" s="89">
        <f>-SUMIFS('9月数据源'!$I:$I,'9月数据源'!$D:$D,$E107,'9月数据源'!$F:$F,"海南精准学科技有限公司")+SUMIFS('9月数据源'!$J:$J,'9月数据源'!$D:$D,$E107,'9月数据源'!$F:$F,"海南精准学科技有限公司")</f>
        <v/>
      </c>
      <c r="O107" s="89">
        <f>-SUMIFS('10月数据源'!$I:$I,'10月数据源'!$D:$D,$E107,'10月数据源'!$F:$F,"海南精准学科技有限公司")+SUMIFS('10月数据源'!$J:$J,'10月数据源'!$D:$D,$E107,'10月数据源'!$F:$F,"海南精准学科技有限公司")</f>
        <v/>
      </c>
      <c r="P107" s="89">
        <f>-SUMIFS('11月数据源'!$I:$I,'11月数据源'!$D:$D,$E107,'11月数据源'!$F:$F,"海南精准学科技有限公司")+SUMIFS('11月数据源'!$J:$J,'11月数据源'!$D:$D,$E107,'11月数据源'!$F:$F,"海南精准学科技有限公司")</f>
        <v/>
      </c>
      <c r="Q107" s="89">
        <f>-SUMIFS('12月数据源'!$I:$I,'12月数据源'!$D:$D,$E107,'12月数据源'!$F:$F,"海南精准学科技有限公司")+SUMIFS('12月数据源'!$J:$J,'12月数据源'!$D:$D,$E107,'12月数据源'!$F:$F,"海南精准学科技有限公司")</f>
        <v/>
      </c>
    </row>
    <row r="108" s="83">
      <c r="A108" s="5" t="inlineStr">
        <is>
          <t>销售费用</t>
        </is>
      </c>
      <c r="B108" s="6" t="inlineStr">
        <is>
          <t>内容种草</t>
        </is>
      </c>
      <c r="D108" s="5" t="inlineStr">
        <is>
          <t>小红书平台种草-达人合作</t>
        </is>
      </c>
      <c r="E108" s="6" t="inlineStr">
        <is>
          <t>Q1904</t>
        </is>
      </c>
      <c r="F108" s="89">
        <f>-SUMIFS('1月数据源'!I:I,'1月数据源'!D:D,E108,'1月数据源'!F:F,"海南精准学科技有限公司")+SUMIFS('1月数据源'!J:J,'1月数据源'!D:D,E108,'1月数据源'!F:F,"海南精准学科技有限公司")</f>
        <v/>
      </c>
      <c r="G108" s="89">
        <f>-SUMIFS('2月数据源'!$I:$I,'2月数据源'!$D:$D,$E108,'2月数据源'!$F:$F,"海南精准学科技有限公司")+SUMIFS('2月数据源'!$J:$J,'2月数据源'!$D:$D,$E108,'2月数据源'!$F:$F,"海南精准学科技有限公司")</f>
        <v/>
      </c>
      <c r="H108" s="89">
        <f>-SUMIFS('3月数据源'!$I:$I,'3月数据源'!$D:$D,$E108,'3月数据源'!$F:$F,"海南精准学科技有限公司")+SUMIFS('3月数据源'!$J:$J,'3月数据源'!$D:$D,$E108,'3月数据源'!$F:$F,"海南精准学科技有限公司")</f>
        <v/>
      </c>
      <c r="I108" s="89">
        <f>-SUMIFS('4月数据源'!$I:$I,'4月数据源'!$D:$D,$E108,'4月数据源'!$F:$F,"海南精准学科技有限公司")+SUMIFS('4月数据源'!$J:$J,'4月数据源'!$D:$D,$E108,'4月数据源'!$F:$F,"海南精准学科技有限公司")</f>
        <v/>
      </c>
      <c r="J108" s="89">
        <f>-SUMIFS('5月数据源'!$I:$I,'5月数据源'!$D:$D,$E108,'5月数据源'!$F:$F,"海南精准学科技有限公司")+SUMIFS('5月数据源'!$J:$J,'5月数据源'!$D:$D,$E108,'5月数据源'!$F:$F,"海南精准学科技有限公司")</f>
        <v/>
      </c>
      <c r="K108" s="89">
        <f>-SUMIFS('6月数据源'!$I:$I,'6月数据源'!$D:$D,$E108,'6月数据源'!$F:$F,"海南精准学科技有限公司")+SUMIFS('6月数据源'!$J:$J,'6月数据源'!$D:$D,$E108,'6月数据源'!$F:$F,"海南精准学科技有限公司")</f>
        <v/>
      </c>
      <c r="L108" s="89">
        <f>-SUMIFS('7月数据源'!$I:$I,'7月数据源'!$D:$D,$E108,'7月数据源'!$F:$F,"海南精准学科技有限公司")+SUMIFS('7月数据源'!$J:$J,'7月数据源'!$D:$D,$E108,'7月数据源'!$F:$F,"海南精准学科技有限公司")</f>
        <v/>
      </c>
      <c r="M108" s="89">
        <f>-SUMIFS('8月数据源'!$I:$I,'8月数据源'!$D:$D,$E108,'8月数据源'!$F:$F,"海南精准学科技有限公司")+SUMIFS('8月数据源'!$J:$J,'8月数据源'!$D:$D,$E108,'8月数据源'!$F:$F,"海南精准学科技有限公司")</f>
        <v/>
      </c>
      <c r="N108" s="89">
        <f>-SUMIFS('9月数据源'!$I:$I,'9月数据源'!$D:$D,$E108,'9月数据源'!$F:$F,"海南精准学科技有限公司")+SUMIFS('9月数据源'!$J:$J,'9月数据源'!$D:$D,$E108,'9月数据源'!$F:$F,"海南精准学科技有限公司")</f>
        <v/>
      </c>
      <c r="O108" s="89">
        <f>-SUMIFS('10月数据源'!$I:$I,'10月数据源'!$D:$D,$E108,'10月数据源'!$F:$F,"海南精准学科技有限公司")+SUMIFS('10月数据源'!$J:$J,'10月数据源'!$D:$D,$E108,'10月数据源'!$F:$F,"海南精准学科技有限公司")</f>
        <v/>
      </c>
      <c r="P108" s="89">
        <f>-SUMIFS('11月数据源'!$I:$I,'11月数据源'!$D:$D,$E108,'11月数据源'!$F:$F,"海南精准学科技有限公司")+SUMIFS('11月数据源'!$J:$J,'11月数据源'!$D:$D,$E108,'11月数据源'!$F:$F,"海南精准学科技有限公司")</f>
        <v/>
      </c>
      <c r="Q108" s="89">
        <f>-SUMIFS('12月数据源'!$I:$I,'12月数据源'!$D:$D,$E108,'12月数据源'!$F:$F,"海南精准学科技有限公司")+SUMIFS('12月数据源'!$J:$J,'12月数据源'!$D:$D,$E108,'12月数据源'!$F:$F,"海南精准学科技有限公司")</f>
        <v/>
      </c>
    </row>
    <row r="109" s="83">
      <c r="A109" s="5" t="inlineStr">
        <is>
          <t>销售费用</t>
        </is>
      </c>
      <c r="B109" s="6" t="inlineStr">
        <is>
          <t>内容种草</t>
        </is>
      </c>
      <c r="D109" s="5" t="inlineStr">
        <is>
          <t>全平台种草-达人合作</t>
        </is>
      </c>
      <c r="E109" s="6" t="inlineStr">
        <is>
          <t>Q1905</t>
        </is>
      </c>
      <c r="F109" s="89">
        <f>-SUMIFS('1月数据源'!I:I,'1月数据源'!D:D,E109,'1月数据源'!F:F,"海南精准学科技有限公司")+SUMIFS('1月数据源'!J:J,'1月数据源'!D:D,E109,'1月数据源'!F:F,"海南精准学科技有限公司")</f>
        <v/>
      </c>
      <c r="G109" s="89">
        <f>-SUMIFS('2月数据源'!$I:$I,'2月数据源'!$D:$D,$E109,'2月数据源'!$F:$F,"海南精准学科技有限公司")+SUMIFS('2月数据源'!$J:$J,'2月数据源'!$D:$D,$E109,'2月数据源'!$F:$F,"海南精准学科技有限公司")</f>
        <v/>
      </c>
      <c r="H109" s="89">
        <f>-SUMIFS('3月数据源'!$I:$I,'3月数据源'!$D:$D,$E109,'3月数据源'!$F:$F,"海南精准学科技有限公司")+SUMIFS('3月数据源'!$J:$J,'3月数据源'!$D:$D,$E109,'3月数据源'!$F:$F,"海南精准学科技有限公司")</f>
        <v/>
      </c>
      <c r="I109" s="89">
        <f>-SUMIFS('4月数据源'!$I:$I,'4月数据源'!$D:$D,$E109,'4月数据源'!$F:$F,"海南精准学科技有限公司")+SUMIFS('4月数据源'!$J:$J,'4月数据源'!$D:$D,$E109,'4月数据源'!$F:$F,"海南精准学科技有限公司")</f>
        <v/>
      </c>
      <c r="J109" s="89">
        <f>-SUMIFS('5月数据源'!$I:$I,'5月数据源'!$D:$D,$E109,'5月数据源'!$F:$F,"海南精准学科技有限公司")+SUMIFS('5月数据源'!$J:$J,'5月数据源'!$D:$D,$E109,'5月数据源'!$F:$F,"海南精准学科技有限公司")</f>
        <v/>
      </c>
      <c r="K109" s="89">
        <f>-SUMIFS('6月数据源'!$I:$I,'6月数据源'!$D:$D,$E109,'6月数据源'!$F:$F,"海南精准学科技有限公司")+SUMIFS('6月数据源'!$J:$J,'6月数据源'!$D:$D,$E109,'6月数据源'!$F:$F,"海南精准学科技有限公司")</f>
        <v/>
      </c>
      <c r="L109" s="89">
        <f>-SUMIFS('7月数据源'!$I:$I,'7月数据源'!$D:$D,$E109,'7月数据源'!$F:$F,"海南精准学科技有限公司")+SUMIFS('7月数据源'!$J:$J,'7月数据源'!$D:$D,$E109,'7月数据源'!$F:$F,"海南精准学科技有限公司")</f>
        <v/>
      </c>
      <c r="M109" s="89">
        <f>-SUMIFS('8月数据源'!$I:$I,'8月数据源'!$D:$D,$E109,'8月数据源'!$F:$F,"海南精准学科技有限公司")+SUMIFS('8月数据源'!$J:$J,'8月数据源'!$D:$D,$E109,'8月数据源'!$F:$F,"海南精准学科技有限公司")</f>
        <v/>
      </c>
      <c r="N109" s="89">
        <f>-SUMIFS('9月数据源'!$I:$I,'9月数据源'!$D:$D,$E109,'9月数据源'!$F:$F,"海南精准学科技有限公司")+SUMIFS('9月数据源'!$J:$J,'9月数据源'!$D:$D,$E109,'9月数据源'!$F:$F,"海南精准学科技有限公司")</f>
        <v/>
      </c>
      <c r="O109" s="89">
        <f>-SUMIFS('10月数据源'!$I:$I,'10月数据源'!$D:$D,$E109,'10月数据源'!$F:$F,"海南精准学科技有限公司")+SUMIFS('10月数据源'!$J:$J,'10月数据源'!$D:$D,$E109,'10月数据源'!$F:$F,"海南精准学科技有限公司")</f>
        <v/>
      </c>
      <c r="P109" s="89">
        <f>-SUMIFS('11月数据源'!$I:$I,'11月数据源'!$D:$D,$E109,'11月数据源'!$F:$F,"海南精准学科技有限公司")+SUMIFS('11月数据源'!$J:$J,'11月数据源'!$D:$D,$E109,'11月数据源'!$F:$F,"海南精准学科技有限公司")</f>
        <v/>
      </c>
      <c r="Q109" s="89">
        <f>-SUMIFS('12月数据源'!$I:$I,'12月数据源'!$D:$D,$E109,'12月数据源'!$F:$F,"海南精准学科技有限公司")+SUMIFS('12月数据源'!$J:$J,'12月数据源'!$D:$D,$E109,'12月数据源'!$F:$F,"海南精准学科技有限公司")</f>
        <v/>
      </c>
    </row>
    <row r="110" s="83">
      <c r="A110" s="5" t="inlineStr">
        <is>
          <t>销售费用</t>
        </is>
      </c>
      <c r="B110" s="6" t="inlineStr">
        <is>
          <t>内容种草</t>
        </is>
      </c>
      <c r="D110" s="5" t="inlineStr">
        <is>
          <t>小红书种草充值</t>
        </is>
      </c>
      <c r="E110" s="6" t="inlineStr">
        <is>
          <t>Q1906</t>
        </is>
      </c>
      <c r="F110" s="89">
        <f>-SUMIFS('1月数据源'!I:I,'1月数据源'!D:D,E110,'1月数据源'!F:F,"海南精准学科技有限公司")+SUMIFS('1月数据源'!J:J,'1月数据源'!D:D,E110,'1月数据源'!F:F,"海南精准学科技有限公司")</f>
        <v/>
      </c>
      <c r="G110" s="89">
        <f>-SUMIFS('2月数据源'!$I:$I,'2月数据源'!$D:$D,$E110,'2月数据源'!$F:$F,"海南精准学科技有限公司")+SUMIFS('2月数据源'!$J:$J,'2月数据源'!$D:$D,$E110,'2月数据源'!$F:$F,"海南精准学科技有限公司")</f>
        <v/>
      </c>
      <c r="H110" s="89">
        <f>-SUMIFS('3月数据源'!$I:$I,'3月数据源'!$D:$D,$E110,'3月数据源'!$F:$F,"海南精准学科技有限公司")+SUMIFS('3月数据源'!$J:$J,'3月数据源'!$D:$D,$E110,'3月数据源'!$F:$F,"海南精准学科技有限公司")</f>
        <v/>
      </c>
      <c r="I110" s="89">
        <f>-SUMIFS('4月数据源'!$I:$I,'4月数据源'!$D:$D,$E110,'4月数据源'!$F:$F,"海南精准学科技有限公司")+SUMIFS('4月数据源'!$J:$J,'4月数据源'!$D:$D,$E110,'4月数据源'!$F:$F,"海南精准学科技有限公司")</f>
        <v/>
      </c>
      <c r="J110" s="89">
        <f>-SUMIFS('5月数据源'!$I:$I,'5月数据源'!$D:$D,$E110,'5月数据源'!$F:$F,"海南精准学科技有限公司")+SUMIFS('5月数据源'!$J:$J,'5月数据源'!$D:$D,$E110,'5月数据源'!$F:$F,"海南精准学科技有限公司")</f>
        <v/>
      </c>
      <c r="K110" s="89">
        <f>-SUMIFS('6月数据源'!$I:$I,'6月数据源'!$D:$D,$E110,'6月数据源'!$F:$F,"海南精准学科技有限公司")+SUMIFS('6月数据源'!$J:$J,'6月数据源'!$D:$D,$E110,'6月数据源'!$F:$F,"海南精准学科技有限公司")</f>
        <v/>
      </c>
      <c r="L110" s="89">
        <f>-SUMIFS('7月数据源'!$I:$I,'7月数据源'!$D:$D,$E110,'7月数据源'!$F:$F,"海南精准学科技有限公司")+SUMIFS('7月数据源'!$J:$J,'7月数据源'!$D:$D,$E110,'7月数据源'!$F:$F,"海南精准学科技有限公司")</f>
        <v/>
      </c>
      <c r="M110" s="89">
        <f>-SUMIFS('8月数据源'!$I:$I,'8月数据源'!$D:$D,$E110,'8月数据源'!$F:$F,"海南精准学科技有限公司")+SUMIFS('8月数据源'!$J:$J,'8月数据源'!$D:$D,$E110,'8月数据源'!$F:$F,"海南精准学科技有限公司")</f>
        <v/>
      </c>
      <c r="N110" s="89">
        <f>-SUMIFS('9月数据源'!$I:$I,'9月数据源'!$D:$D,$E110,'9月数据源'!$F:$F,"海南精准学科技有限公司")+SUMIFS('9月数据源'!$J:$J,'9月数据源'!$D:$D,$E110,'9月数据源'!$F:$F,"海南精准学科技有限公司")</f>
        <v/>
      </c>
      <c r="O110" s="89">
        <f>-SUMIFS('10月数据源'!$I:$I,'10月数据源'!$D:$D,$E110,'10月数据源'!$F:$F,"海南精准学科技有限公司")+SUMIFS('10月数据源'!$J:$J,'10月数据源'!$D:$D,$E110,'10月数据源'!$F:$F,"海南精准学科技有限公司")</f>
        <v/>
      </c>
      <c r="P110" s="89">
        <f>-SUMIFS('11月数据源'!$I:$I,'11月数据源'!$D:$D,$E110,'11月数据源'!$F:$F,"海南精准学科技有限公司")+SUMIFS('11月数据源'!$J:$J,'11月数据源'!$D:$D,$E110,'11月数据源'!$F:$F,"海南精准学科技有限公司")</f>
        <v/>
      </c>
      <c r="Q110" s="89">
        <f>-SUMIFS('12月数据源'!$I:$I,'12月数据源'!$D:$D,$E110,'12月数据源'!$F:$F,"海南精准学科技有限公司")+SUMIFS('12月数据源'!$J:$J,'12月数据源'!$D:$D,$E110,'12月数据源'!$F:$F,"海南精准学科技有限公司")</f>
        <v/>
      </c>
    </row>
    <row r="111" s="83">
      <c r="A111" s="5" t="inlineStr">
        <is>
          <t>销售费用</t>
        </is>
      </c>
      <c r="B111" s="6" t="inlineStr">
        <is>
          <t>投放转化</t>
        </is>
      </c>
      <c r="C111" s="6" t="inlineStr">
        <is>
          <t>投放转化</t>
        </is>
      </c>
      <c r="D111" s="5" t="inlineStr">
        <is>
          <t>信息流视频制作</t>
        </is>
      </c>
      <c r="E111" s="6" t="inlineStr">
        <is>
          <t>Q2001</t>
        </is>
      </c>
      <c r="F111" s="89">
        <f>-SUMIFS('1月数据源'!I:I,'1月数据源'!D:D,E111,'1月数据源'!F:F,"海南精准学科技有限公司")+SUMIFS('1月数据源'!J:J,'1月数据源'!D:D,E111,'1月数据源'!F:F,"海南精准学科技有限公司")</f>
        <v/>
      </c>
      <c r="G111" s="89">
        <f>-SUMIFS('2月数据源'!$I:$I,'2月数据源'!$D:$D,$E111,'2月数据源'!$F:$F,"海南精准学科技有限公司")+SUMIFS('2月数据源'!$J:$J,'2月数据源'!$D:$D,$E111,'2月数据源'!$F:$F,"海南精准学科技有限公司")</f>
        <v/>
      </c>
      <c r="H111" s="89">
        <f>-SUMIFS('3月数据源'!$I:$I,'3月数据源'!$D:$D,$E111,'3月数据源'!$F:$F,"海南精准学科技有限公司")+SUMIFS('3月数据源'!$J:$J,'3月数据源'!$D:$D,$E111,'3月数据源'!$F:$F,"海南精准学科技有限公司")</f>
        <v/>
      </c>
      <c r="I111" s="89">
        <f>-SUMIFS('4月数据源'!$I:$I,'4月数据源'!$D:$D,$E111,'4月数据源'!$F:$F,"海南精准学科技有限公司")+SUMIFS('4月数据源'!$J:$J,'4月数据源'!$D:$D,$E111,'4月数据源'!$F:$F,"海南精准学科技有限公司")</f>
        <v/>
      </c>
      <c r="J111" s="89">
        <f>-SUMIFS('5月数据源'!$I:$I,'5月数据源'!$D:$D,$E111,'5月数据源'!$F:$F,"海南精准学科技有限公司")+SUMIFS('5月数据源'!$J:$J,'5月数据源'!$D:$D,$E111,'5月数据源'!$F:$F,"海南精准学科技有限公司")</f>
        <v/>
      </c>
      <c r="K111" s="89">
        <f>-SUMIFS('6月数据源'!$I:$I,'6月数据源'!$D:$D,$E111,'6月数据源'!$F:$F,"海南精准学科技有限公司")+SUMIFS('6月数据源'!$J:$J,'6月数据源'!$D:$D,$E111,'6月数据源'!$F:$F,"海南精准学科技有限公司")</f>
        <v/>
      </c>
      <c r="L111" s="89">
        <f>-SUMIFS('7月数据源'!$I:$I,'7月数据源'!$D:$D,$E111,'7月数据源'!$F:$F,"海南精准学科技有限公司")+SUMIFS('7月数据源'!$J:$J,'7月数据源'!$D:$D,$E111,'7月数据源'!$F:$F,"海南精准学科技有限公司")</f>
        <v/>
      </c>
      <c r="M111" s="89">
        <f>-SUMIFS('8月数据源'!$I:$I,'8月数据源'!$D:$D,$E111,'8月数据源'!$F:$F,"海南精准学科技有限公司")+SUMIFS('8月数据源'!$J:$J,'8月数据源'!$D:$D,$E111,'8月数据源'!$F:$F,"海南精准学科技有限公司")</f>
        <v/>
      </c>
      <c r="N111" s="89">
        <f>-SUMIFS('9月数据源'!$I:$I,'9月数据源'!$D:$D,$E111,'9月数据源'!$F:$F,"海南精准学科技有限公司")+SUMIFS('9月数据源'!$J:$J,'9月数据源'!$D:$D,$E111,'9月数据源'!$F:$F,"海南精准学科技有限公司")</f>
        <v/>
      </c>
      <c r="O111" s="89">
        <f>-SUMIFS('10月数据源'!$I:$I,'10月数据源'!$D:$D,$E111,'10月数据源'!$F:$F,"海南精准学科技有限公司")+SUMIFS('10月数据源'!$J:$J,'10月数据源'!$D:$D,$E111,'10月数据源'!$F:$F,"海南精准学科技有限公司")</f>
        <v/>
      </c>
      <c r="P111" s="89">
        <f>-SUMIFS('11月数据源'!$I:$I,'11月数据源'!$D:$D,$E111,'11月数据源'!$F:$F,"海南精准学科技有限公司")+SUMIFS('11月数据源'!$J:$J,'11月数据源'!$D:$D,$E111,'11月数据源'!$F:$F,"海南精准学科技有限公司")</f>
        <v/>
      </c>
      <c r="Q111" s="89">
        <f>-SUMIFS('12月数据源'!$I:$I,'12月数据源'!$D:$D,$E111,'12月数据源'!$F:$F,"海南精准学科技有限公司")+SUMIFS('12月数据源'!$J:$J,'12月数据源'!$D:$D,$E111,'12月数据源'!$F:$F,"海南精准学科技有限公司")</f>
        <v/>
      </c>
    </row>
    <row r="112" s="83">
      <c r="A112" s="5" t="inlineStr">
        <is>
          <t>销售费用</t>
        </is>
      </c>
      <c r="B112" s="6" t="inlineStr">
        <is>
          <t>投放转化</t>
        </is>
      </c>
      <c r="D112" s="5" t="inlineStr">
        <is>
          <t>抖音投放充值</t>
        </is>
      </c>
      <c r="E112" s="6" t="inlineStr">
        <is>
          <t>Q2002</t>
        </is>
      </c>
      <c r="F112" s="89">
        <f>-SUMIFS('1月数据源'!I:I,'1月数据源'!D:D,E112,'1月数据源'!F:F,"海南精准学科技有限公司")+SUMIFS('1月数据源'!J:J,'1月数据源'!D:D,E112,'1月数据源'!F:F,"海南精准学科技有限公司")</f>
        <v/>
      </c>
      <c r="G112" s="89">
        <f>-SUMIFS('2月数据源'!$I:$I,'2月数据源'!$D:$D,$E112,'2月数据源'!$F:$F,"海南精准学科技有限公司")+SUMIFS('2月数据源'!$J:$J,'2月数据源'!$D:$D,$E112,'2月数据源'!$F:$F,"海南精准学科技有限公司")</f>
        <v/>
      </c>
      <c r="H112" s="89">
        <f>-SUMIFS('3月数据源'!$I:$I,'3月数据源'!$D:$D,$E112,'3月数据源'!$F:$F,"海南精准学科技有限公司")+SUMIFS('3月数据源'!$J:$J,'3月数据源'!$D:$D,$E112,'3月数据源'!$F:$F,"海南精准学科技有限公司")</f>
        <v/>
      </c>
      <c r="I112" s="89">
        <f>-SUMIFS('4月数据源'!$I:$I,'4月数据源'!$D:$D,$E112,'4月数据源'!$F:$F,"海南精准学科技有限公司")+SUMIFS('4月数据源'!$J:$J,'4月数据源'!$D:$D,$E112,'4月数据源'!$F:$F,"海南精准学科技有限公司")</f>
        <v/>
      </c>
      <c r="J112" s="89">
        <f>-SUMIFS('5月数据源'!$I:$I,'5月数据源'!$D:$D,$E112,'5月数据源'!$F:$F,"海南精准学科技有限公司")+SUMIFS('5月数据源'!$J:$J,'5月数据源'!$D:$D,$E112,'5月数据源'!$F:$F,"海南精准学科技有限公司")</f>
        <v/>
      </c>
      <c r="K112" s="89">
        <f>-SUMIFS('6月数据源'!$I:$I,'6月数据源'!$D:$D,$E112,'6月数据源'!$F:$F,"海南精准学科技有限公司")+SUMIFS('6月数据源'!$J:$J,'6月数据源'!$D:$D,$E112,'6月数据源'!$F:$F,"海南精准学科技有限公司")</f>
        <v/>
      </c>
      <c r="L112" s="89">
        <f>-SUMIFS('7月数据源'!$I:$I,'7月数据源'!$D:$D,$E112,'7月数据源'!$F:$F,"海南精准学科技有限公司")+SUMIFS('7月数据源'!$J:$J,'7月数据源'!$D:$D,$E112,'7月数据源'!$F:$F,"海南精准学科技有限公司")</f>
        <v/>
      </c>
      <c r="M112" s="89">
        <f>-SUMIFS('8月数据源'!$I:$I,'8月数据源'!$D:$D,$E112,'8月数据源'!$F:$F,"海南精准学科技有限公司")+SUMIFS('8月数据源'!$J:$J,'8月数据源'!$D:$D,$E112,'8月数据源'!$F:$F,"海南精准学科技有限公司")</f>
        <v/>
      </c>
      <c r="N112" s="89">
        <f>-SUMIFS('9月数据源'!$I:$I,'9月数据源'!$D:$D,$E112,'9月数据源'!$F:$F,"海南精准学科技有限公司")+SUMIFS('9月数据源'!$J:$J,'9月数据源'!$D:$D,$E112,'9月数据源'!$F:$F,"海南精准学科技有限公司")</f>
        <v/>
      </c>
      <c r="O112" s="89">
        <f>-SUMIFS('10月数据源'!$I:$I,'10月数据源'!$D:$D,$E112,'10月数据源'!$F:$F,"海南精准学科技有限公司")+SUMIFS('10月数据源'!$J:$J,'10月数据源'!$D:$D,$E112,'10月数据源'!$F:$F,"海南精准学科技有限公司")</f>
        <v/>
      </c>
      <c r="P112" s="89">
        <f>-SUMIFS('11月数据源'!$I:$I,'11月数据源'!$D:$D,$E112,'11月数据源'!$F:$F,"海南精准学科技有限公司")+SUMIFS('11月数据源'!$J:$J,'11月数据源'!$D:$D,$E112,'11月数据源'!$F:$F,"海南精准学科技有限公司")</f>
        <v/>
      </c>
      <c r="Q112" s="89">
        <f>-SUMIFS('12月数据源'!$I:$I,'12月数据源'!$D:$D,$E112,'12月数据源'!$F:$F,"海南精准学科技有限公司")+SUMIFS('12月数据源'!$J:$J,'12月数据源'!$D:$D,$E112,'12月数据源'!$F:$F,"海南精准学科技有限公司")</f>
        <v/>
      </c>
    </row>
    <row r="113" s="83">
      <c r="A113" s="5" t="inlineStr">
        <is>
          <t>销售费用</t>
        </is>
      </c>
      <c r="B113" s="6" t="inlineStr">
        <is>
          <t>投放转化</t>
        </is>
      </c>
      <c r="D113" s="5" t="inlineStr">
        <is>
          <t>京东平台投放充值</t>
        </is>
      </c>
      <c r="E113" s="6" t="inlineStr">
        <is>
          <t>Q2003</t>
        </is>
      </c>
      <c r="F113" s="89">
        <f>-SUMIFS('1月数据源'!I:I,'1月数据源'!D:D,E113,'1月数据源'!F:F,"海南精准学科技有限公司")+SUMIFS('1月数据源'!J:J,'1月数据源'!D:D,E113,'1月数据源'!F:F,"海南精准学科技有限公司")</f>
        <v/>
      </c>
      <c r="G113" s="89">
        <f>-SUMIFS('2月数据源'!$I:$I,'2月数据源'!$D:$D,$E113,'2月数据源'!$F:$F,"海南精准学科技有限公司")+SUMIFS('2月数据源'!$J:$J,'2月数据源'!$D:$D,$E113,'2月数据源'!$F:$F,"海南精准学科技有限公司")</f>
        <v/>
      </c>
      <c r="H113" s="89">
        <f>-SUMIFS('3月数据源'!$I:$I,'3月数据源'!$D:$D,$E113,'3月数据源'!$F:$F,"海南精准学科技有限公司")+SUMIFS('3月数据源'!$J:$J,'3月数据源'!$D:$D,$E113,'3月数据源'!$F:$F,"海南精准学科技有限公司")</f>
        <v/>
      </c>
      <c r="I113" s="89">
        <f>-SUMIFS('4月数据源'!$I:$I,'4月数据源'!$D:$D,$E113,'4月数据源'!$F:$F,"海南精准学科技有限公司")+SUMIFS('4月数据源'!$J:$J,'4月数据源'!$D:$D,$E113,'4月数据源'!$F:$F,"海南精准学科技有限公司")</f>
        <v/>
      </c>
      <c r="J113" s="89">
        <f>-SUMIFS('5月数据源'!$I:$I,'5月数据源'!$D:$D,$E113,'5月数据源'!$F:$F,"海南精准学科技有限公司")+SUMIFS('5月数据源'!$J:$J,'5月数据源'!$D:$D,$E113,'5月数据源'!$F:$F,"海南精准学科技有限公司")</f>
        <v/>
      </c>
      <c r="K113" s="89">
        <f>-SUMIFS('6月数据源'!$I:$I,'6月数据源'!$D:$D,$E113,'6月数据源'!$F:$F,"海南精准学科技有限公司")+SUMIFS('6月数据源'!$J:$J,'6月数据源'!$D:$D,$E113,'6月数据源'!$F:$F,"海南精准学科技有限公司")</f>
        <v/>
      </c>
      <c r="L113" s="89">
        <f>-SUMIFS('7月数据源'!$I:$I,'7月数据源'!$D:$D,$E113,'7月数据源'!$F:$F,"海南精准学科技有限公司")+SUMIFS('7月数据源'!$J:$J,'7月数据源'!$D:$D,$E113,'7月数据源'!$F:$F,"海南精准学科技有限公司")</f>
        <v/>
      </c>
      <c r="M113" s="89">
        <f>-SUMIFS('8月数据源'!$I:$I,'8月数据源'!$D:$D,$E113,'8月数据源'!$F:$F,"海南精准学科技有限公司")+SUMIFS('8月数据源'!$J:$J,'8月数据源'!$D:$D,$E113,'8月数据源'!$F:$F,"海南精准学科技有限公司")</f>
        <v/>
      </c>
      <c r="N113" s="89">
        <f>-SUMIFS('9月数据源'!$I:$I,'9月数据源'!$D:$D,$E113,'9月数据源'!$F:$F,"海南精准学科技有限公司")+SUMIFS('9月数据源'!$J:$J,'9月数据源'!$D:$D,$E113,'9月数据源'!$F:$F,"海南精准学科技有限公司")</f>
        <v/>
      </c>
      <c r="O113" s="89">
        <f>-SUMIFS('10月数据源'!$I:$I,'10月数据源'!$D:$D,$E113,'10月数据源'!$F:$F,"海南精准学科技有限公司")+SUMIFS('10月数据源'!$J:$J,'10月数据源'!$D:$D,$E113,'10月数据源'!$F:$F,"海南精准学科技有限公司")</f>
        <v/>
      </c>
      <c r="P113" s="89">
        <f>-SUMIFS('11月数据源'!$I:$I,'11月数据源'!$D:$D,$E113,'11月数据源'!$F:$F,"海南精准学科技有限公司")+SUMIFS('11月数据源'!$J:$J,'11月数据源'!$D:$D,$E113,'11月数据源'!$F:$F,"海南精准学科技有限公司")</f>
        <v/>
      </c>
      <c r="Q113" s="89">
        <f>-SUMIFS('12月数据源'!$I:$I,'12月数据源'!$D:$D,$E113,'12月数据源'!$F:$F,"海南精准学科技有限公司")+SUMIFS('12月数据源'!$J:$J,'12月数据源'!$D:$D,$E113,'12月数据源'!$F:$F,"海南精准学科技有限公司")</f>
        <v/>
      </c>
    </row>
    <row r="114" s="83">
      <c r="A114" s="5" t="inlineStr">
        <is>
          <t>销售费用</t>
        </is>
      </c>
      <c r="B114" s="6" t="inlineStr">
        <is>
          <t>投放转化</t>
        </is>
      </c>
      <c r="D114" s="5" t="inlineStr">
        <is>
          <t>视频号投放充值</t>
        </is>
      </c>
      <c r="E114" s="6" t="inlineStr">
        <is>
          <t>Q2004</t>
        </is>
      </c>
      <c r="F114" s="89">
        <f>-SUMIFS('1月数据源'!I:I,'1月数据源'!D:D,E114,'1月数据源'!F:F,"海南精准学科技有限公司")+SUMIFS('1月数据源'!J:J,'1月数据源'!D:D,E114,'1月数据源'!F:F,"海南精准学科技有限公司")</f>
        <v/>
      </c>
      <c r="G114" s="89">
        <f>-SUMIFS('2月数据源'!$I:$I,'2月数据源'!$D:$D,$E114,'2月数据源'!$F:$F,"海南精准学科技有限公司")+SUMIFS('2月数据源'!$J:$J,'2月数据源'!$D:$D,$E114,'2月数据源'!$F:$F,"海南精准学科技有限公司")</f>
        <v/>
      </c>
      <c r="H114" s="89">
        <f>-SUMIFS('3月数据源'!$I:$I,'3月数据源'!$D:$D,$E114,'3月数据源'!$F:$F,"海南精准学科技有限公司")+SUMIFS('3月数据源'!$J:$J,'3月数据源'!$D:$D,$E114,'3月数据源'!$F:$F,"海南精准学科技有限公司")</f>
        <v/>
      </c>
      <c r="I114" s="89">
        <f>-SUMIFS('4月数据源'!$I:$I,'4月数据源'!$D:$D,$E114,'4月数据源'!$F:$F,"海南精准学科技有限公司")+SUMIFS('4月数据源'!$J:$J,'4月数据源'!$D:$D,$E114,'4月数据源'!$F:$F,"海南精准学科技有限公司")</f>
        <v/>
      </c>
      <c r="J114" s="89">
        <f>-SUMIFS('5月数据源'!$I:$I,'5月数据源'!$D:$D,$E114,'5月数据源'!$F:$F,"海南精准学科技有限公司")+SUMIFS('5月数据源'!$J:$J,'5月数据源'!$D:$D,$E114,'5月数据源'!$F:$F,"海南精准学科技有限公司")</f>
        <v/>
      </c>
      <c r="K114" s="89">
        <f>-SUMIFS('6月数据源'!$I:$I,'6月数据源'!$D:$D,$E114,'6月数据源'!$F:$F,"海南精准学科技有限公司")+SUMIFS('6月数据源'!$J:$J,'6月数据源'!$D:$D,$E114,'6月数据源'!$F:$F,"海南精准学科技有限公司")</f>
        <v/>
      </c>
      <c r="L114" s="89">
        <f>-SUMIFS('7月数据源'!$I:$I,'7月数据源'!$D:$D,$E114,'7月数据源'!$F:$F,"海南精准学科技有限公司")+SUMIFS('7月数据源'!$J:$J,'7月数据源'!$D:$D,$E114,'7月数据源'!$F:$F,"海南精准学科技有限公司")</f>
        <v/>
      </c>
      <c r="M114" s="89">
        <f>-SUMIFS('8月数据源'!$I:$I,'8月数据源'!$D:$D,$E114,'8月数据源'!$F:$F,"海南精准学科技有限公司")+SUMIFS('8月数据源'!$J:$J,'8月数据源'!$D:$D,$E114,'8月数据源'!$F:$F,"海南精准学科技有限公司")</f>
        <v/>
      </c>
      <c r="N114" s="89">
        <f>-SUMIFS('9月数据源'!$I:$I,'9月数据源'!$D:$D,$E114,'9月数据源'!$F:$F,"海南精准学科技有限公司")+SUMIFS('9月数据源'!$J:$J,'9月数据源'!$D:$D,$E114,'9月数据源'!$F:$F,"海南精准学科技有限公司")</f>
        <v/>
      </c>
      <c r="O114" s="89">
        <f>-SUMIFS('10月数据源'!$I:$I,'10月数据源'!$D:$D,$E114,'10月数据源'!$F:$F,"海南精准学科技有限公司")+SUMIFS('10月数据源'!$J:$J,'10月数据源'!$D:$D,$E114,'10月数据源'!$F:$F,"海南精准学科技有限公司")</f>
        <v/>
      </c>
      <c r="P114" s="89">
        <f>-SUMIFS('11月数据源'!$I:$I,'11月数据源'!$D:$D,$E114,'11月数据源'!$F:$F,"海南精准学科技有限公司")+SUMIFS('11月数据源'!$J:$J,'11月数据源'!$D:$D,$E114,'11月数据源'!$F:$F,"海南精准学科技有限公司")</f>
        <v/>
      </c>
      <c r="Q114" s="89">
        <f>-SUMIFS('12月数据源'!$I:$I,'12月数据源'!$D:$D,$E114,'12月数据源'!$F:$F,"海南精准学科技有限公司")+SUMIFS('12月数据源'!$J:$J,'12月数据源'!$D:$D,$E114,'12月数据源'!$F:$F,"海南精准学科技有限公司")</f>
        <v/>
      </c>
    </row>
    <row r="115" s="83">
      <c r="A115" s="5" t="inlineStr">
        <is>
          <t>销售费用</t>
        </is>
      </c>
      <c r="B115" s="6" t="inlineStr">
        <is>
          <t>投放转化</t>
        </is>
      </c>
      <c r="D115" s="5" t="inlineStr">
        <is>
          <t>天猫平台投放充值</t>
        </is>
      </c>
      <c r="E115" s="6" t="inlineStr">
        <is>
          <t>Q2005</t>
        </is>
      </c>
      <c r="F115" s="89">
        <f>-SUMIFS('1月数据源'!I:I,'1月数据源'!D:D,E115,'1月数据源'!F:F,"海南精准学科技有限公司")+SUMIFS('1月数据源'!J:J,'1月数据源'!D:D,E115,'1月数据源'!F:F,"海南精准学科技有限公司")</f>
        <v/>
      </c>
      <c r="G115" s="89">
        <f>-SUMIFS('2月数据源'!$I:$I,'2月数据源'!$D:$D,$E115,'2月数据源'!$F:$F,"海南精准学科技有限公司")+SUMIFS('2月数据源'!$J:$J,'2月数据源'!$D:$D,$E115,'2月数据源'!$F:$F,"海南精准学科技有限公司")</f>
        <v/>
      </c>
      <c r="H115" s="89">
        <f>-SUMIFS('3月数据源'!$I:$I,'3月数据源'!$D:$D,$E115,'3月数据源'!$F:$F,"海南精准学科技有限公司")+SUMIFS('3月数据源'!$J:$J,'3月数据源'!$D:$D,$E115,'3月数据源'!$F:$F,"海南精准学科技有限公司")</f>
        <v/>
      </c>
      <c r="I115" s="89">
        <f>-SUMIFS('4月数据源'!$I:$I,'4月数据源'!$D:$D,$E115,'4月数据源'!$F:$F,"海南精准学科技有限公司")+SUMIFS('4月数据源'!$J:$J,'4月数据源'!$D:$D,$E115,'4月数据源'!$F:$F,"海南精准学科技有限公司")</f>
        <v/>
      </c>
      <c r="J115" s="89">
        <f>-SUMIFS('5月数据源'!$I:$I,'5月数据源'!$D:$D,$E115,'5月数据源'!$F:$F,"海南精准学科技有限公司")+SUMIFS('5月数据源'!$J:$J,'5月数据源'!$D:$D,$E115,'5月数据源'!$F:$F,"海南精准学科技有限公司")</f>
        <v/>
      </c>
      <c r="K115" s="89">
        <f>-SUMIFS('6月数据源'!$I:$I,'6月数据源'!$D:$D,$E115,'6月数据源'!$F:$F,"海南精准学科技有限公司")+SUMIFS('6月数据源'!$J:$J,'6月数据源'!$D:$D,$E115,'6月数据源'!$F:$F,"海南精准学科技有限公司")</f>
        <v/>
      </c>
      <c r="L115" s="89">
        <f>-SUMIFS('7月数据源'!$I:$I,'7月数据源'!$D:$D,$E115,'7月数据源'!$F:$F,"海南精准学科技有限公司")+SUMIFS('7月数据源'!$J:$J,'7月数据源'!$D:$D,$E115,'7月数据源'!$F:$F,"海南精准学科技有限公司")</f>
        <v/>
      </c>
      <c r="M115" s="89">
        <f>-SUMIFS('8月数据源'!$I:$I,'8月数据源'!$D:$D,$E115,'8月数据源'!$F:$F,"海南精准学科技有限公司")+SUMIFS('8月数据源'!$J:$J,'8月数据源'!$D:$D,$E115,'8月数据源'!$F:$F,"海南精准学科技有限公司")</f>
        <v/>
      </c>
      <c r="N115" s="89">
        <f>-SUMIFS('9月数据源'!$I:$I,'9月数据源'!$D:$D,$E115,'9月数据源'!$F:$F,"海南精准学科技有限公司")+SUMIFS('9月数据源'!$J:$J,'9月数据源'!$D:$D,$E115,'9月数据源'!$F:$F,"海南精准学科技有限公司")</f>
        <v/>
      </c>
      <c r="O115" s="89">
        <f>-SUMIFS('10月数据源'!$I:$I,'10月数据源'!$D:$D,$E115,'10月数据源'!$F:$F,"海南精准学科技有限公司")+SUMIFS('10月数据源'!$J:$J,'10月数据源'!$D:$D,$E115,'10月数据源'!$F:$F,"海南精准学科技有限公司")</f>
        <v/>
      </c>
      <c r="P115" s="89">
        <f>-SUMIFS('11月数据源'!$I:$I,'11月数据源'!$D:$D,$E115,'11月数据源'!$F:$F,"海南精准学科技有限公司")+SUMIFS('11月数据源'!$J:$J,'11月数据源'!$D:$D,$E115,'11月数据源'!$F:$F,"海南精准学科技有限公司")</f>
        <v/>
      </c>
      <c r="Q115" s="89">
        <f>-SUMIFS('12月数据源'!$I:$I,'12月数据源'!$D:$D,$E115,'12月数据源'!$F:$F,"海南精准学科技有限公司")+SUMIFS('12月数据源'!$J:$J,'12月数据源'!$D:$D,$E115,'12月数据源'!$F:$F,"海南精准学科技有限公司")</f>
        <v/>
      </c>
    </row>
    <row r="116" s="83">
      <c r="A116" s="5" t="inlineStr">
        <is>
          <t>销售费用</t>
        </is>
      </c>
      <c r="B116" s="6" t="inlineStr">
        <is>
          <t>直播间运营</t>
        </is>
      </c>
      <c r="C116" s="6" t="inlineStr">
        <is>
          <t>直播间运营</t>
        </is>
      </c>
      <c r="D116" s="5" t="inlineStr">
        <is>
          <t>DP-有熊团队服务费</t>
        </is>
      </c>
      <c r="E116" s="6" t="inlineStr">
        <is>
          <t>Q2101</t>
        </is>
      </c>
      <c r="F116" s="89">
        <f>-SUMIFS('1月数据源'!I:I,'1月数据源'!D:D,E116,'1月数据源'!F:F,"海南精准学科技有限公司")+SUMIFS('1月数据源'!J:J,'1月数据源'!D:D,E116,'1月数据源'!F:F,"海南精准学科技有限公司")</f>
        <v/>
      </c>
      <c r="G116" s="89">
        <f>-SUMIFS('2月数据源'!$I:$I,'2月数据源'!$D:$D,$E116,'2月数据源'!$F:$F,"海南精准学科技有限公司")+SUMIFS('2月数据源'!$J:$J,'2月数据源'!$D:$D,$E116,'2月数据源'!$F:$F,"海南精准学科技有限公司")</f>
        <v/>
      </c>
      <c r="H116" s="89">
        <f>-SUMIFS('3月数据源'!$I:$I,'3月数据源'!$D:$D,$E116,'3月数据源'!$F:$F,"海南精准学科技有限公司")+SUMIFS('3月数据源'!$J:$J,'3月数据源'!$D:$D,$E116,'3月数据源'!$F:$F,"海南精准学科技有限公司")</f>
        <v/>
      </c>
      <c r="I116" s="89">
        <f>-SUMIFS('4月数据源'!$I:$I,'4月数据源'!$D:$D,$E116,'4月数据源'!$F:$F,"海南精准学科技有限公司")+SUMIFS('4月数据源'!$J:$J,'4月数据源'!$D:$D,$E116,'4月数据源'!$F:$F,"海南精准学科技有限公司")</f>
        <v/>
      </c>
      <c r="J116" s="89">
        <f>-SUMIFS('5月数据源'!$I:$I,'5月数据源'!$D:$D,$E116,'5月数据源'!$F:$F,"海南精准学科技有限公司")+SUMIFS('5月数据源'!$J:$J,'5月数据源'!$D:$D,$E116,'5月数据源'!$F:$F,"海南精准学科技有限公司")</f>
        <v/>
      </c>
      <c r="K116" s="89">
        <f>-SUMIFS('6月数据源'!$I:$I,'6月数据源'!$D:$D,$E116,'6月数据源'!$F:$F,"海南精准学科技有限公司")+SUMIFS('6月数据源'!$J:$J,'6月数据源'!$D:$D,$E116,'6月数据源'!$F:$F,"海南精准学科技有限公司")</f>
        <v/>
      </c>
      <c r="L116" s="89">
        <f>-SUMIFS('7月数据源'!$I:$I,'7月数据源'!$D:$D,$E116,'7月数据源'!$F:$F,"海南精准学科技有限公司")+SUMIFS('7月数据源'!$J:$J,'7月数据源'!$D:$D,$E116,'7月数据源'!$F:$F,"海南精准学科技有限公司")</f>
        <v/>
      </c>
      <c r="M116" s="89">
        <f>-SUMIFS('8月数据源'!$I:$I,'8月数据源'!$D:$D,$E116,'8月数据源'!$F:$F,"海南精准学科技有限公司")+SUMIFS('8月数据源'!$J:$J,'8月数据源'!$D:$D,$E116,'8月数据源'!$F:$F,"海南精准学科技有限公司")</f>
        <v/>
      </c>
      <c r="N116" s="89">
        <f>-SUMIFS('9月数据源'!$I:$I,'9月数据源'!$D:$D,$E116,'9月数据源'!$F:$F,"海南精准学科技有限公司")+SUMIFS('9月数据源'!$J:$J,'9月数据源'!$D:$D,$E116,'9月数据源'!$F:$F,"海南精准学科技有限公司")</f>
        <v/>
      </c>
      <c r="O116" s="89">
        <f>-SUMIFS('10月数据源'!$I:$I,'10月数据源'!$D:$D,$E116,'10月数据源'!$F:$F,"海南精准学科技有限公司")+SUMIFS('10月数据源'!$J:$J,'10月数据源'!$D:$D,$E116,'10月数据源'!$F:$F,"海南精准学科技有限公司")</f>
        <v/>
      </c>
      <c r="P116" s="89">
        <f>-SUMIFS('11月数据源'!$I:$I,'11月数据源'!$D:$D,$E116,'11月数据源'!$F:$F,"海南精准学科技有限公司")+SUMIFS('11月数据源'!$J:$J,'11月数据源'!$D:$D,$E116,'11月数据源'!$F:$F,"海南精准学科技有限公司")</f>
        <v/>
      </c>
      <c r="Q116" s="89">
        <f>-SUMIFS('12月数据源'!$I:$I,'12月数据源'!$D:$D,$E116,'12月数据源'!$F:$F,"海南精准学科技有限公司")+SUMIFS('12月数据源'!$J:$J,'12月数据源'!$D:$D,$E116,'12月数据源'!$F:$F,"海南精准学科技有限公司")</f>
        <v/>
      </c>
    </row>
    <row r="117" s="83">
      <c r="A117" s="5" t="inlineStr">
        <is>
          <t>销售费用</t>
        </is>
      </c>
      <c r="B117" s="6" t="inlineStr">
        <is>
          <t>直播间运营</t>
        </is>
      </c>
      <c r="D117" s="5" t="inlineStr">
        <is>
          <t>DP-黑哥团队服务费</t>
        </is>
      </c>
      <c r="E117" s="6" t="inlineStr">
        <is>
          <t>Q2102</t>
        </is>
      </c>
      <c r="F117" s="89">
        <f>-SUMIFS('1月数据源'!I:I,'1月数据源'!D:D,E117,'1月数据源'!F:F,"海南精准学科技有限公司")+SUMIFS('1月数据源'!J:J,'1月数据源'!D:D,E117,'1月数据源'!F:F,"海南精准学科技有限公司")</f>
        <v/>
      </c>
      <c r="G117" s="89">
        <f>-SUMIFS('2月数据源'!$I:$I,'2月数据源'!$D:$D,$E117,'2月数据源'!$F:$F,"海南精准学科技有限公司")+SUMIFS('2月数据源'!$J:$J,'2月数据源'!$D:$D,$E117,'2月数据源'!$F:$F,"海南精准学科技有限公司")</f>
        <v/>
      </c>
      <c r="H117" s="89">
        <f>-SUMIFS('3月数据源'!$I:$I,'3月数据源'!$D:$D,$E117,'3月数据源'!$F:$F,"海南精准学科技有限公司")+SUMIFS('3月数据源'!$J:$J,'3月数据源'!$D:$D,$E117,'3月数据源'!$F:$F,"海南精准学科技有限公司")</f>
        <v/>
      </c>
      <c r="I117" s="89">
        <f>-SUMIFS('4月数据源'!$I:$I,'4月数据源'!$D:$D,$E117,'4月数据源'!$F:$F,"海南精准学科技有限公司")+SUMIFS('4月数据源'!$J:$J,'4月数据源'!$D:$D,$E117,'4月数据源'!$F:$F,"海南精准学科技有限公司")</f>
        <v/>
      </c>
      <c r="J117" s="89">
        <f>-SUMIFS('5月数据源'!$I:$I,'5月数据源'!$D:$D,$E117,'5月数据源'!$F:$F,"海南精准学科技有限公司")+SUMIFS('5月数据源'!$J:$J,'5月数据源'!$D:$D,$E117,'5月数据源'!$F:$F,"海南精准学科技有限公司")</f>
        <v/>
      </c>
      <c r="K117" s="89">
        <f>-SUMIFS('6月数据源'!$I:$I,'6月数据源'!$D:$D,$E117,'6月数据源'!$F:$F,"海南精准学科技有限公司")+SUMIFS('6月数据源'!$J:$J,'6月数据源'!$D:$D,$E117,'6月数据源'!$F:$F,"海南精准学科技有限公司")</f>
        <v/>
      </c>
      <c r="L117" s="89">
        <f>-SUMIFS('7月数据源'!$I:$I,'7月数据源'!$D:$D,$E117,'7月数据源'!$F:$F,"海南精准学科技有限公司")+SUMIFS('7月数据源'!$J:$J,'7月数据源'!$D:$D,$E117,'7月数据源'!$F:$F,"海南精准学科技有限公司")</f>
        <v/>
      </c>
      <c r="M117" s="89">
        <f>-SUMIFS('8月数据源'!$I:$I,'8月数据源'!$D:$D,$E117,'8月数据源'!$F:$F,"海南精准学科技有限公司")+SUMIFS('8月数据源'!$J:$J,'8月数据源'!$D:$D,$E117,'8月数据源'!$F:$F,"海南精准学科技有限公司")</f>
        <v/>
      </c>
      <c r="N117" s="89">
        <f>-SUMIFS('9月数据源'!$I:$I,'9月数据源'!$D:$D,$E117,'9月数据源'!$F:$F,"海南精准学科技有限公司")+SUMIFS('9月数据源'!$J:$J,'9月数据源'!$D:$D,$E117,'9月数据源'!$F:$F,"海南精准学科技有限公司")</f>
        <v/>
      </c>
      <c r="O117" s="89">
        <f>-SUMIFS('10月数据源'!$I:$I,'10月数据源'!$D:$D,$E117,'10月数据源'!$F:$F,"海南精准学科技有限公司")+SUMIFS('10月数据源'!$J:$J,'10月数据源'!$D:$D,$E117,'10月数据源'!$F:$F,"海南精准学科技有限公司")</f>
        <v/>
      </c>
      <c r="P117" s="89">
        <f>-SUMIFS('11月数据源'!$I:$I,'11月数据源'!$D:$D,$E117,'11月数据源'!$F:$F,"海南精准学科技有限公司")+SUMIFS('11月数据源'!$J:$J,'11月数据源'!$D:$D,$E117,'11月数据源'!$F:$F,"海南精准学科技有限公司")</f>
        <v/>
      </c>
      <c r="Q117" s="89">
        <f>-SUMIFS('12月数据源'!$I:$I,'12月数据源'!$D:$D,$E117,'12月数据源'!$F:$F,"海南精准学科技有限公司")+SUMIFS('12月数据源'!$J:$J,'12月数据源'!$D:$D,$E117,'12月数据源'!$F:$F,"海南精准学科技有限公司")</f>
        <v/>
      </c>
    </row>
    <row r="118" s="83">
      <c r="A118" s="5" t="inlineStr">
        <is>
          <t>销售费用</t>
        </is>
      </c>
      <c r="B118" s="6" t="inlineStr">
        <is>
          <t>直播间运营</t>
        </is>
      </c>
      <c r="D118" s="5" t="inlineStr">
        <is>
          <t>DP-小太阳团队服务费</t>
        </is>
      </c>
      <c r="E118" s="6" t="inlineStr">
        <is>
          <t>Q2103</t>
        </is>
      </c>
      <c r="F118" s="89">
        <f>-SUMIFS('1月数据源'!I:I,'1月数据源'!D:D,E118,'1月数据源'!F:F,"海南精准学科技有限公司")+SUMIFS('1月数据源'!J:J,'1月数据源'!D:D,E118,'1月数据源'!F:F,"海南精准学科技有限公司")</f>
        <v/>
      </c>
      <c r="G118" s="89">
        <f>-SUMIFS('2月数据源'!$I:$I,'2月数据源'!$D:$D,$E118,'2月数据源'!$F:$F,"海南精准学科技有限公司")+SUMIFS('2月数据源'!$J:$J,'2月数据源'!$D:$D,$E118,'2月数据源'!$F:$F,"海南精准学科技有限公司")</f>
        <v/>
      </c>
      <c r="H118" s="89">
        <f>-SUMIFS('3月数据源'!$I:$I,'3月数据源'!$D:$D,$E118,'3月数据源'!$F:$F,"海南精准学科技有限公司")+SUMIFS('3月数据源'!$J:$J,'3月数据源'!$D:$D,$E118,'3月数据源'!$F:$F,"海南精准学科技有限公司")</f>
        <v/>
      </c>
      <c r="I118" s="89">
        <f>-SUMIFS('4月数据源'!$I:$I,'4月数据源'!$D:$D,$E118,'4月数据源'!$F:$F,"海南精准学科技有限公司")+SUMIFS('4月数据源'!$J:$J,'4月数据源'!$D:$D,$E118,'4月数据源'!$F:$F,"海南精准学科技有限公司")</f>
        <v/>
      </c>
      <c r="J118" s="89">
        <f>-SUMIFS('5月数据源'!$I:$I,'5月数据源'!$D:$D,$E118,'5月数据源'!$F:$F,"海南精准学科技有限公司")+SUMIFS('5月数据源'!$J:$J,'5月数据源'!$D:$D,$E118,'5月数据源'!$F:$F,"海南精准学科技有限公司")</f>
        <v/>
      </c>
      <c r="K118" s="89">
        <f>-SUMIFS('6月数据源'!$I:$I,'6月数据源'!$D:$D,$E118,'6月数据源'!$F:$F,"海南精准学科技有限公司")+SUMIFS('6月数据源'!$J:$J,'6月数据源'!$D:$D,$E118,'6月数据源'!$F:$F,"海南精准学科技有限公司")</f>
        <v/>
      </c>
      <c r="L118" s="89">
        <f>-SUMIFS('7月数据源'!$I:$I,'7月数据源'!$D:$D,$E118,'7月数据源'!$F:$F,"海南精准学科技有限公司")+SUMIFS('7月数据源'!$J:$J,'7月数据源'!$D:$D,$E118,'7月数据源'!$F:$F,"海南精准学科技有限公司")</f>
        <v/>
      </c>
      <c r="M118" s="89">
        <f>-SUMIFS('8月数据源'!$I:$I,'8月数据源'!$D:$D,$E118,'8月数据源'!$F:$F,"海南精准学科技有限公司")+SUMIFS('8月数据源'!$J:$J,'8月数据源'!$D:$D,$E118,'8月数据源'!$F:$F,"海南精准学科技有限公司")</f>
        <v/>
      </c>
      <c r="N118" s="89">
        <f>-SUMIFS('9月数据源'!$I:$I,'9月数据源'!$D:$D,$E118,'9月数据源'!$F:$F,"海南精准学科技有限公司")+SUMIFS('9月数据源'!$J:$J,'9月数据源'!$D:$D,$E118,'9月数据源'!$F:$F,"海南精准学科技有限公司")</f>
        <v/>
      </c>
      <c r="O118" s="89">
        <f>-SUMIFS('10月数据源'!$I:$I,'10月数据源'!$D:$D,$E118,'10月数据源'!$F:$F,"海南精准学科技有限公司")+SUMIFS('10月数据源'!$J:$J,'10月数据源'!$D:$D,$E118,'10月数据源'!$F:$F,"海南精准学科技有限公司")</f>
        <v/>
      </c>
      <c r="P118" s="89">
        <f>-SUMIFS('11月数据源'!$I:$I,'11月数据源'!$D:$D,$E118,'11月数据源'!$F:$F,"海南精准学科技有限公司")+SUMIFS('11月数据源'!$J:$J,'11月数据源'!$D:$D,$E118,'11月数据源'!$F:$F,"海南精准学科技有限公司")</f>
        <v/>
      </c>
      <c r="Q118" s="89">
        <f>-SUMIFS('12月数据源'!$I:$I,'12月数据源'!$D:$D,$E118,'12月数据源'!$F:$F,"海南精准学科技有限公司")+SUMIFS('12月数据源'!$J:$J,'12月数据源'!$D:$D,$E118,'12月数据源'!$F:$F,"海南精准学科技有限公司")</f>
        <v/>
      </c>
    </row>
    <row r="119" s="83">
      <c r="A119" s="5" t="inlineStr">
        <is>
          <t>销售费用</t>
        </is>
      </c>
      <c r="B119" s="6" t="inlineStr">
        <is>
          <t>直播间运营</t>
        </is>
      </c>
      <c r="D119" s="5" t="inlineStr">
        <is>
          <t>直播间搭建费用</t>
        </is>
      </c>
      <c r="E119" s="6" t="inlineStr">
        <is>
          <t>Q2104</t>
        </is>
      </c>
      <c r="F119" s="89">
        <f>-SUMIFS('1月数据源'!I:I,'1月数据源'!D:D,E119,'1月数据源'!F:F,"海南精准学科技有限公司")+SUMIFS('1月数据源'!J:J,'1月数据源'!D:D,E119,'1月数据源'!F:F,"海南精准学科技有限公司")</f>
        <v/>
      </c>
      <c r="G119" s="89">
        <f>-SUMIFS('2月数据源'!$I:$I,'2月数据源'!$D:$D,$E119,'2月数据源'!$F:$F,"海南精准学科技有限公司")+SUMIFS('2月数据源'!$J:$J,'2月数据源'!$D:$D,$E119,'2月数据源'!$F:$F,"海南精准学科技有限公司")</f>
        <v/>
      </c>
      <c r="H119" s="89">
        <f>-SUMIFS('3月数据源'!$I:$I,'3月数据源'!$D:$D,$E119,'3月数据源'!$F:$F,"海南精准学科技有限公司")+SUMIFS('3月数据源'!$J:$J,'3月数据源'!$D:$D,$E119,'3月数据源'!$F:$F,"海南精准学科技有限公司")</f>
        <v/>
      </c>
      <c r="I119" s="89">
        <f>-SUMIFS('4月数据源'!$I:$I,'4月数据源'!$D:$D,$E119,'4月数据源'!$F:$F,"海南精准学科技有限公司")+SUMIFS('4月数据源'!$J:$J,'4月数据源'!$D:$D,$E119,'4月数据源'!$F:$F,"海南精准学科技有限公司")</f>
        <v/>
      </c>
      <c r="J119" s="89">
        <f>-SUMIFS('5月数据源'!$I:$I,'5月数据源'!$D:$D,$E119,'5月数据源'!$F:$F,"海南精准学科技有限公司")+SUMIFS('5月数据源'!$J:$J,'5月数据源'!$D:$D,$E119,'5月数据源'!$F:$F,"海南精准学科技有限公司")</f>
        <v/>
      </c>
      <c r="K119" s="89">
        <f>-SUMIFS('6月数据源'!$I:$I,'6月数据源'!$D:$D,$E119,'6月数据源'!$F:$F,"海南精准学科技有限公司")+SUMIFS('6月数据源'!$J:$J,'6月数据源'!$D:$D,$E119,'6月数据源'!$F:$F,"海南精准学科技有限公司")</f>
        <v/>
      </c>
      <c r="L119" s="89">
        <f>-SUMIFS('7月数据源'!$I:$I,'7月数据源'!$D:$D,$E119,'7月数据源'!$F:$F,"海南精准学科技有限公司")+SUMIFS('7月数据源'!$J:$J,'7月数据源'!$D:$D,$E119,'7月数据源'!$F:$F,"海南精准学科技有限公司")</f>
        <v/>
      </c>
      <c r="M119" s="89">
        <f>-SUMIFS('8月数据源'!$I:$I,'8月数据源'!$D:$D,$E119,'8月数据源'!$F:$F,"海南精准学科技有限公司")+SUMIFS('8月数据源'!$J:$J,'8月数据源'!$D:$D,$E119,'8月数据源'!$F:$F,"海南精准学科技有限公司")</f>
        <v/>
      </c>
      <c r="N119" s="89">
        <f>-SUMIFS('9月数据源'!$I:$I,'9月数据源'!$D:$D,$E119,'9月数据源'!$F:$F,"海南精准学科技有限公司")+SUMIFS('9月数据源'!$J:$J,'9月数据源'!$D:$D,$E119,'9月数据源'!$F:$F,"海南精准学科技有限公司")</f>
        <v/>
      </c>
      <c r="O119" s="89">
        <f>-SUMIFS('10月数据源'!$I:$I,'10月数据源'!$D:$D,$E119,'10月数据源'!$F:$F,"海南精准学科技有限公司")+SUMIFS('10月数据源'!$J:$J,'10月数据源'!$D:$D,$E119,'10月数据源'!$F:$F,"海南精准学科技有限公司")</f>
        <v/>
      </c>
      <c r="P119" s="89">
        <f>-SUMIFS('11月数据源'!$I:$I,'11月数据源'!$D:$D,$E119,'11月数据源'!$F:$F,"海南精准学科技有限公司")+SUMIFS('11月数据源'!$J:$J,'11月数据源'!$D:$D,$E119,'11月数据源'!$F:$F,"海南精准学科技有限公司")</f>
        <v/>
      </c>
      <c r="Q119" s="89">
        <f>-SUMIFS('12月数据源'!$I:$I,'12月数据源'!$D:$D,$E119,'12月数据源'!$F:$F,"海南精准学科技有限公司")+SUMIFS('12月数据源'!$J:$J,'12月数据源'!$D:$D,$E119,'12月数据源'!$F:$F,"海南精准学科技有限公司")</f>
        <v/>
      </c>
    </row>
    <row r="120" s="83">
      <c r="A120" s="5" t="inlineStr">
        <is>
          <t>销售费用</t>
        </is>
      </c>
      <c r="B120" s="6" t="inlineStr">
        <is>
          <t>平台运营</t>
        </is>
      </c>
      <c r="C120" s="6" t="inlineStr">
        <is>
          <t>平台运营</t>
        </is>
      </c>
      <c r="D120" s="5" t="inlineStr">
        <is>
          <t>分期服务费</t>
        </is>
      </c>
      <c r="E120" s="6" t="inlineStr">
        <is>
          <t>Q2204</t>
        </is>
      </c>
      <c r="F120" s="89">
        <f>-SUMIFS('1月数据源'!I:I,'1月数据源'!D:D,E120,'1月数据源'!F:F,"海南精准学科技有限公司")+SUMIFS('1月数据源'!J:J,'1月数据源'!D:D,E120,'1月数据源'!F:F,"海南精准学科技有限公司")</f>
        <v/>
      </c>
      <c r="G120" s="89">
        <f>-SUMIFS('2月数据源'!$I:$I,'2月数据源'!$D:$D,$E120,'2月数据源'!$F:$F,"海南精准学科技有限公司")+SUMIFS('2月数据源'!$J:$J,'2月数据源'!$D:$D,$E120,'2月数据源'!$F:$F,"海南精准学科技有限公司")</f>
        <v/>
      </c>
      <c r="H120" s="89">
        <f>-SUMIFS('3月数据源'!$I:$I,'3月数据源'!$D:$D,$E120,'3月数据源'!$F:$F,"海南精准学科技有限公司")+SUMIFS('3月数据源'!$J:$J,'3月数据源'!$D:$D,$E120,'3月数据源'!$F:$F,"海南精准学科技有限公司")</f>
        <v/>
      </c>
      <c r="I120" s="89">
        <f>-SUMIFS('4月数据源'!$I:$I,'4月数据源'!$D:$D,$E120,'4月数据源'!$F:$F,"海南精准学科技有限公司")+SUMIFS('4月数据源'!$J:$J,'4月数据源'!$D:$D,$E120,'4月数据源'!$F:$F,"海南精准学科技有限公司")</f>
        <v/>
      </c>
      <c r="J120" s="89">
        <f>-SUMIFS('5月数据源'!$I:$I,'5月数据源'!$D:$D,$E120,'5月数据源'!$F:$F,"海南精准学科技有限公司")+SUMIFS('5月数据源'!$J:$J,'5月数据源'!$D:$D,$E120,'5月数据源'!$F:$F,"海南精准学科技有限公司")</f>
        <v/>
      </c>
      <c r="K120" s="89">
        <f>-SUMIFS('6月数据源'!$I:$I,'6月数据源'!$D:$D,$E120,'6月数据源'!$F:$F,"海南精准学科技有限公司")+SUMIFS('6月数据源'!$J:$J,'6月数据源'!$D:$D,$E120,'6月数据源'!$F:$F,"海南精准学科技有限公司")</f>
        <v/>
      </c>
      <c r="L120" s="89">
        <f>-SUMIFS('7月数据源'!$I:$I,'7月数据源'!$D:$D,$E120,'7月数据源'!$F:$F,"海南精准学科技有限公司")+SUMIFS('7月数据源'!$J:$J,'7月数据源'!$D:$D,$E120,'7月数据源'!$F:$F,"海南精准学科技有限公司")</f>
        <v/>
      </c>
      <c r="M120" s="89">
        <f>-SUMIFS('8月数据源'!$I:$I,'8月数据源'!$D:$D,$E120,'8月数据源'!$F:$F,"海南精准学科技有限公司")+SUMIFS('8月数据源'!$J:$J,'8月数据源'!$D:$D,$E120,'8月数据源'!$F:$F,"海南精准学科技有限公司")</f>
        <v/>
      </c>
      <c r="N120" s="89">
        <f>-SUMIFS('9月数据源'!$I:$I,'9月数据源'!$D:$D,$E120,'9月数据源'!$F:$F,"海南精准学科技有限公司")+SUMIFS('9月数据源'!$J:$J,'9月数据源'!$D:$D,$E120,'9月数据源'!$F:$F,"海南精准学科技有限公司")</f>
        <v/>
      </c>
      <c r="O120" s="89">
        <f>-SUMIFS('10月数据源'!$I:$I,'10月数据源'!$D:$D,$E120,'10月数据源'!$F:$F,"海南精准学科技有限公司")+SUMIFS('10月数据源'!$J:$J,'10月数据源'!$D:$D,$E120,'10月数据源'!$F:$F,"海南精准学科技有限公司")</f>
        <v/>
      </c>
      <c r="P120" s="89">
        <f>-SUMIFS('11月数据源'!$I:$I,'11月数据源'!$D:$D,$E120,'11月数据源'!$F:$F,"海南精准学科技有限公司")+SUMIFS('11月数据源'!$J:$J,'11月数据源'!$D:$D,$E120,'11月数据源'!$F:$F,"海南精准学科技有限公司")</f>
        <v/>
      </c>
      <c r="Q120" s="89">
        <f>-SUMIFS('12月数据源'!$I:$I,'12月数据源'!$D:$D,$E120,'12月数据源'!$F:$F,"海南精准学科技有限公司")+SUMIFS('12月数据源'!$J:$J,'12月数据源'!$D:$D,$E120,'12月数据源'!$F:$F,"海南精准学科技有限公司")</f>
        <v/>
      </c>
    </row>
    <row r="121" s="83">
      <c r="A121" s="5" t="inlineStr">
        <is>
          <t>销售费用</t>
        </is>
      </c>
      <c r="B121" s="6" t="inlineStr">
        <is>
          <t>平台运营</t>
        </is>
      </c>
      <c r="D121" s="5" t="inlineStr">
        <is>
          <t>平台服务费</t>
        </is>
      </c>
      <c r="E121" s="6" t="inlineStr">
        <is>
          <t>Q2201</t>
        </is>
      </c>
      <c r="F121" s="89">
        <f>-SUMIFS('1月数据源'!I:I,'1月数据源'!D:D,E121,'1月数据源'!F:F,"海南精准学科技有限公司")+SUMIFS('1月数据源'!J:J,'1月数据源'!D:D,E121,'1月数据源'!F:F,"海南精准学科技有限公司")</f>
        <v/>
      </c>
      <c r="G121" s="89">
        <f>-SUMIFS('2月数据源'!$I:$I,'2月数据源'!$D:$D,$E121,'2月数据源'!$F:$F,"海南精准学科技有限公司")+SUMIFS('2月数据源'!$J:$J,'2月数据源'!$D:$D,$E121,'2月数据源'!$F:$F,"海南精准学科技有限公司")</f>
        <v/>
      </c>
      <c r="H121" s="89">
        <f>-SUMIFS('3月数据源'!$I:$I,'3月数据源'!$D:$D,$E121,'3月数据源'!$F:$F,"海南精准学科技有限公司")+SUMIFS('3月数据源'!$J:$J,'3月数据源'!$D:$D,$E121,'3月数据源'!$F:$F,"海南精准学科技有限公司")</f>
        <v/>
      </c>
      <c r="I121" s="89">
        <f>-SUMIFS('4月数据源'!$I:$I,'4月数据源'!$D:$D,$E121,'4月数据源'!$F:$F,"海南精准学科技有限公司")+SUMIFS('4月数据源'!$J:$J,'4月数据源'!$D:$D,$E121,'4月数据源'!$F:$F,"海南精准学科技有限公司")</f>
        <v/>
      </c>
      <c r="J121" s="89">
        <f>-SUMIFS('5月数据源'!$I:$I,'5月数据源'!$D:$D,$E121,'5月数据源'!$F:$F,"海南精准学科技有限公司")+SUMIFS('5月数据源'!$J:$J,'5月数据源'!$D:$D,$E121,'5月数据源'!$F:$F,"海南精准学科技有限公司")</f>
        <v/>
      </c>
      <c r="K121" s="89">
        <f>-SUMIFS('6月数据源'!$I:$I,'6月数据源'!$D:$D,$E121,'6月数据源'!$F:$F,"海南精准学科技有限公司")+SUMIFS('6月数据源'!$J:$J,'6月数据源'!$D:$D,$E121,'6月数据源'!$F:$F,"海南精准学科技有限公司")</f>
        <v/>
      </c>
      <c r="L121" s="89">
        <f>-SUMIFS('7月数据源'!$I:$I,'7月数据源'!$D:$D,$E121,'7月数据源'!$F:$F,"海南精准学科技有限公司")+SUMIFS('7月数据源'!$J:$J,'7月数据源'!$D:$D,$E121,'7月数据源'!$F:$F,"海南精准学科技有限公司")</f>
        <v/>
      </c>
      <c r="M121" s="89">
        <f>-SUMIFS('8月数据源'!$I:$I,'8月数据源'!$D:$D,$E121,'8月数据源'!$F:$F,"海南精准学科技有限公司")+SUMIFS('8月数据源'!$J:$J,'8月数据源'!$D:$D,$E121,'8月数据源'!$F:$F,"海南精准学科技有限公司")</f>
        <v/>
      </c>
      <c r="N121" s="89">
        <f>-SUMIFS('9月数据源'!$I:$I,'9月数据源'!$D:$D,$E121,'9月数据源'!$F:$F,"海南精准学科技有限公司")+SUMIFS('9月数据源'!$J:$J,'9月数据源'!$D:$D,$E121,'9月数据源'!$F:$F,"海南精准学科技有限公司")</f>
        <v/>
      </c>
      <c r="O121" s="89">
        <f>-SUMIFS('10月数据源'!$I:$I,'10月数据源'!$D:$D,$E121,'10月数据源'!$F:$F,"海南精准学科技有限公司")+SUMIFS('10月数据源'!$J:$J,'10月数据源'!$D:$D,$E121,'10月数据源'!$F:$F,"海南精准学科技有限公司")</f>
        <v/>
      </c>
      <c r="P121" s="89">
        <f>-SUMIFS('11月数据源'!$I:$I,'11月数据源'!$D:$D,$E121,'11月数据源'!$F:$F,"海南精准学科技有限公司")+SUMIFS('11月数据源'!$J:$J,'11月数据源'!$D:$D,$E121,'11月数据源'!$F:$F,"海南精准学科技有限公司")</f>
        <v/>
      </c>
      <c r="Q121" s="89">
        <f>-SUMIFS('12月数据源'!$I:$I,'12月数据源'!$D:$D,$E121,'12月数据源'!$F:$F,"海南精准学科技有限公司")+SUMIFS('12月数据源'!$J:$J,'12月数据源'!$D:$D,$E121,'12月数据源'!$F:$F,"海南精准学科技有限公司")</f>
        <v/>
      </c>
    </row>
    <row r="122" s="83">
      <c r="A122" s="5" t="inlineStr">
        <is>
          <t>销售费用</t>
        </is>
      </c>
      <c r="B122" s="6" t="inlineStr">
        <is>
          <t>平台运营</t>
        </is>
      </c>
      <c r="D122" s="5" t="inlineStr">
        <is>
          <t>权益保险</t>
        </is>
      </c>
      <c r="E122" s="6" t="inlineStr">
        <is>
          <t>Q2205</t>
        </is>
      </c>
      <c r="F122" s="89">
        <f>-SUMIFS('1月数据源'!I:I,'1月数据源'!D:D,E122,'1月数据源'!F:F,"海南精准学科技有限公司")+SUMIFS('1月数据源'!J:J,'1月数据源'!D:D,E122,'1月数据源'!F:F,"海南精准学科技有限公司")</f>
        <v/>
      </c>
      <c r="G122" s="89">
        <f>-SUMIFS('2月数据源'!$I:$I,'2月数据源'!$D:$D,$E122,'2月数据源'!$F:$F,"海南精准学科技有限公司")+SUMIFS('2月数据源'!$J:$J,'2月数据源'!$D:$D,$E122,'2月数据源'!$F:$F,"海南精准学科技有限公司")</f>
        <v/>
      </c>
      <c r="H122" s="89">
        <f>-SUMIFS('3月数据源'!$I:$I,'3月数据源'!$D:$D,$E122,'3月数据源'!$F:$F,"海南精准学科技有限公司")+SUMIFS('3月数据源'!$J:$J,'3月数据源'!$D:$D,$E122,'3月数据源'!$F:$F,"海南精准学科技有限公司")</f>
        <v/>
      </c>
      <c r="I122" s="89">
        <f>-SUMIFS('4月数据源'!$I:$I,'4月数据源'!$D:$D,$E122,'4月数据源'!$F:$F,"海南精准学科技有限公司")+SUMIFS('4月数据源'!$J:$J,'4月数据源'!$D:$D,$E122,'4月数据源'!$F:$F,"海南精准学科技有限公司")</f>
        <v/>
      </c>
      <c r="J122" s="89">
        <f>-SUMIFS('5月数据源'!$I:$I,'5月数据源'!$D:$D,$E122,'5月数据源'!$F:$F,"海南精准学科技有限公司")+SUMIFS('5月数据源'!$J:$J,'5月数据源'!$D:$D,$E122,'5月数据源'!$F:$F,"海南精准学科技有限公司")</f>
        <v/>
      </c>
      <c r="K122" s="89">
        <f>-SUMIFS('6月数据源'!$I:$I,'6月数据源'!$D:$D,$E122,'6月数据源'!$F:$F,"海南精准学科技有限公司")+SUMIFS('6月数据源'!$J:$J,'6月数据源'!$D:$D,$E122,'6月数据源'!$F:$F,"海南精准学科技有限公司")</f>
        <v/>
      </c>
      <c r="L122" s="89">
        <f>-SUMIFS('7月数据源'!$I:$I,'7月数据源'!$D:$D,$E122,'7月数据源'!$F:$F,"海南精准学科技有限公司")+SUMIFS('7月数据源'!$J:$J,'7月数据源'!$D:$D,$E122,'7月数据源'!$F:$F,"海南精准学科技有限公司")</f>
        <v/>
      </c>
      <c r="M122" s="89">
        <f>-SUMIFS('8月数据源'!$I:$I,'8月数据源'!$D:$D,$E122,'8月数据源'!$F:$F,"海南精准学科技有限公司")+SUMIFS('8月数据源'!$J:$J,'8月数据源'!$D:$D,$E122,'8月数据源'!$F:$F,"海南精准学科技有限公司")</f>
        <v/>
      </c>
      <c r="N122" s="89">
        <f>-SUMIFS('9月数据源'!$I:$I,'9月数据源'!$D:$D,$E122,'9月数据源'!$F:$F,"海南精准学科技有限公司")+SUMIFS('9月数据源'!$J:$J,'9月数据源'!$D:$D,$E122,'9月数据源'!$F:$F,"海南精准学科技有限公司")</f>
        <v/>
      </c>
      <c r="O122" s="89">
        <f>-SUMIFS('10月数据源'!$I:$I,'10月数据源'!$D:$D,$E122,'10月数据源'!$F:$F,"海南精准学科技有限公司")+SUMIFS('10月数据源'!$J:$J,'10月数据源'!$D:$D,$E122,'10月数据源'!$F:$F,"海南精准学科技有限公司")</f>
        <v/>
      </c>
      <c r="P122" s="89">
        <f>-SUMIFS('11月数据源'!$I:$I,'11月数据源'!$D:$D,$E122,'11月数据源'!$F:$F,"海南精准学科技有限公司")+SUMIFS('11月数据源'!$J:$J,'11月数据源'!$D:$D,$E122,'11月数据源'!$F:$F,"海南精准学科技有限公司")</f>
        <v/>
      </c>
      <c r="Q122" s="89">
        <f>-SUMIFS('12月数据源'!$I:$I,'12月数据源'!$D:$D,$E122,'12月数据源'!$F:$F,"海南精准学科技有限公司")+SUMIFS('12月数据源'!$J:$J,'12月数据源'!$D:$D,$E122,'12月数据源'!$F:$F,"海南精准学科技有限公司")</f>
        <v/>
      </c>
    </row>
    <row r="123" s="83">
      <c r="A123" s="5" t="inlineStr">
        <is>
          <t>销售费用</t>
        </is>
      </c>
      <c r="B123" s="6" t="inlineStr">
        <is>
          <t>平台运营</t>
        </is>
      </c>
      <c r="D123" s="5" t="inlineStr">
        <is>
          <t>消费者赔付</t>
        </is>
      </c>
      <c r="E123" s="6" t="inlineStr">
        <is>
          <t>Q2206</t>
        </is>
      </c>
      <c r="F123" s="89">
        <f>-SUMIFS('1月数据源'!I:I,'1月数据源'!D:D,E123,'1月数据源'!F:F,"海南精准学科技有限公司")+SUMIFS('1月数据源'!J:J,'1月数据源'!D:D,E123,'1月数据源'!F:F,"海南精准学科技有限公司")</f>
        <v/>
      </c>
      <c r="G123" s="89">
        <f>-SUMIFS('2月数据源'!$I:$I,'2月数据源'!$D:$D,$E123,'2月数据源'!$F:$F,"海南精准学科技有限公司")+SUMIFS('2月数据源'!$J:$J,'2月数据源'!$D:$D,$E123,'2月数据源'!$F:$F,"海南精准学科技有限公司")</f>
        <v/>
      </c>
      <c r="H123" s="89">
        <f>-SUMIFS('3月数据源'!$I:$I,'3月数据源'!$D:$D,$E123,'3月数据源'!$F:$F,"海南精准学科技有限公司")+SUMIFS('3月数据源'!$J:$J,'3月数据源'!$D:$D,$E123,'3月数据源'!$F:$F,"海南精准学科技有限公司")</f>
        <v/>
      </c>
      <c r="I123" s="89">
        <f>-SUMIFS('4月数据源'!$I:$I,'4月数据源'!$D:$D,$E123,'4月数据源'!$F:$F,"海南精准学科技有限公司")+SUMIFS('4月数据源'!$J:$J,'4月数据源'!$D:$D,$E123,'4月数据源'!$F:$F,"海南精准学科技有限公司")</f>
        <v/>
      </c>
      <c r="J123" s="89">
        <f>-SUMIFS('5月数据源'!$I:$I,'5月数据源'!$D:$D,$E123,'5月数据源'!$F:$F,"海南精准学科技有限公司")+SUMIFS('5月数据源'!$J:$J,'5月数据源'!$D:$D,$E123,'5月数据源'!$F:$F,"海南精准学科技有限公司")</f>
        <v/>
      </c>
      <c r="K123" s="89">
        <f>-SUMIFS('6月数据源'!$I:$I,'6月数据源'!$D:$D,$E123,'6月数据源'!$F:$F,"海南精准学科技有限公司")+SUMIFS('6月数据源'!$J:$J,'6月数据源'!$D:$D,$E123,'6月数据源'!$F:$F,"海南精准学科技有限公司")</f>
        <v/>
      </c>
      <c r="L123" s="89">
        <f>-SUMIFS('7月数据源'!$I:$I,'7月数据源'!$D:$D,$E123,'7月数据源'!$F:$F,"海南精准学科技有限公司")+SUMIFS('7月数据源'!$J:$J,'7月数据源'!$D:$D,$E123,'7月数据源'!$F:$F,"海南精准学科技有限公司")</f>
        <v/>
      </c>
      <c r="M123" s="89">
        <f>-SUMIFS('8月数据源'!$I:$I,'8月数据源'!$D:$D,$E123,'8月数据源'!$F:$F,"海南精准学科技有限公司")+SUMIFS('8月数据源'!$J:$J,'8月数据源'!$D:$D,$E123,'8月数据源'!$F:$F,"海南精准学科技有限公司")</f>
        <v/>
      </c>
      <c r="N123" s="89">
        <f>-SUMIFS('9月数据源'!$I:$I,'9月数据源'!$D:$D,$E123,'9月数据源'!$F:$F,"海南精准学科技有限公司")+SUMIFS('9月数据源'!$J:$J,'9月数据源'!$D:$D,$E123,'9月数据源'!$F:$F,"海南精准学科技有限公司")</f>
        <v/>
      </c>
      <c r="O123" s="89">
        <f>-SUMIFS('10月数据源'!$I:$I,'10月数据源'!$D:$D,$E123,'10月数据源'!$F:$F,"海南精准学科技有限公司")+SUMIFS('10月数据源'!$J:$J,'10月数据源'!$D:$D,$E123,'10月数据源'!$F:$F,"海南精准学科技有限公司")</f>
        <v/>
      </c>
      <c r="P123" s="89">
        <f>-SUMIFS('11月数据源'!$I:$I,'11月数据源'!$D:$D,$E123,'11月数据源'!$F:$F,"海南精准学科技有限公司")+SUMIFS('11月数据源'!$J:$J,'11月数据源'!$D:$D,$E123,'11月数据源'!$F:$F,"海南精准学科技有限公司")</f>
        <v/>
      </c>
      <c r="Q123" s="89">
        <f>-SUMIFS('12月数据源'!$I:$I,'12月数据源'!$D:$D,$E123,'12月数据源'!$F:$F,"海南精准学科技有限公司")+SUMIFS('12月数据源'!$J:$J,'12月数据源'!$D:$D,$E123,'12月数据源'!$F:$F,"海南精准学科技有限公司")</f>
        <v/>
      </c>
    </row>
    <row r="124" s="83">
      <c r="A124" s="5" t="inlineStr">
        <is>
          <t>销售费用</t>
        </is>
      </c>
      <c r="B124" s="6" t="inlineStr">
        <is>
          <t>平台运营</t>
        </is>
      </c>
      <c r="D124" s="5" t="inlineStr">
        <is>
          <t>平台积分扣款</t>
        </is>
      </c>
      <c r="E124" s="6" t="inlineStr">
        <is>
          <t>Q2207</t>
        </is>
      </c>
      <c r="F124" s="89">
        <f>-SUMIFS('1月数据源'!I:I,'1月数据源'!D:D,E124,'1月数据源'!F:F,"海南精准学科技有限公司")+SUMIFS('1月数据源'!J:J,'1月数据源'!D:D,E124,'1月数据源'!F:F,"海南精准学科技有限公司")</f>
        <v/>
      </c>
      <c r="G124" s="89">
        <f>-SUMIFS('2月数据源'!$I:$I,'2月数据源'!$D:$D,$E124,'2月数据源'!$F:$F,"海南精准学科技有限公司")+SUMIFS('2月数据源'!$J:$J,'2月数据源'!$D:$D,$E124,'2月数据源'!$F:$F,"海南精准学科技有限公司")</f>
        <v/>
      </c>
      <c r="H124" s="89">
        <f>-SUMIFS('3月数据源'!$I:$I,'3月数据源'!$D:$D,$E124,'3月数据源'!$F:$F,"海南精准学科技有限公司")+SUMIFS('3月数据源'!$J:$J,'3月数据源'!$D:$D,$E124,'3月数据源'!$F:$F,"海南精准学科技有限公司")</f>
        <v/>
      </c>
      <c r="I124" s="89">
        <f>-SUMIFS('4月数据源'!$I:$I,'4月数据源'!$D:$D,$E124,'4月数据源'!$F:$F,"海南精准学科技有限公司")+SUMIFS('4月数据源'!$J:$J,'4月数据源'!$D:$D,$E124,'4月数据源'!$F:$F,"海南精准学科技有限公司")</f>
        <v/>
      </c>
      <c r="J124" s="89">
        <f>-SUMIFS('5月数据源'!$I:$I,'5月数据源'!$D:$D,$E124,'5月数据源'!$F:$F,"海南精准学科技有限公司")+SUMIFS('5月数据源'!$J:$J,'5月数据源'!$D:$D,$E124,'5月数据源'!$F:$F,"海南精准学科技有限公司")</f>
        <v/>
      </c>
      <c r="K124" s="89">
        <f>-SUMIFS('6月数据源'!$I:$I,'6月数据源'!$D:$D,$E124,'6月数据源'!$F:$F,"海南精准学科技有限公司")+SUMIFS('6月数据源'!$J:$J,'6月数据源'!$D:$D,$E124,'6月数据源'!$F:$F,"海南精准学科技有限公司")</f>
        <v/>
      </c>
      <c r="L124" s="89">
        <f>-SUMIFS('7月数据源'!$I:$I,'7月数据源'!$D:$D,$E124,'7月数据源'!$F:$F,"海南精准学科技有限公司")+SUMIFS('7月数据源'!$J:$J,'7月数据源'!$D:$D,$E124,'7月数据源'!$F:$F,"海南精准学科技有限公司")</f>
        <v/>
      </c>
      <c r="M124" s="89">
        <f>-SUMIFS('8月数据源'!$I:$I,'8月数据源'!$D:$D,$E124,'8月数据源'!$F:$F,"海南精准学科技有限公司")+SUMIFS('8月数据源'!$J:$J,'8月数据源'!$D:$D,$E124,'8月数据源'!$F:$F,"海南精准学科技有限公司")</f>
        <v/>
      </c>
      <c r="N124" s="89">
        <f>-SUMIFS('9月数据源'!$I:$I,'9月数据源'!$D:$D,$E124,'9月数据源'!$F:$F,"海南精准学科技有限公司")+SUMIFS('9月数据源'!$J:$J,'9月数据源'!$D:$D,$E124,'9月数据源'!$F:$F,"海南精准学科技有限公司")</f>
        <v/>
      </c>
      <c r="O124" s="89">
        <f>-SUMIFS('10月数据源'!$I:$I,'10月数据源'!$D:$D,$E124,'10月数据源'!$F:$F,"海南精准学科技有限公司")+SUMIFS('10月数据源'!$J:$J,'10月数据源'!$D:$D,$E124,'10月数据源'!$F:$F,"海南精准学科技有限公司")</f>
        <v/>
      </c>
      <c r="P124" s="89">
        <f>-SUMIFS('11月数据源'!$I:$I,'11月数据源'!$D:$D,$E124,'11月数据源'!$F:$F,"海南精准学科技有限公司")+SUMIFS('11月数据源'!$J:$J,'11月数据源'!$D:$D,$E124,'11月数据源'!$F:$F,"海南精准学科技有限公司")</f>
        <v/>
      </c>
      <c r="Q124" s="89">
        <f>-SUMIFS('12月数据源'!$I:$I,'12月数据源'!$D:$D,$E124,'12月数据源'!$F:$F,"海南精准学科技有限公司")+SUMIFS('12月数据源'!$J:$J,'12月数据源'!$D:$D,$E124,'12月数据源'!$F:$F,"海南精准学科技有限公司")</f>
        <v/>
      </c>
    </row>
    <row r="125" s="83">
      <c r="A125" s="5" t="inlineStr">
        <is>
          <t>销售费用</t>
        </is>
      </c>
      <c r="B125" s="6" t="inlineStr">
        <is>
          <t>平台运营</t>
        </is>
      </c>
      <c r="D125" s="5" t="inlineStr">
        <is>
          <t>平台推荐佣金</t>
        </is>
      </c>
      <c r="E125" s="6" t="inlineStr">
        <is>
          <t>Q2208</t>
        </is>
      </c>
      <c r="F125" s="89">
        <f>-SUMIFS('1月数据源'!I:I,'1月数据源'!D:D,E125,'1月数据源'!F:F,"海南精准学科技有限公司")+SUMIFS('1月数据源'!J:J,'1月数据源'!D:D,E125,'1月数据源'!F:F,"海南精准学科技有限公司")</f>
        <v/>
      </c>
      <c r="G125" s="89">
        <f>-SUMIFS('2月数据源'!$I:$I,'2月数据源'!$D:$D,$E125,'2月数据源'!$F:$F,"海南精准学科技有限公司")+SUMIFS('2月数据源'!$J:$J,'2月数据源'!$D:$D,$E125,'2月数据源'!$F:$F,"海南精准学科技有限公司")</f>
        <v/>
      </c>
      <c r="H125" s="89">
        <f>-SUMIFS('3月数据源'!$I:$I,'3月数据源'!$D:$D,$E125,'3月数据源'!$F:$F,"海南精准学科技有限公司")+SUMIFS('3月数据源'!$J:$J,'3月数据源'!$D:$D,$E125,'3月数据源'!$F:$F,"海南精准学科技有限公司")</f>
        <v/>
      </c>
      <c r="I125" s="89">
        <f>-SUMIFS('4月数据源'!$I:$I,'4月数据源'!$D:$D,$E125,'4月数据源'!$F:$F,"海南精准学科技有限公司")+SUMIFS('4月数据源'!$J:$J,'4月数据源'!$D:$D,$E125,'4月数据源'!$F:$F,"海南精准学科技有限公司")</f>
        <v/>
      </c>
      <c r="J125" s="89">
        <f>-SUMIFS('5月数据源'!$I:$I,'5月数据源'!$D:$D,$E125,'5月数据源'!$F:$F,"海南精准学科技有限公司")+SUMIFS('5月数据源'!$J:$J,'5月数据源'!$D:$D,$E125,'5月数据源'!$F:$F,"海南精准学科技有限公司")</f>
        <v/>
      </c>
      <c r="K125" s="89">
        <f>-SUMIFS('6月数据源'!$I:$I,'6月数据源'!$D:$D,$E125,'6月数据源'!$F:$F,"海南精准学科技有限公司")+SUMIFS('6月数据源'!$J:$J,'6月数据源'!$D:$D,$E125,'6月数据源'!$F:$F,"海南精准学科技有限公司")</f>
        <v/>
      </c>
      <c r="L125" s="89">
        <f>-SUMIFS('7月数据源'!$I:$I,'7月数据源'!$D:$D,$E125,'7月数据源'!$F:$F,"海南精准学科技有限公司")+SUMIFS('7月数据源'!$J:$J,'7月数据源'!$D:$D,$E125,'7月数据源'!$F:$F,"海南精准学科技有限公司")</f>
        <v/>
      </c>
      <c r="M125" s="89">
        <f>-SUMIFS('8月数据源'!$I:$I,'8月数据源'!$D:$D,$E125,'8月数据源'!$F:$F,"海南精准学科技有限公司")+SUMIFS('8月数据源'!$J:$J,'8月数据源'!$D:$D,$E125,'8月数据源'!$F:$F,"海南精准学科技有限公司")</f>
        <v/>
      </c>
      <c r="N125" s="89">
        <f>-SUMIFS('9月数据源'!$I:$I,'9月数据源'!$D:$D,$E125,'9月数据源'!$F:$F,"海南精准学科技有限公司")+SUMIFS('9月数据源'!$J:$J,'9月数据源'!$D:$D,$E125,'9月数据源'!$F:$F,"海南精准学科技有限公司")</f>
        <v/>
      </c>
      <c r="O125" s="89">
        <f>-SUMIFS('10月数据源'!$I:$I,'10月数据源'!$D:$D,$E125,'10月数据源'!$F:$F,"海南精准学科技有限公司")+SUMIFS('10月数据源'!$J:$J,'10月数据源'!$D:$D,$E125,'10月数据源'!$F:$F,"海南精准学科技有限公司")</f>
        <v/>
      </c>
      <c r="P125" s="89">
        <f>-SUMIFS('11月数据源'!$I:$I,'11月数据源'!$D:$D,$E125,'11月数据源'!$F:$F,"海南精准学科技有限公司")+SUMIFS('11月数据源'!$J:$J,'11月数据源'!$D:$D,$E125,'11月数据源'!$F:$F,"海南精准学科技有限公司")</f>
        <v/>
      </c>
      <c r="Q125" s="89">
        <f>-SUMIFS('12月数据源'!$I:$I,'12月数据源'!$D:$D,$E125,'12月数据源'!$F:$F,"海南精准学科技有限公司")+SUMIFS('12月数据源'!$J:$J,'12月数据源'!$D:$D,$E125,'12月数据源'!$F:$F,"海南精准学科技有限公司")</f>
        <v/>
      </c>
    </row>
    <row r="126" s="83">
      <c r="A126" s="5" t="inlineStr">
        <is>
          <t>销售费用</t>
        </is>
      </c>
      <c r="B126" s="6" t="inlineStr">
        <is>
          <t>平台运营</t>
        </is>
      </c>
      <c r="D126" s="5" t="inlineStr">
        <is>
          <t>保证金及认证费用</t>
        </is>
      </c>
      <c r="E126" s="6" t="inlineStr">
        <is>
          <t>Q2202</t>
        </is>
      </c>
      <c r="F126" s="89">
        <f>-SUMIFS('1月数据源'!I:I,'1月数据源'!D:D,E126,'1月数据源'!F:F,"海南精准学科技有限公司")+SUMIFS('1月数据源'!J:J,'1月数据源'!D:D,E126,'1月数据源'!F:F,"海南精准学科技有限公司")</f>
        <v/>
      </c>
      <c r="G126" s="89">
        <f>-SUMIFS('2月数据源'!$I:$I,'2月数据源'!$D:$D,$E126,'2月数据源'!$F:$F,"海南精准学科技有限公司")+SUMIFS('2月数据源'!$J:$J,'2月数据源'!$D:$D,$E126,'2月数据源'!$F:$F,"海南精准学科技有限公司")</f>
        <v/>
      </c>
      <c r="H126" s="89">
        <f>-SUMIFS('3月数据源'!$I:$I,'3月数据源'!$D:$D,$E126,'3月数据源'!$F:$F,"海南精准学科技有限公司")+SUMIFS('3月数据源'!$J:$J,'3月数据源'!$D:$D,$E126,'3月数据源'!$F:$F,"海南精准学科技有限公司")</f>
        <v/>
      </c>
      <c r="I126" s="89">
        <f>-SUMIFS('4月数据源'!$I:$I,'4月数据源'!$D:$D,$E126,'4月数据源'!$F:$F,"海南精准学科技有限公司")+SUMIFS('4月数据源'!$J:$J,'4月数据源'!$D:$D,$E126,'4月数据源'!$F:$F,"海南精准学科技有限公司")</f>
        <v/>
      </c>
      <c r="J126" s="89">
        <f>-SUMIFS('5月数据源'!$I:$I,'5月数据源'!$D:$D,$E126,'5月数据源'!$F:$F,"海南精准学科技有限公司")+SUMIFS('5月数据源'!$J:$J,'5月数据源'!$D:$D,$E126,'5月数据源'!$F:$F,"海南精准学科技有限公司")</f>
        <v/>
      </c>
      <c r="K126" s="89">
        <f>-SUMIFS('6月数据源'!$I:$I,'6月数据源'!$D:$D,$E126,'6月数据源'!$F:$F,"海南精准学科技有限公司")+SUMIFS('6月数据源'!$J:$J,'6月数据源'!$D:$D,$E126,'6月数据源'!$F:$F,"海南精准学科技有限公司")</f>
        <v/>
      </c>
      <c r="L126" s="89">
        <f>-SUMIFS('7月数据源'!$I:$I,'7月数据源'!$D:$D,$E126,'7月数据源'!$F:$F,"海南精准学科技有限公司")+SUMIFS('7月数据源'!$J:$J,'7月数据源'!$D:$D,$E126,'7月数据源'!$F:$F,"海南精准学科技有限公司")</f>
        <v/>
      </c>
      <c r="M126" s="89">
        <f>-SUMIFS('8月数据源'!$I:$I,'8月数据源'!$D:$D,$E126,'8月数据源'!$F:$F,"海南精准学科技有限公司")+SUMIFS('8月数据源'!$J:$J,'8月数据源'!$D:$D,$E126,'8月数据源'!$F:$F,"海南精准学科技有限公司")</f>
        <v/>
      </c>
      <c r="N126" s="89">
        <f>-SUMIFS('9月数据源'!$I:$I,'9月数据源'!$D:$D,$E126,'9月数据源'!$F:$F,"海南精准学科技有限公司")+SUMIFS('9月数据源'!$J:$J,'9月数据源'!$D:$D,$E126,'9月数据源'!$F:$F,"海南精准学科技有限公司")</f>
        <v/>
      </c>
      <c r="O126" s="89">
        <f>-SUMIFS('10月数据源'!$I:$I,'10月数据源'!$D:$D,$E126,'10月数据源'!$F:$F,"海南精准学科技有限公司")+SUMIFS('10月数据源'!$J:$J,'10月数据源'!$D:$D,$E126,'10月数据源'!$F:$F,"海南精准学科技有限公司")</f>
        <v/>
      </c>
      <c r="P126" s="89">
        <f>-SUMIFS('11月数据源'!$I:$I,'11月数据源'!$D:$D,$E126,'11月数据源'!$F:$F,"海南精准学科技有限公司")+SUMIFS('11月数据源'!$J:$J,'11月数据源'!$D:$D,$E126,'11月数据源'!$F:$F,"海南精准学科技有限公司")</f>
        <v/>
      </c>
      <c r="Q126" s="89">
        <f>-SUMIFS('12月数据源'!$I:$I,'12月数据源'!$D:$D,$E126,'12月数据源'!$F:$F,"海南精准学科技有限公司")+SUMIFS('12月数据源'!$J:$J,'12月数据源'!$D:$D,$E126,'12月数据源'!$F:$F,"海南精准学科技有限公司")</f>
        <v/>
      </c>
    </row>
    <row r="127" s="83">
      <c r="A127" s="5" t="inlineStr">
        <is>
          <t>销售费用</t>
        </is>
      </c>
      <c r="B127" s="6" t="inlineStr">
        <is>
          <t>平台运营</t>
        </is>
      </c>
      <c r="D127" s="5" t="inlineStr">
        <is>
          <t>品专支出</t>
        </is>
      </c>
      <c r="E127" s="6" t="inlineStr">
        <is>
          <t>Q2203</t>
        </is>
      </c>
      <c r="F127" s="89">
        <f>-SUMIFS('1月数据源'!I:I,'1月数据源'!D:D,E127,'1月数据源'!F:F,"海南精准学科技有限公司")+SUMIFS('1月数据源'!J:J,'1月数据源'!D:D,E127,'1月数据源'!F:F,"海南精准学科技有限公司")</f>
        <v/>
      </c>
      <c r="G127" s="89">
        <f>-SUMIFS('2月数据源'!$I:$I,'2月数据源'!$D:$D,$E127,'2月数据源'!$F:$F,"海南精准学科技有限公司")+SUMIFS('2月数据源'!$J:$J,'2月数据源'!$D:$D,$E127,'2月数据源'!$F:$F,"海南精准学科技有限公司")</f>
        <v/>
      </c>
      <c r="H127" s="89">
        <f>-SUMIFS('3月数据源'!$I:$I,'3月数据源'!$D:$D,$E127,'3月数据源'!$F:$F,"海南精准学科技有限公司")+SUMIFS('3月数据源'!$J:$J,'3月数据源'!$D:$D,$E127,'3月数据源'!$F:$F,"海南精准学科技有限公司")</f>
        <v/>
      </c>
      <c r="I127" s="89">
        <f>-SUMIFS('4月数据源'!$I:$I,'4月数据源'!$D:$D,$E127,'4月数据源'!$F:$F,"海南精准学科技有限公司")+SUMIFS('4月数据源'!$J:$J,'4月数据源'!$D:$D,$E127,'4月数据源'!$F:$F,"海南精准学科技有限公司")</f>
        <v/>
      </c>
      <c r="J127" s="89">
        <f>-SUMIFS('5月数据源'!$I:$I,'5月数据源'!$D:$D,$E127,'5月数据源'!$F:$F,"海南精准学科技有限公司")+SUMIFS('5月数据源'!$J:$J,'5月数据源'!$D:$D,$E127,'5月数据源'!$F:$F,"海南精准学科技有限公司")</f>
        <v/>
      </c>
      <c r="K127" s="89">
        <f>-SUMIFS('6月数据源'!$I:$I,'6月数据源'!$D:$D,$E127,'6月数据源'!$F:$F,"海南精准学科技有限公司")+SUMIFS('6月数据源'!$J:$J,'6月数据源'!$D:$D,$E127,'6月数据源'!$F:$F,"海南精准学科技有限公司")</f>
        <v/>
      </c>
      <c r="L127" s="89">
        <f>-SUMIFS('7月数据源'!$I:$I,'7月数据源'!$D:$D,$E127,'7月数据源'!$F:$F,"海南精准学科技有限公司")+SUMIFS('7月数据源'!$J:$J,'7月数据源'!$D:$D,$E127,'7月数据源'!$F:$F,"海南精准学科技有限公司")</f>
        <v/>
      </c>
      <c r="M127" s="89">
        <f>-SUMIFS('8月数据源'!$I:$I,'8月数据源'!$D:$D,$E127,'8月数据源'!$F:$F,"海南精准学科技有限公司")+SUMIFS('8月数据源'!$J:$J,'8月数据源'!$D:$D,$E127,'8月数据源'!$F:$F,"海南精准学科技有限公司")</f>
        <v/>
      </c>
      <c r="N127" s="89">
        <f>-SUMIFS('9月数据源'!$I:$I,'9月数据源'!$D:$D,$E127,'9月数据源'!$F:$F,"海南精准学科技有限公司")+SUMIFS('9月数据源'!$J:$J,'9月数据源'!$D:$D,$E127,'9月数据源'!$F:$F,"海南精准学科技有限公司")</f>
        <v/>
      </c>
      <c r="O127" s="89">
        <f>-SUMIFS('10月数据源'!$I:$I,'10月数据源'!$D:$D,$E127,'10月数据源'!$F:$F,"海南精准学科技有限公司")+SUMIFS('10月数据源'!$J:$J,'10月数据源'!$D:$D,$E127,'10月数据源'!$F:$F,"海南精准学科技有限公司")</f>
        <v/>
      </c>
      <c r="P127" s="89">
        <f>-SUMIFS('11月数据源'!$I:$I,'11月数据源'!$D:$D,$E127,'11月数据源'!$F:$F,"海南精准学科技有限公司")+SUMIFS('11月数据源'!$J:$J,'11月数据源'!$D:$D,$E127,'11月数据源'!$F:$F,"海南精准学科技有限公司")</f>
        <v/>
      </c>
      <c r="Q127" s="89">
        <f>-SUMIFS('12月数据源'!$I:$I,'12月数据源'!$D:$D,$E127,'12月数据源'!$F:$F,"海南精准学科技有限公司")+SUMIFS('12月数据源'!$J:$J,'12月数据源'!$D:$D,$E127,'12月数据源'!$F:$F,"海南精准学科技有限公司")</f>
        <v/>
      </c>
    </row>
    <row r="128" s="83">
      <c r="A128" s="5" t="inlineStr">
        <is>
          <t>销售费用</t>
        </is>
      </c>
      <c r="B128" s="6" t="inlineStr">
        <is>
          <t>平台运营</t>
        </is>
      </c>
      <c r="D128" s="5" t="inlineStr">
        <is>
          <t>其他平台扣款</t>
        </is>
      </c>
      <c r="E128" s="6" t="inlineStr">
        <is>
          <t>Q2209</t>
        </is>
      </c>
      <c r="F128" s="89">
        <f>-SUMIFS('1月数据源'!I:I,'1月数据源'!D:D,E128,'1月数据源'!F:F,"海南精准学科技有限公司")+SUMIFS('1月数据源'!J:J,'1月数据源'!D:D,E128,'1月数据源'!F:F,"海南精准学科技有限公司")</f>
        <v/>
      </c>
      <c r="G128" s="89">
        <f>-SUMIFS('2月数据源'!$I:$I,'2月数据源'!$D:$D,$E128,'2月数据源'!$F:$F,"海南精准学科技有限公司")+SUMIFS('2月数据源'!$J:$J,'2月数据源'!$D:$D,$E128,'2月数据源'!$F:$F,"海南精准学科技有限公司")</f>
        <v/>
      </c>
      <c r="H128" s="89">
        <f>-SUMIFS('3月数据源'!$I:$I,'3月数据源'!$D:$D,$E128,'3月数据源'!$F:$F,"海南精准学科技有限公司")+SUMIFS('3月数据源'!$J:$J,'3月数据源'!$D:$D,$E128,'3月数据源'!$F:$F,"海南精准学科技有限公司")</f>
        <v/>
      </c>
      <c r="I128" s="89">
        <f>-SUMIFS('4月数据源'!$I:$I,'4月数据源'!$D:$D,$E128,'4月数据源'!$F:$F,"海南精准学科技有限公司")+SUMIFS('4月数据源'!$J:$J,'4月数据源'!$D:$D,$E128,'4月数据源'!$F:$F,"海南精准学科技有限公司")</f>
        <v/>
      </c>
      <c r="J128" s="89">
        <f>-SUMIFS('5月数据源'!$I:$I,'5月数据源'!$D:$D,$E128,'5月数据源'!$F:$F,"海南精准学科技有限公司")+SUMIFS('5月数据源'!$J:$J,'5月数据源'!$D:$D,$E128,'5月数据源'!$F:$F,"海南精准学科技有限公司")</f>
        <v/>
      </c>
      <c r="K128" s="89">
        <f>-SUMIFS('6月数据源'!$I:$I,'6月数据源'!$D:$D,$E128,'6月数据源'!$F:$F,"海南精准学科技有限公司")+SUMIFS('6月数据源'!$J:$J,'6月数据源'!$D:$D,$E128,'6月数据源'!$F:$F,"海南精准学科技有限公司")</f>
        <v/>
      </c>
      <c r="L128" s="89">
        <f>-SUMIFS('7月数据源'!$I:$I,'7月数据源'!$D:$D,$E128,'7月数据源'!$F:$F,"海南精准学科技有限公司")+SUMIFS('7月数据源'!$J:$J,'7月数据源'!$D:$D,$E128,'7月数据源'!$F:$F,"海南精准学科技有限公司")</f>
        <v/>
      </c>
      <c r="M128" s="89">
        <f>-SUMIFS('8月数据源'!$I:$I,'8月数据源'!$D:$D,$E128,'8月数据源'!$F:$F,"海南精准学科技有限公司")+SUMIFS('8月数据源'!$J:$J,'8月数据源'!$D:$D,$E128,'8月数据源'!$F:$F,"海南精准学科技有限公司")</f>
        <v/>
      </c>
      <c r="N128" s="89">
        <f>-SUMIFS('9月数据源'!$I:$I,'9月数据源'!$D:$D,$E128,'9月数据源'!$F:$F,"海南精准学科技有限公司")+SUMIFS('9月数据源'!$J:$J,'9月数据源'!$D:$D,$E128,'9月数据源'!$F:$F,"海南精准学科技有限公司")</f>
        <v/>
      </c>
      <c r="O128" s="89">
        <f>-SUMIFS('10月数据源'!$I:$I,'10月数据源'!$D:$D,$E128,'10月数据源'!$F:$F,"海南精准学科技有限公司")+SUMIFS('10月数据源'!$J:$J,'10月数据源'!$D:$D,$E128,'10月数据源'!$F:$F,"海南精准学科技有限公司")</f>
        <v/>
      </c>
      <c r="P128" s="89">
        <f>-SUMIFS('11月数据源'!$I:$I,'11月数据源'!$D:$D,$E128,'11月数据源'!$F:$F,"海南精准学科技有限公司")+SUMIFS('11月数据源'!$J:$J,'11月数据源'!$D:$D,$E128,'11月数据源'!$F:$F,"海南精准学科技有限公司")</f>
        <v/>
      </c>
      <c r="Q128" s="89">
        <f>-SUMIFS('12月数据源'!$I:$I,'12月数据源'!$D:$D,$E128,'12月数据源'!$F:$F,"海南精准学科技有限公司")+SUMIFS('12月数据源'!$J:$J,'12月数据源'!$D:$D,$E128,'12月数据源'!$F:$F,"海南精准学科技有限公司")</f>
        <v/>
      </c>
    </row>
    <row r="129" s="83">
      <c r="A129" s="5" t="inlineStr">
        <is>
          <t>销售费用</t>
        </is>
      </c>
      <c r="B129" s="6" t="inlineStr">
        <is>
          <t>私域运营</t>
        </is>
      </c>
      <c r="C129" s="6" t="inlineStr">
        <is>
          <t>私域运营</t>
        </is>
      </c>
      <c r="D129" s="5" t="inlineStr">
        <is>
          <t>返现活动</t>
        </is>
      </c>
      <c r="E129" s="6" t="inlineStr">
        <is>
          <t>Q2301</t>
        </is>
      </c>
      <c r="F129" s="89">
        <f>-SUMIFS('1月数据源'!I:I,'1月数据源'!D:D,E129,'1月数据源'!F:F,"海南精准学科技有限公司")+SUMIFS('1月数据源'!J:J,'1月数据源'!D:D,E129,'1月数据源'!F:F,"海南精准学科技有限公司")</f>
        <v/>
      </c>
      <c r="G129" s="89">
        <f>-SUMIFS('2月数据源'!$I:$I,'2月数据源'!$D:$D,$E129,'2月数据源'!$F:$F,"海南精准学科技有限公司")+SUMIFS('2月数据源'!$J:$J,'2月数据源'!$D:$D,$E129,'2月数据源'!$F:$F,"海南精准学科技有限公司")</f>
        <v/>
      </c>
      <c r="H129" s="89">
        <f>-SUMIFS('3月数据源'!$I:$I,'3月数据源'!$D:$D,$E129,'3月数据源'!$F:$F,"海南精准学科技有限公司")+SUMIFS('3月数据源'!$J:$J,'3月数据源'!$D:$D,$E129,'3月数据源'!$F:$F,"海南精准学科技有限公司")</f>
        <v/>
      </c>
      <c r="I129" s="89">
        <f>-SUMIFS('4月数据源'!$I:$I,'4月数据源'!$D:$D,$E129,'4月数据源'!$F:$F,"海南精准学科技有限公司")+SUMIFS('4月数据源'!$J:$J,'4月数据源'!$D:$D,$E129,'4月数据源'!$F:$F,"海南精准学科技有限公司")</f>
        <v/>
      </c>
      <c r="J129" s="89">
        <f>-SUMIFS('5月数据源'!$I:$I,'5月数据源'!$D:$D,$E129,'5月数据源'!$F:$F,"海南精准学科技有限公司")+SUMIFS('5月数据源'!$J:$J,'5月数据源'!$D:$D,$E129,'5月数据源'!$F:$F,"海南精准学科技有限公司")</f>
        <v/>
      </c>
      <c r="K129" s="89">
        <f>-SUMIFS('6月数据源'!$I:$I,'6月数据源'!$D:$D,$E129,'6月数据源'!$F:$F,"海南精准学科技有限公司")+SUMIFS('6月数据源'!$J:$J,'6月数据源'!$D:$D,$E129,'6月数据源'!$F:$F,"海南精准学科技有限公司")</f>
        <v/>
      </c>
      <c r="L129" s="89">
        <f>-SUMIFS('7月数据源'!$I:$I,'7月数据源'!$D:$D,$E129,'7月数据源'!$F:$F,"海南精准学科技有限公司")+SUMIFS('7月数据源'!$J:$J,'7月数据源'!$D:$D,$E129,'7月数据源'!$F:$F,"海南精准学科技有限公司")</f>
        <v/>
      </c>
      <c r="M129" s="89">
        <f>-SUMIFS('8月数据源'!$I:$I,'8月数据源'!$D:$D,$E129,'8月数据源'!$F:$F,"海南精准学科技有限公司")+SUMIFS('8月数据源'!$J:$J,'8月数据源'!$D:$D,$E129,'8月数据源'!$F:$F,"海南精准学科技有限公司")</f>
        <v/>
      </c>
      <c r="N129" s="89">
        <f>-SUMIFS('9月数据源'!$I:$I,'9月数据源'!$D:$D,$E129,'9月数据源'!$F:$F,"海南精准学科技有限公司")+SUMIFS('9月数据源'!$J:$J,'9月数据源'!$D:$D,$E129,'9月数据源'!$F:$F,"海南精准学科技有限公司")</f>
        <v/>
      </c>
      <c r="O129" s="89">
        <f>-SUMIFS('10月数据源'!$I:$I,'10月数据源'!$D:$D,$E129,'10月数据源'!$F:$F,"海南精准学科技有限公司")+SUMIFS('10月数据源'!$J:$J,'10月数据源'!$D:$D,$E129,'10月数据源'!$F:$F,"海南精准学科技有限公司")</f>
        <v/>
      </c>
      <c r="P129" s="89">
        <f>-SUMIFS('11月数据源'!$I:$I,'11月数据源'!$D:$D,$E129,'11月数据源'!$F:$F,"海南精准学科技有限公司")+SUMIFS('11月数据源'!$J:$J,'11月数据源'!$D:$D,$E129,'11月数据源'!$F:$F,"海南精准学科技有限公司")</f>
        <v/>
      </c>
      <c r="Q129" s="89">
        <f>-SUMIFS('12月数据源'!$I:$I,'12月数据源'!$D:$D,$E129,'12月数据源'!$F:$F,"海南精准学科技有限公司")+SUMIFS('12月数据源'!$J:$J,'12月数据源'!$D:$D,$E129,'12月数据源'!$F:$F,"海南精准学科技有限公司")</f>
        <v/>
      </c>
    </row>
    <row r="130" s="83">
      <c r="A130" s="5" t="inlineStr">
        <is>
          <t>销售费用</t>
        </is>
      </c>
      <c r="B130" s="6" t="inlineStr">
        <is>
          <t>私域运营</t>
        </is>
      </c>
      <c r="D130" s="5" t="inlineStr">
        <is>
          <t>转介绍佣金</t>
        </is>
      </c>
      <c r="E130" s="6" t="inlineStr">
        <is>
          <t>Q2302</t>
        </is>
      </c>
      <c r="F130" s="89">
        <f>-SUMIFS('1月数据源'!I:I,'1月数据源'!D:D,E130,'1月数据源'!F:F,"海南精准学科技有限公司")+SUMIFS('1月数据源'!J:J,'1月数据源'!D:D,E130,'1月数据源'!F:F,"海南精准学科技有限公司")</f>
        <v/>
      </c>
      <c r="G130" s="89">
        <f>-SUMIFS('2月数据源'!$I:$I,'2月数据源'!$D:$D,$E130,'2月数据源'!$F:$F,"海南精准学科技有限公司")+SUMIFS('2月数据源'!$J:$J,'2月数据源'!$D:$D,$E130,'2月数据源'!$F:$F,"海南精准学科技有限公司")</f>
        <v/>
      </c>
      <c r="H130" s="89">
        <f>-SUMIFS('3月数据源'!$I:$I,'3月数据源'!$D:$D,$E130,'3月数据源'!$F:$F,"海南精准学科技有限公司")+SUMIFS('3月数据源'!$J:$J,'3月数据源'!$D:$D,$E130,'3月数据源'!$F:$F,"海南精准学科技有限公司")</f>
        <v/>
      </c>
      <c r="I130" s="89">
        <f>-SUMIFS('4月数据源'!$I:$I,'4月数据源'!$D:$D,$E130,'4月数据源'!$F:$F,"海南精准学科技有限公司")+SUMIFS('4月数据源'!$J:$J,'4月数据源'!$D:$D,$E130,'4月数据源'!$F:$F,"海南精准学科技有限公司")</f>
        <v/>
      </c>
      <c r="J130" s="89">
        <f>-SUMIFS('5月数据源'!$I:$I,'5月数据源'!$D:$D,$E130,'5月数据源'!$F:$F,"海南精准学科技有限公司")+SUMIFS('5月数据源'!$J:$J,'5月数据源'!$D:$D,$E130,'5月数据源'!$F:$F,"海南精准学科技有限公司")</f>
        <v/>
      </c>
      <c r="K130" s="89">
        <f>-SUMIFS('6月数据源'!$I:$I,'6月数据源'!$D:$D,$E130,'6月数据源'!$F:$F,"海南精准学科技有限公司")+SUMIFS('6月数据源'!$J:$J,'6月数据源'!$D:$D,$E130,'6月数据源'!$F:$F,"海南精准学科技有限公司")</f>
        <v/>
      </c>
      <c r="L130" s="89">
        <f>-SUMIFS('7月数据源'!$I:$I,'7月数据源'!$D:$D,$E130,'7月数据源'!$F:$F,"海南精准学科技有限公司")+SUMIFS('7月数据源'!$J:$J,'7月数据源'!$D:$D,$E130,'7月数据源'!$F:$F,"海南精准学科技有限公司")</f>
        <v/>
      </c>
      <c r="M130" s="89">
        <f>-SUMIFS('8月数据源'!$I:$I,'8月数据源'!$D:$D,$E130,'8月数据源'!$F:$F,"海南精准学科技有限公司")+SUMIFS('8月数据源'!$J:$J,'8月数据源'!$D:$D,$E130,'8月数据源'!$F:$F,"海南精准学科技有限公司")</f>
        <v/>
      </c>
      <c r="N130" s="89">
        <f>-SUMIFS('9月数据源'!$I:$I,'9月数据源'!$D:$D,$E130,'9月数据源'!$F:$F,"海南精准学科技有限公司")+SUMIFS('9月数据源'!$J:$J,'9月数据源'!$D:$D,$E130,'9月数据源'!$F:$F,"海南精准学科技有限公司")</f>
        <v/>
      </c>
      <c r="O130" s="89">
        <f>-SUMIFS('10月数据源'!$I:$I,'10月数据源'!$D:$D,$E130,'10月数据源'!$F:$F,"海南精准学科技有限公司")+SUMIFS('10月数据源'!$J:$J,'10月数据源'!$D:$D,$E130,'10月数据源'!$F:$F,"海南精准学科技有限公司")</f>
        <v/>
      </c>
      <c r="P130" s="89">
        <f>-SUMIFS('11月数据源'!$I:$I,'11月数据源'!$D:$D,$E130,'11月数据源'!$F:$F,"海南精准学科技有限公司")+SUMIFS('11月数据源'!$J:$J,'11月数据源'!$D:$D,$E130,'11月数据源'!$F:$F,"海南精准学科技有限公司")</f>
        <v/>
      </c>
      <c r="Q130" s="89">
        <f>-SUMIFS('12月数据源'!$I:$I,'12月数据源'!$D:$D,$E130,'12月数据源'!$F:$F,"海南精准学科技有限公司")+SUMIFS('12月数据源'!$J:$J,'12月数据源'!$D:$D,$E130,'12月数据源'!$F:$F,"海南精准学科技有限公司")</f>
        <v/>
      </c>
    </row>
    <row r="131" s="83">
      <c r="A131" s="5" t="inlineStr">
        <is>
          <t>销售费用</t>
        </is>
      </c>
      <c r="B131" s="6" t="inlineStr">
        <is>
          <t>达人带货</t>
        </is>
      </c>
      <c r="C131" s="6" t="inlineStr">
        <is>
          <t>达人带货</t>
        </is>
      </c>
      <c r="D131" s="5" t="inlineStr">
        <is>
          <t>坑位费</t>
        </is>
      </c>
      <c r="E131" s="6" t="inlineStr">
        <is>
          <t>Q2401</t>
        </is>
      </c>
      <c r="F131" s="89">
        <f>-SUMIFS('1月数据源'!I:I,'1月数据源'!D:D,E131,'1月数据源'!F:F,"海南精准学科技有限公司")+SUMIFS('1月数据源'!J:J,'1月数据源'!D:D,E131,'1月数据源'!F:F,"海南精准学科技有限公司")</f>
        <v/>
      </c>
      <c r="G131" s="89">
        <f>-SUMIFS('2月数据源'!$I:$I,'2月数据源'!$D:$D,$E131,'2月数据源'!$F:$F,"海南精准学科技有限公司")+SUMIFS('2月数据源'!$J:$J,'2月数据源'!$D:$D,$E131,'2月数据源'!$F:$F,"海南精准学科技有限公司")</f>
        <v/>
      </c>
      <c r="H131" s="89">
        <f>-SUMIFS('3月数据源'!$I:$I,'3月数据源'!$D:$D,$E131,'3月数据源'!$F:$F,"海南精准学科技有限公司")+SUMIFS('3月数据源'!$J:$J,'3月数据源'!$D:$D,$E131,'3月数据源'!$F:$F,"海南精准学科技有限公司")</f>
        <v/>
      </c>
      <c r="I131" s="89">
        <f>-SUMIFS('4月数据源'!$I:$I,'4月数据源'!$D:$D,$E131,'4月数据源'!$F:$F,"海南精准学科技有限公司")+SUMIFS('4月数据源'!$J:$J,'4月数据源'!$D:$D,$E131,'4月数据源'!$F:$F,"海南精准学科技有限公司")</f>
        <v/>
      </c>
      <c r="J131" s="89">
        <f>-SUMIFS('5月数据源'!$I:$I,'5月数据源'!$D:$D,$E131,'5月数据源'!$F:$F,"海南精准学科技有限公司")+SUMIFS('5月数据源'!$J:$J,'5月数据源'!$D:$D,$E131,'5月数据源'!$F:$F,"海南精准学科技有限公司")</f>
        <v/>
      </c>
      <c r="K131" s="89">
        <f>-SUMIFS('6月数据源'!$I:$I,'6月数据源'!$D:$D,$E131,'6月数据源'!$F:$F,"海南精准学科技有限公司")+SUMIFS('6月数据源'!$J:$J,'6月数据源'!$D:$D,$E131,'6月数据源'!$F:$F,"海南精准学科技有限公司")</f>
        <v/>
      </c>
      <c r="L131" s="89">
        <f>-SUMIFS('7月数据源'!$I:$I,'7月数据源'!$D:$D,$E131,'7月数据源'!$F:$F,"海南精准学科技有限公司")+SUMIFS('7月数据源'!$J:$J,'7月数据源'!$D:$D,$E131,'7月数据源'!$F:$F,"海南精准学科技有限公司")</f>
        <v/>
      </c>
      <c r="M131" s="89">
        <f>-SUMIFS('8月数据源'!$I:$I,'8月数据源'!$D:$D,$E131,'8月数据源'!$F:$F,"海南精准学科技有限公司")+SUMIFS('8月数据源'!$J:$J,'8月数据源'!$D:$D,$E131,'8月数据源'!$F:$F,"海南精准学科技有限公司")</f>
        <v/>
      </c>
      <c r="N131" s="89">
        <f>-SUMIFS('9月数据源'!$I:$I,'9月数据源'!$D:$D,$E131,'9月数据源'!$F:$F,"海南精准学科技有限公司")+SUMIFS('9月数据源'!$J:$J,'9月数据源'!$D:$D,$E131,'9月数据源'!$F:$F,"海南精准学科技有限公司")</f>
        <v/>
      </c>
      <c r="O131" s="89">
        <f>-SUMIFS('10月数据源'!$I:$I,'10月数据源'!$D:$D,$E131,'10月数据源'!$F:$F,"海南精准学科技有限公司")+SUMIFS('10月数据源'!$J:$J,'10月数据源'!$D:$D,$E131,'10月数据源'!$F:$F,"海南精准学科技有限公司")</f>
        <v/>
      </c>
      <c r="P131" s="89">
        <f>-SUMIFS('11月数据源'!$I:$I,'11月数据源'!$D:$D,$E131,'11月数据源'!$F:$F,"海南精准学科技有限公司")+SUMIFS('11月数据源'!$J:$J,'11月数据源'!$D:$D,$E131,'11月数据源'!$F:$F,"海南精准学科技有限公司")</f>
        <v/>
      </c>
      <c r="Q131" s="89">
        <f>-SUMIFS('12月数据源'!$I:$I,'12月数据源'!$D:$D,$E131,'12月数据源'!$F:$F,"海南精准学科技有限公司")+SUMIFS('12月数据源'!$J:$J,'12月数据源'!$D:$D,$E131,'12月数据源'!$F:$F,"海南精准学科技有限公司")</f>
        <v/>
      </c>
    </row>
    <row r="132" s="83">
      <c r="A132" s="5" t="inlineStr">
        <is>
          <t>销售费用</t>
        </is>
      </c>
      <c r="B132" s="6" t="inlineStr">
        <is>
          <t>达人带货</t>
        </is>
      </c>
      <c r="D132" s="5" t="inlineStr">
        <is>
          <t>佣金</t>
        </is>
      </c>
      <c r="E132" s="6" t="inlineStr">
        <is>
          <t>Q2402</t>
        </is>
      </c>
      <c r="F132" s="89">
        <f>-SUMIFS('1月数据源'!I:I,'1月数据源'!D:D,E132,'1月数据源'!F:F,"海南精准学科技有限公司")+SUMIFS('1月数据源'!J:J,'1月数据源'!D:D,E132,'1月数据源'!F:F,"海南精准学科技有限公司")</f>
        <v/>
      </c>
      <c r="G132" s="89">
        <f>-SUMIFS('2月数据源'!$I:$I,'2月数据源'!$D:$D,$E132,'2月数据源'!$F:$F,"海南精准学科技有限公司")+SUMIFS('2月数据源'!$J:$J,'2月数据源'!$D:$D,$E132,'2月数据源'!$F:$F,"海南精准学科技有限公司")</f>
        <v/>
      </c>
      <c r="H132" s="89">
        <f>-SUMIFS('3月数据源'!$I:$I,'3月数据源'!$D:$D,$E132,'3月数据源'!$F:$F,"海南精准学科技有限公司")+SUMIFS('3月数据源'!$J:$J,'3月数据源'!$D:$D,$E132,'3月数据源'!$F:$F,"海南精准学科技有限公司")</f>
        <v/>
      </c>
      <c r="I132" s="89">
        <f>-SUMIFS('4月数据源'!$I:$I,'4月数据源'!$D:$D,$E132,'4月数据源'!$F:$F,"海南精准学科技有限公司")+SUMIFS('4月数据源'!$J:$J,'4月数据源'!$D:$D,$E132,'4月数据源'!$F:$F,"海南精准学科技有限公司")</f>
        <v/>
      </c>
      <c r="J132" s="89">
        <f>-SUMIFS('5月数据源'!$I:$I,'5月数据源'!$D:$D,$E132,'5月数据源'!$F:$F,"海南精准学科技有限公司")+SUMIFS('5月数据源'!$J:$J,'5月数据源'!$D:$D,$E132,'5月数据源'!$F:$F,"海南精准学科技有限公司")</f>
        <v/>
      </c>
      <c r="K132" s="89">
        <f>-SUMIFS('6月数据源'!$I:$I,'6月数据源'!$D:$D,$E132,'6月数据源'!$F:$F,"海南精准学科技有限公司")+SUMIFS('6月数据源'!$J:$J,'6月数据源'!$D:$D,$E132,'6月数据源'!$F:$F,"海南精准学科技有限公司")</f>
        <v/>
      </c>
      <c r="L132" s="89">
        <f>-SUMIFS('7月数据源'!$I:$I,'7月数据源'!$D:$D,$E132,'7月数据源'!$F:$F,"海南精准学科技有限公司")+SUMIFS('7月数据源'!$J:$J,'7月数据源'!$D:$D,$E132,'7月数据源'!$F:$F,"海南精准学科技有限公司")</f>
        <v/>
      </c>
      <c r="M132" s="89">
        <f>-SUMIFS('8月数据源'!$I:$I,'8月数据源'!$D:$D,$E132,'8月数据源'!$F:$F,"海南精准学科技有限公司")+SUMIFS('8月数据源'!$J:$J,'8月数据源'!$D:$D,$E132,'8月数据源'!$F:$F,"海南精准学科技有限公司")</f>
        <v/>
      </c>
      <c r="N132" s="89">
        <f>-SUMIFS('9月数据源'!$I:$I,'9月数据源'!$D:$D,$E132,'9月数据源'!$F:$F,"海南精准学科技有限公司")+SUMIFS('9月数据源'!$J:$J,'9月数据源'!$D:$D,$E132,'9月数据源'!$F:$F,"海南精准学科技有限公司")</f>
        <v/>
      </c>
      <c r="O132" s="89">
        <f>-SUMIFS('10月数据源'!$I:$I,'10月数据源'!$D:$D,$E132,'10月数据源'!$F:$F,"海南精准学科技有限公司")+SUMIFS('10月数据源'!$J:$J,'10月数据源'!$D:$D,$E132,'10月数据源'!$F:$F,"海南精准学科技有限公司")</f>
        <v/>
      </c>
      <c r="P132" s="89">
        <f>-SUMIFS('11月数据源'!$I:$I,'11月数据源'!$D:$D,$E132,'11月数据源'!$F:$F,"海南精准学科技有限公司")+SUMIFS('11月数据源'!$J:$J,'11月数据源'!$D:$D,$E132,'11月数据源'!$F:$F,"海南精准学科技有限公司")</f>
        <v/>
      </c>
      <c r="Q132" s="89">
        <f>-SUMIFS('12月数据源'!$I:$I,'12月数据源'!$D:$D,$E132,'12月数据源'!$F:$F,"海南精准学科技有限公司")+SUMIFS('12月数据源'!$J:$J,'12月数据源'!$D:$D,$E132,'12月数据源'!$F:$F,"海南精准学科技有限公司")</f>
        <v/>
      </c>
    </row>
    <row r="133" s="83">
      <c r="A133" s="5" t="inlineStr">
        <is>
          <t>销售费用</t>
        </is>
      </c>
      <c r="B133" s="6" t="inlineStr">
        <is>
          <t>达人带货</t>
        </is>
      </c>
      <c r="D133" s="5" t="inlineStr">
        <is>
          <t>助播费用</t>
        </is>
      </c>
      <c r="E133" s="6" t="inlineStr">
        <is>
          <t>Q2403</t>
        </is>
      </c>
      <c r="F133" s="89">
        <f>-SUMIFS('1月数据源'!I:I,'1月数据源'!D:D,E133,'1月数据源'!F:F,"海南精准学科技有限公司")+SUMIFS('1月数据源'!J:J,'1月数据源'!D:D,E133,'1月数据源'!F:F,"海南精准学科技有限公司")</f>
        <v/>
      </c>
      <c r="G133" s="89">
        <f>-SUMIFS('2月数据源'!$I:$I,'2月数据源'!$D:$D,$E133,'2月数据源'!$F:$F,"海南精准学科技有限公司")+SUMIFS('2月数据源'!$J:$J,'2月数据源'!$D:$D,$E133,'2月数据源'!$F:$F,"海南精准学科技有限公司")</f>
        <v/>
      </c>
      <c r="H133" s="89">
        <f>-SUMIFS('3月数据源'!$I:$I,'3月数据源'!$D:$D,$E133,'3月数据源'!$F:$F,"海南精准学科技有限公司")+SUMIFS('3月数据源'!$J:$J,'3月数据源'!$D:$D,$E133,'3月数据源'!$F:$F,"海南精准学科技有限公司")</f>
        <v/>
      </c>
      <c r="I133" s="89">
        <f>-SUMIFS('4月数据源'!$I:$I,'4月数据源'!$D:$D,$E133,'4月数据源'!$F:$F,"海南精准学科技有限公司")+SUMIFS('4月数据源'!$J:$J,'4月数据源'!$D:$D,$E133,'4月数据源'!$F:$F,"海南精准学科技有限公司")</f>
        <v/>
      </c>
      <c r="J133" s="89">
        <f>-SUMIFS('5月数据源'!$I:$I,'5月数据源'!$D:$D,$E133,'5月数据源'!$F:$F,"海南精准学科技有限公司")+SUMIFS('5月数据源'!$J:$J,'5月数据源'!$D:$D,$E133,'5月数据源'!$F:$F,"海南精准学科技有限公司")</f>
        <v/>
      </c>
      <c r="K133" s="89">
        <f>-SUMIFS('6月数据源'!$I:$I,'6月数据源'!$D:$D,$E133,'6月数据源'!$F:$F,"海南精准学科技有限公司")+SUMIFS('6月数据源'!$J:$J,'6月数据源'!$D:$D,$E133,'6月数据源'!$F:$F,"海南精准学科技有限公司")</f>
        <v/>
      </c>
      <c r="L133" s="89">
        <f>-SUMIFS('7月数据源'!$I:$I,'7月数据源'!$D:$D,$E133,'7月数据源'!$F:$F,"海南精准学科技有限公司")+SUMIFS('7月数据源'!$J:$J,'7月数据源'!$D:$D,$E133,'7月数据源'!$F:$F,"海南精准学科技有限公司")</f>
        <v/>
      </c>
      <c r="M133" s="89">
        <f>-SUMIFS('8月数据源'!$I:$I,'8月数据源'!$D:$D,$E133,'8月数据源'!$F:$F,"海南精准学科技有限公司")+SUMIFS('8月数据源'!$J:$J,'8月数据源'!$D:$D,$E133,'8月数据源'!$F:$F,"海南精准学科技有限公司")</f>
        <v/>
      </c>
      <c r="N133" s="89">
        <f>-SUMIFS('9月数据源'!$I:$I,'9月数据源'!$D:$D,$E133,'9月数据源'!$F:$F,"海南精准学科技有限公司")+SUMIFS('9月数据源'!$J:$J,'9月数据源'!$D:$D,$E133,'9月数据源'!$F:$F,"海南精准学科技有限公司")</f>
        <v/>
      </c>
      <c r="O133" s="89">
        <f>-SUMIFS('10月数据源'!$I:$I,'10月数据源'!$D:$D,$E133,'10月数据源'!$F:$F,"海南精准学科技有限公司")+SUMIFS('10月数据源'!$J:$J,'10月数据源'!$D:$D,$E133,'10月数据源'!$F:$F,"海南精准学科技有限公司")</f>
        <v/>
      </c>
      <c r="P133" s="89">
        <f>-SUMIFS('11月数据源'!$I:$I,'11月数据源'!$D:$D,$E133,'11月数据源'!$F:$F,"海南精准学科技有限公司")+SUMIFS('11月数据源'!$J:$J,'11月数据源'!$D:$D,$E133,'11月数据源'!$F:$F,"海南精准学科技有限公司")</f>
        <v/>
      </c>
      <c r="Q133" s="89">
        <f>-SUMIFS('12月数据源'!$I:$I,'12月数据源'!$D:$D,$E133,'12月数据源'!$F:$F,"海南精准学科技有限公司")+SUMIFS('12月数据源'!$J:$J,'12月数据源'!$D:$D,$E133,'12月数据源'!$F:$F,"海南精准学科技有限公司")</f>
        <v/>
      </c>
    </row>
    <row r="134" s="83">
      <c r="A134" s="5" t="inlineStr">
        <is>
          <t>销售费用</t>
        </is>
      </c>
      <c r="B134" s="6" t="inlineStr">
        <is>
          <t>发货成本</t>
        </is>
      </c>
      <c r="C134" s="6" t="inlineStr">
        <is>
          <t>发货成本</t>
        </is>
      </c>
      <c r="D134" s="5" t="inlineStr">
        <is>
          <t>快递费</t>
        </is>
      </c>
      <c r="E134" s="6" t="inlineStr">
        <is>
          <t>Q2501</t>
        </is>
      </c>
      <c r="F134" s="89">
        <f>-SUMIFS('1月数据源'!I:I,'1月数据源'!D:D,E134,'1月数据源'!F:F,"海南精准学科技有限公司")+SUMIFS('1月数据源'!J:J,'1月数据源'!D:D,E134,'1月数据源'!F:F,"海南精准学科技有限公司")</f>
        <v/>
      </c>
      <c r="G134" s="89">
        <f>-SUMIFS('2月数据源'!$I:$I,'2月数据源'!$D:$D,$E134,'2月数据源'!$F:$F,"海南精准学科技有限公司")+SUMIFS('2月数据源'!$J:$J,'2月数据源'!$D:$D,$E134,'2月数据源'!$F:$F,"海南精准学科技有限公司")</f>
        <v/>
      </c>
      <c r="H134" s="89">
        <f>-SUMIFS('3月数据源'!$I:$I,'3月数据源'!$D:$D,$E134,'3月数据源'!$F:$F,"海南精准学科技有限公司")+SUMIFS('3月数据源'!$J:$J,'3月数据源'!$D:$D,$E134,'3月数据源'!$F:$F,"海南精准学科技有限公司")</f>
        <v/>
      </c>
      <c r="I134" s="89">
        <f>-SUMIFS('4月数据源'!$I:$I,'4月数据源'!$D:$D,$E134,'4月数据源'!$F:$F,"海南精准学科技有限公司")+SUMIFS('4月数据源'!$J:$J,'4月数据源'!$D:$D,$E134,'4月数据源'!$F:$F,"海南精准学科技有限公司")</f>
        <v/>
      </c>
      <c r="J134" s="89">
        <f>-SUMIFS('5月数据源'!$I:$I,'5月数据源'!$D:$D,$E134,'5月数据源'!$F:$F,"海南精准学科技有限公司")+SUMIFS('5月数据源'!$J:$J,'5月数据源'!$D:$D,$E134,'5月数据源'!$F:$F,"海南精准学科技有限公司")</f>
        <v/>
      </c>
      <c r="K134" s="89">
        <f>-SUMIFS('6月数据源'!$I:$I,'6月数据源'!$D:$D,$E134,'6月数据源'!$F:$F,"海南精准学科技有限公司")+SUMIFS('6月数据源'!$J:$J,'6月数据源'!$D:$D,$E134,'6月数据源'!$F:$F,"海南精准学科技有限公司")</f>
        <v/>
      </c>
      <c r="L134" s="89">
        <f>-SUMIFS('7月数据源'!$I:$I,'7月数据源'!$D:$D,$E134,'7月数据源'!$F:$F,"海南精准学科技有限公司")+SUMIFS('7月数据源'!$J:$J,'7月数据源'!$D:$D,$E134,'7月数据源'!$F:$F,"海南精准学科技有限公司")</f>
        <v/>
      </c>
      <c r="M134" s="89">
        <f>-SUMIFS('8月数据源'!$I:$I,'8月数据源'!$D:$D,$E134,'8月数据源'!$F:$F,"海南精准学科技有限公司")+SUMIFS('8月数据源'!$J:$J,'8月数据源'!$D:$D,$E134,'8月数据源'!$F:$F,"海南精准学科技有限公司")</f>
        <v/>
      </c>
      <c r="N134" s="89">
        <f>-SUMIFS('9月数据源'!$I:$I,'9月数据源'!$D:$D,$E134,'9月数据源'!$F:$F,"海南精准学科技有限公司")+SUMIFS('9月数据源'!$J:$J,'9月数据源'!$D:$D,$E134,'9月数据源'!$F:$F,"海南精准学科技有限公司")</f>
        <v/>
      </c>
      <c r="O134" s="89">
        <f>-SUMIFS('10月数据源'!$I:$I,'10月数据源'!$D:$D,$E134,'10月数据源'!$F:$F,"海南精准学科技有限公司")+SUMIFS('10月数据源'!$J:$J,'10月数据源'!$D:$D,$E134,'10月数据源'!$F:$F,"海南精准学科技有限公司")</f>
        <v/>
      </c>
      <c r="P134" s="89">
        <f>-SUMIFS('11月数据源'!$I:$I,'11月数据源'!$D:$D,$E134,'11月数据源'!$F:$F,"海南精准学科技有限公司")+SUMIFS('11月数据源'!$J:$J,'11月数据源'!$D:$D,$E134,'11月数据源'!$F:$F,"海南精准学科技有限公司")</f>
        <v/>
      </c>
      <c r="Q134" s="89">
        <f>-SUMIFS('12月数据源'!$I:$I,'12月数据源'!$D:$D,$E134,'12月数据源'!$F:$F,"海南精准学科技有限公司")+SUMIFS('12月数据源'!$J:$J,'12月数据源'!$D:$D,$E134,'12月数据源'!$F:$F,"海南精准学科技有限公司")</f>
        <v/>
      </c>
    </row>
    <row r="135" s="83">
      <c r="A135" s="5" t="inlineStr">
        <is>
          <t>销售费用</t>
        </is>
      </c>
      <c r="B135" s="6" t="inlineStr">
        <is>
          <t>发货成本</t>
        </is>
      </c>
      <c r="D135" s="5" t="inlineStr">
        <is>
          <t>云仓租金</t>
        </is>
      </c>
      <c r="E135" s="6" t="inlineStr">
        <is>
          <t>Q2502</t>
        </is>
      </c>
      <c r="F135" s="89">
        <f>-SUMIFS('1月数据源'!I:I,'1月数据源'!D:D,E135,'1月数据源'!F:F,"海南精准学科技有限公司")+SUMIFS('1月数据源'!J:J,'1月数据源'!D:D,E135,'1月数据源'!F:F,"海南精准学科技有限公司")</f>
        <v/>
      </c>
      <c r="G135" s="89">
        <f>-SUMIFS('2月数据源'!$I:$I,'2月数据源'!$D:$D,$E135,'2月数据源'!$F:$F,"海南精准学科技有限公司")+SUMIFS('2月数据源'!$J:$J,'2月数据源'!$D:$D,$E135,'2月数据源'!$F:$F,"海南精准学科技有限公司")</f>
        <v/>
      </c>
      <c r="H135" s="89">
        <f>-SUMIFS('3月数据源'!$I:$I,'3月数据源'!$D:$D,$E135,'3月数据源'!$F:$F,"海南精准学科技有限公司")+SUMIFS('3月数据源'!$J:$J,'3月数据源'!$D:$D,$E135,'3月数据源'!$F:$F,"海南精准学科技有限公司")</f>
        <v/>
      </c>
      <c r="I135" s="89">
        <f>-SUMIFS('4月数据源'!$I:$I,'4月数据源'!$D:$D,$E135,'4月数据源'!$F:$F,"海南精准学科技有限公司")+SUMIFS('4月数据源'!$J:$J,'4月数据源'!$D:$D,$E135,'4月数据源'!$F:$F,"海南精准学科技有限公司")</f>
        <v/>
      </c>
      <c r="J135" s="89">
        <f>-SUMIFS('5月数据源'!$I:$I,'5月数据源'!$D:$D,$E135,'5月数据源'!$F:$F,"海南精准学科技有限公司")+SUMIFS('5月数据源'!$J:$J,'5月数据源'!$D:$D,$E135,'5月数据源'!$F:$F,"海南精准学科技有限公司")</f>
        <v/>
      </c>
      <c r="K135" s="89">
        <f>-SUMIFS('6月数据源'!$I:$I,'6月数据源'!$D:$D,$E135,'6月数据源'!$F:$F,"海南精准学科技有限公司")+SUMIFS('6月数据源'!$J:$J,'6月数据源'!$D:$D,$E135,'6月数据源'!$F:$F,"海南精准学科技有限公司")</f>
        <v/>
      </c>
      <c r="L135" s="89">
        <f>-SUMIFS('7月数据源'!$I:$I,'7月数据源'!$D:$D,$E135,'7月数据源'!$F:$F,"海南精准学科技有限公司")+SUMIFS('7月数据源'!$J:$J,'7月数据源'!$D:$D,$E135,'7月数据源'!$F:$F,"海南精准学科技有限公司")</f>
        <v/>
      </c>
      <c r="M135" s="89">
        <f>-SUMIFS('8月数据源'!$I:$I,'8月数据源'!$D:$D,$E135,'8月数据源'!$F:$F,"海南精准学科技有限公司")+SUMIFS('8月数据源'!$J:$J,'8月数据源'!$D:$D,$E135,'8月数据源'!$F:$F,"海南精准学科技有限公司")</f>
        <v/>
      </c>
      <c r="N135" s="89">
        <f>-SUMIFS('9月数据源'!$I:$I,'9月数据源'!$D:$D,$E135,'9月数据源'!$F:$F,"海南精准学科技有限公司")+SUMIFS('9月数据源'!$J:$J,'9月数据源'!$D:$D,$E135,'9月数据源'!$F:$F,"海南精准学科技有限公司")</f>
        <v/>
      </c>
      <c r="O135" s="89">
        <f>-SUMIFS('10月数据源'!$I:$I,'10月数据源'!$D:$D,$E135,'10月数据源'!$F:$F,"海南精准学科技有限公司")+SUMIFS('10月数据源'!$J:$J,'10月数据源'!$D:$D,$E135,'10月数据源'!$F:$F,"海南精准学科技有限公司")</f>
        <v/>
      </c>
      <c r="P135" s="89">
        <f>-SUMIFS('11月数据源'!$I:$I,'11月数据源'!$D:$D,$E135,'11月数据源'!$F:$F,"海南精准学科技有限公司")+SUMIFS('11月数据源'!$J:$J,'11月数据源'!$D:$D,$E135,'11月数据源'!$F:$F,"海南精准学科技有限公司")</f>
        <v/>
      </c>
      <c r="Q135" s="89">
        <f>-SUMIFS('12月数据源'!$I:$I,'12月数据源'!$D:$D,$E135,'12月数据源'!$F:$F,"海南精准学科技有限公司")+SUMIFS('12月数据源'!$J:$J,'12月数据源'!$D:$D,$E135,'12月数据源'!$F:$F,"海南精准学科技有限公司")</f>
        <v/>
      </c>
    </row>
    <row r="136" s="83">
      <c r="A136" s="5" t="inlineStr">
        <is>
          <t>销售费用</t>
        </is>
      </c>
      <c r="B136" s="6" t="inlineStr">
        <is>
          <t>品销-费用报销</t>
        </is>
      </c>
      <c r="C136" s="6" t="inlineStr">
        <is>
          <t>品销-费用报销</t>
        </is>
      </c>
      <c r="D136" s="5" t="inlineStr">
        <is>
          <t>品销员工报销</t>
        </is>
      </c>
      <c r="E136" s="6" t="inlineStr">
        <is>
          <t>Q2601</t>
        </is>
      </c>
      <c r="F136" s="89">
        <f>-SUMIFS('1月数据源'!I:I,'1月数据源'!D:D,E136,'1月数据源'!F:F,"海南精准学科技有限公司")+SUMIFS('1月数据源'!J:J,'1月数据源'!D:D,E136,'1月数据源'!F:F,"海南精准学科技有限公司")</f>
        <v/>
      </c>
      <c r="G136" s="89">
        <f>-SUMIFS('2月数据源'!$I:$I,'2月数据源'!$D:$D,$E136,'2月数据源'!$F:$F,"海南精准学科技有限公司")+SUMIFS('2月数据源'!$J:$J,'2月数据源'!$D:$D,$E136,'2月数据源'!$F:$F,"海南精准学科技有限公司")</f>
        <v/>
      </c>
      <c r="H136" s="89">
        <f>-SUMIFS('3月数据源'!$I:$I,'3月数据源'!$D:$D,$E136,'3月数据源'!$F:$F,"海南精准学科技有限公司")+SUMIFS('3月数据源'!$J:$J,'3月数据源'!$D:$D,$E136,'3月数据源'!$F:$F,"海南精准学科技有限公司")</f>
        <v/>
      </c>
      <c r="I136" s="89">
        <f>-SUMIFS('4月数据源'!$I:$I,'4月数据源'!$D:$D,$E136,'4月数据源'!$F:$F,"海南精准学科技有限公司")+SUMIFS('4月数据源'!$J:$J,'4月数据源'!$D:$D,$E136,'4月数据源'!$F:$F,"海南精准学科技有限公司")</f>
        <v/>
      </c>
      <c r="J136" s="89">
        <f>-SUMIFS('5月数据源'!$I:$I,'5月数据源'!$D:$D,$E136,'5月数据源'!$F:$F,"海南精准学科技有限公司")+SUMIFS('5月数据源'!$J:$J,'5月数据源'!$D:$D,$E136,'5月数据源'!$F:$F,"海南精准学科技有限公司")</f>
        <v/>
      </c>
      <c r="K136" s="89">
        <f>-SUMIFS('6月数据源'!$I:$I,'6月数据源'!$D:$D,$E136,'6月数据源'!$F:$F,"海南精准学科技有限公司")+SUMIFS('6月数据源'!$J:$J,'6月数据源'!$D:$D,$E136,'6月数据源'!$F:$F,"海南精准学科技有限公司")</f>
        <v/>
      </c>
      <c r="L136" s="89">
        <f>-SUMIFS('7月数据源'!$I:$I,'7月数据源'!$D:$D,$E136,'7月数据源'!$F:$F,"海南精准学科技有限公司")+SUMIFS('7月数据源'!$J:$J,'7月数据源'!$D:$D,$E136,'7月数据源'!$F:$F,"海南精准学科技有限公司")</f>
        <v/>
      </c>
      <c r="M136" s="89">
        <f>-SUMIFS('8月数据源'!$I:$I,'8月数据源'!$D:$D,$E136,'8月数据源'!$F:$F,"海南精准学科技有限公司")+SUMIFS('8月数据源'!$J:$J,'8月数据源'!$D:$D,$E136,'8月数据源'!$F:$F,"海南精准学科技有限公司")</f>
        <v/>
      </c>
      <c r="N136" s="89">
        <f>-SUMIFS('9月数据源'!$I:$I,'9月数据源'!$D:$D,$E136,'9月数据源'!$F:$F,"海南精准学科技有限公司")+SUMIFS('9月数据源'!$J:$J,'9月数据源'!$D:$D,$E136,'9月数据源'!$F:$F,"海南精准学科技有限公司")</f>
        <v/>
      </c>
      <c r="O136" s="89">
        <f>-SUMIFS('10月数据源'!$I:$I,'10月数据源'!$D:$D,$E136,'10月数据源'!$F:$F,"海南精准学科技有限公司")+SUMIFS('10月数据源'!$J:$J,'10月数据源'!$D:$D,$E136,'10月数据源'!$F:$F,"海南精准学科技有限公司")</f>
        <v/>
      </c>
      <c r="P136" s="89">
        <f>-SUMIFS('11月数据源'!$I:$I,'11月数据源'!$D:$D,$E136,'11月数据源'!$F:$F,"海南精准学科技有限公司")+SUMIFS('11月数据源'!$J:$J,'11月数据源'!$D:$D,$E136,'11月数据源'!$F:$F,"海南精准学科技有限公司")</f>
        <v/>
      </c>
      <c r="Q136" s="89">
        <f>-SUMIFS('12月数据源'!$I:$I,'12月数据源'!$D:$D,$E136,'12月数据源'!$F:$F,"海南精准学科技有限公司")+SUMIFS('12月数据源'!$J:$J,'12月数据源'!$D:$D,$E136,'12月数据源'!$F:$F,"海南精准学科技有限公司")</f>
        <v/>
      </c>
    </row>
    <row r="137" s="83">
      <c r="A137" s="49" t="inlineStr">
        <is>
          <t>销售费用合计</t>
        </is>
      </c>
      <c r="B137" s="50" t="n"/>
      <c r="C137" s="50" t="n"/>
      <c r="D137" s="49" t="n"/>
      <c r="E137" s="49" t="n"/>
      <c r="F137" s="89">
        <f>SUM(F99:F136)</f>
        <v/>
      </c>
      <c r="G137" s="89">
        <f>SUM(G99:G136)</f>
        <v/>
      </c>
      <c r="H137" s="89">
        <f>SUM(H99:H136)</f>
        <v/>
      </c>
      <c r="I137" s="89">
        <f>SUM(I99:I136)</f>
        <v/>
      </c>
      <c r="J137" s="89">
        <f>SUM(J99:J136)</f>
        <v/>
      </c>
      <c r="K137" s="89">
        <f>SUM(K99:K136)</f>
        <v/>
      </c>
      <c r="L137" s="89">
        <f>SUM(L99:L136)</f>
        <v/>
      </c>
      <c r="M137" s="89">
        <f>SUM(M99:M136)</f>
        <v/>
      </c>
      <c r="N137" s="89">
        <f>SUM(N99:N136)</f>
        <v/>
      </c>
      <c r="O137" s="89">
        <f>SUM(O99:O136)</f>
        <v/>
      </c>
      <c r="P137" s="89">
        <f>SUM(P99:P136)</f>
        <v/>
      </c>
      <c r="Q137" s="89">
        <f>SUM(Q99:Q136)</f>
        <v/>
      </c>
    </row>
    <row r="138" s="83">
      <c r="A138" s="5" t="inlineStr">
        <is>
          <t>管理费用</t>
        </is>
      </c>
      <c r="B138" s="6" t="inlineStr">
        <is>
          <t>办公场地使用费</t>
        </is>
      </c>
      <c r="C138" s="6" t="inlineStr">
        <is>
          <t>办公场地使用费</t>
        </is>
      </c>
      <c r="D138" s="5" t="inlineStr">
        <is>
          <t>西溪首座办公场地租金</t>
        </is>
      </c>
      <c r="E138" s="6" t="inlineStr">
        <is>
          <t>Q2702</t>
        </is>
      </c>
      <c r="F138" s="89">
        <f>-SUMIFS('1月数据源'!I:I,'1月数据源'!D:D,E138,'1月数据源'!F:F,"海南精准学科技有限公司")+SUMIFS('1月数据源'!J:J,'1月数据源'!D:D,E138,'1月数据源'!F:F,"海南精准学科技有限公司")</f>
        <v/>
      </c>
      <c r="G138" s="89">
        <f>-SUMIFS('2月数据源'!$I:$I,'2月数据源'!$D:$D,$E138,'2月数据源'!$F:$F,"海南精准学科技有限公司")+SUMIFS('2月数据源'!$J:$J,'2月数据源'!$D:$D,$E138,'2月数据源'!$F:$F,"海南精准学科技有限公司")</f>
        <v/>
      </c>
      <c r="H138" s="89">
        <f>-SUMIFS('3月数据源'!$I:$I,'3月数据源'!$D:$D,$E138,'3月数据源'!$F:$F,"海南精准学科技有限公司")+SUMIFS('3月数据源'!$J:$J,'3月数据源'!$D:$D,$E138,'3月数据源'!$F:$F,"海南精准学科技有限公司")</f>
        <v/>
      </c>
      <c r="I138" s="89">
        <f>-SUMIFS('4月数据源'!$I:$I,'4月数据源'!$D:$D,$E138,'4月数据源'!$F:$F,"海南精准学科技有限公司")+SUMIFS('4月数据源'!$J:$J,'4月数据源'!$D:$D,$E138,'4月数据源'!$F:$F,"海南精准学科技有限公司")</f>
        <v/>
      </c>
      <c r="J138" s="89">
        <f>-SUMIFS('5月数据源'!$I:$I,'5月数据源'!$D:$D,$E138,'5月数据源'!$F:$F,"海南精准学科技有限公司")+SUMIFS('5月数据源'!$J:$J,'5月数据源'!$D:$D,$E138,'5月数据源'!$F:$F,"海南精准学科技有限公司")</f>
        <v/>
      </c>
      <c r="K138" s="89">
        <f>-SUMIFS('6月数据源'!$I:$I,'6月数据源'!$D:$D,$E138,'6月数据源'!$F:$F,"海南精准学科技有限公司")+SUMIFS('6月数据源'!$J:$J,'6月数据源'!$D:$D,$E138,'6月数据源'!$F:$F,"海南精准学科技有限公司")</f>
        <v/>
      </c>
      <c r="L138" s="89">
        <f>-SUMIFS('7月数据源'!$I:$I,'7月数据源'!$D:$D,$E138,'7月数据源'!$F:$F,"海南精准学科技有限公司")+SUMIFS('7月数据源'!$J:$J,'7月数据源'!$D:$D,$E138,'7月数据源'!$F:$F,"海南精准学科技有限公司")</f>
        <v/>
      </c>
      <c r="M138" s="89">
        <f>-SUMIFS('8月数据源'!$I:$I,'8月数据源'!$D:$D,$E138,'8月数据源'!$F:$F,"海南精准学科技有限公司")+SUMIFS('8月数据源'!$J:$J,'8月数据源'!$D:$D,$E138,'8月数据源'!$F:$F,"海南精准学科技有限公司")</f>
        <v/>
      </c>
      <c r="N138" s="89">
        <f>-SUMIFS('9月数据源'!$I:$I,'9月数据源'!$D:$D,$E138,'9月数据源'!$F:$F,"海南精准学科技有限公司")+SUMIFS('9月数据源'!$J:$J,'9月数据源'!$D:$D,$E138,'9月数据源'!$F:$F,"海南精准学科技有限公司")</f>
        <v/>
      </c>
      <c r="O138" s="89">
        <f>-SUMIFS('10月数据源'!$I:$I,'10月数据源'!$D:$D,$E138,'10月数据源'!$F:$F,"海南精准学科技有限公司")+SUMIFS('10月数据源'!$J:$J,'10月数据源'!$D:$D,$E138,'10月数据源'!$F:$F,"海南精准学科技有限公司")</f>
        <v/>
      </c>
      <c r="P138" s="89">
        <f>-SUMIFS('11月数据源'!$I:$I,'11月数据源'!$D:$D,$E138,'11月数据源'!$F:$F,"海南精准学科技有限公司")+SUMIFS('11月数据源'!$J:$J,'11月数据源'!$D:$D,$E138,'11月数据源'!$F:$F,"海南精准学科技有限公司")</f>
        <v/>
      </c>
      <c r="Q138" s="89">
        <f>-SUMIFS('12月数据源'!$I:$I,'12月数据源'!$D:$D,$E138,'12月数据源'!$F:$F,"海南精准学科技有限公司")+SUMIFS('12月数据源'!$J:$J,'12月数据源'!$D:$D,$E138,'12月数据源'!$F:$F,"海南精准学科技有限公司")</f>
        <v/>
      </c>
    </row>
    <row r="139" s="83">
      <c r="A139" s="5" t="inlineStr">
        <is>
          <t>管理费用</t>
        </is>
      </c>
      <c r="B139" s="6" t="inlineStr">
        <is>
          <t>办公场地使用费</t>
        </is>
      </c>
      <c r="D139" s="5" t="inlineStr">
        <is>
          <t>西溪首座办公场地装修费</t>
        </is>
      </c>
      <c r="E139" s="6" t="inlineStr">
        <is>
          <t>Q2701</t>
        </is>
      </c>
      <c r="F139" s="89">
        <f>-SUMIFS('1月数据源'!I:I,'1月数据源'!D:D,E139,'1月数据源'!F:F,"海南精准学科技有限公司")+SUMIFS('1月数据源'!J:J,'1月数据源'!D:D,E139,'1月数据源'!F:F,"海南精准学科技有限公司")</f>
        <v/>
      </c>
      <c r="G139" s="89">
        <f>-SUMIFS('2月数据源'!$I:$I,'2月数据源'!$D:$D,$E139,'2月数据源'!$F:$F,"海南精准学科技有限公司")+SUMIFS('2月数据源'!$J:$J,'2月数据源'!$D:$D,$E139,'2月数据源'!$F:$F,"海南精准学科技有限公司")</f>
        <v/>
      </c>
      <c r="H139" s="89">
        <f>-SUMIFS('3月数据源'!$I:$I,'3月数据源'!$D:$D,$E139,'3月数据源'!$F:$F,"海南精准学科技有限公司")+SUMIFS('3月数据源'!$J:$J,'3月数据源'!$D:$D,$E139,'3月数据源'!$F:$F,"海南精准学科技有限公司")</f>
        <v/>
      </c>
      <c r="I139" s="89">
        <f>-SUMIFS('4月数据源'!$I:$I,'4月数据源'!$D:$D,$E139,'4月数据源'!$F:$F,"海南精准学科技有限公司")+SUMIFS('4月数据源'!$J:$J,'4月数据源'!$D:$D,$E139,'4月数据源'!$F:$F,"海南精准学科技有限公司")</f>
        <v/>
      </c>
      <c r="J139" s="89">
        <f>-SUMIFS('5月数据源'!$I:$I,'5月数据源'!$D:$D,$E139,'5月数据源'!$F:$F,"海南精准学科技有限公司")+SUMIFS('5月数据源'!$J:$J,'5月数据源'!$D:$D,$E139,'5月数据源'!$F:$F,"海南精准学科技有限公司")</f>
        <v/>
      </c>
      <c r="K139" s="89">
        <f>-SUMIFS('6月数据源'!$I:$I,'6月数据源'!$D:$D,$E139,'6月数据源'!$F:$F,"海南精准学科技有限公司")+SUMIFS('6月数据源'!$J:$J,'6月数据源'!$D:$D,$E139,'6月数据源'!$F:$F,"海南精准学科技有限公司")</f>
        <v/>
      </c>
      <c r="L139" s="89">
        <f>-SUMIFS('7月数据源'!$I:$I,'7月数据源'!$D:$D,$E139,'7月数据源'!$F:$F,"海南精准学科技有限公司")+SUMIFS('7月数据源'!$J:$J,'7月数据源'!$D:$D,$E139,'7月数据源'!$F:$F,"海南精准学科技有限公司")</f>
        <v/>
      </c>
      <c r="M139" s="89">
        <f>-SUMIFS('8月数据源'!$I:$I,'8月数据源'!$D:$D,$E139,'8月数据源'!$F:$F,"海南精准学科技有限公司")+SUMIFS('8月数据源'!$J:$J,'8月数据源'!$D:$D,$E139,'8月数据源'!$F:$F,"海南精准学科技有限公司")</f>
        <v/>
      </c>
      <c r="N139" s="89">
        <f>-SUMIFS('9月数据源'!$I:$I,'9月数据源'!$D:$D,$E139,'9月数据源'!$F:$F,"海南精准学科技有限公司")+SUMIFS('9月数据源'!$J:$J,'9月数据源'!$D:$D,$E139,'9月数据源'!$F:$F,"海南精准学科技有限公司")</f>
        <v/>
      </c>
      <c r="O139" s="89">
        <f>-SUMIFS('10月数据源'!$I:$I,'10月数据源'!$D:$D,$E139,'10月数据源'!$F:$F,"海南精准学科技有限公司")+SUMIFS('10月数据源'!$J:$J,'10月数据源'!$D:$D,$E139,'10月数据源'!$F:$F,"海南精准学科技有限公司")</f>
        <v/>
      </c>
      <c r="P139" s="89">
        <f>-SUMIFS('11月数据源'!$I:$I,'11月数据源'!$D:$D,$E139,'11月数据源'!$F:$F,"海南精准学科技有限公司")+SUMIFS('11月数据源'!$J:$J,'11月数据源'!$D:$D,$E139,'11月数据源'!$F:$F,"海南精准学科技有限公司")</f>
        <v/>
      </c>
      <c r="Q139" s="89">
        <f>-SUMIFS('12月数据源'!$I:$I,'12月数据源'!$D:$D,$E139,'12月数据源'!$F:$F,"海南精准学科技有限公司")+SUMIFS('12月数据源'!$J:$J,'12月数据源'!$D:$D,$E139,'12月数据源'!$F:$F,"海南精准学科技有限公司")</f>
        <v/>
      </c>
    </row>
    <row r="140" s="83">
      <c r="A140" s="5" t="inlineStr">
        <is>
          <t>管理费用</t>
        </is>
      </c>
      <c r="B140" s="6" t="inlineStr">
        <is>
          <t>办公场地使用费</t>
        </is>
      </c>
      <c r="D140" s="5" t="inlineStr">
        <is>
          <t>西溪首座办公室物业水电费</t>
        </is>
      </c>
      <c r="E140" s="6" t="inlineStr">
        <is>
          <t>Q2703</t>
        </is>
      </c>
      <c r="F140" s="89">
        <f>-SUMIFS('1月数据源'!I:I,'1月数据源'!D:D,E140,'1月数据源'!F:F,"海南精准学科技有限公司")+SUMIFS('1月数据源'!J:J,'1月数据源'!D:D,E140,'1月数据源'!F:F,"海南精准学科技有限公司")</f>
        <v/>
      </c>
      <c r="G140" s="89">
        <f>-SUMIFS('2月数据源'!$I:$I,'2月数据源'!$D:$D,$E140,'2月数据源'!$F:$F,"海南精准学科技有限公司")+SUMIFS('2月数据源'!$J:$J,'2月数据源'!$D:$D,$E140,'2月数据源'!$F:$F,"海南精准学科技有限公司")</f>
        <v/>
      </c>
      <c r="H140" s="89">
        <f>-SUMIFS('3月数据源'!$I:$I,'3月数据源'!$D:$D,$E140,'3月数据源'!$F:$F,"海南精准学科技有限公司")+SUMIFS('3月数据源'!$J:$J,'3月数据源'!$D:$D,$E140,'3月数据源'!$F:$F,"海南精准学科技有限公司")</f>
        <v/>
      </c>
      <c r="I140" s="89">
        <f>-SUMIFS('4月数据源'!$I:$I,'4月数据源'!$D:$D,$E140,'4月数据源'!$F:$F,"海南精准学科技有限公司")+SUMIFS('4月数据源'!$J:$J,'4月数据源'!$D:$D,$E140,'4月数据源'!$F:$F,"海南精准学科技有限公司")</f>
        <v/>
      </c>
      <c r="J140" s="89">
        <f>-SUMIFS('5月数据源'!$I:$I,'5月数据源'!$D:$D,$E140,'5月数据源'!$F:$F,"海南精准学科技有限公司")+SUMIFS('5月数据源'!$J:$J,'5月数据源'!$D:$D,$E140,'5月数据源'!$F:$F,"海南精准学科技有限公司")</f>
        <v/>
      </c>
      <c r="K140" s="89">
        <f>-SUMIFS('6月数据源'!$I:$I,'6月数据源'!$D:$D,$E140,'6月数据源'!$F:$F,"海南精准学科技有限公司")+SUMIFS('6月数据源'!$J:$J,'6月数据源'!$D:$D,$E140,'6月数据源'!$F:$F,"海南精准学科技有限公司")</f>
        <v/>
      </c>
      <c r="L140" s="89">
        <f>-SUMIFS('7月数据源'!$I:$I,'7月数据源'!$D:$D,$E140,'7月数据源'!$F:$F,"海南精准学科技有限公司")+SUMIFS('7月数据源'!$J:$J,'7月数据源'!$D:$D,$E140,'7月数据源'!$F:$F,"海南精准学科技有限公司")</f>
        <v/>
      </c>
      <c r="M140" s="89">
        <f>-SUMIFS('8月数据源'!$I:$I,'8月数据源'!$D:$D,$E140,'8月数据源'!$F:$F,"海南精准学科技有限公司")+SUMIFS('8月数据源'!$J:$J,'8月数据源'!$D:$D,$E140,'8月数据源'!$F:$F,"海南精准学科技有限公司")</f>
        <v/>
      </c>
      <c r="N140" s="89">
        <f>-SUMIFS('9月数据源'!$I:$I,'9月数据源'!$D:$D,$E140,'9月数据源'!$F:$F,"海南精准学科技有限公司")+SUMIFS('9月数据源'!$J:$J,'9月数据源'!$D:$D,$E140,'9月数据源'!$F:$F,"海南精准学科技有限公司")</f>
        <v/>
      </c>
      <c r="O140" s="89">
        <f>-SUMIFS('10月数据源'!$I:$I,'10月数据源'!$D:$D,$E140,'10月数据源'!$F:$F,"海南精准学科技有限公司")+SUMIFS('10月数据源'!$J:$J,'10月数据源'!$D:$D,$E140,'10月数据源'!$F:$F,"海南精准学科技有限公司")</f>
        <v/>
      </c>
      <c r="P140" s="89">
        <f>-SUMIFS('11月数据源'!$I:$I,'11月数据源'!$D:$D,$E140,'11月数据源'!$F:$F,"海南精准学科技有限公司")+SUMIFS('11月数据源'!$J:$J,'11月数据源'!$D:$D,$E140,'11月数据源'!$F:$F,"海南精准学科技有限公司")</f>
        <v/>
      </c>
      <c r="Q140" s="89">
        <f>-SUMIFS('12月数据源'!$I:$I,'12月数据源'!$D:$D,$E140,'12月数据源'!$F:$F,"海南精准学科技有限公司")+SUMIFS('12月数据源'!$J:$J,'12月数据源'!$D:$D,$E140,'12月数据源'!$F:$F,"海南精准学科技有限公司")</f>
        <v/>
      </c>
    </row>
    <row r="141" s="83">
      <c r="A141" s="5" t="inlineStr">
        <is>
          <t>管理费用</t>
        </is>
      </c>
      <c r="B141" s="6" t="inlineStr">
        <is>
          <t>办公场地使用费</t>
        </is>
      </c>
      <c r="D141" s="5" t="inlineStr">
        <is>
          <t>合肥办公室租金</t>
        </is>
      </c>
      <c r="E141" s="6" t="inlineStr">
        <is>
          <t>Q2704</t>
        </is>
      </c>
      <c r="F141" s="89">
        <f>-SUMIFS('1月数据源'!I:I,'1月数据源'!D:D,E141,'1月数据源'!F:F,"海南精准学科技有限公司")+SUMIFS('1月数据源'!J:J,'1月数据源'!D:D,E141,'1月数据源'!F:F,"海南精准学科技有限公司")</f>
        <v/>
      </c>
      <c r="G141" s="89">
        <f>-SUMIFS('2月数据源'!$I:$I,'2月数据源'!$D:$D,$E141,'2月数据源'!$F:$F,"海南精准学科技有限公司")+SUMIFS('2月数据源'!$J:$J,'2月数据源'!$D:$D,$E141,'2月数据源'!$F:$F,"海南精准学科技有限公司")</f>
        <v/>
      </c>
      <c r="H141" s="89">
        <f>-SUMIFS('3月数据源'!$I:$I,'3月数据源'!$D:$D,$E141,'3月数据源'!$F:$F,"海南精准学科技有限公司")+SUMIFS('3月数据源'!$J:$J,'3月数据源'!$D:$D,$E141,'3月数据源'!$F:$F,"海南精准学科技有限公司")</f>
        <v/>
      </c>
      <c r="I141" s="89">
        <f>-SUMIFS('4月数据源'!$I:$I,'4月数据源'!$D:$D,$E141,'4月数据源'!$F:$F,"海南精准学科技有限公司")+SUMIFS('4月数据源'!$J:$J,'4月数据源'!$D:$D,$E141,'4月数据源'!$F:$F,"海南精准学科技有限公司")</f>
        <v/>
      </c>
      <c r="J141" s="89">
        <f>-SUMIFS('5月数据源'!$I:$I,'5月数据源'!$D:$D,$E141,'5月数据源'!$F:$F,"海南精准学科技有限公司")+SUMIFS('5月数据源'!$J:$J,'5月数据源'!$D:$D,$E141,'5月数据源'!$F:$F,"海南精准学科技有限公司")</f>
        <v/>
      </c>
      <c r="K141" s="89">
        <f>-SUMIFS('6月数据源'!$I:$I,'6月数据源'!$D:$D,$E141,'6月数据源'!$F:$F,"海南精准学科技有限公司")+SUMIFS('6月数据源'!$J:$J,'6月数据源'!$D:$D,$E141,'6月数据源'!$F:$F,"海南精准学科技有限公司")</f>
        <v/>
      </c>
      <c r="L141" s="89">
        <f>-SUMIFS('7月数据源'!$I:$I,'7月数据源'!$D:$D,$E141,'7月数据源'!$F:$F,"海南精准学科技有限公司")+SUMIFS('7月数据源'!$J:$J,'7月数据源'!$D:$D,$E141,'7月数据源'!$F:$F,"海南精准学科技有限公司")</f>
        <v/>
      </c>
      <c r="M141" s="89">
        <f>-SUMIFS('8月数据源'!$I:$I,'8月数据源'!$D:$D,$E141,'8月数据源'!$F:$F,"海南精准学科技有限公司")+SUMIFS('8月数据源'!$J:$J,'8月数据源'!$D:$D,$E141,'8月数据源'!$F:$F,"海南精准学科技有限公司")</f>
        <v/>
      </c>
      <c r="N141" s="89">
        <f>-SUMIFS('9月数据源'!$I:$I,'9月数据源'!$D:$D,$E141,'9月数据源'!$F:$F,"海南精准学科技有限公司")+SUMIFS('9月数据源'!$J:$J,'9月数据源'!$D:$D,$E141,'9月数据源'!$F:$F,"海南精准学科技有限公司")</f>
        <v/>
      </c>
      <c r="O141" s="89">
        <f>-SUMIFS('10月数据源'!$I:$I,'10月数据源'!$D:$D,$E141,'10月数据源'!$F:$F,"海南精准学科技有限公司")+SUMIFS('10月数据源'!$J:$J,'10月数据源'!$D:$D,$E141,'10月数据源'!$F:$F,"海南精准学科技有限公司")</f>
        <v/>
      </c>
      <c r="P141" s="89">
        <f>-SUMIFS('11月数据源'!$I:$I,'11月数据源'!$D:$D,$E141,'11月数据源'!$F:$F,"海南精准学科技有限公司")+SUMIFS('11月数据源'!$J:$J,'11月数据源'!$D:$D,$E141,'11月数据源'!$F:$F,"海南精准学科技有限公司")</f>
        <v/>
      </c>
      <c r="Q141" s="89">
        <f>-SUMIFS('12月数据源'!$I:$I,'12月数据源'!$D:$D,$E141,'12月数据源'!$F:$F,"海南精准学科技有限公司")+SUMIFS('12月数据源'!$J:$J,'12月数据源'!$D:$D,$E141,'12月数据源'!$F:$F,"海南精准学科技有限公司")</f>
        <v/>
      </c>
    </row>
    <row r="142" s="83">
      <c r="A142" s="5" t="inlineStr">
        <is>
          <t>管理费用</t>
        </is>
      </c>
      <c r="B142" s="6" t="inlineStr">
        <is>
          <t>办公场地使用费</t>
        </is>
      </c>
      <c r="D142" s="5" t="inlineStr">
        <is>
          <t>合肥办公室物业水电费</t>
        </is>
      </c>
      <c r="E142" s="6" t="inlineStr">
        <is>
          <t>Q2705</t>
        </is>
      </c>
      <c r="F142" s="89">
        <f>-SUMIFS('1月数据源'!I:I,'1月数据源'!D:D,E142,'1月数据源'!F:F,"海南精准学科技有限公司")+SUMIFS('1月数据源'!J:J,'1月数据源'!D:D,E142,'1月数据源'!F:F,"海南精准学科技有限公司")</f>
        <v/>
      </c>
      <c r="G142" s="89">
        <f>-SUMIFS('2月数据源'!$I:$I,'2月数据源'!$D:$D,$E142,'2月数据源'!$F:$F,"海南精准学科技有限公司")+SUMIFS('2月数据源'!$J:$J,'2月数据源'!$D:$D,$E142,'2月数据源'!$F:$F,"海南精准学科技有限公司")</f>
        <v/>
      </c>
      <c r="H142" s="89">
        <f>-SUMIFS('3月数据源'!$I:$I,'3月数据源'!$D:$D,$E142,'3月数据源'!$F:$F,"海南精准学科技有限公司")+SUMIFS('3月数据源'!$J:$J,'3月数据源'!$D:$D,$E142,'3月数据源'!$F:$F,"海南精准学科技有限公司")</f>
        <v/>
      </c>
      <c r="I142" s="89">
        <f>-SUMIFS('4月数据源'!$I:$I,'4月数据源'!$D:$D,$E142,'4月数据源'!$F:$F,"海南精准学科技有限公司")+SUMIFS('4月数据源'!$J:$J,'4月数据源'!$D:$D,$E142,'4月数据源'!$F:$F,"海南精准学科技有限公司")</f>
        <v/>
      </c>
      <c r="J142" s="89">
        <f>-SUMIFS('5月数据源'!$I:$I,'5月数据源'!$D:$D,$E142,'5月数据源'!$F:$F,"海南精准学科技有限公司")+SUMIFS('5月数据源'!$J:$J,'5月数据源'!$D:$D,$E142,'5月数据源'!$F:$F,"海南精准学科技有限公司")</f>
        <v/>
      </c>
      <c r="K142" s="89">
        <f>-SUMIFS('6月数据源'!$I:$I,'6月数据源'!$D:$D,$E142,'6月数据源'!$F:$F,"海南精准学科技有限公司")+SUMIFS('6月数据源'!$J:$J,'6月数据源'!$D:$D,$E142,'6月数据源'!$F:$F,"海南精准学科技有限公司")</f>
        <v/>
      </c>
      <c r="L142" s="89">
        <f>-SUMIFS('7月数据源'!$I:$I,'7月数据源'!$D:$D,$E142,'7月数据源'!$F:$F,"海南精准学科技有限公司")+SUMIFS('7月数据源'!$J:$J,'7月数据源'!$D:$D,$E142,'7月数据源'!$F:$F,"海南精准学科技有限公司")</f>
        <v/>
      </c>
      <c r="M142" s="89">
        <f>-SUMIFS('8月数据源'!$I:$I,'8月数据源'!$D:$D,$E142,'8月数据源'!$F:$F,"海南精准学科技有限公司")+SUMIFS('8月数据源'!$J:$J,'8月数据源'!$D:$D,$E142,'8月数据源'!$F:$F,"海南精准学科技有限公司")</f>
        <v/>
      </c>
      <c r="N142" s="89">
        <f>-SUMIFS('9月数据源'!$I:$I,'9月数据源'!$D:$D,$E142,'9月数据源'!$F:$F,"海南精准学科技有限公司")+SUMIFS('9月数据源'!$J:$J,'9月数据源'!$D:$D,$E142,'9月数据源'!$F:$F,"海南精准学科技有限公司")</f>
        <v/>
      </c>
      <c r="O142" s="89">
        <f>-SUMIFS('10月数据源'!$I:$I,'10月数据源'!$D:$D,$E142,'10月数据源'!$F:$F,"海南精准学科技有限公司")+SUMIFS('10月数据源'!$J:$J,'10月数据源'!$D:$D,$E142,'10月数据源'!$F:$F,"海南精准学科技有限公司")</f>
        <v/>
      </c>
      <c r="P142" s="89">
        <f>-SUMIFS('11月数据源'!$I:$I,'11月数据源'!$D:$D,$E142,'11月数据源'!$F:$F,"海南精准学科技有限公司")+SUMIFS('11月数据源'!$J:$J,'11月数据源'!$D:$D,$E142,'11月数据源'!$F:$F,"海南精准学科技有限公司")</f>
        <v/>
      </c>
      <c r="Q142" s="89">
        <f>-SUMIFS('12月数据源'!$I:$I,'12月数据源'!$D:$D,$E142,'12月数据源'!$F:$F,"海南精准学科技有限公司")+SUMIFS('12月数据源'!$J:$J,'12月数据源'!$D:$D,$E142,'12月数据源'!$F:$F,"海南精准学科技有限公司")</f>
        <v/>
      </c>
    </row>
    <row r="143" s="83">
      <c r="A143" s="5" t="inlineStr">
        <is>
          <t>管理费用</t>
        </is>
      </c>
      <c r="B143" s="6" t="inlineStr">
        <is>
          <t>办公场地使用费</t>
        </is>
      </c>
      <c r="D143" s="5" t="inlineStr">
        <is>
          <t>其他办公场地使用费</t>
        </is>
      </c>
      <c r="E143" s="6" t="inlineStr">
        <is>
          <t>Q2706</t>
        </is>
      </c>
      <c r="F143" s="89">
        <f>-SUMIFS('1月数据源'!I:I,'1月数据源'!D:D,E143,'1月数据源'!F:F,"海南精准学科技有限公司")+SUMIFS('1月数据源'!J:J,'1月数据源'!D:D,E143,'1月数据源'!F:F,"海南精准学科技有限公司")</f>
        <v/>
      </c>
      <c r="G143" s="89">
        <f>-SUMIFS('2月数据源'!$I:$I,'2月数据源'!$D:$D,$E143,'2月数据源'!$F:$F,"海南精准学科技有限公司")+SUMIFS('2月数据源'!$J:$J,'2月数据源'!$D:$D,$E143,'2月数据源'!$F:$F,"海南精准学科技有限公司")</f>
        <v/>
      </c>
      <c r="H143" s="89">
        <f>-SUMIFS('3月数据源'!$I:$I,'3月数据源'!$D:$D,$E143,'3月数据源'!$F:$F,"海南精准学科技有限公司")+SUMIFS('3月数据源'!$J:$J,'3月数据源'!$D:$D,$E143,'3月数据源'!$F:$F,"海南精准学科技有限公司")</f>
        <v/>
      </c>
      <c r="I143" s="89">
        <f>-SUMIFS('4月数据源'!$I:$I,'4月数据源'!$D:$D,$E143,'4月数据源'!$F:$F,"海南精准学科技有限公司")+SUMIFS('4月数据源'!$J:$J,'4月数据源'!$D:$D,$E143,'4月数据源'!$F:$F,"海南精准学科技有限公司")</f>
        <v/>
      </c>
      <c r="J143" s="89">
        <f>-SUMIFS('5月数据源'!$I:$I,'5月数据源'!$D:$D,$E143,'5月数据源'!$F:$F,"海南精准学科技有限公司")+SUMIFS('5月数据源'!$J:$J,'5月数据源'!$D:$D,$E143,'5月数据源'!$F:$F,"海南精准学科技有限公司")</f>
        <v/>
      </c>
      <c r="K143" s="89">
        <f>-SUMIFS('6月数据源'!$I:$I,'6月数据源'!$D:$D,$E143,'6月数据源'!$F:$F,"海南精准学科技有限公司")+SUMIFS('6月数据源'!$J:$J,'6月数据源'!$D:$D,$E143,'6月数据源'!$F:$F,"海南精准学科技有限公司")</f>
        <v/>
      </c>
      <c r="L143" s="89">
        <f>-SUMIFS('7月数据源'!$I:$I,'7月数据源'!$D:$D,$E143,'7月数据源'!$F:$F,"海南精准学科技有限公司")+SUMIFS('7月数据源'!$J:$J,'7月数据源'!$D:$D,$E143,'7月数据源'!$F:$F,"海南精准学科技有限公司")</f>
        <v/>
      </c>
      <c r="M143" s="89">
        <f>-SUMIFS('8月数据源'!$I:$I,'8月数据源'!$D:$D,$E143,'8月数据源'!$F:$F,"海南精准学科技有限公司")+SUMIFS('8月数据源'!$J:$J,'8月数据源'!$D:$D,$E143,'8月数据源'!$F:$F,"海南精准学科技有限公司")</f>
        <v/>
      </c>
      <c r="N143" s="89">
        <f>-SUMIFS('9月数据源'!$I:$I,'9月数据源'!$D:$D,$E143,'9月数据源'!$F:$F,"海南精准学科技有限公司")+SUMIFS('9月数据源'!$J:$J,'9月数据源'!$D:$D,$E143,'9月数据源'!$F:$F,"海南精准学科技有限公司")</f>
        <v/>
      </c>
      <c r="O143" s="89">
        <f>-SUMIFS('10月数据源'!$I:$I,'10月数据源'!$D:$D,$E143,'10月数据源'!$F:$F,"海南精准学科技有限公司")+SUMIFS('10月数据源'!$J:$J,'10月数据源'!$D:$D,$E143,'10月数据源'!$F:$F,"海南精准学科技有限公司")</f>
        <v/>
      </c>
      <c r="P143" s="89">
        <f>-SUMIFS('11月数据源'!$I:$I,'11月数据源'!$D:$D,$E143,'11月数据源'!$F:$F,"海南精准学科技有限公司")+SUMIFS('11月数据源'!$J:$J,'11月数据源'!$D:$D,$E143,'11月数据源'!$F:$F,"海南精准学科技有限公司")</f>
        <v/>
      </c>
      <c r="Q143" s="89">
        <f>-SUMIFS('12月数据源'!$I:$I,'12月数据源'!$D:$D,$E143,'12月数据源'!$F:$F,"海南精准学科技有限公司")+SUMIFS('12月数据源'!$J:$J,'12月数据源'!$D:$D,$E143,'12月数据源'!$F:$F,"海南精准学科技有限公司")</f>
        <v/>
      </c>
    </row>
    <row r="144" s="83">
      <c r="A144" s="5" t="inlineStr">
        <is>
          <t>管理费用</t>
        </is>
      </c>
      <c r="B144" s="6" t="inlineStr">
        <is>
          <t>办公场地使用费</t>
        </is>
      </c>
      <c r="D144" s="5" t="inlineStr">
        <is>
          <t>其他办公场地物业水电费</t>
        </is>
      </c>
      <c r="E144" s="6" t="inlineStr">
        <is>
          <t>Q2708</t>
        </is>
      </c>
      <c r="F144" s="89">
        <f>-SUMIFS('1月数据源'!I:I,'1月数据源'!D:D,E144,'1月数据源'!F:F,"海南精准学科技有限公司")+SUMIFS('1月数据源'!J:J,'1月数据源'!D:D,E144,'1月数据源'!F:F,"海南精准学科技有限公司")</f>
        <v/>
      </c>
      <c r="G144" s="89">
        <f>-SUMIFS('2月数据源'!$I:$I,'2月数据源'!$D:$D,$E144,'2月数据源'!$F:$F,"海南精准学科技有限公司")+SUMIFS('2月数据源'!$J:$J,'2月数据源'!$D:$D,$E144,'2月数据源'!$F:$F,"海南精准学科技有限公司")</f>
        <v/>
      </c>
      <c r="H144" s="89">
        <f>-SUMIFS('3月数据源'!$I:$I,'3月数据源'!$D:$D,$E144,'3月数据源'!$F:$F,"海南精准学科技有限公司")+SUMIFS('3月数据源'!$J:$J,'3月数据源'!$D:$D,$E144,'3月数据源'!$F:$F,"海南精准学科技有限公司")</f>
        <v/>
      </c>
      <c r="I144" s="89">
        <f>-SUMIFS('4月数据源'!$I:$I,'4月数据源'!$D:$D,$E144,'4月数据源'!$F:$F,"海南精准学科技有限公司")+SUMIFS('4月数据源'!$J:$J,'4月数据源'!$D:$D,$E144,'4月数据源'!$F:$F,"海南精准学科技有限公司")</f>
        <v/>
      </c>
      <c r="J144" s="89">
        <f>-SUMIFS('5月数据源'!$I:$I,'5月数据源'!$D:$D,$E144,'5月数据源'!$F:$F,"海南精准学科技有限公司")+SUMIFS('5月数据源'!$J:$J,'5月数据源'!$D:$D,$E144,'5月数据源'!$F:$F,"海南精准学科技有限公司")</f>
        <v/>
      </c>
      <c r="K144" s="89">
        <f>-SUMIFS('6月数据源'!$I:$I,'6月数据源'!$D:$D,$E144,'6月数据源'!$F:$F,"海南精准学科技有限公司")+SUMIFS('6月数据源'!$J:$J,'6月数据源'!$D:$D,$E144,'6月数据源'!$F:$F,"海南精准学科技有限公司")</f>
        <v/>
      </c>
      <c r="L144" s="89">
        <f>-SUMIFS('7月数据源'!$I:$I,'7月数据源'!$D:$D,$E144,'7月数据源'!$F:$F,"海南精准学科技有限公司")+SUMIFS('7月数据源'!$J:$J,'7月数据源'!$D:$D,$E144,'7月数据源'!$F:$F,"海南精准学科技有限公司")</f>
        <v/>
      </c>
      <c r="M144" s="89">
        <f>-SUMIFS('8月数据源'!$I:$I,'8月数据源'!$D:$D,$E144,'8月数据源'!$F:$F,"海南精准学科技有限公司")+SUMIFS('8月数据源'!$J:$J,'8月数据源'!$D:$D,$E144,'8月数据源'!$F:$F,"海南精准学科技有限公司")</f>
        <v/>
      </c>
      <c r="N144" s="89">
        <f>-SUMIFS('9月数据源'!$I:$I,'9月数据源'!$D:$D,$E144,'9月数据源'!$F:$F,"海南精准学科技有限公司")+SUMIFS('9月数据源'!$J:$J,'9月数据源'!$D:$D,$E144,'9月数据源'!$F:$F,"海南精准学科技有限公司")</f>
        <v/>
      </c>
      <c r="O144" s="89">
        <f>-SUMIFS('10月数据源'!$I:$I,'10月数据源'!$D:$D,$E144,'10月数据源'!$F:$F,"海南精准学科技有限公司")+SUMIFS('10月数据源'!$J:$J,'10月数据源'!$D:$D,$E144,'10月数据源'!$F:$F,"海南精准学科技有限公司")</f>
        <v/>
      </c>
      <c r="P144" s="89">
        <f>-SUMIFS('11月数据源'!$I:$I,'11月数据源'!$D:$D,$E144,'11月数据源'!$F:$F,"海南精准学科技有限公司")+SUMIFS('11月数据源'!$J:$J,'11月数据源'!$D:$D,$E144,'11月数据源'!$F:$F,"海南精准学科技有限公司")</f>
        <v/>
      </c>
      <c r="Q144" s="89">
        <f>-SUMIFS('12月数据源'!$I:$I,'12月数据源'!$D:$D,$E144,'12月数据源'!$F:$F,"海南精准学科技有限公司")+SUMIFS('12月数据源'!$J:$J,'12月数据源'!$D:$D,$E144,'12月数据源'!$F:$F,"海南精准学科技有限公司")</f>
        <v/>
      </c>
    </row>
    <row r="145" s="83">
      <c r="A145" s="5" t="inlineStr">
        <is>
          <t>管理费用</t>
        </is>
      </c>
      <c r="B145" s="6" t="inlineStr">
        <is>
          <t>办公场地使用费</t>
        </is>
      </c>
      <c r="D145" s="5" t="inlineStr">
        <is>
          <t>押金</t>
        </is>
      </c>
      <c r="E145" s="6" t="inlineStr">
        <is>
          <t>Q2707</t>
        </is>
      </c>
      <c r="F145" s="89">
        <f>-SUMIFS('1月数据源'!I:I,'1月数据源'!D:D,E145,'1月数据源'!F:F,"海南精准学科技有限公司")+SUMIFS('1月数据源'!J:J,'1月数据源'!D:D,E145,'1月数据源'!F:F,"海南精准学科技有限公司")</f>
        <v/>
      </c>
      <c r="G145" s="89">
        <f>-SUMIFS('2月数据源'!$I:$I,'2月数据源'!$D:$D,$E145,'2月数据源'!$F:$F,"海南精准学科技有限公司")+SUMIFS('2月数据源'!$J:$J,'2月数据源'!$D:$D,$E145,'2月数据源'!$F:$F,"海南精准学科技有限公司")</f>
        <v/>
      </c>
      <c r="H145" s="89">
        <f>-SUMIFS('3月数据源'!$I:$I,'3月数据源'!$D:$D,$E145,'3月数据源'!$F:$F,"海南精准学科技有限公司")+SUMIFS('3月数据源'!$J:$J,'3月数据源'!$D:$D,$E145,'3月数据源'!$F:$F,"海南精准学科技有限公司")</f>
        <v/>
      </c>
      <c r="I145" s="89">
        <f>-SUMIFS('4月数据源'!$I:$I,'4月数据源'!$D:$D,$E145,'4月数据源'!$F:$F,"海南精准学科技有限公司")+SUMIFS('4月数据源'!$J:$J,'4月数据源'!$D:$D,$E145,'4月数据源'!$F:$F,"海南精准学科技有限公司")</f>
        <v/>
      </c>
      <c r="J145" s="89">
        <f>-SUMIFS('5月数据源'!$I:$I,'5月数据源'!$D:$D,$E145,'5月数据源'!$F:$F,"海南精准学科技有限公司")+SUMIFS('5月数据源'!$J:$J,'5月数据源'!$D:$D,$E145,'5月数据源'!$F:$F,"海南精准学科技有限公司")</f>
        <v/>
      </c>
      <c r="K145" s="89">
        <f>-SUMIFS('6月数据源'!$I:$I,'6月数据源'!$D:$D,$E145,'6月数据源'!$F:$F,"海南精准学科技有限公司")+SUMIFS('6月数据源'!$J:$J,'6月数据源'!$D:$D,$E145,'6月数据源'!$F:$F,"海南精准学科技有限公司")</f>
        <v/>
      </c>
      <c r="L145" s="89">
        <f>-SUMIFS('7月数据源'!$I:$I,'7月数据源'!$D:$D,$E145,'7月数据源'!$F:$F,"海南精准学科技有限公司")+SUMIFS('7月数据源'!$J:$J,'7月数据源'!$D:$D,$E145,'7月数据源'!$F:$F,"海南精准学科技有限公司")</f>
        <v/>
      </c>
      <c r="M145" s="89">
        <f>-SUMIFS('8月数据源'!$I:$I,'8月数据源'!$D:$D,$E145,'8月数据源'!$F:$F,"海南精准学科技有限公司")+SUMIFS('8月数据源'!$J:$J,'8月数据源'!$D:$D,$E145,'8月数据源'!$F:$F,"海南精准学科技有限公司")</f>
        <v/>
      </c>
      <c r="N145" s="89">
        <f>-SUMIFS('9月数据源'!$I:$I,'9月数据源'!$D:$D,$E145,'9月数据源'!$F:$F,"海南精准学科技有限公司")+SUMIFS('9月数据源'!$J:$J,'9月数据源'!$D:$D,$E145,'9月数据源'!$F:$F,"海南精准学科技有限公司")</f>
        <v/>
      </c>
      <c r="O145" s="89">
        <f>-SUMIFS('10月数据源'!$I:$I,'10月数据源'!$D:$D,$E145,'10月数据源'!$F:$F,"海南精准学科技有限公司")+SUMIFS('10月数据源'!$J:$J,'10月数据源'!$D:$D,$E145,'10月数据源'!$F:$F,"海南精准学科技有限公司")</f>
        <v/>
      </c>
      <c r="P145" s="89">
        <f>-SUMIFS('11月数据源'!$I:$I,'11月数据源'!$D:$D,$E145,'11月数据源'!$F:$F,"海南精准学科技有限公司")+SUMIFS('11月数据源'!$J:$J,'11月数据源'!$D:$D,$E145,'11月数据源'!$F:$F,"海南精准学科技有限公司")</f>
        <v/>
      </c>
      <c r="Q145" s="89">
        <f>-SUMIFS('12月数据源'!$I:$I,'12月数据源'!$D:$D,$E145,'12月数据源'!$F:$F,"海南精准学科技有限公司")+SUMIFS('12月数据源'!$J:$J,'12月数据源'!$D:$D,$E145,'12月数据源'!$F:$F,"海南精准学科技有限公司")</f>
        <v/>
      </c>
    </row>
    <row r="146" s="83">
      <c r="A146" s="5" t="inlineStr">
        <is>
          <t>管理费用</t>
        </is>
      </c>
      <c r="B146" s="6" t="inlineStr">
        <is>
          <t>服务费</t>
        </is>
      </c>
      <c r="C146" s="6" t="inlineStr">
        <is>
          <t>服务费</t>
        </is>
      </c>
      <c r="D146" s="5" t="inlineStr">
        <is>
          <t>律师费</t>
        </is>
      </c>
      <c r="E146" s="6" t="inlineStr">
        <is>
          <t>Q2801</t>
        </is>
      </c>
      <c r="F146" s="89">
        <f>-SUMIFS('1月数据源'!I:I,'1月数据源'!D:D,E146,'1月数据源'!F:F,"海南精准学科技有限公司")+SUMIFS('1月数据源'!J:J,'1月数据源'!D:D,E146,'1月数据源'!F:F,"海南精准学科技有限公司")</f>
        <v/>
      </c>
      <c r="G146" s="89">
        <f>-SUMIFS('2月数据源'!$I:$I,'2月数据源'!$D:$D,$E146,'2月数据源'!$F:$F,"海南精准学科技有限公司")+SUMIFS('2月数据源'!$J:$J,'2月数据源'!$D:$D,$E146,'2月数据源'!$F:$F,"海南精准学科技有限公司")</f>
        <v/>
      </c>
      <c r="H146" s="89">
        <f>-SUMIFS('3月数据源'!$I:$I,'3月数据源'!$D:$D,$E146,'3月数据源'!$F:$F,"海南精准学科技有限公司")+SUMIFS('3月数据源'!$J:$J,'3月数据源'!$D:$D,$E146,'3月数据源'!$F:$F,"海南精准学科技有限公司")</f>
        <v/>
      </c>
      <c r="I146" s="89">
        <f>-SUMIFS('4月数据源'!$I:$I,'4月数据源'!$D:$D,$E146,'4月数据源'!$F:$F,"海南精准学科技有限公司")+SUMIFS('4月数据源'!$J:$J,'4月数据源'!$D:$D,$E146,'4月数据源'!$F:$F,"海南精准学科技有限公司")</f>
        <v/>
      </c>
      <c r="J146" s="89">
        <f>-SUMIFS('5月数据源'!$I:$I,'5月数据源'!$D:$D,$E146,'5月数据源'!$F:$F,"海南精准学科技有限公司")+SUMIFS('5月数据源'!$J:$J,'5月数据源'!$D:$D,$E146,'5月数据源'!$F:$F,"海南精准学科技有限公司")</f>
        <v/>
      </c>
      <c r="K146" s="89">
        <f>-SUMIFS('6月数据源'!$I:$I,'6月数据源'!$D:$D,$E146,'6月数据源'!$F:$F,"海南精准学科技有限公司")+SUMIFS('6月数据源'!$J:$J,'6月数据源'!$D:$D,$E146,'6月数据源'!$F:$F,"海南精准学科技有限公司")</f>
        <v/>
      </c>
      <c r="L146" s="89">
        <f>-SUMIFS('7月数据源'!$I:$I,'7月数据源'!$D:$D,$E146,'7月数据源'!$F:$F,"海南精准学科技有限公司")+SUMIFS('7月数据源'!$J:$J,'7月数据源'!$D:$D,$E146,'7月数据源'!$F:$F,"海南精准学科技有限公司")</f>
        <v/>
      </c>
      <c r="M146" s="89">
        <f>-SUMIFS('8月数据源'!$I:$I,'8月数据源'!$D:$D,$E146,'8月数据源'!$F:$F,"海南精准学科技有限公司")+SUMIFS('8月数据源'!$J:$J,'8月数据源'!$D:$D,$E146,'8月数据源'!$F:$F,"海南精准学科技有限公司")</f>
        <v/>
      </c>
      <c r="N146" s="89">
        <f>-SUMIFS('9月数据源'!$I:$I,'9月数据源'!$D:$D,$E146,'9月数据源'!$F:$F,"海南精准学科技有限公司")+SUMIFS('9月数据源'!$J:$J,'9月数据源'!$D:$D,$E146,'9月数据源'!$F:$F,"海南精准学科技有限公司")</f>
        <v/>
      </c>
      <c r="O146" s="89">
        <f>-SUMIFS('10月数据源'!$I:$I,'10月数据源'!$D:$D,$E146,'10月数据源'!$F:$F,"海南精准学科技有限公司")+SUMIFS('10月数据源'!$J:$J,'10月数据源'!$D:$D,$E146,'10月数据源'!$F:$F,"海南精准学科技有限公司")</f>
        <v/>
      </c>
      <c r="P146" s="89">
        <f>-SUMIFS('11月数据源'!$I:$I,'11月数据源'!$D:$D,$E146,'11月数据源'!$F:$F,"海南精准学科技有限公司")+SUMIFS('11月数据源'!$J:$J,'11月数据源'!$D:$D,$E146,'11月数据源'!$F:$F,"海南精准学科技有限公司")</f>
        <v/>
      </c>
      <c r="Q146" s="89">
        <f>-SUMIFS('12月数据源'!$I:$I,'12月数据源'!$D:$D,$E146,'12月数据源'!$F:$F,"海南精准学科技有限公司")+SUMIFS('12月数据源'!$J:$J,'12月数据源'!$D:$D,$E146,'12月数据源'!$F:$F,"海南精准学科技有限公司")</f>
        <v/>
      </c>
    </row>
    <row r="147" s="83">
      <c r="A147" s="5" t="inlineStr">
        <is>
          <t>管理费用</t>
        </is>
      </c>
      <c r="B147" s="6" t="inlineStr">
        <is>
          <t>服务费</t>
        </is>
      </c>
      <c r="D147" s="5" t="inlineStr">
        <is>
          <t>中介代理费用</t>
        </is>
      </c>
      <c r="E147" s="6" t="inlineStr">
        <is>
          <t>Q2802</t>
        </is>
      </c>
      <c r="F147" s="89">
        <f>-SUMIFS('1月数据源'!I:I,'1月数据源'!D:D,E147,'1月数据源'!F:F,"海南精准学科技有限公司")+SUMIFS('1月数据源'!J:J,'1月数据源'!D:D,E147,'1月数据源'!F:F,"海南精准学科技有限公司")</f>
        <v/>
      </c>
      <c r="G147" s="89">
        <f>-SUMIFS('2月数据源'!$I:$I,'2月数据源'!$D:$D,$E147,'2月数据源'!$F:$F,"海南精准学科技有限公司")+SUMIFS('2月数据源'!$J:$J,'2月数据源'!$D:$D,$E147,'2月数据源'!$F:$F,"海南精准学科技有限公司")</f>
        <v/>
      </c>
      <c r="H147" s="89">
        <f>-SUMIFS('3月数据源'!$I:$I,'3月数据源'!$D:$D,$E147,'3月数据源'!$F:$F,"海南精准学科技有限公司")+SUMIFS('3月数据源'!$J:$J,'3月数据源'!$D:$D,$E147,'3月数据源'!$F:$F,"海南精准学科技有限公司")</f>
        <v/>
      </c>
      <c r="I147" s="89">
        <f>-SUMIFS('4月数据源'!$I:$I,'4月数据源'!$D:$D,$E147,'4月数据源'!$F:$F,"海南精准学科技有限公司")+SUMIFS('4月数据源'!$J:$J,'4月数据源'!$D:$D,$E147,'4月数据源'!$F:$F,"海南精准学科技有限公司")</f>
        <v/>
      </c>
      <c r="J147" s="89">
        <f>-SUMIFS('5月数据源'!$I:$I,'5月数据源'!$D:$D,$E147,'5月数据源'!$F:$F,"海南精准学科技有限公司")+SUMIFS('5月数据源'!$J:$J,'5月数据源'!$D:$D,$E147,'5月数据源'!$F:$F,"海南精准学科技有限公司")</f>
        <v/>
      </c>
      <c r="K147" s="89">
        <f>-SUMIFS('6月数据源'!$I:$I,'6月数据源'!$D:$D,$E147,'6月数据源'!$F:$F,"海南精准学科技有限公司")+SUMIFS('6月数据源'!$J:$J,'6月数据源'!$D:$D,$E147,'6月数据源'!$F:$F,"海南精准学科技有限公司")</f>
        <v/>
      </c>
      <c r="L147" s="89">
        <f>-SUMIFS('7月数据源'!$I:$I,'7月数据源'!$D:$D,$E147,'7月数据源'!$F:$F,"海南精准学科技有限公司")+SUMIFS('7月数据源'!$J:$J,'7月数据源'!$D:$D,$E147,'7月数据源'!$F:$F,"海南精准学科技有限公司")</f>
        <v/>
      </c>
      <c r="M147" s="89">
        <f>-SUMIFS('8月数据源'!$I:$I,'8月数据源'!$D:$D,$E147,'8月数据源'!$F:$F,"海南精准学科技有限公司")+SUMIFS('8月数据源'!$J:$J,'8月数据源'!$D:$D,$E147,'8月数据源'!$F:$F,"海南精准学科技有限公司")</f>
        <v/>
      </c>
      <c r="N147" s="89">
        <f>-SUMIFS('9月数据源'!$I:$I,'9月数据源'!$D:$D,$E147,'9月数据源'!$F:$F,"海南精准学科技有限公司")+SUMIFS('9月数据源'!$J:$J,'9月数据源'!$D:$D,$E147,'9月数据源'!$F:$F,"海南精准学科技有限公司")</f>
        <v/>
      </c>
      <c r="O147" s="89">
        <f>-SUMIFS('10月数据源'!$I:$I,'10月数据源'!$D:$D,$E147,'10月数据源'!$F:$F,"海南精准学科技有限公司")+SUMIFS('10月数据源'!$J:$J,'10月数据源'!$D:$D,$E147,'10月数据源'!$F:$F,"海南精准学科技有限公司")</f>
        <v/>
      </c>
      <c r="P147" s="89">
        <f>-SUMIFS('11月数据源'!$I:$I,'11月数据源'!$D:$D,$E147,'11月数据源'!$F:$F,"海南精准学科技有限公司")+SUMIFS('11月数据源'!$J:$J,'11月数据源'!$D:$D,$E147,'11月数据源'!$F:$F,"海南精准学科技有限公司")</f>
        <v/>
      </c>
      <c r="Q147" s="89">
        <f>-SUMIFS('12月数据源'!$I:$I,'12月数据源'!$D:$D,$E147,'12月数据源'!$F:$F,"海南精准学科技有限公司")+SUMIFS('12月数据源'!$J:$J,'12月数据源'!$D:$D,$E147,'12月数据源'!$F:$F,"海南精准学科技有限公司")</f>
        <v/>
      </c>
    </row>
    <row r="148" s="83">
      <c r="A148" s="5" t="inlineStr">
        <is>
          <t>管理费用</t>
        </is>
      </c>
      <c r="B148" s="6" t="inlineStr">
        <is>
          <t>服务费</t>
        </is>
      </c>
      <c r="D148" s="5" t="inlineStr">
        <is>
          <t>财务咨询费</t>
        </is>
      </c>
      <c r="E148" s="6" t="inlineStr">
        <is>
          <t>Q2803</t>
        </is>
      </c>
      <c r="F148" s="89">
        <f>-SUMIFS('1月数据源'!I:I,'1月数据源'!D:D,E148,'1月数据源'!F:F,"海南精准学科技有限公司")+SUMIFS('1月数据源'!J:J,'1月数据源'!D:D,E148,'1月数据源'!F:F,"海南精准学科技有限公司")</f>
        <v/>
      </c>
      <c r="G148" s="89">
        <f>-SUMIFS('2月数据源'!$I:$I,'2月数据源'!$D:$D,$E148,'2月数据源'!$F:$F,"海南精准学科技有限公司")+SUMIFS('2月数据源'!$J:$J,'2月数据源'!$D:$D,$E148,'2月数据源'!$F:$F,"海南精准学科技有限公司")</f>
        <v/>
      </c>
      <c r="H148" s="89">
        <f>-SUMIFS('3月数据源'!$I:$I,'3月数据源'!$D:$D,$E148,'3月数据源'!$F:$F,"海南精准学科技有限公司")+SUMIFS('3月数据源'!$J:$J,'3月数据源'!$D:$D,$E148,'3月数据源'!$F:$F,"海南精准学科技有限公司")</f>
        <v/>
      </c>
      <c r="I148" s="89">
        <f>-SUMIFS('4月数据源'!$I:$I,'4月数据源'!$D:$D,$E148,'4月数据源'!$F:$F,"海南精准学科技有限公司")+SUMIFS('4月数据源'!$J:$J,'4月数据源'!$D:$D,$E148,'4月数据源'!$F:$F,"海南精准学科技有限公司")</f>
        <v/>
      </c>
      <c r="J148" s="89">
        <f>-SUMIFS('5月数据源'!$I:$I,'5月数据源'!$D:$D,$E148,'5月数据源'!$F:$F,"海南精准学科技有限公司")+SUMIFS('5月数据源'!$J:$J,'5月数据源'!$D:$D,$E148,'5月数据源'!$F:$F,"海南精准学科技有限公司")</f>
        <v/>
      </c>
      <c r="K148" s="89">
        <f>-SUMIFS('6月数据源'!$I:$I,'6月数据源'!$D:$D,$E148,'6月数据源'!$F:$F,"海南精准学科技有限公司")+SUMIFS('6月数据源'!$J:$J,'6月数据源'!$D:$D,$E148,'6月数据源'!$F:$F,"海南精准学科技有限公司")</f>
        <v/>
      </c>
      <c r="L148" s="89">
        <f>-SUMIFS('7月数据源'!$I:$I,'7月数据源'!$D:$D,$E148,'7月数据源'!$F:$F,"海南精准学科技有限公司")+SUMIFS('7月数据源'!$J:$J,'7月数据源'!$D:$D,$E148,'7月数据源'!$F:$F,"海南精准学科技有限公司")</f>
        <v/>
      </c>
      <c r="M148" s="89">
        <f>-SUMIFS('8月数据源'!$I:$I,'8月数据源'!$D:$D,$E148,'8月数据源'!$F:$F,"海南精准学科技有限公司")+SUMIFS('8月数据源'!$J:$J,'8月数据源'!$D:$D,$E148,'8月数据源'!$F:$F,"海南精准学科技有限公司")</f>
        <v/>
      </c>
      <c r="N148" s="89">
        <f>-SUMIFS('9月数据源'!$I:$I,'9月数据源'!$D:$D,$E148,'9月数据源'!$F:$F,"海南精准学科技有限公司")+SUMIFS('9月数据源'!$J:$J,'9月数据源'!$D:$D,$E148,'9月数据源'!$F:$F,"海南精准学科技有限公司")</f>
        <v/>
      </c>
      <c r="O148" s="89">
        <f>-SUMIFS('10月数据源'!$I:$I,'10月数据源'!$D:$D,$E148,'10月数据源'!$F:$F,"海南精准学科技有限公司")+SUMIFS('10月数据源'!$J:$J,'10月数据源'!$D:$D,$E148,'10月数据源'!$F:$F,"海南精准学科技有限公司")</f>
        <v/>
      </c>
      <c r="P148" s="89">
        <f>-SUMIFS('11月数据源'!$I:$I,'11月数据源'!$D:$D,$E148,'11月数据源'!$F:$F,"海南精准学科技有限公司")+SUMIFS('11月数据源'!$J:$J,'11月数据源'!$D:$D,$E148,'11月数据源'!$F:$F,"海南精准学科技有限公司")</f>
        <v/>
      </c>
      <c r="Q148" s="89">
        <f>-SUMIFS('12月数据源'!$I:$I,'12月数据源'!$D:$D,$E148,'12月数据源'!$F:$F,"海南精准学科技有限公司")+SUMIFS('12月数据源'!$J:$J,'12月数据源'!$D:$D,$E148,'12月数据源'!$F:$F,"海南精准学科技有限公司")</f>
        <v/>
      </c>
    </row>
    <row r="149" s="83">
      <c r="A149" s="5" t="inlineStr">
        <is>
          <t>管理费用</t>
        </is>
      </c>
      <c r="B149" s="6" t="inlineStr">
        <is>
          <t>服务费</t>
        </is>
      </c>
      <c r="D149" s="5" t="inlineStr">
        <is>
          <t>审计费</t>
        </is>
      </c>
      <c r="E149" s="6" t="inlineStr">
        <is>
          <t>Q2804</t>
        </is>
      </c>
      <c r="F149" s="89">
        <f>-SUMIFS('1月数据源'!I:I,'1月数据源'!D:D,E149,'1月数据源'!F:F,"海南精准学科技有限公司")+SUMIFS('1月数据源'!J:J,'1月数据源'!D:D,E149,'1月数据源'!F:F,"海南精准学科技有限公司")</f>
        <v/>
      </c>
      <c r="G149" s="89">
        <f>-SUMIFS('2月数据源'!$I:$I,'2月数据源'!$D:$D,$E149,'2月数据源'!$F:$F,"海南精准学科技有限公司")+SUMIFS('2月数据源'!$J:$J,'2月数据源'!$D:$D,$E149,'2月数据源'!$F:$F,"海南精准学科技有限公司")</f>
        <v/>
      </c>
      <c r="H149" s="89">
        <f>-SUMIFS('3月数据源'!$I:$I,'3月数据源'!$D:$D,$E149,'3月数据源'!$F:$F,"海南精准学科技有限公司")+SUMIFS('3月数据源'!$J:$J,'3月数据源'!$D:$D,$E149,'3月数据源'!$F:$F,"海南精准学科技有限公司")</f>
        <v/>
      </c>
      <c r="I149" s="89">
        <f>-SUMIFS('4月数据源'!$I:$I,'4月数据源'!$D:$D,$E149,'4月数据源'!$F:$F,"海南精准学科技有限公司")+SUMIFS('4月数据源'!$J:$J,'4月数据源'!$D:$D,$E149,'4月数据源'!$F:$F,"海南精准学科技有限公司")</f>
        <v/>
      </c>
      <c r="J149" s="89">
        <f>-SUMIFS('5月数据源'!$I:$I,'5月数据源'!$D:$D,$E149,'5月数据源'!$F:$F,"海南精准学科技有限公司")+SUMIFS('5月数据源'!$J:$J,'5月数据源'!$D:$D,$E149,'5月数据源'!$F:$F,"海南精准学科技有限公司")</f>
        <v/>
      </c>
      <c r="K149" s="89">
        <f>-SUMIFS('6月数据源'!$I:$I,'6月数据源'!$D:$D,$E149,'6月数据源'!$F:$F,"海南精准学科技有限公司")+SUMIFS('6月数据源'!$J:$J,'6月数据源'!$D:$D,$E149,'6月数据源'!$F:$F,"海南精准学科技有限公司")</f>
        <v/>
      </c>
      <c r="L149" s="89">
        <f>-SUMIFS('7月数据源'!$I:$I,'7月数据源'!$D:$D,$E149,'7月数据源'!$F:$F,"海南精准学科技有限公司")+SUMIFS('7月数据源'!$J:$J,'7月数据源'!$D:$D,$E149,'7月数据源'!$F:$F,"海南精准学科技有限公司")</f>
        <v/>
      </c>
      <c r="M149" s="89">
        <f>-SUMIFS('8月数据源'!$I:$I,'8月数据源'!$D:$D,$E149,'8月数据源'!$F:$F,"海南精准学科技有限公司")+SUMIFS('8月数据源'!$J:$J,'8月数据源'!$D:$D,$E149,'8月数据源'!$F:$F,"海南精准学科技有限公司")</f>
        <v/>
      </c>
      <c r="N149" s="89">
        <f>-SUMIFS('9月数据源'!$I:$I,'9月数据源'!$D:$D,$E149,'9月数据源'!$F:$F,"海南精准学科技有限公司")+SUMIFS('9月数据源'!$J:$J,'9月数据源'!$D:$D,$E149,'9月数据源'!$F:$F,"海南精准学科技有限公司")</f>
        <v/>
      </c>
      <c r="O149" s="89">
        <f>-SUMIFS('10月数据源'!$I:$I,'10月数据源'!$D:$D,$E149,'10月数据源'!$F:$F,"海南精准学科技有限公司")+SUMIFS('10月数据源'!$J:$J,'10月数据源'!$D:$D,$E149,'10月数据源'!$F:$F,"海南精准学科技有限公司")</f>
        <v/>
      </c>
      <c r="P149" s="89">
        <f>-SUMIFS('11月数据源'!$I:$I,'11月数据源'!$D:$D,$E149,'11月数据源'!$F:$F,"海南精准学科技有限公司")+SUMIFS('11月数据源'!$J:$J,'11月数据源'!$D:$D,$E149,'11月数据源'!$F:$F,"海南精准学科技有限公司")</f>
        <v/>
      </c>
      <c r="Q149" s="89">
        <f>-SUMIFS('12月数据源'!$I:$I,'12月数据源'!$D:$D,$E149,'12月数据源'!$F:$F,"海南精准学科技有限公司")+SUMIFS('12月数据源'!$J:$J,'12月数据源'!$D:$D,$E149,'12月数据源'!$F:$F,"海南精准学科技有限公司")</f>
        <v/>
      </c>
    </row>
    <row r="150" s="83">
      <c r="A150" s="5" t="inlineStr">
        <is>
          <t>管理费用</t>
        </is>
      </c>
      <c r="B150" s="6" t="inlineStr">
        <is>
          <t>服务费</t>
        </is>
      </c>
      <c r="D150" s="5" t="inlineStr">
        <is>
          <t>招聘费用</t>
        </is>
      </c>
      <c r="E150" s="6" t="inlineStr">
        <is>
          <t>Q2805</t>
        </is>
      </c>
      <c r="F150" s="89">
        <f>-SUMIFS('1月数据源'!I:I,'1月数据源'!D:D,E150,'1月数据源'!F:F,"海南精准学科技有限公司")+SUMIFS('1月数据源'!J:J,'1月数据源'!D:D,E150,'1月数据源'!F:F,"海南精准学科技有限公司")</f>
        <v/>
      </c>
      <c r="G150" s="89">
        <f>-SUMIFS('2月数据源'!$I:$I,'2月数据源'!$D:$D,$E150,'2月数据源'!$F:$F,"海南精准学科技有限公司")+SUMIFS('2月数据源'!$J:$J,'2月数据源'!$D:$D,$E150,'2月数据源'!$F:$F,"海南精准学科技有限公司")</f>
        <v/>
      </c>
      <c r="H150" s="89">
        <f>-SUMIFS('3月数据源'!$I:$I,'3月数据源'!$D:$D,$E150,'3月数据源'!$F:$F,"海南精准学科技有限公司")+SUMIFS('3月数据源'!$J:$J,'3月数据源'!$D:$D,$E150,'3月数据源'!$F:$F,"海南精准学科技有限公司")</f>
        <v/>
      </c>
      <c r="I150" s="89">
        <f>-SUMIFS('4月数据源'!$I:$I,'4月数据源'!$D:$D,$E150,'4月数据源'!$F:$F,"海南精准学科技有限公司")+SUMIFS('4月数据源'!$J:$J,'4月数据源'!$D:$D,$E150,'4月数据源'!$F:$F,"海南精准学科技有限公司")</f>
        <v/>
      </c>
      <c r="J150" s="89">
        <f>-SUMIFS('5月数据源'!$I:$I,'5月数据源'!$D:$D,$E150,'5月数据源'!$F:$F,"海南精准学科技有限公司")+SUMIFS('5月数据源'!$J:$J,'5月数据源'!$D:$D,$E150,'5月数据源'!$F:$F,"海南精准学科技有限公司")</f>
        <v/>
      </c>
      <c r="K150" s="89">
        <f>-SUMIFS('6月数据源'!$I:$I,'6月数据源'!$D:$D,$E150,'6月数据源'!$F:$F,"海南精准学科技有限公司")+SUMIFS('6月数据源'!$J:$J,'6月数据源'!$D:$D,$E150,'6月数据源'!$F:$F,"海南精准学科技有限公司")</f>
        <v/>
      </c>
      <c r="L150" s="89">
        <f>-SUMIFS('7月数据源'!$I:$I,'7月数据源'!$D:$D,$E150,'7月数据源'!$F:$F,"海南精准学科技有限公司")+SUMIFS('7月数据源'!$J:$J,'7月数据源'!$D:$D,$E150,'7月数据源'!$F:$F,"海南精准学科技有限公司")</f>
        <v/>
      </c>
      <c r="M150" s="89">
        <f>-SUMIFS('8月数据源'!$I:$I,'8月数据源'!$D:$D,$E150,'8月数据源'!$F:$F,"海南精准学科技有限公司")+SUMIFS('8月数据源'!$J:$J,'8月数据源'!$D:$D,$E150,'8月数据源'!$F:$F,"海南精准学科技有限公司")</f>
        <v/>
      </c>
      <c r="N150" s="89">
        <f>-SUMIFS('9月数据源'!$I:$I,'9月数据源'!$D:$D,$E150,'9月数据源'!$F:$F,"海南精准学科技有限公司")+SUMIFS('9月数据源'!$J:$J,'9月数据源'!$D:$D,$E150,'9月数据源'!$F:$F,"海南精准学科技有限公司")</f>
        <v/>
      </c>
      <c r="O150" s="89">
        <f>-SUMIFS('10月数据源'!$I:$I,'10月数据源'!$D:$D,$E150,'10月数据源'!$F:$F,"海南精准学科技有限公司")+SUMIFS('10月数据源'!$J:$J,'10月数据源'!$D:$D,$E150,'10月数据源'!$F:$F,"海南精准学科技有限公司")</f>
        <v/>
      </c>
      <c r="P150" s="89">
        <f>-SUMIFS('11月数据源'!$I:$I,'11月数据源'!$D:$D,$E150,'11月数据源'!$F:$F,"海南精准学科技有限公司")+SUMIFS('11月数据源'!$J:$J,'11月数据源'!$D:$D,$E150,'11月数据源'!$F:$F,"海南精准学科技有限公司")</f>
        <v/>
      </c>
      <c r="Q150" s="89">
        <f>-SUMIFS('12月数据源'!$I:$I,'12月数据源'!$D:$D,$E150,'12月数据源'!$F:$F,"海南精准学科技有限公司")+SUMIFS('12月数据源'!$J:$J,'12月数据源'!$D:$D,$E150,'12月数据源'!$F:$F,"海南精准学科技有限公司")</f>
        <v/>
      </c>
    </row>
    <row r="151" s="83">
      <c r="A151" s="5" t="inlineStr">
        <is>
          <t>管理费用</t>
        </is>
      </c>
      <c r="B151" s="6" t="inlineStr">
        <is>
          <t>服务费</t>
        </is>
      </c>
      <c r="D151" s="5" t="inlineStr">
        <is>
          <t>软件服务费</t>
        </is>
      </c>
      <c r="E151" s="6" t="inlineStr">
        <is>
          <t>Q2807</t>
        </is>
      </c>
      <c r="F151" s="89">
        <f>-SUMIFS('1月数据源'!I:I,'1月数据源'!D:D,E151,'1月数据源'!F:F,"海南精准学科技有限公司")+SUMIFS('1月数据源'!J:J,'1月数据源'!D:D,E151,'1月数据源'!F:F,"海南精准学科技有限公司")</f>
        <v/>
      </c>
      <c r="G151" s="89">
        <f>-SUMIFS('2月数据源'!$I:$I,'2月数据源'!$D:$D,$E151,'2月数据源'!$F:$F,"海南精准学科技有限公司")+SUMIFS('2月数据源'!$J:$J,'2月数据源'!$D:$D,$E151,'2月数据源'!$F:$F,"海南精准学科技有限公司")</f>
        <v/>
      </c>
      <c r="H151" s="89">
        <f>-SUMIFS('3月数据源'!$I:$I,'3月数据源'!$D:$D,$E151,'3月数据源'!$F:$F,"海南精准学科技有限公司")+SUMIFS('3月数据源'!$J:$J,'3月数据源'!$D:$D,$E151,'3月数据源'!$F:$F,"海南精准学科技有限公司")</f>
        <v/>
      </c>
      <c r="I151" s="89">
        <f>-SUMIFS('4月数据源'!$I:$I,'4月数据源'!$D:$D,$E151,'4月数据源'!$F:$F,"海南精准学科技有限公司")+SUMIFS('4月数据源'!$J:$J,'4月数据源'!$D:$D,$E151,'4月数据源'!$F:$F,"海南精准学科技有限公司")</f>
        <v/>
      </c>
      <c r="J151" s="89">
        <f>-SUMIFS('5月数据源'!$I:$I,'5月数据源'!$D:$D,$E151,'5月数据源'!$F:$F,"海南精准学科技有限公司")+SUMIFS('5月数据源'!$J:$J,'5月数据源'!$D:$D,$E151,'5月数据源'!$F:$F,"海南精准学科技有限公司")</f>
        <v/>
      </c>
      <c r="K151" s="89">
        <f>-SUMIFS('6月数据源'!$I:$I,'6月数据源'!$D:$D,$E151,'6月数据源'!$F:$F,"海南精准学科技有限公司")+SUMIFS('6月数据源'!$J:$J,'6月数据源'!$D:$D,$E151,'6月数据源'!$F:$F,"海南精准学科技有限公司")</f>
        <v/>
      </c>
      <c r="L151" s="89">
        <f>-SUMIFS('7月数据源'!$I:$I,'7月数据源'!$D:$D,$E151,'7月数据源'!$F:$F,"海南精准学科技有限公司")+SUMIFS('7月数据源'!$J:$J,'7月数据源'!$D:$D,$E151,'7月数据源'!$F:$F,"海南精准学科技有限公司")</f>
        <v/>
      </c>
      <c r="M151" s="89">
        <f>-SUMIFS('8月数据源'!$I:$I,'8月数据源'!$D:$D,$E151,'8月数据源'!$F:$F,"海南精准学科技有限公司")+SUMIFS('8月数据源'!$J:$J,'8月数据源'!$D:$D,$E151,'8月数据源'!$F:$F,"海南精准学科技有限公司")</f>
        <v/>
      </c>
      <c r="N151" s="89">
        <f>-SUMIFS('9月数据源'!$I:$I,'9月数据源'!$D:$D,$E151,'9月数据源'!$F:$F,"海南精准学科技有限公司")+SUMIFS('9月数据源'!$J:$J,'9月数据源'!$D:$D,$E151,'9月数据源'!$F:$F,"海南精准学科技有限公司")</f>
        <v/>
      </c>
      <c r="O151" s="89">
        <f>-SUMIFS('10月数据源'!$I:$I,'10月数据源'!$D:$D,$E151,'10月数据源'!$F:$F,"海南精准学科技有限公司")+SUMIFS('10月数据源'!$J:$J,'10月数据源'!$D:$D,$E151,'10月数据源'!$F:$F,"海南精准学科技有限公司")</f>
        <v/>
      </c>
      <c r="P151" s="89">
        <f>-SUMIFS('11月数据源'!$I:$I,'11月数据源'!$D:$D,$E151,'11月数据源'!$F:$F,"海南精准学科技有限公司")+SUMIFS('11月数据源'!$J:$J,'11月数据源'!$D:$D,$E151,'11月数据源'!$F:$F,"海南精准学科技有限公司")</f>
        <v/>
      </c>
      <c r="Q151" s="89">
        <f>-SUMIFS('12月数据源'!$I:$I,'12月数据源'!$D:$D,$E151,'12月数据源'!$F:$F,"海南精准学科技有限公司")+SUMIFS('12月数据源'!$J:$J,'12月数据源'!$D:$D,$E151,'12月数据源'!$F:$F,"海南精准学科技有限公司")</f>
        <v/>
      </c>
    </row>
    <row r="152" s="83">
      <c r="A152" s="5" t="inlineStr">
        <is>
          <t>管理费用</t>
        </is>
      </c>
      <c r="B152" s="6" t="inlineStr">
        <is>
          <t>服务费</t>
        </is>
      </c>
      <c r="D152" s="5" t="inlineStr">
        <is>
          <t>其他服务费</t>
        </is>
      </c>
      <c r="E152" s="6" t="inlineStr">
        <is>
          <t>Q2806</t>
        </is>
      </c>
      <c r="F152" s="89">
        <f>-SUMIFS('1月数据源'!I:I,'1月数据源'!D:D,E152,'1月数据源'!F:F,"海南精准学科技有限公司")+SUMIFS('1月数据源'!J:J,'1月数据源'!D:D,E152,'1月数据源'!F:F,"海南精准学科技有限公司")</f>
        <v/>
      </c>
      <c r="G152" s="89">
        <f>-SUMIFS('2月数据源'!$I:$I,'2月数据源'!$D:$D,$E152,'2月数据源'!$F:$F,"海南精准学科技有限公司")+SUMIFS('2月数据源'!$J:$J,'2月数据源'!$D:$D,$E152,'2月数据源'!$F:$F,"海南精准学科技有限公司")</f>
        <v/>
      </c>
      <c r="H152" s="89">
        <f>-SUMIFS('3月数据源'!$I:$I,'3月数据源'!$D:$D,$E152,'3月数据源'!$F:$F,"海南精准学科技有限公司")+SUMIFS('3月数据源'!$J:$J,'3月数据源'!$D:$D,$E152,'3月数据源'!$F:$F,"海南精准学科技有限公司")</f>
        <v/>
      </c>
      <c r="I152" s="89">
        <f>-SUMIFS('4月数据源'!$I:$I,'4月数据源'!$D:$D,$E152,'4月数据源'!$F:$F,"海南精准学科技有限公司")+SUMIFS('4月数据源'!$J:$J,'4月数据源'!$D:$D,$E152,'4月数据源'!$F:$F,"海南精准学科技有限公司")</f>
        <v/>
      </c>
      <c r="J152" s="89">
        <f>-SUMIFS('5月数据源'!$I:$I,'5月数据源'!$D:$D,$E152,'5月数据源'!$F:$F,"海南精准学科技有限公司")+SUMIFS('5月数据源'!$J:$J,'5月数据源'!$D:$D,$E152,'5月数据源'!$F:$F,"海南精准学科技有限公司")</f>
        <v/>
      </c>
      <c r="K152" s="89">
        <f>-SUMIFS('6月数据源'!$I:$I,'6月数据源'!$D:$D,$E152,'6月数据源'!$F:$F,"海南精准学科技有限公司")+SUMIFS('6月数据源'!$J:$J,'6月数据源'!$D:$D,$E152,'6月数据源'!$F:$F,"海南精准学科技有限公司")</f>
        <v/>
      </c>
      <c r="L152" s="89">
        <f>-SUMIFS('7月数据源'!$I:$I,'7月数据源'!$D:$D,$E152,'7月数据源'!$F:$F,"海南精准学科技有限公司")+SUMIFS('7月数据源'!$J:$J,'7月数据源'!$D:$D,$E152,'7月数据源'!$F:$F,"海南精准学科技有限公司")</f>
        <v/>
      </c>
      <c r="M152" s="89">
        <f>-SUMIFS('8月数据源'!$I:$I,'8月数据源'!$D:$D,$E152,'8月数据源'!$F:$F,"海南精准学科技有限公司")+SUMIFS('8月数据源'!$J:$J,'8月数据源'!$D:$D,$E152,'8月数据源'!$F:$F,"海南精准学科技有限公司")</f>
        <v/>
      </c>
      <c r="N152" s="89">
        <f>-SUMIFS('9月数据源'!$I:$I,'9月数据源'!$D:$D,$E152,'9月数据源'!$F:$F,"海南精准学科技有限公司")+SUMIFS('9月数据源'!$J:$J,'9月数据源'!$D:$D,$E152,'9月数据源'!$F:$F,"海南精准学科技有限公司")</f>
        <v/>
      </c>
      <c r="O152" s="89">
        <f>-SUMIFS('10月数据源'!$I:$I,'10月数据源'!$D:$D,$E152,'10月数据源'!$F:$F,"海南精准学科技有限公司")+SUMIFS('10月数据源'!$J:$J,'10月数据源'!$D:$D,$E152,'10月数据源'!$F:$F,"海南精准学科技有限公司")</f>
        <v/>
      </c>
      <c r="P152" s="89">
        <f>-SUMIFS('11月数据源'!$I:$I,'11月数据源'!$D:$D,$E152,'11月数据源'!$F:$F,"海南精准学科技有限公司")+SUMIFS('11月数据源'!$J:$J,'11月数据源'!$D:$D,$E152,'11月数据源'!$F:$F,"海南精准学科技有限公司")</f>
        <v/>
      </c>
      <c r="Q152" s="89">
        <f>-SUMIFS('12月数据源'!$I:$I,'12月数据源'!$D:$D,$E152,'12月数据源'!$F:$F,"海南精准学科技有限公司")+SUMIFS('12月数据源'!$J:$J,'12月数据源'!$D:$D,$E152,'12月数据源'!$F:$F,"海南精准学科技有限公司")</f>
        <v/>
      </c>
    </row>
    <row r="153" s="83">
      <c r="A153" s="5" t="inlineStr">
        <is>
          <t>管理费用</t>
        </is>
      </c>
      <c r="B153" s="6" t="inlineStr">
        <is>
          <t>办公费用</t>
        </is>
      </c>
      <c r="C153" s="6" t="inlineStr">
        <is>
          <t>办公费用</t>
        </is>
      </c>
      <c r="D153" s="5" t="inlineStr">
        <is>
          <t>固定资产采购</t>
        </is>
      </c>
      <c r="E153" s="6" t="inlineStr">
        <is>
          <t>Q2901</t>
        </is>
      </c>
      <c r="F153" s="89">
        <f>-SUMIFS('1月数据源'!I:I,'1月数据源'!D:D,E153,'1月数据源'!F:F,"海南精准学科技有限公司")+SUMIFS('1月数据源'!J:J,'1月数据源'!D:D,E153,'1月数据源'!F:F,"海南精准学科技有限公司")</f>
        <v/>
      </c>
      <c r="G153" s="89">
        <f>-SUMIFS('2月数据源'!$I:$I,'2月数据源'!$D:$D,$E153,'2月数据源'!$F:$F,"海南精准学科技有限公司")+SUMIFS('2月数据源'!$J:$J,'2月数据源'!$D:$D,$E153,'2月数据源'!$F:$F,"海南精准学科技有限公司")</f>
        <v/>
      </c>
      <c r="H153" s="89">
        <f>-SUMIFS('3月数据源'!$I:$I,'3月数据源'!$D:$D,$E153,'3月数据源'!$F:$F,"海南精准学科技有限公司")+SUMIFS('3月数据源'!$J:$J,'3月数据源'!$D:$D,$E153,'3月数据源'!$F:$F,"海南精准学科技有限公司")</f>
        <v/>
      </c>
      <c r="I153" s="89">
        <f>-SUMIFS('4月数据源'!$I:$I,'4月数据源'!$D:$D,$E153,'4月数据源'!$F:$F,"海南精准学科技有限公司")+SUMIFS('4月数据源'!$J:$J,'4月数据源'!$D:$D,$E153,'4月数据源'!$F:$F,"海南精准学科技有限公司")</f>
        <v/>
      </c>
      <c r="J153" s="89">
        <f>-SUMIFS('5月数据源'!$I:$I,'5月数据源'!$D:$D,$E153,'5月数据源'!$F:$F,"海南精准学科技有限公司")+SUMIFS('5月数据源'!$J:$J,'5月数据源'!$D:$D,$E153,'5月数据源'!$F:$F,"海南精准学科技有限公司")</f>
        <v/>
      </c>
      <c r="K153" s="89">
        <f>-SUMIFS('6月数据源'!$I:$I,'6月数据源'!$D:$D,$E153,'6月数据源'!$F:$F,"海南精准学科技有限公司")+SUMIFS('6月数据源'!$J:$J,'6月数据源'!$D:$D,$E153,'6月数据源'!$F:$F,"海南精准学科技有限公司")</f>
        <v/>
      </c>
      <c r="L153" s="89">
        <f>-SUMIFS('7月数据源'!$I:$I,'7月数据源'!$D:$D,$E153,'7月数据源'!$F:$F,"海南精准学科技有限公司")+SUMIFS('7月数据源'!$J:$J,'7月数据源'!$D:$D,$E153,'7月数据源'!$F:$F,"海南精准学科技有限公司")</f>
        <v/>
      </c>
      <c r="M153" s="89">
        <f>-SUMIFS('8月数据源'!$I:$I,'8月数据源'!$D:$D,$E153,'8月数据源'!$F:$F,"海南精准学科技有限公司")+SUMIFS('8月数据源'!$J:$J,'8月数据源'!$D:$D,$E153,'8月数据源'!$F:$F,"海南精准学科技有限公司")</f>
        <v/>
      </c>
      <c r="N153" s="89">
        <f>-SUMIFS('9月数据源'!$I:$I,'9月数据源'!$D:$D,$E153,'9月数据源'!$F:$F,"海南精准学科技有限公司")+SUMIFS('9月数据源'!$J:$J,'9月数据源'!$D:$D,$E153,'9月数据源'!$F:$F,"海南精准学科技有限公司")</f>
        <v/>
      </c>
      <c r="O153" s="89">
        <f>-SUMIFS('10月数据源'!$I:$I,'10月数据源'!$D:$D,$E153,'10月数据源'!$F:$F,"海南精准学科技有限公司")+SUMIFS('10月数据源'!$J:$J,'10月数据源'!$D:$D,$E153,'10月数据源'!$F:$F,"海南精准学科技有限公司")</f>
        <v/>
      </c>
      <c r="P153" s="89">
        <f>-SUMIFS('11月数据源'!$I:$I,'11月数据源'!$D:$D,$E153,'11月数据源'!$F:$F,"海南精准学科技有限公司")+SUMIFS('11月数据源'!$J:$J,'11月数据源'!$D:$D,$E153,'11月数据源'!$F:$F,"海南精准学科技有限公司")</f>
        <v/>
      </c>
      <c r="Q153" s="89">
        <f>-SUMIFS('12月数据源'!$I:$I,'12月数据源'!$D:$D,$E153,'12月数据源'!$F:$F,"海南精准学科技有限公司")+SUMIFS('12月数据源'!$J:$J,'12月数据源'!$D:$D,$E153,'12月数据源'!$F:$F,"海南精准学科技有限公司")</f>
        <v/>
      </c>
    </row>
    <row r="154" s="83">
      <c r="A154" s="5" t="inlineStr">
        <is>
          <t>管理费用</t>
        </is>
      </c>
      <c r="B154" s="6" t="inlineStr">
        <is>
          <t>办公费用</t>
        </is>
      </c>
      <c r="D154" s="5" t="inlineStr">
        <is>
          <t>办公用品采购</t>
        </is>
      </c>
      <c r="E154" s="6" t="inlineStr">
        <is>
          <t>Q2902</t>
        </is>
      </c>
      <c r="F154" s="89">
        <f>-SUMIFS('1月数据源'!I:I,'1月数据源'!D:D,E154,'1月数据源'!F:F,"海南精准学科技有限公司")+SUMIFS('1月数据源'!J:J,'1月数据源'!D:D,E154,'1月数据源'!F:F,"海南精准学科技有限公司")</f>
        <v/>
      </c>
      <c r="G154" s="89">
        <f>-SUMIFS('2月数据源'!$I:$I,'2月数据源'!$D:$D,$E154,'2月数据源'!$F:$F,"海南精准学科技有限公司")+SUMIFS('2月数据源'!$J:$J,'2月数据源'!$D:$D,$E154,'2月数据源'!$F:$F,"海南精准学科技有限公司")</f>
        <v/>
      </c>
      <c r="H154" s="89">
        <f>-SUMIFS('3月数据源'!$I:$I,'3月数据源'!$D:$D,$E154,'3月数据源'!$F:$F,"海南精准学科技有限公司")+SUMIFS('3月数据源'!$J:$J,'3月数据源'!$D:$D,$E154,'3月数据源'!$F:$F,"海南精准学科技有限公司")</f>
        <v/>
      </c>
      <c r="I154" s="89">
        <f>-SUMIFS('4月数据源'!$I:$I,'4月数据源'!$D:$D,$E154,'4月数据源'!$F:$F,"海南精准学科技有限公司")+SUMIFS('4月数据源'!$J:$J,'4月数据源'!$D:$D,$E154,'4月数据源'!$F:$F,"海南精准学科技有限公司")</f>
        <v/>
      </c>
      <c r="J154" s="89">
        <f>-SUMIFS('5月数据源'!$I:$I,'5月数据源'!$D:$D,$E154,'5月数据源'!$F:$F,"海南精准学科技有限公司")+SUMIFS('5月数据源'!$J:$J,'5月数据源'!$D:$D,$E154,'5月数据源'!$F:$F,"海南精准学科技有限公司")</f>
        <v/>
      </c>
      <c r="K154" s="89">
        <f>-SUMIFS('6月数据源'!$I:$I,'6月数据源'!$D:$D,$E154,'6月数据源'!$F:$F,"海南精准学科技有限公司")+SUMIFS('6月数据源'!$J:$J,'6月数据源'!$D:$D,$E154,'6月数据源'!$F:$F,"海南精准学科技有限公司")</f>
        <v/>
      </c>
      <c r="L154" s="89">
        <f>-SUMIFS('7月数据源'!$I:$I,'7月数据源'!$D:$D,$E154,'7月数据源'!$F:$F,"海南精准学科技有限公司")+SUMIFS('7月数据源'!$J:$J,'7月数据源'!$D:$D,$E154,'7月数据源'!$F:$F,"海南精准学科技有限公司")</f>
        <v/>
      </c>
      <c r="M154" s="89">
        <f>-SUMIFS('8月数据源'!$I:$I,'8月数据源'!$D:$D,$E154,'8月数据源'!$F:$F,"海南精准学科技有限公司")+SUMIFS('8月数据源'!$J:$J,'8月数据源'!$D:$D,$E154,'8月数据源'!$F:$F,"海南精准学科技有限公司")</f>
        <v/>
      </c>
      <c r="N154" s="89">
        <f>-SUMIFS('9月数据源'!$I:$I,'9月数据源'!$D:$D,$E154,'9月数据源'!$F:$F,"海南精准学科技有限公司")+SUMIFS('9月数据源'!$J:$J,'9月数据源'!$D:$D,$E154,'9月数据源'!$F:$F,"海南精准学科技有限公司")</f>
        <v/>
      </c>
      <c r="O154" s="89">
        <f>-SUMIFS('10月数据源'!$I:$I,'10月数据源'!$D:$D,$E154,'10月数据源'!$F:$F,"海南精准学科技有限公司")+SUMIFS('10月数据源'!$J:$J,'10月数据源'!$D:$D,$E154,'10月数据源'!$F:$F,"海南精准学科技有限公司")</f>
        <v/>
      </c>
      <c r="P154" s="89">
        <f>-SUMIFS('11月数据源'!$I:$I,'11月数据源'!$D:$D,$E154,'11月数据源'!$F:$F,"海南精准学科技有限公司")+SUMIFS('11月数据源'!$J:$J,'11月数据源'!$D:$D,$E154,'11月数据源'!$F:$F,"海南精准学科技有限公司")</f>
        <v/>
      </c>
      <c r="Q154" s="89">
        <f>-SUMIFS('12月数据源'!$I:$I,'12月数据源'!$D:$D,$E154,'12月数据源'!$F:$F,"海南精准学科技有限公司")+SUMIFS('12月数据源'!$J:$J,'12月数据源'!$D:$D,$E154,'12月数据源'!$F:$F,"海南精准学科技有限公司")</f>
        <v/>
      </c>
    </row>
    <row r="155" s="83">
      <c r="A155" s="5" t="inlineStr">
        <is>
          <t>管理费用</t>
        </is>
      </c>
      <c r="B155" s="6" t="inlineStr">
        <is>
          <t>办公费用</t>
        </is>
      </c>
      <c r="D155" s="5" t="inlineStr">
        <is>
          <t>网络费</t>
        </is>
      </c>
      <c r="E155" s="6" t="inlineStr">
        <is>
          <t>Q2903</t>
        </is>
      </c>
      <c r="F155" s="89">
        <f>-SUMIFS('1月数据源'!I:I,'1月数据源'!D:D,E155,'1月数据源'!F:F,"海南精准学科技有限公司")+SUMIFS('1月数据源'!J:J,'1月数据源'!D:D,E155,'1月数据源'!F:F,"海南精准学科技有限公司")</f>
        <v/>
      </c>
      <c r="G155" s="89">
        <f>-SUMIFS('2月数据源'!$I:$I,'2月数据源'!$D:$D,$E155,'2月数据源'!$F:$F,"海南精准学科技有限公司")+SUMIFS('2月数据源'!$J:$J,'2月数据源'!$D:$D,$E155,'2月数据源'!$F:$F,"海南精准学科技有限公司")</f>
        <v/>
      </c>
      <c r="H155" s="89">
        <f>-SUMIFS('3月数据源'!$I:$I,'3月数据源'!$D:$D,$E155,'3月数据源'!$F:$F,"海南精准学科技有限公司")+SUMIFS('3月数据源'!$J:$J,'3月数据源'!$D:$D,$E155,'3月数据源'!$F:$F,"海南精准学科技有限公司")</f>
        <v/>
      </c>
      <c r="I155" s="89">
        <f>-SUMIFS('4月数据源'!$I:$I,'4月数据源'!$D:$D,$E155,'4月数据源'!$F:$F,"海南精准学科技有限公司")+SUMIFS('4月数据源'!$J:$J,'4月数据源'!$D:$D,$E155,'4月数据源'!$F:$F,"海南精准学科技有限公司")</f>
        <v/>
      </c>
      <c r="J155" s="89">
        <f>-SUMIFS('5月数据源'!$I:$I,'5月数据源'!$D:$D,$E155,'5月数据源'!$F:$F,"海南精准学科技有限公司")+SUMIFS('5月数据源'!$J:$J,'5月数据源'!$D:$D,$E155,'5月数据源'!$F:$F,"海南精准学科技有限公司")</f>
        <v/>
      </c>
      <c r="K155" s="89">
        <f>-SUMIFS('6月数据源'!$I:$I,'6月数据源'!$D:$D,$E155,'6月数据源'!$F:$F,"海南精准学科技有限公司")+SUMIFS('6月数据源'!$J:$J,'6月数据源'!$D:$D,$E155,'6月数据源'!$F:$F,"海南精准学科技有限公司")</f>
        <v/>
      </c>
      <c r="L155" s="89">
        <f>-SUMIFS('7月数据源'!$I:$I,'7月数据源'!$D:$D,$E155,'7月数据源'!$F:$F,"海南精准学科技有限公司")+SUMIFS('7月数据源'!$J:$J,'7月数据源'!$D:$D,$E155,'7月数据源'!$F:$F,"海南精准学科技有限公司")</f>
        <v/>
      </c>
      <c r="M155" s="89">
        <f>-SUMIFS('8月数据源'!$I:$I,'8月数据源'!$D:$D,$E155,'8月数据源'!$F:$F,"海南精准学科技有限公司")+SUMIFS('8月数据源'!$J:$J,'8月数据源'!$D:$D,$E155,'8月数据源'!$F:$F,"海南精准学科技有限公司")</f>
        <v/>
      </c>
      <c r="N155" s="89">
        <f>-SUMIFS('9月数据源'!$I:$I,'9月数据源'!$D:$D,$E155,'9月数据源'!$F:$F,"海南精准学科技有限公司")+SUMIFS('9月数据源'!$J:$J,'9月数据源'!$D:$D,$E155,'9月数据源'!$F:$F,"海南精准学科技有限公司")</f>
        <v/>
      </c>
      <c r="O155" s="89">
        <f>-SUMIFS('10月数据源'!$I:$I,'10月数据源'!$D:$D,$E155,'10月数据源'!$F:$F,"海南精准学科技有限公司")+SUMIFS('10月数据源'!$J:$J,'10月数据源'!$D:$D,$E155,'10月数据源'!$F:$F,"海南精准学科技有限公司")</f>
        <v/>
      </c>
      <c r="P155" s="89">
        <f>-SUMIFS('11月数据源'!$I:$I,'11月数据源'!$D:$D,$E155,'11月数据源'!$F:$F,"海南精准学科技有限公司")+SUMIFS('11月数据源'!$J:$J,'11月数据源'!$D:$D,$E155,'11月数据源'!$F:$F,"海南精准学科技有限公司")</f>
        <v/>
      </c>
      <c r="Q155" s="89">
        <f>-SUMIFS('12月数据源'!$I:$I,'12月数据源'!$D:$D,$E155,'12月数据源'!$F:$F,"海南精准学科技有限公司")+SUMIFS('12月数据源'!$J:$J,'12月数据源'!$D:$D,$E155,'12月数据源'!$F:$F,"海南精准学科技有限公司")</f>
        <v/>
      </c>
    </row>
    <row r="156" s="83">
      <c r="A156" s="5" t="inlineStr">
        <is>
          <t>管理费用</t>
        </is>
      </c>
      <c r="B156" s="6" t="inlineStr">
        <is>
          <t>办公费用</t>
        </is>
      </c>
      <c r="D156" s="5" t="inlineStr">
        <is>
          <t>通讯费</t>
        </is>
      </c>
      <c r="E156" s="6" t="inlineStr">
        <is>
          <t>Q2904</t>
        </is>
      </c>
      <c r="F156" s="89">
        <f>-SUMIFS('1月数据源'!I:I,'1月数据源'!D:D,E156,'1月数据源'!F:F,"海南精准学科技有限公司")+SUMIFS('1月数据源'!J:J,'1月数据源'!D:D,E156,'1月数据源'!F:F,"海南精准学科技有限公司")</f>
        <v/>
      </c>
      <c r="G156" s="89">
        <f>-SUMIFS('2月数据源'!$I:$I,'2月数据源'!$D:$D,$E156,'2月数据源'!$F:$F,"海南精准学科技有限公司")+SUMIFS('2月数据源'!$J:$J,'2月数据源'!$D:$D,$E156,'2月数据源'!$F:$F,"海南精准学科技有限公司")</f>
        <v/>
      </c>
      <c r="H156" s="89">
        <f>-SUMIFS('3月数据源'!$I:$I,'3月数据源'!$D:$D,$E156,'3月数据源'!$F:$F,"海南精准学科技有限公司")+SUMIFS('3月数据源'!$J:$J,'3月数据源'!$D:$D,$E156,'3月数据源'!$F:$F,"海南精准学科技有限公司")</f>
        <v/>
      </c>
      <c r="I156" s="89">
        <f>-SUMIFS('4月数据源'!$I:$I,'4月数据源'!$D:$D,$E156,'4月数据源'!$F:$F,"海南精准学科技有限公司")+SUMIFS('4月数据源'!$J:$J,'4月数据源'!$D:$D,$E156,'4月数据源'!$F:$F,"海南精准学科技有限公司")</f>
        <v/>
      </c>
      <c r="J156" s="89">
        <f>-SUMIFS('5月数据源'!$I:$I,'5月数据源'!$D:$D,$E156,'5月数据源'!$F:$F,"海南精准学科技有限公司")+SUMIFS('5月数据源'!$J:$J,'5月数据源'!$D:$D,$E156,'5月数据源'!$F:$F,"海南精准学科技有限公司")</f>
        <v/>
      </c>
      <c r="K156" s="89">
        <f>-SUMIFS('6月数据源'!$I:$I,'6月数据源'!$D:$D,$E156,'6月数据源'!$F:$F,"海南精准学科技有限公司")+SUMIFS('6月数据源'!$J:$J,'6月数据源'!$D:$D,$E156,'6月数据源'!$F:$F,"海南精准学科技有限公司")</f>
        <v/>
      </c>
      <c r="L156" s="89">
        <f>-SUMIFS('7月数据源'!$I:$I,'7月数据源'!$D:$D,$E156,'7月数据源'!$F:$F,"海南精准学科技有限公司")+SUMIFS('7月数据源'!$J:$J,'7月数据源'!$D:$D,$E156,'7月数据源'!$F:$F,"海南精准学科技有限公司")</f>
        <v/>
      </c>
      <c r="M156" s="89">
        <f>-SUMIFS('8月数据源'!$I:$I,'8月数据源'!$D:$D,$E156,'8月数据源'!$F:$F,"海南精准学科技有限公司")+SUMIFS('8月数据源'!$J:$J,'8月数据源'!$D:$D,$E156,'8月数据源'!$F:$F,"海南精准学科技有限公司")</f>
        <v/>
      </c>
      <c r="N156" s="89">
        <f>-SUMIFS('9月数据源'!$I:$I,'9月数据源'!$D:$D,$E156,'9月数据源'!$F:$F,"海南精准学科技有限公司")+SUMIFS('9月数据源'!$J:$J,'9月数据源'!$D:$D,$E156,'9月数据源'!$F:$F,"海南精准学科技有限公司")</f>
        <v/>
      </c>
      <c r="O156" s="89">
        <f>-SUMIFS('10月数据源'!$I:$I,'10月数据源'!$D:$D,$E156,'10月数据源'!$F:$F,"海南精准学科技有限公司")+SUMIFS('10月数据源'!$J:$J,'10月数据源'!$D:$D,$E156,'10月数据源'!$F:$F,"海南精准学科技有限公司")</f>
        <v/>
      </c>
      <c r="P156" s="89">
        <f>-SUMIFS('11月数据源'!$I:$I,'11月数据源'!$D:$D,$E156,'11月数据源'!$F:$F,"海南精准学科技有限公司")+SUMIFS('11月数据源'!$J:$J,'11月数据源'!$D:$D,$E156,'11月数据源'!$F:$F,"海南精准学科技有限公司")</f>
        <v/>
      </c>
      <c r="Q156" s="89">
        <f>-SUMIFS('12月数据源'!$I:$I,'12月数据源'!$D:$D,$E156,'12月数据源'!$F:$F,"海南精准学科技有限公司")+SUMIFS('12月数据源'!$J:$J,'12月数据源'!$D:$D,$E156,'12月数据源'!$F:$F,"海南精准学科技有限公司")</f>
        <v/>
      </c>
    </row>
    <row r="157" s="83">
      <c r="A157" s="5" t="inlineStr">
        <is>
          <t>管理费用</t>
        </is>
      </c>
      <c r="B157" s="6" t="inlineStr">
        <is>
          <t>办公费用</t>
        </is>
      </c>
      <c r="D157" s="5" t="inlineStr">
        <is>
          <t>快递费</t>
        </is>
      </c>
      <c r="E157" s="6" t="inlineStr">
        <is>
          <t>Q2905</t>
        </is>
      </c>
      <c r="F157" s="89">
        <f>-SUMIFS('1月数据源'!I:I,'1月数据源'!D:D,E157,'1月数据源'!F:F,"海南精准学科技有限公司")+SUMIFS('1月数据源'!J:J,'1月数据源'!D:D,E157,'1月数据源'!F:F,"海南精准学科技有限公司")</f>
        <v/>
      </c>
      <c r="G157" s="89">
        <f>-SUMIFS('2月数据源'!$I:$I,'2月数据源'!$D:$D,$E157,'2月数据源'!$F:$F,"海南精准学科技有限公司")+SUMIFS('2月数据源'!$J:$J,'2月数据源'!$D:$D,$E157,'2月数据源'!$F:$F,"海南精准学科技有限公司")</f>
        <v/>
      </c>
      <c r="H157" s="89">
        <f>-SUMIFS('3月数据源'!$I:$I,'3月数据源'!$D:$D,$E157,'3月数据源'!$F:$F,"海南精准学科技有限公司")+SUMIFS('3月数据源'!$J:$J,'3月数据源'!$D:$D,$E157,'3月数据源'!$F:$F,"海南精准学科技有限公司")</f>
        <v/>
      </c>
      <c r="I157" s="89">
        <f>-SUMIFS('4月数据源'!$I:$I,'4月数据源'!$D:$D,$E157,'4月数据源'!$F:$F,"海南精准学科技有限公司")+SUMIFS('4月数据源'!$J:$J,'4月数据源'!$D:$D,$E157,'4月数据源'!$F:$F,"海南精准学科技有限公司")</f>
        <v/>
      </c>
      <c r="J157" s="89">
        <f>-SUMIFS('5月数据源'!$I:$I,'5月数据源'!$D:$D,$E157,'5月数据源'!$F:$F,"海南精准学科技有限公司")+SUMIFS('5月数据源'!$J:$J,'5月数据源'!$D:$D,$E157,'5月数据源'!$F:$F,"海南精准学科技有限公司")</f>
        <v/>
      </c>
      <c r="K157" s="89">
        <f>-SUMIFS('6月数据源'!$I:$I,'6月数据源'!$D:$D,$E157,'6月数据源'!$F:$F,"海南精准学科技有限公司")+SUMIFS('6月数据源'!$J:$J,'6月数据源'!$D:$D,$E157,'6月数据源'!$F:$F,"海南精准学科技有限公司")</f>
        <v/>
      </c>
      <c r="L157" s="89">
        <f>-SUMIFS('7月数据源'!$I:$I,'7月数据源'!$D:$D,$E157,'7月数据源'!$F:$F,"海南精准学科技有限公司")+SUMIFS('7月数据源'!$J:$J,'7月数据源'!$D:$D,$E157,'7月数据源'!$F:$F,"海南精准学科技有限公司")</f>
        <v/>
      </c>
      <c r="M157" s="89">
        <f>-SUMIFS('8月数据源'!$I:$I,'8月数据源'!$D:$D,$E157,'8月数据源'!$F:$F,"海南精准学科技有限公司")+SUMIFS('8月数据源'!$J:$J,'8月数据源'!$D:$D,$E157,'8月数据源'!$F:$F,"海南精准学科技有限公司")</f>
        <v/>
      </c>
      <c r="N157" s="89">
        <f>-SUMIFS('9月数据源'!$I:$I,'9月数据源'!$D:$D,$E157,'9月数据源'!$F:$F,"海南精准学科技有限公司")+SUMIFS('9月数据源'!$J:$J,'9月数据源'!$D:$D,$E157,'9月数据源'!$F:$F,"海南精准学科技有限公司")</f>
        <v/>
      </c>
      <c r="O157" s="89">
        <f>-SUMIFS('10月数据源'!$I:$I,'10月数据源'!$D:$D,$E157,'10月数据源'!$F:$F,"海南精准学科技有限公司")+SUMIFS('10月数据源'!$J:$J,'10月数据源'!$D:$D,$E157,'10月数据源'!$F:$F,"海南精准学科技有限公司")</f>
        <v/>
      </c>
      <c r="P157" s="89">
        <f>-SUMIFS('11月数据源'!$I:$I,'11月数据源'!$D:$D,$E157,'11月数据源'!$F:$F,"海南精准学科技有限公司")+SUMIFS('11月数据源'!$J:$J,'11月数据源'!$D:$D,$E157,'11月数据源'!$F:$F,"海南精准学科技有限公司")</f>
        <v/>
      </c>
      <c r="Q157" s="89">
        <f>-SUMIFS('12月数据源'!$I:$I,'12月数据源'!$D:$D,$E157,'12月数据源'!$F:$F,"海南精准学科技有限公司")+SUMIFS('12月数据源'!$J:$J,'12月数据源'!$D:$D,$E157,'12月数据源'!$F:$F,"海南精准学科技有限公司")</f>
        <v/>
      </c>
    </row>
    <row r="158" s="83">
      <c r="A158" s="5" t="inlineStr">
        <is>
          <t>管理费用</t>
        </is>
      </c>
      <c r="B158" s="6" t="inlineStr">
        <is>
          <t>办公费用</t>
        </is>
      </c>
      <c r="D158" s="5" t="inlineStr">
        <is>
          <t>其他员工报销</t>
        </is>
      </c>
      <c r="E158" s="6" t="inlineStr">
        <is>
          <t>Q2907</t>
        </is>
      </c>
      <c r="F158" s="89">
        <f>-SUMIFS('1月数据源'!I:I,'1月数据源'!D:D,E158,'1月数据源'!F:F,"海南精准学科技有限公司")+SUMIFS('1月数据源'!J:J,'1月数据源'!D:D,E158,'1月数据源'!F:F,"海南精准学科技有限公司")</f>
        <v/>
      </c>
      <c r="G158" s="89">
        <f>-SUMIFS('2月数据源'!$I:$I,'2月数据源'!$D:$D,$E158,'2月数据源'!$F:$F,"海南精准学科技有限公司")+SUMIFS('2月数据源'!$J:$J,'2月数据源'!$D:$D,$E158,'2月数据源'!$F:$F,"海南精准学科技有限公司")</f>
        <v/>
      </c>
      <c r="H158" s="89">
        <f>-SUMIFS('3月数据源'!$I:$I,'3月数据源'!$D:$D,$E158,'3月数据源'!$F:$F,"海南精准学科技有限公司")+SUMIFS('3月数据源'!$J:$J,'3月数据源'!$D:$D,$E158,'3月数据源'!$F:$F,"海南精准学科技有限公司")</f>
        <v/>
      </c>
      <c r="I158" s="89">
        <f>-SUMIFS('4月数据源'!$I:$I,'4月数据源'!$D:$D,$E158,'4月数据源'!$F:$F,"海南精准学科技有限公司")+SUMIFS('4月数据源'!$J:$J,'4月数据源'!$D:$D,$E158,'4月数据源'!$F:$F,"海南精准学科技有限公司")</f>
        <v/>
      </c>
      <c r="J158" s="89">
        <f>-SUMIFS('5月数据源'!$I:$I,'5月数据源'!$D:$D,$E158,'5月数据源'!$F:$F,"海南精准学科技有限公司")+SUMIFS('5月数据源'!$J:$J,'5月数据源'!$D:$D,$E158,'5月数据源'!$F:$F,"海南精准学科技有限公司")</f>
        <v/>
      </c>
      <c r="K158" s="89">
        <f>-SUMIFS('6月数据源'!$I:$I,'6月数据源'!$D:$D,$E158,'6月数据源'!$F:$F,"海南精准学科技有限公司")+SUMIFS('6月数据源'!$J:$J,'6月数据源'!$D:$D,$E158,'6月数据源'!$F:$F,"海南精准学科技有限公司")</f>
        <v/>
      </c>
      <c r="L158" s="89">
        <f>-SUMIFS('7月数据源'!$I:$I,'7月数据源'!$D:$D,$E158,'7月数据源'!$F:$F,"海南精准学科技有限公司")+SUMIFS('7月数据源'!$J:$J,'7月数据源'!$D:$D,$E158,'7月数据源'!$F:$F,"海南精准学科技有限公司")</f>
        <v/>
      </c>
      <c r="M158" s="89">
        <f>-SUMIFS('8月数据源'!$I:$I,'8月数据源'!$D:$D,$E158,'8月数据源'!$F:$F,"海南精准学科技有限公司")+SUMIFS('8月数据源'!$J:$J,'8月数据源'!$D:$D,$E158,'8月数据源'!$F:$F,"海南精准学科技有限公司")</f>
        <v/>
      </c>
      <c r="N158" s="89">
        <f>-SUMIFS('9月数据源'!$I:$I,'9月数据源'!$D:$D,$E158,'9月数据源'!$F:$F,"海南精准学科技有限公司")+SUMIFS('9月数据源'!$J:$J,'9月数据源'!$D:$D,$E158,'9月数据源'!$F:$F,"海南精准学科技有限公司")</f>
        <v/>
      </c>
      <c r="O158" s="89">
        <f>-SUMIFS('10月数据源'!$I:$I,'10月数据源'!$D:$D,$E158,'10月数据源'!$F:$F,"海南精准学科技有限公司")+SUMIFS('10月数据源'!$J:$J,'10月数据源'!$D:$D,$E158,'10月数据源'!$F:$F,"海南精准学科技有限公司")</f>
        <v/>
      </c>
      <c r="P158" s="89">
        <f>-SUMIFS('11月数据源'!$I:$I,'11月数据源'!$D:$D,$E158,'11月数据源'!$F:$F,"海南精准学科技有限公司")+SUMIFS('11月数据源'!$J:$J,'11月数据源'!$D:$D,$E158,'11月数据源'!$F:$F,"海南精准学科技有限公司")</f>
        <v/>
      </c>
      <c r="Q158" s="89">
        <f>-SUMIFS('12月数据源'!$I:$I,'12月数据源'!$D:$D,$E158,'12月数据源'!$F:$F,"海南精准学科技有限公司")+SUMIFS('12月数据源'!$J:$J,'12月数据源'!$D:$D,$E158,'12月数据源'!$F:$F,"海南精准学科技有限公司")</f>
        <v/>
      </c>
    </row>
    <row r="159" s="83">
      <c r="A159" s="5" t="inlineStr">
        <is>
          <t>管理费用</t>
        </is>
      </c>
      <c r="B159" s="6" t="inlineStr">
        <is>
          <t>办公费用</t>
        </is>
      </c>
      <c r="D159" s="5" t="inlineStr">
        <is>
          <t>办公设备租赁费</t>
        </is>
      </c>
      <c r="E159" s="6" t="inlineStr">
        <is>
          <t>Q2908</t>
        </is>
      </c>
      <c r="F159" s="89">
        <f>-SUMIFS('1月数据源'!I:I,'1月数据源'!D:D,E159,'1月数据源'!F:F,"海南精准学科技有限公司")+SUMIFS('1月数据源'!J:J,'1月数据源'!D:D,E159,'1月数据源'!F:F,"海南精准学科技有限公司")</f>
        <v/>
      </c>
      <c r="G159" s="89">
        <f>-SUMIFS('2月数据源'!$I:$I,'2月数据源'!$D:$D,$E159,'2月数据源'!$F:$F,"海南精准学科技有限公司")+SUMIFS('2月数据源'!$J:$J,'2月数据源'!$D:$D,$E159,'2月数据源'!$F:$F,"海南精准学科技有限公司")</f>
        <v/>
      </c>
      <c r="H159" s="89">
        <f>-SUMIFS('3月数据源'!$I:$I,'3月数据源'!$D:$D,$E159,'3月数据源'!$F:$F,"海南精准学科技有限公司")+SUMIFS('3月数据源'!$J:$J,'3月数据源'!$D:$D,$E159,'3月数据源'!$F:$F,"海南精准学科技有限公司")</f>
        <v/>
      </c>
      <c r="I159" s="89">
        <f>-SUMIFS('4月数据源'!$I:$I,'4月数据源'!$D:$D,$E159,'4月数据源'!$F:$F,"海南精准学科技有限公司")+SUMIFS('4月数据源'!$J:$J,'4月数据源'!$D:$D,$E159,'4月数据源'!$F:$F,"海南精准学科技有限公司")</f>
        <v/>
      </c>
      <c r="J159" s="89">
        <f>-SUMIFS('5月数据源'!$I:$I,'5月数据源'!$D:$D,$E159,'5月数据源'!$F:$F,"海南精准学科技有限公司")+SUMIFS('5月数据源'!$J:$J,'5月数据源'!$D:$D,$E159,'5月数据源'!$F:$F,"海南精准学科技有限公司")</f>
        <v/>
      </c>
      <c r="K159" s="89">
        <f>-SUMIFS('6月数据源'!$I:$I,'6月数据源'!$D:$D,$E159,'6月数据源'!$F:$F,"海南精准学科技有限公司")+SUMIFS('6月数据源'!$J:$J,'6月数据源'!$D:$D,$E159,'6月数据源'!$F:$F,"海南精准学科技有限公司")</f>
        <v/>
      </c>
      <c r="L159" s="89">
        <f>-SUMIFS('7月数据源'!$I:$I,'7月数据源'!$D:$D,$E159,'7月数据源'!$F:$F,"海南精准学科技有限公司")+SUMIFS('7月数据源'!$J:$J,'7月数据源'!$D:$D,$E159,'7月数据源'!$F:$F,"海南精准学科技有限公司")</f>
        <v/>
      </c>
      <c r="M159" s="89">
        <f>-SUMIFS('8月数据源'!$I:$I,'8月数据源'!$D:$D,$E159,'8月数据源'!$F:$F,"海南精准学科技有限公司")+SUMIFS('8月数据源'!$J:$J,'8月数据源'!$D:$D,$E159,'8月数据源'!$F:$F,"海南精准学科技有限公司")</f>
        <v/>
      </c>
      <c r="N159" s="89">
        <f>-SUMIFS('9月数据源'!$I:$I,'9月数据源'!$D:$D,$E159,'9月数据源'!$F:$F,"海南精准学科技有限公司")+SUMIFS('9月数据源'!$J:$J,'9月数据源'!$D:$D,$E159,'9月数据源'!$F:$F,"海南精准学科技有限公司")</f>
        <v/>
      </c>
      <c r="O159" s="89">
        <f>-SUMIFS('10月数据源'!$I:$I,'10月数据源'!$D:$D,$E159,'10月数据源'!$F:$F,"海南精准学科技有限公司")+SUMIFS('10月数据源'!$J:$J,'10月数据源'!$D:$D,$E159,'10月数据源'!$F:$F,"海南精准学科技有限公司")</f>
        <v/>
      </c>
      <c r="P159" s="89">
        <f>-SUMIFS('11月数据源'!$I:$I,'11月数据源'!$D:$D,$E159,'11月数据源'!$F:$F,"海南精准学科技有限公司")+SUMIFS('11月数据源'!$J:$J,'11月数据源'!$D:$D,$E159,'11月数据源'!$F:$F,"海南精准学科技有限公司")</f>
        <v/>
      </c>
      <c r="Q159" s="89">
        <f>-SUMIFS('12月数据源'!$I:$I,'12月数据源'!$D:$D,$E159,'12月数据源'!$F:$F,"海南精准学科技有限公司")+SUMIFS('12月数据源'!$J:$J,'12月数据源'!$D:$D,$E159,'12月数据源'!$F:$F,"海南精准学科技有限公司")</f>
        <v/>
      </c>
    </row>
    <row r="160" s="83">
      <c r="A160" s="5" t="inlineStr">
        <is>
          <t>管理费用</t>
        </is>
      </c>
      <c r="B160" s="6" t="inlineStr">
        <is>
          <t>办公费用</t>
        </is>
      </c>
      <c r="D160" s="5" t="inlineStr">
        <is>
          <t>总经办报销费用</t>
        </is>
      </c>
      <c r="E160" s="6" t="inlineStr">
        <is>
          <t>Q2909</t>
        </is>
      </c>
      <c r="F160" s="89">
        <f>-SUMIFS('1月数据源'!I:I,'1月数据源'!D:D,E160,'1月数据源'!F:F,"海南精准学科技有限公司")+SUMIFS('1月数据源'!J:J,'1月数据源'!D:D,E160,'1月数据源'!F:F,"海南精准学科技有限公司")</f>
        <v/>
      </c>
      <c r="G160" s="89">
        <f>-SUMIFS('2月数据源'!$I:$I,'2月数据源'!$D:$D,$E160,'2月数据源'!$F:$F,"海南精准学科技有限公司")+SUMIFS('2月数据源'!$J:$J,'2月数据源'!$D:$D,$E160,'2月数据源'!$F:$F,"海南精准学科技有限公司")</f>
        <v/>
      </c>
      <c r="H160" s="89">
        <f>-SUMIFS('3月数据源'!$I:$I,'3月数据源'!$D:$D,$E160,'3月数据源'!$F:$F,"海南精准学科技有限公司")+SUMIFS('3月数据源'!$J:$J,'3月数据源'!$D:$D,$E160,'3月数据源'!$F:$F,"海南精准学科技有限公司")</f>
        <v/>
      </c>
      <c r="I160" s="89">
        <f>-SUMIFS('4月数据源'!$I:$I,'4月数据源'!$D:$D,$E160,'4月数据源'!$F:$F,"海南精准学科技有限公司")+SUMIFS('4月数据源'!$J:$J,'4月数据源'!$D:$D,$E160,'4月数据源'!$F:$F,"海南精准学科技有限公司")</f>
        <v/>
      </c>
      <c r="J160" s="89">
        <f>-SUMIFS('5月数据源'!$I:$I,'5月数据源'!$D:$D,$E160,'5月数据源'!$F:$F,"海南精准学科技有限公司")+SUMIFS('5月数据源'!$J:$J,'5月数据源'!$D:$D,$E160,'5月数据源'!$F:$F,"海南精准学科技有限公司")</f>
        <v/>
      </c>
      <c r="K160" s="89">
        <f>-SUMIFS('6月数据源'!$I:$I,'6月数据源'!$D:$D,$E160,'6月数据源'!$F:$F,"海南精准学科技有限公司")+SUMIFS('6月数据源'!$J:$J,'6月数据源'!$D:$D,$E160,'6月数据源'!$F:$F,"海南精准学科技有限公司")</f>
        <v/>
      </c>
      <c r="L160" s="89">
        <f>-SUMIFS('7月数据源'!$I:$I,'7月数据源'!$D:$D,$E160,'7月数据源'!$F:$F,"海南精准学科技有限公司")+SUMIFS('7月数据源'!$J:$J,'7月数据源'!$D:$D,$E160,'7月数据源'!$F:$F,"海南精准学科技有限公司")</f>
        <v/>
      </c>
      <c r="M160" s="89">
        <f>-SUMIFS('8月数据源'!$I:$I,'8月数据源'!$D:$D,$E160,'8月数据源'!$F:$F,"海南精准学科技有限公司")+SUMIFS('8月数据源'!$J:$J,'8月数据源'!$D:$D,$E160,'8月数据源'!$F:$F,"海南精准学科技有限公司")</f>
        <v/>
      </c>
      <c r="N160" s="89">
        <f>-SUMIFS('9月数据源'!$I:$I,'9月数据源'!$D:$D,$E160,'9月数据源'!$F:$F,"海南精准学科技有限公司")+SUMIFS('9月数据源'!$J:$J,'9月数据源'!$D:$D,$E160,'9月数据源'!$F:$F,"海南精准学科技有限公司")</f>
        <v/>
      </c>
      <c r="O160" s="89">
        <f>-SUMIFS('10月数据源'!$I:$I,'10月数据源'!$D:$D,$E160,'10月数据源'!$F:$F,"海南精准学科技有限公司")+SUMIFS('10月数据源'!$J:$J,'10月数据源'!$D:$D,$E160,'10月数据源'!$F:$F,"海南精准学科技有限公司")</f>
        <v/>
      </c>
      <c r="P160" s="89">
        <f>-SUMIFS('11月数据源'!$I:$I,'11月数据源'!$D:$D,$E160,'11月数据源'!$F:$F,"海南精准学科技有限公司")+SUMIFS('11月数据源'!$J:$J,'11月数据源'!$D:$D,$E160,'11月数据源'!$F:$F,"海南精准学科技有限公司")</f>
        <v/>
      </c>
      <c r="Q160" s="89">
        <f>-SUMIFS('12月数据源'!$I:$I,'12月数据源'!$D:$D,$E160,'12月数据源'!$F:$F,"海南精准学科技有限公司")+SUMIFS('12月数据源'!$J:$J,'12月数据源'!$D:$D,$E160,'12月数据源'!$F:$F,"海南精准学科技有限公司")</f>
        <v/>
      </c>
    </row>
    <row r="161" s="83">
      <c r="A161" s="5" t="inlineStr">
        <is>
          <t>管理费用</t>
        </is>
      </c>
      <c r="B161" s="6" t="inlineStr">
        <is>
          <t>办公费用</t>
        </is>
      </c>
      <c r="D161" s="5" t="inlineStr">
        <is>
          <t>其他办公费用</t>
        </is>
      </c>
      <c r="E161" s="6" t="inlineStr">
        <is>
          <t>Q29010</t>
        </is>
      </c>
      <c r="F161" s="89">
        <f>-SUMIFS('1月数据源'!I:I,'1月数据源'!D:D,E161,'1月数据源'!F:F,"海南精准学科技有限公司")+SUMIFS('1月数据源'!J:J,'1月数据源'!D:D,E161,'1月数据源'!F:F,"海南精准学科技有限公司")</f>
        <v/>
      </c>
      <c r="G161" s="89">
        <f>-SUMIFS('2月数据源'!$I:$I,'2月数据源'!$D:$D,$E161,'2月数据源'!$F:$F,"海南精准学科技有限公司")+SUMIFS('2月数据源'!$J:$J,'2月数据源'!$D:$D,$E161,'2月数据源'!$F:$F,"海南精准学科技有限公司")</f>
        <v/>
      </c>
      <c r="H161" s="89">
        <f>-SUMIFS('3月数据源'!$I:$I,'3月数据源'!$D:$D,$E161,'3月数据源'!$F:$F,"海南精准学科技有限公司")+SUMIFS('3月数据源'!$J:$J,'3月数据源'!$D:$D,$E161,'3月数据源'!$F:$F,"海南精准学科技有限公司")</f>
        <v/>
      </c>
      <c r="I161" s="89">
        <f>-SUMIFS('4月数据源'!$I:$I,'4月数据源'!$D:$D,$E161,'4月数据源'!$F:$F,"海南精准学科技有限公司")+SUMIFS('4月数据源'!$J:$J,'4月数据源'!$D:$D,$E161,'4月数据源'!$F:$F,"海南精准学科技有限公司")</f>
        <v/>
      </c>
      <c r="J161" s="89">
        <f>-SUMIFS('5月数据源'!$I:$I,'5月数据源'!$D:$D,$E161,'5月数据源'!$F:$F,"海南精准学科技有限公司")+SUMIFS('5月数据源'!$J:$J,'5月数据源'!$D:$D,$E161,'5月数据源'!$F:$F,"海南精准学科技有限公司")</f>
        <v/>
      </c>
      <c r="K161" s="89">
        <f>-SUMIFS('6月数据源'!$I:$I,'6月数据源'!$D:$D,$E161,'6月数据源'!$F:$F,"海南精准学科技有限公司")+SUMIFS('6月数据源'!$J:$J,'6月数据源'!$D:$D,$E161,'6月数据源'!$F:$F,"海南精准学科技有限公司")</f>
        <v/>
      </c>
      <c r="L161" s="89">
        <f>-SUMIFS('7月数据源'!$I:$I,'7月数据源'!$D:$D,$E161,'7月数据源'!$F:$F,"海南精准学科技有限公司")+SUMIFS('7月数据源'!$J:$J,'7月数据源'!$D:$D,$E161,'7月数据源'!$F:$F,"海南精准学科技有限公司")</f>
        <v/>
      </c>
      <c r="M161" s="89">
        <f>-SUMIFS('8月数据源'!$I:$I,'8月数据源'!$D:$D,$E161,'8月数据源'!$F:$F,"海南精准学科技有限公司")+SUMIFS('8月数据源'!$J:$J,'8月数据源'!$D:$D,$E161,'8月数据源'!$F:$F,"海南精准学科技有限公司")</f>
        <v/>
      </c>
      <c r="N161" s="89">
        <f>-SUMIFS('9月数据源'!$I:$I,'9月数据源'!$D:$D,$E161,'9月数据源'!$F:$F,"海南精准学科技有限公司")+SUMIFS('9月数据源'!$J:$J,'9月数据源'!$D:$D,$E161,'9月数据源'!$F:$F,"海南精准学科技有限公司")</f>
        <v/>
      </c>
      <c r="O161" s="89">
        <f>-SUMIFS('10月数据源'!$I:$I,'10月数据源'!$D:$D,$E161,'10月数据源'!$F:$F,"海南精准学科技有限公司")+SUMIFS('10月数据源'!$J:$J,'10月数据源'!$D:$D,$E161,'10月数据源'!$F:$F,"海南精准学科技有限公司")</f>
        <v/>
      </c>
      <c r="P161" s="89">
        <f>-SUMIFS('11月数据源'!$I:$I,'11月数据源'!$D:$D,$E161,'11月数据源'!$F:$F,"海南精准学科技有限公司")+SUMIFS('11月数据源'!$J:$J,'11月数据源'!$D:$D,$E161,'11月数据源'!$F:$F,"海南精准学科技有限公司")</f>
        <v/>
      </c>
      <c r="Q161" s="89">
        <f>-SUMIFS('12月数据源'!$I:$I,'12月数据源'!$D:$D,$E161,'12月数据源'!$F:$F,"海南精准学科技有限公司")+SUMIFS('12月数据源'!$J:$J,'12月数据源'!$D:$D,$E161,'12月数据源'!$F:$F,"海南精准学科技有限公司")</f>
        <v/>
      </c>
    </row>
    <row r="162" s="83">
      <c r="A162" s="49" t="inlineStr">
        <is>
          <t>管理费用合计</t>
        </is>
      </c>
      <c r="B162" s="50" t="n"/>
      <c r="C162" s="50" t="n"/>
      <c r="D162" s="49" t="n"/>
      <c r="E162" s="49" t="n"/>
      <c r="F162" s="89">
        <f>SUM(F138:F161)</f>
        <v/>
      </c>
      <c r="G162" s="89">
        <f>SUM(G138:G161)</f>
        <v/>
      </c>
      <c r="H162" s="89">
        <f>SUM(H138:H161)</f>
        <v/>
      </c>
      <c r="I162" s="89">
        <f>SUM(I138:I161)</f>
        <v/>
      </c>
      <c r="J162" s="89">
        <f>SUM(J138:J161)</f>
        <v/>
      </c>
      <c r="K162" s="89">
        <f>SUM(K138:K161)</f>
        <v/>
      </c>
      <c r="L162" s="89">
        <f>SUM(L138:L161)</f>
        <v/>
      </c>
      <c r="M162" s="89">
        <f>SUM(M138:M161)</f>
        <v/>
      </c>
      <c r="N162" s="89">
        <f>SUM(N138:N161)</f>
        <v/>
      </c>
      <c r="O162" s="89">
        <f>SUM(O138:O161)</f>
        <v/>
      </c>
      <c r="P162" s="89">
        <f>SUM(P138:P161)</f>
        <v/>
      </c>
      <c r="Q162" s="89">
        <f>SUM(Q138:Q161)</f>
        <v/>
      </c>
    </row>
    <row r="163" s="83">
      <c r="A163" s="5" t="inlineStr">
        <is>
          <t>税费成本</t>
        </is>
      </c>
      <c r="B163" s="6" t="inlineStr">
        <is>
          <t>税费成本</t>
        </is>
      </c>
      <c r="C163" s="6" t="inlineStr">
        <is>
          <t>税费成本</t>
        </is>
      </c>
      <c r="D163" s="5" t="inlineStr">
        <is>
          <t>增值税</t>
        </is>
      </c>
      <c r="E163" s="6" t="inlineStr">
        <is>
          <t>Q3001</t>
        </is>
      </c>
      <c r="F163" s="89">
        <f>-SUMIFS('1月数据源'!I:I,'1月数据源'!D:D,E163,'1月数据源'!F:F,"海南精准学科技有限公司")+SUMIFS('1月数据源'!J:J,'1月数据源'!D:D,E163,'1月数据源'!F:F,"海南精准学科技有限公司")</f>
        <v/>
      </c>
      <c r="G163" s="89">
        <f>-SUMIFS('2月数据源'!$I:$I,'2月数据源'!$D:$D,$E163,'2月数据源'!$F:$F,"海南精准学科技有限公司")+SUMIFS('2月数据源'!$J:$J,'2月数据源'!$D:$D,$E163,'2月数据源'!$F:$F,"海南精准学科技有限公司")</f>
        <v/>
      </c>
      <c r="H163" s="89">
        <f>-SUMIFS('3月数据源'!$I:$I,'3月数据源'!$D:$D,$E163,'3月数据源'!$F:$F,"海南精准学科技有限公司")+SUMIFS('3月数据源'!$J:$J,'3月数据源'!$D:$D,$E163,'3月数据源'!$F:$F,"海南精准学科技有限公司")</f>
        <v/>
      </c>
      <c r="I163" s="89">
        <f>-SUMIFS('4月数据源'!$I:$I,'4月数据源'!$D:$D,$E163,'4月数据源'!$F:$F,"海南精准学科技有限公司")+SUMIFS('4月数据源'!$J:$J,'4月数据源'!$D:$D,$E163,'4月数据源'!$F:$F,"海南精准学科技有限公司")</f>
        <v/>
      </c>
      <c r="J163" s="89">
        <f>-SUMIFS('5月数据源'!$I:$I,'5月数据源'!$D:$D,$E163,'5月数据源'!$F:$F,"海南精准学科技有限公司")+SUMIFS('5月数据源'!$J:$J,'5月数据源'!$D:$D,$E163,'5月数据源'!$F:$F,"海南精准学科技有限公司")</f>
        <v/>
      </c>
      <c r="K163" s="89">
        <f>-SUMIFS('6月数据源'!$I:$I,'6月数据源'!$D:$D,$E163,'6月数据源'!$F:$F,"海南精准学科技有限公司")+SUMIFS('6月数据源'!$J:$J,'6月数据源'!$D:$D,$E163,'6月数据源'!$F:$F,"海南精准学科技有限公司")</f>
        <v/>
      </c>
      <c r="L163" s="89">
        <f>-SUMIFS('7月数据源'!$I:$I,'7月数据源'!$D:$D,$E163,'7月数据源'!$F:$F,"海南精准学科技有限公司")+SUMIFS('7月数据源'!$J:$J,'7月数据源'!$D:$D,$E163,'7月数据源'!$F:$F,"海南精准学科技有限公司")</f>
        <v/>
      </c>
      <c r="M163" s="89">
        <f>-SUMIFS('8月数据源'!$I:$I,'8月数据源'!$D:$D,$E163,'8月数据源'!$F:$F,"海南精准学科技有限公司")+SUMIFS('8月数据源'!$J:$J,'8月数据源'!$D:$D,$E163,'8月数据源'!$F:$F,"海南精准学科技有限公司")</f>
        <v/>
      </c>
      <c r="N163" s="89">
        <f>-SUMIFS('9月数据源'!$I:$I,'9月数据源'!$D:$D,$E163,'9月数据源'!$F:$F,"海南精准学科技有限公司")+SUMIFS('9月数据源'!$J:$J,'9月数据源'!$D:$D,$E163,'9月数据源'!$F:$F,"海南精准学科技有限公司")</f>
        <v/>
      </c>
      <c r="O163" s="89">
        <f>-SUMIFS('10月数据源'!$I:$I,'10月数据源'!$D:$D,$E163,'10月数据源'!$F:$F,"海南精准学科技有限公司")+SUMIFS('10月数据源'!$J:$J,'10月数据源'!$D:$D,$E163,'10月数据源'!$F:$F,"海南精准学科技有限公司")</f>
        <v/>
      </c>
      <c r="P163" s="89">
        <f>-SUMIFS('11月数据源'!$I:$I,'11月数据源'!$D:$D,$E163,'11月数据源'!$F:$F,"海南精准学科技有限公司")+SUMIFS('11月数据源'!$J:$J,'11月数据源'!$D:$D,$E163,'11月数据源'!$F:$F,"海南精准学科技有限公司")</f>
        <v/>
      </c>
      <c r="Q163" s="89">
        <f>-SUMIFS('12月数据源'!$I:$I,'12月数据源'!$D:$D,$E163,'12月数据源'!$F:$F,"海南精准学科技有限公司")+SUMIFS('12月数据源'!$J:$J,'12月数据源'!$D:$D,$E163,'12月数据源'!$F:$F,"海南精准学科技有限公司")</f>
        <v/>
      </c>
    </row>
    <row r="164" s="83">
      <c r="A164" s="5" t="inlineStr">
        <is>
          <t>税费成本</t>
        </is>
      </c>
      <c r="B164" s="6" t="inlineStr">
        <is>
          <t>税费成本</t>
        </is>
      </c>
      <c r="D164" s="5" t="inlineStr">
        <is>
          <t>附加税</t>
        </is>
      </c>
      <c r="E164" s="6" t="inlineStr">
        <is>
          <t>Q3002</t>
        </is>
      </c>
      <c r="F164" s="89">
        <f>-SUMIFS('1月数据源'!I:I,'1月数据源'!D:D,E164,'1月数据源'!F:F,"海南精准学科技有限公司")+SUMIFS('1月数据源'!J:J,'1月数据源'!D:D,E164,'1月数据源'!F:F,"海南精准学科技有限公司")</f>
        <v/>
      </c>
      <c r="G164" s="89">
        <f>-SUMIFS('2月数据源'!$I:$I,'2月数据源'!$D:$D,$E164,'2月数据源'!$F:$F,"海南精准学科技有限公司")+SUMIFS('2月数据源'!$J:$J,'2月数据源'!$D:$D,$E164,'2月数据源'!$F:$F,"海南精准学科技有限公司")</f>
        <v/>
      </c>
      <c r="H164" s="89">
        <f>-SUMIFS('3月数据源'!$I:$I,'3月数据源'!$D:$D,$E164,'3月数据源'!$F:$F,"海南精准学科技有限公司")+SUMIFS('3月数据源'!$J:$J,'3月数据源'!$D:$D,$E164,'3月数据源'!$F:$F,"海南精准学科技有限公司")</f>
        <v/>
      </c>
      <c r="I164" s="89">
        <f>-SUMIFS('4月数据源'!$I:$I,'4月数据源'!$D:$D,$E164,'4月数据源'!$F:$F,"海南精准学科技有限公司")+SUMIFS('4月数据源'!$J:$J,'4月数据源'!$D:$D,$E164,'4月数据源'!$F:$F,"海南精准学科技有限公司")</f>
        <v/>
      </c>
      <c r="J164" s="89">
        <f>-SUMIFS('5月数据源'!$I:$I,'5月数据源'!$D:$D,$E164,'5月数据源'!$F:$F,"海南精准学科技有限公司")+SUMIFS('5月数据源'!$J:$J,'5月数据源'!$D:$D,$E164,'5月数据源'!$F:$F,"海南精准学科技有限公司")</f>
        <v/>
      </c>
      <c r="K164" s="89">
        <f>-SUMIFS('6月数据源'!$I:$I,'6月数据源'!$D:$D,$E164,'6月数据源'!$F:$F,"海南精准学科技有限公司")+SUMIFS('6月数据源'!$J:$J,'6月数据源'!$D:$D,$E164,'6月数据源'!$F:$F,"海南精准学科技有限公司")</f>
        <v/>
      </c>
      <c r="L164" s="89">
        <f>-SUMIFS('7月数据源'!$I:$I,'7月数据源'!$D:$D,$E164,'7月数据源'!$F:$F,"海南精准学科技有限公司")+SUMIFS('7月数据源'!$J:$J,'7月数据源'!$D:$D,$E164,'7月数据源'!$F:$F,"海南精准学科技有限公司")</f>
        <v/>
      </c>
      <c r="M164" s="89">
        <f>-SUMIFS('8月数据源'!$I:$I,'8月数据源'!$D:$D,$E164,'8月数据源'!$F:$F,"海南精准学科技有限公司")+SUMIFS('8月数据源'!$J:$J,'8月数据源'!$D:$D,$E164,'8月数据源'!$F:$F,"海南精准学科技有限公司")</f>
        <v/>
      </c>
      <c r="N164" s="89">
        <f>-SUMIFS('9月数据源'!$I:$I,'9月数据源'!$D:$D,$E164,'9月数据源'!$F:$F,"海南精准学科技有限公司")+SUMIFS('9月数据源'!$J:$J,'9月数据源'!$D:$D,$E164,'9月数据源'!$F:$F,"海南精准学科技有限公司")</f>
        <v/>
      </c>
      <c r="O164" s="89">
        <f>-SUMIFS('10月数据源'!$I:$I,'10月数据源'!$D:$D,$E164,'10月数据源'!$F:$F,"海南精准学科技有限公司")+SUMIFS('10月数据源'!$J:$J,'10月数据源'!$D:$D,$E164,'10月数据源'!$F:$F,"海南精准学科技有限公司")</f>
        <v/>
      </c>
      <c r="P164" s="89">
        <f>-SUMIFS('11月数据源'!$I:$I,'11月数据源'!$D:$D,$E164,'11月数据源'!$F:$F,"海南精准学科技有限公司")+SUMIFS('11月数据源'!$J:$J,'11月数据源'!$D:$D,$E164,'11月数据源'!$F:$F,"海南精准学科技有限公司")</f>
        <v/>
      </c>
      <c r="Q164" s="89">
        <f>-SUMIFS('12月数据源'!$I:$I,'12月数据源'!$D:$D,$E164,'12月数据源'!$F:$F,"海南精准学科技有限公司")+SUMIFS('12月数据源'!$J:$J,'12月数据源'!$D:$D,$E164,'12月数据源'!$F:$F,"海南精准学科技有限公司")</f>
        <v/>
      </c>
    </row>
    <row r="165" s="83">
      <c r="A165" s="5" t="inlineStr">
        <is>
          <t>税费成本</t>
        </is>
      </c>
      <c r="B165" s="6" t="inlineStr">
        <is>
          <t>税费成本</t>
        </is>
      </c>
      <c r="D165" s="5" t="inlineStr">
        <is>
          <t>印花税</t>
        </is>
      </c>
      <c r="E165" s="6" t="inlineStr">
        <is>
          <t>Q3003</t>
        </is>
      </c>
      <c r="F165" s="89">
        <f>-SUMIFS('1月数据源'!I:I,'1月数据源'!D:D,E165,'1月数据源'!F:F,"海南精准学科技有限公司")+SUMIFS('1月数据源'!J:J,'1月数据源'!D:D,E165,'1月数据源'!F:F,"海南精准学科技有限公司")</f>
        <v/>
      </c>
      <c r="G165" s="89">
        <f>-SUMIFS('2月数据源'!$I:$I,'2月数据源'!$D:$D,$E165,'2月数据源'!$F:$F,"海南精准学科技有限公司")+SUMIFS('2月数据源'!$J:$J,'2月数据源'!$D:$D,$E165,'2月数据源'!$F:$F,"海南精准学科技有限公司")</f>
        <v/>
      </c>
      <c r="H165" s="89">
        <f>-SUMIFS('3月数据源'!$I:$I,'3月数据源'!$D:$D,$E165,'3月数据源'!$F:$F,"海南精准学科技有限公司")+SUMIFS('3月数据源'!$J:$J,'3月数据源'!$D:$D,$E165,'3月数据源'!$F:$F,"海南精准学科技有限公司")</f>
        <v/>
      </c>
      <c r="I165" s="89">
        <f>-SUMIFS('4月数据源'!$I:$I,'4月数据源'!$D:$D,$E165,'4月数据源'!$F:$F,"海南精准学科技有限公司")+SUMIFS('4月数据源'!$J:$J,'4月数据源'!$D:$D,$E165,'4月数据源'!$F:$F,"海南精准学科技有限公司")</f>
        <v/>
      </c>
      <c r="J165" s="89">
        <f>-SUMIFS('5月数据源'!$I:$I,'5月数据源'!$D:$D,$E165,'5月数据源'!$F:$F,"海南精准学科技有限公司")+SUMIFS('5月数据源'!$J:$J,'5月数据源'!$D:$D,$E165,'5月数据源'!$F:$F,"海南精准学科技有限公司")</f>
        <v/>
      </c>
      <c r="K165" s="89">
        <f>-SUMIFS('6月数据源'!$I:$I,'6月数据源'!$D:$D,$E165,'6月数据源'!$F:$F,"海南精准学科技有限公司")+SUMIFS('6月数据源'!$J:$J,'6月数据源'!$D:$D,$E165,'6月数据源'!$F:$F,"海南精准学科技有限公司")</f>
        <v/>
      </c>
      <c r="L165" s="89">
        <f>-SUMIFS('7月数据源'!$I:$I,'7月数据源'!$D:$D,$E165,'7月数据源'!$F:$F,"海南精准学科技有限公司")+SUMIFS('7月数据源'!$J:$J,'7月数据源'!$D:$D,$E165,'7月数据源'!$F:$F,"海南精准学科技有限公司")</f>
        <v/>
      </c>
      <c r="M165" s="89">
        <f>-SUMIFS('8月数据源'!$I:$I,'8月数据源'!$D:$D,$E165,'8月数据源'!$F:$F,"海南精准学科技有限公司")+SUMIFS('8月数据源'!$J:$J,'8月数据源'!$D:$D,$E165,'8月数据源'!$F:$F,"海南精准学科技有限公司")</f>
        <v/>
      </c>
      <c r="N165" s="89">
        <f>-SUMIFS('9月数据源'!$I:$I,'9月数据源'!$D:$D,$E165,'9月数据源'!$F:$F,"海南精准学科技有限公司")+SUMIFS('9月数据源'!$J:$J,'9月数据源'!$D:$D,$E165,'9月数据源'!$F:$F,"海南精准学科技有限公司")</f>
        <v/>
      </c>
      <c r="O165" s="89">
        <f>-SUMIFS('10月数据源'!$I:$I,'10月数据源'!$D:$D,$E165,'10月数据源'!$F:$F,"海南精准学科技有限公司")+SUMIFS('10月数据源'!$J:$J,'10月数据源'!$D:$D,$E165,'10月数据源'!$F:$F,"海南精准学科技有限公司")</f>
        <v/>
      </c>
      <c r="P165" s="89">
        <f>-SUMIFS('11月数据源'!$I:$I,'11月数据源'!$D:$D,$E165,'11月数据源'!$F:$F,"海南精准学科技有限公司")+SUMIFS('11月数据源'!$J:$J,'11月数据源'!$D:$D,$E165,'11月数据源'!$F:$F,"海南精准学科技有限公司")</f>
        <v/>
      </c>
      <c r="Q165" s="89">
        <f>-SUMIFS('12月数据源'!$I:$I,'12月数据源'!$D:$D,$E165,'12月数据源'!$F:$F,"海南精准学科技有限公司")+SUMIFS('12月数据源'!$J:$J,'12月数据源'!$D:$D,$E165,'12月数据源'!$F:$F,"海南精准学科技有限公司")</f>
        <v/>
      </c>
    </row>
    <row r="166" s="83">
      <c r="A166" s="5" t="inlineStr">
        <is>
          <t>税费成本</t>
        </is>
      </c>
      <c r="B166" s="6" t="inlineStr">
        <is>
          <t>税费成本</t>
        </is>
      </c>
      <c r="D166" s="5" t="inlineStr">
        <is>
          <t>企业所得税</t>
        </is>
      </c>
      <c r="E166" s="6" t="inlineStr">
        <is>
          <t>Q3004</t>
        </is>
      </c>
      <c r="F166" s="89">
        <f>-SUMIFS('1月数据源'!I:I,'1月数据源'!D:D,E166,'1月数据源'!F:F,"海南精准学科技有限公司")+SUMIFS('1月数据源'!J:J,'1月数据源'!D:D,E166,'1月数据源'!F:F,"海南精准学科技有限公司")</f>
        <v/>
      </c>
      <c r="G166" s="89">
        <f>-SUMIFS('2月数据源'!$I:$I,'2月数据源'!$D:$D,$E166,'2月数据源'!$F:$F,"海南精准学科技有限公司")+SUMIFS('2月数据源'!$J:$J,'2月数据源'!$D:$D,$E166,'2月数据源'!$F:$F,"海南精准学科技有限公司")</f>
        <v/>
      </c>
      <c r="H166" s="89">
        <f>-SUMIFS('3月数据源'!$I:$I,'3月数据源'!$D:$D,$E166,'3月数据源'!$F:$F,"海南精准学科技有限公司")+SUMIFS('3月数据源'!$J:$J,'3月数据源'!$D:$D,$E166,'3月数据源'!$F:$F,"海南精准学科技有限公司")</f>
        <v/>
      </c>
      <c r="I166" s="89">
        <f>-SUMIFS('4月数据源'!$I:$I,'4月数据源'!$D:$D,$E166,'4月数据源'!$F:$F,"海南精准学科技有限公司")+SUMIFS('4月数据源'!$J:$J,'4月数据源'!$D:$D,$E166,'4月数据源'!$F:$F,"海南精准学科技有限公司")</f>
        <v/>
      </c>
      <c r="J166" s="89">
        <f>-SUMIFS('5月数据源'!$I:$I,'5月数据源'!$D:$D,$E166,'5月数据源'!$F:$F,"海南精准学科技有限公司")+SUMIFS('5月数据源'!$J:$J,'5月数据源'!$D:$D,$E166,'5月数据源'!$F:$F,"海南精准学科技有限公司")</f>
        <v/>
      </c>
      <c r="K166" s="89">
        <f>-SUMIFS('6月数据源'!$I:$I,'6月数据源'!$D:$D,$E166,'6月数据源'!$F:$F,"海南精准学科技有限公司")+SUMIFS('6月数据源'!$J:$J,'6月数据源'!$D:$D,$E166,'6月数据源'!$F:$F,"海南精准学科技有限公司")</f>
        <v/>
      </c>
      <c r="L166" s="89">
        <f>-SUMIFS('7月数据源'!$I:$I,'7月数据源'!$D:$D,$E166,'7月数据源'!$F:$F,"海南精准学科技有限公司")+SUMIFS('7月数据源'!$J:$J,'7月数据源'!$D:$D,$E166,'7月数据源'!$F:$F,"海南精准学科技有限公司")</f>
        <v/>
      </c>
      <c r="M166" s="89">
        <f>-SUMIFS('8月数据源'!$I:$I,'8月数据源'!$D:$D,$E166,'8月数据源'!$F:$F,"海南精准学科技有限公司")+SUMIFS('8月数据源'!$J:$J,'8月数据源'!$D:$D,$E166,'8月数据源'!$F:$F,"海南精准学科技有限公司")</f>
        <v/>
      </c>
      <c r="N166" s="89">
        <f>-SUMIFS('9月数据源'!$I:$I,'9月数据源'!$D:$D,$E166,'9月数据源'!$F:$F,"海南精准学科技有限公司")+SUMIFS('9月数据源'!$J:$J,'9月数据源'!$D:$D,$E166,'9月数据源'!$F:$F,"海南精准学科技有限公司")</f>
        <v/>
      </c>
      <c r="O166" s="89">
        <f>-SUMIFS('10月数据源'!$I:$I,'10月数据源'!$D:$D,$E166,'10月数据源'!$F:$F,"海南精准学科技有限公司")+SUMIFS('10月数据源'!$J:$J,'10月数据源'!$D:$D,$E166,'10月数据源'!$F:$F,"海南精准学科技有限公司")</f>
        <v/>
      </c>
      <c r="P166" s="89">
        <f>-SUMIFS('11月数据源'!$I:$I,'11月数据源'!$D:$D,$E166,'11月数据源'!$F:$F,"海南精准学科技有限公司")+SUMIFS('11月数据源'!$J:$J,'11月数据源'!$D:$D,$E166,'11月数据源'!$F:$F,"海南精准学科技有限公司")</f>
        <v/>
      </c>
      <c r="Q166" s="89">
        <f>-SUMIFS('12月数据源'!$I:$I,'12月数据源'!$D:$D,$E166,'12月数据源'!$F:$F,"海南精准学科技有限公司")+SUMIFS('12月数据源'!$J:$J,'12月数据源'!$D:$D,$E166,'12月数据源'!$F:$F,"海南精准学科技有限公司")</f>
        <v/>
      </c>
    </row>
    <row r="167" s="83">
      <c r="A167" s="49" t="inlineStr">
        <is>
          <t>税费成本合计</t>
        </is>
      </c>
      <c r="B167" s="50" t="n"/>
      <c r="C167" s="50" t="n"/>
      <c r="D167" s="49" t="n"/>
      <c r="E167" s="49" t="n"/>
      <c r="F167" s="89">
        <f>SUM(F163:F166)</f>
        <v/>
      </c>
      <c r="G167" s="89">
        <f>SUM(G163:G166)</f>
        <v/>
      </c>
      <c r="H167" s="89">
        <f>SUM(H163:H166)</f>
        <v/>
      </c>
      <c r="I167" s="89">
        <f>SUM(I163:I166)</f>
        <v/>
      </c>
      <c r="J167" s="89">
        <f>SUM(J163:J166)</f>
        <v/>
      </c>
      <c r="K167" s="89">
        <f>SUM(K163:K166)</f>
        <v/>
      </c>
      <c r="L167" s="89">
        <f>SUM(L163:L166)</f>
        <v/>
      </c>
      <c r="M167" s="89">
        <f>SUM(M163:M166)</f>
        <v/>
      </c>
      <c r="N167" s="89">
        <f>SUM(N163:N166)</f>
        <v/>
      </c>
      <c r="O167" s="89">
        <f>SUM(O163:O166)</f>
        <v/>
      </c>
      <c r="P167" s="89">
        <f>SUM(P163:P166)</f>
        <v/>
      </c>
      <c r="Q167" s="89">
        <f>SUM(Q163:Q166)</f>
        <v/>
      </c>
    </row>
    <row r="168" s="83">
      <c r="A168" s="5" t="inlineStr">
        <is>
          <t>营业外支出</t>
        </is>
      </c>
      <c r="B168" s="6" t="inlineStr">
        <is>
          <t>营业外支出</t>
        </is>
      </c>
      <c r="C168" s="34" t="inlineStr">
        <is>
          <t>营业外支出</t>
        </is>
      </c>
      <c r="D168" s="5" t="inlineStr">
        <is>
          <t>手续费</t>
        </is>
      </c>
      <c r="E168" s="6" t="inlineStr">
        <is>
          <t>Q3101</t>
        </is>
      </c>
      <c r="F168" s="89">
        <f>-SUMIFS('1月数据源'!I:I,'1月数据源'!D:D,E168,'1月数据源'!F:F,"海南精准学科技有限公司")+SUMIFS('1月数据源'!J:J,'1月数据源'!D:D,E168,'1月数据源'!F:F,"海南精准学科技有限公司")</f>
        <v/>
      </c>
      <c r="G168" s="89">
        <f>-SUMIFS('2月数据源'!$I:$I,'2月数据源'!$D:$D,$E168,'2月数据源'!$F:$F,"海南精准学科技有限公司")+SUMIFS('2月数据源'!$J:$J,'2月数据源'!$D:$D,$E168,'2月数据源'!$F:$F,"海南精准学科技有限公司")</f>
        <v/>
      </c>
      <c r="H168" s="89">
        <f>-SUMIFS('3月数据源'!$I:$I,'3月数据源'!$D:$D,$E168,'3月数据源'!$F:$F,"海南精准学科技有限公司")+SUMIFS('3月数据源'!$J:$J,'3月数据源'!$D:$D,$E168,'3月数据源'!$F:$F,"海南精准学科技有限公司")</f>
        <v/>
      </c>
      <c r="I168" s="89">
        <f>-SUMIFS('4月数据源'!$I:$I,'4月数据源'!$D:$D,$E168,'4月数据源'!$F:$F,"海南精准学科技有限公司")+SUMIFS('4月数据源'!$J:$J,'4月数据源'!$D:$D,$E168,'4月数据源'!$F:$F,"海南精准学科技有限公司")</f>
        <v/>
      </c>
      <c r="J168" s="89">
        <f>-SUMIFS('5月数据源'!$I:$I,'5月数据源'!$D:$D,$E168,'5月数据源'!$F:$F,"海南精准学科技有限公司")+SUMIFS('5月数据源'!$J:$J,'5月数据源'!$D:$D,$E168,'5月数据源'!$F:$F,"海南精准学科技有限公司")</f>
        <v/>
      </c>
      <c r="K168" s="89">
        <f>-SUMIFS('6月数据源'!$I:$I,'6月数据源'!$D:$D,$E168,'6月数据源'!$F:$F,"海南精准学科技有限公司")+SUMIFS('6月数据源'!$J:$J,'6月数据源'!$D:$D,$E168,'6月数据源'!$F:$F,"海南精准学科技有限公司")</f>
        <v/>
      </c>
      <c r="L168" s="89">
        <f>-SUMIFS('7月数据源'!$I:$I,'7月数据源'!$D:$D,$E168,'7月数据源'!$F:$F,"海南精准学科技有限公司")+SUMIFS('7月数据源'!$J:$J,'7月数据源'!$D:$D,$E168,'7月数据源'!$F:$F,"海南精准学科技有限公司")</f>
        <v/>
      </c>
      <c r="M168" s="89">
        <f>-SUMIFS('8月数据源'!$I:$I,'8月数据源'!$D:$D,$E168,'8月数据源'!$F:$F,"海南精准学科技有限公司")+SUMIFS('8月数据源'!$J:$J,'8月数据源'!$D:$D,$E168,'8月数据源'!$F:$F,"海南精准学科技有限公司")</f>
        <v/>
      </c>
      <c r="N168" s="89">
        <f>-SUMIFS('9月数据源'!$I:$I,'9月数据源'!$D:$D,$E168,'9月数据源'!$F:$F,"海南精准学科技有限公司")+SUMIFS('9月数据源'!$J:$J,'9月数据源'!$D:$D,$E168,'9月数据源'!$F:$F,"海南精准学科技有限公司")</f>
        <v/>
      </c>
      <c r="O168" s="89">
        <f>-SUMIFS('10月数据源'!$I:$I,'10月数据源'!$D:$D,$E168,'10月数据源'!$F:$F,"海南精准学科技有限公司")+SUMIFS('10月数据源'!$J:$J,'10月数据源'!$D:$D,$E168,'10月数据源'!$F:$F,"海南精准学科技有限公司")</f>
        <v/>
      </c>
      <c r="P168" s="89">
        <f>-SUMIFS('11月数据源'!$I:$I,'11月数据源'!$D:$D,$E168,'11月数据源'!$F:$F,"海南精准学科技有限公司")+SUMIFS('11月数据源'!$J:$J,'11月数据源'!$D:$D,$E168,'11月数据源'!$F:$F,"海南精准学科技有限公司")</f>
        <v/>
      </c>
      <c r="Q168" s="89">
        <f>-SUMIFS('12月数据源'!$I:$I,'12月数据源'!$D:$D,$E168,'12月数据源'!$F:$F,"海南精准学科技有限公司")+SUMIFS('12月数据源'!$J:$J,'12月数据源'!$D:$D,$E168,'12月数据源'!$F:$F,"海南精准学科技有限公司")</f>
        <v/>
      </c>
    </row>
    <row r="169" s="83">
      <c r="A169" s="5" t="inlineStr">
        <is>
          <t>营业外支出</t>
        </is>
      </c>
      <c r="B169" s="6" t="inlineStr">
        <is>
          <t>营业外支出</t>
        </is>
      </c>
      <c r="D169" s="5" t="inlineStr">
        <is>
          <t>罚款支出</t>
        </is>
      </c>
      <c r="E169" s="6" t="inlineStr">
        <is>
          <t>Q3102</t>
        </is>
      </c>
      <c r="F169" s="89">
        <f>-SUMIFS('1月数据源'!I:I,'1月数据源'!D:D,E169,'1月数据源'!F:F,"海南精准学科技有限公司")+SUMIFS('1月数据源'!J:J,'1月数据源'!D:D,E169,'1月数据源'!F:F,"海南精准学科技有限公司")</f>
        <v/>
      </c>
      <c r="G169" s="89">
        <f>-SUMIFS('2月数据源'!$I:$I,'2月数据源'!$D:$D,$E169,'2月数据源'!$F:$F,"海南精准学科技有限公司")+SUMIFS('2月数据源'!$J:$J,'2月数据源'!$D:$D,$E169,'2月数据源'!$F:$F,"海南精准学科技有限公司")</f>
        <v/>
      </c>
      <c r="H169" s="89">
        <f>-SUMIFS('3月数据源'!$I:$I,'3月数据源'!$D:$D,$E169,'3月数据源'!$F:$F,"海南精准学科技有限公司")+SUMIFS('3月数据源'!$J:$J,'3月数据源'!$D:$D,$E169,'3月数据源'!$F:$F,"海南精准学科技有限公司")</f>
        <v/>
      </c>
      <c r="I169" s="89">
        <f>-SUMIFS('4月数据源'!$I:$I,'4月数据源'!$D:$D,$E169,'4月数据源'!$F:$F,"海南精准学科技有限公司")+SUMIFS('4月数据源'!$J:$J,'4月数据源'!$D:$D,$E169,'4月数据源'!$F:$F,"海南精准学科技有限公司")</f>
        <v/>
      </c>
      <c r="J169" s="89">
        <f>-SUMIFS('5月数据源'!$I:$I,'5月数据源'!$D:$D,$E169,'5月数据源'!$F:$F,"海南精准学科技有限公司")+SUMIFS('5月数据源'!$J:$J,'5月数据源'!$D:$D,$E169,'5月数据源'!$F:$F,"海南精准学科技有限公司")</f>
        <v/>
      </c>
      <c r="K169" s="89">
        <f>-SUMIFS('6月数据源'!$I:$I,'6月数据源'!$D:$D,$E169,'6月数据源'!$F:$F,"海南精准学科技有限公司")+SUMIFS('6月数据源'!$J:$J,'6月数据源'!$D:$D,$E169,'6月数据源'!$F:$F,"海南精准学科技有限公司")</f>
        <v/>
      </c>
      <c r="L169" s="89">
        <f>-SUMIFS('7月数据源'!$I:$I,'7月数据源'!$D:$D,$E169,'7月数据源'!$F:$F,"海南精准学科技有限公司")+SUMIFS('7月数据源'!$J:$J,'7月数据源'!$D:$D,$E169,'7月数据源'!$F:$F,"海南精准学科技有限公司")</f>
        <v/>
      </c>
      <c r="M169" s="89">
        <f>-SUMIFS('8月数据源'!$I:$I,'8月数据源'!$D:$D,$E169,'8月数据源'!$F:$F,"海南精准学科技有限公司")+SUMIFS('8月数据源'!$J:$J,'8月数据源'!$D:$D,$E169,'8月数据源'!$F:$F,"海南精准学科技有限公司")</f>
        <v/>
      </c>
      <c r="N169" s="89">
        <f>-SUMIFS('9月数据源'!$I:$I,'9月数据源'!$D:$D,$E169,'9月数据源'!$F:$F,"海南精准学科技有限公司")+SUMIFS('9月数据源'!$J:$J,'9月数据源'!$D:$D,$E169,'9月数据源'!$F:$F,"海南精准学科技有限公司")</f>
        <v/>
      </c>
      <c r="O169" s="89">
        <f>-SUMIFS('10月数据源'!$I:$I,'10月数据源'!$D:$D,$E169,'10月数据源'!$F:$F,"海南精准学科技有限公司")+SUMIFS('10月数据源'!$J:$J,'10月数据源'!$D:$D,$E169,'10月数据源'!$F:$F,"海南精准学科技有限公司")</f>
        <v/>
      </c>
      <c r="P169" s="89">
        <f>-SUMIFS('11月数据源'!$I:$I,'11月数据源'!$D:$D,$E169,'11月数据源'!$F:$F,"海南精准学科技有限公司")+SUMIFS('11月数据源'!$J:$J,'11月数据源'!$D:$D,$E169,'11月数据源'!$F:$F,"海南精准学科技有限公司")</f>
        <v/>
      </c>
      <c r="Q169" s="89">
        <f>-SUMIFS('12月数据源'!$I:$I,'12月数据源'!$D:$D,$E169,'12月数据源'!$F:$F,"海南精准学科技有限公司")+SUMIFS('12月数据源'!$J:$J,'12月数据源'!$D:$D,$E169,'12月数据源'!$F:$F,"海南精准学科技有限公司")</f>
        <v/>
      </c>
    </row>
    <row r="170" s="83">
      <c r="A170" s="5" t="inlineStr">
        <is>
          <t>营业外支出</t>
        </is>
      </c>
      <c r="B170" s="6" t="inlineStr">
        <is>
          <t>营业外支出</t>
        </is>
      </c>
      <c r="D170" s="5" t="inlineStr">
        <is>
          <t>违约金支出</t>
        </is>
      </c>
      <c r="E170" s="6" t="inlineStr">
        <is>
          <t>Q3104</t>
        </is>
      </c>
      <c r="F170" s="89">
        <f>-SUMIFS('1月数据源'!I:I,'1月数据源'!D:D,E170,'1月数据源'!F:F,"海南精准学科技有限公司")+SUMIFS('1月数据源'!J:J,'1月数据源'!D:D,E170,'1月数据源'!F:F,"海南精准学科技有限公司")</f>
        <v/>
      </c>
      <c r="G170" s="89">
        <f>-SUMIFS('2月数据源'!$I:$I,'2月数据源'!$D:$D,$E170,'2月数据源'!$F:$F,"海南精准学科技有限公司")+SUMIFS('2月数据源'!$J:$J,'2月数据源'!$D:$D,$E170,'2月数据源'!$F:$F,"海南精准学科技有限公司")</f>
        <v/>
      </c>
      <c r="H170" s="89">
        <f>-SUMIFS('3月数据源'!$I:$I,'3月数据源'!$D:$D,$E170,'3月数据源'!$F:$F,"海南精准学科技有限公司")+SUMIFS('3月数据源'!$J:$J,'3月数据源'!$D:$D,$E170,'3月数据源'!$F:$F,"海南精准学科技有限公司")</f>
        <v/>
      </c>
      <c r="I170" s="89">
        <f>-SUMIFS('4月数据源'!$I:$I,'4月数据源'!$D:$D,$E170,'4月数据源'!$F:$F,"海南精准学科技有限公司")+SUMIFS('4月数据源'!$J:$J,'4月数据源'!$D:$D,$E170,'4月数据源'!$F:$F,"海南精准学科技有限公司")</f>
        <v/>
      </c>
      <c r="J170" s="89">
        <f>-SUMIFS('5月数据源'!$I:$I,'5月数据源'!$D:$D,$E170,'5月数据源'!$F:$F,"海南精准学科技有限公司")+SUMIFS('5月数据源'!$J:$J,'5月数据源'!$D:$D,$E170,'5月数据源'!$F:$F,"海南精准学科技有限公司")</f>
        <v/>
      </c>
      <c r="K170" s="89">
        <f>-SUMIFS('6月数据源'!$I:$I,'6月数据源'!$D:$D,$E170,'6月数据源'!$F:$F,"海南精准学科技有限公司")+SUMIFS('6月数据源'!$J:$J,'6月数据源'!$D:$D,$E170,'6月数据源'!$F:$F,"海南精准学科技有限公司")</f>
        <v/>
      </c>
      <c r="L170" s="89">
        <f>-SUMIFS('7月数据源'!$I:$I,'7月数据源'!$D:$D,$E170,'7月数据源'!$F:$F,"海南精准学科技有限公司")+SUMIFS('7月数据源'!$J:$J,'7月数据源'!$D:$D,$E170,'7月数据源'!$F:$F,"海南精准学科技有限公司")</f>
        <v/>
      </c>
      <c r="M170" s="89">
        <f>-SUMIFS('8月数据源'!$I:$I,'8月数据源'!$D:$D,$E170,'8月数据源'!$F:$F,"海南精准学科技有限公司")+SUMIFS('8月数据源'!$J:$J,'8月数据源'!$D:$D,$E170,'8月数据源'!$F:$F,"海南精准学科技有限公司")</f>
        <v/>
      </c>
      <c r="N170" s="89">
        <f>-SUMIFS('9月数据源'!$I:$I,'9月数据源'!$D:$D,$E170,'9月数据源'!$F:$F,"海南精准学科技有限公司")+SUMIFS('9月数据源'!$J:$J,'9月数据源'!$D:$D,$E170,'9月数据源'!$F:$F,"海南精准学科技有限公司")</f>
        <v/>
      </c>
      <c r="O170" s="89">
        <f>-SUMIFS('10月数据源'!$I:$I,'10月数据源'!$D:$D,$E170,'10月数据源'!$F:$F,"海南精准学科技有限公司")+SUMIFS('10月数据源'!$J:$J,'10月数据源'!$D:$D,$E170,'10月数据源'!$F:$F,"海南精准学科技有限公司")</f>
        <v/>
      </c>
      <c r="P170" s="89">
        <f>-SUMIFS('11月数据源'!$I:$I,'11月数据源'!$D:$D,$E170,'11月数据源'!$F:$F,"海南精准学科技有限公司")+SUMIFS('11月数据源'!$J:$J,'11月数据源'!$D:$D,$E170,'11月数据源'!$F:$F,"海南精准学科技有限公司")</f>
        <v/>
      </c>
      <c r="Q170" s="89">
        <f>-SUMIFS('12月数据源'!$I:$I,'12月数据源'!$D:$D,$E170,'12月数据源'!$F:$F,"海南精准学科技有限公司")+SUMIFS('12月数据源'!$J:$J,'12月数据源'!$D:$D,$E170,'12月数据源'!$F:$F,"海南精准学科技有限公司")</f>
        <v/>
      </c>
    </row>
    <row r="171" s="83">
      <c r="A171" s="5" t="inlineStr">
        <is>
          <t>营业外支出</t>
        </is>
      </c>
      <c r="B171" s="6" t="inlineStr">
        <is>
          <t>营业外支出</t>
        </is>
      </c>
      <c r="D171" s="5" t="inlineStr">
        <is>
          <t>滞纳金支出</t>
        </is>
      </c>
      <c r="E171" s="6" t="inlineStr">
        <is>
          <t>Q3103</t>
        </is>
      </c>
      <c r="F171" s="89">
        <f>-SUMIFS('1月数据源'!I:I,'1月数据源'!D:D,E171,'1月数据源'!F:F,"海南精准学科技有限公司")+SUMIFS('1月数据源'!J:J,'1月数据源'!D:D,E171,'1月数据源'!F:F,"海南精准学科技有限公司")</f>
        <v/>
      </c>
      <c r="G171" s="89">
        <f>-SUMIFS('2月数据源'!$I:$I,'2月数据源'!$D:$D,$E171,'2月数据源'!$F:$F,"海南精准学科技有限公司")+SUMIFS('2月数据源'!$J:$J,'2月数据源'!$D:$D,$E171,'2月数据源'!$F:$F,"海南精准学科技有限公司")</f>
        <v/>
      </c>
      <c r="H171" s="89">
        <f>-SUMIFS('3月数据源'!$I:$I,'3月数据源'!$D:$D,$E171,'3月数据源'!$F:$F,"海南精准学科技有限公司")+SUMIFS('3月数据源'!$J:$J,'3月数据源'!$D:$D,$E171,'3月数据源'!$F:$F,"海南精准学科技有限公司")</f>
        <v/>
      </c>
      <c r="I171" s="89">
        <f>-SUMIFS('4月数据源'!$I:$I,'4月数据源'!$D:$D,$E171,'4月数据源'!$F:$F,"海南精准学科技有限公司")+SUMIFS('4月数据源'!$J:$J,'4月数据源'!$D:$D,$E171,'4月数据源'!$F:$F,"海南精准学科技有限公司")</f>
        <v/>
      </c>
      <c r="J171" s="89">
        <f>-SUMIFS('5月数据源'!$I:$I,'5月数据源'!$D:$D,$E171,'5月数据源'!$F:$F,"海南精准学科技有限公司")+SUMIFS('5月数据源'!$J:$J,'5月数据源'!$D:$D,$E171,'5月数据源'!$F:$F,"海南精准学科技有限公司")</f>
        <v/>
      </c>
      <c r="K171" s="89">
        <f>-SUMIFS('6月数据源'!$I:$I,'6月数据源'!$D:$D,$E171,'6月数据源'!$F:$F,"海南精准学科技有限公司")+SUMIFS('6月数据源'!$J:$J,'6月数据源'!$D:$D,$E171,'6月数据源'!$F:$F,"海南精准学科技有限公司")</f>
        <v/>
      </c>
      <c r="L171" s="89">
        <f>-SUMIFS('7月数据源'!$I:$I,'7月数据源'!$D:$D,$E171,'7月数据源'!$F:$F,"海南精准学科技有限公司")+SUMIFS('7月数据源'!$J:$J,'7月数据源'!$D:$D,$E171,'7月数据源'!$F:$F,"海南精准学科技有限公司")</f>
        <v/>
      </c>
      <c r="M171" s="89">
        <f>-SUMIFS('8月数据源'!$I:$I,'8月数据源'!$D:$D,$E171,'8月数据源'!$F:$F,"海南精准学科技有限公司")+SUMIFS('8月数据源'!$J:$J,'8月数据源'!$D:$D,$E171,'8月数据源'!$F:$F,"海南精准学科技有限公司")</f>
        <v/>
      </c>
      <c r="N171" s="89">
        <f>-SUMIFS('9月数据源'!$I:$I,'9月数据源'!$D:$D,$E171,'9月数据源'!$F:$F,"海南精准学科技有限公司")+SUMIFS('9月数据源'!$J:$J,'9月数据源'!$D:$D,$E171,'9月数据源'!$F:$F,"海南精准学科技有限公司")</f>
        <v/>
      </c>
      <c r="O171" s="89">
        <f>-SUMIFS('10月数据源'!$I:$I,'10月数据源'!$D:$D,$E171,'10月数据源'!$F:$F,"海南精准学科技有限公司")+SUMIFS('10月数据源'!$J:$J,'10月数据源'!$D:$D,$E171,'10月数据源'!$F:$F,"海南精准学科技有限公司")</f>
        <v/>
      </c>
      <c r="P171" s="89">
        <f>-SUMIFS('11月数据源'!$I:$I,'11月数据源'!$D:$D,$E171,'11月数据源'!$F:$F,"海南精准学科技有限公司")+SUMIFS('11月数据源'!$J:$J,'11月数据源'!$D:$D,$E171,'11月数据源'!$F:$F,"海南精准学科技有限公司")</f>
        <v/>
      </c>
      <c r="Q171" s="89">
        <f>-SUMIFS('12月数据源'!$I:$I,'12月数据源'!$D:$D,$E171,'12月数据源'!$F:$F,"海南精准学科技有限公司")+SUMIFS('12月数据源'!$J:$J,'12月数据源'!$D:$D,$E171,'12月数据源'!$F:$F,"海南精准学科技有限公司")</f>
        <v/>
      </c>
    </row>
    <row r="172" s="83">
      <c r="A172" s="5" t="inlineStr">
        <is>
          <t>营业外支出</t>
        </is>
      </c>
      <c r="B172" s="6" t="inlineStr">
        <is>
          <t>营业外支出</t>
        </is>
      </c>
      <c r="D172" s="5" t="inlineStr">
        <is>
          <t>汇兑损益</t>
        </is>
      </c>
      <c r="E172" s="6" t="inlineStr">
        <is>
          <t>Q3105</t>
        </is>
      </c>
      <c r="F172" s="89">
        <f>-SUMIFS('1月数据源'!I:I,'1月数据源'!D:D,E172,'1月数据源'!F:F,"海南精准学科技有限公司")+SUMIFS('1月数据源'!J:J,'1月数据源'!D:D,E172,'1月数据源'!F:F,"海南精准学科技有限公司")</f>
        <v/>
      </c>
      <c r="G172" s="89">
        <f>-SUMIFS('2月数据源'!$I:$I,'2月数据源'!$D:$D,$E172,'2月数据源'!$F:$F,"海南精准学科技有限公司")+SUMIFS('2月数据源'!$J:$J,'2月数据源'!$D:$D,$E172,'2月数据源'!$F:$F,"海南精准学科技有限公司")</f>
        <v/>
      </c>
      <c r="H172" s="89">
        <f>-SUMIFS('3月数据源'!$I:$I,'3月数据源'!$D:$D,$E172,'3月数据源'!$F:$F,"海南精准学科技有限公司")+SUMIFS('3月数据源'!$J:$J,'3月数据源'!$D:$D,$E172,'3月数据源'!$F:$F,"海南精准学科技有限公司")</f>
        <v/>
      </c>
      <c r="I172" s="89">
        <f>-SUMIFS('4月数据源'!$I:$I,'4月数据源'!$D:$D,$E172,'4月数据源'!$F:$F,"海南精准学科技有限公司")+SUMIFS('4月数据源'!$J:$J,'4月数据源'!$D:$D,$E172,'4月数据源'!$F:$F,"海南精准学科技有限公司")</f>
        <v/>
      </c>
      <c r="J172" s="89">
        <f>-SUMIFS('5月数据源'!$I:$I,'5月数据源'!$D:$D,$E172,'5月数据源'!$F:$F,"海南精准学科技有限公司")+SUMIFS('5月数据源'!$J:$J,'5月数据源'!$D:$D,$E172,'5月数据源'!$F:$F,"海南精准学科技有限公司")</f>
        <v/>
      </c>
      <c r="K172" s="89">
        <f>-SUMIFS('6月数据源'!$I:$I,'6月数据源'!$D:$D,$E172,'6月数据源'!$F:$F,"海南精准学科技有限公司")+SUMIFS('6月数据源'!$J:$J,'6月数据源'!$D:$D,$E172,'6月数据源'!$F:$F,"海南精准学科技有限公司")</f>
        <v/>
      </c>
      <c r="L172" s="89">
        <f>-SUMIFS('7月数据源'!$I:$I,'7月数据源'!$D:$D,$E172,'7月数据源'!$F:$F,"海南精准学科技有限公司")+SUMIFS('7月数据源'!$J:$J,'7月数据源'!$D:$D,$E172,'7月数据源'!$F:$F,"海南精准学科技有限公司")</f>
        <v/>
      </c>
      <c r="M172" s="89">
        <f>-SUMIFS('8月数据源'!$I:$I,'8月数据源'!$D:$D,$E172,'8月数据源'!$F:$F,"海南精准学科技有限公司")+SUMIFS('8月数据源'!$J:$J,'8月数据源'!$D:$D,$E172,'8月数据源'!$F:$F,"海南精准学科技有限公司")</f>
        <v/>
      </c>
      <c r="N172" s="89">
        <f>-SUMIFS('9月数据源'!$I:$I,'9月数据源'!$D:$D,$E172,'9月数据源'!$F:$F,"海南精准学科技有限公司")+SUMIFS('9月数据源'!$J:$J,'9月数据源'!$D:$D,$E172,'9月数据源'!$F:$F,"海南精准学科技有限公司")</f>
        <v/>
      </c>
      <c r="O172" s="89">
        <f>-SUMIFS('10月数据源'!$I:$I,'10月数据源'!$D:$D,$E172,'10月数据源'!$F:$F,"海南精准学科技有限公司")+SUMIFS('10月数据源'!$J:$J,'10月数据源'!$D:$D,$E172,'10月数据源'!$F:$F,"海南精准学科技有限公司")</f>
        <v/>
      </c>
      <c r="P172" s="89">
        <f>-SUMIFS('11月数据源'!$I:$I,'11月数据源'!$D:$D,$E172,'11月数据源'!$F:$F,"海南精准学科技有限公司")+SUMIFS('11月数据源'!$J:$J,'11月数据源'!$D:$D,$E172,'11月数据源'!$F:$F,"海南精准学科技有限公司")</f>
        <v/>
      </c>
      <c r="Q172" s="89">
        <f>-SUMIFS('12月数据源'!$I:$I,'12月数据源'!$D:$D,$E172,'12月数据源'!$F:$F,"海南精准学科技有限公司")+SUMIFS('12月数据源'!$J:$J,'12月数据源'!$D:$D,$E172,'12月数据源'!$F:$F,"海南精准学科技有限公司")</f>
        <v/>
      </c>
    </row>
    <row r="173" s="83">
      <c r="A173" s="49" t="inlineStr">
        <is>
          <t>营业外支出合计</t>
        </is>
      </c>
      <c r="B173" s="50" t="n"/>
      <c r="C173" s="50" t="n"/>
      <c r="D173" s="49" t="n"/>
      <c r="E173" s="49" t="n"/>
      <c r="F173" s="89">
        <f>SUM(F168:F172)</f>
        <v/>
      </c>
      <c r="G173" s="89">
        <f>SUM(G168:G172)</f>
        <v/>
      </c>
      <c r="H173" s="89">
        <f>SUM(H168:H172)</f>
        <v/>
      </c>
      <c r="I173" s="89">
        <f>SUM(I168:I172)</f>
        <v/>
      </c>
      <c r="J173" s="89">
        <f>SUM(J168:J172)</f>
        <v/>
      </c>
      <c r="K173" s="89">
        <f>SUM(K168:K172)</f>
        <v/>
      </c>
      <c r="L173" s="89">
        <f>SUM(L168:L172)</f>
        <v/>
      </c>
      <c r="M173" s="89">
        <f>SUM(M168:M172)</f>
        <v/>
      </c>
      <c r="N173" s="89">
        <f>SUM(N168:N172)</f>
        <v/>
      </c>
      <c r="O173" s="89">
        <f>SUM(O168:O172)</f>
        <v/>
      </c>
      <c r="P173" s="89">
        <f>SUM(P168:P172)</f>
        <v/>
      </c>
      <c r="Q173" s="89">
        <f>SUM(Q168:Q172)</f>
        <v/>
      </c>
    </row>
    <row r="174" s="83">
      <c r="A174" s="5" t="inlineStr">
        <is>
          <t>理财收支</t>
        </is>
      </c>
      <c r="B174" s="6" t="inlineStr">
        <is>
          <t>理财收支</t>
        </is>
      </c>
      <c r="C174" s="6" t="inlineStr">
        <is>
          <t>理财支出</t>
        </is>
      </c>
      <c r="D174" s="5" t="inlineStr">
        <is>
          <t>理财收支</t>
        </is>
      </c>
      <c r="E174" s="6" t="inlineStr">
        <is>
          <t>Q3301</t>
        </is>
      </c>
      <c r="F174" s="89">
        <f>-SUMIFS('1月数据源'!I:I,'1月数据源'!D:D,E174,'1月数据源'!F:F,"海南精准学科技有限公司")+SUMIFS('1月数据源'!J:J,'1月数据源'!D:D,E174,'1月数据源'!F:F,"海南精准学科技有限公司")</f>
        <v/>
      </c>
      <c r="G174" s="89">
        <f>-SUMIFS('2月数据源'!$I:$I,'2月数据源'!$D:$D,$E174,'2月数据源'!$F:$F,"海南精准学科技有限公司")+SUMIFS('2月数据源'!$J:$J,'2月数据源'!$D:$D,$E174,'2月数据源'!$F:$F,"海南精准学科技有限公司")</f>
        <v/>
      </c>
      <c r="H174" s="89">
        <f>-SUMIFS('3月数据源'!$I:$I,'3月数据源'!$D:$D,$E174,'3月数据源'!$F:$F,"海南精准学科技有限公司")+SUMIFS('3月数据源'!$J:$J,'3月数据源'!$D:$D,$E174,'3月数据源'!$F:$F,"海南精准学科技有限公司")</f>
        <v/>
      </c>
      <c r="I174" s="89">
        <f>-SUMIFS('4月数据源'!$I:$I,'4月数据源'!$D:$D,$E174,'4月数据源'!$F:$F,"海南精准学科技有限公司")+SUMIFS('4月数据源'!$J:$J,'4月数据源'!$D:$D,$E174,'4月数据源'!$F:$F,"海南精准学科技有限公司")</f>
        <v/>
      </c>
      <c r="J174" s="89">
        <f>-SUMIFS('5月数据源'!$I:$I,'5月数据源'!$D:$D,$E174,'5月数据源'!$F:$F,"海南精准学科技有限公司")+SUMIFS('5月数据源'!$J:$J,'5月数据源'!$D:$D,$E174,'5月数据源'!$F:$F,"海南精准学科技有限公司")</f>
        <v/>
      </c>
      <c r="K174" s="89">
        <f>-SUMIFS('6月数据源'!$I:$I,'6月数据源'!$D:$D,$E174,'6月数据源'!$F:$F,"海南精准学科技有限公司")+SUMIFS('6月数据源'!$J:$J,'6月数据源'!$D:$D,$E174,'6月数据源'!$F:$F,"海南精准学科技有限公司")</f>
        <v/>
      </c>
      <c r="L174" s="89">
        <f>-SUMIFS('7月数据源'!$I:$I,'7月数据源'!$D:$D,$E174,'7月数据源'!$F:$F,"海南精准学科技有限公司")+SUMIFS('7月数据源'!$J:$J,'7月数据源'!$D:$D,$E174,'7月数据源'!$F:$F,"海南精准学科技有限公司")</f>
        <v/>
      </c>
      <c r="M174" s="89">
        <f>-SUMIFS('8月数据源'!$I:$I,'8月数据源'!$D:$D,$E174,'8月数据源'!$F:$F,"海南精准学科技有限公司")+SUMIFS('8月数据源'!$J:$J,'8月数据源'!$D:$D,$E174,'8月数据源'!$F:$F,"海南精准学科技有限公司")</f>
        <v/>
      </c>
      <c r="N174" s="89">
        <f>-SUMIFS('9月数据源'!$I:$I,'9月数据源'!$D:$D,$E174,'9月数据源'!$F:$F,"海南精准学科技有限公司")+SUMIFS('9月数据源'!$J:$J,'9月数据源'!$D:$D,$E174,'9月数据源'!$F:$F,"海南精准学科技有限公司")</f>
        <v/>
      </c>
      <c r="O174" s="89">
        <f>-SUMIFS('10月数据源'!$I:$I,'10月数据源'!$D:$D,$E174,'10月数据源'!$F:$F,"海南精准学科技有限公司")+SUMIFS('10月数据源'!$J:$J,'10月数据源'!$D:$D,$E174,'10月数据源'!$F:$F,"海南精准学科技有限公司")</f>
        <v/>
      </c>
      <c r="P174" s="89">
        <f>-SUMIFS('11月数据源'!$I:$I,'11月数据源'!$D:$D,$E174,'11月数据源'!$F:$F,"海南精准学科技有限公司")+SUMIFS('11月数据源'!$J:$J,'11月数据源'!$D:$D,$E174,'11月数据源'!$F:$F,"海南精准学科技有限公司")</f>
        <v/>
      </c>
      <c r="Q174" s="89">
        <f>-SUMIFS('12月数据源'!$I:$I,'12月数据源'!$D:$D,$E174,'12月数据源'!$F:$F,"海南精准学科技有限公司")+SUMIFS('12月数据源'!$J:$J,'12月数据源'!$D:$D,$E174,'12月数据源'!$F:$F,"海南精准学科技有限公司")</f>
        <v/>
      </c>
    </row>
    <row r="175" s="83">
      <c r="A175" s="49" t="inlineStr">
        <is>
          <t>理财收支合计</t>
        </is>
      </c>
      <c r="B175" s="50" t="n"/>
      <c r="C175" s="50" t="n"/>
      <c r="D175" s="49" t="n"/>
      <c r="E175" s="49" t="n"/>
      <c r="F175" s="89">
        <f>SUM(F174:F174)</f>
        <v/>
      </c>
      <c r="G175" s="89">
        <f>SUM(G174:G174)</f>
        <v/>
      </c>
      <c r="H175" s="89">
        <f>SUM(H174:H174)</f>
        <v/>
      </c>
      <c r="I175" s="89">
        <f>SUM(I174:I174)</f>
        <v/>
      </c>
      <c r="J175" s="89">
        <f>SUM(J174:J174)</f>
        <v/>
      </c>
      <c r="K175" s="89">
        <f>SUM(K174:K174)</f>
        <v/>
      </c>
      <c r="L175" s="89">
        <f>SUM(L174:L174)</f>
        <v/>
      </c>
      <c r="M175" s="89">
        <f>SUM(M174:M174)</f>
        <v/>
      </c>
      <c r="N175" s="89">
        <f>SUM(N174:N174)</f>
        <v/>
      </c>
      <c r="O175" s="89">
        <f>SUM(O174:O174)</f>
        <v/>
      </c>
      <c r="P175" s="89">
        <f>SUM(P174:P174)</f>
        <v/>
      </c>
      <c r="Q175" s="89">
        <f>SUM(Q174:Q174)</f>
        <v/>
      </c>
    </row>
    <row r="176" s="83">
      <c r="A176" s="51" t="inlineStr">
        <is>
          <t>付款合计</t>
        </is>
      </c>
      <c r="B176" s="52" t="n"/>
      <c r="C176" s="52" t="n"/>
      <c r="D176" s="51" t="n"/>
      <c r="E176" s="51" t="n"/>
      <c r="F176" s="89">
        <f>F22+F24+F35+F50+F63+F98+F137+F162+F167+F173+F175</f>
        <v/>
      </c>
      <c r="G176" s="89">
        <f>G22+G24+G35+G50+G63+G98+G137+G162+G167+G173+G175</f>
        <v/>
      </c>
      <c r="H176" s="89">
        <f>H22+H24+H35+H50+H63+H98+H137+H162+H167+H173+H175</f>
        <v/>
      </c>
      <c r="I176" s="89">
        <f>I22+I24+I35+I50+I63+I98+I137+I162+I167+I173+I175</f>
        <v/>
      </c>
      <c r="J176" s="89">
        <f>J22+J24+J35+J50+J63+J98+J137+J162+J167+J173+J175</f>
        <v/>
      </c>
      <c r="K176" s="89">
        <f>K22+K24+K35+K50+K63+K98+K137+K162+K167+K173+K175</f>
        <v/>
      </c>
      <c r="L176" s="89">
        <f>L22+L24+L35+L50+L63+L98+L137+L162+L167+L173+L175</f>
        <v/>
      </c>
      <c r="M176" s="89">
        <f>M22+M24+M35+M50+M63+M98+M137+M162+M167+M173+M175</f>
        <v/>
      </c>
      <c r="N176" s="89">
        <f>N22+N24+N35+N50+N63+N98+N137+N162+N167+N173+N175</f>
        <v/>
      </c>
      <c r="O176" s="89">
        <f>O22+O24+O35+O50+O63+O98+O137+O162+O167+O173+O175</f>
        <v/>
      </c>
      <c r="P176" s="89">
        <f>P22+P24+P35+P50+P63+P98+P137+P162+P167+P173+P175</f>
        <v/>
      </c>
      <c r="Q176" s="89">
        <f>Q22+Q24+Q35+Q50+Q63+Q98+Q137+Q162+Q167+Q173+Q175</f>
        <v/>
      </c>
    </row>
    <row r="177" s="83">
      <c r="A177" s="51" t="inlineStr">
        <is>
          <t>现金净流入</t>
        </is>
      </c>
      <c r="B177" s="54" t="n"/>
      <c r="C177" s="54" t="n"/>
      <c r="D177" s="51" t="n"/>
      <c r="E177" s="51" t="n"/>
      <c r="F177" s="89">
        <f>F19-F176</f>
        <v/>
      </c>
      <c r="G177" s="89">
        <f>G19-G176</f>
        <v/>
      </c>
      <c r="H177" s="89">
        <f>H19-H176</f>
        <v/>
      </c>
      <c r="I177" s="89">
        <f>I19-I176</f>
        <v/>
      </c>
      <c r="J177" s="89">
        <f>J19-J176</f>
        <v/>
      </c>
      <c r="K177" s="89">
        <f>K19-K176</f>
        <v/>
      </c>
      <c r="L177" s="89">
        <f>L19-L176</f>
        <v/>
      </c>
      <c r="M177" s="89">
        <f>M19-M176</f>
        <v/>
      </c>
      <c r="N177" s="89">
        <f>N19-N176</f>
        <v/>
      </c>
      <c r="O177" s="89">
        <f>O19-O176</f>
        <v/>
      </c>
      <c r="P177" s="89">
        <f>P19-P176</f>
        <v/>
      </c>
      <c r="Q177" s="89">
        <f>Q19-Q176</f>
        <v/>
      </c>
    </row>
    <row r="178" s="83">
      <c r="A178" s="51" t="inlineStr">
        <is>
          <t>现金期初数</t>
        </is>
      </c>
      <c r="B178" s="54" t="n"/>
      <c r="C178" s="54" t="n"/>
      <c r="D178" s="51" t="n"/>
      <c r="E178" s="51" t="n"/>
      <c r="F178" s="89" t="n">
        <v>249015.13</v>
      </c>
      <c r="G178" s="89">
        <f>F179</f>
        <v/>
      </c>
      <c r="H178" s="89">
        <f>G179</f>
        <v/>
      </c>
      <c r="I178" s="89">
        <f>H179</f>
        <v/>
      </c>
      <c r="J178" s="89">
        <f>I179</f>
        <v/>
      </c>
      <c r="K178" s="89">
        <f>J179</f>
        <v/>
      </c>
      <c r="L178" s="89">
        <f>K179</f>
        <v/>
      </c>
      <c r="M178" s="89">
        <f>L179</f>
        <v/>
      </c>
      <c r="N178" s="89">
        <f>M179</f>
        <v/>
      </c>
      <c r="O178" s="89">
        <f>N179</f>
        <v/>
      </c>
      <c r="P178" s="89">
        <f>O179</f>
        <v/>
      </c>
      <c r="Q178" s="89">
        <f>P179</f>
        <v/>
      </c>
    </row>
    <row r="179" s="83">
      <c r="A179" s="51" t="inlineStr">
        <is>
          <t>现金期末数</t>
        </is>
      </c>
      <c r="B179" s="54" t="n"/>
      <c r="C179" s="54" t="n"/>
      <c r="D179" s="51" t="n"/>
      <c r="E179" s="51" t="n"/>
      <c r="F179" s="89">
        <f>F178+F177</f>
        <v/>
      </c>
      <c r="G179" s="89">
        <f>G178+G177</f>
        <v/>
      </c>
      <c r="H179" s="89">
        <f>H178+H177</f>
        <v/>
      </c>
      <c r="I179" s="89">
        <f>I178+I177</f>
        <v/>
      </c>
      <c r="J179" s="89">
        <f>J178+J177</f>
        <v/>
      </c>
      <c r="K179" s="89">
        <f>K178+K177</f>
        <v/>
      </c>
      <c r="L179" s="89">
        <f>L178+L177</f>
        <v/>
      </c>
      <c r="M179" s="89">
        <f>M178+M177</f>
        <v/>
      </c>
      <c r="N179" s="89">
        <f>N178+N177</f>
        <v/>
      </c>
      <c r="O179" s="89">
        <f>O178+O177</f>
        <v/>
      </c>
      <c r="P179" s="89">
        <f>P178+P177</f>
        <v/>
      </c>
      <c r="Q179" s="89">
        <f>Q178+Q177</f>
        <v/>
      </c>
    </row>
    <row r="180" s="83">
      <c r="A180" s="51" t="inlineStr">
        <is>
          <t>报表期末数</t>
        </is>
      </c>
      <c r="B180" s="54" t="n"/>
      <c r="C180" s="54" t="n"/>
      <c r="D180" s="51" t="n"/>
      <c r="E180" s="51" t="n"/>
      <c r="F180" s="89" t="n">
        <v>181044.93</v>
      </c>
      <c r="G180" s="89" t="n">
        <v>136716.93</v>
      </c>
      <c r="H180" s="89" t="n">
        <v>100288.72</v>
      </c>
      <c r="I180" s="89" t="n">
        <v>63762.12</v>
      </c>
      <c r="J180" s="89">
        <f>605375.14</f>
        <v/>
      </c>
      <c r="K180" s="89" t="n">
        <v>259895.57</v>
      </c>
      <c r="L180" s="89" t="n"/>
      <c r="M180" s="89" t="n"/>
      <c r="N180" s="89" t="n"/>
      <c r="O180" s="89" t="n"/>
      <c r="P180" s="89" t="n"/>
      <c r="Q180" s="89" t="n"/>
    </row>
    <row r="181" s="83">
      <c r="A181" s="51" t="inlineStr">
        <is>
          <t>check</t>
        </is>
      </c>
      <c r="B181" s="54" t="n"/>
      <c r="C181" s="54" t="n"/>
      <c r="D181" s="51" t="n"/>
      <c r="E181" s="51" t="n"/>
      <c r="F181" s="89">
        <f>F180-F179</f>
        <v/>
      </c>
      <c r="G181" s="89">
        <f>G180-G179</f>
        <v/>
      </c>
      <c r="H181" s="89">
        <f>H180-H179</f>
        <v/>
      </c>
      <c r="I181" s="89">
        <f>I180-I179</f>
        <v/>
      </c>
      <c r="J181" s="89">
        <f>J180-J179</f>
        <v/>
      </c>
      <c r="K181" s="89">
        <f>K180-K179</f>
        <v/>
      </c>
      <c r="L181" s="89">
        <f>L180-L179</f>
        <v/>
      </c>
      <c r="M181" s="89">
        <f>M180-M179</f>
        <v/>
      </c>
      <c r="N181" s="89">
        <f>N180-N179</f>
        <v/>
      </c>
      <c r="O181" s="89">
        <f>O180-O179</f>
        <v/>
      </c>
      <c r="P181" s="89">
        <f>P180-P179</f>
        <v/>
      </c>
      <c r="Q181" s="89">
        <f>Q180-Q179</f>
        <v/>
      </c>
    </row>
    <row r="182" s="83">
      <c r="H182" s="57" t="n"/>
    </row>
  </sheetData>
  <autoFilter ref="A2:R181"/>
  <mergeCells count="30">
    <mergeCell ref="C20:C21"/>
    <mergeCell ref="C131:C133"/>
    <mergeCell ref="C116:C119"/>
    <mergeCell ref="C85:C86"/>
    <mergeCell ref="C134:C135"/>
    <mergeCell ref="C16:C17"/>
    <mergeCell ref="C42:C47"/>
    <mergeCell ref="C78:C84"/>
    <mergeCell ref="C120:C128"/>
    <mergeCell ref="C129:C130"/>
    <mergeCell ref="C111:C115"/>
    <mergeCell ref="C153:C161"/>
    <mergeCell ref="C163:C166"/>
    <mergeCell ref="C87:C93"/>
    <mergeCell ref="C105:C110"/>
    <mergeCell ref="C25:C34"/>
    <mergeCell ref="C99:C104"/>
    <mergeCell ref="C7:C8"/>
    <mergeCell ref="C94:C96"/>
    <mergeCell ref="C36:C41"/>
    <mergeCell ref="C48:C49"/>
    <mergeCell ref="C13:C14"/>
    <mergeCell ref="C70:C77"/>
    <mergeCell ref="C64:C68"/>
    <mergeCell ref="C146:C152"/>
    <mergeCell ref="C138:C145"/>
    <mergeCell ref="C3:C6"/>
    <mergeCell ref="C51:C62"/>
    <mergeCell ref="C168:C172"/>
    <mergeCell ref="C9:C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R186"/>
  <sheetViews>
    <sheetView workbookViewId="0">
      <pane xSplit="5" ySplit="2" topLeftCell="M57" activePane="bottomRight" state="frozen"/>
      <selection activeCell="A1" sqref="A1"/>
      <selection pane="topRight" activeCell="A1" sqref="A1"/>
      <selection pane="bottomLeft" activeCell="A1" sqref="A1"/>
      <selection pane="bottomRight" activeCell="Q66" sqref="Q66"/>
    </sheetView>
  </sheetViews>
  <sheetFormatPr baseColWidth="8" defaultColWidth="8.838461538461541" defaultRowHeight="16.05" customHeight="1"/>
  <cols>
    <col width="14.6615384615385" customWidth="1" style="5" min="1" max="1"/>
    <col width="14.5" customWidth="1" style="6" min="2" max="2"/>
    <col width="10.8307692307692" customWidth="1" style="6" min="3" max="3"/>
    <col width="19.1615384615385" customWidth="1" style="5" min="4" max="4"/>
    <col width="21.8384615384615" customWidth="1" style="5" min="5" max="5"/>
    <col width="18.3307692307692" customWidth="1" style="89" min="6" max="6"/>
    <col width="15.8384615384615" customWidth="1" style="5" min="7" max="8"/>
    <col width="15.1615384615385" customWidth="1" style="5" min="9" max="11"/>
    <col width="15" customWidth="1" style="5" min="12" max="12"/>
    <col width="10.6153846153846" customWidth="1" style="5" min="13" max="17"/>
    <col width="14.8384615384615" customWidth="1" style="5" min="18" max="18"/>
    <col width="8.838461538461541" customWidth="1" style="5" min="19" max="40"/>
  </cols>
  <sheetData>
    <row r="1" s="83">
      <c r="A1" s="6" t="inlineStr">
        <is>
          <t>公司：实时查</t>
        </is>
      </c>
    </row>
    <row r="2" customFormat="1" s="34">
      <c r="A2" s="34" t="inlineStr">
        <is>
          <t>一级</t>
        </is>
      </c>
      <c r="B2" s="34" t="inlineStr">
        <is>
          <t>二级</t>
        </is>
      </c>
      <c r="C2" s="34" t="inlineStr">
        <is>
          <t>二级</t>
        </is>
      </c>
      <c r="D2" s="34" t="inlineStr">
        <is>
          <t>三级</t>
        </is>
      </c>
      <c r="E2" s="34" t="inlineStr">
        <is>
          <t>三级科目对应编码</t>
        </is>
      </c>
      <c r="F2" s="91" t="inlineStr">
        <is>
          <t>1月</t>
        </is>
      </c>
      <c r="G2" s="34" t="inlineStr">
        <is>
          <t>2月</t>
        </is>
      </c>
      <c r="H2" s="34" t="inlineStr">
        <is>
          <t>3月</t>
        </is>
      </c>
      <c r="I2" s="34" t="inlineStr">
        <is>
          <t>4月</t>
        </is>
      </c>
      <c r="J2" s="34" t="inlineStr">
        <is>
          <t>5月</t>
        </is>
      </c>
      <c r="K2" s="34" t="inlineStr">
        <is>
          <t>6月</t>
        </is>
      </c>
      <c r="L2" s="34" t="inlineStr">
        <is>
          <t>7月</t>
        </is>
      </c>
      <c r="M2" s="34" t="inlineStr">
        <is>
          <t>8月</t>
        </is>
      </c>
      <c r="N2" s="34" t="inlineStr">
        <is>
          <t>9月</t>
        </is>
      </c>
      <c r="O2" s="34" t="inlineStr">
        <is>
          <t>10月</t>
        </is>
      </c>
      <c r="P2" s="34" t="inlineStr">
        <is>
          <t>11月</t>
        </is>
      </c>
      <c r="Q2" s="34" t="inlineStr">
        <is>
          <t>12月</t>
        </is>
      </c>
      <c r="R2" s="34" t="inlineStr">
        <is>
          <t>本年合计</t>
        </is>
      </c>
    </row>
    <row r="3" s="83">
      <c r="A3" s="5" t="inlineStr">
        <is>
          <t>收入</t>
        </is>
      </c>
      <c r="B3" s="6" t="inlineStr">
        <is>
          <t>业务收入</t>
        </is>
      </c>
      <c r="C3" s="6" t="inlineStr">
        <is>
          <t>业务收入</t>
        </is>
      </c>
      <c r="D3" s="6" t="inlineStr">
        <is>
          <t>平台硬件销售收入</t>
        </is>
      </c>
      <c r="E3" s="6" t="inlineStr">
        <is>
          <t>Q0101</t>
        </is>
      </c>
      <c r="F3" s="89">
        <f>SUMIFS('1月数据源'!$I:$I,'1月数据源'!$D:$D,$E3,'1月数据源'!$F:$F,"杭州实时查科技有限公司")-SUMIFS('1月数据源'!$J:$J,'1月数据源'!$D:$D,$E3,'1月数据源'!$F:$F,"杭州实时查科技有限公司")</f>
        <v/>
      </c>
      <c r="G3" s="89">
        <f>SUMIFS('2月数据源'!$I:$I,'2月数据源'!$D:$D,$E3,'2月数据源'!$F:$F,"杭州实时查科技有限公司")-SUMIFS('2月数据源'!$J:$J,'2月数据源'!$D:$D,$E3,'2月数据源'!$F:$F,"杭州实时查科技有限公司")</f>
        <v/>
      </c>
      <c r="H3" s="89">
        <f>SUMIFS('3月数据源'!$I:$I,'3月数据源'!$D:$D,$E3,'3月数据源'!$F:$F,"杭州实时查科技有限公司")-SUMIFS('3月数据源'!$J:$J,'3月数据源'!$D:$D,$E3,'3月数据源'!$F:$F,"杭州实时查科技有限公司")</f>
        <v/>
      </c>
      <c r="I3" s="89">
        <f>SUMIFS('4月数据源'!$I:$I,'4月数据源'!$D:$D,$E3,'4月数据源'!$F:$F,"杭州实时查科技有限公司")-SUMIFS('4月数据源'!$J:$J,'4月数据源'!$D:$D,$E3,'4月数据源'!$F:$F,"杭州实时查科技有限公司")</f>
        <v/>
      </c>
      <c r="J3" s="89">
        <f>SUMIFS('5月数据源'!$I:$I,'5月数据源'!$D:$D,$E3,'5月数据源'!$F:$F,"杭州实时查科技有限公司")-SUMIFS('5月数据源'!$J:$J,'5月数据源'!$D:$D,$E3,'5月数据源'!$F:$F,"杭州实时查科技有限公司")</f>
        <v/>
      </c>
      <c r="K3" s="89">
        <f>SUMIFS('6月数据源'!I:I,'6月数据源'!D:D,E3,'6月数据源'!F:F,"杭州实时查科技有限公司")-SUMIFS('6月数据源'!J:J,'6月数据源'!D:D,E3,'6月数据源'!F:F,"杭州实时查科技有限公司")</f>
        <v/>
      </c>
      <c r="L3" s="89">
        <f>SUMIFS('7月数据源'!J:J,'7月数据源'!E:E,F3,'7月数据源'!G:G,"杭州实时查科技有限公司")-SUMIFS('7月数据源'!K:K,'7月数据源'!E:E,F3,'7月数据源'!G:G,"杭州实时查科技有限公司")</f>
        <v/>
      </c>
      <c r="M3" s="89">
        <f>SUMIFS('8月数据源'!K:K,'8月数据源'!F:F,G3,'8月数据源'!H:H,"杭州实时查科技有限公司")-SUMIFS('8月数据源'!L:L,'8月数据源'!F:F,G3,'8月数据源'!H:H,"杭州实时查科技有限公司")</f>
        <v/>
      </c>
      <c r="N3" s="89">
        <f>SUMIFS('9月数据源'!L:L,'9月数据源'!G:G,H3,'9月数据源'!I:I,"杭州实时查科技有限公司")-SUMIFS('9月数据源'!M:M,'9月数据源'!G:G,H3,'9月数据源'!I:I,"杭州实时查科技有限公司")</f>
        <v/>
      </c>
      <c r="O3" s="89">
        <f>SUMIFS('10月数据源'!M:M,'10月数据源'!H:H,I3,'10月数据源'!J:J,"杭州实时查科技有限公司")-SUMIFS('10月数据源'!N:N,'10月数据源'!H:H,I3,'10月数据源'!J:J,"杭州实时查科技有限公司")</f>
        <v/>
      </c>
      <c r="P3" s="89">
        <f>SUMIFS('11月数据源'!N:N,'11月数据源'!I:I,J3,'11月数据源'!K:K,"杭州实时查科技有限公司")-SUMIFS('11月数据源'!O:O,'11月数据源'!I:I,J3,'11月数据源'!K:K,"杭州实时查科技有限公司")</f>
        <v/>
      </c>
      <c r="Q3" s="89">
        <f>SUMIFS('12月数据源'!O:O,'12月数据源'!J:J,K3,'12月数据源'!L:L,"杭州实时查科技有限公司")-SUMIFS('12月数据源'!P:P,'12月数据源'!J:J,K3,'12月数据源'!L:L,"杭州实时查科技有限公司")</f>
        <v/>
      </c>
    </row>
    <row r="4" s="83">
      <c r="A4" s="5" t="inlineStr">
        <is>
          <t>收入</t>
        </is>
      </c>
      <c r="B4" s="6" t="inlineStr">
        <is>
          <t>业务收入</t>
        </is>
      </c>
      <c r="D4" s="6" t="inlineStr">
        <is>
          <t>服务收款</t>
        </is>
      </c>
      <c r="E4" s="6" t="inlineStr">
        <is>
          <t>Q0102</t>
        </is>
      </c>
      <c r="F4" s="89">
        <f>SUMIFS('1月数据源'!I:I,'1月数据源'!D:D,E4,'1月数据源'!F:F,"杭州实时查科技有限公司")-SUMIFS('1月数据源'!J:J,'1月数据源'!D:D,E4,'1月数据源'!F:F,"杭州实时查科技有限公司")</f>
        <v/>
      </c>
      <c r="G4" s="89">
        <f>SUMIFS('2月数据源'!$I:$I,'2月数据源'!$D:$D,$E4,'2月数据源'!$F:$F,"杭州实时查科技有限公司")-SUMIFS('2月数据源'!$J:$J,'2月数据源'!$D:$D,$E4,'2月数据源'!$F:$F,"杭州实时查科技有限公司")</f>
        <v/>
      </c>
      <c r="H4" s="89">
        <f>SUMIFS('3月数据源'!$I:$I,'3月数据源'!$D:$D,$E4,'3月数据源'!$F:$F,"杭州实时查科技有限公司")-SUMIFS('3月数据源'!$J:$J,'3月数据源'!$D:$D,$E4,'3月数据源'!$F:$F,"杭州实时查科技有限公司")</f>
        <v/>
      </c>
      <c r="I4" s="89">
        <f>SUMIFS('4月数据源'!$I:$I,'4月数据源'!$D:$D,$E4,'4月数据源'!$F:$F,"杭州实时查科技有限公司")-SUMIFS('4月数据源'!$J:$J,'4月数据源'!$D:$D,$E4,'4月数据源'!$F:$F,"杭州实时查科技有限公司")</f>
        <v/>
      </c>
      <c r="J4" s="89">
        <f>SUMIFS('5月数据源'!$I:$I,'5月数据源'!$D:$D,$E4,'5月数据源'!$F:$F,"杭州实时查科技有限公司")-SUMIFS('5月数据源'!$J:$J,'5月数据源'!$D:$D,$E4,'5月数据源'!$F:$F,"杭州实时查科技有限公司")</f>
        <v/>
      </c>
      <c r="K4" s="89">
        <f>SUMIFS('6月数据源'!$I:$I,'6月数据源'!$D:$D,$E4,'6月数据源'!$F:$F,"杭州实时查科技有限公司")-SUMIFS('6月数据源'!$J:$J,'6月数据源'!$D:$D,$E4,'6月数据源'!$F:$F,"杭州实时查科技有限公司")</f>
        <v/>
      </c>
      <c r="L4" s="89">
        <f>SUMIFS('7月数据源'!$I:$I,'7月数据源'!$D:$D,$E4,'7月数据源'!$F:$F,"杭州实时查科技有限公司")-SUMIFS('7月数据源'!$J:$J,'7月数据源'!$D:$D,$E4,'7月数据源'!$F:$F,"杭州实时查科技有限公司")</f>
        <v/>
      </c>
      <c r="M4" s="89">
        <f>SUMIFS('8月数据源'!$I:$I,'8月数据源'!$D:$D,$E4,'8月数据源'!$F:$F,"杭州实时查科技有限公司")-SUMIFS('8月数据源'!$J:$J,'8月数据源'!$D:$D,$E4,'8月数据源'!$F:$F,"杭州实时查科技有限公司")</f>
        <v/>
      </c>
      <c r="N4" s="89">
        <f>SUMIFS('9月数据源'!$I:$I,'9月数据源'!$D:$D,$E4,'9月数据源'!$F:$F,"杭州实时查科技有限公司")-SUMIFS('9月数据源'!$J:$J,'9月数据源'!$D:$D,$E4,'9月数据源'!$F:$F,"杭州实时查科技有限公司")</f>
        <v/>
      </c>
      <c r="O4" s="89">
        <f>SUMIFS('10月数据源'!$I:$I,'10月数据源'!$D:$D,$E4,'10月数据源'!$F:$F,"杭州实时查科技有限公司")-SUMIFS('10月数据源'!$J:$J,'10月数据源'!$D:$D,$E4,'10月数据源'!$F:$F,"杭州实时查科技有限公司")</f>
        <v/>
      </c>
      <c r="P4" s="89">
        <f>SUMIFS('11月数据源'!$I:$I,'11月数据源'!$D:$D,$E4,'11月数据源'!$F:$F,"杭州实时查科技有限公司")-SUMIFS('11月数据源'!$J:$J,'11月数据源'!$D:$D,$E4,'11月数据源'!$F:$F,"杭州实时查科技有限公司")</f>
        <v/>
      </c>
      <c r="Q4" s="89">
        <f>SUMIFS('12月数据源'!$I:$I,'12月数据源'!$D:$D,$E4,'12月数据源'!$F:$F,"杭州实时查科技有限公司")-SUMIFS('12月数据源'!$J:$J,'12月数据源'!$D:$D,$E4,'12月数据源'!$F:$F,"杭州实时查科技有限公司")</f>
        <v/>
      </c>
    </row>
    <row r="5" s="83">
      <c r="A5" s="5" t="inlineStr">
        <is>
          <t>收入</t>
        </is>
      </c>
      <c r="B5" s="6" t="inlineStr">
        <is>
          <t>业务收入</t>
        </is>
      </c>
      <c r="D5" s="6" t="inlineStr">
        <is>
          <t>平台补贴收入</t>
        </is>
      </c>
      <c r="E5" s="6" t="inlineStr">
        <is>
          <t>Q0103</t>
        </is>
      </c>
      <c r="F5" s="89">
        <f>SUMIFS('1月数据源'!I:I,'1月数据源'!D:D,E5,'1月数据源'!F:F,"杭州实时查科技有限公司")-SUMIFS('1月数据源'!J:J,'1月数据源'!D:D,E5,'1月数据源'!F:F,"杭州实时查科技有限公司")</f>
        <v/>
      </c>
      <c r="G5" s="89">
        <f>SUMIFS('2月数据源'!$I:$I,'2月数据源'!$D:$D,$E5,'2月数据源'!$F:$F,"杭州实时查科技有限公司")-SUMIFS('2月数据源'!$J:$J,'2月数据源'!$D:$D,$E5,'2月数据源'!$F:$F,"杭州实时查科技有限公司")</f>
        <v/>
      </c>
      <c r="H5" s="89">
        <f>SUMIFS('3月数据源'!$I:$I,'3月数据源'!$D:$D,$E5,'3月数据源'!$F:$F,"杭州实时查科技有限公司")-SUMIFS('3月数据源'!$J:$J,'3月数据源'!$D:$D,$E5,'3月数据源'!$F:$F,"杭州实时查科技有限公司")</f>
        <v/>
      </c>
      <c r="I5" s="89">
        <f>SUMIFS('4月数据源'!$I:$I,'4月数据源'!$D:$D,$E5,'4月数据源'!$F:$F,"杭州实时查科技有限公司")-SUMIFS('4月数据源'!$J:$J,'4月数据源'!$D:$D,$E5,'4月数据源'!$F:$F,"杭州实时查科技有限公司")</f>
        <v/>
      </c>
      <c r="J5" s="89">
        <f>SUMIFS('5月数据源'!$I:$I,'5月数据源'!$D:$D,$E5,'5月数据源'!$F:$F,"杭州实时查科技有限公司")-SUMIFS('5月数据源'!$J:$J,'5月数据源'!$D:$D,$E5,'5月数据源'!$F:$F,"杭州实时查科技有限公司")</f>
        <v/>
      </c>
      <c r="K5" s="89">
        <f>SUMIFS('6月数据源'!$I:$I,'6月数据源'!$D:$D,$E5,'6月数据源'!$F:$F,"杭州实时查科技有限公司")-SUMIFS('6月数据源'!$J:$J,'6月数据源'!$D:$D,$E5,'6月数据源'!$F:$F,"杭州实时查科技有限公司")</f>
        <v/>
      </c>
      <c r="L5" s="89">
        <f>SUMIFS('7月数据源'!$I:$I,'7月数据源'!$D:$D,$E5,'7月数据源'!$F:$F,"杭州实时查科技有限公司")-SUMIFS('7月数据源'!$J:$J,'7月数据源'!$D:$D,$E5,'7月数据源'!$F:$F,"杭州实时查科技有限公司")</f>
        <v/>
      </c>
      <c r="M5" s="89">
        <f>SUMIFS('8月数据源'!$I:$I,'8月数据源'!$D:$D,$E5,'8月数据源'!$F:$F,"杭州实时查科技有限公司")-SUMIFS('8月数据源'!$J:$J,'8月数据源'!$D:$D,$E5,'8月数据源'!$F:$F,"杭州实时查科技有限公司")</f>
        <v/>
      </c>
      <c r="N5" s="89">
        <f>SUMIFS('9月数据源'!$I:$I,'9月数据源'!$D:$D,$E5,'9月数据源'!$F:$F,"杭州实时查科技有限公司")-SUMIFS('9月数据源'!$J:$J,'9月数据源'!$D:$D,$E5,'9月数据源'!$F:$F,"杭州实时查科技有限公司")</f>
        <v/>
      </c>
      <c r="O5" s="89">
        <f>SUMIFS('10月数据源'!$I:$I,'10月数据源'!$D:$D,$E5,'10月数据源'!$F:$F,"杭州实时查科技有限公司")-SUMIFS('10月数据源'!$J:$J,'10月数据源'!$D:$D,$E5,'10月数据源'!$F:$F,"杭州实时查科技有限公司")</f>
        <v/>
      </c>
      <c r="P5" s="89">
        <f>SUMIFS('11月数据源'!$I:$I,'11月数据源'!$D:$D,$E5,'11月数据源'!$F:$F,"杭州实时查科技有限公司")-SUMIFS('11月数据源'!$J:$J,'11月数据源'!$D:$D,$E5,'11月数据源'!$F:$F,"杭州实时查科技有限公司")</f>
        <v/>
      </c>
      <c r="Q5" s="89">
        <f>SUMIFS('12月数据源'!$I:$I,'12月数据源'!$D:$D,$E5,'12月数据源'!$F:$F,"杭州实时查科技有限公司")-SUMIFS('12月数据源'!$J:$J,'12月数据源'!$D:$D,$E5,'12月数据源'!$F:$F,"杭州实时查科技有限公司")</f>
        <v/>
      </c>
    </row>
    <row r="6" s="83">
      <c r="A6" s="5" t="inlineStr">
        <is>
          <t>收入</t>
        </is>
      </c>
      <c r="B6" s="6" t="inlineStr">
        <is>
          <t>业务收入</t>
        </is>
      </c>
      <c r="D6" s="6" t="inlineStr">
        <is>
          <t>自习室收入</t>
        </is>
      </c>
      <c r="E6" s="6" t="inlineStr">
        <is>
          <t>Q0104</t>
        </is>
      </c>
      <c r="F6" s="89">
        <f>SUMIFS('1月数据源'!I:I,'1月数据源'!D:D,E6,'1月数据源'!F:F,"杭州实时查科技有限公司")-SUMIFS('1月数据源'!J:J,'1月数据源'!D:D,E6,'1月数据源'!F:F,"杭州实时查科技有限公司")</f>
        <v/>
      </c>
      <c r="G6" s="89">
        <f>SUMIFS('2月数据源'!$I:$I,'2月数据源'!$D:$D,$E6,'2月数据源'!$F:$F,"杭州实时查科技有限公司")-SUMIFS('2月数据源'!$J:$J,'2月数据源'!$D:$D,$E6,'2月数据源'!$F:$F,"杭州实时查科技有限公司")</f>
        <v/>
      </c>
      <c r="H6" s="89">
        <f>SUMIFS('3月数据源'!$I:$I,'3月数据源'!$D:$D,$E6,'3月数据源'!$F:$F,"杭州实时查科技有限公司")-SUMIFS('3月数据源'!$J:$J,'3月数据源'!$D:$D,$E6,'3月数据源'!$F:$F,"杭州实时查科技有限公司")</f>
        <v/>
      </c>
      <c r="I6" s="89">
        <f>SUMIFS('4月数据源'!$I:$I,'4月数据源'!$D:$D,$E6,'4月数据源'!$F:$F,"杭州实时查科技有限公司")-SUMIFS('4月数据源'!$J:$J,'4月数据源'!$D:$D,$E6,'4月数据源'!$F:$F,"杭州实时查科技有限公司")</f>
        <v/>
      </c>
      <c r="J6" s="89">
        <f>SUMIFS('5月数据源'!$I:$I,'5月数据源'!$D:$D,$E6,'5月数据源'!$F:$F,"杭州实时查科技有限公司")-SUMIFS('5月数据源'!$J:$J,'5月数据源'!$D:$D,$E6,'5月数据源'!$F:$F,"杭州实时查科技有限公司")</f>
        <v/>
      </c>
      <c r="K6" s="89">
        <f>SUMIFS('6月数据源'!$I:$I,'6月数据源'!$D:$D,$E6,'6月数据源'!$F:$F,"杭州实时查科技有限公司")-SUMIFS('6月数据源'!$J:$J,'6月数据源'!$D:$D,$E6,'6月数据源'!$F:$F,"杭州实时查科技有限公司")</f>
        <v/>
      </c>
      <c r="L6" s="89">
        <f>SUMIFS('7月数据源'!$I:$I,'7月数据源'!$D:$D,$E6,'7月数据源'!$F:$F,"杭州实时查科技有限公司")-SUMIFS('7月数据源'!$J:$J,'7月数据源'!$D:$D,$E6,'7月数据源'!$F:$F,"杭州实时查科技有限公司")</f>
        <v/>
      </c>
      <c r="M6" s="89">
        <f>SUMIFS('8月数据源'!$I:$I,'8月数据源'!$D:$D,$E6,'8月数据源'!$F:$F,"杭州实时查科技有限公司")-SUMIFS('8月数据源'!$J:$J,'8月数据源'!$D:$D,$E6,'8月数据源'!$F:$F,"杭州实时查科技有限公司")</f>
        <v/>
      </c>
      <c r="N6" s="89">
        <f>SUMIFS('9月数据源'!$I:$I,'9月数据源'!$D:$D,$E6,'9月数据源'!$F:$F,"杭州实时查科技有限公司")-SUMIFS('9月数据源'!$J:$J,'9月数据源'!$D:$D,$E6,'9月数据源'!$F:$F,"杭州实时查科技有限公司")</f>
        <v/>
      </c>
      <c r="O6" s="89">
        <f>SUMIFS('10月数据源'!$I:$I,'10月数据源'!$D:$D,$E6,'10月数据源'!$F:$F,"杭州实时查科技有限公司")-SUMIFS('10月数据源'!$J:$J,'10月数据源'!$D:$D,$E6,'10月数据源'!$F:$F,"杭州实时查科技有限公司")</f>
        <v/>
      </c>
      <c r="P6" s="89">
        <f>SUMIFS('11月数据源'!$I:$I,'11月数据源'!$D:$D,$E6,'11月数据源'!$F:$F,"杭州实时查科技有限公司")-SUMIFS('11月数据源'!$J:$J,'11月数据源'!$D:$D,$E6,'11月数据源'!$F:$F,"杭州实时查科技有限公司")</f>
        <v/>
      </c>
      <c r="Q6" s="89">
        <f>SUMIFS('12月数据源'!$I:$I,'12月数据源'!$D:$D,$E6,'12月数据源'!$F:$F,"杭州实时查科技有限公司")-SUMIFS('12月数据源'!$J:$J,'12月数据源'!$D:$D,$E6,'12月数据源'!$F:$F,"杭州实时查科技有限公司")</f>
        <v/>
      </c>
    </row>
    <row r="7" s="83">
      <c r="A7" s="5" t="inlineStr">
        <is>
          <t>收入</t>
        </is>
      </c>
      <c r="B7" s="6" t="inlineStr">
        <is>
          <t>售后收入</t>
        </is>
      </c>
      <c r="C7" s="6" t="inlineStr">
        <is>
          <t>售后收入</t>
        </is>
      </c>
      <c r="D7" s="6" t="inlineStr">
        <is>
          <t>客户赔偿款</t>
        </is>
      </c>
      <c r="E7" s="6" t="inlineStr">
        <is>
          <t>Q0201</t>
        </is>
      </c>
      <c r="F7" s="89">
        <f>SUMIFS('1月数据源'!I:I,'1月数据源'!D:D,E7,'1月数据源'!F:F,"杭州实时查科技有限公司")-SUMIFS('1月数据源'!J:J,'1月数据源'!D:D,E7,'1月数据源'!F:F,"杭州实时查科技有限公司")</f>
        <v/>
      </c>
      <c r="G7" s="89">
        <f>SUMIFS('2月数据源'!$I:$I,'2月数据源'!$D:$D,$E7,'2月数据源'!$F:$F,"杭州实时查科技有限公司")-SUMIFS('2月数据源'!$J:$J,'2月数据源'!$D:$D,$E7,'2月数据源'!$F:$F,"杭州实时查科技有限公司")</f>
        <v/>
      </c>
      <c r="H7" s="89">
        <f>SUMIFS('3月数据源'!$I:$I,'3月数据源'!$D:$D,$E7,'3月数据源'!$F:$F,"杭州实时查科技有限公司")-SUMIFS('3月数据源'!$J:$J,'3月数据源'!$D:$D,$E7,'3月数据源'!$F:$F,"杭州实时查科技有限公司")</f>
        <v/>
      </c>
      <c r="I7" s="89">
        <f>SUMIFS('4月数据源'!$I:$I,'4月数据源'!$D:$D,$E7,'4月数据源'!$F:$F,"杭州实时查科技有限公司")-SUMIFS('4月数据源'!$J:$J,'4月数据源'!$D:$D,$E7,'4月数据源'!$F:$F,"杭州实时查科技有限公司")</f>
        <v/>
      </c>
      <c r="J7" s="89">
        <f>SUMIFS('5月数据源'!$I:$I,'5月数据源'!$D:$D,$E7,'5月数据源'!$F:$F,"杭州实时查科技有限公司")-SUMIFS('5月数据源'!$J:$J,'5月数据源'!$D:$D,$E7,'5月数据源'!$F:$F,"杭州实时查科技有限公司")</f>
        <v/>
      </c>
      <c r="K7" s="89">
        <f>SUMIFS('6月数据源'!$I:$I,'6月数据源'!$D:$D,$E7,'6月数据源'!$F:$F,"杭州实时查科技有限公司")-SUMIFS('6月数据源'!$J:$J,'6月数据源'!$D:$D,$E7,'6月数据源'!$F:$F,"杭州实时查科技有限公司")</f>
        <v/>
      </c>
      <c r="L7" s="89">
        <f>SUMIFS('7月数据源'!$I:$I,'7月数据源'!$D:$D,$E7,'7月数据源'!$F:$F,"杭州实时查科技有限公司")-SUMIFS('7月数据源'!$J:$J,'7月数据源'!$D:$D,$E7,'7月数据源'!$F:$F,"杭州实时查科技有限公司")</f>
        <v/>
      </c>
      <c r="M7" s="89">
        <f>SUMIFS('8月数据源'!$I:$I,'8月数据源'!$D:$D,$E7,'8月数据源'!$F:$F,"杭州实时查科技有限公司")-SUMIFS('8月数据源'!$J:$J,'8月数据源'!$D:$D,$E7,'8月数据源'!$F:$F,"杭州实时查科技有限公司")</f>
        <v/>
      </c>
      <c r="N7" s="89">
        <f>SUMIFS('9月数据源'!$I:$I,'9月数据源'!$D:$D,$E7,'9月数据源'!$F:$F,"杭州实时查科技有限公司")-SUMIFS('9月数据源'!$J:$J,'9月数据源'!$D:$D,$E7,'9月数据源'!$F:$F,"杭州实时查科技有限公司")</f>
        <v/>
      </c>
      <c r="O7" s="89">
        <f>SUMIFS('10月数据源'!$I:$I,'10月数据源'!$D:$D,$E7,'10月数据源'!$F:$F,"杭州实时查科技有限公司")-SUMIFS('10月数据源'!$J:$J,'10月数据源'!$D:$D,$E7,'10月数据源'!$F:$F,"杭州实时查科技有限公司")</f>
        <v/>
      </c>
      <c r="P7" s="89">
        <f>SUMIFS('11月数据源'!$I:$I,'11月数据源'!$D:$D,$E7,'11月数据源'!$F:$F,"杭州实时查科技有限公司")-SUMIFS('11月数据源'!$J:$J,'11月数据源'!$D:$D,$E7,'11月数据源'!$F:$F,"杭州实时查科技有限公司")</f>
        <v/>
      </c>
      <c r="Q7" s="89">
        <f>SUMIFS('12月数据源'!$I:$I,'12月数据源'!$D:$D,$E7,'12月数据源'!$F:$F,"杭州实时查科技有限公司")-SUMIFS('12月数据源'!$J:$J,'12月数据源'!$D:$D,$E7,'12月数据源'!$F:$F,"杭州实时查科技有限公司")</f>
        <v/>
      </c>
    </row>
    <row r="8" s="83">
      <c r="A8" s="5" t="inlineStr">
        <is>
          <t>收入</t>
        </is>
      </c>
      <c r="B8" s="6" t="inlineStr">
        <is>
          <t>售后收入</t>
        </is>
      </c>
      <c r="D8" s="6" t="inlineStr">
        <is>
          <t>供应商赔偿款</t>
        </is>
      </c>
      <c r="E8" s="6" t="inlineStr">
        <is>
          <t>Q0202</t>
        </is>
      </c>
      <c r="F8" s="89">
        <f>SUMIFS('1月数据源'!I:I,'1月数据源'!D:D,E8,'1月数据源'!F:F,"杭州实时查科技有限公司")-SUMIFS('1月数据源'!J:J,'1月数据源'!D:D,E8,'1月数据源'!F:F,"杭州实时查科技有限公司")</f>
        <v/>
      </c>
      <c r="G8" s="89">
        <f>SUMIFS('2月数据源'!$I:$I,'2月数据源'!$D:$D,$E8,'2月数据源'!$F:$F,"杭州实时查科技有限公司")-SUMIFS('2月数据源'!$J:$J,'2月数据源'!$D:$D,$E8,'2月数据源'!$F:$F,"杭州实时查科技有限公司")</f>
        <v/>
      </c>
      <c r="H8" s="89">
        <f>SUMIFS('3月数据源'!$I:$I,'3月数据源'!$D:$D,$E8,'3月数据源'!$F:$F,"杭州实时查科技有限公司")-SUMIFS('3月数据源'!$J:$J,'3月数据源'!$D:$D,$E8,'3月数据源'!$F:$F,"杭州实时查科技有限公司")</f>
        <v/>
      </c>
      <c r="I8" s="89">
        <f>SUMIFS('4月数据源'!$I:$I,'4月数据源'!$D:$D,$E8,'4月数据源'!$F:$F,"杭州实时查科技有限公司")-SUMIFS('4月数据源'!$J:$J,'4月数据源'!$D:$D,$E8,'4月数据源'!$F:$F,"杭州实时查科技有限公司")</f>
        <v/>
      </c>
      <c r="J8" s="89">
        <f>SUMIFS('5月数据源'!$I:$I,'5月数据源'!$D:$D,$E8,'5月数据源'!$F:$F,"杭州实时查科技有限公司")-SUMIFS('5月数据源'!$J:$J,'5月数据源'!$D:$D,$E8,'5月数据源'!$F:$F,"杭州实时查科技有限公司")</f>
        <v/>
      </c>
      <c r="K8" s="89">
        <f>SUMIFS('6月数据源'!$I:$I,'6月数据源'!$D:$D,$E8,'6月数据源'!$F:$F,"杭州实时查科技有限公司")-SUMIFS('6月数据源'!$J:$J,'6月数据源'!$D:$D,$E8,'6月数据源'!$F:$F,"杭州实时查科技有限公司")</f>
        <v/>
      </c>
      <c r="L8" s="89">
        <f>SUMIFS('7月数据源'!$I:$I,'7月数据源'!$D:$D,$E8,'7月数据源'!$F:$F,"杭州实时查科技有限公司")-SUMIFS('7月数据源'!$J:$J,'7月数据源'!$D:$D,$E8,'7月数据源'!$F:$F,"杭州实时查科技有限公司")</f>
        <v/>
      </c>
      <c r="M8" s="89">
        <f>SUMIFS('8月数据源'!$I:$I,'8月数据源'!$D:$D,$E8,'8月数据源'!$F:$F,"杭州实时查科技有限公司")-SUMIFS('8月数据源'!$J:$J,'8月数据源'!$D:$D,$E8,'8月数据源'!$F:$F,"杭州实时查科技有限公司")</f>
        <v/>
      </c>
      <c r="N8" s="89">
        <f>SUMIFS('9月数据源'!$I:$I,'9月数据源'!$D:$D,$E8,'9月数据源'!$F:$F,"杭州实时查科技有限公司")-SUMIFS('9月数据源'!$J:$J,'9月数据源'!$D:$D,$E8,'9月数据源'!$F:$F,"杭州实时查科技有限公司")</f>
        <v/>
      </c>
      <c r="O8" s="89">
        <f>SUMIFS('10月数据源'!$I:$I,'10月数据源'!$D:$D,$E8,'10月数据源'!$F:$F,"杭州实时查科技有限公司")-SUMIFS('10月数据源'!$J:$J,'10月数据源'!$D:$D,$E8,'10月数据源'!$F:$F,"杭州实时查科技有限公司")</f>
        <v/>
      </c>
      <c r="P8" s="89">
        <f>SUMIFS('11月数据源'!$I:$I,'11月数据源'!$D:$D,$E8,'11月数据源'!$F:$F,"杭州实时查科技有限公司")-SUMIFS('11月数据源'!$J:$J,'11月数据源'!$D:$D,$E8,'11月数据源'!$F:$F,"杭州实时查科技有限公司")</f>
        <v/>
      </c>
      <c r="Q8" s="89">
        <f>SUMIFS('12月数据源'!$I:$I,'12月数据源'!$D:$D,$E8,'12月数据源'!$F:$F,"杭州实时查科技有限公司")-SUMIFS('12月数据源'!$J:$J,'12月数据源'!$D:$D,$E8,'12月数据源'!$F:$F,"杭州实时查科技有限公司")</f>
        <v/>
      </c>
    </row>
    <row r="9" s="83">
      <c r="A9" s="5" t="inlineStr">
        <is>
          <t>收入</t>
        </is>
      </c>
      <c r="B9" s="6" t="inlineStr">
        <is>
          <t>营业外收入</t>
        </is>
      </c>
      <c r="C9" s="6" t="inlineStr">
        <is>
          <t>营业外收入</t>
        </is>
      </c>
      <c r="D9" s="6" t="inlineStr">
        <is>
          <t>政府补贴收入</t>
        </is>
      </c>
      <c r="E9" s="6" t="inlineStr">
        <is>
          <t>Q0301</t>
        </is>
      </c>
      <c r="F9" s="89">
        <f>SUMIFS('1月数据源'!I:I,'1月数据源'!D:D,E9,'1月数据源'!F:F,"杭州实时查科技有限公司")-SUMIFS('1月数据源'!J:J,'1月数据源'!D:D,E9,'1月数据源'!F:F,"杭州实时查科技有限公司")</f>
        <v/>
      </c>
      <c r="G9" s="89">
        <f>SUMIFS('2月数据源'!$I:$I,'2月数据源'!$D:$D,$E9,'2月数据源'!$F:$F,"杭州实时查科技有限公司")-SUMIFS('2月数据源'!$J:$J,'2月数据源'!$D:$D,$E9,'2月数据源'!$F:$F,"杭州实时查科技有限公司")</f>
        <v/>
      </c>
      <c r="H9" s="89">
        <f>SUMIFS('3月数据源'!$I:$I,'3月数据源'!$D:$D,$E9,'3月数据源'!$F:$F,"杭州实时查科技有限公司")-SUMIFS('3月数据源'!$J:$J,'3月数据源'!$D:$D,$E9,'3月数据源'!$F:$F,"杭州实时查科技有限公司")</f>
        <v/>
      </c>
      <c r="I9" s="89">
        <f>SUMIFS('4月数据源'!$I:$I,'4月数据源'!$D:$D,$E9,'4月数据源'!$F:$F,"杭州实时查科技有限公司")-SUMIFS('4月数据源'!$J:$J,'4月数据源'!$D:$D,$E9,'4月数据源'!$F:$F,"杭州实时查科技有限公司")</f>
        <v/>
      </c>
      <c r="J9" s="89">
        <f>SUMIFS('5月数据源'!$I:$I,'5月数据源'!$D:$D,$E9,'5月数据源'!$F:$F,"杭州实时查科技有限公司")-SUMIFS('5月数据源'!$J:$J,'5月数据源'!$D:$D,$E9,'5月数据源'!$F:$F,"杭州实时查科技有限公司")</f>
        <v/>
      </c>
      <c r="K9" s="89">
        <f>SUMIFS('6月数据源'!$I:$I,'6月数据源'!$D:$D,$E9,'6月数据源'!$F:$F,"杭州实时查科技有限公司")-SUMIFS('6月数据源'!$J:$J,'6月数据源'!$D:$D,$E9,'6月数据源'!$F:$F,"杭州实时查科技有限公司")</f>
        <v/>
      </c>
      <c r="L9" s="89">
        <f>SUMIFS('7月数据源'!$I:$I,'7月数据源'!$D:$D,$E9,'7月数据源'!$F:$F,"杭州实时查科技有限公司")-SUMIFS('7月数据源'!$J:$J,'7月数据源'!$D:$D,$E9,'7月数据源'!$F:$F,"杭州实时查科技有限公司")</f>
        <v/>
      </c>
      <c r="M9" s="89">
        <f>SUMIFS('8月数据源'!$I:$I,'8月数据源'!$D:$D,$E9,'8月数据源'!$F:$F,"杭州实时查科技有限公司")-SUMIFS('8月数据源'!$J:$J,'8月数据源'!$D:$D,$E9,'8月数据源'!$F:$F,"杭州实时查科技有限公司")</f>
        <v/>
      </c>
      <c r="N9" s="89">
        <f>SUMIFS('9月数据源'!$I:$I,'9月数据源'!$D:$D,$E9,'9月数据源'!$F:$F,"杭州实时查科技有限公司")-SUMIFS('9月数据源'!$J:$J,'9月数据源'!$D:$D,$E9,'9月数据源'!$F:$F,"杭州实时查科技有限公司")</f>
        <v/>
      </c>
      <c r="O9" s="89">
        <f>SUMIFS('10月数据源'!$I:$I,'10月数据源'!$D:$D,$E9,'10月数据源'!$F:$F,"杭州实时查科技有限公司")-SUMIFS('10月数据源'!$J:$J,'10月数据源'!$D:$D,$E9,'10月数据源'!$F:$F,"杭州实时查科技有限公司")</f>
        <v/>
      </c>
      <c r="P9" s="89">
        <f>SUMIFS('11月数据源'!$I:$I,'11月数据源'!$D:$D,$E9,'11月数据源'!$F:$F,"杭州实时查科技有限公司")-SUMIFS('11月数据源'!$J:$J,'11月数据源'!$D:$D,$E9,'11月数据源'!$F:$F,"杭州实时查科技有限公司")</f>
        <v/>
      </c>
      <c r="Q9" s="89">
        <f>SUMIFS('12月数据源'!$I:$I,'12月数据源'!$D:$D,$E9,'12月数据源'!$F:$F,"杭州实时查科技有限公司")-SUMIFS('12月数据源'!$J:$J,'12月数据源'!$D:$D,$E9,'12月数据源'!$F:$F,"杭州实时查科技有限公司")</f>
        <v/>
      </c>
    </row>
    <row r="10" s="83">
      <c r="A10" s="5" t="inlineStr">
        <is>
          <t>收入</t>
        </is>
      </c>
      <c r="B10" s="6" t="inlineStr">
        <is>
          <t>营业外收入</t>
        </is>
      </c>
      <c r="D10" s="6" t="inlineStr">
        <is>
          <t>利息收入</t>
        </is>
      </c>
      <c r="E10" s="6" t="inlineStr">
        <is>
          <t>Q0302</t>
        </is>
      </c>
      <c r="F10" s="89">
        <f>SUMIFS('1月数据源'!I:I,'1月数据源'!D:D,E10,'1月数据源'!F:F,"杭州实时查科技有限公司")-SUMIFS('1月数据源'!J:J,'1月数据源'!D:D,E10,'1月数据源'!F:F,"杭州实时查科技有限公司")</f>
        <v/>
      </c>
      <c r="G10" s="89">
        <f>SUMIFS('2月数据源'!$I:$I,'2月数据源'!$D:$D,$E10,'2月数据源'!$F:$F,"杭州实时查科技有限公司")-SUMIFS('2月数据源'!$J:$J,'2月数据源'!$D:$D,$E10,'2月数据源'!$F:$F,"杭州实时查科技有限公司")</f>
        <v/>
      </c>
      <c r="H10" s="89">
        <f>SUMIFS('3月数据源'!$I:$I,'3月数据源'!$D:$D,$E10,'3月数据源'!$F:$F,"杭州实时查科技有限公司")-SUMIFS('3月数据源'!$J:$J,'3月数据源'!$D:$D,$E10,'3月数据源'!$F:$F,"杭州实时查科技有限公司")</f>
        <v/>
      </c>
      <c r="I10" s="89">
        <f>SUMIFS('4月数据源'!$I:$I,'4月数据源'!$D:$D,$E10,'4月数据源'!$F:$F,"杭州实时查科技有限公司")-SUMIFS('4月数据源'!$J:$J,'4月数据源'!$D:$D,$E10,'4月数据源'!$F:$F,"杭州实时查科技有限公司")</f>
        <v/>
      </c>
      <c r="J10" s="89">
        <f>SUMIFS('5月数据源'!$I:$I,'5月数据源'!$D:$D,$E10,'5月数据源'!$F:$F,"杭州实时查科技有限公司")-SUMIFS('5月数据源'!$J:$J,'5月数据源'!$D:$D,$E10,'5月数据源'!$F:$F,"杭州实时查科技有限公司")</f>
        <v/>
      </c>
      <c r="K10" s="89">
        <f>SUMIFS('6月数据源'!$I:$I,'6月数据源'!$D:$D,$E10,'6月数据源'!$F:$F,"杭州实时查科技有限公司")-SUMIFS('6月数据源'!$J:$J,'6月数据源'!$D:$D,$E10,'6月数据源'!$F:$F,"杭州实时查科技有限公司")</f>
        <v/>
      </c>
      <c r="L10" s="89">
        <f>SUMIFS('7月数据源'!$I:$I,'7月数据源'!$D:$D,$E10,'7月数据源'!$F:$F,"杭州实时查科技有限公司")-SUMIFS('7月数据源'!$J:$J,'7月数据源'!$D:$D,$E10,'7月数据源'!$F:$F,"杭州实时查科技有限公司")</f>
        <v/>
      </c>
      <c r="M10" s="89">
        <f>SUMIFS('8月数据源'!$I:$I,'8月数据源'!$D:$D,$E10,'8月数据源'!$F:$F,"杭州实时查科技有限公司")-SUMIFS('8月数据源'!$J:$J,'8月数据源'!$D:$D,$E10,'8月数据源'!$F:$F,"杭州实时查科技有限公司")</f>
        <v/>
      </c>
      <c r="N10" s="89">
        <f>SUMIFS('9月数据源'!$I:$I,'9月数据源'!$D:$D,$E10,'9月数据源'!$F:$F,"杭州实时查科技有限公司")-SUMIFS('9月数据源'!$J:$J,'9月数据源'!$D:$D,$E10,'9月数据源'!$F:$F,"杭州实时查科技有限公司")</f>
        <v/>
      </c>
      <c r="O10" s="89">
        <f>SUMIFS('10月数据源'!$I:$I,'10月数据源'!$D:$D,$E10,'10月数据源'!$F:$F,"杭州实时查科技有限公司")-SUMIFS('10月数据源'!$J:$J,'10月数据源'!$D:$D,$E10,'10月数据源'!$F:$F,"杭州实时查科技有限公司")</f>
        <v/>
      </c>
      <c r="P10" s="89">
        <f>SUMIFS('11月数据源'!$I:$I,'11月数据源'!$D:$D,$E10,'11月数据源'!$F:$F,"杭州实时查科技有限公司")-SUMIFS('11月数据源'!$J:$J,'11月数据源'!$D:$D,$E10,'11月数据源'!$F:$F,"杭州实时查科技有限公司")</f>
        <v/>
      </c>
      <c r="Q10" s="89">
        <f>SUMIFS('12月数据源'!$I:$I,'12月数据源'!$D:$D,$E10,'12月数据源'!$F:$F,"杭州实时查科技有限公司")-SUMIFS('12月数据源'!$J:$J,'12月数据源'!$D:$D,$E10,'12月数据源'!$F:$F,"杭州实时查科技有限公司")</f>
        <v/>
      </c>
    </row>
    <row r="11" s="83">
      <c r="A11" s="5" t="inlineStr">
        <is>
          <t>收入</t>
        </is>
      </c>
      <c r="B11" s="6" t="inlineStr">
        <is>
          <t>营业外收入</t>
        </is>
      </c>
      <c r="D11" s="6" t="inlineStr">
        <is>
          <t>其他收入</t>
        </is>
      </c>
      <c r="E11" s="6" t="inlineStr">
        <is>
          <t>Q0303</t>
        </is>
      </c>
      <c r="F11" s="89">
        <f>SUMIFS('1月数据源'!I:I,'1月数据源'!D:D,E11,'1月数据源'!F:F,"杭州实时查科技有限公司")-SUMIFS('1月数据源'!J:J,'1月数据源'!D:D,E11,'1月数据源'!F:F,"杭州实时查科技有限公司")</f>
        <v/>
      </c>
      <c r="G11" s="89">
        <f>SUMIFS('2月数据源'!$I:$I,'2月数据源'!$D:$D,$E11,'2月数据源'!$F:$F,"杭州实时查科技有限公司")-SUMIFS('2月数据源'!$J:$J,'2月数据源'!$D:$D,$E11,'2月数据源'!$F:$F,"杭州实时查科技有限公司")</f>
        <v/>
      </c>
      <c r="H11" s="89">
        <f>SUMIFS('3月数据源'!$I:$I,'3月数据源'!$D:$D,$E11,'3月数据源'!$F:$F,"杭州实时查科技有限公司")-SUMIFS('3月数据源'!$J:$J,'3月数据源'!$D:$D,$E11,'3月数据源'!$F:$F,"杭州实时查科技有限公司")</f>
        <v/>
      </c>
      <c r="I11" s="89">
        <f>SUMIFS('4月数据源'!$I:$I,'4月数据源'!$D:$D,$E11,'4月数据源'!$F:$F,"杭州实时查科技有限公司")-SUMIFS('4月数据源'!$J:$J,'4月数据源'!$D:$D,$E11,'4月数据源'!$F:$F,"杭州实时查科技有限公司")</f>
        <v/>
      </c>
      <c r="J11" s="89">
        <f>SUMIFS('5月数据源'!$I:$I,'5月数据源'!$D:$D,$E11,'5月数据源'!$F:$F,"杭州实时查科技有限公司")-SUMIFS('5月数据源'!$J:$J,'5月数据源'!$D:$D,$E11,'5月数据源'!$F:$F,"杭州实时查科技有限公司")</f>
        <v/>
      </c>
      <c r="K11" s="89">
        <f>SUMIFS('6月数据源'!$I:$I,'6月数据源'!$D:$D,$E11,'6月数据源'!$F:$F,"杭州实时查科技有限公司")-SUMIFS('6月数据源'!$J:$J,'6月数据源'!$D:$D,$E11,'6月数据源'!$F:$F,"杭州实时查科技有限公司")</f>
        <v/>
      </c>
      <c r="L11" s="89">
        <f>SUMIFS('7月数据源'!$I:$I,'7月数据源'!$D:$D,$E11,'7月数据源'!$F:$F,"杭州实时查科技有限公司")-SUMIFS('7月数据源'!$J:$J,'7月数据源'!$D:$D,$E11,'7月数据源'!$F:$F,"杭州实时查科技有限公司")</f>
        <v/>
      </c>
      <c r="M11" s="89">
        <f>SUMIFS('8月数据源'!$I:$I,'8月数据源'!$D:$D,$E11,'8月数据源'!$F:$F,"杭州实时查科技有限公司")-SUMIFS('8月数据源'!$J:$J,'8月数据源'!$D:$D,$E11,'8月数据源'!$F:$F,"杭州实时查科技有限公司")</f>
        <v/>
      </c>
      <c r="N11" s="89">
        <f>SUMIFS('9月数据源'!$I:$I,'9月数据源'!$D:$D,$E11,'9月数据源'!$F:$F,"杭州实时查科技有限公司")-SUMIFS('9月数据源'!$J:$J,'9月数据源'!$D:$D,$E11,'9月数据源'!$F:$F,"杭州实时查科技有限公司")</f>
        <v/>
      </c>
      <c r="O11" s="89">
        <f>SUMIFS('10月数据源'!$I:$I,'10月数据源'!$D:$D,$E11,'10月数据源'!$F:$F,"杭州实时查科技有限公司")-SUMIFS('10月数据源'!$J:$J,'10月数据源'!$D:$D,$E11,'10月数据源'!$F:$F,"杭州实时查科技有限公司")</f>
        <v/>
      </c>
      <c r="P11" s="89">
        <f>SUMIFS('11月数据源'!$I:$I,'11月数据源'!$D:$D,$E11,'11月数据源'!$F:$F,"杭州实时查科技有限公司")-SUMIFS('11月数据源'!$J:$J,'11月数据源'!$D:$D,$E11,'11月数据源'!$F:$F,"杭州实时查科技有限公司")</f>
        <v/>
      </c>
      <c r="Q11" s="89">
        <f>SUMIFS('12月数据源'!$I:$I,'12月数据源'!$D:$D,$E11,'12月数据源'!$F:$F,"杭州实时查科技有限公司")-SUMIFS('12月数据源'!$J:$J,'12月数据源'!$D:$D,$E11,'12月数据源'!$F:$F,"杭州实时查科技有限公司")</f>
        <v/>
      </c>
    </row>
    <row r="12" s="83">
      <c r="A12" s="49" t="inlineStr">
        <is>
          <t>收入合计</t>
        </is>
      </c>
      <c r="B12" s="50" t="n"/>
      <c r="C12" s="50" t="n"/>
      <c r="D12" s="49" t="n"/>
      <c r="E12" s="49" t="n"/>
      <c r="F12" s="89">
        <f>SUM(F3:F11)</f>
        <v/>
      </c>
      <c r="G12" s="89">
        <f>SUM(G3:G11)</f>
        <v/>
      </c>
      <c r="H12" s="89">
        <f>SUM(H3:H11)</f>
        <v/>
      </c>
      <c r="I12" s="89">
        <f>SUM(I3:I11)</f>
        <v/>
      </c>
      <c r="J12" s="89">
        <f>SUM(J3:J11)</f>
        <v/>
      </c>
      <c r="K12" s="89">
        <f>SUM(K3:K11)</f>
        <v/>
      </c>
      <c r="L12" s="89">
        <f>SUM(L3:L11)</f>
        <v/>
      </c>
      <c r="M12" s="89">
        <f>SUM(M3:M11)</f>
        <v/>
      </c>
      <c r="N12" s="89">
        <f>SUM(N3:N11)</f>
        <v/>
      </c>
      <c r="O12" s="89">
        <f>SUM(O3:O11)</f>
        <v/>
      </c>
      <c r="P12" s="89">
        <f>SUM(P3:P11)</f>
        <v/>
      </c>
      <c r="Q12" s="89">
        <f>SUM(Q3:Q11)</f>
        <v/>
      </c>
    </row>
    <row r="13" s="83">
      <c r="A13" s="5" t="inlineStr">
        <is>
          <t>往来款项收入</t>
        </is>
      </c>
      <c r="B13" s="6" t="inlineStr">
        <is>
          <t>往来款项收入</t>
        </is>
      </c>
      <c r="C13" s="6" t="inlineStr">
        <is>
          <t>往来款项收入</t>
        </is>
      </c>
      <c r="D13" s="5" t="inlineStr">
        <is>
          <t>内部往来收入</t>
        </is>
      </c>
      <c r="E13" s="6" t="inlineStr">
        <is>
          <t>Q0401</t>
        </is>
      </c>
      <c r="F13" s="89">
        <f>SUMIFS('1月数据源'!I:I,'1月数据源'!D:D,E13,'1月数据源'!F:F,"杭州实时查科技有限公司")-SUMIFS('1月数据源'!J:J,'1月数据源'!D:D,E13,'1月数据源'!F:F,"杭州实时查科技有限公司")</f>
        <v/>
      </c>
      <c r="G13" s="89">
        <f>SUMIFS('2月数据源'!$I:$I,'2月数据源'!$D:$D,$E13,'2月数据源'!$F:$F,"杭州实时查科技有限公司")-SUMIFS('2月数据源'!$J:$J,'2月数据源'!$D:$D,$E13,'2月数据源'!$F:$F,"杭州实时查科技有限公司")</f>
        <v/>
      </c>
      <c r="H13" s="89">
        <f>SUMIFS('3月数据源'!$I:$I,'3月数据源'!$D:$D,$E13,'3月数据源'!$F:$F,"杭州实时查科技有限公司")-SUMIFS('3月数据源'!$J:$J,'3月数据源'!$D:$D,$E13,'3月数据源'!$F:$F,"杭州实时查科技有限公司")</f>
        <v/>
      </c>
      <c r="I13" s="89">
        <f>SUMIFS('4月数据源'!$I:$I,'4月数据源'!$D:$D,$E13,'4月数据源'!$F:$F,"杭州实时查科技有限公司")-SUMIFS('4月数据源'!$J:$J,'4月数据源'!$D:$D,$E13,'4月数据源'!$F:$F,"杭州实时查科技有限公司")</f>
        <v/>
      </c>
      <c r="J13" s="89">
        <f>SUMIFS('5月数据源'!$I:$I,'5月数据源'!$D:$D,$E13,'5月数据源'!$F:$F,"杭州实时查科技有限公司")-SUMIFS('5月数据源'!$J:$J,'5月数据源'!$D:$D,$E13,'5月数据源'!$F:$F,"杭州实时查科技有限公司")</f>
        <v/>
      </c>
      <c r="K13" s="89">
        <f>SUMIFS('6月数据源'!$I:$I,'6月数据源'!$D:$D,$E13,'6月数据源'!$F:$F,"杭州实时查科技有限公司")-SUMIFS('6月数据源'!$J:$J,'6月数据源'!$D:$D,$E13,'6月数据源'!$F:$F,"杭州实时查科技有限公司")</f>
        <v/>
      </c>
      <c r="L13" s="89">
        <f>SUMIFS('7月数据源'!$I:$I,'7月数据源'!$D:$D,$E13,'7月数据源'!$F:$F,"杭州实时查科技有限公司")-SUMIFS('7月数据源'!$J:$J,'7月数据源'!$D:$D,$E13,'7月数据源'!$F:$F,"杭州实时查科技有限公司")</f>
        <v/>
      </c>
      <c r="M13" s="89">
        <f>SUMIFS('8月数据源'!$I:$I,'8月数据源'!$D:$D,$E13,'8月数据源'!$F:$F,"杭州实时查科技有限公司")-SUMIFS('8月数据源'!$J:$J,'8月数据源'!$D:$D,$E13,'8月数据源'!$F:$F,"杭州实时查科技有限公司")</f>
        <v/>
      </c>
      <c r="N13" s="89">
        <f>SUMIFS('9月数据源'!$I:$I,'9月数据源'!$D:$D,$E13,'9月数据源'!$F:$F,"杭州实时查科技有限公司")-SUMIFS('9月数据源'!$J:$J,'9月数据源'!$D:$D,$E13,'9月数据源'!$F:$F,"杭州实时查科技有限公司")</f>
        <v/>
      </c>
      <c r="O13" s="89">
        <f>SUMIFS('10月数据源'!$I:$I,'10月数据源'!$D:$D,$E13,'10月数据源'!$F:$F,"杭州实时查科技有限公司")-SUMIFS('10月数据源'!$J:$J,'10月数据源'!$D:$D,$E13,'10月数据源'!$F:$F,"杭州实时查科技有限公司")</f>
        <v/>
      </c>
      <c r="P13" s="89">
        <f>SUMIFS('11月数据源'!$I:$I,'11月数据源'!$D:$D,$E13,'11月数据源'!$F:$F,"杭州实时查科技有限公司")-SUMIFS('11月数据源'!$J:$J,'11月数据源'!$D:$D,$E13,'11月数据源'!$F:$F,"杭州实时查科技有限公司")</f>
        <v/>
      </c>
      <c r="Q13" s="89">
        <f>SUMIFS('12月数据源'!$I:$I,'12月数据源'!$D:$D,$E13,'12月数据源'!$F:$F,"杭州实时查科技有限公司")-SUMIFS('12月数据源'!$J:$J,'12月数据源'!$D:$D,$E13,'12月数据源'!$F:$F,"杭州实时查科技有限公司")</f>
        <v/>
      </c>
    </row>
    <row r="14" s="83">
      <c r="A14" s="5" t="inlineStr">
        <is>
          <t>往来款项收入</t>
        </is>
      </c>
      <c r="B14" s="6" t="inlineStr">
        <is>
          <t>往来款项收入</t>
        </is>
      </c>
      <c r="D14" s="5" t="inlineStr">
        <is>
          <t>外部往来收入</t>
        </is>
      </c>
      <c r="E14" s="6" t="inlineStr">
        <is>
          <t>Q0402</t>
        </is>
      </c>
      <c r="F14" s="89">
        <f>SUMIFS('1月数据源'!I:I,'1月数据源'!D:D,E14,'1月数据源'!F:F,"杭州实时查科技有限公司")-SUMIFS('1月数据源'!J:J,'1月数据源'!D:D,E14,'1月数据源'!F:F,"杭州实时查科技有限公司")</f>
        <v/>
      </c>
      <c r="G14" s="89">
        <f>SUMIFS('2月数据源'!$I:$I,'2月数据源'!$D:$D,$E14,'2月数据源'!$F:$F,"杭州实时查科技有限公司")-SUMIFS('2月数据源'!$J:$J,'2月数据源'!$D:$D,$E14,'2月数据源'!$F:$F,"杭州实时查科技有限公司")</f>
        <v/>
      </c>
      <c r="H14" s="89">
        <f>SUMIFS('3月数据源'!$I:$I,'3月数据源'!$D:$D,$E14,'3月数据源'!$F:$F,"杭州实时查科技有限公司")-SUMIFS('3月数据源'!$J:$J,'3月数据源'!$D:$D,$E14,'3月数据源'!$F:$F,"杭州实时查科技有限公司")</f>
        <v/>
      </c>
      <c r="I14" s="89">
        <f>SUMIFS('4月数据源'!$I:$I,'4月数据源'!$D:$D,$E14,'4月数据源'!$F:$F,"杭州实时查科技有限公司")-SUMIFS('4月数据源'!$J:$J,'4月数据源'!$D:$D,$E14,'4月数据源'!$F:$F,"杭州实时查科技有限公司")</f>
        <v/>
      </c>
      <c r="J14" s="89">
        <f>SUMIFS('5月数据源'!$I:$I,'5月数据源'!$D:$D,$E14,'5月数据源'!$F:$F,"杭州实时查科技有限公司")-SUMIFS('5月数据源'!$J:$J,'5月数据源'!$D:$D,$E14,'5月数据源'!$F:$F,"杭州实时查科技有限公司")</f>
        <v/>
      </c>
      <c r="K14" s="89">
        <f>SUMIFS('6月数据源'!$I:$I,'6月数据源'!$D:$D,$E14,'6月数据源'!$F:$F,"杭州实时查科技有限公司")-SUMIFS('6月数据源'!$J:$J,'6月数据源'!$D:$D,$E14,'6月数据源'!$F:$F,"杭州实时查科技有限公司")</f>
        <v/>
      </c>
      <c r="L14" s="89">
        <f>SUMIFS('7月数据源'!$I:$I,'7月数据源'!$D:$D,$E14,'7月数据源'!$F:$F,"杭州实时查科技有限公司")-SUMIFS('7月数据源'!$J:$J,'7月数据源'!$D:$D,$E14,'7月数据源'!$F:$F,"杭州实时查科技有限公司")</f>
        <v/>
      </c>
      <c r="M14" s="89">
        <f>SUMIFS('8月数据源'!$I:$I,'8月数据源'!$D:$D,$E14,'8月数据源'!$F:$F,"杭州实时查科技有限公司")-SUMIFS('8月数据源'!$J:$J,'8月数据源'!$D:$D,$E14,'8月数据源'!$F:$F,"杭州实时查科技有限公司")</f>
        <v/>
      </c>
      <c r="N14" s="89">
        <f>SUMIFS('9月数据源'!$I:$I,'9月数据源'!$D:$D,$E14,'9月数据源'!$F:$F,"杭州实时查科技有限公司")-SUMIFS('9月数据源'!$J:$J,'9月数据源'!$D:$D,$E14,'9月数据源'!$F:$F,"杭州实时查科技有限公司")</f>
        <v/>
      </c>
      <c r="O14" s="89">
        <f>SUMIFS('10月数据源'!$I:$I,'10月数据源'!$D:$D,$E14,'10月数据源'!$F:$F,"杭州实时查科技有限公司")-SUMIFS('10月数据源'!$J:$J,'10月数据源'!$D:$D,$E14,'10月数据源'!$F:$F,"杭州实时查科技有限公司")</f>
        <v/>
      </c>
      <c r="P14" s="89">
        <f>SUMIFS('11月数据源'!$I:$I,'11月数据源'!$D:$D,$E14,'11月数据源'!$F:$F,"杭州实时查科技有限公司")-SUMIFS('11月数据源'!$J:$J,'11月数据源'!$D:$D,$E14,'11月数据源'!$F:$F,"杭州实时查科技有限公司")</f>
        <v/>
      </c>
      <c r="Q14" s="89">
        <f>SUMIFS('12月数据源'!$I:$I,'12月数据源'!$D:$D,$E14,'12月数据源'!$F:$F,"杭州实时查科技有限公司")-SUMIFS('12月数据源'!$J:$J,'12月数据源'!$D:$D,$E14,'12月数据源'!$F:$F,"杭州实时查科技有限公司")</f>
        <v/>
      </c>
    </row>
    <row r="15" s="83">
      <c r="A15" s="49" t="inlineStr">
        <is>
          <t>往来款项收入合计</t>
        </is>
      </c>
      <c r="B15" s="50" t="n"/>
      <c r="C15" s="50" t="n"/>
      <c r="D15" s="49" t="n"/>
      <c r="E15" s="49" t="n"/>
      <c r="F15" s="89">
        <f>SUM(F13:F14)</f>
        <v/>
      </c>
      <c r="G15" s="89">
        <f>SUM(G13:G14)</f>
        <v/>
      </c>
      <c r="H15" s="89">
        <f>SUM(H13:H14)</f>
        <v/>
      </c>
      <c r="I15" s="89">
        <f>SUM(I13:I14)</f>
        <v/>
      </c>
      <c r="J15" s="89">
        <f>SUM(J13:J14)</f>
        <v/>
      </c>
      <c r="K15" s="89">
        <f>SUM(K13:K14)</f>
        <v/>
      </c>
      <c r="L15" s="89">
        <f>SUM(L13:L14)</f>
        <v/>
      </c>
      <c r="M15" s="89">
        <f>SUM(M13:M14)</f>
        <v/>
      </c>
      <c r="N15" s="89">
        <f>SUM(N13:N14)</f>
        <v/>
      </c>
      <c r="O15" s="89">
        <f>SUM(O13:O14)</f>
        <v/>
      </c>
      <c r="P15" s="89">
        <f>SUM(P13:P14)</f>
        <v/>
      </c>
      <c r="Q15" s="89">
        <f>SUM(Q13:Q14)</f>
        <v/>
      </c>
    </row>
    <row r="16" s="83">
      <c r="A16" s="5" t="inlineStr">
        <is>
          <t>投资款收入</t>
        </is>
      </c>
      <c r="B16" s="6" t="inlineStr">
        <is>
          <t>投资款收入</t>
        </is>
      </c>
      <c r="C16" s="6" t="inlineStr">
        <is>
          <t>投资款收入</t>
        </is>
      </c>
      <c r="D16" s="5" t="inlineStr">
        <is>
          <t>内部投资款收入</t>
        </is>
      </c>
      <c r="E16" s="6" t="inlineStr">
        <is>
          <t>Q0501</t>
        </is>
      </c>
      <c r="F16" s="89">
        <f>SUMIFS('1月数据源'!I:I,'1月数据源'!D:D,E16,'1月数据源'!F:F,"杭州实时查科技有限公司")-SUMIFS('1月数据源'!J:J,'1月数据源'!D:D,E16,'1月数据源'!F:F,"杭州实时查科技有限公司")</f>
        <v/>
      </c>
      <c r="G16" s="89">
        <f>SUMIFS('2月数据源'!$I:$I,'2月数据源'!$D:$D,$E16,'2月数据源'!$F:$F,"杭州实时查科技有限公司")-SUMIFS('2月数据源'!$J:$J,'2月数据源'!$D:$D,$E16,'2月数据源'!$F:$F,"杭州实时查科技有限公司")</f>
        <v/>
      </c>
      <c r="H16" s="89">
        <f>SUMIFS('3月数据源'!$I:$I,'3月数据源'!$D:$D,$E16,'3月数据源'!$F:$F,"杭州实时查科技有限公司")-SUMIFS('3月数据源'!$J:$J,'3月数据源'!$D:$D,$E16,'3月数据源'!$F:$F,"杭州实时查科技有限公司")</f>
        <v/>
      </c>
      <c r="I16" s="89">
        <f>SUMIFS('4月数据源'!$I:$I,'4月数据源'!$D:$D,$E16,'4月数据源'!$F:$F,"杭州实时查科技有限公司")-SUMIFS('4月数据源'!$J:$J,'4月数据源'!$D:$D,$E16,'4月数据源'!$F:$F,"杭州实时查科技有限公司")</f>
        <v/>
      </c>
      <c r="J16" s="89">
        <f>SUMIFS('5月数据源'!$I:$I,'5月数据源'!$D:$D,$E16,'5月数据源'!$F:$F,"杭州实时查科技有限公司")-SUMIFS('5月数据源'!$J:$J,'5月数据源'!$D:$D,$E16,'5月数据源'!$F:$F,"杭州实时查科技有限公司")</f>
        <v/>
      </c>
      <c r="K16" s="89">
        <f>SUMIFS('6月数据源'!$I:$I,'6月数据源'!$D:$D,$E16,'6月数据源'!$F:$F,"杭州实时查科技有限公司")-SUMIFS('6月数据源'!$J:$J,'6月数据源'!$D:$D,$E16,'6月数据源'!$F:$F,"杭州实时查科技有限公司")</f>
        <v/>
      </c>
      <c r="L16" s="89">
        <f>SUMIFS('7月数据源'!$I:$I,'7月数据源'!$D:$D,$E16,'7月数据源'!$F:$F,"杭州实时查科技有限公司")-SUMIFS('7月数据源'!$J:$J,'7月数据源'!$D:$D,$E16,'7月数据源'!$F:$F,"杭州实时查科技有限公司")</f>
        <v/>
      </c>
      <c r="M16" s="89">
        <f>SUMIFS('8月数据源'!$I:$I,'8月数据源'!$D:$D,$E16,'8月数据源'!$F:$F,"杭州实时查科技有限公司")-SUMIFS('8月数据源'!$J:$J,'8月数据源'!$D:$D,$E16,'8月数据源'!$F:$F,"杭州实时查科技有限公司")</f>
        <v/>
      </c>
      <c r="N16" s="89">
        <f>SUMIFS('9月数据源'!$I:$I,'9月数据源'!$D:$D,$E16,'9月数据源'!$F:$F,"杭州实时查科技有限公司")-SUMIFS('9月数据源'!$J:$J,'9月数据源'!$D:$D,$E16,'9月数据源'!$F:$F,"杭州实时查科技有限公司")</f>
        <v/>
      </c>
      <c r="O16" s="89">
        <f>SUMIFS('10月数据源'!$I:$I,'10月数据源'!$D:$D,$E16,'10月数据源'!$F:$F,"杭州实时查科技有限公司")-SUMIFS('10月数据源'!$J:$J,'10月数据源'!$D:$D,$E16,'10月数据源'!$F:$F,"杭州实时查科技有限公司")</f>
        <v/>
      </c>
      <c r="P16" s="89">
        <f>SUMIFS('11月数据源'!$I:$I,'11月数据源'!$D:$D,$E16,'11月数据源'!$F:$F,"杭州实时查科技有限公司")-SUMIFS('11月数据源'!$J:$J,'11月数据源'!$D:$D,$E16,'11月数据源'!$F:$F,"杭州实时查科技有限公司")</f>
        <v/>
      </c>
      <c r="Q16" s="89">
        <f>SUMIFS('12月数据源'!$I:$I,'12月数据源'!$D:$D,$E16,'12月数据源'!$F:$F,"杭州实时查科技有限公司")-SUMIFS('12月数据源'!$J:$J,'12月数据源'!$D:$D,$E16,'12月数据源'!$F:$F,"杭州实时查科技有限公司")</f>
        <v/>
      </c>
    </row>
    <row r="17" s="83">
      <c r="A17" s="5" t="inlineStr">
        <is>
          <t>投资款收入</t>
        </is>
      </c>
      <c r="B17" s="6" t="inlineStr">
        <is>
          <t>投资款收入</t>
        </is>
      </c>
      <c r="D17" s="5" t="inlineStr">
        <is>
          <t>外部投资款收入</t>
        </is>
      </c>
      <c r="E17" s="6" t="inlineStr">
        <is>
          <t>Q0502</t>
        </is>
      </c>
      <c r="F17" s="89">
        <f>SUMIFS('1月数据源'!I:I,'1月数据源'!D:D,E17,'1月数据源'!F:F,"杭州实时查科技有限公司")-SUMIFS('1月数据源'!J:J,'1月数据源'!D:D,E17,'1月数据源'!F:F,"杭州实时查科技有限公司")</f>
        <v/>
      </c>
      <c r="G17" s="89">
        <f>SUMIFS('2月数据源'!$I:$I,'2月数据源'!$D:$D,$E17,'2月数据源'!$F:$F,"杭州实时查科技有限公司")-SUMIFS('2月数据源'!$J:$J,'2月数据源'!$D:$D,$E17,'2月数据源'!$F:$F,"杭州实时查科技有限公司")</f>
        <v/>
      </c>
      <c r="H17" s="89">
        <f>SUMIFS('3月数据源'!$I:$I,'3月数据源'!$D:$D,$E17,'3月数据源'!$F:$F,"杭州实时查科技有限公司")-SUMIFS('3月数据源'!$J:$J,'3月数据源'!$D:$D,$E17,'3月数据源'!$F:$F,"杭州实时查科技有限公司")</f>
        <v/>
      </c>
      <c r="I17" s="89">
        <f>SUMIFS('4月数据源'!$I:$I,'4月数据源'!$D:$D,$E17,'4月数据源'!$F:$F,"杭州实时查科技有限公司")-SUMIFS('4月数据源'!$J:$J,'4月数据源'!$D:$D,$E17,'4月数据源'!$F:$F,"杭州实时查科技有限公司")</f>
        <v/>
      </c>
      <c r="J17" s="89">
        <f>SUMIFS('5月数据源'!$I:$I,'5月数据源'!$D:$D,$E17,'5月数据源'!$F:$F,"杭州实时查科技有限公司")-SUMIFS('5月数据源'!$J:$J,'5月数据源'!$D:$D,$E17,'5月数据源'!$F:$F,"杭州实时查科技有限公司")</f>
        <v/>
      </c>
      <c r="K17" s="89">
        <f>SUMIFS('6月数据源'!$I:$I,'6月数据源'!$D:$D,$E17,'6月数据源'!$F:$F,"杭州实时查科技有限公司")-SUMIFS('6月数据源'!$J:$J,'6月数据源'!$D:$D,$E17,'6月数据源'!$F:$F,"杭州实时查科技有限公司")</f>
        <v/>
      </c>
      <c r="L17" s="89">
        <f>SUMIFS('7月数据源'!$I:$I,'7月数据源'!$D:$D,$E17,'7月数据源'!$F:$F,"杭州实时查科技有限公司")-SUMIFS('7月数据源'!$J:$J,'7月数据源'!$D:$D,$E17,'7月数据源'!$F:$F,"杭州实时查科技有限公司")</f>
        <v/>
      </c>
      <c r="M17" s="89">
        <f>SUMIFS('8月数据源'!$I:$I,'8月数据源'!$D:$D,$E17,'8月数据源'!$F:$F,"杭州实时查科技有限公司")-SUMIFS('8月数据源'!$J:$J,'8月数据源'!$D:$D,$E17,'8月数据源'!$F:$F,"杭州实时查科技有限公司")</f>
        <v/>
      </c>
      <c r="N17" s="89">
        <f>SUMIFS('9月数据源'!$I:$I,'9月数据源'!$D:$D,$E17,'9月数据源'!$F:$F,"杭州实时查科技有限公司")-SUMIFS('9月数据源'!$J:$J,'9月数据源'!$D:$D,$E17,'9月数据源'!$F:$F,"杭州实时查科技有限公司")</f>
        <v/>
      </c>
      <c r="O17" s="89">
        <f>SUMIFS('10月数据源'!$I:$I,'10月数据源'!$D:$D,$E17,'10月数据源'!$F:$F,"杭州实时查科技有限公司")-SUMIFS('10月数据源'!$J:$J,'10月数据源'!$D:$D,$E17,'10月数据源'!$F:$F,"杭州实时查科技有限公司")</f>
        <v/>
      </c>
      <c r="P17" s="89">
        <f>SUMIFS('11月数据源'!$I:$I,'11月数据源'!$D:$D,$E17,'11月数据源'!$F:$F,"杭州实时查科技有限公司")-SUMIFS('11月数据源'!$J:$J,'11月数据源'!$D:$D,$E17,'11月数据源'!$F:$F,"杭州实时查科技有限公司")</f>
        <v/>
      </c>
      <c r="Q17" s="89">
        <f>SUMIFS('12月数据源'!$I:$I,'12月数据源'!$D:$D,$E17,'12月数据源'!$F:$F,"杭州实时查科技有限公司")-SUMIFS('12月数据源'!$J:$J,'12月数据源'!$D:$D,$E17,'12月数据源'!$F:$F,"杭州实时查科技有限公司")</f>
        <v/>
      </c>
    </row>
    <row r="18" s="83">
      <c r="A18" s="49" t="inlineStr">
        <is>
          <t>投资款收入合计</t>
        </is>
      </c>
      <c r="B18" s="50" t="n"/>
      <c r="C18" s="50" t="n"/>
      <c r="D18" s="49" t="n"/>
      <c r="E18" s="49" t="n"/>
      <c r="F18" s="89">
        <f>SUM(F16:F17)</f>
        <v/>
      </c>
      <c r="G18" s="89">
        <f>SUM(G16:G17)</f>
        <v/>
      </c>
      <c r="H18" s="89">
        <f>SUM(H16:H17)</f>
        <v/>
      </c>
      <c r="I18" s="89">
        <f>SUM(I16:I17)</f>
        <v/>
      </c>
      <c r="J18" s="89">
        <f>SUM(J16:J17)</f>
        <v/>
      </c>
      <c r="K18" s="89">
        <f>SUM(K16:K17)</f>
        <v/>
      </c>
      <c r="L18" s="89">
        <f>SUM(L16:L17)</f>
        <v/>
      </c>
      <c r="M18" s="89">
        <f>SUM(M16:M17)</f>
        <v/>
      </c>
      <c r="N18" s="89">
        <f>SUM(N16:N17)</f>
        <v/>
      </c>
      <c r="O18" s="89">
        <f>SUM(O16:O17)</f>
        <v/>
      </c>
      <c r="P18" s="89">
        <f>SUM(P16:P17)</f>
        <v/>
      </c>
      <c r="Q18" s="89">
        <f>SUM(Q16:Q17)</f>
        <v/>
      </c>
    </row>
    <row r="19" s="83">
      <c r="A19" s="51" t="inlineStr">
        <is>
          <t>收款合计</t>
        </is>
      </c>
      <c r="B19" s="52" t="n"/>
      <c r="C19" s="52" t="n"/>
      <c r="D19" s="51" t="n"/>
      <c r="E19" s="51" t="n"/>
      <c r="F19" s="89">
        <f>F12+F15+F18</f>
        <v/>
      </c>
      <c r="G19" s="89">
        <f>G12+G15+G18</f>
        <v/>
      </c>
      <c r="H19" s="89">
        <f>H12+H15+H18</f>
        <v/>
      </c>
      <c r="I19" s="89">
        <f>I12+I15+I18</f>
        <v/>
      </c>
      <c r="J19" s="89">
        <f>J12+J15+J18</f>
        <v/>
      </c>
      <c r="K19" s="89">
        <f>K12+K15+K18</f>
        <v/>
      </c>
      <c r="L19" s="89">
        <f>L12+L15+L18</f>
        <v/>
      </c>
      <c r="M19" s="89">
        <f>M12+M15+M18</f>
        <v/>
      </c>
      <c r="N19" s="89">
        <f>N12+N15+N18</f>
        <v/>
      </c>
      <c r="O19" s="89">
        <f>O12+O15+O18</f>
        <v/>
      </c>
      <c r="P19" s="89">
        <f>P12+P15+P18</f>
        <v/>
      </c>
      <c r="Q19" s="89">
        <f>Q12+Q15+Q18</f>
        <v/>
      </c>
    </row>
    <row r="20" s="83">
      <c r="A20" s="5" t="inlineStr">
        <is>
          <t>往来款项支出</t>
        </is>
      </c>
      <c r="B20" s="6" t="inlineStr">
        <is>
          <t>往来款项支出</t>
        </is>
      </c>
      <c r="C20" s="6" t="inlineStr">
        <is>
          <t>往来款项支出</t>
        </is>
      </c>
      <c r="D20" s="5" t="inlineStr">
        <is>
          <t>内部往来支出</t>
        </is>
      </c>
      <c r="E20" s="6" t="inlineStr">
        <is>
          <t>Q0601</t>
        </is>
      </c>
      <c r="F20" s="89">
        <f>-SUMIFS('1月数据源'!$I:$I,'1月数据源'!$D:$D,$E20,'1月数据源'!$F:$F,"杭州实时查科技有限公司")+SUMIFS('1月数据源'!$J:$J,'1月数据源'!$D:$D,$E20,'1月数据源'!$F:$F,"杭州实时查科技有限公司")</f>
        <v/>
      </c>
      <c r="G20" s="89">
        <f>-SUMIFS('2月数据源'!$I:$I,'2月数据源'!$D:$D,$E20,'2月数据源'!$F:$F,"杭州实时查科技有限公司")+SUMIFS('2月数据源'!$J:$J,'2月数据源'!$D:$D,$E20,'2月数据源'!$F:$F,"杭州实时查科技有限公司")</f>
        <v/>
      </c>
      <c r="H20" s="89">
        <f>-SUMIFS('3月数据源'!$I:$I,'3月数据源'!$D:$D,$E20,'3月数据源'!$F:$F,"杭州实时查科技有限公司")+SUMIFS('3月数据源'!$J:$J,'3月数据源'!$D:$D,$E20,'3月数据源'!$F:$F,"杭州实时查科技有限公司")</f>
        <v/>
      </c>
      <c r="I20" s="89">
        <f>-SUMIFS('4月数据源'!$I:$I,'4月数据源'!$D:$D,$E20,'4月数据源'!$F:$F,"杭州实时查科技有限公司")+SUMIFS('4月数据源'!$J:$J,'4月数据源'!$D:$D,$E20,'4月数据源'!$F:$F,"杭州实时查科技有限公司")</f>
        <v/>
      </c>
      <c r="J20" s="89">
        <f>-SUMIFS('5月数据源'!$I:$I,'5月数据源'!$D:$D,$E20,'5月数据源'!$F:$F,"杭州实时查科技有限公司")+SUMIFS('5月数据源'!$J:$J,'5月数据源'!$D:$D,$E20,'5月数据源'!$F:$F,"杭州实时查科技有限公司")</f>
        <v/>
      </c>
      <c r="K20" s="89">
        <f>-SUMIFS('6月数据源'!$I:$I,'6月数据源'!$D:$D,$E20,'6月数据源'!$F:$F,"杭州实时查科技有限公司")+SUMIFS('6月数据源'!$J:$J,'6月数据源'!$D:$D,$E20,'6月数据源'!$F:$F,"杭州实时查科技有限公司")</f>
        <v/>
      </c>
      <c r="L20" s="89">
        <f>-SUMIFS('7月数据源'!$I:$I,'7月数据源'!$D:$D,$E20,'7月数据源'!$F:$F,"杭州实时查科技有限公司")+SUMIFS('7月数据源'!$J:$J,'7月数据源'!$D:$D,$E20,'7月数据源'!$F:$F,"杭州实时查科技有限公司")</f>
        <v/>
      </c>
      <c r="M20" s="89">
        <f>-SUMIFS('8月数据源'!$I:$I,'8月数据源'!$D:$D,$E20,'8月数据源'!$F:$F,"杭州实时查科技有限公司")+SUMIFS('8月数据源'!$J:$J,'8月数据源'!$D:$D,$E20,'8月数据源'!$F:$F,"杭州实时查科技有限公司")</f>
        <v/>
      </c>
      <c r="N20" s="89">
        <f>-SUMIFS('9月数据源'!$I:$I,'9月数据源'!$D:$D,$E20,'9月数据源'!$F:$F,"杭州实时查科技有限公司")+SUMIFS('9月数据源'!$J:$J,'9月数据源'!$D:$D,$E20,'9月数据源'!$F:$F,"杭州实时查科技有限公司")</f>
        <v/>
      </c>
      <c r="O20" s="89">
        <f>-SUMIFS('10月数据源'!$I:$I,'10月数据源'!$D:$D,$E20,'10月数据源'!$F:$F,"杭州实时查科技有限公司")+SUMIFS('10月数据源'!$J:$J,'10月数据源'!$D:$D,$E20,'10月数据源'!$F:$F,"杭州实时查科技有限公司")</f>
        <v/>
      </c>
      <c r="P20" s="89">
        <f>-SUMIFS('11月数据源'!$I:$I,'11月数据源'!$D:$D,$E20,'11月数据源'!$F:$F,"杭州实时查科技有限公司")+SUMIFS('11月数据源'!$J:$J,'11月数据源'!$D:$D,$E20,'11月数据源'!$F:$F,"杭州实时查科技有限公司")</f>
        <v/>
      </c>
      <c r="Q20" s="89">
        <f>-SUMIFS('12月数据源'!$I:$I,'12月数据源'!$D:$D,$E20,'12月数据源'!$F:$F,"杭州实时查科技有限公司")+SUMIFS('12月数据源'!$J:$J,'12月数据源'!$D:$D,$E20,'12月数据源'!$F:$F,"杭州实时查科技有限公司")</f>
        <v/>
      </c>
    </row>
    <row r="21" s="83">
      <c r="A21" s="5" t="inlineStr">
        <is>
          <t>往来款项支出</t>
        </is>
      </c>
      <c r="B21" s="6" t="inlineStr">
        <is>
          <t>往来款项支出</t>
        </is>
      </c>
      <c r="D21" s="5" t="inlineStr">
        <is>
          <t>外部往来支出</t>
        </is>
      </c>
      <c r="E21" s="6" t="inlineStr">
        <is>
          <t>Q0602</t>
        </is>
      </c>
      <c r="F21" s="89">
        <f>-SUMIFS('1月数据源'!I:I,'1月数据源'!D:D,E21,'1月数据源'!F:F,"杭州实时查科技有限公司")+SUMIFS('1月数据源'!J:J,'1月数据源'!D:D,E21,'1月数据源'!F:F,"杭州实时查科技有限公司")</f>
        <v/>
      </c>
      <c r="G21" s="89">
        <f>-SUMIFS('2月数据源'!$I:$I,'2月数据源'!$D:$D,$E21,'2月数据源'!$F:$F,"杭州实时查科技有限公司")+SUMIFS('2月数据源'!$J:$J,'2月数据源'!$D:$D,$E21,'2月数据源'!$F:$F,"杭州实时查科技有限公司")</f>
        <v/>
      </c>
      <c r="H21" s="89">
        <f>-SUMIFS('3月数据源'!$I:$I,'3月数据源'!$D:$D,$E21,'3月数据源'!$F:$F,"杭州实时查科技有限公司")+SUMIFS('3月数据源'!$J:$J,'3月数据源'!$D:$D,$E21,'3月数据源'!$F:$F,"杭州实时查科技有限公司")</f>
        <v/>
      </c>
      <c r="I21" s="89">
        <f>-SUMIFS('4月数据源'!$I:$I,'4月数据源'!$D:$D,$E21,'4月数据源'!$F:$F,"杭州实时查科技有限公司")+SUMIFS('4月数据源'!$J:$J,'4月数据源'!$D:$D,$E21,'4月数据源'!$F:$F,"杭州实时查科技有限公司")</f>
        <v/>
      </c>
      <c r="J21" s="89">
        <f>-SUMIFS('5月数据源'!$I:$I,'5月数据源'!$D:$D,$E21,'5月数据源'!$F:$F,"杭州实时查科技有限公司")+SUMIFS('5月数据源'!$J:$J,'5月数据源'!$D:$D,$E21,'5月数据源'!$F:$F,"杭州实时查科技有限公司")</f>
        <v/>
      </c>
      <c r="K21" s="89">
        <f>-SUMIFS('6月数据源'!$I:$I,'6月数据源'!$D:$D,$E21,'6月数据源'!$F:$F,"杭州实时查科技有限公司")+SUMIFS('6月数据源'!$J:$J,'6月数据源'!$D:$D,$E21,'6月数据源'!$F:$F,"杭州实时查科技有限公司")</f>
        <v/>
      </c>
      <c r="L21" s="89">
        <f>-SUMIFS('7月数据源'!$I:$I,'7月数据源'!$D:$D,$E21,'7月数据源'!$F:$F,"杭州实时查科技有限公司")+SUMIFS('7月数据源'!$J:$J,'7月数据源'!$D:$D,$E21,'7月数据源'!$F:$F,"杭州实时查科技有限公司")</f>
        <v/>
      </c>
      <c r="M21" s="89">
        <f>-SUMIFS('8月数据源'!$I:$I,'8月数据源'!$D:$D,$E21,'8月数据源'!$F:$F,"杭州实时查科技有限公司")+SUMIFS('8月数据源'!$J:$J,'8月数据源'!$D:$D,$E21,'8月数据源'!$F:$F,"杭州实时查科技有限公司")</f>
        <v/>
      </c>
      <c r="N21" s="89">
        <f>-SUMIFS('9月数据源'!$I:$I,'9月数据源'!$D:$D,$E21,'9月数据源'!$F:$F,"杭州实时查科技有限公司")+SUMIFS('9月数据源'!$J:$J,'9月数据源'!$D:$D,$E21,'9月数据源'!$F:$F,"杭州实时查科技有限公司")</f>
        <v/>
      </c>
      <c r="O21" s="89">
        <f>-SUMIFS('10月数据源'!$I:$I,'10月数据源'!$D:$D,$E21,'10月数据源'!$F:$F,"杭州实时查科技有限公司")+SUMIFS('10月数据源'!$J:$J,'10月数据源'!$D:$D,$E21,'10月数据源'!$F:$F,"杭州实时查科技有限公司")</f>
        <v/>
      </c>
      <c r="P21" s="89">
        <f>-SUMIFS('11月数据源'!$I:$I,'11月数据源'!$D:$D,$E21,'11月数据源'!$F:$F,"杭州实时查科技有限公司")+SUMIFS('11月数据源'!$J:$J,'11月数据源'!$D:$D,$E21,'11月数据源'!$F:$F,"杭州实时查科技有限公司")</f>
        <v/>
      </c>
      <c r="Q21" s="89">
        <f>-SUMIFS('12月数据源'!$I:$I,'12月数据源'!$D:$D,$E21,'12月数据源'!$F:$F,"杭州实时查科技有限公司")+SUMIFS('12月数据源'!$J:$J,'12月数据源'!$D:$D,$E21,'12月数据源'!$F:$F,"杭州实时查科技有限公司")</f>
        <v/>
      </c>
    </row>
    <row r="22" s="83">
      <c r="A22" s="49" t="inlineStr">
        <is>
          <t>往来款项支出合计</t>
        </is>
      </c>
      <c r="B22" s="50" t="n"/>
      <c r="C22" s="50" t="n"/>
      <c r="D22" s="49" t="n"/>
      <c r="E22" s="49" t="n"/>
      <c r="F22" s="89">
        <f>SUM(F20:F21)</f>
        <v/>
      </c>
      <c r="G22" s="89">
        <f>SUM(G20:G21)</f>
        <v/>
      </c>
      <c r="H22" s="89">
        <f>SUM(H20:H21)</f>
        <v/>
      </c>
      <c r="I22" s="89">
        <f>SUM(I20:I21)</f>
        <v/>
      </c>
      <c r="J22" s="89">
        <f>SUM(J20:J21)</f>
        <v/>
      </c>
      <c r="K22" s="89">
        <f>SUM(K20:K21)</f>
        <v/>
      </c>
      <c r="L22" s="89">
        <f>SUM(L20:L21)</f>
        <v/>
      </c>
      <c r="M22" s="89">
        <f>SUM(M20:M21)</f>
        <v/>
      </c>
      <c r="N22" s="89">
        <f>SUM(N20:N21)</f>
        <v/>
      </c>
      <c r="O22" s="89">
        <f>SUM(O20:O21)</f>
        <v/>
      </c>
      <c r="P22" s="89">
        <f>SUM(P20:P21)</f>
        <v/>
      </c>
      <c r="Q22" s="89">
        <f>SUM(Q20:Q21)</f>
        <v/>
      </c>
    </row>
    <row r="23" s="83">
      <c r="A23" s="5" t="inlineStr">
        <is>
          <t>投资款支出</t>
        </is>
      </c>
      <c r="B23" s="6" t="inlineStr">
        <is>
          <t>投资款支出</t>
        </is>
      </c>
      <c r="C23" s="6" t="inlineStr">
        <is>
          <t>投资款支出</t>
        </is>
      </c>
      <c r="D23" s="5" t="inlineStr">
        <is>
          <t>内部投资款支出</t>
        </is>
      </c>
      <c r="E23" s="6" t="inlineStr">
        <is>
          <t>Q0701</t>
        </is>
      </c>
      <c r="F23" s="89">
        <f>-SUMIFS('1月数据源'!I:I,'1月数据源'!D:D,E23,'1月数据源'!F:F,"杭州实时查科技有限公司")+SUMIFS('1月数据源'!J:J,'1月数据源'!D:D,E23,'1月数据源'!F:F,"杭州实时查科技有限公司")</f>
        <v/>
      </c>
      <c r="G23" s="89">
        <f>-SUMIFS('2月数据源'!$I:$I,'2月数据源'!$D:$D,$E23,'2月数据源'!$F:$F,"杭州实时查科技有限公司")+SUMIFS('2月数据源'!$J:$J,'2月数据源'!$D:$D,$E23,'2月数据源'!$F:$F,"杭州实时查科技有限公司")</f>
        <v/>
      </c>
      <c r="H23" s="89">
        <f>-SUMIFS('3月数据源'!$I:$I,'3月数据源'!$D:$D,$E23,'3月数据源'!$F:$F,"杭州实时查科技有限公司")+SUMIFS('3月数据源'!$J:$J,'3月数据源'!$D:$D,$E23,'3月数据源'!$F:$F,"杭州实时查科技有限公司")</f>
        <v/>
      </c>
      <c r="I23" s="89">
        <f>-SUMIFS('4月数据源'!$I:$I,'4月数据源'!$D:$D,$E23,'4月数据源'!$F:$F,"杭州实时查科技有限公司")+SUMIFS('4月数据源'!$J:$J,'4月数据源'!$D:$D,$E23,'4月数据源'!$F:$F,"杭州实时查科技有限公司")</f>
        <v/>
      </c>
      <c r="J23" s="89">
        <f>-SUMIFS('5月数据源'!$I:$I,'5月数据源'!$D:$D,$E23,'5月数据源'!$F:$F,"杭州实时查科技有限公司")+SUMIFS('5月数据源'!$J:$J,'5月数据源'!$D:$D,$E23,'5月数据源'!$F:$F,"杭州实时查科技有限公司")</f>
        <v/>
      </c>
      <c r="K23" s="89">
        <f>-SUMIFS('6月数据源'!$I:$I,'6月数据源'!$D:$D,$E23,'6月数据源'!$F:$F,"杭州实时查科技有限公司")+SUMIFS('6月数据源'!$J:$J,'6月数据源'!$D:$D,$E23,'6月数据源'!$F:$F,"杭州实时查科技有限公司")</f>
        <v/>
      </c>
      <c r="L23" s="89">
        <f>-SUMIFS('7月数据源'!$I:$I,'7月数据源'!$D:$D,$E23,'7月数据源'!$F:$F,"杭州实时查科技有限公司")+SUMIFS('7月数据源'!$J:$J,'7月数据源'!$D:$D,$E23,'7月数据源'!$F:$F,"杭州实时查科技有限公司")</f>
        <v/>
      </c>
      <c r="M23" s="89">
        <f>-SUMIFS('8月数据源'!$I:$I,'8月数据源'!$D:$D,$E23,'8月数据源'!$F:$F,"杭州实时查科技有限公司")+SUMIFS('8月数据源'!$J:$J,'8月数据源'!$D:$D,$E23,'8月数据源'!$F:$F,"杭州实时查科技有限公司")</f>
        <v/>
      </c>
      <c r="N23" s="89">
        <f>-SUMIFS('9月数据源'!$I:$I,'9月数据源'!$D:$D,$E23,'9月数据源'!$F:$F,"杭州实时查科技有限公司")+SUMIFS('9月数据源'!$J:$J,'9月数据源'!$D:$D,$E23,'9月数据源'!$F:$F,"杭州实时查科技有限公司")</f>
        <v/>
      </c>
      <c r="O23" s="89">
        <f>-SUMIFS('10月数据源'!$I:$I,'10月数据源'!$D:$D,$E23,'10月数据源'!$F:$F,"杭州实时查科技有限公司")+SUMIFS('10月数据源'!$J:$J,'10月数据源'!$D:$D,$E23,'10月数据源'!$F:$F,"杭州实时查科技有限公司")</f>
        <v/>
      </c>
      <c r="P23" s="89">
        <f>-SUMIFS('11月数据源'!$I:$I,'11月数据源'!$D:$D,$E23,'11月数据源'!$F:$F,"杭州实时查科技有限公司")+SUMIFS('11月数据源'!$J:$J,'11月数据源'!$D:$D,$E23,'11月数据源'!$F:$F,"杭州实时查科技有限公司")</f>
        <v/>
      </c>
      <c r="Q23" s="89">
        <f>-SUMIFS('12月数据源'!$I:$I,'12月数据源'!$D:$D,$E23,'12月数据源'!$F:$F,"杭州实时查科技有限公司")+SUMIFS('12月数据源'!$J:$J,'12月数据源'!$D:$D,$E23,'12月数据源'!$F:$F,"杭州实时查科技有限公司")</f>
        <v/>
      </c>
    </row>
    <row r="24" s="83">
      <c r="A24" s="49" t="inlineStr">
        <is>
          <t>投资款支出合计</t>
        </is>
      </c>
      <c r="B24" s="50" t="n"/>
      <c r="C24" s="50" t="n"/>
      <c r="D24" s="49" t="n"/>
      <c r="E24" s="49" t="n"/>
      <c r="F24" s="89">
        <f>SUM(F23:F23)</f>
        <v/>
      </c>
      <c r="G24" s="89">
        <f>SUM(G23:G23)</f>
        <v/>
      </c>
      <c r="H24" s="89">
        <f>SUM(H23:H23)</f>
        <v/>
      </c>
      <c r="I24" s="89">
        <f>SUM(I23:I23)</f>
        <v/>
      </c>
      <c r="J24" s="89">
        <f>SUM(J23:J23)</f>
        <v/>
      </c>
      <c r="K24" s="89">
        <f>SUM(K23:K23)</f>
        <v/>
      </c>
      <c r="L24" s="89">
        <f>SUM(L23:L23)</f>
        <v/>
      </c>
      <c r="M24" s="89">
        <f>SUM(M23:M23)</f>
        <v/>
      </c>
      <c r="N24" s="89">
        <f>SUM(N23:N23)</f>
        <v/>
      </c>
      <c r="O24" s="89">
        <f>SUM(O23:O23)</f>
        <v/>
      </c>
      <c r="P24" s="89">
        <f>SUM(P23:P23)</f>
        <v/>
      </c>
      <c r="Q24" s="89">
        <f>SUM(Q23:Q23)</f>
        <v/>
      </c>
    </row>
    <row r="25" s="83">
      <c r="A25" s="5" t="inlineStr">
        <is>
          <t>人工成本</t>
        </is>
      </c>
      <c r="B25" s="6" t="inlineStr">
        <is>
          <t>人工成本</t>
        </is>
      </c>
      <c r="C25" s="6" t="inlineStr">
        <is>
          <t>人工成本</t>
        </is>
      </c>
      <c r="D25" s="5" t="inlineStr">
        <is>
          <t>实发工资</t>
        </is>
      </c>
      <c r="E25" s="6" t="inlineStr">
        <is>
          <t>Q0801</t>
        </is>
      </c>
      <c r="F25" s="89">
        <f>-SUMIFS('1月数据源'!I:I,'1月数据源'!D:D,E25,'1月数据源'!F:F,"杭州实时查科技有限公司")+SUMIFS('1月数据源'!J:J,'1月数据源'!D:D,E25,'1月数据源'!F:F,"杭州实时查科技有限公司")</f>
        <v/>
      </c>
      <c r="G25" s="89">
        <f>-SUMIFS('2月数据源'!$I:$I,'2月数据源'!$D:$D,$E25,'2月数据源'!$F:$F,"杭州实时查科技有限公司")+SUMIFS('2月数据源'!$J:$J,'2月数据源'!$D:$D,$E25,'2月数据源'!$F:$F,"杭州实时查科技有限公司")</f>
        <v/>
      </c>
      <c r="H25" s="89">
        <f>-SUMIFS('3月数据源'!$I:$I,'3月数据源'!$D:$D,$E25,'3月数据源'!$F:$F,"杭州实时查科技有限公司")+SUMIFS('3月数据源'!$J:$J,'3月数据源'!$D:$D,$E25,'3月数据源'!$F:$F,"杭州实时查科技有限公司")</f>
        <v/>
      </c>
      <c r="I25" s="89">
        <f>-SUMIFS('4月数据源'!$I:$I,'4月数据源'!$D:$D,$E25,'4月数据源'!$F:$F,"杭州实时查科技有限公司")+SUMIFS('4月数据源'!$J:$J,'4月数据源'!$D:$D,$E25,'4月数据源'!$F:$F,"杭州实时查科技有限公司")</f>
        <v/>
      </c>
      <c r="J25" s="89">
        <f>-SUMIFS('5月数据源'!$I:$I,'5月数据源'!$D:$D,$E25,'5月数据源'!$F:$F,"杭州实时查科技有限公司")+SUMIFS('5月数据源'!$J:$J,'5月数据源'!$D:$D,$E25,'5月数据源'!$F:$F,"杭州实时查科技有限公司")</f>
        <v/>
      </c>
      <c r="K25" s="89">
        <f>-SUMIFS('6月数据源'!$I:$I,'6月数据源'!$D:$D,$E25,'6月数据源'!$F:$F,"杭州实时查科技有限公司")+SUMIFS('6月数据源'!$J:$J,'6月数据源'!$D:$D,$E25,'6月数据源'!$F:$F,"杭州实时查科技有限公司")</f>
        <v/>
      </c>
      <c r="L25" s="89">
        <f>-SUMIFS('7月数据源'!$I:$I,'7月数据源'!$D:$D,$E25,'7月数据源'!$F:$F,"杭州实时查科技有限公司")+SUMIFS('7月数据源'!$J:$J,'7月数据源'!$D:$D,$E25,'7月数据源'!$F:$F,"杭州实时查科技有限公司")</f>
        <v/>
      </c>
      <c r="M25" s="89">
        <f>-SUMIFS('8月数据源'!$I:$I,'8月数据源'!$D:$D,$E25,'8月数据源'!$F:$F,"杭州实时查科技有限公司")+SUMIFS('8月数据源'!$J:$J,'8月数据源'!$D:$D,$E25,'8月数据源'!$F:$F,"杭州实时查科技有限公司")</f>
        <v/>
      </c>
      <c r="N25" s="89">
        <f>-SUMIFS('9月数据源'!$I:$I,'9月数据源'!$D:$D,$E25,'9月数据源'!$F:$F,"杭州实时查科技有限公司")+SUMIFS('9月数据源'!$J:$J,'9月数据源'!$D:$D,$E25,'9月数据源'!$F:$F,"杭州实时查科技有限公司")</f>
        <v/>
      </c>
      <c r="O25" s="89">
        <f>-SUMIFS('10月数据源'!$I:$I,'10月数据源'!$D:$D,$E25,'10月数据源'!$F:$F,"杭州实时查科技有限公司")+SUMIFS('10月数据源'!$J:$J,'10月数据源'!$D:$D,$E25,'10月数据源'!$F:$F,"杭州实时查科技有限公司")</f>
        <v/>
      </c>
      <c r="P25" s="89">
        <f>-SUMIFS('11月数据源'!$I:$I,'11月数据源'!$D:$D,$E25,'11月数据源'!$F:$F,"杭州实时查科技有限公司")+SUMIFS('11月数据源'!$J:$J,'11月数据源'!$D:$D,$E25,'11月数据源'!$F:$F,"杭州实时查科技有限公司")</f>
        <v/>
      </c>
      <c r="Q25" s="89">
        <f>-SUMIFS('12月数据源'!$I:$I,'12月数据源'!$D:$D,$E25,'12月数据源'!$F:$F,"杭州实时查科技有限公司")+SUMIFS('12月数据源'!$J:$J,'12月数据源'!$D:$D,$E25,'12月数据源'!$F:$F,"杭州实时查科技有限公司")</f>
        <v/>
      </c>
    </row>
    <row r="26" s="83">
      <c r="A26" s="5" t="inlineStr">
        <is>
          <t>人工成本</t>
        </is>
      </c>
      <c r="B26" s="6" t="inlineStr">
        <is>
          <t>人工成本</t>
        </is>
      </c>
      <c r="D26" s="5" t="inlineStr">
        <is>
          <t>奖金</t>
        </is>
      </c>
      <c r="E26" s="6" t="inlineStr">
        <is>
          <t>Q0802</t>
        </is>
      </c>
      <c r="F26" s="89">
        <f>-SUMIFS('1月数据源'!I:I,'1月数据源'!D:D,E26,'1月数据源'!F:F,"杭州实时查科技有限公司")+SUMIFS('1月数据源'!J:J,'1月数据源'!D:D,E26,'1月数据源'!F:F,"杭州实时查科技有限公司")</f>
        <v/>
      </c>
      <c r="G26" s="89">
        <f>-SUMIFS('2月数据源'!$I:$I,'2月数据源'!$D:$D,$E26,'2月数据源'!$F:$F,"杭州实时查科技有限公司")+SUMIFS('2月数据源'!$J:$J,'2月数据源'!$D:$D,$E26,'2月数据源'!$F:$F,"杭州实时查科技有限公司")</f>
        <v/>
      </c>
      <c r="H26" s="89">
        <f>-SUMIFS('3月数据源'!$I:$I,'3月数据源'!$D:$D,$E26,'3月数据源'!$F:$F,"杭州实时查科技有限公司")+SUMIFS('3月数据源'!$J:$J,'3月数据源'!$D:$D,$E26,'3月数据源'!$F:$F,"杭州实时查科技有限公司")</f>
        <v/>
      </c>
      <c r="I26" s="89">
        <f>-SUMIFS('4月数据源'!$I:$I,'4月数据源'!$D:$D,$E26,'4月数据源'!$F:$F,"杭州实时查科技有限公司")+SUMIFS('4月数据源'!$J:$J,'4月数据源'!$D:$D,$E26,'4月数据源'!$F:$F,"杭州实时查科技有限公司")</f>
        <v/>
      </c>
      <c r="J26" s="89">
        <f>-SUMIFS('5月数据源'!$I:$I,'5月数据源'!$D:$D,$E26,'5月数据源'!$F:$F,"杭州实时查科技有限公司")+SUMIFS('5月数据源'!$J:$J,'5月数据源'!$D:$D,$E26,'5月数据源'!$F:$F,"杭州实时查科技有限公司")</f>
        <v/>
      </c>
      <c r="K26" s="89">
        <f>-SUMIFS('6月数据源'!$I:$I,'6月数据源'!$D:$D,$E26,'6月数据源'!$F:$F,"杭州实时查科技有限公司")+SUMIFS('6月数据源'!$J:$J,'6月数据源'!$D:$D,$E26,'6月数据源'!$F:$F,"杭州实时查科技有限公司")</f>
        <v/>
      </c>
      <c r="L26" s="89">
        <f>-SUMIFS('7月数据源'!$I:$I,'7月数据源'!$D:$D,$E26,'7月数据源'!$F:$F,"杭州实时查科技有限公司")+SUMIFS('7月数据源'!$J:$J,'7月数据源'!$D:$D,$E26,'7月数据源'!$F:$F,"杭州实时查科技有限公司")</f>
        <v/>
      </c>
      <c r="M26" s="89">
        <f>-SUMIFS('8月数据源'!$I:$I,'8月数据源'!$D:$D,$E26,'8月数据源'!$F:$F,"杭州实时查科技有限公司")+SUMIFS('8月数据源'!$J:$J,'8月数据源'!$D:$D,$E26,'8月数据源'!$F:$F,"杭州实时查科技有限公司")</f>
        <v/>
      </c>
      <c r="N26" s="89">
        <f>-SUMIFS('9月数据源'!$I:$I,'9月数据源'!$D:$D,$E26,'9月数据源'!$F:$F,"杭州实时查科技有限公司")+SUMIFS('9月数据源'!$J:$J,'9月数据源'!$D:$D,$E26,'9月数据源'!$F:$F,"杭州实时查科技有限公司")</f>
        <v/>
      </c>
      <c r="O26" s="89">
        <f>-SUMIFS('10月数据源'!$I:$I,'10月数据源'!$D:$D,$E26,'10月数据源'!$F:$F,"杭州实时查科技有限公司")+SUMIFS('10月数据源'!$J:$J,'10月数据源'!$D:$D,$E26,'10月数据源'!$F:$F,"杭州实时查科技有限公司")</f>
        <v/>
      </c>
      <c r="P26" s="89">
        <f>-SUMIFS('11月数据源'!$I:$I,'11月数据源'!$D:$D,$E26,'11月数据源'!$F:$F,"杭州实时查科技有限公司")+SUMIFS('11月数据源'!$J:$J,'11月数据源'!$D:$D,$E26,'11月数据源'!$F:$F,"杭州实时查科技有限公司")</f>
        <v/>
      </c>
      <c r="Q26" s="89">
        <f>-SUMIFS('12月数据源'!$I:$I,'12月数据源'!$D:$D,$E26,'12月数据源'!$F:$F,"杭州实时查科技有限公司")+SUMIFS('12月数据源'!$J:$J,'12月数据源'!$D:$D,$E26,'12月数据源'!$F:$F,"杭州实时查科技有限公司")</f>
        <v/>
      </c>
    </row>
    <row r="27" s="83">
      <c r="A27" s="5" t="inlineStr">
        <is>
          <t>人工成本</t>
        </is>
      </c>
      <c r="B27" s="6" t="inlineStr">
        <is>
          <t>人工成本</t>
        </is>
      </c>
      <c r="D27" s="5" t="inlineStr">
        <is>
          <t>社保（单位+个人）</t>
        </is>
      </c>
      <c r="E27" s="6" t="inlineStr">
        <is>
          <t>Q0803</t>
        </is>
      </c>
      <c r="F27" s="89">
        <f>-SUMIFS('1月数据源'!I:I,'1月数据源'!D:D,E27,'1月数据源'!F:F,"杭州实时查科技有限公司")+SUMIFS('1月数据源'!J:J,'1月数据源'!D:D,E27,'1月数据源'!F:F,"杭州实时查科技有限公司")</f>
        <v/>
      </c>
      <c r="G27" s="89">
        <f>-SUMIFS('2月数据源'!$I:$I,'2月数据源'!$D:$D,$E27,'2月数据源'!$F:$F,"杭州实时查科技有限公司")+SUMIFS('2月数据源'!$J:$J,'2月数据源'!$D:$D,$E27,'2月数据源'!$F:$F,"杭州实时查科技有限公司")</f>
        <v/>
      </c>
      <c r="H27" s="89">
        <f>-SUMIFS('3月数据源'!$I:$I,'3月数据源'!$D:$D,$E27,'3月数据源'!$F:$F,"杭州实时查科技有限公司")+SUMIFS('3月数据源'!$J:$J,'3月数据源'!$D:$D,$E27,'3月数据源'!$F:$F,"杭州实时查科技有限公司")</f>
        <v/>
      </c>
      <c r="I27" s="89">
        <f>-SUMIFS('4月数据源'!$I:$I,'4月数据源'!$D:$D,$E27,'4月数据源'!$F:$F,"杭州实时查科技有限公司")+SUMIFS('4月数据源'!$J:$J,'4月数据源'!$D:$D,$E27,'4月数据源'!$F:$F,"杭州实时查科技有限公司")</f>
        <v/>
      </c>
      <c r="J27" s="89">
        <f>-SUMIFS('5月数据源'!$I:$I,'5月数据源'!$D:$D,$E27,'5月数据源'!$F:$F,"杭州实时查科技有限公司")+SUMIFS('5月数据源'!$J:$J,'5月数据源'!$D:$D,$E27,'5月数据源'!$F:$F,"杭州实时查科技有限公司")</f>
        <v/>
      </c>
      <c r="K27" s="89">
        <f>-SUMIFS('6月数据源'!$I:$I,'6月数据源'!$D:$D,$E27,'6月数据源'!$F:$F,"杭州实时查科技有限公司")+SUMIFS('6月数据源'!$J:$J,'6月数据源'!$D:$D,$E27,'6月数据源'!$F:$F,"杭州实时查科技有限公司")</f>
        <v/>
      </c>
      <c r="L27" s="89">
        <f>-SUMIFS('7月数据源'!$I:$I,'7月数据源'!$D:$D,$E27,'7月数据源'!$F:$F,"杭州实时查科技有限公司")+SUMIFS('7月数据源'!$J:$J,'7月数据源'!$D:$D,$E27,'7月数据源'!$F:$F,"杭州实时查科技有限公司")</f>
        <v/>
      </c>
      <c r="M27" s="89">
        <f>-SUMIFS('8月数据源'!$I:$I,'8月数据源'!$D:$D,$E27,'8月数据源'!$F:$F,"杭州实时查科技有限公司")+SUMIFS('8月数据源'!$J:$J,'8月数据源'!$D:$D,$E27,'8月数据源'!$F:$F,"杭州实时查科技有限公司")</f>
        <v/>
      </c>
      <c r="N27" s="89">
        <f>-SUMIFS('9月数据源'!$I:$I,'9月数据源'!$D:$D,$E27,'9月数据源'!$F:$F,"杭州实时查科技有限公司")+SUMIFS('9月数据源'!$J:$J,'9月数据源'!$D:$D,$E27,'9月数据源'!$F:$F,"杭州实时查科技有限公司")</f>
        <v/>
      </c>
      <c r="O27" s="89">
        <f>-SUMIFS('10月数据源'!$I:$I,'10月数据源'!$D:$D,$E27,'10月数据源'!$F:$F,"杭州实时查科技有限公司")+SUMIFS('10月数据源'!$J:$J,'10月数据源'!$D:$D,$E27,'10月数据源'!$F:$F,"杭州实时查科技有限公司")</f>
        <v/>
      </c>
      <c r="P27" s="89">
        <f>-SUMIFS('11月数据源'!$I:$I,'11月数据源'!$D:$D,$E27,'11月数据源'!$F:$F,"杭州实时查科技有限公司")+SUMIFS('11月数据源'!$J:$J,'11月数据源'!$D:$D,$E27,'11月数据源'!$F:$F,"杭州实时查科技有限公司")</f>
        <v/>
      </c>
      <c r="Q27" s="89">
        <f>-SUMIFS('12月数据源'!$I:$I,'12月数据源'!$D:$D,$E27,'12月数据源'!$F:$F,"杭州实时查科技有限公司")+SUMIFS('12月数据源'!$J:$J,'12月数据源'!$D:$D,$E27,'12月数据源'!$F:$F,"杭州实时查科技有限公司")</f>
        <v/>
      </c>
    </row>
    <row r="28" s="83">
      <c r="A28" s="5" t="inlineStr">
        <is>
          <t>人工成本</t>
        </is>
      </c>
      <c r="B28" s="6" t="inlineStr">
        <is>
          <t>人工成本</t>
        </is>
      </c>
      <c r="D28" s="5" t="inlineStr">
        <is>
          <t>公积金（单位+个人）</t>
        </is>
      </c>
      <c r="E28" s="6" t="inlineStr">
        <is>
          <t>Q0804</t>
        </is>
      </c>
      <c r="F28" s="89">
        <f>-SUMIFS('1月数据源'!I:I,'1月数据源'!D:D,E28,'1月数据源'!F:F,"杭州实时查科技有限公司")+SUMIFS('1月数据源'!J:J,'1月数据源'!D:D,E28,'1月数据源'!F:F,"杭州实时查科技有限公司")</f>
        <v/>
      </c>
      <c r="G28" s="89">
        <f>-SUMIFS('2月数据源'!$I:$I,'2月数据源'!$D:$D,$E28,'2月数据源'!$F:$F,"杭州实时查科技有限公司")+SUMIFS('2月数据源'!$J:$J,'2月数据源'!$D:$D,$E28,'2月数据源'!$F:$F,"杭州实时查科技有限公司")</f>
        <v/>
      </c>
      <c r="H28" s="89">
        <f>-SUMIFS('3月数据源'!$I:$I,'3月数据源'!$D:$D,$E28,'3月数据源'!$F:$F,"杭州实时查科技有限公司")+SUMIFS('3月数据源'!$J:$J,'3月数据源'!$D:$D,$E28,'3月数据源'!$F:$F,"杭州实时查科技有限公司")</f>
        <v/>
      </c>
      <c r="I28" s="89">
        <f>-SUMIFS('4月数据源'!$I:$I,'4月数据源'!$D:$D,$E28,'4月数据源'!$F:$F,"杭州实时查科技有限公司")+SUMIFS('4月数据源'!$J:$J,'4月数据源'!$D:$D,$E28,'4月数据源'!$F:$F,"杭州实时查科技有限公司")</f>
        <v/>
      </c>
      <c r="J28" s="89">
        <f>-SUMIFS('5月数据源'!$I:$I,'5月数据源'!$D:$D,$E28,'5月数据源'!$F:$F,"杭州实时查科技有限公司")+SUMIFS('5月数据源'!$J:$J,'5月数据源'!$D:$D,$E28,'5月数据源'!$F:$F,"杭州实时查科技有限公司")</f>
        <v/>
      </c>
      <c r="K28" s="89">
        <f>-SUMIFS('6月数据源'!$I:$I,'6月数据源'!$D:$D,$E28,'6月数据源'!$F:$F,"杭州实时查科技有限公司")+SUMIFS('6月数据源'!$J:$J,'6月数据源'!$D:$D,$E28,'6月数据源'!$F:$F,"杭州实时查科技有限公司")</f>
        <v/>
      </c>
      <c r="L28" s="89">
        <f>-SUMIFS('7月数据源'!$I:$I,'7月数据源'!$D:$D,$E28,'7月数据源'!$F:$F,"杭州实时查科技有限公司")+SUMIFS('7月数据源'!$J:$J,'7月数据源'!$D:$D,$E28,'7月数据源'!$F:$F,"杭州实时查科技有限公司")</f>
        <v/>
      </c>
      <c r="M28" s="89">
        <f>-SUMIFS('8月数据源'!$I:$I,'8月数据源'!$D:$D,$E28,'8月数据源'!$F:$F,"杭州实时查科技有限公司")+SUMIFS('8月数据源'!$J:$J,'8月数据源'!$D:$D,$E28,'8月数据源'!$F:$F,"杭州实时查科技有限公司")</f>
        <v/>
      </c>
      <c r="N28" s="89">
        <f>-SUMIFS('9月数据源'!$I:$I,'9月数据源'!$D:$D,$E28,'9月数据源'!$F:$F,"杭州实时查科技有限公司")+SUMIFS('9月数据源'!$J:$J,'9月数据源'!$D:$D,$E28,'9月数据源'!$F:$F,"杭州实时查科技有限公司")</f>
        <v/>
      </c>
      <c r="O28" s="89">
        <f>-SUMIFS('10月数据源'!$I:$I,'10月数据源'!$D:$D,$E28,'10月数据源'!$F:$F,"杭州实时查科技有限公司")+SUMIFS('10月数据源'!$J:$J,'10月数据源'!$D:$D,$E28,'10月数据源'!$F:$F,"杭州实时查科技有限公司")</f>
        <v/>
      </c>
      <c r="P28" s="89">
        <f>-SUMIFS('11月数据源'!$I:$I,'11月数据源'!$D:$D,$E28,'11月数据源'!$F:$F,"杭州实时查科技有限公司")+SUMIFS('11月数据源'!$J:$J,'11月数据源'!$D:$D,$E28,'11月数据源'!$F:$F,"杭州实时查科技有限公司")</f>
        <v/>
      </c>
      <c r="Q28" s="89">
        <f>-SUMIFS('12月数据源'!$I:$I,'12月数据源'!$D:$D,$E28,'12月数据源'!$F:$F,"杭州实时查科技有限公司")+SUMIFS('12月数据源'!$J:$J,'12月数据源'!$D:$D,$E28,'12月数据源'!$F:$F,"杭州实时查科技有限公司")</f>
        <v/>
      </c>
    </row>
    <row r="29" s="83">
      <c r="A29" s="5" t="inlineStr">
        <is>
          <t>人工成本</t>
        </is>
      </c>
      <c r="B29" s="6" t="inlineStr">
        <is>
          <t>人工成本</t>
        </is>
      </c>
      <c r="D29" s="5" t="inlineStr">
        <is>
          <t>个税</t>
        </is>
      </c>
      <c r="E29" s="6" t="inlineStr">
        <is>
          <t>Q0805</t>
        </is>
      </c>
      <c r="F29" s="89">
        <f>-SUMIFS('1月数据源'!I:I,'1月数据源'!D:D,E29,'1月数据源'!F:F,"杭州实时查科技有限公司")+SUMIFS('1月数据源'!J:J,'1月数据源'!D:D,E29,'1月数据源'!F:F,"杭州实时查科技有限公司")</f>
        <v/>
      </c>
      <c r="G29" s="89">
        <f>-SUMIFS('2月数据源'!$I:$I,'2月数据源'!$D:$D,$E29,'2月数据源'!$F:$F,"杭州实时查科技有限公司")+SUMIFS('2月数据源'!$J:$J,'2月数据源'!$D:$D,$E29,'2月数据源'!$F:$F,"杭州实时查科技有限公司")</f>
        <v/>
      </c>
      <c r="H29" s="89">
        <f>-SUMIFS('3月数据源'!$I:$I,'3月数据源'!$D:$D,$E29,'3月数据源'!$F:$F,"杭州实时查科技有限公司")+SUMIFS('3月数据源'!$J:$J,'3月数据源'!$D:$D,$E29,'3月数据源'!$F:$F,"杭州实时查科技有限公司")</f>
        <v/>
      </c>
      <c r="I29" s="89">
        <f>-SUMIFS('4月数据源'!$I:$I,'4月数据源'!$D:$D,$E29,'4月数据源'!$F:$F,"杭州实时查科技有限公司")+SUMIFS('4月数据源'!$J:$J,'4月数据源'!$D:$D,$E29,'4月数据源'!$F:$F,"杭州实时查科技有限公司")</f>
        <v/>
      </c>
      <c r="J29" s="89">
        <f>-SUMIFS('5月数据源'!$I:$I,'5月数据源'!$D:$D,$E29,'5月数据源'!$F:$F,"杭州实时查科技有限公司")+SUMIFS('5月数据源'!$J:$J,'5月数据源'!$D:$D,$E29,'5月数据源'!$F:$F,"杭州实时查科技有限公司")</f>
        <v/>
      </c>
      <c r="K29" s="89">
        <f>-SUMIFS('6月数据源'!$I:$I,'6月数据源'!$D:$D,$E29,'6月数据源'!$F:$F,"杭州实时查科技有限公司")+SUMIFS('6月数据源'!$J:$J,'6月数据源'!$D:$D,$E29,'6月数据源'!$F:$F,"杭州实时查科技有限公司")</f>
        <v/>
      </c>
      <c r="L29" s="89">
        <f>-SUMIFS('7月数据源'!$I:$I,'7月数据源'!$D:$D,$E29,'7月数据源'!$F:$F,"杭州实时查科技有限公司")+SUMIFS('7月数据源'!$J:$J,'7月数据源'!$D:$D,$E29,'7月数据源'!$F:$F,"杭州实时查科技有限公司")</f>
        <v/>
      </c>
      <c r="M29" s="89">
        <f>-SUMIFS('8月数据源'!$I:$I,'8月数据源'!$D:$D,$E29,'8月数据源'!$F:$F,"杭州实时查科技有限公司")+SUMIFS('8月数据源'!$J:$J,'8月数据源'!$D:$D,$E29,'8月数据源'!$F:$F,"杭州实时查科技有限公司")</f>
        <v/>
      </c>
      <c r="N29" s="89">
        <f>-SUMIFS('9月数据源'!$I:$I,'9月数据源'!$D:$D,$E29,'9月数据源'!$F:$F,"杭州实时查科技有限公司")+SUMIFS('9月数据源'!$J:$J,'9月数据源'!$D:$D,$E29,'9月数据源'!$F:$F,"杭州实时查科技有限公司")</f>
        <v/>
      </c>
      <c r="O29" s="89">
        <f>-SUMIFS('10月数据源'!$I:$I,'10月数据源'!$D:$D,$E29,'10月数据源'!$F:$F,"杭州实时查科技有限公司")+SUMIFS('10月数据源'!$J:$J,'10月数据源'!$D:$D,$E29,'10月数据源'!$F:$F,"杭州实时查科技有限公司")</f>
        <v/>
      </c>
      <c r="P29" s="89">
        <f>-SUMIFS('11月数据源'!$I:$I,'11月数据源'!$D:$D,$E29,'11月数据源'!$F:$F,"杭州实时查科技有限公司")+SUMIFS('11月数据源'!$J:$J,'11月数据源'!$D:$D,$E29,'11月数据源'!$F:$F,"杭州实时查科技有限公司")</f>
        <v/>
      </c>
      <c r="Q29" s="89">
        <f>-SUMIFS('12月数据源'!$I:$I,'12月数据源'!$D:$D,$E29,'12月数据源'!$F:$F,"杭州实时查科技有限公司")+SUMIFS('12月数据源'!$J:$J,'12月数据源'!$D:$D,$E29,'12月数据源'!$F:$F,"杭州实时查科技有限公司")</f>
        <v/>
      </c>
    </row>
    <row r="30" s="83">
      <c r="A30" s="5" t="inlineStr">
        <is>
          <t>人工成本</t>
        </is>
      </c>
      <c r="B30" s="6" t="inlineStr">
        <is>
          <t>人工成本</t>
        </is>
      </c>
      <c r="D30" s="5" t="inlineStr">
        <is>
          <t>福利费</t>
        </is>
      </c>
      <c r="E30" s="6" t="inlineStr">
        <is>
          <t>Q0806</t>
        </is>
      </c>
      <c r="F30" s="89">
        <f>-SUMIFS('1月数据源'!I:I,'1月数据源'!D:D,E30,'1月数据源'!F:F,"杭州实时查科技有限公司")+SUMIFS('1月数据源'!J:J,'1月数据源'!D:D,E30,'1月数据源'!F:F,"杭州实时查科技有限公司")</f>
        <v/>
      </c>
      <c r="G30" s="89">
        <f>-SUMIFS('2月数据源'!$I:$I,'2月数据源'!$D:$D,$E30,'2月数据源'!$F:$F,"杭州实时查科技有限公司")+SUMIFS('2月数据源'!$J:$J,'2月数据源'!$D:$D,$E30,'2月数据源'!$F:$F,"杭州实时查科技有限公司")</f>
        <v/>
      </c>
      <c r="H30" s="89">
        <f>-SUMIFS('3月数据源'!$I:$I,'3月数据源'!$D:$D,$E30,'3月数据源'!$F:$F,"杭州实时查科技有限公司")+SUMIFS('3月数据源'!$J:$J,'3月数据源'!$D:$D,$E30,'3月数据源'!$F:$F,"杭州实时查科技有限公司")</f>
        <v/>
      </c>
      <c r="I30" s="89">
        <f>-SUMIFS('4月数据源'!$I:$I,'4月数据源'!$D:$D,$E30,'4月数据源'!$F:$F,"杭州实时查科技有限公司")+SUMIFS('4月数据源'!$J:$J,'4月数据源'!$D:$D,$E30,'4月数据源'!$F:$F,"杭州实时查科技有限公司")</f>
        <v/>
      </c>
      <c r="J30" s="89">
        <f>-SUMIFS('5月数据源'!$I:$I,'5月数据源'!$D:$D,$E30,'5月数据源'!$F:$F,"杭州实时查科技有限公司")+SUMIFS('5月数据源'!$J:$J,'5月数据源'!$D:$D,$E30,'5月数据源'!$F:$F,"杭州实时查科技有限公司")</f>
        <v/>
      </c>
      <c r="K30" s="89">
        <f>-SUMIFS('6月数据源'!$I:$I,'6月数据源'!$D:$D,$E30,'6月数据源'!$F:$F,"杭州实时查科技有限公司")+SUMIFS('6月数据源'!$J:$J,'6月数据源'!$D:$D,$E30,'6月数据源'!$F:$F,"杭州实时查科技有限公司")</f>
        <v/>
      </c>
      <c r="L30" s="89">
        <f>-SUMIFS('7月数据源'!$I:$I,'7月数据源'!$D:$D,$E30,'7月数据源'!$F:$F,"杭州实时查科技有限公司")+SUMIFS('7月数据源'!$J:$J,'7月数据源'!$D:$D,$E30,'7月数据源'!$F:$F,"杭州实时查科技有限公司")</f>
        <v/>
      </c>
      <c r="M30" s="89">
        <f>-SUMIFS('8月数据源'!$I:$I,'8月数据源'!$D:$D,$E30,'8月数据源'!$F:$F,"杭州实时查科技有限公司")+SUMIFS('8月数据源'!$J:$J,'8月数据源'!$D:$D,$E30,'8月数据源'!$F:$F,"杭州实时查科技有限公司")</f>
        <v/>
      </c>
      <c r="N30" s="89">
        <f>-SUMIFS('9月数据源'!$I:$I,'9月数据源'!$D:$D,$E30,'9月数据源'!$F:$F,"杭州实时查科技有限公司")+SUMIFS('9月数据源'!$J:$J,'9月数据源'!$D:$D,$E30,'9月数据源'!$F:$F,"杭州实时查科技有限公司")</f>
        <v/>
      </c>
      <c r="O30" s="89">
        <f>-SUMIFS('10月数据源'!$I:$I,'10月数据源'!$D:$D,$E30,'10月数据源'!$F:$F,"杭州实时查科技有限公司")+SUMIFS('10月数据源'!$J:$J,'10月数据源'!$D:$D,$E30,'10月数据源'!$F:$F,"杭州实时查科技有限公司")</f>
        <v/>
      </c>
      <c r="P30" s="89">
        <f>-SUMIFS('11月数据源'!$I:$I,'11月数据源'!$D:$D,$E30,'11月数据源'!$F:$F,"杭州实时查科技有限公司")+SUMIFS('11月数据源'!$J:$J,'11月数据源'!$D:$D,$E30,'11月数据源'!$F:$F,"杭州实时查科技有限公司")</f>
        <v/>
      </c>
      <c r="Q30" s="89">
        <f>-SUMIFS('12月数据源'!$I:$I,'12月数据源'!$D:$D,$E30,'12月数据源'!$F:$F,"杭州实时查科技有限公司")+SUMIFS('12月数据源'!$J:$J,'12月数据源'!$D:$D,$E30,'12月数据源'!$F:$F,"杭州实时查科技有限公司")</f>
        <v/>
      </c>
    </row>
    <row r="31" s="83">
      <c r="A31" s="5" t="inlineStr">
        <is>
          <t>人工成本</t>
        </is>
      </c>
      <c r="B31" s="6" t="inlineStr">
        <is>
          <t>人工成本</t>
        </is>
      </c>
      <c r="D31" s="5" t="inlineStr">
        <is>
          <t>补偿金</t>
        </is>
      </c>
      <c r="E31" s="6" t="inlineStr">
        <is>
          <t>Q0807</t>
        </is>
      </c>
      <c r="F31" s="89">
        <f>-SUMIFS('1月数据源'!I:I,'1月数据源'!D:D,E31,'1月数据源'!F:F,"杭州实时查科技有限公司")+SUMIFS('1月数据源'!J:J,'1月数据源'!D:D,E31,'1月数据源'!F:F,"杭州实时查科技有限公司")</f>
        <v/>
      </c>
      <c r="G31" s="89">
        <f>-SUMIFS('2月数据源'!$I:$I,'2月数据源'!$D:$D,$E31,'2月数据源'!$F:$F,"杭州实时查科技有限公司")+SUMIFS('2月数据源'!$J:$J,'2月数据源'!$D:$D,$E31,'2月数据源'!$F:$F,"杭州实时查科技有限公司")</f>
        <v/>
      </c>
      <c r="H31" s="89">
        <f>-SUMIFS('3月数据源'!$I:$I,'3月数据源'!$D:$D,$E31,'3月数据源'!$F:$F,"杭州实时查科技有限公司")+SUMIFS('3月数据源'!$J:$J,'3月数据源'!$D:$D,$E31,'3月数据源'!$F:$F,"杭州实时查科技有限公司")</f>
        <v/>
      </c>
      <c r="I31" s="89">
        <f>-SUMIFS('4月数据源'!$I:$I,'4月数据源'!$D:$D,$E31,'4月数据源'!$F:$F,"杭州实时查科技有限公司")+SUMIFS('4月数据源'!$J:$J,'4月数据源'!$D:$D,$E31,'4月数据源'!$F:$F,"杭州实时查科技有限公司")</f>
        <v/>
      </c>
      <c r="J31" s="89">
        <f>-SUMIFS('5月数据源'!$I:$I,'5月数据源'!$D:$D,$E31,'5月数据源'!$F:$F,"杭州实时查科技有限公司")+SUMIFS('5月数据源'!$J:$J,'5月数据源'!$D:$D,$E31,'5月数据源'!$F:$F,"杭州实时查科技有限公司")</f>
        <v/>
      </c>
      <c r="K31" s="89">
        <f>-SUMIFS('6月数据源'!$I:$I,'6月数据源'!$D:$D,$E31,'6月数据源'!$F:$F,"杭州实时查科技有限公司")+SUMIFS('6月数据源'!$J:$J,'6月数据源'!$D:$D,$E31,'6月数据源'!$F:$F,"杭州实时查科技有限公司")</f>
        <v/>
      </c>
      <c r="L31" s="89">
        <f>-SUMIFS('7月数据源'!$I:$I,'7月数据源'!$D:$D,$E31,'7月数据源'!$F:$F,"杭州实时查科技有限公司")+SUMIFS('7月数据源'!$J:$J,'7月数据源'!$D:$D,$E31,'7月数据源'!$F:$F,"杭州实时查科技有限公司")</f>
        <v/>
      </c>
      <c r="M31" s="89">
        <f>-SUMIFS('8月数据源'!$I:$I,'8月数据源'!$D:$D,$E31,'8月数据源'!$F:$F,"杭州实时查科技有限公司")+SUMIFS('8月数据源'!$J:$J,'8月数据源'!$D:$D,$E31,'8月数据源'!$F:$F,"杭州实时查科技有限公司")</f>
        <v/>
      </c>
      <c r="N31" s="89">
        <f>-SUMIFS('9月数据源'!$I:$I,'9月数据源'!$D:$D,$E31,'9月数据源'!$F:$F,"杭州实时查科技有限公司")+SUMIFS('9月数据源'!$J:$J,'9月数据源'!$D:$D,$E31,'9月数据源'!$F:$F,"杭州实时查科技有限公司")</f>
        <v/>
      </c>
      <c r="O31" s="89">
        <f>-SUMIFS('10月数据源'!$I:$I,'10月数据源'!$D:$D,$E31,'10月数据源'!$F:$F,"杭州实时查科技有限公司")+SUMIFS('10月数据源'!$J:$J,'10月数据源'!$D:$D,$E31,'10月数据源'!$F:$F,"杭州实时查科技有限公司")</f>
        <v/>
      </c>
      <c r="P31" s="89">
        <f>-SUMIFS('11月数据源'!$I:$I,'11月数据源'!$D:$D,$E31,'11月数据源'!$F:$F,"杭州实时查科技有限公司")+SUMIFS('11月数据源'!$J:$J,'11月数据源'!$D:$D,$E31,'11月数据源'!$F:$F,"杭州实时查科技有限公司")</f>
        <v/>
      </c>
      <c r="Q31" s="89">
        <f>-SUMIFS('12月数据源'!$I:$I,'12月数据源'!$D:$D,$E31,'12月数据源'!$F:$F,"杭州实时查科技有限公司")+SUMIFS('12月数据源'!$J:$J,'12月数据源'!$D:$D,$E31,'12月数据源'!$F:$F,"杭州实时查科技有限公司")</f>
        <v/>
      </c>
    </row>
    <row r="32" s="83">
      <c r="A32" s="5" t="inlineStr">
        <is>
          <t>人工成本</t>
        </is>
      </c>
      <c r="B32" s="6" t="inlineStr">
        <is>
          <t>人工成本</t>
        </is>
      </c>
      <c r="D32" s="5" t="inlineStr">
        <is>
          <t>派遣费用</t>
        </is>
      </c>
      <c r="E32" s="6" t="inlineStr">
        <is>
          <t>Q0808</t>
        </is>
      </c>
      <c r="F32" s="89">
        <f>-SUMIFS('1月数据源'!I:I,'1月数据源'!D:D,E32,'1月数据源'!F:F,"杭州实时查科技有限公司")+SUMIFS('1月数据源'!J:J,'1月数据源'!D:D,E32,'1月数据源'!F:F,"杭州实时查科技有限公司")</f>
        <v/>
      </c>
      <c r="G32" s="89">
        <f>-SUMIFS('2月数据源'!$I:$I,'2月数据源'!$D:$D,$E32,'2月数据源'!$F:$F,"杭州实时查科技有限公司")+SUMIFS('2月数据源'!$J:$J,'2月数据源'!$D:$D,$E32,'2月数据源'!$F:$F,"杭州实时查科技有限公司")</f>
        <v/>
      </c>
      <c r="H32" s="89">
        <f>-SUMIFS('3月数据源'!$I:$I,'3月数据源'!$D:$D,$E32,'3月数据源'!$F:$F,"杭州实时查科技有限公司")+SUMIFS('3月数据源'!$J:$J,'3月数据源'!$D:$D,$E32,'3月数据源'!$F:$F,"杭州实时查科技有限公司")</f>
        <v/>
      </c>
      <c r="I32" s="89">
        <f>-SUMIFS('4月数据源'!$I:$I,'4月数据源'!$D:$D,$E32,'4月数据源'!$F:$F,"杭州实时查科技有限公司")+SUMIFS('4月数据源'!$J:$J,'4月数据源'!$D:$D,$E32,'4月数据源'!$F:$F,"杭州实时查科技有限公司")</f>
        <v/>
      </c>
      <c r="J32" s="89">
        <f>-SUMIFS('5月数据源'!$I:$I,'5月数据源'!$D:$D,$E32,'5月数据源'!$F:$F,"杭州实时查科技有限公司")+SUMIFS('5月数据源'!$J:$J,'5月数据源'!$D:$D,$E32,'5月数据源'!$F:$F,"杭州实时查科技有限公司")</f>
        <v/>
      </c>
      <c r="K32" s="89">
        <f>-SUMIFS('6月数据源'!$I:$I,'6月数据源'!$D:$D,$E32,'6月数据源'!$F:$F,"杭州实时查科技有限公司")+SUMIFS('6月数据源'!$J:$J,'6月数据源'!$D:$D,$E32,'6月数据源'!$F:$F,"杭州实时查科技有限公司")</f>
        <v/>
      </c>
      <c r="L32" s="89">
        <f>-SUMIFS('7月数据源'!$I:$I,'7月数据源'!$D:$D,$E32,'7月数据源'!$F:$F,"杭州实时查科技有限公司")+SUMIFS('7月数据源'!$J:$J,'7月数据源'!$D:$D,$E32,'7月数据源'!$F:$F,"杭州实时查科技有限公司")</f>
        <v/>
      </c>
      <c r="M32" s="89">
        <f>-SUMIFS('8月数据源'!$I:$I,'8月数据源'!$D:$D,$E32,'8月数据源'!$F:$F,"杭州实时查科技有限公司")+SUMIFS('8月数据源'!$J:$J,'8月数据源'!$D:$D,$E32,'8月数据源'!$F:$F,"杭州实时查科技有限公司")</f>
        <v/>
      </c>
      <c r="N32" s="89">
        <f>-SUMIFS('9月数据源'!$I:$I,'9月数据源'!$D:$D,$E32,'9月数据源'!$F:$F,"杭州实时查科技有限公司")+SUMIFS('9月数据源'!$J:$J,'9月数据源'!$D:$D,$E32,'9月数据源'!$F:$F,"杭州实时查科技有限公司")</f>
        <v/>
      </c>
      <c r="O32" s="89">
        <f>-SUMIFS('10月数据源'!$I:$I,'10月数据源'!$D:$D,$E32,'10月数据源'!$F:$F,"杭州实时查科技有限公司")+SUMIFS('10月数据源'!$J:$J,'10月数据源'!$D:$D,$E32,'10月数据源'!$F:$F,"杭州实时查科技有限公司")</f>
        <v/>
      </c>
      <c r="P32" s="89">
        <f>-SUMIFS('11月数据源'!$I:$I,'11月数据源'!$D:$D,$E32,'11月数据源'!$F:$F,"杭州实时查科技有限公司")+SUMIFS('11月数据源'!$J:$J,'11月数据源'!$D:$D,$E32,'11月数据源'!$F:$F,"杭州实时查科技有限公司")</f>
        <v/>
      </c>
      <c r="Q32" s="89">
        <f>-SUMIFS('12月数据源'!$I:$I,'12月数据源'!$D:$D,$E32,'12月数据源'!$F:$F,"杭州实时查科技有限公司")+SUMIFS('12月数据源'!$J:$J,'12月数据源'!$D:$D,$E32,'12月数据源'!$F:$F,"杭州实时查科技有限公司")</f>
        <v/>
      </c>
    </row>
    <row r="33" s="83">
      <c r="A33" s="5" t="inlineStr">
        <is>
          <t>人工成本</t>
        </is>
      </c>
      <c r="B33" s="6" t="inlineStr">
        <is>
          <t>人工成本</t>
        </is>
      </c>
      <c r="D33" s="5" t="inlineStr">
        <is>
          <t>顾问费</t>
        </is>
      </c>
      <c r="E33" s="6" t="inlineStr">
        <is>
          <t>Q0809</t>
        </is>
      </c>
      <c r="F33" s="89">
        <f>-SUMIFS('1月数据源'!I:I,'1月数据源'!D:D,E33,'1月数据源'!F:F,"杭州实时查科技有限公司")+SUMIFS('1月数据源'!J:J,'1月数据源'!D:D,E33,'1月数据源'!F:F,"杭州实时查科技有限公司")</f>
        <v/>
      </c>
      <c r="G33" s="89">
        <f>-SUMIFS('2月数据源'!$I:$I,'2月数据源'!$D:$D,$E33,'2月数据源'!$F:$F,"杭州实时查科技有限公司")+SUMIFS('2月数据源'!$J:$J,'2月数据源'!$D:$D,$E33,'2月数据源'!$F:$F,"杭州实时查科技有限公司")</f>
        <v/>
      </c>
      <c r="H33" s="89">
        <f>-SUMIFS('3月数据源'!$I:$I,'3月数据源'!$D:$D,$E33,'3月数据源'!$F:$F,"杭州实时查科技有限公司")+SUMIFS('3月数据源'!$J:$J,'3月数据源'!$D:$D,$E33,'3月数据源'!$F:$F,"杭州实时查科技有限公司")</f>
        <v/>
      </c>
      <c r="I33" s="89">
        <f>-SUMIFS('4月数据源'!$I:$I,'4月数据源'!$D:$D,$E33,'4月数据源'!$F:$F,"杭州实时查科技有限公司")+SUMIFS('4月数据源'!$J:$J,'4月数据源'!$D:$D,$E33,'4月数据源'!$F:$F,"杭州实时查科技有限公司")</f>
        <v/>
      </c>
      <c r="J33" s="89">
        <f>-SUMIFS('5月数据源'!$I:$I,'5月数据源'!$D:$D,$E33,'5月数据源'!$F:$F,"杭州实时查科技有限公司")+SUMIFS('5月数据源'!$J:$J,'5月数据源'!$D:$D,$E33,'5月数据源'!$F:$F,"杭州实时查科技有限公司")</f>
        <v/>
      </c>
      <c r="K33" s="89">
        <f>-SUMIFS('6月数据源'!$I:$I,'6月数据源'!$D:$D,$E33,'6月数据源'!$F:$F,"杭州实时查科技有限公司")+SUMIFS('6月数据源'!$J:$J,'6月数据源'!$D:$D,$E33,'6月数据源'!$F:$F,"杭州实时查科技有限公司")</f>
        <v/>
      </c>
      <c r="L33" s="89">
        <f>-SUMIFS('7月数据源'!$I:$I,'7月数据源'!$D:$D,$E33,'7月数据源'!$F:$F,"杭州实时查科技有限公司")+SUMIFS('7月数据源'!$J:$J,'7月数据源'!$D:$D,$E33,'7月数据源'!$F:$F,"杭州实时查科技有限公司")</f>
        <v/>
      </c>
      <c r="M33" s="89">
        <f>-SUMIFS('8月数据源'!$I:$I,'8月数据源'!$D:$D,$E33,'8月数据源'!$F:$F,"杭州实时查科技有限公司")+SUMIFS('8月数据源'!$J:$J,'8月数据源'!$D:$D,$E33,'8月数据源'!$F:$F,"杭州实时查科技有限公司")</f>
        <v/>
      </c>
      <c r="N33" s="89">
        <f>-SUMIFS('9月数据源'!$I:$I,'9月数据源'!$D:$D,$E33,'9月数据源'!$F:$F,"杭州实时查科技有限公司")+SUMIFS('9月数据源'!$J:$J,'9月数据源'!$D:$D,$E33,'9月数据源'!$F:$F,"杭州实时查科技有限公司")</f>
        <v/>
      </c>
      <c r="O33" s="89">
        <f>-SUMIFS('10月数据源'!$I:$I,'10月数据源'!$D:$D,$E33,'10月数据源'!$F:$F,"杭州实时查科技有限公司")+SUMIFS('10月数据源'!$J:$J,'10月数据源'!$D:$D,$E33,'10月数据源'!$F:$F,"杭州实时查科技有限公司")</f>
        <v/>
      </c>
      <c r="P33" s="89">
        <f>-SUMIFS('11月数据源'!$I:$I,'11月数据源'!$D:$D,$E33,'11月数据源'!$F:$F,"杭州实时查科技有限公司")+SUMIFS('11月数据源'!$J:$J,'11月数据源'!$D:$D,$E33,'11月数据源'!$F:$F,"杭州实时查科技有限公司")</f>
        <v/>
      </c>
      <c r="Q33" s="89">
        <f>-SUMIFS('12月数据源'!$I:$I,'12月数据源'!$D:$D,$E33,'12月数据源'!$F:$F,"杭州实时查科技有限公司")+SUMIFS('12月数据源'!$J:$J,'12月数据源'!$D:$D,$E33,'12月数据源'!$F:$F,"杭州实时查科技有限公司")</f>
        <v/>
      </c>
    </row>
    <row r="34" s="83">
      <c r="A34" s="5" t="inlineStr">
        <is>
          <t>人工成本</t>
        </is>
      </c>
      <c r="B34" s="6" t="inlineStr">
        <is>
          <t>人工成本</t>
        </is>
      </c>
      <c r="D34" s="5" t="inlineStr">
        <is>
          <t>其他人工成本</t>
        </is>
      </c>
      <c r="E34" s="6" t="inlineStr">
        <is>
          <t>Q08010</t>
        </is>
      </c>
      <c r="F34" s="89">
        <f>-SUMIFS('1月数据源'!I:I,'1月数据源'!D:D,E34,'1月数据源'!F:F,"杭州实时查科技有限公司")+SUMIFS('1月数据源'!J:J,'1月数据源'!D:D,E34,'1月数据源'!F:F,"杭州实时查科技有限公司")</f>
        <v/>
      </c>
      <c r="G34" s="89">
        <f>-SUMIFS('2月数据源'!$I:$I,'2月数据源'!$D:$D,$E34,'2月数据源'!$F:$F,"杭州实时查科技有限公司")+SUMIFS('2月数据源'!$J:$J,'2月数据源'!$D:$D,$E34,'2月数据源'!$F:$F,"杭州实时查科技有限公司")</f>
        <v/>
      </c>
      <c r="H34" s="89">
        <f>-SUMIFS('3月数据源'!$I:$I,'3月数据源'!$D:$D,$E34,'3月数据源'!$F:$F,"杭州实时查科技有限公司")+SUMIFS('3月数据源'!$J:$J,'3月数据源'!$D:$D,$E34,'3月数据源'!$F:$F,"杭州实时查科技有限公司")</f>
        <v/>
      </c>
      <c r="I34" s="89">
        <f>-SUMIFS('4月数据源'!$I:$I,'4月数据源'!$D:$D,$E34,'4月数据源'!$F:$F,"杭州实时查科技有限公司")+SUMIFS('4月数据源'!$J:$J,'4月数据源'!$D:$D,$E34,'4月数据源'!$F:$F,"杭州实时查科技有限公司")</f>
        <v/>
      </c>
      <c r="J34" s="89">
        <f>-SUMIFS('5月数据源'!$I:$I,'5月数据源'!$D:$D,$E34,'5月数据源'!$F:$F,"杭州实时查科技有限公司")+SUMIFS('5月数据源'!$J:$J,'5月数据源'!$D:$D,$E34,'5月数据源'!$F:$F,"杭州实时查科技有限公司")</f>
        <v/>
      </c>
      <c r="K34" s="89">
        <f>-SUMIFS('6月数据源'!$I:$I,'6月数据源'!$D:$D,$E34,'6月数据源'!$F:$F,"杭州实时查科技有限公司")+SUMIFS('6月数据源'!$J:$J,'6月数据源'!$D:$D,$E34,'6月数据源'!$F:$F,"杭州实时查科技有限公司")</f>
        <v/>
      </c>
      <c r="L34" s="89">
        <f>-SUMIFS('7月数据源'!$I:$I,'7月数据源'!$D:$D,$E34,'7月数据源'!$F:$F,"杭州实时查科技有限公司")+SUMIFS('7月数据源'!$J:$J,'7月数据源'!$D:$D,$E34,'7月数据源'!$F:$F,"杭州实时查科技有限公司")</f>
        <v/>
      </c>
      <c r="M34" s="89">
        <f>-SUMIFS('8月数据源'!$I:$I,'8月数据源'!$D:$D,$E34,'8月数据源'!$F:$F,"杭州实时查科技有限公司")+SUMIFS('8月数据源'!$J:$J,'8月数据源'!$D:$D,$E34,'8月数据源'!$F:$F,"杭州实时查科技有限公司")</f>
        <v/>
      </c>
      <c r="N34" s="89">
        <f>-SUMIFS('9月数据源'!$I:$I,'9月数据源'!$D:$D,$E34,'9月数据源'!$F:$F,"杭州实时查科技有限公司")+SUMIFS('9月数据源'!$J:$J,'9月数据源'!$D:$D,$E34,'9月数据源'!$F:$F,"杭州实时查科技有限公司")</f>
        <v/>
      </c>
      <c r="O34" s="89">
        <f>-SUMIFS('10月数据源'!$I:$I,'10月数据源'!$D:$D,$E34,'10月数据源'!$F:$F,"杭州实时查科技有限公司")+SUMIFS('10月数据源'!$J:$J,'10月数据源'!$D:$D,$E34,'10月数据源'!$F:$F,"杭州实时查科技有限公司")</f>
        <v/>
      </c>
      <c r="P34" s="89">
        <f>-SUMIFS('11月数据源'!$I:$I,'11月数据源'!$D:$D,$E34,'11月数据源'!$F:$F,"杭州实时查科技有限公司")+SUMIFS('11月数据源'!$J:$J,'11月数据源'!$D:$D,$E34,'11月数据源'!$F:$F,"杭州实时查科技有限公司")</f>
        <v/>
      </c>
      <c r="Q34" s="89">
        <f>-SUMIFS('12月数据源'!$I:$I,'12月数据源'!$D:$D,$E34,'12月数据源'!$F:$F,"杭州实时查科技有限公司")+SUMIFS('12月数据源'!$J:$J,'12月数据源'!$D:$D,$E34,'12月数据源'!$F:$F,"杭州实时查科技有限公司")</f>
        <v/>
      </c>
    </row>
    <row r="35" s="83">
      <c r="A35" s="49" t="inlineStr">
        <is>
          <t>人工成本合计</t>
        </is>
      </c>
      <c r="B35" s="50" t="n"/>
      <c r="C35" s="50" t="n"/>
      <c r="D35" s="49" t="n"/>
      <c r="E35" s="49" t="n"/>
      <c r="F35" s="89">
        <f>SUM(F25:F34)</f>
        <v/>
      </c>
      <c r="G35" s="89">
        <f>SUM(G25:G34)</f>
        <v/>
      </c>
      <c r="H35" s="89">
        <f>SUM(H25:H34)</f>
        <v/>
      </c>
      <c r="I35" s="89">
        <f>SUM(I25:I34)</f>
        <v/>
      </c>
      <c r="J35" s="89">
        <f>SUM(J25:J34)</f>
        <v/>
      </c>
      <c r="K35" s="89">
        <f>SUM(K25:K34)</f>
        <v/>
      </c>
      <c r="L35" s="89">
        <f>SUM(L25:L34)</f>
        <v/>
      </c>
      <c r="M35" s="89">
        <f>SUM(M25:M34)</f>
        <v/>
      </c>
      <c r="N35" s="89">
        <f>SUM(N25:N34)</f>
        <v/>
      </c>
      <c r="O35" s="89">
        <f>SUM(O25:O34)</f>
        <v/>
      </c>
      <c r="P35" s="89">
        <f>SUM(P25:P34)</f>
        <v/>
      </c>
      <c r="Q35" s="89">
        <f>SUM(Q25:Q34)</f>
        <v/>
      </c>
    </row>
    <row r="36" s="83">
      <c r="A36" s="5" t="inlineStr">
        <is>
          <t>硬件支出</t>
        </is>
      </c>
      <c r="B36" s="6" t="inlineStr">
        <is>
          <t>BONG MAX</t>
        </is>
      </c>
      <c r="C36" s="6" t="inlineStr">
        <is>
          <t>BONG MAX</t>
        </is>
      </c>
      <c r="D36" s="5" t="inlineStr">
        <is>
          <t>TCL平板电脑款项</t>
        </is>
      </c>
      <c r="E36" s="6" t="inlineStr">
        <is>
          <t>Q0901</t>
        </is>
      </c>
      <c r="F36" s="89">
        <f>-SUMIFS('1月数据源'!I:I,'1月数据源'!D:D,E36,'1月数据源'!F:F,"杭州实时查科技有限公司")+SUMIFS('1月数据源'!J:J,'1月数据源'!D:D,E36,'1月数据源'!F:F,"杭州实时查科技有限公司")</f>
        <v/>
      </c>
      <c r="G36" s="89">
        <f>-SUMIFS('2月数据源'!$I:$I,'2月数据源'!$D:$D,$E36,'2月数据源'!$F:$F,"杭州实时查科技有限公司")+SUMIFS('2月数据源'!$J:$J,'2月数据源'!$D:$D,$E36,'2月数据源'!$F:$F,"杭州实时查科技有限公司")</f>
        <v/>
      </c>
      <c r="H36" s="89">
        <f>-SUMIFS('3月数据源'!$I:$I,'3月数据源'!$D:$D,$E36,'3月数据源'!$F:$F,"杭州实时查科技有限公司")+SUMIFS('3月数据源'!$J:$J,'3月数据源'!$D:$D,$E36,'3月数据源'!$F:$F,"杭州实时查科技有限公司")</f>
        <v/>
      </c>
      <c r="I36" s="89">
        <f>-SUMIFS('4月数据源'!$I:$I,'4月数据源'!$D:$D,$E36,'4月数据源'!$F:$F,"杭州实时查科技有限公司")+SUMIFS('4月数据源'!$J:$J,'4月数据源'!$D:$D,$E36,'4月数据源'!$F:$F,"杭州实时查科技有限公司")</f>
        <v/>
      </c>
      <c r="J36" s="89">
        <f>-SUMIFS('5月数据源'!$I:$I,'5月数据源'!$D:$D,$E36,'5月数据源'!$F:$F,"杭州实时查科技有限公司")+SUMIFS('5月数据源'!$J:$J,'5月数据源'!$D:$D,$E36,'5月数据源'!$F:$F,"杭州实时查科技有限公司")</f>
        <v/>
      </c>
      <c r="K36" s="89">
        <f>-SUMIFS('6月数据源'!$I:$I,'6月数据源'!$D:$D,$E36,'6月数据源'!$F:$F,"杭州实时查科技有限公司")+SUMIFS('6月数据源'!$J:$J,'6月数据源'!$D:$D,$E36,'6月数据源'!$F:$F,"杭州实时查科技有限公司")</f>
        <v/>
      </c>
      <c r="L36" s="89">
        <f>-SUMIFS('7月数据源'!$I:$I,'7月数据源'!$D:$D,$E36,'7月数据源'!$F:$F,"杭州实时查科技有限公司")+SUMIFS('7月数据源'!$J:$J,'7月数据源'!$D:$D,$E36,'7月数据源'!$F:$F,"杭州实时查科技有限公司")</f>
        <v/>
      </c>
      <c r="M36" s="89">
        <f>-SUMIFS('8月数据源'!$I:$I,'8月数据源'!$D:$D,$E36,'8月数据源'!$F:$F,"杭州实时查科技有限公司")+SUMIFS('8月数据源'!$J:$J,'8月数据源'!$D:$D,$E36,'8月数据源'!$F:$F,"杭州实时查科技有限公司")</f>
        <v/>
      </c>
      <c r="N36" s="89">
        <f>-SUMIFS('9月数据源'!$I:$I,'9月数据源'!$D:$D,$E36,'9月数据源'!$F:$F,"杭州实时查科技有限公司")+SUMIFS('9月数据源'!$J:$J,'9月数据源'!$D:$D,$E36,'9月数据源'!$F:$F,"杭州实时查科技有限公司")</f>
        <v/>
      </c>
      <c r="O36" s="89">
        <f>-SUMIFS('10月数据源'!$I:$I,'10月数据源'!$D:$D,$E36,'10月数据源'!$F:$F,"杭州实时查科技有限公司")+SUMIFS('10月数据源'!$J:$J,'10月数据源'!$D:$D,$E36,'10月数据源'!$F:$F,"杭州实时查科技有限公司")</f>
        <v/>
      </c>
      <c r="P36" s="89">
        <f>-SUMIFS('11月数据源'!$I:$I,'11月数据源'!$D:$D,$E36,'11月数据源'!$F:$F,"杭州实时查科技有限公司")+SUMIFS('11月数据源'!$J:$J,'11月数据源'!$D:$D,$E36,'11月数据源'!$F:$F,"杭州实时查科技有限公司")</f>
        <v/>
      </c>
      <c r="Q36" s="89">
        <f>-SUMIFS('12月数据源'!$I:$I,'12月数据源'!$D:$D,$E36,'12月数据源'!$F:$F,"杭州实时查科技有限公司")+SUMIFS('12月数据源'!$J:$J,'12月数据源'!$D:$D,$E36,'12月数据源'!$F:$F,"杭州实时查科技有限公司")</f>
        <v/>
      </c>
    </row>
    <row r="37" s="83">
      <c r="A37" s="5" t="inlineStr">
        <is>
          <t>硬件支出</t>
        </is>
      </c>
      <c r="B37" s="6" t="inlineStr">
        <is>
          <t>BONG MAX</t>
        </is>
      </c>
      <c r="D37" s="5" t="inlineStr">
        <is>
          <t>保护套</t>
        </is>
      </c>
      <c r="E37" s="6" t="inlineStr">
        <is>
          <t>Q0902</t>
        </is>
      </c>
      <c r="F37" s="89">
        <f>-SUMIFS('1月数据源'!I:I,'1月数据源'!D:D,E37,'1月数据源'!F:F,"杭州实时查科技有限公司")+SUMIFS('1月数据源'!J:J,'1月数据源'!D:D,E37,'1月数据源'!F:F,"杭州实时查科技有限公司")</f>
        <v/>
      </c>
      <c r="G37" s="89">
        <f>-SUMIFS('2月数据源'!$I:$I,'2月数据源'!$D:$D,$E37,'2月数据源'!$F:$F,"杭州实时查科技有限公司")+SUMIFS('2月数据源'!$J:$J,'2月数据源'!$D:$D,$E37,'2月数据源'!$F:$F,"杭州实时查科技有限公司")</f>
        <v/>
      </c>
      <c r="H37" s="89">
        <f>-SUMIFS('3月数据源'!$I:$I,'3月数据源'!$D:$D,$E37,'3月数据源'!$F:$F,"杭州实时查科技有限公司")+SUMIFS('3月数据源'!$J:$J,'3月数据源'!$D:$D,$E37,'3月数据源'!$F:$F,"杭州实时查科技有限公司")</f>
        <v/>
      </c>
      <c r="I37" s="89">
        <f>-SUMIFS('4月数据源'!$I:$I,'4月数据源'!$D:$D,$E37,'4月数据源'!$F:$F,"杭州实时查科技有限公司")+SUMIFS('4月数据源'!$J:$J,'4月数据源'!$D:$D,$E37,'4月数据源'!$F:$F,"杭州实时查科技有限公司")</f>
        <v/>
      </c>
      <c r="J37" s="89">
        <f>-SUMIFS('5月数据源'!$I:$I,'5月数据源'!$D:$D,$E37,'5月数据源'!$F:$F,"杭州实时查科技有限公司")+SUMIFS('5月数据源'!$J:$J,'5月数据源'!$D:$D,$E37,'5月数据源'!$F:$F,"杭州实时查科技有限公司")</f>
        <v/>
      </c>
      <c r="K37" s="89">
        <f>-SUMIFS('6月数据源'!$I:$I,'6月数据源'!$D:$D,$E37,'6月数据源'!$F:$F,"杭州实时查科技有限公司")+SUMIFS('6月数据源'!$J:$J,'6月数据源'!$D:$D,$E37,'6月数据源'!$F:$F,"杭州实时查科技有限公司")</f>
        <v/>
      </c>
      <c r="L37" s="89">
        <f>-SUMIFS('7月数据源'!$I:$I,'7月数据源'!$D:$D,$E37,'7月数据源'!$F:$F,"杭州实时查科技有限公司")+SUMIFS('7月数据源'!$J:$J,'7月数据源'!$D:$D,$E37,'7月数据源'!$F:$F,"杭州实时查科技有限公司")</f>
        <v/>
      </c>
      <c r="M37" s="89">
        <f>-SUMIFS('8月数据源'!$I:$I,'8月数据源'!$D:$D,$E37,'8月数据源'!$F:$F,"杭州实时查科技有限公司")+SUMIFS('8月数据源'!$J:$J,'8月数据源'!$D:$D,$E37,'8月数据源'!$F:$F,"杭州实时查科技有限公司")</f>
        <v/>
      </c>
      <c r="N37" s="89">
        <f>-SUMIFS('9月数据源'!$I:$I,'9月数据源'!$D:$D,$E37,'9月数据源'!$F:$F,"杭州实时查科技有限公司")+SUMIFS('9月数据源'!$J:$J,'9月数据源'!$D:$D,$E37,'9月数据源'!$F:$F,"杭州实时查科技有限公司")</f>
        <v/>
      </c>
      <c r="O37" s="89">
        <f>-SUMIFS('10月数据源'!$I:$I,'10月数据源'!$D:$D,$E37,'10月数据源'!$F:$F,"杭州实时查科技有限公司")+SUMIFS('10月数据源'!$J:$J,'10月数据源'!$D:$D,$E37,'10月数据源'!$F:$F,"杭州实时查科技有限公司")</f>
        <v/>
      </c>
      <c r="P37" s="89">
        <f>-SUMIFS('11月数据源'!$I:$I,'11月数据源'!$D:$D,$E37,'11月数据源'!$F:$F,"杭州实时查科技有限公司")+SUMIFS('11月数据源'!$J:$J,'11月数据源'!$D:$D,$E37,'11月数据源'!$F:$F,"杭州实时查科技有限公司")</f>
        <v/>
      </c>
      <c r="Q37" s="89">
        <f>-SUMIFS('12月数据源'!$I:$I,'12月数据源'!$D:$D,$E37,'12月数据源'!$F:$F,"杭州实时查科技有限公司")+SUMIFS('12月数据源'!$J:$J,'12月数据源'!$D:$D,$E37,'12月数据源'!$F:$F,"杭州实时查科技有限公司")</f>
        <v/>
      </c>
    </row>
    <row r="38" s="83">
      <c r="A38" s="5" t="inlineStr">
        <is>
          <t>硬件支出</t>
        </is>
      </c>
      <c r="B38" s="6" t="inlineStr">
        <is>
          <t>BONG MAX</t>
        </is>
      </c>
      <c r="D38" s="5" t="inlineStr">
        <is>
          <t>包装盒</t>
        </is>
      </c>
      <c r="E38" s="6" t="inlineStr">
        <is>
          <t>Q0903</t>
        </is>
      </c>
      <c r="F38" s="89">
        <f>-SUMIFS('1月数据源'!I:I,'1月数据源'!D:D,E38,'1月数据源'!F:F,"杭州实时查科技有限公司")+SUMIFS('1月数据源'!J:J,'1月数据源'!D:D,E38,'1月数据源'!F:F,"杭州实时查科技有限公司")</f>
        <v/>
      </c>
      <c r="G38" s="89">
        <f>-SUMIFS('2月数据源'!$I:$I,'2月数据源'!$D:$D,$E38,'2月数据源'!$F:$F,"杭州实时查科技有限公司")+SUMIFS('2月数据源'!$J:$J,'2月数据源'!$D:$D,$E38,'2月数据源'!$F:$F,"杭州实时查科技有限公司")</f>
        <v/>
      </c>
      <c r="H38" s="89">
        <f>-SUMIFS('3月数据源'!$I:$I,'3月数据源'!$D:$D,$E38,'3月数据源'!$F:$F,"杭州实时查科技有限公司")+SUMIFS('3月数据源'!$J:$J,'3月数据源'!$D:$D,$E38,'3月数据源'!$F:$F,"杭州实时查科技有限公司")</f>
        <v/>
      </c>
      <c r="I38" s="89">
        <f>-SUMIFS('4月数据源'!$I:$I,'4月数据源'!$D:$D,$E38,'4月数据源'!$F:$F,"杭州实时查科技有限公司")+SUMIFS('4月数据源'!$J:$J,'4月数据源'!$D:$D,$E38,'4月数据源'!$F:$F,"杭州实时查科技有限公司")</f>
        <v/>
      </c>
      <c r="J38" s="89">
        <f>-SUMIFS('5月数据源'!$I:$I,'5月数据源'!$D:$D,$E38,'5月数据源'!$F:$F,"杭州实时查科技有限公司")+SUMIFS('5月数据源'!$J:$J,'5月数据源'!$D:$D,$E38,'5月数据源'!$F:$F,"杭州实时查科技有限公司")</f>
        <v/>
      </c>
      <c r="K38" s="89">
        <f>-SUMIFS('6月数据源'!$I:$I,'6月数据源'!$D:$D,$E38,'6月数据源'!$F:$F,"杭州实时查科技有限公司")+SUMIFS('6月数据源'!$J:$J,'6月数据源'!$D:$D,$E38,'6月数据源'!$F:$F,"杭州实时查科技有限公司")</f>
        <v/>
      </c>
      <c r="L38" s="89">
        <f>-SUMIFS('7月数据源'!$I:$I,'7月数据源'!$D:$D,$E38,'7月数据源'!$F:$F,"杭州实时查科技有限公司")+SUMIFS('7月数据源'!$J:$J,'7月数据源'!$D:$D,$E38,'7月数据源'!$F:$F,"杭州实时查科技有限公司")</f>
        <v/>
      </c>
      <c r="M38" s="89">
        <f>-SUMIFS('8月数据源'!$I:$I,'8月数据源'!$D:$D,$E38,'8月数据源'!$F:$F,"杭州实时查科技有限公司")+SUMIFS('8月数据源'!$J:$J,'8月数据源'!$D:$D,$E38,'8月数据源'!$F:$F,"杭州实时查科技有限公司")</f>
        <v/>
      </c>
      <c r="N38" s="89">
        <f>-SUMIFS('9月数据源'!$I:$I,'9月数据源'!$D:$D,$E38,'9月数据源'!$F:$F,"杭州实时查科技有限公司")+SUMIFS('9月数据源'!$J:$J,'9月数据源'!$D:$D,$E38,'9月数据源'!$F:$F,"杭州实时查科技有限公司")</f>
        <v/>
      </c>
      <c r="O38" s="89">
        <f>-SUMIFS('10月数据源'!$I:$I,'10月数据源'!$D:$D,$E38,'10月数据源'!$F:$F,"杭州实时查科技有限公司")+SUMIFS('10月数据源'!$J:$J,'10月数据源'!$D:$D,$E38,'10月数据源'!$F:$F,"杭州实时查科技有限公司")</f>
        <v/>
      </c>
      <c r="P38" s="89">
        <f>-SUMIFS('11月数据源'!$I:$I,'11月数据源'!$D:$D,$E38,'11月数据源'!$F:$F,"杭州实时查科技有限公司")+SUMIFS('11月数据源'!$J:$J,'11月数据源'!$D:$D,$E38,'11月数据源'!$F:$F,"杭州实时查科技有限公司")</f>
        <v/>
      </c>
      <c r="Q38" s="89">
        <f>-SUMIFS('12月数据源'!$I:$I,'12月数据源'!$D:$D,$E38,'12月数据源'!$F:$F,"杭州实时查科技有限公司")+SUMIFS('12月数据源'!$J:$J,'12月数据源'!$D:$D,$E38,'12月数据源'!$F:$F,"杭州实时查科技有限公司")</f>
        <v/>
      </c>
    </row>
    <row r="39" s="83">
      <c r="A39" s="5" t="inlineStr">
        <is>
          <t>硬件支出</t>
        </is>
      </c>
      <c r="B39" s="6" t="inlineStr">
        <is>
          <t>BONG MAX</t>
        </is>
      </c>
      <c r="D39" s="5" t="inlineStr">
        <is>
          <t>充电器</t>
        </is>
      </c>
      <c r="E39" s="6" t="inlineStr">
        <is>
          <t>Q0904</t>
        </is>
      </c>
      <c r="F39" s="89">
        <f>-SUMIFS('1月数据源'!I:I,'1月数据源'!D:D,E39,'1月数据源'!F:F,"杭州实时查科技有限公司")+SUMIFS('1月数据源'!J:J,'1月数据源'!D:D,E39,'1月数据源'!F:F,"杭州实时查科技有限公司")</f>
        <v/>
      </c>
      <c r="G39" s="89">
        <f>-SUMIFS('2月数据源'!$I:$I,'2月数据源'!$D:$D,$E39,'2月数据源'!$F:$F,"杭州实时查科技有限公司")+SUMIFS('2月数据源'!$J:$J,'2月数据源'!$D:$D,$E39,'2月数据源'!$F:$F,"杭州实时查科技有限公司")</f>
        <v/>
      </c>
      <c r="H39" s="89">
        <f>-SUMIFS('3月数据源'!$I:$I,'3月数据源'!$D:$D,$E39,'3月数据源'!$F:$F,"杭州实时查科技有限公司")+SUMIFS('3月数据源'!$J:$J,'3月数据源'!$D:$D,$E39,'3月数据源'!$F:$F,"杭州实时查科技有限公司")</f>
        <v/>
      </c>
      <c r="I39" s="89">
        <f>-SUMIFS('4月数据源'!$I:$I,'4月数据源'!$D:$D,$E39,'4月数据源'!$F:$F,"杭州实时查科技有限公司")+SUMIFS('4月数据源'!$J:$J,'4月数据源'!$D:$D,$E39,'4月数据源'!$F:$F,"杭州实时查科技有限公司")</f>
        <v/>
      </c>
      <c r="J39" s="89">
        <f>-SUMIFS('5月数据源'!$I:$I,'5月数据源'!$D:$D,$E39,'5月数据源'!$F:$F,"杭州实时查科技有限公司")+SUMIFS('5月数据源'!$J:$J,'5月数据源'!$D:$D,$E39,'5月数据源'!$F:$F,"杭州实时查科技有限公司")</f>
        <v/>
      </c>
      <c r="K39" s="89">
        <f>-SUMIFS('6月数据源'!$I:$I,'6月数据源'!$D:$D,$E39,'6月数据源'!$F:$F,"杭州实时查科技有限公司")+SUMIFS('6月数据源'!$J:$J,'6月数据源'!$D:$D,$E39,'6月数据源'!$F:$F,"杭州实时查科技有限公司")</f>
        <v/>
      </c>
      <c r="L39" s="89">
        <f>-SUMIFS('7月数据源'!$I:$I,'7月数据源'!$D:$D,$E39,'7月数据源'!$F:$F,"杭州实时查科技有限公司")+SUMIFS('7月数据源'!$J:$J,'7月数据源'!$D:$D,$E39,'7月数据源'!$F:$F,"杭州实时查科技有限公司")</f>
        <v/>
      </c>
      <c r="M39" s="89">
        <f>-SUMIFS('8月数据源'!$I:$I,'8月数据源'!$D:$D,$E39,'8月数据源'!$F:$F,"杭州实时查科技有限公司")+SUMIFS('8月数据源'!$J:$J,'8月数据源'!$D:$D,$E39,'8月数据源'!$F:$F,"杭州实时查科技有限公司")</f>
        <v/>
      </c>
      <c r="N39" s="89">
        <f>-SUMIFS('9月数据源'!$I:$I,'9月数据源'!$D:$D,$E39,'9月数据源'!$F:$F,"杭州实时查科技有限公司")+SUMIFS('9月数据源'!$J:$J,'9月数据源'!$D:$D,$E39,'9月数据源'!$F:$F,"杭州实时查科技有限公司")</f>
        <v/>
      </c>
      <c r="O39" s="89">
        <f>-SUMIFS('10月数据源'!$I:$I,'10月数据源'!$D:$D,$E39,'10月数据源'!$F:$F,"杭州实时查科技有限公司")+SUMIFS('10月数据源'!$J:$J,'10月数据源'!$D:$D,$E39,'10月数据源'!$F:$F,"杭州实时查科技有限公司")</f>
        <v/>
      </c>
      <c r="P39" s="89">
        <f>-SUMIFS('11月数据源'!$I:$I,'11月数据源'!$D:$D,$E39,'11月数据源'!$F:$F,"杭州实时查科技有限公司")+SUMIFS('11月数据源'!$J:$J,'11月数据源'!$D:$D,$E39,'11月数据源'!$F:$F,"杭州实时查科技有限公司")</f>
        <v/>
      </c>
      <c r="Q39" s="89">
        <f>-SUMIFS('12月数据源'!$I:$I,'12月数据源'!$D:$D,$E39,'12月数据源'!$F:$F,"杭州实时查科技有限公司")+SUMIFS('12月数据源'!$J:$J,'12月数据源'!$D:$D,$E39,'12月数据源'!$F:$F,"杭州实时查科技有限公司")</f>
        <v/>
      </c>
    </row>
    <row r="40" s="83">
      <c r="A40" s="5" t="inlineStr">
        <is>
          <t>硬件支出</t>
        </is>
      </c>
      <c r="B40" s="6" t="inlineStr">
        <is>
          <t>BONG MAX</t>
        </is>
      </c>
      <c r="D40" s="5" t="inlineStr">
        <is>
          <t>指学镜</t>
        </is>
      </c>
      <c r="E40" s="6" t="inlineStr">
        <is>
          <t>Q0905</t>
        </is>
      </c>
      <c r="F40" s="89">
        <f>-SUMIFS('1月数据源'!I:I,'1月数据源'!D:D,E40,'1月数据源'!F:F,"杭州实时查科技有限公司")+SUMIFS('1月数据源'!J:J,'1月数据源'!D:D,E40,'1月数据源'!F:F,"杭州实时查科技有限公司")</f>
        <v/>
      </c>
      <c r="G40" s="89">
        <f>-SUMIFS('2月数据源'!$I:$I,'2月数据源'!$D:$D,$E40,'2月数据源'!$F:$F,"杭州实时查科技有限公司")+SUMIFS('2月数据源'!$J:$J,'2月数据源'!$D:$D,$E40,'2月数据源'!$F:$F,"杭州实时查科技有限公司")</f>
        <v/>
      </c>
      <c r="H40" s="89">
        <f>-SUMIFS('3月数据源'!$I:$I,'3月数据源'!$D:$D,$E40,'3月数据源'!$F:$F,"杭州实时查科技有限公司")+SUMIFS('3月数据源'!$J:$J,'3月数据源'!$D:$D,$E40,'3月数据源'!$F:$F,"杭州实时查科技有限公司")</f>
        <v/>
      </c>
      <c r="I40" s="89">
        <f>-SUMIFS('4月数据源'!$I:$I,'4月数据源'!$D:$D,$E40,'4月数据源'!$F:$F,"杭州实时查科技有限公司")+SUMIFS('4月数据源'!$J:$J,'4月数据源'!$D:$D,$E40,'4月数据源'!$F:$F,"杭州实时查科技有限公司")</f>
        <v/>
      </c>
      <c r="J40" s="89">
        <f>-SUMIFS('5月数据源'!$I:$I,'5月数据源'!$D:$D,$E40,'5月数据源'!$F:$F,"杭州实时查科技有限公司")+SUMIFS('5月数据源'!$J:$J,'5月数据源'!$D:$D,$E40,'5月数据源'!$F:$F,"杭州实时查科技有限公司")</f>
        <v/>
      </c>
      <c r="K40" s="89">
        <f>-SUMIFS('6月数据源'!$I:$I,'6月数据源'!$D:$D,$E40,'6月数据源'!$F:$F,"杭州实时查科技有限公司")+SUMIFS('6月数据源'!$J:$J,'6月数据源'!$D:$D,$E40,'6月数据源'!$F:$F,"杭州实时查科技有限公司")</f>
        <v/>
      </c>
      <c r="L40" s="89">
        <f>-SUMIFS('7月数据源'!$I:$I,'7月数据源'!$D:$D,$E40,'7月数据源'!$F:$F,"杭州实时查科技有限公司")+SUMIFS('7月数据源'!$J:$J,'7月数据源'!$D:$D,$E40,'7月数据源'!$F:$F,"杭州实时查科技有限公司")</f>
        <v/>
      </c>
      <c r="M40" s="89">
        <f>-SUMIFS('8月数据源'!$I:$I,'8月数据源'!$D:$D,$E40,'8月数据源'!$F:$F,"杭州实时查科技有限公司")+SUMIFS('8月数据源'!$J:$J,'8月数据源'!$D:$D,$E40,'8月数据源'!$F:$F,"杭州实时查科技有限公司")</f>
        <v/>
      </c>
      <c r="N40" s="89">
        <f>-SUMIFS('9月数据源'!$I:$I,'9月数据源'!$D:$D,$E40,'9月数据源'!$F:$F,"杭州实时查科技有限公司")+SUMIFS('9月数据源'!$J:$J,'9月数据源'!$D:$D,$E40,'9月数据源'!$F:$F,"杭州实时查科技有限公司")</f>
        <v/>
      </c>
      <c r="O40" s="89">
        <f>-SUMIFS('10月数据源'!$I:$I,'10月数据源'!$D:$D,$E40,'10月数据源'!$F:$F,"杭州实时查科技有限公司")+SUMIFS('10月数据源'!$J:$J,'10月数据源'!$D:$D,$E40,'10月数据源'!$F:$F,"杭州实时查科技有限公司")</f>
        <v/>
      </c>
      <c r="P40" s="89">
        <f>-SUMIFS('11月数据源'!$I:$I,'11月数据源'!$D:$D,$E40,'11月数据源'!$F:$F,"杭州实时查科技有限公司")+SUMIFS('11月数据源'!$J:$J,'11月数据源'!$D:$D,$E40,'11月数据源'!$F:$F,"杭州实时查科技有限公司")</f>
        <v/>
      </c>
      <c r="Q40" s="89">
        <f>-SUMIFS('12月数据源'!$I:$I,'12月数据源'!$D:$D,$E40,'12月数据源'!$F:$F,"杭州实时查科技有限公司")+SUMIFS('12月数据源'!$J:$J,'12月数据源'!$D:$D,$E40,'12月数据源'!$F:$F,"杭州实时查科技有限公司")</f>
        <v/>
      </c>
    </row>
    <row r="41" s="83">
      <c r="A41" s="5" t="inlineStr">
        <is>
          <t>硬件支出</t>
        </is>
      </c>
      <c r="B41" s="6" t="inlineStr">
        <is>
          <t>BONG MAX</t>
        </is>
      </c>
      <c r="D41" s="5" t="inlineStr">
        <is>
          <t>学习机系统授权费</t>
        </is>
      </c>
      <c r="E41" s="6" t="inlineStr">
        <is>
          <t>Q0906</t>
        </is>
      </c>
      <c r="F41" s="89">
        <f>-SUMIFS('1月数据源'!I:I,'1月数据源'!D:D,E41,'1月数据源'!F:F,"杭州实时查科技有限公司")+SUMIFS('1月数据源'!J:J,'1月数据源'!D:D,E41,'1月数据源'!F:F,"杭州实时查科技有限公司")</f>
        <v/>
      </c>
      <c r="G41" s="89">
        <f>-SUMIFS('2月数据源'!$I:$I,'2月数据源'!$D:$D,$E41,'2月数据源'!$F:$F,"杭州实时查科技有限公司")+SUMIFS('2月数据源'!$J:$J,'2月数据源'!$D:$D,$E41,'2月数据源'!$F:$F,"杭州实时查科技有限公司")</f>
        <v/>
      </c>
      <c r="H41" s="89">
        <f>-SUMIFS('3月数据源'!$I:$I,'3月数据源'!$D:$D,$E41,'3月数据源'!$F:$F,"杭州实时查科技有限公司")+SUMIFS('3月数据源'!$J:$J,'3月数据源'!$D:$D,$E41,'3月数据源'!$F:$F,"杭州实时查科技有限公司")</f>
        <v/>
      </c>
      <c r="I41" s="89">
        <f>-SUMIFS('4月数据源'!$I:$I,'4月数据源'!$D:$D,$E41,'4月数据源'!$F:$F,"杭州实时查科技有限公司")+SUMIFS('4月数据源'!$J:$J,'4月数据源'!$D:$D,$E41,'4月数据源'!$F:$F,"杭州实时查科技有限公司")</f>
        <v/>
      </c>
      <c r="J41" s="89">
        <f>-SUMIFS('5月数据源'!$I:$I,'5月数据源'!$D:$D,$E41,'5月数据源'!$F:$F,"杭州实时查科技有限公司")+SUMIFS('5月数据源'!$J:$J,'5月数据源'!$D:$D,$E41,'5月数据源'!$F:$F,"杭州实时查科技有限公司")</f>
        <v/>
      </c>
      <c r="K41" s="89">
        <f>-SUMIFS('6月数据源'!$I:$I,'6月数据源'!$D:$D,$E41,'6月数据源'!$F:$F,"杭州实时查科技有限公司")+SUMIFS('6月数据源'!$J:$J,'6月数据源'!$D:$D,$E41,'6月数据源'!$F:$F,"杭州实时查科技有限公司")</f>
        <v/>
      </c>
      <c r="L41" s="89">
        <f>-SUMIFS('7月数据源'!$I:$I,'7月数据源'!$D:$D,$E41,'7月数据源'!$F:$F,"杭州实时查科技有限公司")+SUMIFS('7月数据源'!$J:$J,'7月数据源'!$D:$D,$E41,'7月数据源'!$F:$F,"杭州实时查科技有限公司")</f>
        <v/>
      </c>
      <c r="M41" s="89">
        <f>-SUMIFS('8月数据源'!$I:$I,'8月数据源'!$D:$D,$E41,'8月数据源'!$F:$F,"杭州实时查科技有限公司")+SUMIFS('8月数据源'!$J:$J,'8月数据源'!$D:$D,$E41,'8月数据源'!$F:$F,"杭州实时查科技有限公司")</f>
        <v/>
      </c>
      <c r="N41" s="89">
        <f>-SUMIFS('9月数据源'!$I:$I,'9月数据源'!$D:$D,$E41,'9月数据源'!$F:$F,"杭州实时查科技有限公司")+SUMIFS('9月数据源'!$J:$J,'9月数据源'!$D:$D,$E41,'9月数据源'!$F:$F,"杭州实时查科技有限公司")</f>
        <v/>
      </c>
      <c r="O41" s="89">
        <f>-SUMIFS('10月数据源'!$I:$I,'10月数据源'!$D:$D,$E41,'10月数据源'!$F:$F,"杭州实时查科技有限公司")+SUMIFS('10月数据源'!$J:$J,'10月数据源'!$D:$D,$E41,'10月数据源'!$F:$F,"杭州实时查科技有限公司")</f>
        <v/>
      </c>
      <c r="P41" s="89">
        <f>-SUMIFS('11月数据源'!$I:$I,'11月数据源'!$D:$D,$E41,'11月数据源'!$F:$F,"杭州实时查科技有限公司")+SUMIFS('11月数据源'!$J:$J,'11月数据源'!$D:$D,$E41,'11月数据源'!$F:$F,"杭州实时查科技有限公司")</f>
        <v/>
      </c>
      <c r="Q41" s="89">
        <f>-SUMIFS('12月数据源'!$I:$I,'12月数据源'!$D:$D,$E41,'12月数据源'!$F:$F,"杭州实时查科技有限公司")+SUMIFS('12月数据源'!$J:$J,'12月数据源'!$D:$D,$E41,'12月数据源'!$F:$F,"杭州实时查科技有限公司")</f>
        <v/>
      </c>
    </row>
    <row r="42" s="83">
      <c r="A42" s="5" t="inlineStr">
        <is>
          <t>硬件支出</t>
        </is>
      </c>
      <c r="B42" s="6" t="inlineStr">
        <is>
          <t>BONG PRO</t>
        </is>
      </c>
      <c r="C42" s="6" t="inlineStr">
        <is>
          <t>BONG PRO</t>
        </is>
      </c>
      <c r="D42" s="5" t="inlineStr">
        <is>
          <t>BOE平板电脑款项</t>
        </is>
      </c>
      <c r="E42" s="6" t="inlineStr">
        <is>
          <t>Q1001</t>
        </is>
      </c>
      <c r="F42" s="89">
        <f>-SUMIFS('1月数据源'!I:I,'1月数据源'!D:D,E42,'1月数据源'!F:F,"杭州实时查科技有限公司")+SUMIFS('1月数据源'!J:J,'1月数据源'!D:D,E42,'1月数据源'!F:F,"杭州实时查科技有限公司")</f>
        <v/>
      </c>
      <c r="G42" s="89">
        <f>-SUMIFS('2月数据源'!$I:$I,'2月数据源'!$D:$D,$E42,'2月数据源'!$F:$F,"杭州实时查科技有限公司")+SUMIFS('2月数据源'!$J:$J,'2月数据源'!$D:$D,$E42,'2月数据源'!$F:$F,"杭州实时查科技有限公司")</f>
        <v/>
      </c>
      <c r="H42" s="89">
        <f>-SUMIFS('3月数据源'!$I:$I,'3月数据源'!$D:$D,$E42,'3月数据源'!$F:$F,"杭州实时查科技有限公司")+SUMIFS('3月数据源'!$J:$J,'3月数据源'!$D:$D,$E42,'3月数据源'!$F:$F,"杭州实时查科技有限公司")</f>
        <v/>
      </c>
      <c r="I42" s="89">
        <f>-SUMIFS('4月数据源'!$I:$I,'4月数据源'!$D:$D,$E42,'4月数据源'!$F:$F,"杭州实时查科技有限公司")+SUMIFS('4月数据源'!$J:$J,'4月数据源'!$D:$D,$E42,'4月数据源'!$F:$F,"杭州实时查科技有限公司")</f>
        <v/>
      </c>
      <c r="J42" s="89">
        <f>-SUMIFS('5月数据源'!$I:$I,'5月数据源'!$D:$D,$E42,'5月数据源'!$F:$F,"杭州实时查科技有限公司")+SUMIFS('5月数据源'!$J:$J,'5月数据源'!$D:$D,$E42,'5月数据源'!$F:$F,"杭州实时查科技有限公司")</f>
        <v/>
      </c>
      <c r="K42" s="89">
        <f>-SUMIFS('6月数据源'!$I:$I,'6月数据源'!$D:$D,$E42,'6月数据源'!$F:$F,"杭州实时查科技有限公司")+SUMIFS('6月数据源'!$J:$J,'6月数据源'!$D:$D,$E42,'6月数据源'!$F:$F,"杭州实时查科技有限公司")</f>
        <v/>
      </c>
      <c r="L42" s="89">
        <f>-SUMIFS('7月数据源'!$I:$I,'7月数据源'!$D:$D,$E42,'7月数据源'!$F:$F,"杭州实时查科技有限公司")+SUMIFS('7月数据源'!$J:$J,'7月数据源'!$D:$D,$E42,'7月数据源'!$F:$F,"杭州实时查科技有限公司")</f>
        <v/>
      </c>
      <c r="M42" s="89">
        <f>-SUMIFS('8月数据源'!$I:$I,'8月数据源'!$D:$D,$E42,'8月数据源'!$F:$F,"杭州实时查科技有限公司")+SUMIFS('8月数据源'!$J:$J,'8月数据源'!$D:$D,$E42,'8月数据源'!$F:$F,"杭州实时查科技有限公司")</f>
        <v/>
      </c>
      <c r="N42" s="89">
        <f>-SUMIFS('9月数据源'!$I:$I,'9月数据源'!$D:$D,$E42,'9月数据源'!$F:$F,"杭州实时查科技有限公司")+SUMIFS('9月数据源'!$J:$J,'9月数据源'!$D:$D,$E42,'9月数据源'!$F:$F,"杭州实时查科技有限公司")</f>
        <v/>
      </c>
      <c r="O42" s="89">
        <f>-SUMIFS('10月数据源'!$I:$I,'10月数据源'!$D:$D,$E42,'10月数据源'!$F:$F,"杭州实时查科技有限公司")+SUMIFS('10月数据源'!$J:$J,'10月数据源'!$D:$D,$E42,'10月数据源'!$F:$F,"杭州实时查科技有限公司")</f>
        <v/>
      </c>
      <c r="P42" s="89">
        <f>-SUMIFS('11月数据源'!$I:$I,'11月数据源'!$D:$D,$E42,'11月数据源'!$F:$F,"杭州实时查科技有限公司")+SUMIFS('11月数据源'!$J:$J,'11月数据源'!$D:$D,$E42,'11月数据源'!$F:$F,"杭州实时查科技有限公司")</f>
        <v/>
      </c>
      <c r="Q42" s="89">
        <f>-SUMIFS('12月数据源'!$I:$I,'12月数据源'!$D:$D,$E42,'12月数据源'!$F:$F,"杭州实时查科技有限公司")+SUMIFS('12月数据源'!$J:$J,'12月数据源'!$D:$D,$E42,'12月数据源'!$F:$F,"杭州实时查科技有限公司")</f>
        <v/>
      </c>
    </row>
    <row r="43" s="83">
      <c r="A43" s="5" t="inlineStr">
        <is>
          <t>硬件支出</t>
        </is>
      </c>
      <c r="B43" s="6" t="inlineStr">
        <is>
          <t>BONG PRO</t>
        </is>
      </c>
      <c r="D43" s="5" t="inlineStr">
        <is>
          <t>保护套</t>
        </is>
      </c>
      <c r="E43" s="6" t="inlineStr">
        <is>
          <t>Q1002</t>
        </is>
      </c>
      <c r="F43" s="89">
        <f>-SUMIFS('1月数据源'!I:I,'1月数据源'!D:D,E43,'1月数据源'!F:F,"杭州实时查科技有限公司")+SUMIFS('1月数据源'!J:J,'1月数据源'!D:D,E43,'1月数据源'!F:F,"杭州实时查科技有限公司")</f>
        <v/>
      </c>
      <c r="G43" s="89">
        <f>-SUMIFS('2月数据源'!$I:$I,'2月数据源'!$D:$D,$E43,'2月数据源'!$F:$F,"杭州实时查科技有限公司")+SUMIFS('2月数据源'!$J:$J,'2月数据源'!$D:$D,$E43,'2月数据源'!$F:$F,"杭州实时查科技有限公司")</f>
        <v/>
      </c>
      <c r="H43" s="89">
        <f>-SUMIFS('3月数据源'!$I:$I,'3月数据源'!$D:$D,$E43,'3月数据源'!$F:$F,"杭州实时查科技有限公司")+SUMIFS('3月数据源'!$J:$J,'3月数据源'!$D:$D,$E43,'3月数据源'!$F:$F,"杭州实时查科技有限公司")</f>
        <v/>
      </c>
      <c r="I43" s="89">
        <f>-SUMIFS('4月数据源'!$I:$I,'4月数据源'!$D:$D,$E43,'4月数据源'!$F:$F,"杭州实时查科技有限公司")+SUMIFS('4月数据源'!$J:$J,'4月数据源'!$D:$D,$E43,'4月数据源'!$F:$F,"杭州实时查科技有限公司")</f>
        <v/>
      </c>
      <c r="J43" s="89">
        <f>-SUMIFS('5月数据源'!$I:$I,'5月数据源'!$D:$D,$E43,'5月数据源'!$F:$F,"杭州实时查科技有限公司")+SUMIFS('5月数据源'!$J:$J,'5月数据源'!$D:$D,$E43,'5月数据源'!$F:$F,"杭州实时查科技有限公司")</f>
        <v/>
      </c>
      <c r="K43" s="89">
        <f>-SUMIFS('6月数据源'!$I:$I,'6月数据源'!$D:$D,$E43,'6月数据源'!$F:$F,"杭州实时查科技有限公司")+SUMIFS('6月数据源'!$J:$J,'6月数据源'!$D:$D,$E43,'6月数据源'!$F:$F,"杭州实时查科技有限公司")</f>
        <v/>
      </c>
      <c r="L43" s="89">
        <f>-SUMIFS('7月数据源'!$I:$I,'7月数据源'!$D:$D,$E43,'7月数据源'!$F:$F,"杭州实时查科技有限公司")+SUMIFS('7月数据源'!$J:$J,'7月数据源'!$D:$D,$E43,'7月数据源'!$F:$F,"杭州实时查科技有限公司")</f>
        <v/>
      </c>
      <c r="M43" s="89">
        <f>-SUMIFS('8月数据源'!$I:$I,'8月数据源'!$D:$D,$E43,'8月数据源'!$F:$F,"杭州实时查科技有限公司")+SUMIFS('8月数据源'!$J:$J,'8月数据源'!$D:$D,$E43,'8月数据源'!$F:$F,"杭州实时查科技有限公司")</f>
        <v/>
      </c>
      <c r="N43" s="89">
        <f>-SUMIFS('9月数据源'!$I:$I,'9月数据源'!$D:$D,$E43,'9月数据源'!$F:$F,"杭州实时查科技有限公司")+SUMIFS('9月数据源'!$J:$J,'9月数据源'!$D:$D,$E43,'9月数据源'!$F:$F,"杭州实时查科技有限公司")</f>
        <v/>
      </c>
      <c r="O43" s="89">
        <f>-SUMIFS('10月数据源'!$I:$I,'10月数据源'!$D:$D,$E43,'10月数据源'!$F:$F,"杭州实时查科技有限公司")+SUMIFS('10月数据源'!$J:$J,'10月数据源'!$D:$D,$E43,'10月数据源'!$F:$F,"杭州实时查科技有限公司")</f>
        <v/>
      </c>
      <c r="P43" s="89">
        <f>-SUMIFS('11月数据源'!$I:$I,'11月数据源'!$D:$D,$E43,'11月数据源'!$F:$F,"杭州实时查科技有限公司")+SUMIFS('11月数据源'!$J:$J,'11月数据源'!$D:$D,$E43,'11月数据源'!$F:$F,"杭州实时查科技有限公司")</f>
        <v/>
      </c>
      <c r="Q43" s="89">
        <f>-SUMIFS('12月数据源'!$I:$I,'12月数据源'!$D:$D,$E43,'12月数据源'!$F:$F,"杭州实时查科技有限公司")+SUMIFS('12月数据源'!$J:$J,'12月数据源'!$D:$D,$E43,'12月数据源'!$F:$F,"杭州实时查科技有限公司")</f>
        <v/>
      </c>
    </row>
    <row r="44" s="83">
      <c r="A44" s="5" t="inlineStr">
        <is>
          <t>硬件支出</t>
        </is>
      </c>
      <c r="B44" s="6" t="inlineStr">
        <is>
          <t>BONG PRO</t>
        </is>
      </c>
      <c r="D44" s="5" t="inlineStr">
        <is>
          <t>包装盒</t>
        </is>
      </c>
      <c r="E44" s="6" t="inlineStr">
        <is>
          <t>Q1003</t>
        </is>
      </c>
      <c r="F44" s="89">
        <f>-SUMIFS('1月数据源'!I:I,'1月数据源'!D:D,E44,'1月数据源'!F:F,"杭州实时查科技有限公司")+SUMIFS('1月数据源'!J:J,'1月数据源'!D:D,E44,'1月数据源'!F:F,"杭州实时查科技有限公司")</f>
        <v/>
      </c>
      <c r="G44" s="89">
        <f>-SUMIFS('2月数据源'!$I:$I,'2月数据源'!$D:$D,$E44,'2月数据源'!$F:$F,"杭州实时查科技有限公司")+SUMIFS('2月数据源'!$J:$J,'2月数据源'!$D:$D,$E44,'2月数据源'!$F:$F,"杭州实时查科技有限公司")</f>
        <v/>
      </c>
      <c r="H44" s="89">
        <f>-SUMIFS('3月数据源'!$I:$I,'3月数据源'!$D:$D,$E44,'3月数据源'!$F:$F,"杭州实时查科技有限公司")+SUMIFS('3月数据源'!$J:$J,'3月数据源'!$D:$D,$E44,'3月数据源'!$F:$F,"杭州实时查科技有限公司")</f>
        <v/>
      </c>
      <c r="I44" s="89">
        <f>-SUMIFS('4月数据源'!$I:$I,'4月数据源'!$D:$D,$E44,'4月数据源'!$F:$F,"杭州实时查科技有限公司")+SUMIFS('4月数据源'!$J:$J,'4月数据源'!$D:$D,$E44,'4月数据源'!$F:$F,"杭州实时查科技有限公司")</f>
        <v/>
      </c>
      <c r="J44" s="89">
        <f>-SUMIFS('5月数据源'!$I:$I,'5月数据源'!$D:$D,$E44,'5月数据源'!$F:$F,"杭州实时查科技有限公司")+SUMIFS('5月数据源'!$J:$J,'5月数据源'!$D:$D,$E44,'5月数据源'!$F:$F,"杭州实时查科技有限公司")</f>
        <v/>
      </c>
      <c r="K44" s="89">
        <f>-SUMIFS('6月数据源'!$I:$I,'6月数据源'!$D:$D,$E44,'6月数据源'!$F:$F,"杭州实时查科技有限公司")+SUMIFS('6月数据源'!$J:$J,'6月数据源'!$D:$D,$E44,'6月数据源'!$F:$F,"杭州实时查科技有限公司")</f>
        <v/>
      </c>
      <c r="L44" s="89">
        <f>-SUMIFS('7月数据源'!$I:$I,'7月数据源'!$D:$D,$E44,'7月数据源'!$F:$F,"杭州实时查科技有限公司")+SUMIFS('7月数据源'!$J:$J,'7月数据源'!$D:$D,$E44,'7月数据源'!$F:$F,"杭州实时查科技有限公司")</f>
        <v/>
      </c>
      <c r="M44" s="89">
        <f>-SUMIFS('8月数据源'!$I:$I,'8月数据源'!$D:$D,$E44,'8月数据源'!$F:$F,"杭州实时查科技有限公司")+SUMIFS('8月数据源'!$J:$J,'8月数据源'!$D:$D,$E44,'8月数据源'!$F:$F,"杭州实时查科技有限公司")</f>
        <v/>
      </c>
      <c r="N44" s="89">
        <f>-SUMIFS('9月数据源'!$I:$I,'9月数据源'!$D:$D,$E44,'9月数据源'!$F:$F,"杭州实时查科技有限公司")+SUMIFS('9月数据源'!$J:$J,'9月数据源'!$D:$D,$E44,'9月数据源'!$F:$F,"杭州实时查科技有限公司")</f>
        <v/>
      </c>
      <c r="O44" s="89">
        <f>-SUMIFS('10月数据源'!$I:$I,'10月数据源'!$D:$D,$E44,'10月数据源'!$F:$F,"杭州实时查科技有限公司")+SUMIFS('10月数据源'!$J:$J,'10月数据源'!$D:$D,$E44,'10月数据源'!$F:$F,"杭州实时查科技有限公司")</f>
        <v/>
      </c>
      <c r="P44" s="89">
        <f>-SUMIFS('11月数据源'!$I:$I,'11月数据源'!$D:$D,$E44,'11月数据源'!$F:$F,"杭州实时查科技有限公司")+SUMIFS('11月数据源'!$J:$J,'11月数据源'!$D:$D,$E44,'11月数据源'!$F:$F,"杭州实时查科技有限公司")</f>
        <v/>
      </c>
      <c r="Q44" s="89">
        <f>-SUMIFS('12月数据源'!$I:$I,'12月数据源'!$D:$D,$E44,'12月数据源'!$F:$F,"杭州实时查科技有限公司")+SUMIFS('12月数据源'!$J:$J,'12月数据源'!$D:$D,$E44,'12月数据源'!$F:$F,"杭州实时查科技有限公司")</f>
        <v/>
      </c>
    </row>
    <row r="45" s="83">
      <c r="A45" s="5" t="inlineStr">
        <is>
          <t>硬件支出</t>
        </is>
      </c>
      <c r="B45" s="6" t="inlineStr">
        <is>
          <t>BONG PRO</t>
        </is>
      </c>
      <c r="D45" s="5" t="inlineStr">
        <is>
          <t>充电器</t>
        </is>
      </c>
      <c r="E45" s="6" t="inlineStr">
        <is>
          <t>Q1004</t>
        </is>
      </c>
      <c r="F45" s="89">
        <f>-SUMIFS('1月数据源'!I:I,'1月数据源'!D:D,E45,'1月数据源'!F:F,"杭州实时查科技有限公司")+SUMIFS('1月数据源'!J:J,'1月数据源'!D:D,E45,'1月数据源'!F:F,"杭州实时查科技有限公司")</f>
        <v/>
      </c>
      <c r="G45" s="89">
        <f>-SUMIFS('2月数据源'!$I:$I,'2月数据源'!$D:$D,$E45,'2月数据源'!$F:$F,"杭州实时查科技有限公司")+SUMIFS('2月数据源'!$J:$J,'2月数据源'!$D:$D,$E45,'2月数据源'!$F:$F,"杭州实时查科技有限公司")</f>
        <v/>
      </c>
      <c r="H45" s="89">
        <f>-SUMIFS('3月数据源'!$I:$I,'3月数据源'!$D:$D,$E45,'3月数据源'!$F:$F,"杭州实时查科技有限公司")+SUMIFS('3月数据源'!$J:$J,'3月数据源'!$D:$D,$E45,'3月数据源'!$F:$F,"杭州实时查科技有限公司")</f>
        <v/>
      </c>
      <c r="I45" s="89">
        <f>-SUMIFS('4月数据源'!$I:$I,'4月数据源'!$D:$D,$E45,'4月数据源'!$F:$F,"杭州实时查科技有限公司")+SUMIFS('4月数据源'!$J:$J,'4月数据源'!$D:$D,$E45,'4月数据源'!$F:$F,"杭州实时查科技有限公司")</f>
        <v/>
      </c>
      <c r="J45" s="89">
        <f>-SUMIFS('5月数据源'!$I:$I,'5月数据源'!$D:$D,$E45,'5月数据源'!$F:$F,"杭州实时查科技有限公司")+SUMIFS('5月数据源'!$J:$J,'5月数据源'!$D:$D,$E45,'5月数据源'!$F:$F,"杭州实时查科技有限公司")</f>
        <v/>
      </c>
      <c r="K45" s="89">
        <f>-SUMIFS('6月数据源'!$I:$I,'6月数据源'!$D:$D,$E45,'6月数据源'!$F:$F,"杭州实时查科技有限公司")+SUMIFS('6月数据源'!$J:$J,'6月数据源'!$D:$D,$E45,'6月数据源'!$F:$F,"杭州实时查科技有限公司")</f>
        <v/>
      </c>
      <c r="L45" s="89">
        <f>-SUMIFS('7月数据源'!$I:$I,'7月数据源'!$D:$D,$E45,'7月数据源'!$F:$F,"杭州实时查科技有限公司")+SUMIFS('7月数据源'!$J:$J,'7月数据源'!$D:$D,$E45,'7月数据源'!$F:$F,"杭州实时查科技有限公司")</f>
        <v/>
      </c>
      <c r="M45" s="89">
        <f>-SUMIFS('8月数据源'!$I:$I,'8月数据源'!$D:$D,$E45,'8月数据源'!$F:$F,"杭州实时查科技有限公司")+SUMIFS('8月数据源'!$J:$J,'8月数据源'!$D:$D,$E45,'8月数据源'!$F:$F,"杭州实时查科技有限公司")</f>
        <v/>
      </c>
      <c r="N45" s="89">
        <f>-SUMIFS('9月数据源'!$I:$I,'9月数据源'!$D:$D,$E45,'9月数据源'!$F:$F,"杭州实时查科技有限公司")+SUMIFS('9月数据源'!$J:$J,'9月数据源'!$D:$D,$E45,'9月数据源'!$F:$F,"杭州实时查科技有限公司")</f>
        <v/>
      </c>
      <c r="O45" s="89">
        <f>-SUMIFS('10月数据源'!$I:$I,'10月数据源'!$D:$D,$E45,'10月数据源'!$F:$F,"杭州实时查科技有限公司")+SUMIFS('10月数据源'!$J:$J,'10月数据源'!$D:$D,$E45,'10月数据源'!$F:$F,"杭州实时查科技有限公司")</f>
        <v/>
      </c>
      <c r="P45" s="89">
        <f>-SUMIFS('11月数据源'!$I:$I,'11月数据源'!$D:$D,$E45,'11月数据源'!$F:$F,"杭州实时查科技有限公司")+SUMIFS('11月数据源'!$J:$J,'11月数据源'!$D:$D,$E45,'11月数据源'!$F:$F,"杭州实时查科技有限公司")</f>
        <v/>
      </c>
      <c r="Q45" s="89">
        <f>-SUMIFS('12月数据源'!$I:$I,'12月数据源'!$D:$D,$E45,'12月数据源'!$F:$F,"杭州实时查科技有限公司")+SUMIFS('12月数据源'!$J:$J,'12月数据源'!$D:$D,$E45,'12月数据源'!$F:$F,"杭州实时查科技有限公司")</f>
        <v/>
      </c>
    </row>
    <row r="46" s="83">
      <c r="A46" s="5" t="inlineStr">
        <is>
          <t>硬件支出</t>
        </is>
      </c>
      <c r="B46" s="6" t="inlineStr">
        <is>
          <t>BONG PRO</t>
        </is>
      </c>
      <c r="D46" s="5" t="inlineStr">
        <is>
          <t>指学镜</t>
        </is>
      </c>
      <c r="E46" s="6" t="inlineStr">
        <is>
          <t>Q1005</t>
        </is>
      </c>
      <c r="F46" s="89">
        <f>-SUMIFS('1月数据源'!I:I,'1月数据源'!D:D,E46,'1月数据源'!F:F,"杭州实时查科技有限公司")+SUMIFS('1月数据源'!J:J,'1月数据源'!D:D,E46,'1月数据源'!F:F,"杭州实时查科技有限公司")</f>
        <v/>
      </c>
      <c r="G46" s="89">
        <f>-SUMIFS('2月数据源'!$I:$I,'2月数据源'!$D:$D,$E46,'2月数据源'!$F:$F,"杭州实时查科技有限公司")+SUMIFS('2月数据源'!$J:$J,'2月数据源'!$D:$D,$E46,'2月数据源'!$F:$F,"杭州实时查科技有限公司")</f>
        <v/>
      </c>
      <c r="H46" s="89">
        <f>-SUMIFS('3月数据源'!$I:$I,'3月数据源'!$D:$D,$E46,'3月数据源'!$F:$F,"杭州实时查科技有限公司")+SUMIFS('3月数据源'!$J:$J,'3月数据源'!$D:$D,$E46,'3月数据源'!$F:$F,"杭州实时查科技有限公司")</f>
        <v/>
      </c>
      <c r="I46" s="89">
        <f>-SUMIFS('4月数据源'!$I:$I,'4月数据源'!$D:$D,$E46,'4月数据源'!$F:$F,"杭州实时查科技有限公司")+SUMIFS('4月数据源'!$J:$J,'4月数据源'!$D:$D,$E46,'4月数据源'!$F:$F,"杭州实时查科技有限公司")</f>
        <v/>
      </c>
      <c r="J46" s="89">
        <f>-SUMIFS('5月数据源'!$I:$I,'5月数据源'!$D:$D,$E46,'5月数据源'!$F:$F,"杭州实时查科技有限公司")+SUMIFS('5月数据源'!$J:$J,'5月数据源'!$D:$D,$E46,'5月数据源'!$F:$F,"杭州实时查科技有限公司")</f>
        <v/>
      </c>
      <c r="K46" s="89">
        <f>-SUMIFS('6月数据源'!$I:$I,'6月数据源'!$D:$D,$E46,'6月数据源'!$F:$F,"杭州实时查科技有限公司")+SUMIFS('6月数据源'!$J:$J,'6月数据源'!$D:$D,$E46,'6月数据源'!$F:$F,"杭州实时查科技有限公司")</f>
        <v/>
      </c>
      <c r="L46" s="89">
        <f>-SUMIFS('7月数据源'!$I:$I,'7月数据源'!$D:$D,$E46,'7月数据源'!$F:$F,"杭州实时查科技有限公司")+SUMIFS('7月数据源'!$J:$J,'7月数据源'!$D:$D,$E46,'7月数据源'!$F:$F,"杭州实时查科技有限公司")</f>
        <v/>
      </c>
      <c r="M46" s="89">
        <f>-SUMIFS('8月数据源'!$I:$I,'8月数据源'!$D:$D,$E46,'8月数据源'!$F:$F,"杭州实时查科技有限公司")+SUMIFS('8月数据源'!$J:$J,'8月数据源'!$D:$D,$E46,'8月数据源'!$F:$F,"杭州实时查科技有限公司")</f>
        <v/>
      </c>
      <c r="N46" s="89">
        <f>-SUMIFS('9月数据源'!$I:$I,'9月数据源'!$D:$D,$E46,'9月数据源'!$F:$F,"杭州实时查科技有限公司")+SUMIFS('9月数据源'!$J:$J,'9月数据源'!$D:$D,$E46,'9月数据源'!$F:$F,"杭州实时查科技有限公司")</f>
        <v/>
      </c>
      <c r="O46" s="89">
        <f>-SUMIFS('10月数据源'!$I:$I,'10月数据源'!$D:$D,$E46,'10月数据源'!$F:$F,"杭州实时查科技有限公司")+SUMIFS('10月数据源'!$J:$J,'10月数据源'!$D:$D,$E46,'10月数据源'!$F:$F,"杭州实时查科技有限公司")</f>
        <v/>
      </c>
      <c r="P46" s="89">
        <f>-SUMIFS('11月数据源'!$I:$I,'11月数据源'!$D:$D,$E46,'11月数据源'!$F:$F,"杭州实时查科技有限公司")+SUMIFS('11月数据源'!$J:$J,'11月数据源'!$D:$D,$E46,'11月数据源'!$F:$F,"杭州实时查科技有限公司")</f>
        <v/>
      </c>
      <c r="Q46" s="89">
        <f>-SUMIFS('12月数据源'!$I:$I,'12月数据源'!$D:$D,$E46,'12月数据源'!$F:$F,"杭州实时查科技有限公司")+SUMIFS('12月数据源'!$J:$J,'12月数据源'!$D:$D,$E46,'12月数据源'!$F:$F,"杭州实时查科技有限公司")</f>
        <v/>
      </c>
    </row>
    <row r="47" s="83">
      <c r="A47" s="5" t="inlineStr">
        <is>
          <t>硬件支出</t>
        </is>
      </c>
      <c r="B47" s="6" t="inlineStr">
        <is>
          <t>BONG PRO</t>
        </is>
      </c>
      <c r="D47" s="5" t="inlineStr">
        <is>
          <t>学习机系统授权费</t>
        </is>
      </c>
      <c r="E47" s="6" t="inlineStr">
        <is>
          <t>Q1006</t>
        </is>
      </c>
      <c r="F47" s="89">
        <f>-SUMIFS('1月数据源'!I:I,'1月数据源'!D:D,E47,'1月数据源'!F:F,"杭州实时查科技有限公司")+SUMIFS('1月数据源'!J:J,'1月数据源'!D:D,E47,'1月数据源'!F:F,"杭州实时查科技有限公司")</f>
        <v/>
      </c>
      <c r="G47" s="89">
        <f>-SUMIFS('2月数据源'!$I:$I,'2月数据源'!$D:$D,$E47,'2月数据源'!$F:$F,"杭州实时查科技有限公司")+SUMIFS('2月数据源'!$J:$J,'2月数据源'!$D:$D,$E47,'2月数据源'!$F:$F,"杭州实时查科技有限公司")</f>
        <v/>
      </c>
      <c r="H47" s="89">
        <f>-SUMIFS('3月数据源'!$I:$I,'3月数据源'!$D:$D,$E47,'3月数据源'!$F:$F,"杭州实时查科技有限公司")+SUMIFS('3月数据源'!$J:$J,'3月数据源'!$D:$D,$E47,'3月数据源'!$F:$F,"杭州实时查科技有限公司")</f>
        <v/>
      </c>
      <c r="I47" s="89">
        <f>-SUMIFS('4月数据源'!$I:$I,'4月数据源'!$D:$D,$E47,'4月数据源'!$F:$F,"杭州实时查科技有限公司")+SUMIFS('4月数据源'!$J:$J,'4月数据源'!$D:$D,$E47,'4月数据源'!$F:$F,"杭州实时查科技有限公司")</f>
        <v/>
      </c>
      <c r="J47" s="89">
        <f>-SUMIFS('5月数据源'!$I:$I,'5月数据源'!$D:$D,$E47,'5月数据源'!$F:$F,"杭州实时查科技有限公司")+SUMIFS('5月数据源'!$J:$J,'5月数据源'!$D:$D,$E47,'5月数据源'!$F:$F,"杭州实时查科技有限公司")</f>
        <v/>
      </c>
      <c r="K47" s="89">
        <f>-SUMIFS('6月数据源'!$I:$I,'6月数据源'!$D:$D,$E47,'6月数据源'!$F:$F,"杭州实时查科技有限公司")+SUMIFS('6月数据源'!$J:$J,'6月数据源'!$D:$D,$E47,'6月数据源'!$F:$F,"杭州实时查科技有限公司")</f>
        <v/>
      </c>
      <c r="L47" s="89">
        <f>-SUMIFS('7月数据源'!$I:$I,'7月数据源'!$D:$D,$E47,'7月数据源'!$F:$F,"杭州实时查科技有限公司")+SUMIFS('7月数据源'!$J:$J,'7月数据源'!$D:$D,$E47,'7月数据源'!$F:$F,"杭州实时查科技有限公司")</f>
        <v/>
      </c>
      <c r="M47" s="89">
        <f>-SUMIFS('8月数据源'!$I:$I,'8月数据源'!$D:$D,$E47,'8月数据源'!$F:$F,"杭州实时查科技有限公司")+SUMIFS('8月数据源'!$J:$J,'8月数据源'!$D:$D,$E47,'8月数据源'!$F:$F,"杭州实时查科技有限公司")</f>
        <v/>
      </c>
      <c r="N47" s="89">
        <f>-SUMIFS('9月数据源'!$I:$I,'9月数据源'!$D:$D,$E47,'9月数据源'!$F:$F,"杭州实时查科技有限公司")+SUMIFS('9月数据源'!$J:$J,'9月数据源'!$D:$D,$E47,'9月数据源'!$F:$F,"杭州实时查科技有限公司")</f>
        <v/>
      </c>
      <c r="O47" s="89">
        <f>-SUMIFS('10月数据源'!$I:$I,'10月数据源'!$D:$D,$E47,'10月数据源'!$F:$F,"杭州实时查科技有限公司")+SUMIFS('10月数据源'!$J:$J,'10月数据源'!$D:$D,$E47,'10月数据源'!$F:$F,"杭州实时查科技有限公司")</f>
        <v/>
      </c>
      <c r="P47" s="89">
        <f>-SUMIFS('11月数据源'!$I:$I,'11月数据源'!$D:$D,$E47,'11月数据源'!$F:$F,"杭州实时查科技有限公司")+SUMIFS('11月数据源'!$J:$J,'11月数据源'!$D:$D,$E47,'11月数据源'!$F:$F,"杭州实时查科技有限公司")</f>
        <v/>
      </c>
      <c r="Q47" s="89">
        <f>-SUMIFS('12月数据源'!$I:$I,'12月数据源'!$D:$D,$E47,'12月数据源'!$F:$F,"杭州实时查科技有限公司")+SUMIFS('12月数据源'!$J:$J,'12月数据源'!$D:$D,$E47,'12月数据源'!$F:$F,"杭州实时查科技有限公司")</f>
        <v/>
      </c>
    </row>
    <row r="48" s="83">
      <c r="A48" s="5" t="inlineStr">
        <is>
          <t>硬件支出</t>
        </is>
      </c>
      <c r="B48" s="6" t="inlineStr">
        <is>
          <t>其他硬件成本</t>
        </is>
      </c>
      <c r="C48" s="6" t="inlineStr">
        <is>
          <t>其他硬件成本</t>
        </is>
      </c>
      <c r="D48" s="5" t="inlineStr">
        <is>
          <t>电容笔</t>
        </is>
      </c>
      <c r="E48" s="6" t="inlineStr">
        <is>
          <t>Q1101</t>
        </is>
      </c>
      <c r="F48" s="89">
        <f>-SUMIFS('1月数据源'!I:I,'1月数据源'!D:D,E48,'1月数据源'!F:F,"杭州实时查科技有限公司")+SUMIFS('1月数据源'!J:J,'1月数据源'!D:D,E48,'1月数据源'!F:F,"杭州实时查科技有限公司")</f>
        <v/>
      </c>
      <c r="G48" s="89">
        <f>-SUMIFS('2月数据源'!$I:$I,'2月数据源'!$D:$D,$E48,'2月数据源'!$F:$F,"杭州实时查科技有限公司")+SUMIFS('2月数据源'!$J:$J,'2月数据源'!$D:$D,$E48,'2月数据源'!$F:$F,"杭州实时查科技有限公司")</f>
        <v/>
      </c>
      <c r="H48" s="89">
        <f>-SUMIFS('3月数据源'!$I:$I,'3月数据源'!$D:$D,$E48,'3月数据源'!$F:$F,"杭州实时查科技有限公司")+SUMIFS('3月数据源'!$J:$J,'3月数据源'!$D:$D,$E48,'3月数据源'!$F:$F,"杭州实时查科技有限公司")</f>
        <v/>
      </c>
      <c r="I48" s="89">
        <f>-SUMIFS('4月数据源'!$I:$I,'4月数据源'!$D:$D,$E48,'4月数据源'!$F:$F,"杭州实时查科技有限公司")+SUMIFS('4月数据源'!$J:$J,'4月数据源'!$D:$D,$E48,'4月数据源'!$F:$F,"杭州实时查科技有限公司")</f>
        <v/>
      </c>
      <c r="J48" s="89">
        <f>-SUMIFS('5月数据源'!$I:$I,'5月数据源'!$D:$D,$E48,'5月数据源'!$F:$F,"杭州实时查科技有限公司")+SUMIFS('5月数据源'!$J:$J,'5月数据源'!$D:$D,$E48,'5月数据源'!$F:$F,"杭州实时查科技有限公司")</f>
        <v/>
      </c>
      <c r="K48" s="89">
        <f>-SUMIFS('6月数据源'!$I:$I,'6月数据源'!$D:$D,$E48,'6月数据源'!$F:$F,"杭州实时查科技有限公司")+SUMIFS('6月数据源'!$J:$J,'6月数据源'!$D:$D,$E48,'6月数据源'!$F:$F,"杭州实时查科技有限公司")</f>
        <v/>
      </c>
      <c r="L48" s="89">
        <f>-SUMIFS('7月数据源'!$I:$I,'7月数据源'!$D:$D,$E48,'7月数据源'!$F:$F,"杭州实时查科技有限公司")+SUMIFS('7月数据源'!$J:$J,'7月数据源'!$D:$D,$E48,'7月数据源'!$F:$F,"杭州实时查科技有限公司")</f>
        <v/>
      </c>
      <c r="M48" s="89">
        <f>-SUMIFS('8月数据源'!$I:$I,'8月数据源'!$D:$D,$E48,'8月数据源'!$F:$F,"杭州实时查科技有限公司")+SUMIFS('8月数据源'!$J:$J,'8月数据源'!$D:$D,$E48,'8月数据源'!$F:$F,"杭州实时查科技有限公司")</f>
        <v/>
      </c>
      <c r="N48" s="89">
        <f>-SUMIFS('9月数据源'!$I:$I,'9月数据源'!$D:$D,$E48,'9月数据源'!$F:$F,"杭州实时查科技有限公司")+SUMIFS('9月数据源'!$J:$J,'9月数据源'!$D:$D,$E48,'9月数据源'!$F:$F,"杭州实时查科技有限公司")</f>
        <v/>
      </c>
      <c r="O48" s="89">
        <f>-SUMIFS('10月数据源'!$I:$I,'10月数据源'!$D:$D,$E48,'10月数据源'!$F:$F,"杭州实时查科技有限公司")+SUMIFS('10月数据源'!$J:$J,'10月数据源'!$D:$D,$E48,'10月数据源'!$F:$F,"杭州实时查科技有限公司")</f>
        <v/>
      </c>
      <c r="P48" s="89">
        <f>-SUMIFS('11月数据源'!$I:$I,'11月数据源'!$D:$D,$E48,'11月数据源'!$F:$F,"杭州实时查科技有限公司")+SUMIFS('11月数据源'!$J:$J,'11月数据源'!$D:$D,$E48,'11月数据源'!$F:$F,"杭州实时查科技有限公司")</f>
        <v/>
      </c>
      <c r="Q48" s="89">
        <f>-SUMIFS('12月数据源'!$I:$I,'12月数据源'!$D:$D,$E48,'12月数据源'!$F:$F,"杭州实时查科技有限公司")+SUMIFS('12月数据源'!$J:$J,'12月数据源'!$D:$D,$E48,'12月数据源'!$F:$F,"杭州实时查科技有限公司")</f>
        <v/>
      </c>
    </row>
    <row r="49" s="83">
      <c r="A49" s="5" t="inlineStr">
        <is>
          <t>硬件支出</t>
        </is>
      </c>
      <c r="B49" s="6" t="inlineStr">
        <is>
          <t>其他硬件成本</t>
        </is>
      </c>
      <c r="D49" s="5" t="inlineStr">
        <is>
          <t>支架</t>
        </is>
      </c>
      <c r="E49" s="6" t="inlineStr">
        <is>
          <t>Q1102</t>
        </is>
      </c>
      <c r="F49" s="89">
        <f>-SUMIFS('1月数据源'!I:I,'1月数据源'!D:D,E49,'1月数据源'!F:F,"杭州实时查科技有限公司")+SUMIFS('1月数据源'!J:J,'1月数据源'!D:D,E49,'1月数据源'!F:F,"杭州实时查科技有限公司")</f>
        <v/>
      </c>
      <c r="G49" s="89">
        <f>-SUMIFS('2月数据源'!$I:$I,'2月数据源'!$D:$D,$E49,'2月数据源'!$F:$F,"杭州实时查科技有限公司")+SUMIFS('2月数据源'!$J:$J,'2月数据源'!$D:$D,$E49,'2月数据源'!$F:$F,"杭州实时查科技有限公司")</f>
        <v/>
      </c>
      <c r="H49" s="89">
        <f>-SUMIFS('3月数据源'!$I:$I,'3月数据源'!$D:$D,$E49,'3月数据源'!$F:$F,"杭州实时查科技有限公司")+SUMIFS('3月数据源'!$J:$J,'3月数据源'!$D:$D,$E49,'3月数据源'!$F:$F,"杭州实时查科技有限公司")</f>
        <v/>
      </c>
      <c r="I49" s="89">
        <f>-SUMIFS('4月数据源'!$I:$I,'4月数据源'!$D:$D,$E49,'4月数据源'!$F:$F,"杭州实时查科技有限公司")+SUMIFS('4月数据源'!$J:$J,'4月数据源'!$D:$D,$E49,'4月数据源'!$F:$F,"杭州实时查科技有限公司")</f>
        <v/>
      </c>
      <c r="J49" s="89">
        <f>-SUMIFS('5月数据源'!$I:$I,'5月数据源'!$D:$D,$E49,'5月数据源'!$F:$F,"杭州实时查科技有限公司")+SUMIFS('5月数据源'!$J:$J,'5月数据源'!$D:$D,$E49,'5月数据源'!$F:$F,"杭州实时查科技有限公司")</f>
        <v/>
      </c>
      <c r="K49" s="89">
        <f>-SUMIFS('6月数据源'!$I:$I,'6月数据源'!$D:$D,$E49,'6月数据源'!$F:$F,"杭州实时查科技有限公司")+SUMIFS('6月数据源'!$J:$J,'6月数据源'!$D:$D,$E49,'6月数据源'!$F:$F,"杭州实时查科技有限公司")</f>
        <v/>
      </c>
      <c r="L49" s="89">
        <f>-SUMIFS('7月数据源'!$I:$I,'7月数据源'!$D:$D,$E49,'7月数据源'!$F:$F,"杭州实时查科技有限公司")+SUMIFS('7月数据源'!$J:$J,'7月数据源'!$D:$D,$E49,'7月数据源'!$F:$F,"杭州实时查科技有限公司")</f>
        <v/>
      </c>
      <c r="M49" s="89">
        <f>-SUMIFS('8月数据源'!$I:$I,'8月数据源'!$D:$D,$E49,'8月数据源'!$F:$F,"杭州实时查科技有限公司")+SUMIFS('8月数据源'!$J:$J,'8月数据源'!$D:$D,$E49,'8月数据源'!$F:$F,"杭州实时查科技有限公司")</f>
        <v/>
      </c>
      <c r="N49" s="89">
        <f>-SUMIFS('9月数据源'!$I:$I,'9月数据源'!$D:$D,$E49,'9月数据源'!$F:$F,"杭州实时查科技有限公司")+SUMIFS('9月数据源'!$J:$J,'9月数据源'!$D:$D,$E49,'9月数据源'!$F:$F,"杭州实时查科技有限公司")</f>
        <v/>
      </c>
      <c r="O49" s="89">
        <f>-SUMIFS('10月数据源'!$I:$I,'10月数据源'!$D:$D,$E49,'10月数据源'!$F:$F,"杭州实时查科技有限公司")+SUMIFS('10月数据源'!$J:$J,'10月数据源'!$D:$D,$E49,'10月数据源'!$F:$F,"杭州实时查科技有限公司")</f>
        <v/>
      </c>
      <c r="P49" s="89">
        <f>-SUMIFS('11月数据源'!$I:$I,'11月数据源'!$D:$D,$E49,'11月数据源'!$F:$F,"杭州实时查科技有限公司")+SUMIFS('11月数据源'!$J:$J,'11月数据源'!$D:$D,$E49,'11月数据源'!$F:$F,"杭州实时查科技有限公司")</f>
        <v/>
      </c>
      <c r="Q49" s="89">
        <f>-SUMIFS('12月数据源'!$I:$I,'12月数据源'!$D:$D,$E49,'12月数据源'!$F:$F,"杭州实时查科技有限公司")+SUMIFS('12月数据源'!$J:$J,'12月数据源'!$D:$D,$E49,'12月数据源'!$F:$F,"杭州实时查科技有限公司")</f>
        <v/>
      </c>
    </row>
    <row r="50" s="83">
      <c r="A50" s="49" t="inlineStr">
        <is>
          <t>硬件支出合计</t>
        </is>
      </c>
      <c r="B50" s="50" t="n"/>
      <c r="C50" s="50" t="n"/>
      <c r="D50" s="49" t="n"/>
      <c r="E50" s="49" t="n"/>
      <c r="F50" s="89">
        <f>SUM(F36:F49)</f>
        <v/>
      </c>
      <c r="G50" s="89">
        <f>SUM(G36:G49)</f>
        <v/>
      </c>
      <c r="H50" s="89">
        <f>SUM(H36:H49)</f>
        <v/>
      </c>
      <c r="I50" s="89">
        <f>SUM(I36:I49)</f>
        <v/>
      </c>
      <c r="J50" s="89">
        <f>SUM(J36:J49)</f>
        <v/>
      </c>
      <c r="K50" s="89">
        <f>SUM(K36:K49)</f>
        <v/>
      </c>
      <c r="L50" s="89">
        <f>SUM(L36:L49)</f>
        <v/>
      </c>
      <c r="M50" s="89">
        <f>SUM(M36:M49)</f>
        <v/>
      </c>
      <c r="N50" s="89">
        <f>SUM(N36:N49)</f>
        <v/>
      </c>
      <c r="O50" s="89">
        <f>SUM(O36:O49)</f>
        <v/>
      </c>
      <c r="P50" s="89">
        <f>SUM(P36:P49)</f>
        <v/>
      </c>
      <c r="Q50" s="89">
        <f>SUM(Q36:Q49)</f>
        <v/>
      </c>
    </row>
    <row r="51" s="83">
      <c r="A51" s="5" t="inlineStr">
        <is>
          <t>制造费用</t>
        </is>
      </c>
      <c r="B51" s="5" t="inlineStr">
        <is>
          <t>制造费用</t>
        </is>
      </c>
      <c r="C51" s="6" t="inlineStr">
        <is>
          <t>制造费用</t>
        </is>
      </c>
      <c r="D51" s="5" t="inlineStr">
        <is>
          <t>西溪首座仓库租金</t>
        </is>
      </c>
      <c r="E51" s="6" t="inlineStr">
        <is>
          <t>Q3201</t>
        </is>
      </c>
      <c r="F51" s="89">
        <f>-SUMIFS('1月数据源'!I:I,'1月数据源'!D:D,E51,'1月数据源'!F:F,"杭州实时查科技有限公司")+SUMIFS('1月数据源'!J:J,'1月数据源'!D:D,E51,'1月数据源'!F:F,"杭州实时查科技有限公司")</f>
        <v/>
      </c>
      <c r="G51" s="89">
        <f>-SUMIFS('2月数据源'!$I:$I,'2月数据源'!$D:$D,$E51,'2月数据源'!$F:$F,"杭州实时查科技有限公司")+SUMIFS('2月数据源'!$J:$J,'2月数据源'!$D:$D,$E51,'2月数据源'!$F:$F,"杭州实时查科技有限公司")</f>
        <v/>
      </c>
      <c r="H51" s="89">
        <f>-SUMIFS('3月数据源'!$I:$I,'3月数据源'!$D:$D,$E51,'3月数据源'!$F:$F,"杭州实时查科技有限公司")+SUMIFS('3月数据源'!$J:$J,'3月数据源'!$D:$D,$E51,'3月数据源'!$F:$F,"杭州实时查科技有限公司")</f>
        <v/>
      </c>
      <c r="I51" s="89">
        <f>-SUMIFS('4月数据源'!$I:$I,'4月数据源'!$D:$D,$E51,'4月数据源'!$F:$F,"杭州实时查科技有限公司")+SUMIFS('4月数据源'!$J:$J,'4月数据源'!$D:$D,$E51,'4月数据源'!$F:$F,"杭州实时查科技有限公司")</f>
        <v/>
      </c>
      <c r="J51" s="89">
        <f>-SUMIFS('5月数据源'!$I:$I,'5月数据源'!$D:$D,$E51,'5月数据源'!$F:$F,"杭州实时查科技有限公司")+SUMIFS('5月数据源'!$J:$J,'5月数据源'!$D:$D,$E51,'5月数据源'!$F:$F,"杭州实时查科技有限公司")</f>
        <v/>
      </c>
      <c r="K51" s="89">
        <f>-SUMIFS('6月数据源'!$I:$I,'6月数据源'!$D:$D,$E51,'6月数据源'!$F:$F,"杭州实时查科技有限公司")+SUMIFS('6月数据源'!$J:$J,'6月数据源'!$D:$D,$E51,'6月数据源'!$F:$F,"杭州实时查科技有限公司")</f>
        <v/>
      </c>
      <c r="L51" s="89">
        <f>-SUMIFS('7月数据源'!$I:$I,'7月数据源'!$D:$D,$E51,'7月数据源'!$F:$F,"杭州实时查科技有限公司")+SUMIFS('7月数据源'!$J:$J,'7月数据源'!$D:$D,$E51,'7月数据源'!$F:$F,"杭州实时查科技有限公司")</f>
        <v/>
      </c>
      <c r="M51" s="89">
        <f>-SUMIFS('8月数据源'!$I:$I,'8月数据源'!$D:$D,$E51,'8月数据源'!$F:$F,"杭州实时查科技有限公司")+SUMIFS('8月数据源'!$J:$J,'8月数据源'!$D:$D,$E51,'8月数据源'!$F:$F,"杭州实时查科技有限公司")</f>
        <v/>
      </c>
      <c r="N51" s="89">
        <f>-SUMIFS('9月数据源'!$I:$I,'9月数据源'!$D:$D,$E51,'9月数据源'!$F:$F,"杭州实时查科技有限公司")+SUMIFS('9月数据源'!$J:$J,'9月数据源'!$D:$D,$E51,'9月数据源'!$F:$F,"杭州实时查科技有限公司")</f>
        <v/>
      </c>
      <c r="O51" s="89">
        <f>-SUMIFS('10月数据源'!$I:$I,'10月数据源'!$D:$D,$E51,'10月数据源'!$F:$F,"杭州实时查科技有限公司")+SUMIFS('10月数据源'!$J:$J,'10月数据源'!$D:$D,$E51,'10月数据源'!$F:$F,"杭州实时查科技有限公司")</f>
        <v/>
      </c>
      <c r="P51" s="89">
        <f>-SUMIFS('11月数据源'!$I:$I,'11月数据源'!$D:$D,$E51,'11月数据源'!$F:$F,"杭州实时查科技有限公司")+SUMIFS('11月数据源'!$J:$J,'11月数据源'!$D:$D,$E51,'11月数据源'!$F:$F,"杭州实时查科技有限公司")</f>
        <v/>
      </c>
      <c r="Q51" s="89">
        <f>-SUMIFS('12月数据源'!$I:$I,'12月数据源'!$D:$D,$E51,'12月数据源'!$F:$F,"杭州实时查科技有限公司")+SUMIFS('12月数据源'!$J:$J,'12月数据源'!$D:$D,$E51,'12月数据源'!$F:$F,"杭州实时查科技有限公司")</f>
        <v/>
      </c>
    </row>
    <row r="52" s="83">
      <c r="A52" s="5" t="inlineStr">
        <is>
          <t>制造费用</t>
        </is>
      </c>
      <c r="B52" s="5" t="inlineStr">
        <is>
          <t>制造费用</t>
        </is>
      </c>
      <c r="D52" s="5" t="inlineStr">
        <is>
          <t>西溪首座仓库物业水电费</t>
        </is>
      </c>
      <c r="E52" s="6" t="inlineStr">
        <is>
          <t>Q3202</t>
        </is>
      </c>
      <c r="F52" s="89">
        <f>-SUMIFS('1月数据源'!I:I,'1月数据源'!D:D,E52,'1月数据源'!F:F,"杭州实时查科技有限公司")+SUMIFS('1月数据源'!J:J,'1月数据源'!D:D,E52,'1月数据源'!F:F,"杭州实时查科技有限公司")</f>
        <v/>
      </c>
      <c r="G52" s="89">
        <f>-SUMIFS('2月数据源'!$I:$I,'2月数据源'!$D:$D,$E52,'2月数据源'!$F:$F,"杭州实时查科技有限公司")+SUMIFS('2月数据源'!$J:$J,'2月数据源'!$D:$D,$E52,'2月数据源'!$F:$F,"杭州实时查科技有限公司")</f>
        <v/>
      </c>
      <c r="H52" s="89">
        <f>-SUMIFS('3月数据源'!$I:$I,'3月数据源'!$D:$D,$E52,'3月数据源'!$F:$F,"杭州实时查科技有限公司")+SUMIFS('3月数据源'!$J:$J,'3月数据源'!$D:$D,$E52,'3月数据源'!$F:$F,"杭州实时查科技有限公司")</f>
        <v/>
      </c>
      <c r="I52" s="89">
        <f>-SUMIFS('4月数据源'!$I:$I,'4月数据源'!$D:$D,$E52,'4月数据源'!$F:$F,"杭州实时查科技有限公司")+SUMIFS('4月数据源'!$J:$J,'4月数据源'!$D:$D,$E52,'4月数据源'!$F:$F,"杭州实时查科技有限公司")</f>
        <v/>
      </c>
      <c r="J52" s="89">
        <f>-SUMIFS('5月数据源'!$I:$I,'5月数据源'!$D:$D,$E52,'5月数据源'!$F:$F,"杭州实时查科技有限公司")+SUMIFS('5月数据源'!$J:$J,'5月数据源'!$D:$D,$E52,'5月数据源'!$F:$F,"杭州实时查科技有限公司")</f>
        <v/>
      </c>
      <c r="K52" s="89">
        <f>-SUMIFS('6月数据源'!$I:$I,'6月数据源'!$D:$D,$E52,'6月数据源'!$F:$F,"杭州实时查科技有限公司")+SUMIFS('6月数据源'!$J:$J,'6月数据源'!$D:$D,$E52,'6月数据源'!$F:$F,"杭州实时查科技有限公司")</f>
        <v/>
      </c>
      <c r="L52" s="89">
        <f>-SUMIFS('7月数据源'!$I:$I,'7月数据源'!$D:$D,$E52,'7月数据源'!$F:$F,"杭州实时查科技有限公司")+SUMIFS('7月数据源'!$J:$J,'7月数据源'!$D:$D,$E52,'7月数据源'!$F:$F,"杭州实时查科技有限公司")</f>
        <v/>
      </c>
      <c r="M52" s="89">
        <f>-SUMIFS('8月数据源'!$I:$I,'8月数据源'!$D:$D,$E52,'8月数据源'!$F:$F,"杭州实时查科技有限公司")+SUMIFS('8月数据源'!$J:$J,'8月数据源'!$D:$D,$E52,'8月数据源'!$F:$F,"杭州实时查科技有限公司")</f>
        <v/>
      </c>
      <c r="N52" s="89">
        <f>-SUMIFS('9月数据源'!$I:$I,'9月数据源'!$D:$D,$E52,'9月数据源'!$F:$F,"杭州实时查科技有限公司")+SUMIFS('9月数据源'!$J:$J,'9月数据源'!$D:$D,$E52,'9月数据源'!$F:$F,"杭州实时查科技有限公司")</f>
        <v/>
      </c>
      <c r="O52" s="89">
        <f>-SUMIFS('10月数据源'!$I:$I,'10月数据源'!$D:$D,$E52,'10月数据源'!$F:$F,"杭州实时查科技有限公司")+SUMIFS('10月数据源'!$J:$J,'10月数据源'!$D:$D,$E52,'10月数据源'!$F:$F,"杭州实时查科技有限公司")</f>
        <v/>
      </c>
      <c r="P52" s="89">
        <f>-SUMIFS('11月数据源'!$I:$I,'11月数据源'!$D:$D,$E52,'11月数据源'!$F:$F,"杭州实时查科技有限公司")+SUMIFS('11月数据源'!$J:$J,'11月数据源'!$D:$D,$E52,'11月数据源'!$F:$F,"杭州实时查科技有限公司")</f>
        <v/>
      </c>
      <c r="Q52" s="89">
        <f>-SUMIFS('12月数据源'!$I:$I,'12月数据源'!$D:$D,$E52,'12月数据源'!$F:$F,"杭州实时查科技有限公司")+SUMIFS('12月数据源'!$J:$J,'12月数据源'!$D:$D,$E52,'12月数据源'!$F:$F,"杭州实时查科技有限公司")</f>
        <v/>
      </c>
    </row>
    <row r="53" s="83">
      <c r="A53" s="5" t="inlineStr">
        <is>
          <t>制造费用</t>
        </is>
      </c>
      <c r="B53" s="5" t="inlineStr">
        <is>
          <t>制造费用</t>
        </is>
      </c>
      <c r="D53" s="5" t="inlineStr">
        <is>
          <t>西溪首座仓库装修费</t>
        </is>
      </c>
      <c r="E53" s="6" t="inlineStr">
        <is>
          <t>Q3203</t>
        </is>
      </c>
      <c r="F53" s="89">
        <f>-SUMIFS('1月数据源'!I:I,'1月数据源'!D:D,E53,'1月数据源'!F:F,"杭州实时查科技有限公司")+SUMIFS('1月数据源'!J:J,'1月数据源'!D:D,E53,'1月数据源'!F:F,"杭州实时查科技有限公司")</f>
        <v/>
      </c>
      <c r="G53" s="89">
        <f>-SUMIFS('2月数据源'!$I:$I,'2月数据源'!$D:$D,$E53,'2月数据源'!$F:$F,"杭州实时查科技有限公司")+SUMIFS('2月数据源'!$J:$J,'2月数据源'!$D:$D,$E53,'2月数据源'!$F:$F,"杭州实时查科技有限公司")</f>
        <v/>
      </c>
      <c r="H53" s="89">
        <f>-SUMIFS('3月数据源'!$I:$I,'3月数据源'!$D:$D,$E53,'3月数据源'!$F:$F,"杭州实时查科技有限公司")+SUMIFS('3月数据源'!$J:$J,'3月数据源'!$D:$D,$E53,'3月数据源'!$F:$F,"杭州实时查科技有限公司")</f>
        <v/>
      </c>
      <c r="I53" s="89">
        <f>-SUMIFS('4月数据源'!$I:$I,'4月数据源'!$D:$D,$E53,'4月数据源'!$F:$F,"杭州实时查科技有限公司")+SUMIFS('4月数据源'!$J:$J,'4月数据源'!$D:$D,$E53,'4月数据源'!$F:$F,"杭州实时查科技有限公司")</f>
        <v/>
      </c>
      <c r="J53" s="89">
        <f>-SUMIFS('5月数据源'!$I:$I,'5月数据源'!$D:$D,$E53,'5月数据源'!$F:$F,"杭州实时查科技有限公司")+SUMIFS('5月数据源'!$J:$J,'5月数据源'!$D:$D,$E53,'5月数据源'!$F:$F,"杭州实时查科技有限公司")</f>
        <v/>
      </c>
      <c r="K53" s="89">
        <f>-SUMIFS('6月数据源'!$I:$I,'6月数据源'!$D:$D,$E53,'6月数据源'!$F:$F,"杭州实时查科技有限公司")+SUMIFS('6月数据源'!$J:$J,'6月数据源'!$D:$D,$E53,'6月数据源'!$F:$F,"杭州实时查科技有限公司")</f>
        <v/>
      </c>
      <c r="L53" s="89">
        <f>-SUMIFS('7月数据源'!$I:$I,'7月数据源'!$D:$D,$E53,'7月数据源'!$F:$F,"杭州实时查科技有限公司")+SUMIFS('7月数据源'!$J:$J,'7月数据源'!$D:$D,$E53,'7月数据源'!$F:$F,"杭州实时查科技有限公司")</f>
        <v/>
      </c>
      <c r="M53" s="89">
        <f>-SUMIFS('8月数据源'!$I:$I,'8月数据源'!$D:$D,$E53,'8月数据源'!$F:$F,"杭州实时查科技有限公司")+SUMIFS('8月数据源'!$J:$J,'8月数据源'!$D:$D,$E53,'8月数据源'!$F:$F,"杭州实时查科技有限公司")</f>
        <v/>
      </c>
      <c r="N53" s="89">
        <f>-SUMIFS('9月数据源'!$I:$I,'9月数据源'!$D:$D,$E53,'9月数据源'!$F:$F,"杭州实时查科技有限公司")+SUMIFS('9月数据源'!$J:$J,'9月数据源'!$D:$D,$E53,'9月数据源'!$F:$F,"杭州实时查科技有限公司")</f>
        <v/>
      </c>
      <c r="O53" s="89">
        <f>-SUMIFS('10月数据源'!$I:$I,'10月数据源'!$D:$D,$E53,'10月数据源'!$F:$F,"杭州实时查科技有限公司")+SUMIFS('10月数据源'!$J:$J,'10月数据源'!$D:$D,$E53,'10月数据源'!$F:$F,"杭州实时查科技有限公司")</f>
        <v/>
      </c>
      <c r="P53" s="89">
        <f>-SUMIFS('11月数据源'!$I:$I,'11月数据源'!$D:$D,$E53,'11月数据源'!$F:$F,"杭州实时查科技有限公司")+SUMIFS('11月数据源'!$J:$J,'11月数据源'!$D:$D,$E53,'11月数据源'!$F:$F,"杭州实时查科技有限公司")</f>
        <v/>
      </c>
      <c r="Q53" s="89">
        <f>-SUMIFS('12月数据源'!$I:$I,'12月数据源'!$D:$D,$E53,'12月数据源'!$F:$F,"杭州实时查科技有限公司")+SUMIFS('12月数据源'!$J:$J,'12月数据源'!$D:$D,$E53,'12月数据源'!$F:$F,"杭州实时查科技有限公司")</f>
        <v/>
      </c>
    </row>
    <row r="54" s="83">
      <c r="A54" s="5" t="inlineStr">
        <is>
          <t>制造费用</t>
        </is>
      </c>
      <c r="B54" s="5" t="inlineStr">
        <is>
          <t>制造费用</t>
        </is>
      </c>
      <c r="D54" s="5" t="inlineStr">
        <is>
          <t>运输费</t>
        </is>
      </c>
      <c r="E54" s="6" t="inlineStr">
        <is>
          <t>Q3204</t>
        </is>
      </c>
      <c r="F54" s="89">
        <f>-SUMIFS('1月数据源'!I:I,'1月数据源'!D:D,E54,'1月数据源'!F:F,"杭州实时查科技有限公司")+SUMIFS('1月数据源'!J:J,'1月数据源'!D:D,E54,'1月数据源'!F:F,"杭州实时查科技有限公司")</f>
        <v/>
      </c>
      <c r="G54" s="89">
        <f>-SUMIFS('2月数据源'!$I:$I,'2月数据源'!$D:$D,$E54,'2月数据源'!$F:$F,"杭州实时查科技有限公司")+SUMIFS('2月数据源'!$J:$J,'2月数据源'!$D:$D,$E54,'2月数据源'!$F:$F,"杭州实时查科技有限公司")</f>
        <v/>
      </c>
      <c r="H54" s="89">
        <f>-SUMIFS('3月数据源'!$I:$I,'3月数据源'!$D:$D,$E54,'3月数据源'!$F:$F,"杭州实时查科技有限公司")+SUMIFS('3月数据源'!$J:$J,'3月数据源'!$D:$D,$E54,'3月数据源'!$F:$F,"杭州实时查科技有限公司")</f>
        <v/>
      </c>
      <c r="I54" s="89">
        <f>-SUMIFS('4月数据源'!$I:$I,'4月数据源'!$D:$D,$E54,'4月数据源'!$F:$F,"杭州实时查科技有限公司")+SUMIFS('4月数据源'!$J:$J,'4月数据源'!$D:$D,$E54,'4月数据源'!$F:$F,"杭州实时查科技有限公司")</f>
        <v/>
      </c>
      <c r="J54" s="89">
        <f>-SUMIFS('5月数据源'!$I:$I,'5月数据源'!$D:$D,$E54,'5月数据源'!$F:$F,"杭州实时查科技有限公司")+SUMIFS('5月数据源'!$J:$J,'5月数据源'!$D:$D,$E54,'5月数据源'!$F:$F,"杭州实时查科技有限公司")</f>
        <v/>
      </c>
      <c r="K54" s="89">
        <f>-SUMIFS('6月数据源'!$I:$I,'6月数据源'!$D:$D,$E54,'6月数据源'!$F:$F,"杭州实时查科技有限公司")+SUMIFS('6月数据源'!$J:$J,'6月数据源'!$D:$D,$E54,'6月数据源'!$F:$F,"杭州实时查科技有限公司")</f>
        <v/>
      </c>
      <c r="L54" s="89">
        <f>-SUMIFS('7月数据源'!$I:$I,'7月数据源'!$D:$D,$E54,'7月数据源'!$F:$F,"杭州实时查科技有限公司")+SUMIFS('7月数据源'!$J:$J,'7月数据源'!$D:$D,$E54,'7月数据源'!$F:$F,"杭州实时查科技有限公司")</f>
        <v/>
      </c>
      <c r="M54" s="89">
        <f>-SUMIFS('8月数据源'!$I:$I,'8月数据源'!$D:$D,$E54,'8月数据源'!$F:$F,"杭州实时查科技有限公司")+SUMIFS('8月数据源'!$J:$J,'8月数据源'!$D:$D,$E54,'8月数据源'!$F:$F,"杭州实时查科技有限公司")</f>
        <v/>
      </c>
      <c r="N54" s="89">
        <f>-SUMIFS('9月数据源'!$I:$I,'9月数据源'!$D:$D,$E54,'9月数据源'!$F:$F,"杭州实时查科技有限公司")+SUMIFS('9月数据源'!$J:$J,'9月数据源'!$D:$D,$E54,'9月数据源'!$F:$F,"杭州实时查科技有限公司")</f>
        <v/>
      </c>
      <c r="O54" s="89">
        <f>-SUMIFS('10月数据源'!$I:$I,'10月数据源'!$D:$D,$E54,'10月数据源'!$F:$F,"杭州实时查科技有限公司")+SUMIFS('10月数据源'!$J:$J,'10月数据源'!$D:$D,$E54,'10月数据源'!$F:$F,"杭州实时查科技有限公司")</f>
        <v/>
      </c>
      <c r="P54" s="89">
        <f>-SUMIFS('11月数据源'!$I:$I,'11月数据源'!$D:$D,$E54,'11月数据源'!$F:$F,"杭州实时查科技有限公司")+SUMIFS('11月数据源'!$J:$J,'11月数据源'!$D:$D,$E54,'11月数据源'!$F:$F,"杭州实时查科技有限公司")</f>
        <v/>
      </c>
      <c r="Q54" s="89">
        <f>-SUMIFS('12月数据源'!$I:$I,'12月数据源'!$D:$D,$E54,'12月数据源'!$F:$F,"杭州实时查科技有限公司")+SUMIFS('12月数据源'!$J:$J,'12月数据源'!$D:$D,$E54,'12月数据源'!$F:$F,"杭州实时查科技有限公司")</f>
        <v/>
      </c>
    </row>
    <row r="55" s="83">
      <c r="A55" s="5" t="inlineStr">
        <is>
          <t>制造费用</t>
        </is>
      </c>
      <c r="B55" s="5" t="inlineStr">
        <is>
          <t>制造费用</t>
        </is>
      </c>
      <c r="D55" s="5" t="inlineStr">
        <is>
          <t>低值易耗品采购</t>
        </is>
      </c>
      <c r="E55" s="6" t="inlineStr">
        <is>
          <t>Q3205</t>
        </is>
      </c>
      <c r="F55" s="89">
        <f>-SUMIFS('1月数据源'!I:I,'1月数据源'!D:D,E55,'1月数据源'!F:F,"杭州实时查科技有限公司")+SUMIFS('1月数据源'!J:J,'1月数据源'!D:D,E55,'1月数据源'!F:F,"杭州实时查科技有限公司")</f>
        <v/>
      </c>
      <c r="G55" s="89">
        <f>-SUMIFS('2月数据源'!$I:$I,'2月数据源'!$D:$D,$E55,'2月数据源'!$F:$F,"杭州实时查科技有限公司")+SUMIFS('2月数据源'!$J:$J,'2月数据源'!$D:$D,$E55,'2月数据源'!$F:$F,"杭州实时查科技有限公司")</f>
        <v/>
      </c>
      <c r="H55" s="89">
        <f>-SUMIFS('3月数据源'!$I:$I,'3月数据源'!$D:$D,$E55,'3月数据源'!$F:$F,"杭州实时查科技有限公司")+SUMIFS('3月数据源'!$J:$J,'3月数据源'!$D:$D,$E55,'3月数据源'!$F:$F,"杭州实时查科技有限公司")</f>
        <v/>
      </c>
      <c r="I55" s="89">
        <f>-SUMIFS('4月数据源'!$I:$I,'4月数据源'!$D:$D,$E55,'4月数据源'!$F:$F,"杭州实时查科技有限公司")+SUMIFS('4月数据源'!$J:$J,'4月数据源'!$D:$D,$E55,'4月数据源'!$F:$F,"杭州实时查科技有限公司")</f>
        <v/>
      </c>
      <c r="J55" s="89">
        <f>-SUMIFS('5月数据源'!$I:$I,'5月数据源'!$D:$D,$E55,'5月数据源'!$F:$F,"杭州实时查科技有限公司")+SUMIFS('5月数据源'!$J:$J,'5月数据源'!$D:$D,$E55,'5月数据源'!$F:$F,"杭州实时查科技有限公司")</f>
        <v/>
      </c>
      <c r="K55" s="89">
        <f>-SUMIFS('6月数据源'!$I:$I,'6月数据源'!$D:$D,$E55,'6月数据源'!$F:$F,"杭州实时查科技有限公司")+SUMIFS('6月数据源'!$J:$J,'6月数据源'!$D:$D,$E55,'6月数据源'!$F:$F,"杭州实时查科技有限公司")</f>
        <v/>
      </c>
      <c r="L55" s="89">
        <f>-SUMIFS('7月数据源'!$I:$I,'7月数据源'!$D:$D,$E55,'7月数据源'!$F:$F,"杭州实时查科技有限公司")+SUMIFS('7月数据源'!$J:$J,'7月数据源'!$D:$D,$E55,'7月数据源'!$F:$F,"杭州实时查科技有限公司")</f>
        <v/>
      </c>
      <c r="M55" s="89">
        <f>-SUMIFS('8月数据源'!$I:$I,'8月数据源'!$D:$D,$E55,'8月数据源'!$F:$F,"杭州实时查科技有限公司")+SUMIFS('8月数据源'!$J:$J,'8月数据源'!$D:$D,$E55,'8月数据源'!$F:$F,"杭州实时查科技有限公司")</f>
        <v/>
      </c>
      <c r="N55" s="89">
        <f>-SUMIFS('9月数据源'!$I:$I,'9月数据源'!$D:$D,$E55,'9月数据源'!$F:$F,"杭州实时查科技有限公司")+SUMIFS('9月数据源'!$J:$J,'9月数据源'!$D:$D,$E55,'9月数据源'!$F:$F,"杭州实时查科技有限公司")</f>
        <v/>
      </c>
      <c r="O55" s="89">
        <f>-SUMIFS('10月数据源'!$I:$I,'10月数据源'!$D:$D,$E55,'10月数据源'!$F:$F,"杭州实时查科技有限公司")+SUMIFS('10月数据源'!$J:$J,'10月数据源'!$D:$D,$E55,'10月数据源'!$F:$F,"杭州实时查科技有限公司")</f>
        <v/>
      </c>
      <c r="P55" s="89">
        <f>-SUMIFS('11月数据源'!$I:$I,'11月数据源'!$D:$D,$E55,'11月数据源'!$F:$F,"杭州实时查科技有限公司")+SUMIFS('11月数据源'!$J:$J,'11月数据源'!$D:$D,$E55,'11月数据源'!$F:$F,"杭州实时查科技有限公司")</f>
        <v/>
      </c>
      <c r="Q55" s="89">
        <f>-SUMIFS('12月数据源'!$I:$I,'12月数据源'!$D:$D,$E55,'12月数据源'!$F:$F,"杭州实时查科技有限公司")+SUMIFS('12月数据源'!$J:$J,'12月数据源'!$D:$D,$E55,'12月数据源'!$F:$F,"杭州实时查科技有限公司")</f>
        <v/>
      </c>
    </row>
    <row r="56" s="83">
      <c r="A56" s="5" t="inlineStr">
        <is>
          <t>制造费用</t>
        </is>
      </c>
      <c r="B56" s="5" t="inlineStr">
        <is>
          <t>制造费用</t>
        </is>
      </c>
      <c r="D56" s="5" t="inlineStr">
        <is>
          <t>生产成本-员工报销</t>
        </is>
      </c>
      <c r="E56" s="6" t="inlineStr">
        <is>
          <t>Q3206</t>
        </is>
      </c>
      <c r="F56" s="89">
        <f>-SUMIFS('1月数据源'!I:I,'1月数据源'!D:D,E56,'1月数据源'!F:F,"杭州实时查科技有限公司")+SUMIFS('1月数据源'!J:J,'1月数据源'!D:D,E56,'1月数据源'!F:F,"杭州实时查科技有限公司")</f>
        <v/>
      </c>
      <c r="G56" s="89">
        <f>-SUMIFS('2月数据源'!$I:$I,'2月数据源'!$D:$D,$E56,'2月数据源'!$F:$F,"杭州实时查科技有限公司")+SUMIFS('2月数据源'!$J:$J,'2月数据源'!$D:$D,$E56,'2月数据源'!$F:$F,"杭州实时查科技有限公司")</f>
        <v/>
      </c>
      <c r="H56" s="89">
        <f>-SUMIFS('3月数据源'!$I:$I,'3月数据源'!$D:$D,$E56,'3月数据源'!$F:$F,"杭州实时查科技有限公司")+SUMIFS('3月数据源'!$J:$J,'3月数据源'!$D:$D,$E56,'3月数据源'!$F:$F,"杭州实时查科技有限公司")</f>
        <v/>
      </c>
      <c r="I56" s="89">
        <f>-SUMIFS('4月数据源'!$I:$I,'4月数据源'!$D:$D,$E56,'4月数据源'!$F:$F,"杭州实时查科技有限公司")+SUMIFS('4月数据源'!$J:$J,'4月数据源'!$D:$D,$E56,'4月数据源'!$F:$F,"杭州实时查科技有限公司")</f>
        <v/>
      </c>
      <c r="J56" s="89">
        <f>-SUMIFS('5月数据源'!$I:$I,'5月数据源'!$D:$D,$E56,'5月数据源'!$F:$F,"杭州实时查科技有限公司")+SUMIFS('5月数据源'!$J:$J,'5月数据源'!$D:$D,$E56,'5月数据源'!$F:$F,"杭州实时查科技有限公司")</f>
        <v/>
      </c>
      <c r="K56" s="89">
        <f>-SUMIFS('6月数据源'!$I:$I,'6月数据源'!$D:$D,$E56,'6月数据源'!$F:$F,"杭州实时查科技有限公司")+SUMIFS('6月数据源'!$J:$J,'6月数据源'!$D:$D,$E56,'6月数据源'!$F:$F,"杭州实时查科技有限公司")</f>
        <v/>
      </c>
      <c r="L56" s="89">
        <f>-SUMIFS('7月数据源'!$I:$I,'7月数据源'!$D:$D,$E56,'7月数据源'!$F:$F,"杭州实时查科技有限公司")+SUMIFS('7月数据源'!$J:$J,'7月数据源'!$D:$D,$E56,'7月数据源'!$F:$F,"杭州实时查科技有限公司")</f>
        <v/>
      </c>
      <c r="M56" s="89">
        <f>-SUMIFS('8月数据源'!$I:$I,'8月数据源'!$D:$D,$E56,'8月数据源'!$F:$F,"杭州实时查科技有限公司")+SUMIFS('8月数据源'!$J:$J,'8月数据源'!$D:$D,$E56,'8月数据源'!$F:$F,"杭州实时查科技有限公司")</f>
        <v/>
      </c>
      <c r="N56" s="89">
        <f>-SUMIFS('9月数据源'!$I:$I,'9月数据源'!$D:$D,$E56,'9月数据源'!$F:$F,"杭州实时查科技有限公司")+SUMIFS('9月数据源'!$J:$J,'9月数据源'!$D:$D,$E56,'9月数据源'!$F:$F,"杭州实时查科技有限公司")</f>
        <v/>
      </c>
      <c r="O56" s="89">
        <f>-SUMIFS('10月数据源'!$I:$I,'10月数据源'!$D:$D,$E56,'10月数据源'!$F:$F,"杭州实时查科技有限公司")+SUMIFS('10月数据源'!$J:$J,'10月数据源'!$D:$D,$E56,'10月数据源'!$F:$F,"杭州实时查科技有限公司")</f>
        <v/>
      </c>
      <c r="P56" s="89">
        <f>-SUMIFS('11月数据源'!$I:$I,'11月数据源'!$D:$D,$E56,'11月数据源'!$F:$F,"杭州实时查科技有限公司")+SUMIFS('11月数据源'!$J:$J,'11月数据源'!$D:$D,$E56,'11月数据源'!$F:$F,"杭州实时查科技有限公司")</f>
        <v/>
      </c>
      <c r="Q56" s="89">
        <f>-SUMIFS('12月数据源'!$I:$I,'12月数据源'!$D:$D,$E56,'12月数据源'!$F:$F,"杭州实时查科技有限公司")+SUMIFS('12月数据源'!$J:$J,'12月数据源'!$D:$D,$E56,'12月数据源'!$F:$F,"杭州实时查科技有限公司")</f>
        <v/>
      </c>
    </row>
    <row r="57" s="83">
      <c r="A57" s="5" t="inlineStr">
        <is>
          <t>制造费用</t>
        </is>
      </c>
      <c r="B57" s="5" t="inlineStr">
        <is>
          <t>制造费用</t>
        </is>
      </c>
      <c r="D57" s="5" t="inlineStr">
        <is>
          <t>包机膜</t>
        </is>
      </c>
      <c r="E57" s="6" t="inlineStr">
        <is>
          <t>Q3207</t>
        </is>
      </c>
      <c r="F57" s="89">
        <f>-SUMIFS('1月数据源'!I:I,'1月数据源'!D:D,E57,'1月数据源'!F:F,"杭州实时查科技有限公司")+SUMIFS('1月数据源'!J:J,'1月数据源'!D:D,E57,'1月数据源'!F:F,"杭州实时查科技有限公司")</f>
        <v/>
      </c>
      <c r="G57" s="89">
        <f>-SUMIFS('2月数据源'!$I:$I,'2月数据源'!$D:$D,$E57,'2月数据源'!$F:$F,"杭州实时查科技有限公司")+SUMIFS('2月数据源'!$J:$J,'2月数据源'!$D:$D,$E57,'2月数据源'!$F:$F,"杭州实时查科技有限公司")</f>
        <v/>
      </c>
      <c r="H57" s="89">
        <f>-SUMIFS('3月数据源'!$I:$I,'3月数据源'!$D:$D,$E57,'3月数据源'!$F:$F,"杭州实时查科技有限公司")+SUMIFS('3月数据源'!$J:$J,'3月数据源'!$D:$D,$E57,'3月数据源'!$F:$F,"杭州实时查科技有限公司")</f>
        <v/>
      </c>
      <c r="I57" s="89">
        <f>-SUMIFS('4月数据源'!$I:$I,'4月数据源'!$D:$D,$E57,'4月数据源'!$F:$F,"杭州实时查科技有限公司")+SUMIFS('4月数据源'!$J:$J,'4月数据源'!$D:$D,$E57,'4月数据源'!$F:$F,"杭州实时查科技有限公司")</f>
        <v/>
      </c>
      <c r="J57" s="89">
        <f>-SUMIFS('5月数据源'!$I:$I,'5月数据源'!$D:$D,$E57,'5月数据源'!$F:$F,"杭州实时查科技有限公司")+SUMIFS('5月数据源'!$J:$J,'5月数据源'!$D:$D,$E57,'5月数据源'!$F:$F,"杭州实时查科技有限公司")</f>
        <v/>
      </c>
      <c r="K57" s="89">
        <f>-SUMIFS('6月数据源'!$I:$I,'6月数据源'!$D:$D,$E57,'6月数据源'!$F:$F,"杭州实时查科技有限公司")+SUMIFS('6月数据源'!$J:$J,'6月数据源'!$D:$D,$E57,'6月数据源'!$F:$F,"杭州实时查科技有限公司")</f>
        <v/>
      </c>
      <c r="L57" s="89">
        <f>-SUMIFS('7月数据源'!$I:$I,'7月数据源'!$D:$D,$E57,'7月数据源'!$F:$F,"杭州实时查科技有限公司")+SUMIFS('7月数据源'!$J:$J,'7月数据源'!$D:$D,$E57,'7月数据源'!$F:$F,"杭州实时查科技有限公司")</f>
        <v/>
      </c>
      <c r="M57" s="89">
        <f>-SUMIFS('8月数据源'!$I:$I,'8月数据源'!$D:$D,$E57,'8月数据源'!$F:$F,"杭州实时查科技有限公司")+SUMIFS('8月数据源'!$J:$J,'8月数据源'!$D:$D,$E57,'8月数据源'!$F:$F,"杭州实时查科技有限公司")</f>
        <v/>
      </c>
      <c r="N57" s="89">
        <f>-SUMIFS('9月数据源'!$I:$I,'9月数据源'!$D:$D,$E57,'9月数据源'!$F:$F,"杭州实时查科技有限公司")+SUMIFS('9月数据源'!$J:$J,'9月数据源'!$D:$D,$E57,'9月数据源'!$F:$F,"杭州实时查科技有限公司")</f>
        <v/>
      </c>
      <c r="O57" s="89">
        <f>-SUMIFS('10月数据源'!$I:$I,'10月数据源'!$D:$D,$E57,'10月数据源'!$F:$F,"杭州实时查科技有限公司")+SUMIFS('10月数据源'!$J:$J,'10月数据源'!$D:$D,$E57,'10月数据源'!$F:$F,"杭州实时查科技有限公司")</f>
        <v/>
      </c>
      <c r="P57" s="89">
        <f>-SUMIFS('11月数据源'!$I:$I,'11月数据源'!$D:$D,$E57,'11月数据源'!$F:$F,"杭州实时查科技有限公司")+SUMIFS('11月数据源'!$J:$J,'11月数据源'!$D:$D,$E57,'11月数据源'!$F:$F,"杭州实时查科技有限公司")</f>
        <v/>
      </c>
      <c r="Q57" s="89">
        <f>-SUMIFS('12月数据源'!$I:$I,'12月数据源'!$D:$D,$E57,'12月数据源'!$F:$F,"杭州实时查科技有限公司")+SUMIFS('12月数据源'!$J:$J,'12月数据源'!$D:$D,$E57,'12月数据源'!$F:$F,"杭州实时查科技有限公司")</f>
        <v/>
      </c>
    </row>
    <row r="58" s="83">
      <c r="A58" s="5" t="inlineStr">
        <is>
          <t>制造费用</t>
        </is>
      </c>
      <c r="B58" s="5" t="inlineStr">
        <is>
          <t>制造费用</t>
        </is>
      </c>
      <c r="D58" s="5" t="inlineStr">
        <is>
          <t>贴纸/说明书</t>
        </is>
      </c>
      <c r="E58" s="6" t="inlineStr">
        <is>
          <t>Q3208</t>
        </is>
      </c>
      <c r="F58" s="89">
        <f>-SUMIFS('1月数据源'!I:I,'1月数据源'!D:D,E58,'1月数据源'!F:F,"杭州实时查科技有限公司")+SUMIFS('1月数据源'!J:J,'1月数据源'!D:D,E58,'1月数据源'!F:F,"杭州实时查科技有限公司")</f>
        <v/>
      </c>
      <c r="G58" s="89">
        <f>-SUMIFS('2月数据源'!$I:$I,'2月数据源'!$D:$D,$E58,'2月数据源'!$F:$F,"杭州实时查科技有限公司")+SUMIFS('2月数据源'!$J:$J,'2月数据源'!$D:$D,$E58,'2月数据源'!$F:$F,"杭州实时查科技有限公司")</f>
        <v/>
      </c>
      <c r="H58" s="89">
        <f>-SUMIFS('3月数据源'!$I:$I,'3月数据源'!$D:$D,$E58,'3月数据源'!$F:$F,"杭州实时查科技有限公司")+SUMIFS('3月数据源'!$J:$J,'3月数据源'!$D:$D,$E58,'3月数据源'!$F:$F,"杭州实时查科技有限公司")</f>
        <v/>
      </c>
      <c r="I58" s="89">
        <f>-SUMIFS('4月数据源'!$I:$I,'4月数据源'!$D:$D,$E58,'4月数据源'!$F:$F,"杭州实时查科技有限公司")+SUMIFS('4月数据源'!$J:$J,'4月数据源'!$D:$D,$E58,'4月数据源'!$F:$F,"杭州实时查科技有限公司")</f>
        <v/>
      </c>
      <c r="J58" s="89">
        <f>-SUMIFS('5月数据源'!$I:$I,'5月数据源'!$D:$D,$E58,'5月数据源'!$F:$F,"杭州实时查科技有限公司")+SUMIFS('5月数据源'!$J:$J,'5月数据源'!$D:$D,$E58,'5月数据源'!$F:$F,"杭州实时查科技有限公司")</f>
        <v/>
      </c>
      <c r="K58" s="89">
        <f>-SUMIFS('6月数据源'!$I:$I,'6月数据源'!$D:$D,$E58,'6月数据源'!$F:$F,"杭州实时查科技有限公司")+SUMIFS('6月数据源'!$J:$J,'6月数据源'!$D:$D,$E58,'6月数据源'!$F:$F,"杭州实时查科技有限公司")</f>
        <v/>
      </c>
      <c r="L58" s="89">
        <f>-SUMIFS('7月数据源'!$I:$I,'7月数据源'!$D:$D,$E58,'7月数据源'!$F:$F,"杭州实时查科技有限公司")+SUMIFS('7月数据源'!$J:$J,'7月数据源'!$D:$D,$E58,'7月数据源'!$F:$F,"杭州实时查科技有限公司")</f>
        <v/>
      </c>
      <c r="M58" s="89">
        <f>-SUMIFS('8月数据源'!$I:$I,'8月数据源'!$D:$D,$E58,'8月数据源'!$F:$F,"杭州实时查科技有限公司")+SUMIFS('8月数据源'!$J:$J,'8月数据源'!$D:$D,$E58,'8月数据源'!$F:$F,"杭州实时查科技有限公司")</f>
        <v/>
      </c>
      <c r="N58" s="89">
        <f>-SUMIFS('9月数据源'!$I:$I,'9月数据源'!$D:$D,$E58,'9月数据源'!$F:$F,"杭州实时查科技有限公司")+SUMIFS('9月数据源'!$J:$J,'9月数据源'!$D:$D,$E58,'9月数据源'!$F:$F,"杭州实时查科技有限公司")</f>
        <v/>
      </c>
      <c r="O58" s="89">
        <f>-SUMIFS('10月数据源'!$I:$I,'10月数据源'!$D:$D,$E58,'10月数据源'!$F:$F,"杭州实时查科技有限公司")+SUMIFS('10月数据源'!$J:$J,'10月数据源'!$D:$D,$E58,'10月数据源'!$F:$F,"杭州实时查科技有限公司")</f>
        <v/>
      </c>
      <c r="P58" s="89">
        <f>-SUMIFS('11月数据源'!$I:$I,'11月数据源'!$D:$D,$E58,'11月数据源'!$F:$F,"杭州实时查科技有限公司")+SUMIFS('11月数据源'!$J:$J,'11月数据源'!$D:$D,$E58,'11月数据源'!$F:$F,"杭州实时查科技有限公司")</f>
        <v/>
      </c>
      <c r="Q58" s="89">
        <f>-SUMIFS('12月数据源'!$I:$I,'12月数据源'!$D:$D,$E58,'12月数据源'!$F:$F,"杭州实时查科技有限公司")+SUMIFS('12月数据源'!$J:$J,'12月数据源'!$D:$D,$E58,'12月数据源'!$F:$F,"杭州实时查科技有限公司")</f>
        <v/>
      </c>
    </row>
    <row r="59" s="83">
      <c r="A59" s="5" t="inlineStr">
        <is>
          <t>制造费用</t>
        </is>
      </c>
      <c r="B59" s="5" t="inlineStr">
        <is>
          <t>制造费用</t>
        </is>
      </c>
      <c r="D59" s="5" t="inlineStr">
        <is>
          <t>笔尖</t>
        </is>
      </c>
      <c r="E59" s="6" t="inlineStr">
        <is>
          <t>Q3209</t>
        </is>
      </c>
      <c r="F59" s="89">
        <f>-SUMIFS('1月数据源'!I:I,'1月数据源'!D:D,E59,'1月数据源'!F:F,"杭州实时查科技有限公司")+SUMIFS('1月数据源'!J:J,'1月数据源'!D:D,E59,'1月数据源'!F:F,"杭州实时查科技有限公司")</f>
        <v/>
      </c>
      <c r="G59" s="89">
        <f>-SUMIFS('2月数据源'!$I:$I,'2月数据源'!$D:$D,$E59,'2月数据源'!$F:$F,"杭州实时查科技有限公司")+SUMIFS('2月数据源'!$J:$J,'2月数据源'!$D:$D,$E59,'2月数据源'!$F:$F,"杭州实时查科技有限公司")</f>
        <v/>
      </c>
      <c r="H59" s="89">
        <f>-SUMIFS('3月数据源'!$I:$I,'3月数据源'!$D:$D,$E59,'3月数据源'!$F:$F,"杭州实时查科技有限公司")+SUMIFS('3月数据源'!$J:$J,'3月数据源'!$D:$D,$E59,'3月数据源'!$F:$F,"杭州实时查科技有限公司")</f>
        <v/>
      </c>
      <c r="I59" s="89">
        <f>-SUMIFS('4月数据源'!$I:$I,'4月数据源'!$D:$D,$E59,'4月数据源'!$F:$F,"杭州实时查科技有限公司")+SUMIFS('4月数据源'!$J:$J,'4月数据源'!$D:$D,$E59,'4月数据源'!$F:$F,"杭州实时查科技有限公司")</f>
        <v/>
      </c>
      <c r="J59" s="89">
        <f>-SUMIFS('5月数据源'!$I:$I,'5月数据源'!$D:$D,$E59,'5月数据源'!$F:$F,"杭州实时查科技有限公司")+SUMIFS('5月数据源'!$J:$J,'5月数据源'!$D:$D,$E59,'5月数据源'!$F:$F,"杭州实时查科技有限公司")</f>
        <v/>
      </c>
      <c r="K59" s="89">
        <f>-SUMIFS('6月数据源'!$I:$I,'6月数据源'!$D:$D,$E59,'6月数据源'!$F:$F,"杭州实时查科技有限公司")+SUMIFS('6月数据源'!$J:$J,'6月数据源'!$D:$D,$E59,'6月数据源'!$F:$F,"杭州实时查科技有限公司")</f>
        <v/>
      </c>
      <c r="L59" s="89">
        <f>-SUMIFS('7月数据源'!$I:$I,'7月数据源'!$D:$D,$E59,'7月数据源'!$F:$F,"杭州实时查科技有限公司")+SUMIFS('7月数据源'!$J:$J,'7月数据源'!$D:$D,$E59,'7月数据源'!$F:$F,"杭州实时查科技有限公司")</f>
        <v/>
      </c>
      <c r="M59" s="89">
        <f>-SUMIFS('8月数据源'!$I:$I,'8月数据源'!$D:$D,$E59,'8月数据源'!$F:$F,"杭州实时查科技有限公司")+SUMIFS('8月数据源'!$J:$J,'8月数据源'!$D:$D,$E59,'8月数据源'!$F:$F,"杭州实时查科技有限公司")</f>
        <v/>
      </c>
      <c r="N59" s="89">
        <f>-SUMIFS('9月数据源'!$I:$I,'9月数据源'!$D:$D,$E59,'9月数据源'!$F:$F,"杭州实时查科技有限公司")+SUMIFS('9月数据源'!$J:$J,'9月数据源'!$D:$D,$E59,'9月数据源'!$F:$F,"杭州实时查科技有限公司")</f>
        <v/>
      </c>
      <c r="O59" s="89">
        <f>-SUMIFS('10月数据源'!$I:$I,'10月数据源'!$D:$D,$E59,'10月数据源'!$F:$F,"杭州实时查科技有限公司")+SUMIFS('10月数据源'!$J:$J,'10月数据源'!$D:$D,$E59,'10月数据源'!$F:$F,"杭州实时查科技有限公司")</f>
        <v/>
      </c>
      <c r="P59" s="89">
        <f>-SUMIFS('11月数据源'!$I:$I,'11月数据源'!$D:$D,$E59,'11月数据源'!$F:$F,"杭州实时查科技有限公司")+SUMIFS('11月数据源'!$J:$J,'11月数据源'!$D:$D,$E59,'11月数据源'!$F:$F,"杭州实时查科技有限公司")</f>
        <v/>
      </c>
      <c r="Q59" s="89">
        <f>-SUMIFS('12月数据源'!$I:$I,'12月数据源'!$D:$D,$E59,'12月数据源'!$F:$F,"杭州实时查科技有限公司")+SUMIFS('12月数据源'!$J:$J,'12月数据源'!$D:$D,$E59,'12月数据源'!$F:$F,"杭州实时查科技有限公司")</f>
        <v/>
      </c>
    </row>
    <row r="60" s="83">
      <c r="A60" s="5" t="inlineStr">
        <is>
          <t>制造费用</t>
        </is>
      </c>
      <c r="B60" s="5" t="inlineStr">
        <is>
          <t>制造费用</t>
        </is>
      </c>
      <c r="D60" s="5" t="inlineStr">
        <is>
          <t>华泰租金</t>
        </is>
      </c>
      <c r="E60" s="6" t="inlineStr">
        <is>
          <t>Q3210</t>
        </is>
      </c>
      <c r="F60" s="89">
        <f>-SUMIFS('1月数据源'!I:I,'1月数据源'!D:D,E60,'1月数据源'!F:F,"杭州实时查科技有限公司")+SUMIFS('1月数据源'!J:J,'1月数据源'!D:D,E60,'1月数据源'!F:F,"杭州实时查科技有限公司")</f>
        <v/>
      </c>
      <c r="G60" s="89">
        <f>-SUMIFS('2月数据源'!$I:$I,'2月数据源'!$D:$D,$E60,'2月数据源'!$F:$F,"杭州实时查科技有限公司")+SUMIFS('2月数据源'!$J:$J,'2月数据源'!$D:$D,$E60,'2月数据源'!$F:$F,"杭州实时查科技有限公司")</f>
        <v/>
      </c>
      <c r="H60" s="89">
        <f>-SUMIFS('3月数据源'!$I:$I,'3月数据源'!$D:$D,$E60,'3月数据源'!$F:$F,"杭州实时查科技有限公司")+SUMIFS('3月数据源'!$J:$J,'3月数据源'!$D:$D,$E60,'3月数据源'!$F:$F,"杭州实时查科技有限公司")</f>
        <v/>
      </c>
      <c r="I60" s="89">
        <f>-SUMIFS('4月数据源'!$I:$I,'4月数据源'!$D:$D,$E60,'4月数据源'!$F:$F,"杭州实时查科技有限公司")+SUMIFS('4月数据源'!$J:$J,'4月数据源'!$D:$D,$E60,'4月数据源'!$F:$F,"杭州实时查科技有限公司")</f>
        <v/>
      </c>
      <c r="J60" s="89">
        <f>-SUMIFS('5月数据源'!$I:$I,'5月数据源'!$D:$D,$E60,'5月数据源'!$F:$F,"杭州实时查科技有限公司")+SUMIFS('5月数据源'!$J:$J,'5月数据源'!$D:$D,$E60,'5月数据源'!$F:$F,"杭州实时查科技有限公司")</f>
        <v/>
      </c>
      <c r="K60" s="89">
        <f>-SUMIFS('6月数据源'!$I:$I,'6月数据源'!$D:$D,$E60,'6月数据源'!$F:$F,"杭州实时查科技有限公司")+SUMIFS('6月数据源'!$J:$J,'6月数据源'!$D:$D,$E60,'6月数据源'!$F:$F,"杭州实时查科技有限公司")</f>
        <v/>
      </c>
      <c r="L60" s="89">
        <f>-SUMIFS('7月数据源'!$I:$I,'7月数据源'!$D:$D,$E60,'7月数据源'!$F:$F,"杭州实时查科技有限公司")+SUMIFS('7月数据源'!$J:$J,'7月数据源'!$D:$D,$E60,'7月数据源'!$F:$F,"杭州实时查科技有限公司")</f>
        <v/>
      </c>
      <c r="M60" s="89">
        <f>-SUMIFS('8月数据源'!$I:$I,'8月数据源'!$D:$D,$E60,'8月数据源'!$F:$F,"杭州实时查科技有限公司")+SUMIFS('8月数据源'!$J:$J,'8月数据源'!$D:$D,$E60,'8月数据源'!$F:$F,"杭州实时查科技有限公司")</f>
        <v/>
      </c>
      <c r="N60" s="89">
        <f>-SUMIFS('9月数据源'!$I:$I,'9月数据源'!$D:$D,$E60,'9月数据源'!$F:$F,"杭州实时查科技有限公司")+SUMIFS('9月数据源'!$J:$J,'9月数据源'!$D:$D,$E60,'9月数据源'!$F:$F,"杭州实时查科技有限公司")</f>
        <v/>
      </c>
      <c r="O60" s="89">
        <f>-SUMIFS('10月数据源'!$I:$I,'10月数据源'!$D:$D,$E60,'10月数据源'!$F:$F,"杭州实时查科技有限公司")+SUMIFS('10月数据源'!$J:$J,'10月数据源'!$D:$D,$E60,'10月数据源'!$F:$F,"杭州实时查科技有限公司")</f>
        <v/>
      </c>
      <c r="P60" s="89">
        <f>-SUMIFS('11月数据源'!$I:$I,'11月数据源'!$D:$D,$E60,'11月数据源'!$F:$F,"杭州实时查科技有限公司")+SUMIFS('11月数据源'!$J:$J,'11月数据源'!$D:$D,$E60,'11月数据源'!$F:$F,"杭州实时查科技有限公司")</f>
        <v/>
      </c>
      <c r="Q60" s="89">
        <f>-SUMIFS('12月数据源'!$I:$I,'12月数据源'!$D:$D,$E60,'12月数据源'!$F:$F,"杭州实时查科技有限公司")+SUMIFS('12月数据源'!$J:$J,'12月数据源'!$D:$D,$E60,'12月数据源'!$F:$F,"杭州实时查科技有限公司")</f>
        <v/>
      </c>
    </row>
    <row r="61" s="83">
      <c r="A61" s="5" t="inlineStr">
        <is>
          <t>制造费用</t>
        </is>
      </c>
      <c r="B61" s="5" t="inlineStr">
        <is>
          <t>制造费用</t>
        </is>
      </c>
      <c r="D61" s="5" t="inlineStr">
        <is>
          <t>华泰水电费</t>
        </is>
      </c>
      <c r="E61" s="6" t="inlineStr">
        <is>
          <t>Q3211</t>
        </is>
      </c>
      <c r="F61" s="89">
        <f>-SUMIFS('1月数据源'!I:I,'1月数据源'!D:D,E61,'1月数据源'!F:F,"杭州实时查科技有限公司")+SUMIFS('1月数据源'!J:J,'1月数据源'!D:D,E61,'1月数据源'!F:F,"杭州实时查科技有限公司")</f>
        <v/>
      </c>
      <c r="G61" s="89">
        <f>-SUMIFS('2月数据源'!$I:$I,'2月数据源'!$D:$D,$E61,'2月数据源'!$F:$F,"杭州实时查科技有限公司")+SUMIFS('2月数据源'!$J:$J,'2月数据源'!$D:$D,$E61,'2月数据源'!$F:$F,"杭州实时查科技有限公司")</f>
        <v/>
      </c>
      <c r="H61" s="89">
        <f>-SUMIFS('3月数据源'!$I:$I,'3月数据源'!$D:$D,$E61,'3月数据源'!$F:$F,"杭州实时查科技有限公司")+SUMIFS('3月数据源'!$J:$J,'3月数据源'!$D:$D,$E61,'3月数据源'!$F:$F,"杭州实时查科技有限公司")</f>
        <v/>
      </c>
      <c r="I61" s="89">
        <f>-SUMIFS('4月数据源'!$I:$I,'4月数据源'!$D:$D,$E61,'4月数据源'!$F:$F,"杭州实时查科技有限公司")+SUMIFS('4月数据源'!$J:$J,'4月数据源'!$D:$D,$E61,'4月数据源'!$F:$F,"杭州实时查科技有限公司")</f>
        <v/>
      </c>
      <c r="J61" s="89">
        <f>-SUMIFS('5月数据源'!$I:$I,'5月数据源'!$D:$D,$E61,'5月数据源'!$F:$F,"杭州实时查科技有限公司")+SUMIFS('5月数据源'!$J:$J,'5月数据源'!$D:$D,$E61,'5月数据源'!$F:$F,"杭州实时查科技有限公司")</f>
        <v/>
      </c>
      <c r="K61" s="89">
        <f>-SUMIFS('6月数据源'!$I:$I,'6月数据源'!$D:$D,$E61,'6月数据源'!$F:$F,"杭州实时查科技有限公司")+SUMIFS('6月数据源'!$J:$J,'6月数据源'!$D:$D,$E61,'6月数据源'!$F:$F,"杭州实时查科技有限公司")</f>
        <v/>
      </c>
      <c r="L61" s="89">
        <f>-SUMIFS('7月数据源'!$I:$I,'7月数据源'!$D:$D,$E61,'7月数据源'!$F:$F,"杭州实时查科技有限公司")+SUMIFS('7月数据源'!$J:$J,'7月数据源'!$D:$D,$E61,'7月数据源'!$F:$F,"杭州实时查科技有限公司")</f>
        <v/>
      </c>
      <c r="M61" s="89">
        <f>-SUMIFS('8月数据源'!$I:$I,'8月数据源'!$D:$D,$E61,'8月数据源'!$F:$F,"杭州实时查科技有限公司")+SUMIFS('8月数据源'!$J:$J,'8月数据源'!$D:$D,$E61,'8月数据源'!$F:$F,"杭州实时查科技有限公司")</f>
        <v/>
      </c>
      <c r="N61" s="89">
        <f>-SUMIFS('9月数据源'!$I:$I,'9月数据源'!$D:$D,$E61,'9月数据源'!$F:$F,"杭州实时查科技有限公司")+SUMIFS('9月数据源'!$J:$J,'9月数据源'!$D:$D,$E61,'9月数据源'!$F:$F,"杭州实时查科技有限公司")</f>
        <v/>
      </c>
      <c r="O61" s="89">
        <f>-SUMIFS('10月数据源'!$I:$I,'10月数据源'!$D:$D,$E61,'10月数据源'!$F:$F,"杭州实时查科技有限公司")+SUMIFS('10月数据源'!$J:$J,'10月数据源'!$D:$D,$E61,'10月数据源'!$F:$F,"杭州实时查科技有限公司")</f>
        <v/>
      </c>
      <c r="P61" s="89">
        <f>-SUMIFS('11月数据源'!$I:$I,'11月数据源'!$D:$D,$E61,'11月数据源'!$F:$F,"杭州实时查科技有限公司")+SUMIFS('11月数据源'!$J:$J,'11月数据源'!$D:$D,$E61,'11月数据源'!$F:$F,"杭州实时查科技有限公司")</f>
        <v/>
      </c>
      <c r="Q61" s="89">
        <f>-SUMIFS('12月数据源'!$I:$I,'12月数据源'!$D:$D,$E61,'12月数据源'!$F:$F,"杭州实时查科技有限公司")+SUMIFS('12月数据源'!$J:$J,'12月数据源'!$D:$D,$E61,'12月数据源'!$F:$F,"杭州实时查科技有限公司")</f>
        <v/>
      </c>
    </row>
    <row r="62" s="83">
      <c r="A62" s="5" t="inlineStr">
        <is>
          <t>制造费用</t>
        </is>
      </c>
      <c r="B62" s="5" t="inlineStr">
        <is>
          <t>制造费用</t>
        </is>
      </c>
      <c r="D62" s="5" t="inlineStr">
        <is>
          <t>华泰装修费</t>
        </is>
      </c>
      <c r="E62" s="6" t="inlineStr">
        <is>
          <t>Q3212</t>
        </is>
      </c>
      <c r="F62" s="89">
        <f>-SUMIFS('1月数据源'!I:I,'1月数据源'!D:D,E62,'1月数据源'!F:F,"杭州实时查科技有限公司")+SUMIFS('1月数据源'!J:J,'1月数据源'!D:D,E62,'1月数据源'!F:F,"杭州实时查科技有限公司")</f>
        <v/>
      </c>
      <c r="G62" s="89">
        <f>-SUMIFS('2月数据源'!$I:$I,'2月数据源'!$D:$D,$E62,'2月数据源'!$F:$F,"杭州实时查科技有限公司")+SUMIFS('2月数据源'!$J:$J,'2月数据源'!$D:$D,$E62,'2月数据源'!$F:$F,"杭州实时查科技有限公司")</f>
        <v/>
      </c>
      <c r="H62" s="89">
        <f>-SUMIFS('3月数据源'!$I:$I,'3月数据源'!$D:$D,$E62,'3月数据源'!$F:$F,"杭州实时查科技有限公司")+SUMIFS('3月数据源'!$J:$J,'3月数据源'!$D:$D,$E62,'3月数据源'!$F:$F,"杭州实时查科技有限公司")</f>
        <v/>
      </c>
      <c r="I62" s="89">
        <f>-SUMIFS('4月数据源'!$I:$I,'4月数据源'!$D:$D,$E62,'4月数据源'!$F:$F,"杭州实时查科技有限公司")+SUMIFS('4月数据源'!$J:$J,'4月数据源'!$D:$D,$E62,'4月数据源'!$F:$F,"杭州实时查科技有限公司")</f>
        <v/>
      </c>
      <c r="J62" s="89">
        <f>-SUMIFS('5月数据源'!$I:$I,'5月数据源'!$D:$D,$E62,'5月数据源'!$F:$F,"杭州实时查科技有限公司")+SUMIFS('5月数据源'!$J:$J,'5月数据源'!$D:$D,$E62,'5月数据源'!$F:$F,"杭州实时查科技有限公司")</f>
        <v/>
      </c>
      <c r="K62" s="89">
        <f>-SUMIFS('6月数据源'!$I:$I,'6月数据源'!$D:$D,$E62,'6月数据源'!$F:$F,"杭州实时查科技有限公司")+SUMIFS('6月数据源'!$J:$J,'6月数据源'!$D:$D,$E62,'6月数据源'!$F:$F,"杭州实时查科技有限公司")</f>
        <v/>
      </c>
      <c r="L62" s="89">
        <f>-SUMIFS('7月数据源'!$I:$I,'7月数据源'!$D:$D,$E62,'7月数据源'!$F:$F,"杭州实时查科技有限公司")+SUMIFS('7月数据源'!$J:$J,'7月数据源'!$D:$D,$E62,'7月数据源'!$F:$F,"杭州实时查科技有限公司")</f>
        <v/>
      </c>
      <c r="M62" s="89">
        <f>-SUMIFS('8月数据源'!$I:$I,'8月数据源'!$D:$D,$E62,'8月数据源'!$F:$F,"杭州实时查科技有限公司")+SUMIFS('8月数据源'!$J:$J,'8月数据源'!$D:$D,$E62,'8月数据源'!$F:$F,"杭州实时查科技有限公司")</f>
        <v/>
      </c>
      <c r="N62" s="89">
        <f>-SUMIFS('9月数据源'!$I:$I,'9月数据源'!$D:$D,$E62,'9月数据源'!$F:$F,"杭州实时查科技有限公司")+SUMIFS('9月数据源'!$J:$J,'9月数据源'!$D:$D,$E62,'9月数据源'!$F:$F,"杭州实时查科技有限公司")</f>
        <v/>
      </c>
      <c r="O62" s="89">
        <f>-SUMIFS('10月数据源'!$I:$I,'10月数据源'!$D:$D,$E62,'10月数据源'!$F:$F,"杭州实时查科技有限公司")+SUMIFS('10月数据源'!$J:$J,'10月数据源'!$D:$D,$E62,'10月数据源'!$F:$F,"杭州实时查科技有限公司")</f>
        <v/>
      </c>
      <c r="P62" s="89">
        <f>-SUMIFS('11月数据源'!$I:$I,'11月数据源'!$D:$D,$E62,'11月数据源'!$F:$F,"杭州实时查科技有限公司")+SUMIFS('11月数据源'!$J:$J,'11月数据源'!$D:$D,$E62,'11月数据源'!$F:$F,"杭州实时查科技有限公司")</f>
        <v/>
      </c>
      <c r="Q62" s="89">
        <f>-SUMIFS('12月数据源'!$I:$I,'12月数据源'!$D:$D,$E62,'12月数据源'!$F:$F,"杭州实时查科技有限公司")+SUMIFS('12月数据源'!$J:$J,'12月数据源'!$D:$D,$E62,'12月数据源'!$F:$F,"杭州实时查科技有限公司")</f>
        <v/>
      </c>
    </row>
    <row r="63" s="83">
      <c r="A63" s="49" t="inlineStr">
        <is>
          <t>制造费用合计</t>
        </is>
      </c>
      <c r="B63" s="50" t="n"/>
      <c r="C63" s="50" t="n"/>
      <c r="D63" s="49" t="n"/>
      <c r="E63" s="49" t="n"/>
      <c r="F63" s="89">
        <f>SUM(F51:F62)</f>
        <v/>
      </c>
      <c r="G63" s="89">
        <f>SUM(G51:G62)</f>
        <v/>
      </c>
      <c r="H63" s="89">
        <f>SUM(H51:H62)</f>
        <v/>
      </c>
      <c r="I63" s="89">
        <f>SUM(I51:I62)</f>
        <v/>
      </c>
      <c r="J63" s="89">
        <f>SUM(J51:J62)</f>
        <v/>
      </c>
      <c r="K63" s="89">
        <f>SUM(K51:K62)</f>
        <v/>
      </c>
      <c r="L63" s="89">
        <f>SUM(L51:L62)</f>
        <v/>
      </c>
      <c r="M63" s="89">
        <f>SUM(M51:M62)</f>
        <v/>
      </c>
      <c r="N63" s="89">
        <f>SUM(N51:N62)</f>
        <v/>
      </c>
      <c r="O63" s="89">
        <f>SUM(O51:O62)</f>
        <v/>
      </c>
      <c r="P63" s="89">
        <f>SUM(P51:P62)</f>
        <v/>
      </c>
      <c r="Q63" s="89">
        <f>SUM(Q51:Q62)</f>
        <v/>
      </c>
    </row>
    <row r="64" s="83">
      <c r="A64" s="5" t="inlineStr">
        <is>
          <t>自习室支出</t>
        </is>
      </c>
      <c r="B64" s="5" t="inlineStr">
        <is>
          <t>自习室支出</t>
        </is>
      </c>
      <c r="C64" s="6" t="inlineStr">
        <is>
          <t>自习室支出</t>
        </is>
      </c>
      <c r="D64" s="5" t="inlineStr">
        <is>
          <t>人力成本</t>
        </is>
      </c>
      <c r="E64" s="53" t="n"/>
      <c r="G64" s="89" t="n"/>
      <c r="H64" s="89" t="n"/>
      <c r="I64" s="89" t="n"/>
      <c r="J64" s="89" t="n"/>
      <c r="K64" s="89" t="n"/>
      <c r="L64" s="89" t="n"/>
      <c r="M64" s="89" t="n"/>
      <c r="N64" s="89" t="n"/>
      <c r="O64" s="89" t="n"/>
      <c r="P64" s="89" t="n"/>
      <c r="Q64" s="89" t="n"/>
    </row>
    <row r="65" s="83">
      <c r="A65" s="5" t="inlineStr">
        <is>
          <t>自习室支出</t>
        </is>
      </c>
      <c r="B65" s="5" t="inlineStr">
        <is>
          <t>自习室支出</t>
        </is>
      </c>
      <c r="D65" s="5" t="inlineStr">
        <is>
          <t>装修支出</t>
        </is>
      </c>
      <c r="E65" s="53" t="n"/>
      <c r="G65" s="89" t="n"/>
      <c r="H65" s="89" t="n"/>
      <c r="I65" s="89" t="n"/>
      <c r="J65" s="89" t="n"/>
      <c r="K65" s="89" t="n"/>
      <c r="L65" s="89" t="n"/>
      <c r="M65" s="89" t="n"/>
      <c r="N65" s="89" t="n"/>
      <c r="O65" s="89" t="n"/>
      <c r="P65" s="89" t="n"/>
      <c r="Q65" s="89" t="n"/>
    </row>
    <row r="66" s="83">
      <c r="A66" s="5" t="inlineStr">
        <is>
          <t>自习室支出</t>
        </is>
      </c>
      <c r="B66" s="5" t="inlineStr">
        <is>
          <t>自习室支出</t>
        </is>
      </c>
      <c r="D66" s="5" t="inlineStr">
        <is>
          <t>推广费用</t>
        </is>
      </c>
      <c r="E66" s="53" t="n"/>
      <c r="G66" s="89" t="n"/>
      <c r="H66" s="89" t="n"/>
      <c r="I66" s="89" t="n"/>
      <c r="J66" s="89" t="n"/>
      <c r="K66" s="89" t="n"/>
      <c r="L66" s="89" t="n"/>
      <c r="M66" s="89" t="n"/>
      <c r="N66" s="89" t="n"/>
      <c r="O66" s="89" t="n"/>
      <c r="P66" s="89" t="n"/>
      <c r="Q66" s="89" t="n"/>
    </row>
    <row r="67" s="83">
      <c r="A67" s="5" t="inlineStr">
        <is>
          <t>自习室支出</t>
        </is>
      </c>
      <c r="B67" s="5" t="inlineStr">
        <is>
          <t>自习室支出</t>
        </is>
      </c>
      <c r="D67" s="5" t="inlineStr">
        <is>
          <t>管理系统</t>
        </is>
      </c>
      <c r="E67" s="53" t="n"/>
      <c r="G67" s="89" t="n"/>
      <c r="H67" s="89" t="n"/>
      <c r="I67" s="89" t="n"/>
      <c r="J67" s="89" t="n"/>
      <c r="K67" s="89" t="n"/>
      <c r="L67" s="89" t="n"/>
      <c r="M67" s="89" t="n"/>
      <c r="N67" s="89" t="n"/>
      <c r="O67" s="89" t="n"/>
      <c r="P67" s="89" t="n"/>
      <c r="Q67" s="89" t="n"/>
    </row>
    <row r="68" s="83">
      <c r="A68" s="5" t="inlineStr">
        <is>
          <t>自习室支出</t>
        </is>
      </c>
      <c r="B68" s="5" t="inlineStr">
        <is>
          <t>自习室支出</t>
        </is>
      </c>
      <c r="D68" s="5" t="inlineStr">
        <is>
          <t>其他经营支出</t>
        </is>
      </c>
      <c r="E68" s="53" t="n"/>
      <c r="G68" s="89" t="n"/>
      <c r="H68" s="89" t="n"/>
      <c r="I68" s="89" t="n"/>
      <c r="J68" s="89" t="n"/>
      <c r="K68" s="89" t="n"/>
      <c r="L68" s="89" t="n"/>
      <c r="M68" s="89" t="n"/>
      <c r="N68" s="89" t="n"/>
      <c r="O68" s="89" t="n"/>
      <c r="P68" s="89" t="n"/>
      <c r="Q68" s="89" t="n"/>
    </row>
    <row r="69" s="83">
      <c r="A69" s="49" t="inlineStr">
        <is>
          <t>自习室支出合计</t>
        </is>
      </c>
      <c r="B69" s="50" t="n"/>
      <c r="C69" s="50" t="n"/>
      <c r="D69" s="49" t="n"/>
      <c r="E69" s="49" t="n"/>
      <c r="F69" s="89">
        <f>SUM('SMART AI LIMITED:HK01'!F64:F68)</f>
        <v/>
      </c>
      <c r="G69" s="89">
        <f>SUM('SMART AI LIMITED:HK01'!G64:G68)</f>
        <v/>
      </c>
      <c r="H69" s="89">
        <f>SUM('SMART AI LIMITED:HK01'!H64:H68)</f>
        <v/>
      </c>
      <c r="I69" s="89">
        <f>SUM('SMART AI LIMITED:HK01'!I64:I68)</f>
        <v/>
      </c>
      <c r="J69" s="89">
        <f>SUM('SMART AI LIMITED:HK01'!J64:J68)</f>
        <v/>
      </c>
      <c r="K69" s="89">
        <f>SUM('SMART AI LIMITED:HK01'!K64:K68)</f>
        <v/>
      </c>
      <c r="L69" s="89">
        <f>SUM('SMART AI LIMITED:HK01'!L64:L68)</f>
        <v/>
      </c>
      <c r="M69" s="89">
        <f>SUM('SMART AI LIMITED:HK01'!M64:M68)</f>
        <v/>
      </c>
      <c r="N69" s="89">
        <f>SUM('SMART AI LIMITED:HK01'!N64:N68)</f>
        <v/>
      </c>
      <c r="O69" s="89">
        <f>SUM('SMART AI LIMITED:HK01'!O64:O68)</f>
        <v/>
      </c>
      <c r="P69" s="89">
        <f>SUM('SMART AI LIMITED:HK01'!P64:P68)</f>
        <v/>
      </c>
      <c r="Q69" s="89">
        <f>SUM('SMART AI LIMITED:HK01'!Q64:Q68)</f>
        <v/>
      </c>
    </row>
    <row r="70" s="83">
      <c r="A70" s="5" t="inlineStr">
        <is>
          <t>研发支出</t>
        </is>
      </c>
      <c r="B70" s="6" t="inlineStr">
        <is>
          <t>产品开发-MAX</t>
        </is>
      </c>
      <c r="C70" s="6" t="inlineStr">
        <is>
          <t>产品开发-MAX</t>
        </is>
      </c>
      <c r="D70" s="5" t="inlineStr">
        <is>
          <t>检测费</t>
        </is>
      </c>
      <c r="E70" s="6" t="inlineStr">
        <is>
          <t>Q1201</t>
        </is>
      </c>
      <c r="F70" s="89">
        <f>-SUMIFS('1月数据源'!I:I,'1月数据源'!D:D,E70,'1月数据源'!F:F,"杭州实时查科技有限公司")+SUMIFS('1月数据源'!J:J,'1月数据源'!D:D,E70,'1月数据源'!F:F,"杭州实时查科技有限公司")</f>
        <v/>
      </c>
      <c r="G70" s="89">
        <f>-SUMIFS('2月数据源'!$I:$I,'2月数据源'!$D:$D,$E70,'2月数据源'!$F:$F,"杭州实时查科技有限公司")+SUMIFS('2月数据源'!$J:$J,'2月数据源'!$D:$D,$E70,'2月数据源'!$F:$F,"杭州实时查科技有限公司")</f>
        <v/>
      </c>
      <c r="H70" s="89">
        <f>-SUMIFS('3月数据源'!$I:$I,'3月数据源'!$D:$D,$E70,'3月数据源'!$F:$F,"杭州实时查科技有限公司")+SUMIFS('3月数据源'!$J:$J,'3月数据源'!$D:$D,$E70,'3月数据源'!$F:$F,"杭州实时查科技有限公司")</f>
        <v/>
      </c>
      <c r="I70" s="89">
        <f>-SUMIFS('4月数据源'!$I:$I,'4月数据源'!$D:$D,$E70,'4月数据源'!$F:$F,"杭州实时查科技有限公司")+SUMIFS('4月数据源'!$J:$J,'4月数据源'!$D:$D,$E70,'4月数据源'!$F:$F,"杭州实时查科技有限公司")</f>
        <v/>
      </c>
      <c r="J70" s="89">
        <f>-SUMIFS('5月数据源'!$I:$I,'5月数据源'!$D:$D,$E70,'5月数据源'!$F:$F,"杭州实时查科技有限公司")+SUMIFS('5月数据源'!$J:$J,'5月数据源'!$D:$D,$E70,'5月数据源'!$F:$F,"杭州实时查科技有限公司")</f>
        <v/>
      </c>
      <c r="K70" s="89">
        <f>-SUMIFS('6月数据源'!$I:$I,'6月数据源'!$D:$D,$E70,'6月数据源'!$F:$F,"杭州实时查科技有限公司")+SUMIFS('6月数据源'!$J:$J,'6月数据源'!$D:$D,$E70,'6月数据源'!$F:$F,"杭州实时查科技有限公司")</f>
        <v/>
      </c>
      <c r="L70" s="89">
        <f>-SUMIFS('7月数据源'!$I:$I,'7月数据源'!$D:$D,$E70,'7月数据源'!$F:$F,"杭州实时查科技有限公司")+SUMIFS('7月数据源'!$J:$J,'7月数据源'!$D:$D,$E70,'7月数据源'!$F:$F,"杭州实时查科技有限公司")</f>
        <v/>
      </c>
      <c r="M70" s="89">
        <f>-SUMIFS('8月数据源'!$I:$I,'8月数据源'!$D:$D,$E70,'8月数据源'!$F:$F,"杭州实时查科技有限公司")+SUMIFS('8月数据源'!$J:$J,'8月数据源'!$D:$D,$E70,'8月数据源'!$F:$F,"杭州实时查科技有限公司")</f>
        <v/>
      </c>
      <c r="N70" s="89">
        <f>-SUMIFS('9月数据源'!$I:$I,'9月数据源'!$D:$D,$E70,'9月数据源'!$F:$F,"杭州实时查科技有限公司")+SUMIFS('9月数据源'!$J:$J,'9月数据源'!$D:$D,$E70,'9月数据源'!$F:$F,"杭州实时查科技有限公司")</f>
        <v/>
      </c>
      <c r="O70" s="89">
        <f>-SUMIFS('10月数据源'!$I:$I,'10月数据源'!$D:$D,$E70,'10月数据源'!$F:$F,"杭州实时查科技有限公司")+SUMIFS('10月数据源'!$J:$J,'10月数据源'!$D:$D,$E70,'10月数据源'!$F:$F,"杭州实时查科技有限公司")</f>
        <v/>
      </c>
      <c r="P70" s="89">
        <f>-SUMIFS('11月数据源'!$I:$I,'11月数据源'!$D:$D,$E70,'11月数据源'!$F:$F,"杭州实时查科技有限公司")+SUMIFS('11月数据源'!$J:$J,'11月数据源'!$D:$D,$E70,'11月数据源'!$F:$F,"杭州实时查科技有限公司")</f>
        <v/>
      </c>
      <c r="Q70" s="89">
        <f>-SUMIFS('12月数据源'!$I:$I,'12月数据源'!$D:$D,$E70,'12月数据源'!$F:$F,"杭州实时查科技有限公司")+SUMIFS('12月数据源'!$J:$J,'12月数据源'!$D:$D,$E70,'12月数据源'!$F:$F,"杭州实时查科技有限公司")</f>
        <v/>
      </c>
    </row>
    <row r="71" s="83">
      <c r="A71" s="5" t="inlineStr">
        <is>
          <t>研发支出</t>
        </is>
      </c>
      <c r="B71" s="6" t="inlineStr">
        <is>
          <t>产品开发-MAX</t>
        </is>
      </c>
      <c r="D71" s="5" t="inlineStr">
        <is>
          <t>认证费</t>
        </is>
      </c>
      <c r="E71" s="6" t="inlineStr">
        <is>
          <t>Q1202</t>
        </is>
      </c>
      <c r="F71" s="89">
        <f>-SUMIFS('1月数据源'!I:I,'1月数据源'!D:D,E71,'1月数据源'!F:F,"杭州实时查科技有限公司")+SUMIFS('1月数据源'!J:J,'1月数据源'!D:D,E71,'1月数据源'!F:F,"杭州实时查科技有限公司")</f>
        <v/>
      </c>
      <c r="G71" s="89">
        <f>-SUMIFS('2月数据源'!$I:$I,'2月数据源'!$D:$D,$E71,'2月数据源'!$F:$F,"杭州实时查科技有限公司")+SUMIFS('2月数据源'!$J:$J,'2月数据源'!$D:$D,$E71,'2月数据源'!$F:$F,"杭州实时查科技有限公司")</f>
        <v/>
      </c>
      <c r="H71" s="89">
        <f>-SUMIFS('3月数据源'!$I:$I,'3月数据源'!$D:$D,$E71,'3月数据源'!$F:$F,"杭州实时查科技有限公司")+SUMIFS('3月数据源'!$J:$J,'3月数据源'!$D:$D,$E71,'3月数据源'!$F:$F,"杭州实时查科技有限公司")</f>
        <v/>
      </c>
      <c r="I71" s="89">
        <f>-SUMIFS('4月数据源'!$I:$I,'4月数据源'!$D:$D,$E71,'4月数据源'!$F:$F,"杭州实时查科技有限公司")+SUMIFS('4月数据源'!$J:$J,'4月数据源'!$D:$D,$E71,'4月数据源'!$F:$F,"杭州实时查科技有限公司")</f>
        <v/>
      </c>
      <c r="J71" s="89">
        <f>-SUMIFS('5月数据源'!$I:$I,'5月数据源'!$D:$D,$E71,'5月数据源'!$F:$F,"杭州实时查科技有限公司")+SUMIFS('5月数据源'!$J:$J,'5月数据源'!$D:$D,$E71,'5月数据源'!$F:$F,"杭州实时查科技有限公司")</f>
        <v/>
      </c>
      <c r="K71" s="89">
        <f>-SUMIFS('6月数据源'!$I:$I,'6月数据源'!$D:$D,$E71,'6月数据源'!$F:$F,"杭州实时查科技有限公司")+SUMIFS('6月数据源'!$J:$J,'6月数据源'!$D:$D,$E71,'6月数据源'!$F:$F,"杭州实时查科技有限公司")</f>
        <v/>
      </c>
      <c r="L71" s="89">
        <f>-SUMIFS('7月数据源'!$I:$I,'7月数据源'!$D:$D,$E71,'7月数据源'!$F:$F,"杭州实时查科技有限公司")+SUMIFS('7月数据源'!$J:$J,'7月数据源'!$D:$D,$E71,'7月数据源'!$F:$F,"杭州实时查科技有限公司")</f>
        <v/>
      </c>
      <c r="M71" s="89">
        <f>-SUMIFS('8月数据源'!$I:$I,'8月数据源'!$D:$D,$E71,'8月数据源'!$F:$F,"杭州实时查科技有限公司")+SUMIFS('8月数据源'!$J:$J,'8月数据源'!$D:$D,$E71,'8月数据源'!$F:$F,"杭州实时查科技有限公司")</f>
        <v/>
      </c>
      <c r="N71" s="89">
        <f>-SUMIFS('9月数据源'!$I:$I,'9月数据源'!$D:$D,$E71,'9月数据源'!$F:$F,"杭州实时查科技有限公司")+SUMIFS('9月数据源'!$J:$J,'9月数据源'!$D:$D,$E71,'9月数据源'!$F:$F,"杭州实时查科技有限公司")</f>
        <v/>
      </c>
      <c r="O71" s="89">
        <f>-SUMIFS('10月数据源'!$I:$I,'10月数据源'!$D:$D,$E71,'10月数据源'!$F:$F,"杭州实时查科技有限公司")+SUMIFS('10月数据源'!$J:$J,'10月数据源'!$D:$D,$E71,'10月数据源'!$F:$F,"杭州实时查科技有限公司")</f>
        <v/>
      </c>
      <c r="P71" s="89">
        <f>-SUMIFS('11月数据源'!$I:$I,'11月数据源'!$D:$D,$E71,'11月数据源'!$F:$F,"杭州实时查科技有限公司")+SUMIFS('11月数据源'!$J:$J,'11月数据源'!$D:$D,$E71,'11月数据源'!$F:$F,"杭州实时查科技有限公司")</f>
        <v/>
      </c>
      <c r="Q71" s="89">
        <f>-SUMIFS('12月数据源'!$I:$I,'12月数据源'!$D:$D,$E71,'12月数据源'!$F:$F,"杭州实时查科技有限公司")+SUMIFS('12月数据源'!$J:$J,'12月数据源'!$D:$D,$E71,'12月数据源'!$F:$F,"杭州实时查科技有限公司")</f>
        <v/>
      </c>
    </row>
    <row r="72" s="83">
      <c r="A72" s="5" t="inlineStr">
        <is>
          <t>研发支出</t>
        </is>
      </c>
      <c r="B72" s="6" t="inlineStr">
        <is>
          <t>产品开发-MAX</t>
        </is>
      </c>
      <c r="D72" s="5" t="inlineStr">
        <is>
          <t>设计费</t>
        </is>
      </c>
      <c r="E72" s="6" t="inlineStr">
        <is>
          <t>Q1203</t>
        </is>
      </c>
      <c r="F72" s="89">
        <f>-SUMIFS('1月数据源'!I:I,'1月数据源'!D:D,E72,'1月数据源'!F:F,"杭州实时查科技有限公司")+SUMIFS('1月数据源'!J:J,'1月数据源'!D:D,E72,'1月数据源'!F:F,"杭州实时查科技有限公司")</f>
        <v/>
      </c>
      <c r="G72" s="89">
        <f>-SUMIFS('2月数据源'!$I:$I,'2月数据源'!$D:$D,$E72,'2月数据源'!$F:$F,"杭州实时查科技有限公司")+SUMIFS('2月数据源'!$J:$J,'2月数据源'!$D:$D,$E72,'2月数据源'!$F:$F,"杭州实时查科技有限公司")</f>
        <v/>
      </c>
      <c r="H72" s="89">
        <f>-SUMIFS('3月数据源'!$I:$I,'3月数据源'!$D:$D,$E72,'3月数据源'!$F:$F,"杭州实时查科技有限公司")+SUMIFS('3月数据源'!$J:$J,'3月数据源'!$D:$D,$E72,'3月数据源'!$F:$F,"杭州实时查科技有限公司")</f>
        <v/>
      </c>
      <c r="I72" s="89">
        <f>-SUMIFS('4月数据源'!$I:$I,'4月数据源'!$D:$D,$E72,'4月数据源'!$F:$F,"杭州实时查科技有限公司")+SUMIFS('4月数据源'!$J:$J,'4月数据源'!$D:$D,$E72,'4月数据源'!$F:$F,"杭州实时查科技有限公司")</f>
        <v/>
      </c>
      <c r="J72" s="89">
        <f>-SUMIFS('5月数据源'!$I:$I,'5月数据源'!$D:$D,$E72,'5月数据源'!$F:$F,"杭州实时查科技有限公司")+SUMIFS('5月数据源'!$J:$J,'5月数据源'!$D:$D,$E72,'5月数据源'!$F:$F,"杭州实时查科技有限公司")</f>
        <v/>
      </c>
      <c r="K72" s="89">
        <f>-SUMIFS('6月数据源'!$I:$I,'6月数据源'!$D:$D,$E72,'6月数据源'!$F:$F,"杭州实时查科技有限公司")+SUMIFS('6月数据源'!$J:$J,'6月数据源'!$D:$D,$E72,'6月数据源'!$F:$F,"杭州实时查科技有限公司")</f>
        <v/>
      </c>
      <c r="L72" s="89">
        <f>-SUMIFS('7月数据源'!$I:$I,'7月数据源'!$D:$D,$E72,'7月数据源'!$F:$F,"杭州实时查科技有限公司")+SUMIFS('7月数据源'!$J:$J,'7月数据源'!$D:$D,$E72,'7月数据源'!$F:$F,"杭州实时查科技有限公司")</f>
        <v/>
      </c>
      <c r="M72" s="89">
        <f>-SUMIFS('8月数据源'!$I:$I,'8月数据源'!$D:$D,$E72,'8月数据源'!$F:$F,"杭州实时查科技有限公司")+SUMIFS('8月数据源'!$J:$J,'8月数据源'!$D:$D,$E72,'8月数据源'!$F:$F,"杭州实时查科技有限公司")</f>
        <v/>
      </c>
      <c r="N72" s="89">
        <f>-SUMIFS('9月数据源'!$I:$I,'9月数据源'!$D:$D,$E72,'9月数据源'!$F:$F,"杭州实时查科技有限公司")+SUMIFS('9月数据源'!$J:$J,'9月数据源'!$D:$D,$E72,'9月数据源'!$F:$F,"杭州实时查科技有限公司")</f>
        <v/>
      </c>
      <c r="O72" s="89">
        <f>-SUMIFS('10月数据源'!$I:$I,'10月数据源'!$D:$D,$E72,'10月数据源'!$F:$F,"杭州实时查科技有限公司")+SUMIFS('10月数据源'!$J:$J,'10月数据源'!$D:$D,$E72,'10月数据源'!$F:$F,"杭州实时查科技有限公司")</f>
        <v/>
      </c>
      <c r="P72" s="89">
        <f>-SUMIFS('11月数据源'!$I:$I,'11月数据源'!$D:$D,$E72,'11月数据源'!$F:$F,"杭州实时查科技有限公司")+SUMIFS('11月数据源'!$J:$J,'11月数据源'!$D:$D,$E72,'11月数据源'!$F:$F,"杭州实时查科技有限公司")</f>
        <v/>
      </c>
      <c r="Q72" s="89">
        <f>-SUMIFS('12月数据源'!$I:$I,'12月数据源'!$D:$D,$E72,'12月数据源'!$F:$F,"杭州实时查科技有限公司")+SUMIFS('12月数据源'!$J:$J,'12月数据源'!$D:$D,$E72,'12月数据源'!$F:$F,"杭州实时查科技有限公司")</f>
        <v/>
      </c>
    </row>
    <row r="73" s="83">
      <c r="A73" s="5" t="inlineStr">
        <is>
          <t>研发支出</t>
        </is>
      </c>
      <c r="B73" s="6" t="inlineStr">
        <is>
          <t>产品开发-MAX</t>
        </is>
      </c>
      <c r="D73" s="5" t="inlineStr">
        <is>
          <t>OTA费用</t>
        </is>
      </c>
      <c r="E73" s="6" t="inlineStr">
        <is>
          <t>Q1204</t>
        </is>
      </c>
      <c r="F73" s="89">
        <f>-SUMIFS('1月数据源'!I:I,'1月数据源'!D:D,E73,'1月数据源'!F:F,"杭州实时查科技有限公司")+SUMIFS('1月数据源'!J:J,'1月数据源'!D:D,E73,'1月数据源'!F:F,"杭州实时查科技有限公司")</f>
        <v/>
      </c>
      <c r="G73" s="89">
        <f>-SUMIFS('2月数据源'!$I:$I,'2月数据源'!$D:$D,$E73,'2月数据源'!$F:$F,"杭州实时查科技有限公司")+SUMIFS('2月数据源'!$J:$J,'2月数据源'!$D:$D,$E73,'2月数据源'!$F:$F,"杭州实时查科技有限公司")</f>
        <v/>
      </c>
      <c r="H73" s="89">
        <f>-SUMIFS('3月数据源'!$I:$I,'3月数据源'!$D:$D,$E73,'3月数据源'!$F:$F,"杭州实时查科技有限公司")+SUMIFS('3月数据源'!$J:$J,'3月数据源'!$D:$D,$E73,'3月数据源'!$F:$F,"杭州实时查科技有限公司")</f>
        <v/>
      </c>
      <c r="I73" s="89">
        <f>-SUMIFS('4月数据源'!$I:$I,'4月数据源'!$D:$D,$E73,'4月数据源'!$F:$F,"杭州实时查科技有限公司")+SUMIFS('4月数据源'!$J:$J,'4月数据源'!$D:$D,$E73,'4月数据源'!$F:$F,"杭州实时查科技有限公司")</f>
        <v/>
      </c>
      <c r="J73" s="89">
        <f>-SUMIFS('5月数据源'!$I:$I,'5月数据源'!$D:$D,$E73,'5月数据源'!$F:$F,"杭州实时查科技有限公司")+SUMIFS('5月数据源'!$J:$J,'5月数据源'!$D:$D,$E73,'5月数据源'!$F:$F,"杭州实时查科技有限公司")</f>
        <v/>
      </c>
      <c r="K73" s="89">
        <f>-SUMIFS('6月数据源'!$I:$I,'6月数据源'!$D:$D,$E73,'6月数据源'!$F:$F,"杭州实时查科技有限公司")+SUMIFS('6月数据源'!$J:$J,'6月数据源'!$D:$D,$E73,'6月数据源'!$F:$F,"杭州实时查科技有限公司")</f>
        <v/>
      </c>
      <c r="L73" s="89">
        <f>-SUMIFS('7月数据源'!$I:$I,'7月数据源'!$D:$D,$E73,'7月数据源'!$F:$F,"杭州实时查科技有限公司")+SUMIFS('7月数据源'!$J:$J,'7月数据源'!$D:$D,$E73,'7月数据源'!$F:$F,"杭州实时查科技有限公司")</f>
        <v/>
      </c>
      <c r="M73" s="89">
        <f>-SUMIFS('8月数据源'!$I:$I,'8月数据源'!$D:$D,$E73,'8月数据源'!$F:$F,"杭州实时查科技有限公司")+SUMIFS('8月数据源'!$J:$J,'8月数据源'!$D:$D,$E73,'8月数据源'!$F:$F,"杭州实时查科技有限公司")</f>
        <v/>
      </c>
      <c r="N73" s="89">
        <f>-SUMIFS('9月数据源'!$I:$I,'9月数据源'!$D:$D,$E73,'9月数据源'!$F:$F,"杭州实时查科技有限公司")+SUMIFS('9月数据源'!$J:$J,'9月数据源'!$D:$D,$E73,'9月数据源'!$F:$F,"杭州实时查科技有限公司")</f>
        <v/>
      </c>
      <c r="O73" s="89">
        <f>-SUMIFS('10月数据源'!$I:$I,'10月数据源'!$D:$D,$E73,'10月数据源'!$F:$F,"杭州实时查科技有限公司")+SUMIFS('10月数据源'!$J:$J,'10月数据源'!$D:$D,$E73,'10月数据源'!$F:$F,"杭州实时查科技有限公司")</f>
        <v/>
      </c>
      <c r="P73" s="89">
        <f>-SUMIFS('11月数据源'!$I:$I,'11月数据源'!$D:$D,$E73,'11月数据源'!$F:$F,"杭州实时查科技有限公司")+SUMIFS('11月数据源'!$J:$J,'11月数据源'!$D:$D,$E73,'11月数据源'!$F:$F,"杭州实时查科技有限公司")</f>
        <v/>
      </c>
      <c r="Q73" s="89">
        <f>-SUMIFS('12月数据源'!$I:$I,'12月数据源'!$D:$D,$E73,'12月数据源'!$F:$F,"杭州实时查科技有限公司")+SUMIFS('12月数据源'!$J:$J,'12月数据源'!$D:$D,$E73,'12月数据源'!$F:$F,"杭州实时查科技有限公司")</f>
        <v/>
      </c>
    </row>
    <row r="74" s="83">
      <c r="A74" s="5" t="inlineStr">
        <is>
          <t>研发支出</t>
        </is>
      </c>
      <c r="B74" s="6" t="inlineStr">
        <is>
          <t>产品开发-MAX</t>
        </is>
      </c>
      <c r="D74" s="5" t="inlineStr">
        <is>
          <t>模具费用</t>
        </is>
      </c>
      <c r="E74" s="6" t="inlineStr">
        <is>
          <t>Q1205</t>
        </is>
      </c>
      <c r="F74" s="89">
        <f>-SUMIFS('1月数据源'!I:I,'1月数据源'!D:D,E74,'1月数据源'!F:F,"杭州实时查科技有限公司")+SUMIFS('1月数据源'!J:J,'1月数据源'!D:D,E74,'1月数据源'!F:F,"杭州实时查科技有限公司")</f>
        <v/>
      </c>
      <c r="G74" s="89">
        <f>-SUMIFS('2月数据源'!$I:$I,'2月数据源'!$D:$D,$E74,'2月数据源'!$F:$F,"杭州实时查科技有限公司")+SUMIFS('2月数据源'!$J:$J,'2月数据源'!$D:$D,$E74,'2月数据源'!$F:$F,"杭州实时查科技有限公司")</f>
        <v/>
      </c>
      <c r="H74" s="89">
        <f>-SUMIFS('3月数据源'!$I:$I,'3月数据源'!$D:$D,$E74,'3月数据源'!$F:$F,"杭州实时查科技有限公司")+SUMIFS('3月数据源'!$J:$J,'3月数据源'!$D:$D,$E74,'3月数据源'!$F:$F,"杭州实时查科技有限公司")</f>
        <v/>
      </c>
      <c r="I74" s="89">
        <f>-SUMIFS('4月数据源'!$I:$I,'4月数据源'!$D:$D,$E74,'4月数据源'!$F:$F,"杭州实时查科技有限公司")+SUMIFS('4月数据源'!$J:$J,'4月数据源'!$D:$D,$E74,'4月数据源'!$F:$F,"杭州实时查科技有限公司")</f>
        <v/>
      </c>
      <c r="J74" s="89">
        <f>-SUMIFS('5月数据源'!$I:$I,'5月数据源'!$D:$D,$E74,'5月数据源'!$F:$F,"杭州实时查科技有限公司")+SUMIFS('5月数据源'!$J:$J,'5月数据源'!$D:$D,$E74,'5月数据源'!$F:$F,"杭州实时查科技有限公司")</f>
        <v/>
      </c>
      <c r="K74" s="89">
        <f>-SUMIFS('6月数据源'!$I:$I,'6月数据源'!$D:$D,$E74,'6月数据源'!$F:$F,"杭州实时查科技有限公司")+SUMIFS('6月数据源'!$J:$J,'6月数据源'!$D:$D,$E74,'6月数据源'!$F:$F,"杭州实时查科技有限公司")</f>
        <v/>
      </c>
      <c r="L74" s="89">
        <f>-SUMIFS('7月数据源'!$I:$I,'7月数据源'!$D:$D,$E74,'7月数据源'!$F:$F,"杭州实时查科技有限公司")+SUMIFS('7月数据源'!$J:$J,'7月数据源'!$D:$D,$E74,'7月数据源'!$F:$F,"杭州实时查科技有限公司")</f>
        <v/>
      </c>
      <c r="M74" s="89">
        <f>-SUMIFS('8月数据源'!$I:$I,'8月数据源'!$D:$D,$E74,'8月数据源'!$F:$F,"杭州实时查科技有限公司")+SUMIFS('8月数据源'!$J:$J,'8月数据源'!$D:$D,$E74,'8月数据源'!$F:$F,"杭州实时查科技有限公司")</f>
        <v/>
      </c>
      <c r="N74" s="89">
        <f>-SUMIFS('9月数据源'!$I:$I,'9月数据源'!$D:$D,$E74,'9月数据源'!$F:$F,"杭州实时查科技有限公司")+SUMIFS('9月数据源'!$J:$J,'9月数据源'!$D:$D,$E74,'9月数据源'!$F:$F,"杭州实时查科技有限公司")</f>
        <v/>
      </c>
      <c r="O74" s="89">
        <f>-SUMIFS('10月数据源'!$I:$I,'10月数据源'!$D:$D,$E74,'10月数据源'!$F:$F,"杭州实时查科技有限公司")+SUMIFS('10月数据源'!$J:$J,'10月数据源'!$D:$D,$E74,'10月数据源'!$F:$F,"杭州实时查科技有限公司")</f>
        <v/>
      </c>
      <c r="P74" s="89">
        <f>-SUMIFS('11月数据源'!$I:$I,'11月数据源'!$D:$D,$E74,'11月数据源'!$F:$F,"杭州实时查科技有限公司")+SUMIFS('11月数据源'!$J:$J,'11月数据源'!$D:$D,$E74,'11月数据源'!$F:$F,"杭州实时查科技有限公司")</f>
        <v/>
      </c>
      <c r="Q74" s="89">
        <f>-SUMIFS('12月数据源'!$I:$I,'12月数据源'!$D:$D,$E74,'12月数据源'!$F:$F,"杭州实时查科技有限公司")+SUMIFS('12月数据源'!$J:$J,'12月数据源'!$D:$D,$E74,'12月数据源'!$F:$F,"杭州实时查科技有限公司")</f>
        <v/>
      </c>
    </row>
    <row r="75" s="83">
      <c r="A75" s="5" t="inlineStr">
        <is>
          <t>研发支出</t>
        </is>
      </c>
      <c r="B75" s="6" t="inlineStr">
        <is>
          <t>产品开发-MAX</t>
        </is>
      </c>
      <c r="D75" s="5" t="inlineStr">
        <is>
          <t>TCL研发费</t>
        </is>
      </c>
      <c r="E75" s="6" t="inlineStr">
        <is>
          <t>Q1206</t>
        </is>
      </c>
      <c r="F75" s="89">
        <f>-SUMIFS('1月数据源'!I:I,'1月数据源'!D:D,E75,'1月数据源'!F:F,"杭州实时查科技有限公司")+SUMIFS('1月数据源'!J:J,'1月数据源'!D:D,E75,'1月数据源'!F:F,"杭州实时查科技有限公司")</f>
        <v/>
      </c>
      <c r="G75" s="89">
        <f>-SUMIFS('2月数据源'!$I:$I,'2月数据源'!$D:$D,$E75,'2月数据源'!$F:$F,"杭州实时查科技有限公司")+SUMIFS('2月数据源'!$J:$J,'2月数据源'!$D:$D,$E75,'2月数据源'!$F:$F,"杭州实时查科技有限公司")</f>
        <v/>
      </c>
      <c r="H75" s="89">
        <f>-SUMIFS('3月数据源'!$I:$I,'3月数据源'!$D:$D,$E75,'3月数据源'!$F:$F,"杭州实时查科技有限公司")+SUMIFS('3月数据源'!$J:$J,'3月数据源'!$D:$D,$E75,'3月数据源'!$F:$F,"杭州实时查科技有限公司")</f>
        <v/>
      </c>
      <c r="I75" s="89">
        <f>-SUMIFS('4月数据源'!$I:$I,'4月数据源'!$D:$D,$E75,'4月数据源'!$F:$F,"杭州实时查科技有限公司")+SUMIFS('4月数据源'!$J:$J,'4月数据源'!$D:$D,$E75,'4月数据源'!$F:$F,"杭州实时查科技有限公司")</f>
        <v/>
      </c>
      <c r="J75" s="89">
        <f>-SUMIFS('5月数据源'!$I:$I,'5月数据源'!$D:$D,$E75,'5月数据源'!$F:$F,"杭州实时查科技有限公司")+SUMIFS('5月数据源'!$J:$J,'5月数据源'!$D:$D,$E75,'5月数据源'!$F:$F,"杭州实时查科技有限公司")</f>
        <v/>
      </c>
      <c r="K75" s="89">
        <f>-SUMIFS('6月数据源'!$I:$I,'6月数据源'!$D:$D,$E75,'6月数据源'!$F:$F,"杭州实时查科技有限公司")+SUMIFS('6月数据源'!$J:$J,'6月数据源'!$D:$D,$E75,'6月数据源'!$F:$F,"杭州实时查科技有限公司")</f>
        <v/>
      </c>
      <c r="L75" s="89">
        <f>-SUMIFS('7月数据源'!$I:$I,'7月数据源'!$D:$D,$E75,'7月数据源'!$F:$F,"杭州实时查科技有限公司")+SUMIFS('7月数据源'!$J:$J,'7月数据源'!$D:$D,$E75,'7月数据源'!$F:$F,"杭州实时查科技有限公司")</f>
        <v/>
      </c>
      <c r="M75" s="89">
        <f>-SUMIFS('8月数据源'!$I:$I,'8月数据源'!$D:$D,$E75,'8月数据源'!$F:$F,"杭州实时查科技有限公司")+SUMIFS('8月数据源'!$J:$J,'8月数据源'!$D:$D,$E75,'8月数据源'!$F:$F,"杭州实时查科技有限公司")</f>
        <v/>
      </c>
      <c r="N75" s="89">
        <f>-SUMIFS('9月数据源'!$I:$I,'9月数据源'!$D:$D,$E75,'9月数据源'!$F:$F,"杭州实时查科技有限公司")+SUMIFS('9月数据源'!$J:$J,'9月数据源'!$D:$D,$E75,'9月数据源'!$F:$F,"杭州实时查科技有限公司")</f>
        <v/>
      </c>
      <c r="O75" s="89">
        <f>-SUMIFS('10月数据源'!$I:$I,'10月数据源'!$D:$D,$E75,'10月数据源'!$F:$F,"杭州实时查科技有限公司")+SUMIFS('10月数据源'!$J:$J,'10月数据源'!$D:$D,$E75,'10月数据源'!$F:$F,"杭州实时查科技有限公司")</f>
        <v/>
      </c>
      <c r="P75" s="89">
        <f>-SUMIFS('11月数据源'!$I:$I,'11月数据源'!$D:$D,$E75,'11月数据源'!$F:$F,"杭州实时查科技有限公司")+SUMIFS('11月数据源'!$J:$J,'11月数据源'!$D:$D,$E75,'11月数据源'!$F:$F,"杭州实时查科技有限公司")</f>
        <v/>
      </c>
      <c r="Q75" s="89">
        <f>-SUMIFS('12月数据源'!$I:$I,'12月数据源'!$D:$D,$E75,'12月数据源'!$F:$F,"杭州实时查科技有限公司")+SUMIFS('12月数据源'!$J:$J,'12月数据源'!$D:$D,$E75,'12月数据源'!$F:$F,"杭州实时查科技有限公司")</f>
        <v/>
      </c>
    </row>
    <row r="76" s="83">
      <c r="A76" s="5" t="inlineStr">
        <is>
          <t>研发支出</t>
        </is>
      </c>
      <c r="B76" s="6" t="inlineStr">
        <is>
          <t>产品开发-MAX</t>
        </is>
      </c>
      <c r="D76" s="5" t="inlineStr">
        <is>
          <t>唤醒功能开发</t>
        </is>
      </c>
      <c r="E76" s="6" t="inlineStr">
        <is>
          <t>Q1207</t>
        </is>
      </c>
      <c r="F76" s="89">
        <f>-SUMIFS('1月数据源'!I:I,'1月数据源'!D:D,E76,'1月数据源'!F:F,"杭州实时查科技有限公司")+SUMIFS('1月数据源'!J:J,'1月数据源'!D:D,E76,'1月数据源'!F:F,"杭州实时查科技有限公司")</f>
        <v/>
      </c>
      <c r="G76" s="89">
        <f>-SUMIFS('2月数据源'!$I:$I,'2月数据源'!$D:$D,$E76,'2月数据源'!$F:$F,"杭州实时查科技有限公司")+SUMIFS('2月数据源'!$J:$J,'2月数据源'!$D:$D,$E76,'2月数据源'!$F:$F,"杭州实时查科技有限公司")</f>
        <v/>
      </c>
      <c r="H76" s="89">
        <f>-SUMIFS('3月数据源'!$I:$I,'3月数据源'!$D:$D,$E76,'3月数据源'!$F:$F,"杭州实时查科技有限公司")+SUMIFS('3月数据源'!$J:$J,'3月数据源'!$D:$D,$E76,'3月数据源'!$F:$F,"杭州实时查科技有限公司")</f>
        <v/>
      </c>
      <c r="I76" s="89">
        <f>-SUMIFS('4月数据源'!$I:$I,'4月数据源'!$D:$D,$E76,'4月数据源'!$F:$F,"杭州实时查科技有限公司")+SUMIFS('4月数据源'!$J:$J,'4月数据源'!$D:$D,$E76,'4月数据源'!$F:$F,"杭州实时查科技有限公司")</f>
        <v/>
      </c>
      <c r="J76" s="89">
        <f>-SUMIFS('5月数据源'!$I:$I,'5月数据源'!$D:$D,$E76,'5月数据源'!$F:$F,"杭州实时查科技有限公司")+SUMIFS('5月数据源'!$J:$J,'5月数据源'!$D:$D,$E76,'5月数据源'!$F:$F,"杭州实时查科技有限公司")</f>
        <v/>
      </c>
      <c r="K76" s="89">
        <f>-SUMIFS('6月数据源'!$I:$I,'6月数据源'!$D:$D,$E76,'6月数据源'!$F:$F,"杭州实时查科技有限公司")+SUMIFS('6月数据源'!$J:$J,'6月数据源'!$D:$D,$E76,'6月数据源'!$F:$F,"杭州实时查科技有限公司")</f>
        <v/>
      </c>
      <c r="L76" s="89">
        <f>-SUMIFS('7月数据源'!$I:$I,'7月数据源'!$D:$D,$E76,'7月数据源'!$F:$F,"杭州实时查科技有限公司")+SUMIFS('7月数据源'!$J:$J,'7月数据源'!$D:$D,$E76,'7月数据源'!$F:$F,"杭州实时查科技有限公司")</f>
        <v/>
      </c>
      <c r="M76" s="89">
        <f>-SUMIFS('8月数据源'!$I:$I,'8月数据源'!$D:$D,$E76,'8月数据源'!$F:$F,"杭州实时查科技有限公司")+SUMIFS('8月数据源'!$J:$J,'8月数据源'!$D:$D,$E76,'8月数据源'!$F:$F,"杭州实时查科技有限公司")</f>
        <v/>
      </c>
      <c r="N76" s="89">
        <f>-SUMIFS('9月数据源'!$I:$I,'9月数据源'!$D:$D,$E76,'9月数据源'!$F:$F,"杭州实时查科技有限公司")+SUMIFS('9月数据源'!$J:$J,'9月数据源'!$D:$D,$E76,'9月数据源'!$F:$F,"杭州实时查科技有限公司")</f>
        <v/>
      </c>
      <c r="O76" s="89">
        <f>-SUMIFS('10月数据源'!$I:$I,'10月数据源'!$D:$D,$E76,'10月数据源'!$F:$F,"杭州实时查科技有限公司")+SUMIFS('10月数据源'!$J:$J,'10月数据源'!$D:$D,$E76,'10月数据源'!$F:$F,"杭州实时查科技有限公司")</f>
        <v/>
      </c>
      <c r="P76" s="89">
        <f>-SUMIFS('11月数据源'!$I:$I,'11月数据源'!$D:$D,$E76,'11月数据源'!$F:$F,"杭州实时查科技有限公司")+SUMIFS('11月数据源'!$J:$J,'11月数据源'!$D:$D,$E76,'11月数据源'!$F:$F,"杭州实时查科技有限公司")</f>
        <v/>
      </c>
      <c r="Q76" s="89">
        <f>-SUMIFS('12月数据源'!$I:$I,'12月数据源'!$D:$D,$E76,'12月数据源'!$F:$F,"杭州实时查科技有限公司")+SUMIFS('12月数据源'!$J:$J,'12月数据源'!$D:$D,$E76,'12月数据源'!$F:$F,"杭州实时查科技有限公司")</f>
        <v/>
      </c>
    </row>
    <row r="77" s="83">
      <c r="A77" s="5" t="inlineStr">
        <is>
          <t>研发支出</t>
        </is>
      </c>
      <c r="B77" s="6" t="inlineStr">
        <is>
          <t>产品开发-MAX</t>
        </is>
      </c>
      <c r="D77" s="5" t="inlineStr">
        <is>
          <t>题库费</t>
        </is>
      </c>
      <c r="E77" s="6" t="inlineStr">
        <is>
          <t>Q1208</t>
        </is>
      </c>
      <c r="F77" s="89">
        <f>-SUMIFS('1月数据源'!I:I,'1月数据源'!D:D,E77,'1月数据源'!F:F,"杭州实时查科技有限公司")+SUMIFS('1月数据源'!J:J,'1月数据源'!D:D,E77,'1月数据源'!F:F,"杭州实时查科技有限公司")</f>
        <v/>
      </c>
      <c r="G77" s="89">
        <f>-SUMIFS('2月数据源'!$I:$I,'2月数据源'!$D:$D,$E77,'2月数据源'!$F:$F,"杭州实时查科技有限公司")+SUMIFS('2月数据源'!$J:$J,'2月数据源'!$D:$D,$E77,'2月数据源'!$F:$F,"杭州实时查科技有限公司")</f>
        <v/>
      </c>
      <c r="H77" s="89">
        <f>-SUMIFS('3月数据源'!$I:$I,'3月数据源'!$D:$D,$E77,'3月数据源'!$F:$F,"杭州实时查科技有限公司")+SUMIFS('3月数据源'!$J:$J,'3月数据源'!$D:$D,$E77,'3月数据源'!$F:$F,"杭州实时查科技有限公司")</f>
        <v/>
      </c>
      <c r="I77" s="89">
        <f>-SUMIFS('4月数据源'!$I:$I,'4月数据源'!$D:$D,$E77,'4月数据源'!$F:$F,"杭州实时查科技有限公司")+SUMIFS('4月数据源'!$J:$J,'4月数据源'!$D:$D,$E77,'4月数据源'!$F:$F,"杭州实时查科技有限公司")</f>
        <v/>
      </c>
      <c r="J77" s="89">
        <f>-SUMIFS('5月数据源'!$I:$I,'5月数据源'!$D:$D,$E77,'5月数据源'!$F:$F,"杭州实时查科技有限公司")+SUMIFS('5月数据源'!$J:$J,'5月数据源'!$D:$D,$E77,'5月数据源'!$F:$F,"杭州实时查科技有限公司")</f>
        <v/>
      </c>
      <c r="K77" s="89">
        <f>-SUMIFS('6月数据源'!$I:$I,'6月数据源'!$D:$D,$E77,'6月数据源'!$F:$F,"杭州实时查科技有限公司")+SUMIFS('6月数据源'!$J:$J,'6月数据源'!$D:$D,$E77,'6月数据源'!$F:$F,"杭州实时查科技有限公司")</f>
        <v/>
      </c>
      <c r="L77" s="89">
        <f>-SUMIFS('7月数据源'!$I:$I,'7月数据源'!$D:$D,$E77,'7月数据源'!$F:$F,"杭州实时查科技有限公司")+SUMIFS('7月数据源'!$J:$J,'7月数据源'!$D:$D,$E77,'7月数据源'!$F:$F,"杭州实时查科技有限公司")</f>
        <v/>
      </c>
      <c r="M77" s="89">
        <f>-SUMIFS('8月数据源'!$I:$I,'8月数据源'!$D:$D,$E77,'8月数据源'!$F:$F,"杭州实时查科技有限公司")+SUMIFS('8月数据源'!$J:$J,'8月数据源'!$D:$D,$E77,'8月数据源'!$F:$F,"杭州实时查科技有限公司")</f>
        <v/>
      </c>
      <c r="N77" s="89">
        <f>-SUMIFS('9月数据源'!$I:$I,'9月数据源'!$D:$D,$E77,'9月数据源'!$F:$F,"杭州实时查科技有限公司")+SUMIFS('9月数据源'!$J:$J,'9月数据源'!$D:$D,$E77,'9月数据源'!$F:$F,"杭州实时查科技有限公司")</f>
        <v/>
      </c>
      <c r="O77" s="89">
        <f>-SUMIFS('10月数据源'!$I:$I,'10月数据源'!$D:$D,$E77,'10月数据源'!$F:$F,"杭州实时查科技有限公司")+SUMIFS('10月数据源'!$J:$J,'10月数据源'!$D:$D,$E77,'10月数据源'!$F:$F,"杭州实时查科技有限公司")</f>
        <v/>
      </c>
      <c r="P77" s="89">
        <f>-SUMIFS('11月数据源'!$I:$I,'11月数据源'!$D:$D,$E77,'11月数据源'!$F:$F,"杭州实时查科技有限公司")+SUMIFS('11月数据源'!$J:$J,'11月数据源'!$D:$D,$E77,'11月数据源'!$F:$F,"杭州实时查科技有限公司")</f>
        <v/>
      </c>
      <c r="Q77" s="89">
        <f>-SUMIFS('12月数据源'!$I:$I,'12月数据源'!$D:$D,$E77,'12月数据源'!$F:$F,"杭州实时查科技有限公司")+SUMIFS('12月数据源'!$J:$J,'12月数据源'!$D:$D,$E77,'12月数据源'!$F:$F,"杭州实时查科技有限公司")</f>
        <v/>
      </c>
    </row>
    <row r="78" s="83">
      <c r="A78" s="5" t="inlineStr">
        <is>
          <t>研发支出</t>
        </is>
      </c>
      <c r="B78" s="6" t="inlineStr">
        <is>
          <t>产品开发-PRO</t>
        </is>
      </c>
      <c r="C78" s="6" t="inlineStr">
        <is>
          <t>产品开发-PRO</t>
        </is>
      </c>
      <c r="D78" s="5" t="inlineStr">
        <is>
          <t>检测费</t>
        </is>
      </c>
      <c r="E78" s="6" t="inlineStr">
        <is>
          <t>Q1301</t>
        </is>
      </c>
      <c r="F78" s="89">
        <f>-SUMIFS('1月数据源'!I:I,'1月数据源'!D:D,E78,'1月数据源'!F:F,"杭州实时查科技有限公司")+SUMIFS('1月数据源'!J:J,'1月数据源'!D:D,E78,'1月数据源'!F:F,"杭州实时查科技有限公司")</f>
        <v/>
      </c>
      <c r="G78" s="89">
        <f>-SUMIFS('2月数据源'!$I:$I,'2月数据源'!$D:$D,$E78,'2月数据源'!$F:$F,"杭州实时查科技有限公司")+SUMIFS('2月数据源'!$J:$J,'2月数据源'!$D:$D,$E78,'2月数据源'!$F:$F,"杭州实时查科技有限公司")</f>
        <v/>
      </c>
      <c r="H78" s="89">
        <f>-SUMIFS('3月数据源'!$I:$I,'3月数据源'!$D:$D,$E78,'3月数据源'!$F:$F,"杭州实时查科技有限公司")+SUMIFS('3月数据源'!$J:$J,'3月数据源'!$D:$D,$E78,'3月数据源'!$F:$F,"杭州实时查科技有限公司")</f>
        <v/>
      </c>
      <c r="I78" s="89">
        <f>-SUMIFS('4月数据源'!$I:$I,'4月数据源'!$D:$D,$E78,'4月数据源'!$F:$F,"杭州实时查科技有限公司")+SUMIFS('4月数据源'!$J:$J,'4月数据源'!$D:$D,$E78,'4月数据源'!$F:$F,"杭州实时查科技有限公司")</f>
        <v/>
      </c>
      <c r="J78" s="89">
        <f>-SUMIFS('5月数据源'!$I:$I,'5月数据源'!$D:$D,$E78,'5月数据源'!$F:$F,"杭州实时查科技有限公司")+SUMIFS('5月数据源'!$J:$J,'5月数据源'!$D:$D,$E78,'5月数据源'!$F:$F,"杭州实时查科技有限公司")</f>
        <v/>
      </c>
      <c r="K78" s="89">
        <f>-SUMIFS('6月数据源'!$I:$I,'6月数据源'!$D:$D,$E78,'6月数据源'!$F:$F,"杭州实时查科技有限公司")+SUMIFS('6月数据源'!$J:$J,'6月数据源'!$D:$D,$E78,'6月数据源'!$F:$F,"杭州实时查科技有限公司")</f>
        <v/>
      </c>
      <c r="L78" s="89">
        <f>-SUMIFS('7月数据源'!$I:$I,'7月数据源'!$D:$D,$E78,'7月数据源'!$F:$F,"杭州实时查科技有限公司")+SUMIFS('7月数据源'!$J:$J,'7月数据源'!$D:$D,$E78,'7月数据源'!$F:$F,"杭州实时查科技有限公司")</f>
        <v/>
      </c>
      <c r="M78" s="89">
        <f>-SUMIFS('8月数据源'!$I:$I,'8月数据源'!$D:$D,$E78,'8月数据源'!$F:$F,"杭州实时查科技有限公司")+SUMIFS('8月数据源'!$J:$J,'8月数据源'!$D:$D,$E78,'8月数据源'!$F:$F,"杭州实时查科技有限公司")</f>
        <v/>
      </c>
      <c r="N78" s="89">
        <f>-SUMIFS('9月数据源'!$I:$I,'9月数据源'!$D:$D,$E78,'9月数据源'!$F:$F,"杭州实时查科技有限公司")+SUMIFS('9月数据源'!$J:$J,'9月数据源'!$D:$D,$E78,'9月数据源'!$F:$F,"杭州实时查科技有限公司")</f>
        <v/>
      </c>
      <c r="O78" s="89">
        <f>-SUMIFS('10月数据源'!$I:$I,'10月数据源'!$D:$D,$E78,'10月数据源'!$F:$F,"杭州实时查科技有限公司")+SUMIFS('10月数据源'!$J:$J,'10月数据源'!$D:$D,$E78,'10月数据源'!$F:$F,"杭州实时查科技有限公司")</f>
        <v/>
      </c>
      <c r="P78" s="89">
        <f>-SUMIFS('11月数据源'!$I:$I,'11月数据源'!$D:$D,$E78,'11月数据源'!$F:$F,"杭州实时查科技有限公司")+SUMIFS('11月数据源'!$J:$J,'11月数据源'!$D:$D,$E78,'11月数据源'!$F:$F,"杭州实时查科技有限公司")</f>
        <v/>
      </c>
      <c r="Q78" s="89">
        <f>-SUMIFS('12月数据源'!$I:$I,'12月数据源'!$D:$D,$E78,'12月数据源'!$F:$F,"杭州实时查科技有限公司")+SUMIFS('12月数据源'!$J:$J,'12月数据源'!$D:$D,$E78,'12月数据源'!$F:$F,"杭州实时查科技有限公司")</f>
        <v/>
      </c>
    </row>
    <row r="79" s="83">
      <c r="A79" s="5" t="inlineStr">
        <is>
          <t>研发支出</t>
        </is>
      </c>
      <c r="B79" s="6" t="inlineStr">
        <is>
          <t>产品开发-PRO</t>
        </is>
      </c>
      <c r="D79" s="5" t="inlineStr">
        <is>
          <t>认证费</t>
        </is>
      </c>
      <c r="E79" s="6" t="inlineStr">
        <is>
          <t>Q1302</t>
        </is>
      </c>
      <c r="F79" s="89">
        <f>-SUMIFS('1月数据源'!I:I,'1月数据源'!D:D,E79,'1月数据源'!F:F,"杭州实时查科技有限公司")+SUMIFS('1月数据源'!J:J,'1月数据源'!D:D,E79,'1月数据源'!F:F,"杭州实时查科技有限公司")</f>
        <v/>
      </c>
      <c r="G79" s="89">
        <f>-SUMIFS('2月数据源'!$I:$I,'2月数据源'!$D:$D,$E79,'2月数据源'!$F:$F,"杭州实时查科技有限公司")+SUMIFS('2月数据源'!$J:$J,'2月数据源'!$D:$D,$E79,'2月数据源'!$F:$F,"杭州实时查科技有限公司")</f>
        <v/>
      </c>
      <c r="H79" s="89">
        <f>-SUMIFS('3月数据源'!$I:$I,'3月数据源'!$D:$D,$E79,'3月数据源'!$F:$F,"杭州实时查科技有限公司")+SUMIFS('3月数据源'!$J:$J,'3月数据源'!$D:$D,$E79,'3月数据源'!$F:$F,"杭州实时查科技有限公司")</f>
        <v/>
      </c>
      <c r="I79" s="89">
        <f>-SUMIFS('4月数据源'!$I:$I,'4月数据源'!$D:$D,$E79,'4月数据源'!$F:$F,"杭州实时查科技有限公司")+SUMIFS('4月数据源'!$J:$J,'4月数据源'!$D:$D,$E79,'4月数据源'!$F:$F,"杭州实时查科技有限公司")</f>
        <v/>
      </c>
      <c r="J79" s="89">
        <f>-SUMIFS('5月数据源'!$I:$I,'5月数据源'!$D:$D,$E79,'5月数据源'!$F:$F,"杭州实时查科技有限公司")+SUMIFS('5月数据源'!$J:$J,'5月数据源'!$D:$D,$E79,'5月数据源'!$F:$F,"杭州实时查科技有限公司")</f>
        <v/>
      </c>
      <c r="K79" s="89">
        <f>-SUMIFS('6月数据源'!$I:$I,'6月数据源'!$D:$D,$E79,'6月数据源'!$F:$F,"杭州实时查科技有限公司")+SUMIFS('6月数据源'!$J:$J,'6月数据源'!$D:$D,$E79,'6月数据源'!$F:$F,"杭州实时查科技有限公司")</f>
        <v/>
      </c>
      <c r="L79" s="89">
        <f>-SUMIFS('7月数据源'!$I:$I,'7月数据源'!$D:$D,$E79,'7月数据源'!$F:$F,"杭州实时查科技有限公司")+SUMIFS('7月数据源'!$J:$J,'7月数据源'!$D:$D,$E79,'7月数据源'!$F:$F,"杭州实时查科技有限公司")</f>
        <v/>
      </c>
      <c r="M79" s="89">
        <f>-SUMIFS('8月数据源'!$I:$I,'8月数据源'!$D:$D,$E79,'8月数据源'!$F:$F,"杭州实时查科技有限公司")+SUMIFS('8月数据源'!$J:$J,'8月数据源'!$D:$D,$E79,'8月数据源'!$F:$F,"杭州实时查科技有限公司")</f>
        <v/>
      </c>
      <c r="N79" s="89">
        <f>-SUMIFS('9月数据源'!$I:$I,'9月数据源'!$D:$D,$E79,'9月数据源'!$F:$F,"杭州实时查科技有限公司")+SUMIFS('9月数据源'!$J:$J,'9月数据源'!$D:$D,$E79,'9月数据源'!$F:$F,"杭州实时查科技有限公司")</f>
        <v/>
      </c>
      <c r="O79" s="89">
        <f>-SUMIFS('10月数据源'!$I:$I,'10月数据源'!$D:$D,$E79,'10月数据源'!$F:$F,"杭州实时查科技有限公司")+SUMIFS('10月数据源'!$J:$J,'10月数据源'!$D:$D,$E79,'10月数据源'!$F:$F,"杭州实时查科技有限公司")</f>
        <v/>
      </c>
      <c r="P79" s="89">
        <f>-SUMIFS('11月数据源'!$I:$I,'11月数据源'!$D:$D,$E79,'11月数据源'!$F:$F,"杭州实时查科技有限公司")+SUMIFS('11月数据源'!$J:$J,'11月数据源'!$D:$D,$E79,'11月数据源'!$F:$F,"杭州实时查科技有限公司")</f>
        <v/>
      </c>
      <c r="Q79" s="89">
        <f>-SUMIFS('12月数据源'!$I:$I,'12月数据源'!$D:$D,$E79,'12月数据源'!$F:$F,"杭州实时查科技有限公司")+SUMIFS('12月数据源'!$J:$J,'12月数据源'!$D:$D,$E79,'12月数据源'!$F:$F,"杭州实时查科技有限公司")</f>
        <v/>
      </c>
    </row>
    <row r="80" s="83">
      <c r="A80" s="5" t="inlineStr">
        <is>
          <t>研发支出</t>
        </is>
      </c>
      <c r="B80" s="6" t="inlineStr">
        <is>
          <t>产品开发-PRO</t>
        </is>
      </c>
      <c r="D80" s="5" t="inlineStr">
        <is>
          <t>设计费</t>
        </is>
      </c>
      <c r="E80" s="6" t="inlineStr">
        <is>
          <t>Q1303</t>
        </is>
      </c>
      <c r="F80" s="89">
        <f>-SUMIFS('1月数据源'!I:I,'1月数据源'!D:D,E80,'1月数据源'!F:F,"杭州实时查科技有限公司")+SUMIFS('1月数据源'!J:J,'1月数据源'!D:D,E80,'1月数据源'!F:F,"杭州实时查科技有限公司")</f>
        <v/>
      </c>
      <c r="G80" s="89">
        <f>-SUMIFS('2月数据源'!$I:$I,'2月数据源'!$D:$D,$E80,'2月数据源'!$F:$F,"杭州实时查科技有限公司")+SUMIFS('2月数据源'!$J:$J,'2月数据源'!$D:$D,$E80,'2月数据源'!$F:$F,"杭州实时查科技有限公司")</f>
        <v/>
      </c>
      <c r="H80" s="89">
        <f>-SUMIFS('3月数据源'!$I:$I,'3月数据源'!$D:$D,$E80,'3月数据源'!$F:$F,"杭州实时查科技有限公司")+SUMIFS('3月数据源'!$J:$J,'3月数据源'!$D:$D,$E80,'3月数据源'!$F:$F,"杭州实时查科技有限公司")</f>
        <v/>
      </c>
      <c r="I80" s="89">
        <f>-SUMIFS('4月数据源'!$I:$I,'4月数据源'!$D:$D,$E80,'4月数据源'!$F:$F,"杭州实时查科技有限公司")+SUMIFS('4月数据源'!$J:$J,'4月数据源'!$D:$D,$E80,'4月数据源'!$F:$F,"杭州实时查科技有限公司")</f>
        <v/>
      </c>
      <c r="J80" s="89">
        <f>-SUMIFS('5月数据源'!$I:$I,'5月数据源'!$D:$D,$E80,'5月数据源'!$F:$F,"杭州实时查科技有限公司")+SUMIFS('5月数据源'!$J:$J,'5月数据源'!$D:$D,$E80,'5月数据源'!$F:$F,"杭州实时查科技有限公司")</f>
        <v/>
      </c>
      <c r="K80" s="89">
        <f>-SUMIFS('6月数据源'!$I:$I,'6月数据源'!$D:$D,$E80,'6月数据源'!$F:$F,"杭州实时查科技有限公司")+SUMIFS('6月数据源'!$J:$J,'6月数据源'!$D:$D,$E80,'6月数据源'!$F:$F,"杭州实时查科技有限公司")</f>
        <v/>
      </c>
      <c r="L80" s="89">
        <f>-SUMIFS('7月数据源'!$I:$I,'7月数据源'!$D:$D,$E80,'7月数据源'!$F:$F,"杭州实时查科技有限公司")+SUMIFS('7月数据源'!$J:$J,'7月数据源'!$D:$D,$E80,'7月数据源'!$F:$F,"杭州实时查科技有限公司")</f>
        <v/>
      </c>
      <c r="M80" s="89">
        <f>-SUMIFS('8月数据源'!$I:$I,'8月数据源'!$D:$D,$E80,'8月数据源'!$F:$F,"杭州实时查科技有限公司")+SUMIFS('8月数据源'!$J:$J,'8月数据源'!$D:$D,$E80,'8月数据源'!$F:$F,"杭州实时查科技有限公司")</f>
        <v/>
      </c>
      <c r="N80" s="89">
        <f>-SUMIFS('9月数据源'!$I:$I,'9月数据源'!$D:$D,$E80,'9月数据源'!$F:$F,"杭州实时查科技有限公司")+SUMIFS('9月数据源'!$J:$J,'9月数据源'!$D:$D,$E80,'9月数据源'!$F:$F,"杭州实时查科技有限公司")</f>
        <v/>
      </c>
      <c r="O80" s="89">
        <f>-SUMIFS('10月数据源'!$I:$I,'10月数据源'!$D:$D,$E80,'10月数据源'!$F:$F,"杭州实时查科技有限公司")+SUMIFS('10月数据源'!$J:$J,'10月数据源'!$D:$D,$E80,'10月数据源'!$F:$F,"杭州实时查科技有限公司")</f>
        <v/>
      </c>
      <c r="P80" s="89">
        <f>-SUMIFS('11月数据源'!$I:$I,'11月数据源'!$D:$D,$E80,'11月数据源'!$F:$F,"杭州实时查科技有限公司")+SUMIFS('11月数据源'!$J:$J,'11月数据源'!$D:$D,$E80,'11月数据源'!$F:$F,"杭州实时查科技有限公司")</f>
        <v/>
      </c>
      <c r="Q80" s="89">
        <f>-SUMIFS('12月数据源'!$I:$I,'12月数据源'!$D:$D,$E80,'12月数据源'!$F:$F,"杭州实时查科技有限公司")+SUMIFS('12月数据源'!$J:$J,'12月数据源'!$D:$D,$E80,'12月数据源'!$F:$F,"杭州实时查科技有限公司")</f>
        <v/>
      </c>
    </row>
    <row r="81" s="83">
      <c r="A81" s="5" t="inlineStr">
        <is>
          <t>研发支出</t>
        </is>
      </c>
      <c r="B81" s="6" t="inlineStr">
        <is>
          <t>产品开发-PRO</t>
        </is>
      </c>
      <c r="D81" s="5" t="inlineStr">
        <is>
          <t>OTA费用</t>
        </is>
      </c>
      <c r="E81" s="6" t="inlineStr">
        <is>
          <t>Q1304</t>
        </is>
      </c>
      <c r="F81" s="89">
        <f>-SUMIFS('1月数据源'!I:I,'1月数据源'!D:D,E81,'1月数据源'!F:F,"杭州实时查科技有限公司")+SUMIFS('1月数据源'!J:J,'1月数据源'!D:D,E81,'1月数据源'!F:F,"杭州实时查科技有限公司")</f>
        <v/>
      </c>
      <c r="G81" s="89">
        <f>-SUMIFS('2月数据源'!$I:$I,'2月数据源'!$D:$D,$E81,'2月数据源'!$F:$F,"杭州实时查科技有限公司")+SUMIFS('2月数据源'!$J:$J,'2月数据源'!$D:$D,$E81,'2月数据源'!$F:$F,"杭州实时查科技有限公司")</f>
        <v/>
      </c>
      <c r="H81" s="89">
        <f>-SUMIFS('3月数据源'!$I:$I,'3月数据源'!$D:$D,$E81,'3月数据源'!$F:$F,"杭州实时查科技有限公司")+SUMIFS('3月数据源'!$J:$J,'3月数据源'!$D:$D,$E81,'3月数据源'!$F:$F,"杭州实时查科技有限公司")</f>
        <v/>
      </c>
      <c r="I81" s="89">
        <f>-SUMIFS('4月数据源'!$I:$I,'4月数据源'!$D:$D,$E81,'4月数据源'!$F:$F,"杭州实时查科技有限公司")+SUMIFS('4月数据源'!$J:$J,'4月数据源'!$D:$D,$E81,'4月数据源'!$F:$F,"杭州实时查科技有限公司")</f>
        <v/>
      </c>
      <c r="J81" s="89">
        <f>-SUMIFS('5月数据源'!$I:$I,'5月数据源'!$D:$D,$E81,'5月数据源'!$F:$F,"杭州实时查科技有限公司")+SUMIFS('5月数据源'!$J:$J,'5月数据源'!$D:$D,$E81,'5月数据源'!$F:$F,"杭州实时查科技有限公司")</f>
        <v/>
      </c>
      <c r="K81" s="89">
        <f>-SUMIFS('6月数据源'!$I:$I,'6月数据源'!$D:$D,$E81,'6月数据源'!$F:$F,"杭州实时查科技有限公司")+SUMIFS('6月数据源'!$J:$J,'6月数据源'!$D:$D,$E81,'6月数据源'!$F:$F,"杭州实时查科技有限公司")</f>
        <v/>
      </c>
      <c r="L81" s="89">
        <f>-SUMIFS('7月数据源'!$I:$I,'7月数据源'!$D:$D,$E81,'7月数据源'!$F:$F,"杭州实时查科技有限公司")+SUMIFS('7月数据源'!$J:$J,'7月数据源'!$D:$D,$E81,'7月数据源'!$F:$F,"杭州实时查科技有限公司")</f>
        <v/>
      </c>
      <c r="M81" s="89">
        <f>-SUMIFS('8月数据源'!$I:$I,'8月数据源'!$D:$D,$E81,'8月数据源'!$F:$F,"杭州实时查科技有限公司")+SUMIFS('8月数据源'!$J:$J,'8月数据源'!$D:$D,$E81,'8月数据源'!$F:$F,"杭州实时查科技有限公司")</f>
        <v/>
      </c>
      <c r="N81" s="89">
        <f>-SUMIFS('9月数据源'!$I:$I,'9月数据源'!$D:$D,$E81,'9月数据源'!$F:$F,"杭州实时查科技有限公司")+SUMIFS('9月数据源'!$J:$J,'9月数据源'!$D:$D,$E81,'9月数据源'!$F:$F,"杭州实时查科技有限公司")</f>
        <v/>
      </c>
      <c r="O81" s="89">
        <f>-SUMIFS('10月数据源'!$I:$I,'10月数据源'!$D:$D,$E81,'10月数据源'!$F:$F,"杭州实时查科技有限公司")+SUMIFS('10月数据源'!$J:$J,'10月数据源'!$D:$D,$E81,'10月数据源'!$F:$F,"杭州实时查科技有限公司")</f>
        <v/>
      </c>
      <c r="P81" s="89">
        <f>-SUMIFS('11月数据源'!$I:$I,'11月数据源'!$D:$D,$E81,'11月数据源'!$F:$F,"杭州实时查科技有限公司")+SUMIFS('11月数据源'!$J:$J,'11月数据源'!$D:$D,$E81,'11月数据源'!$F:$F,"杭州实时查科技有限公司")</f>
        <v/>
      </c>
      <c r="Q81" s="89">
        <f>-SUMIFS('12月数据源'!$I:$I,'12月数据源'!$D:$D,$E81,'12月数据源'!$F:$F,"杭州实时查科技有限公司")+SUMIFS('12月数据源'!$J:$J,'12月数据源'!$D:$D,$E81,'12月数据源'!$F:$F,"杭州实时查科技有限公司")</f>
        <v/>
      </c>
    </row>
    <row r="82" s="83">
      <c r="A82" s="5" t="inlineStr">
        <is>
          <t>研发支出</t>
        </is>
      </c>
      <c r="B82" s="6" t="inlineStr">
        <is>
          <t>产品开发-PRO</t>
        </is>
      </c>
      <c r="D82" s="5" t="inlineStr">
        <is>
          <t>模具费用</t>
        </is>
      </c>
      <c r="E82" s="6" t="inlineStr">
        <is>
          <t>Q1305</t>
        </is>
      </c>
      <c r="F82" s="89">
        <f>-SUMIFS('1月数据源'!I:I,'1月数据源'!D:D,E82,'1月数据源'!F:F,"杭州实时查科技有限公司")+SUMIFS('1月数据源'!J:J,'1月数据源'!D:D,E82,'1月数据源'!F:F,"杭州实时查科技有限公司")</f>
        <v/>
      </c>
      <c r="G82" s="89">
        <f>-SUMIFS('2月数据源'!$I:$I,'2月数据源'!$D:$D,$E82,'2月数据源'!$F:$F,"杭州实时查科技有限公司")+SUMIFS('2月数据源'!$J:$J,'2月数据源'!$D:$D,$E82,'2月数据源'!$F:$F,"杭州实时查科技有限公司")</f>
        <v/>
      </c>
      <c r="H82" s="89">
        <f>-SUMIFS('3月数据源'!$I:$I,'3月数据源'!$D:$D,$E82,'3月数据源'!$F:$F,"杭州实时查科技有限公司")+SUMIFS('3月数据源'!$J:$J,'3月数据源'!$D:$D,$E82,'3月数据源'!$F:$F,"杭州实时查科技有限公司")</f>
        <v/>
      </c>
      <c r="I82" s="89">
        <f>-SUMIFS('4月数据源'!$I:$I,'4月数据源'!$D:$D,$E82,'4月数据源'!$F:$F,"杭州实时查科技有限公司")+SUMIFS('4月数据源'!$J:$J,'4月数据源'!$D:$D,$E82,'4月数据源'!$F:$F,"杭州实时查科技有限公司")</f>
        <v/>
      </c>
      <c r="J82" s="89">
        <f>-SUMIFS('5月数据源'!$I:$I,'5月数据源'!$D:$D,$E82,'5月数据源'!$F:$F,"杭州实时查科技有限公司")+SUMIFS('5月数据源'!$J:$J,'5月数据源'!$D:$D,$E82,'5月数据源'!$F:$F,"杭州实时查科技有限公司")</f>
        <v/>
      </c>
      <c r="K82" s="89">
        <f>-SUMIFS('6月数据源'!$I:$I,'6月数据源'!$D:$D,$E82,'6月数据源'!$F:$F,"杭州实时查科技有限公司")+SUMIFS('6月数据源'!$J:$J,'6月数据源'!$D:$D,$E82,'6月数据源'!$F:$F,"杭州实时查科技有限公司")</f>
        <v/>
      </c>
      <c r="L82" s="89">
        <f>-SUMIFS('7月数据源'!$I:$I,'7月数据源'!$D:$D,$E82,'7月数据源'!$F:$F,"杭州实时查科技有限公司")+SUMIFS('7月数据源'!$J:$J,'7月数据源'!$D:$D,$E82,'7月数据源'!$F:$F,"杭州实时查科技有限公司")</f>
        <v/>
      </c>
      <c r="M82" s="89">
        <f>-SUMIFS('8月数据源'!$I:$I,'8月数据源'!$D:$D,$E82,'8月数据源'!$F:$F,"杭州实时查科技有限公司")+SUMIFS('8月数据源'!$J:$J,'8月数据源'!$D:$D,$E82,'8月数据源'!$F:$F,"杭州实时查科技有限公司")</f>
        <v/>
      </c>
      <c r="N82" s="89">
        <f>-SUMIFS('9月数据源'!$I:$I,'9月数据源'!$D:$D,$E82,'9月数据源'!$F:$F,"杭州实时查科技有限公司")+SUMIFS('9月数据源'!$J:$J,'9月数据源'!$D:$D,$E82,'9月数据源'!$F:$F,"杭州实时查科技有限公司")</f>
        <v/>
      </c>
      <c r="O82" s="89">
        <f>-SUMIFS('10月数据源'!$I:$I,'10月数据源'!$D:$D,$E82,'10月数据源'!$F:$F,"杭州实时查科技有限公司")+SUMIFS('10月数据源'!$J:$J,'10月数据源'!$D:$D,$E82,'10月数据源'!$F:$F,"杭州实时查科技有限公司")</f>
        <v/>
      </c>
      <c r="P82" s="89">
        <f>-SUMIFS('11月数据源'!$I:$I,'11月数据源'!$D:$D,$E82,'11月数据源'!$F:$F,"杭州实时查科技有限公司")+SUMIFS('11月数据源'!$J:$J,'11月数据源'!$D:$D,$E82,'11月数据源'!$F:$F,"杭州实时查科技有限公司")</f>
        <v/>
      </c>
      <c r="Q82" s="89">
        <f>-SUMIFS('12月数据源'!$I:$I,'12月数据源'!$D:$D,$E82,'12月数据源'!$F:$F,"杭州实时查科技有限公司")+SUMIFS('12月数据源'!$J:$J,'12月数据源'!$D:$D,$E82,'12月数据源'!$F:$F,"杭州实时查科技有限公司")</f>
        <v/>
      </c>
    </row>
    <row r="83" s="83">
      <c r="A83" s="5" t="inlineStr">
        <is>
          <t>研发支出</t>
        </is>
      </c>
      <c r="B83" s="6" t="inlineStr">
        <is>
          <t>产品开发-PRO</t>
        </is>
      </c>
      <c r="D83" s="5" t="inlineStr">
        <is>
          <t>BOE研发费</t>
        </is>
      </c>
      <c r="E83" s="6" t="inlineStr">
        <is>
          <t>Q1306</t>
        </is>
      </c>
      <c r="F83" s="89">
        <f>-SUMIFS('1月数据源'!I:I,'1月数据源'!D:D,E83,'1月数据源'!F:F,"杭州实时查科技有限公司")+SUMIFS('1月数据源'!J:J,'1月数据源'!D:D,E83,'1月数据源'!F:F,"杭州实时查科技有限公司")</f>
        <v/>
      </c>
      <c r="G83" s="89">
        <f>-SUMIFS('2月数据源'!$I:$I,'2月数据源'!$D:$D,$E83,'2月数据源'!$F:$F,"杭州实时查科技有限公司")+SUMIFS('2月数据源'!$J:$J,'2月数据源'!$D:$D,$E83,'2月数据源'!$F:$F,"杭州实时查科技有限公司")</f>
        <v/>
      </c>
      <c r="H83" s="89">
        <f>-SUMIFS('3月数据源'!$I:$I,'3月数据源'!$D:$D,$E83,'3月数据源'!$F:$F,"杭州实时查科技有限公司")+SUMIFS('3月数据源'!$J:$J,'3月数据源'!$D:$D,$E83,'3月数据源'!$F:$F,"杭州实时查科技有限公司")</f>
        <v/>
      </c>
      <c r="I83" s="89">
        <f>-SUMIFS('4月数据源'!$I:$I,'4月数据源'!$D:$D,$E83,'4月数据源'!$F:$F,"杭州实时查科技有限公司")+SUMIFS('4月数据源'!$J:$J,'4月数据源'!$D:$D,$E83,'4月数据源'!$F:$F,"杭州实时查科技有限公司")</f>
        <v/>
      </c>
      <c r="J83" s="89">
        <f>-SUMIFS('5月数据源'!$I:$I,'5月数据源'!$D:$D,$E83,'5月数据源'!$F:$F,"杭州实时查科技有限公司")+SUMIFS('5月数据源'!$J:$J,'5月数据源'!$D:$D,$E83,'5月数据源'!$F:$F,"杭州实时查科技有限公司")</f>
        <v/>
      </c>
      <c r="K83" s="89">
        <f>-SUMIFS('6月数据源'!$I:$I,'6月数据源'!$D:$D,$E83,'6月数据源'!$F:$F,"杭州实时查科技有限公司")+SUMIFS('6月数据源'!$J:$J,'6月数据源'!$D:$D,$E83,'6月数据源'!$F:$F,"杭州实时查科技有限公司")</f>
        <v/>
      </c>
      <c r="L83" s="89">
        <f>-SUMIFS('7月数据源'!$I:$I,'7月数据源'!$D:$D,$E83,'7月数据源'!$F:$F,"杭州实时查科技有限公司")+SUMIFS('7月数据源'!$J:$J,'7月数据源'!$D:$D,$E83,'7月数据源'!$F:$F,"杭州实时查科技有限公司")</f>
        <v/>
      </c>
      <c r="M83" s="89">
        <f>-SUMIFS('8月数据源'!$I:$I,'8月数据源'!$D:$D,$E83,'8月数据源'!$F:$F,"杭州实时查科技有限公司")+SUMIFS('8月数据源'!$J:$J,'8月数据源'!$D:$D,$E83,'8月数据源'!$F:$F,"杭州实时查科技有限公司")</f>
        <v/>
      </c>
      <c r="N83" s="89">
        <f>-SUMIFS('9月数据源'!$I:$I,'9月数据源'!$D:$D,$E83,'9月数据源'!$F:$F,"杭州实时查科技有限公司")+SUMIFS('9月数据源'!$J:$J,'9月数据源'!$D:$D,$E83,'9月数据源'!$F:$F,"杭州实时查科技有限公司")</f>
        <v/>
      </c>
      <c r="O83" s="89">
        <f>-SUMIFS('10月数据源'!$I:$I,'10月数据源'!$D:$D,$E83,'10月数据源'!$F:$F,"杭州实时查科技有限公司")+SUMIFS('10月数据源'!$J:$J,'10月数据源'!$D:$D,$E83,'10月数据源'!$F:$F,"杭州实时查科技有限公司")</f>
        <v/>
      </c>
      <c r="P83" s="89">
        <f>-SUMIFS('11月数据源'!$I:$I,'11月数据源'!$D:$D,$E83,'11月数据源'!$F:$F,"杭州实时查科技有限公司")+SUMIFS('11月数据源'!$J:$J,'11月数据源'!$D:$D,$E83,'11月数据源'!$F:$F,"杭州实时查科技有限公司")</f>
        <v/>
      </c>
      <c r="Q83" s="89">
        <f>-SUMIFS('12月数据源'!$I:$I,'12月数据源'!$D:$D,$E83,'12月数据源'!$F:$F,"杭州实时查科技有限公司")+SUMIFS('12月数据源'!$J:$J,'12月数据源'!$D:$D,$E83,'12月数据源'!$F:$F,"杭州实时查科技有限公司")</f>
        <v/>
      </c>
    </row>
    <row r="84" s="83">
      <c r="A84" s="5" t="inlineStr">
        <is>
          <t>研发支出</t>
        </is>
      </c>
      <c r="B84" s="6" t="inlineStr">
        <is>
          <t>产品开发-PRO</t>
        </is>
      </c>
      <c r="D84" s="5" t="inlineStr">
        <is>
          <t>题库费</t>
        </is>
      </c>
      <c r="E84" s="6" t="inlineStr">
        <is>
          <t>Q1307</t>
        </is>
      </c>
      <c r="F84" s="89">
        <f>-SUMIFS('1月数据源'!I:I,'1月数据源'!D:D,E84,'1月数据源'!F:F,"杭州实时查科技有限公司")+SUMIFS('1月数据源'!J:J,'1月数据源'!D:D,E84,'1月数据源'!F:F,"杭州实时查科技有限公司")</f>
        <v/>
      </c>
      <c r="G84" s="89">
        <f>-SUMIFS('2月数据源'!$I:$I,'2月数据源'!$D:$D,$E84,'2月数据源'!$F:$F,"杭州实时查科技有限公司")+SUMIFS('2月数据源'!$J:$J,'2月数据源'!$D:$D,$E84,'2月数据源'!$F:$F,"杭州实时查科技有限公司")</f>
        <v/>
      </c>
      <c r="H84" s="89">
        <f>-SUMIFS('3月数据源'!$I:$I,'3月数据源'!$D:$D,$E84,'3月数据源'!$F:$F,"杭州实时查科技有限公司")+SUMIFS('3月数据源'!$J:$J,'3月数据源'!$D:$D,$E84,'3月数据源'!$F:$F,"杭州实时查科技有限公司")</f>
        <v/>
      </c>
      <c r="I84" s="89">
        <f>-SUMIFS('4月数据源'!$I:$I,'4月数据源'!$D:$D,$E84,'4月数据源'!$F:$F,"杭州实时查科技有限公司")+SUMIFS('4月数据源'!$J:$J,'4月数据源'!$D:$D,$E84,'4月数据源'!$F:$F,"杭州实时查科技有限公司")</f>
        <v/>
      </c>
      <c r="J84" s="89">
        <f>-SUMIFS('5月数据源'!$I:$I,'5月数据源'!$D:$D,$E84,'5月数据源'!$F:$F,"杭州实时查科技有限公司")+SUMIFS('5月数据源'!$J:$J,'5月数据源'!$D:$D,$E84,'5月数据源'!$F:$F,"杭州实时查科技有限公司")</f>
        <v/>
      </c>
      <c r="K84" s="89">
        <f>-SUMIFS('6月数据源'!$I:$I,'6月数据源'!$D:$D,$E84,'6月数据源'!$F:$F,"杭州实时查科技有限公司")+SUMIFS('6月数据源'!$J:$J,'6月数据源'!$D:$D,$E84,'6月数据源'!$F:$F,"杭州实时查科技有限公司")</f>
        <v/>
      </c>
      <c r="L84" s="89">
        <f>-SUMIFS('7月数据源'!$I:$I,'7月数据源'!$D:$D,$E84,'7月数据源'!$F:$F,"杭州实时查科技有限公司")+SUMIFS('7月数据源'!$J:$J,'7月数据源'!$D:$D,$E84,'7月数据源'!$F:$F,"杭州实时查科技有限公司")</f>
        <v/>
      </c>
      <c r="M84" s="89">
        <f>-SUMIFS('8月数据源'!$I:$I,'8月数据源'!$D:$D,$E84,'8月数据源'!$F:$F,"杭州实时查科技有限公司")+SUMIFS('8月数据源'!$J:$J,'8月数据源'!$D:$D,$E84,'8月数据源'!$F:$F,"杭州实时查科技有限公司")</f>
        <v/>
      </c>
      <c r="N84" s="89">
        <f>-SUMIFS('9月数据源'!$I:$I,'9月数据源'!$D:$D,$E84,'9月数据源'!$F:$F,"杭州实时查科技有限公司")+SUMIFS('9月数据源'!$J:$J,'9月数据源'!$D:$D,$E84,'9月数据源'!$F:$F,"杭州实时查科技有限公司")</f>
        <v/>
      </c>
      <c r="O84" s="89">
        <f>-SUMIFS('10月数据源'!$I:$I,'10月数据源'!$D:$D,$E84,'10月数据源'!$F:$F,"杭州实时查科技有限公司")+SUMIFS('10月数据源'!$J:$J,'10月数据源'!$D:$D,$E84,'10月数据源'!$F:$F,"杭州实时查科技有限公司")</f>
        <v/>
      </c>
      <c r="P84" s="89">
        <f>-SUMIFS('11月数据源'!$I:$I,'11月数据源'!$D:$D,$E84,'11月数据源'!$F:$F,"杭州实时查科技有限公司")+SUMIFS('11月数据源'!$J:$J,'11月数据源'!$D:$D,$E84,'11月数据源'!$F:$F,"杭州实时查科技有限公司")</f>
        <v/>
      </c>
      <c r="Q84" s="89">
        <f>-SUMIFS('12月数据源'!$I:$I,'12月数据源'!$D:$D,$E84,'12月数据源'!$F:$F,"杭州实时查科技有限公司")+SUMIFS('12月数据源'!$J:$J,'12月数据源'!$D:$D,$E84,'12月数据源'!$F:$F,"杭州实时查科技有限公司")</f>
        <v/>
      </c>
    </row>
    <row r="85" s="83">
      <c r="A85" s="5" t="inlineStr">
        <is>
          <t>研发支出</t>
        </is>
      </c>
      <c r="B85" s="6" t="inlineStr">
        <is>
          <t>其他产品开发</t>
        </is>
      </c>
      <c r="C85" s="6" t="inlineStr">
        <is>
          <t>其他产品开发</t>
        </is>
      </c>
      <c r="D85" s="5" t="inlineStr">
        <is>
          <t>产品开发-员工报销</t>
        </is>
      </c>
      <c r="E85" s="6" t="inlineStr">
        <is>
          <t>Q1402</t>
        </is>
      </c>
      <c r="F85" s="89">
        <f>-SUMIFS('1月数据源'!I:I,'1月数据源'!D:D,E85,'1月数据源'!F:F,"杭州实时查科技有限公司")+SUMIFS('1月数据源'!J:J,'1月数据源'!D:D,E85,'1月数据源'!F:F,"杭州实时查科技有限公司")</f>
        <v/>
      </c>
      <c r="G85" s="89">
        <f>-SUMIFS('2月数据源'!$I:$I,'2月数据源'!$D:$D,$E85,'2月数据源'!$F:$F,"杭州实时查科技有限公司")+SUMIFS('2月数据源'!$J:$J,'2月数据源'!$D:$D,$E85,'2月数据源'!$F:$F,"杭州实时查科技有限公司")</f>
        <v/>
      </c>
      <c r="H85" s="89">
        <f>-SUMIFS('3月数据源'!$I:$I,'3月数据源'!$D:$D,$E85,'3月数据源'!$F:$F,"杭州实时查科技有限公司")+SUMIFS('3月数据源'!$J:$J,'3月数据源'!$D:$D,$E85,'3月数据源'!$F:$F,"杭州实时查科技有限公司")</f>
        <v/>
      </c>
      <c r="I85" s="89">
        <f>-SUMIFS('4月数据源'!$I:$I,'4月数据源'!$D:$D,$E85,'4月数据源'!$F:$F,"杭州实时查科技有限公司")+SUMIFS('4月数据源'!$J:$J,'4月数据源'!$D:$D,$E85,'4月数据源'!$F:$F,"杭州实时查科技有限公司")</f>
        <v/>
      </c>
      <c r="J85" s="89">
        <f>-SUMIFS('5月数据源'!$I:$I,'5月数据源'!$D:$D,$E85,'5月数据源'!$F:$F,"杭州实时查科技有限公司")+SUMIFS('5月数据源'!$J:$J,'5月数据源'!$D:$D,$E85,'5月数据源'!$F:$F,"杭州实时查科技有限公司")</f>
        <v/>
      </c>
      <c r="K85" s="89">
        <f>-SUMIFS('6月数据源'!$I:$I,'6月数据源'!$D:$D,$E85,'6月数据源'!$F:$F,"杭州实时查科技有限公司")+SUMIFS('6月数据源'!$J:$J,'6月数据源'!$D:$D,$E85,'6月数据源'!$F:$F,"杭州实时查科技有限公司")</f>
        <v/>
      </c>
      <c r="L85" s="89">
        <f>-SUMIFS('7月数据源'!$I:$I,'7月数据源'!$D:$D,$E85,'7月数据源'!$F:$F,"杭州实时查科技有限公司")+SUMIFS('7月数据源'!$J:$J,'7月数据源'!$D:$D,$E85,'7月数据源'!$F:$F,"杭州实时查科技有限公司")</f>
        <v/>
      </c>
      <c r="M85" s="89">
        <f>-SUMIFS('8月数据源'!$I:$I,'8月数据源'!$D:$D,$E85,'8月数据源'!$F:$F,"杭州实时查科技有限公司")+SUMIFS('8月数据源'!$J:$J,'8月数据源'!$D:$D,$E85,'8月数据源'!$F:$F,"杭州实时查科技有限公司")</f>
        <v/>
      </c>
      <c r="N85" s="89">
        <f>-SUMIFS('9月数据源'!$I:$I,'9月数据源'!$D:$D,$E85,'9月数据源'!$F:$F,"杭州实时查科技有限公司")+SUMIFS('9月数据源'!$J:$J,'9月数据源'!$D:$D,$E85,'9月数据源'!$F:$F,"杭州实时查科技有限公司")</f>
        <v/>
      </c>
      <c r="O85" s="89">
        <f>-SUMIFS('10月数据源'!$I:$I,'10月数据源'!$D:$D,$E85,'10月数据源'!$F:$F,"杭州实时查科技有限公司")+SUMIFS('10月数据源'!$J:$J,'10月数据源'!$D:$D,$E85,'10月数据源'!$F:$F,"杭州实时查科技有限公司")</f>
        <v/>
      </c>
      <c r="P85" s="89">
        <f>-SUMIFS('11月数据源'!$I:$I,'11月数据源'!$D:$D,$E85,'11月数据源'!$F:$F,"杭州实时查科技有限公司")+SUMIFS('11月数据源'!$J:$J,'11月数据源'!$D:$D,$E85,'11月数据源'!$F:$F,"杭州实时查科技有限公司")</f>
        <v/>
      </c>
      <c r="Q85" s="89">
        <f>-SUMIFS('12月数据源'!$I:$I,'12月数据源'!$D:$D,$E85,'12月数据源'!$F:$F,"杭州实时查科技有限公司")+SUMIFS('12月数据源'!$J:$J,'12月数据源'!$D:$D,$E85,'12月数据源'!$F:$F,"杭州实时查科技有限公司")</f>
        <v/>
      </c>
    </row>
    <row r="86" s="83">
      <c r="A86" s="5" t="inlineStr">
        <is>
          <t>研发支出</t>
        </is>
      </c>
      <c r="B86" s="6" t="inlineStr">
        <is>
          <t>其他产品开发</t>
        </is>
      </c>
      <c r="D86" s="5" t="inlineStr">
        <is>
          <t>软件使用费</t>
        </is>
      </c>
      <c r="E86" s="6" t="inlineStr">
        <is>
          <t>Q1401</t>
        </is>
      </c>
      <c r="F86" s="89">
        <f>-SUMIFS('1月数据源'!I:I,'1月数据源'!D:D,E86,'1月数据源'!F:F,"杭州实时查科技有限公司")+SUMIFS('1月数据源'!J:J,'1月数据源'!D:D,E86,'1月数据源'!F:F,"杭州实时查科技有限公司")</f>
        <v/>
      </c>
      <c r="G86" s="89">
        <f>-SUMIFS('2月数据源'!$I:$I,'2月数据源'!$D:$D,$E86,'2月数据源'!$F:$F,"杭州实时查科技有限公司")+SUMIFS('2月数据源'!$J:$J,'2月数据源'!$D:$D,$E86,'2月数据源'!$F:$F,"杭州实时查科技有限公司")</f>
        <v/>
      </c>
      <c r="H86" s="89">
        <f>-SUMIFS('3月数据源'!$I:$I,'3月数据源'!$D:$D,$E86,'3月数据源'!$F:$F,"杭州实时查科技有限公司")+SUMIFS('3月数据源'!$J:$J,'3月数据源'!$D:$D,$E86,'3月数据源'!$F:$F,"杭州实时查科技有限公司")</f>
        <v/>
      </c>
      <c r="I86" s="89">
        <f>-SUMIFS('4月数据源'!$I:$I,'4月数据源'!$D:$D,$E86,'4月数据源'!$F:$F,"杭州实时查科技有限公司")+SUMIFS('4月数据源'!$J:$J,'4月数据源'!$D:$D,$E86,'4月数据源'!$F:$F,"杭州实时查科技有限公司")</f>
        <v/>
      </c>
      <c r="J86" s="89">
        <f>-SUMIFS('5月数据源'!$I:$I,'5月数据源'!$D:$D,$E86,'5月数据源'!$F:$F,"杭州实时查科技有限公司")+SUMIFS('5月数据源'!$J:$J,'5月数据源'!$D:$D,$E86,'5月数据源'!$F:$F,"杭州实时查科技有限公司")</f>
        <v/>
      </c>
      <c r="K86" s="89">
        <f>-SUMIFS('6月数据源'!$I:$I,'6月数据源'!$D:$D,$E86,'6月数据源'!$F:$F,"杭州实时查科技有限公司")+SUMIFS('6月数据源'!$J:$J,'6月数据源'!$D:$D,$E86,'6月数据源'!$F:$F,"杭州实时查科技有限公司")</f>
        <v/>
      </c>
      <c r="L86" s="89">
        <f>-SUMIFS('7月数据源'!$I:$I,'7月数据源'!$D:$D,$E86,'7月数据源'!$F:$F,"杭州实时查科技有限公司")+SUMIFS('7月数据源'!$J:$J,'7月数据源'!$D:$D,$E86,'7月数据源'!$F:$F,"杭州实时查科技有限公司")</f>
        <v/>
      </c>
      <c r="M86" s="89">
        <f>-SUMIFS('8月数据源'!$I:$I,'8月数据源'!$D:$D,$E86,'8月数据源'!$F:$F,"杭州实时查科技有限公司")+SUMIFS('8月数据源'!$J:$J,'8月数据源'!$D:$D,$E86,'8月数据源'!$F:$F,"杭州实时查科技有限公司")</f>
        <v/>
      </c>
      <c r="N86" s="89">
        <f>-SUMIFS('9月数据源'!$I:$I,'9月数据源'!$D:$D,$E86,'9月数据源'!$F:$F,"杭州实时查科技有限公司")+SUMIFS('9月数据源'!$J:$J,'9月数据源'!$D:$D,$E86,'9月数据源'!$F:$F,"杭州实时查科技有限公司")</f>
        <v/>
      </c>
      <c r="O86" s="89">
        <f>-SUMIFS('10月数据源'!$I:$I,'10月数据源'!$D:$D,$E86,'10月数据源'!$F:$F,"杭州实时查科技有限公司")+SUMIFS('10月数据源'!$J:$J,'10月数据源'!$D:$D,$E86,'10月数据源'!$F:$F,"杭州实时查科技有限公司")</f>
        <v/>
      </c>
      <c r="P86" s="89">
        <f>-SUMIFS('11月数据源'!$I:$I,'11月数据源'!$D:$D,$E86,'11月数据源'!$F:$F,"杭州实时查科技有限公司")+SUMIFS('11月数据源'!$J:$J,'11月数据源'!$D:$D,$E86,'11月数据源'!$F:$F,"杭州实时查科技有限公司")</f>
        <v/>
      </c>
      <c r="Q86" s="89">
        <f>-SUMIFS('12月数据源'!$I:$I,'12月数据源'!$D:$D,$E86,'12月数据源'!$F:$F,"杭州实时查科技有限公司")+SUMIFS('12月数据源'!$J:$J,'12月数据源'!$D:$D,$E86,'12月数据源'!$F:$F,"杭州实时查科技有限公司")</f>
        <v/>
      </c>
    </row>
    <row r="87" s="83">
      <c r="A87" s="5" t="inlineStr">
        <is>
          <t>研发支出</t>
        </is>
      </c>
      <c r="B87" s="6" t="inlineStr">
        <is>
          <t>服务器算法充值</t>
        </is>
      </c>
      <c r="C87" s="6" t="inlineStr">
        <is>
          <t>服务器算法充值</t>
        </is>
      </c>
      <c r="D87" s="5" t="inlineStr">
        <is>
          <t>阿里云充值费用</t>
        </is>
      </c>
      <c r="E87" s="6" t="inlineStr">
        <is>
          <t>Q1501</t>
        </is>
      </c>
      <c r="F87" s="89">
        <f>-SUMIFS('1月数据源'!I:I,'1月数据源'!D:D,E87,'1月数据源'!F:F,"杭州实时查科技有限公司")+SUMIFS('1月数据源'!J:J,'1月数据源'!D:D,E87,'1月数据源'!F:F,"杭州实时查科技有限公司")</f>
        <v/>
      </c>
      <c r="G87" s="89">
        <f>-SUMIFS('2月数据源'!$I:$I,'2月数据源'!$D:$D,$E87,'2月数据源'!$F:$F,"杭州实时查科技有限公司")+SUMIFS('2月数据源'!$J:$J,'2月数据源'!$D:$D,$E87,'2月数据源'!$F:$F,"杭州实时查科技有限公司")</f>
        <v/>
      </c>
      <c r="H87" s="89">
        <f>-SUMIFS('3月数据源'!$I:$I,'3月数据源'!$D:$D,$E87,'3月数据源'!$F:$F,"杭州实时查科技有限公司")+SUMIFS('3月数据源'!$J:$J,'3月数据源'!$D:$D,$E87,'3月数据源'!$F:$F,"杭州实时查科技有限公司")</f>
        <v/>
      </c>
      <c r="I87" s="89">
        <f>-SUMIFS('4月数据源'!$I:$I,'4月数据源'!$D:$D,$E87,'4月数据源'!$F:$F,"杭州实时查科技有限公司")+SUMIFS('4月数据源'!$J:$J,'4月数据源'!$D:$D,$E87,'4月数据源'!$F:$F,"杭州实时查科技有限公司")</f>
        <v/>
      </c>
      <c r="J87" s="89">
        <f>-SUMIFS('5月数据源'!$I:$I,'5月数据源'!$D:$D,$E87,'5月数据源'!$F:$F,"杭州实时查科技有限公司")+SUMIFS('5月数据源'!$J:$J,'5月数据源'!$D:$D,$E87,'5月数据源'!$F:$F,"杭州实时查科技有限公司")</f>
        <v/>
      </c>
      <c r="K87" s="89">
        <f>-SUMIFS('6月数据源'!$I:$I,'6月数据源'!$D:$D,$E87,'6月数据源'!$F:$F,"杭州实时查科技有限公司")+SUMIFS('6月数据源'!$J:$J,'6月数据源'!$D:$D,$E87,'6月数据源'!$F:$F,"杭州实时查科技有限公司")</f>
        <v/>
      </c>
      <c r="L87" s="89">
        <f>-SUMIFS('7月数据源'!$I:$I,'7月数据源'!$D:$D,$E87,'7月数据源'!$F:$F,"杭州实时查科技有限公司")+SUMIFS('7月数据源'!$J:$J,'7月数据源'!$D:$D,$E87,'7月数据源'!$F:$F,"杭州实时查科技有限公司")</f>
        <v/>
      </c>
      <c r="M87" s="89">
        <f>-SUMIFS('8月数据源'!$I:$I,'8月数据源'!$D:$D,$E87,'8月数据源'!$F:$F,"杭州实时查科技有限公司")+SUMIFS('8月数据源'!$J:$J,'8月数据源'!$D:$D,$E87,'8月数据源'!$F:$F,"杭州实时查科技有限公司")</f>
        <v/>
      </c>
      <c r="N87" s="89">
        <f>-SUMIFS('9月数据源'!$I:$I,'9月数据源'!$D:$D,$E87,'9月数据源'!$F:$F,"杭州实时查科技有限公司")+SUMIFS('9月数据源'!$J:$J,'9月数据源'!$D:$D,$E87,'9月数据源'!$F:$F,"杭州实时查科技有限公司")</f>
        <v/>
      </c>
      <c r="O87" s="89">
        <f>-SUMIFS('10月数据源'!$I:$I,'10月数据源'!$D:$D,$E87,'10月数据源'!$F:$F,"杭州实时查科技有限公司")+SUMIFS('10月数据源'!$J:$J,'10月数据源'!$D:$D,$E87,'10月数据源'!$F:$F,"杭州实时查科技有限公司")</f>
        <v/>
      </c>
      <c r="P87" s="89">
        <f>-SUMIFS('11月数据源'!$I:$I,'11月数据源'!$D:$D,$E87,'11月数据源'!$F:$F,"杭州实时查科技有限公司")+SUMIFS('11月数据源'!$J:$J,'11月数据源'!$D:$D,$E87,'11月数据源'!$F:$F,"杭州实时查科技有限公司")</f>
        <v/>
      </c>
      <c r="Q87" s="89">
        <f>-SUMIFS('12月数据源'!$I:$I,'12月数据源'!$D:$D,$E87,'12月数据源'!$F:$F,"杭州实时查科技有限公司")+SUMIFS('12月数据源'!$J:$J,'12月数据源'!$D:$D,$E87,'12月数据源'!$F:$F,"杭州实时查科技有限公司")</f>
        <v/>
      </c>
    </row>
    <row r="88" s="83">
      <c r="A88" s="5" t="inlineStr">
        <is>
          <t>研发支出</t>
        </is>
      </c>
      <c r="B88" s="6" t="inlineStr">
        <is>
          <t>服务器算法充值</t>
        </is>
      </c>
      <c r="D88" s="5" t="inlineStr">
        <is>
          <t>微软充值费用</t>
        </is>
      </c>
      <c r="E88" s="6" t="inlineStr">
        <is>
          <t>Q1502</t>
        </is>
      </c>
      <c r="F88" s="89">
        <f>-SUMIFS('1月数据源'!I:I,'1月数据源'!D:D,E88,'1月数据源'!F:F,"杭州实时查科技有限公司")+SUMIFS('1月数据源'!J:J,'1月数据源'!D:D,E88,'1月数据源'!F:F,"杭州实时查科技有限公司")</f>
        <v/>
      </c>
      <c r="G88" s="89">
        <f>-SUMIFS('2月数据源'!$I:$I,'2月数据源'!$D:$D,$E88,'2月数据源'!$F:$F,"杭州实时查科技有限公司")+SUMIFS('2月数据源'!$J:$J,'2月数据源'!$D:$D,$E88,'2月数据源'!$F:$F,"杭州实时查科技有限公司")</f>
        <v/>
      </c>
      <c r="H88" s="89">
        <f>-SUMIFS('3月数据源'!$I:$I,'3月数据源'!$D:$D,$E88,'3月数据源'!$F:$F,"杭州实时查科技有限公司")+SUMIFS('3月数据源'!$J:$J,'3月数据源'!$D:$D,$E88,'3月数据源'!$F:$F,"杭州实时查科技有限公司")</f>
        <v/>
      </c>
      <c r="I88" s="89">
        <f>-SUMIFS('4月数据源'!$I:$I,'4月数据源'!$D:$D,$E88,'4月数据源'!$F:$F,"杭州实时查科技有限公司")+SUMIFS('4月数据源'!$J:$J,'4月数据源'!$D:$D,$E88,'4月数据源'!$F:$F,"杭州实时查科技有限公司")</f>
        <v/>
      </c>
      <c r="J88" s="89">
        <f>-SUMIFS('5月数据源'!$I:$I,'5月数据源'!$D:$D,$E88,'5月数据源'!$F:$F,"杭州实时查科技有限公司")+SUMIFS('5月数据源'!$J:$J,'5月数据源'!$D:$D,$E88,'5月数据源'!$F:$F,"杭州实时查科技有限公司")</f>
        <v/>
      </c>
      <c r="K88" s="89">
        <f>-SUMIFS('6月数据源'!$I:$I,'6月数据源'!$D:$D,$E88,'6月数据源'!$F:$F,"杭州实时查科技有限公司")+SUMIFS('6月数据源'!$J:$J,'6月数据源'!$D:$D,$E88,'6月数据源'!$F:$F,"杭州实时查科技有限公司")</f>
        <v/>
      </c>
      <c r="L88" s="89">
        <f>-SUMIFS('7月数据源'!$I:$I,'7月数据源'!$D:$D,$E88,'7月数据源'!$F:$F,"杭州实时查科技有限公司")+SUMIFS('7月数据源'!$J:$J,'7月数据源'!$D:$D,$E88,'7月数据源'!$F:$F,"杭州实时查科技有限公司")</f>
        <v/>
      </c>
      <c r="M88" s="89">
        <f>-SUMIFS('8月数据源'!$I:$I,'8月数据源'!$D:$D,$E88,'8月数据源'!$F:$F,"杭州实时查科技有限公司")+SUMIFS('8月数据源'!$J:$J,'8月数据源'!$D:$D,$E88,'8月数据源'!$F:$F,"杭州实时查科技有限公司")</f>
        <v/>
      </c>
      <c r="N88" s="89">
        <f>-SUMIFS('9月数据源'!$I:$I,'9月数据源'!$D:$D,$E88,'9月数据源'!$F:$F,"杭州实时查科技有限公司")+SUMIFS('9月数据源'!$J:$J,'9月数据源'!$D:$D,$E88,'9月数据源'!$F:$F,"杭州实时查科技有限公司")</f>
        <v/>
      </c>
      <c r="O88" s="89">
        <f>-SUMIFS('10月数据源'!$I:$I,'10月数据源'!$D:$D,$E88,'10月数据源'!$F:$F,"杭州实时查科技有限公司")+SUMIFS('10月数据源'!$J:$J,'10月数据源'!$D:$D,$E88,'10月数据源'!$F:$F,"杭州实时查科技有限公司")</f>
        <v/>
      </c>
      <c r="P88" s="89">
        <f>-SUMIFS('11月数据源'!$I:$I,'11月数据源'!$D:$D,$E88,'11月数据源'!$F:$F,"杭州实时查科技有限公司")+SUMIFS('11月数据源'!$J:$J,'11月数据源'!$D:$D,$E88,'11月数据源'!$F:$F,"杭州实时查科技有限公司")</f>
        <v/>
      </c>
      <c r="Q88" s="89">
        <f>-SUMIFS('12月数据源'!$I:$I,'12月数据源'!$D:$D,$E88,'12月数据源'!$F:$F,"杭州实时查科技有限公司")+SUMIFS('12月数据源'!$J:$J,'12月数据源'!$D:$D,$E88,'12月数据源'!$F:$F,"杭州实时查科技有限公司")</f>
        <v/>
      </c>
    </row>
    <row r="89" s="83">
      <c r="A89" s="5" t="inlineStr">
        <is>
          <t>研发支出</t>
        </is>
      </c>
      <c r="B89" s="6" t="inlineStr">
        <is>
          <t>服务器算法充值</t>
        </is>
      </c>
      <c r="D89" s="5" t="inlineStr">
        <is>
          <t>kimi充值费用</t>
        </is>
      </c>
      <c r="E89" s="6" t="inlineStr">
        <is>
          <t>Q1503</t>
        </is>
      </c>
      <c r="F89" s="89">
        <f>-SUMIFS('1月数据源'!I:I,'1月数据源'!D:D,E89,'1月数据源'!F:F,"杭州实时查科技有限公司")+SUMIFS('1月数据源'!J:J,'1月数据源'!D:D,E89,'1月数据源'!F:F,"杭州实时查科技有限公司")</f>
        <v/>
      </c>
      <c r="G89" s="89">
        <f>-SUMIFS('2月数据源'!$I:$I,'2月数据源'!$D:$D,$E89,'2月数据源'!$F:$F,"杭州实时查科技有限公司")+SUMIFS('2月数据源'!$J:$J,'2月数据源'!$D:$D,$E89,'2月数据源'!$F:$F,"杭州实时查科技有限公司")</f>
        <v/>
      </c>
      <c r="H89" s="89">
        <f>-SUMIFS('3月数据源'!$I:$I,'3月数据源'!$D:$D,$E89,'3月数据源'!$F:$F,"杭州实时查科技有限公司")+SUMIFS('3月数据源'!$J:$J,'3月数据源'!$D:$D,$E89,'3月数据源'!$F:$F,"杭州实时查科技有限公司")</f>
        <v/>
      </c>
      <c r="I89" s="89">
        <f>-SUMIFS('4月数据源'!$I:$I,'4月数据源'!$D:$D,$E89,'4月数据源'!$F:$F,"杭州实时查科技有限公司")+SUMIFS('4月数据源'!$J:$J,'4月数据源'!$D:$D,$E89,'4月数据源'!$F:$F,"杭州实时查科技有限公司")</f>
        <v/>
      </c>
      <c r="J89" s="89">
        <f>-SUMIFS('5月数据源'!$I:$I,'5月数据源'!$D:$D,$E89,'5月数据源'!$F:$F,"杭州实时查科技有限公司")+SUMIFS('5月数据源'!$J:$J,'5月数据源'!$D:$D,$E89,'5月数据源'!$F:$F,"杭州实时查科技有限公司")</f>
        <v/>
      </c>
      <c r="K89" s="89">
        <f>-SUMIFS('6月数据源'!$I:$I,'6月数据源'!$D:$D,$E89,'6月数据源'!$F:$F,"杭州实时查科技有限公司")+SUMIFS('6月数据源'!$J:$J,'6月数据源'!$D:$D,$E89,'6月数据源'!$F:$F,"杭州实时查科技有限公司")</f>
        <v/>
      </c>
      <c r="L89" s="89">
        <f>-SUMIFS('7月数据源'!$I:$I,'7月数据源'!$D:$D,$E89,'7月数据源'!$F:$F,"杭州实时查科技有限公司")+SUMIFS('7月数据源'!$J:$J,'7月数据源'!$D:$D,$E89,'7月数据源'!$F:$F,"杭州实时查科技有限公司")</f>
        <v/>
      </c>
      <c r="M89" s="89">
        <f>-SUMIFS('8月数据源'!$I:$I,'8月数据源'!$D:$D,$E89,'8月数据源'!$F:$F,"杭州实时查科技有限公司")+SUMIFS('8月数据源'!$J:$J,'8月数据源'!$D:$D,$E89,'8月数据源'!$F:$F,"杭州实时查科技有限公司")</f>
        <v/>
      </c>
      <c r="N89" s="89">
        <f>-SUMIFS('9月数据源'!$I:$I,'9月数据源'!$D:$D,$E89,'9月数据源'!$F:$F,"杭州实时查科技有限公司")+SUMIFS('9月数据源'!$J:$J,'9月数据源'!$D:$D,$E89,'9月数据源'!$F:$F,"杭州实时查科技有限公司")</f>
        <v/>
      </c>
      <c r="O89" s="89">
        <f>-SUMIFS('10月数据源'!$I:$I,'10月数据源'!$D:$D,$E89,'10月数据源'!$F:$F,"杭州实时查科技有限公司")+SUMIFS('10月数据源'!$J:$J,'10月数据源'!$D:$D,$E89,'10月数据源'!$F:$F,"杭州实时查科技有限公司")</f>
        <v/>
      </c>
      <c r="P89" s="89">
        <f>-SUMIFS('11月数据源'!$I:$I,'11月数据源'!$D:$D,$E89,'11月数据源'!$F:$F,"杭州实时查科技有限公司")+SUMIFS('11月数据源'!$J:$J,'11月数据源'!$D:$D,$E89,'11月数据源'!$F:$F,"杭州实时查科技有限公司")</f>
        <v/>
      </c>
      <c r="Q89" s="89">
        <f>-SUMIFS('12月数据源'!$I:$I,'12月数据源'!$D:$D,$E89,'12月数据源'!$F:$F,"杭州实时查科技有限公司")+SUMIFS('12月数据源'!$J:$J,'12月数据源'!$D:$D,$E89,'12月数据源'!$F:$F,"杭州实时查科技有限公司")</f>
        <v/>
      </c>
    </row>
    <row r="90" s="83">
      <c r="A90" s="5" t="inlineStr">
        <is>
          <t>研发支出</t>
        </is>
      </c>
      <c r="B90" s="6" t="inlineStr">
        <is>
          <t>服务器算法充值</t>
        </is>
      </c>
      <c r="D90" s="5" t="inlineStr">
        <is>
          <t>智普AI充值费用</t>
        </is>
      </c>
      <c r="E90" s="6" t="inlineStr">
        <is>
          <t>Q1504</t>
        </is>
      </c>
      <c r="F90" s="89">
        <f>-SUMIFS('1月数据源'!I:I,'1月数据源'!D:D,E90,'1月数据源'!F:F,"杭州实时查科技有限公司")+SUMIFS('1月数据源'!J:J,'1月数据源'!D:D,E90,'1月数据源'!F:F,"杭州实时查科技有限公司")</f>
        <v/>
      </c>
      <c r="G90" s="89">
        <f>-SUMIFS('2月数据源'!$I:$I,'2月数据源'!$D:$D,$E90,'2月数据源'!$F:$F,"杭州实时查科技有限公司")+SUMIFS('2月数据源'!$J:$J,'2月数据源'!$D:$D,$E90,'2月数据源'!$F:$F,"杭州实时查科技有限公司")</f>
        <v/>
      </c>
      <c r="H90" s="89">
        <f>-SUMIFS('3月数据源'!$I:$I,'3月数据源'!$D:$D,$E90,'3月数据源'!$F:$F,"杭州实时查科技有限公司")+SUMIFS('3月数据源'!$J:$J,'3月数据源'!$D:$D,$E90,'3月数据源'!$F:$F,"杭州实时查科技有限公司")</f>
        <v/>
      </c>
      <c r="I90" s="89">
        <f>-SUMIFS('4月数据源'!$I:$I,'4月数据源'!$D:$D,$E90,'4月数据源'!$F:$F,"杭州实时查科技有限公司")+SUMIFS('4月数据源'!$J:$J,'4月数据源'!$D:$D,$E90,'4月数据源'!$F:$F,"杭州实时查科技有限公司")</f>
        <v/>
      </c>
      <c r="J90" s="89">
        <f>-SUMIFS('5月数据源'!$I:$I,'5月数据源'!$D:$D,$E90,'5月数据源'!$F:$F,"杭州实时查科技有限公司")+SUMIFS('5月数据源'!$J:$J,'5月数据源'!$D:$D,$E90,'5月数据源'!$F:$F,"杭州实时查科技有限公司")</f>
        <v/>
      </c>
      <c r="K90" s="89">
        <f>-SUMIFS('6月数据源'!$I:$I,'6月数据源'!$D:$D,$E90,'6月数据源'!$F:$F,"杭州实时查科技有限公司")+SUMIFS('6月数据源'!$J:$J,'6月数据源'!$D:$D,$E90,'6月数据源'!$F:$F,"杭州实时查科技有限公司")</f>
        <v/>
      </c>
      <c r="L90" s="89">
        <f>-SUMIFS('7月数据源'!$I:$I,'7月数据源'!$D:$D,$E90,'7月数据源'!$F:$F,"杭州实时查科技有限公司")+SUMIFS('7月数据源'!$J:$J,'7月数据源'!$D:$D,$E90,'7月数据源'!$F:$F,"杭州实时查科技有限公司")</f>
        <v/>
      </c>
      <c r="M90" s="89">
        <f>-SUMIFS('8月数据源'!$I:$I,'8月数据源'!$D:$D,$E90,'8月数据源'!$F:$F,"杭州实时查科技有限公司")+SUMIFS('8月数据源'!$J:$J,'8月数据源'!$D:$D,$E90,'8月数据源'!$F:$F,"杭州实时查科技有限公司")</f>
        <v/>
      </c>
      <c r="N90" s="89">
        <f>-SUMIFS('9月数据源'!$I:$I,'9月数据源'!$D:$D,$E90,'9月数据源'!$F:$F,"杭州实时查科技有限公司")+SUMIFS('9月数据源'!$J:$J,'9月数据源'!$D:$D,$E90,'9月数据源'!$F:$F,"杭州实时查科技有限公司")</f>
        <v/>
      </c>
      <c r="O90" s="89">
        <f>-SUMIFS('10月数据源'!$I:$I,'10月数据源'!$D:$D,$E90,'10月数据源'!$F:$F,"杭州实时查科技有限公司")+SUMIFS('10月数据源'!$J:$J,'10月数据源'!$D:$D,$E90,'10月数据源'!$F:$F,"杭州实时查科技有限公司")</f>
        <v/>
      </c>
      <c r="P90" s="89">
        <f>-SUMIFS('11月数据源'!$I:$I,'11月数据源'!$D:$D,$E90,'11月数据源'!$F:$F,"杭州实时查科技有限公司")+SUMIFS('11月数据源'!$J:$J,'11月数据源'!$D:$D,$E90,'11月数据源'!$F:$F,"杭州实时查科技有限公司")</f>
        <v/>
      </c>
      <c r="Q90" s="89">
        <f>-SUMIFS('12月数据源'!$I:$I,'12月数据源'!$D:$D,$E90,'12月数据源'!$F:$F,"杭州实时查科技有限公司")+SUMIFS('12月数据源'!$J:$J,'12月数据源'!$D:$D,$E90,'12月数据源'!$F:$F,"杭州实时查科技有限公司")</f>
        <v/>
      </c>
    </row>
    <row r="91" s="83">
      <c r="A91" s="5" t="inlineStr">
        <is>
          <t>研发支出</t>
        </is>
      </c>
      <c r="B91" s="6" t="inlineStr">
        <is>
          <t>服务器算法充值</t>
        </is>
      </c>
      <c r="D91" s="5" t="inlineStr">
        <is>
          <t>硅基流动充值费用</t>
        </is>
      </c>
      <c r="E91" s="6" t="inlineStr">
        <is>
          <t>Q1506</t>
        </is>
      </c>
      <c r="F91" s="89">
        <f>-SUMIFS('1月数据源'!I:I,'1月数据源'!D:D,E91,'1月数据源'!F:F,"杭州实时查科技有限公司")+SUMIFS('1月数据源'!J:J,'1月数据源'!D:D,E91,'1月数据源'!F:F,"杭州实时查科技有限公司")</f>
        <v/>
      </c>
      <c r="G91" s="89">
        <f>-SUMIFS('2月数据源'!$I:$I,'2月数据源'!$D:$D,$E91,'2月数据源'!$F:$F,"杭州实时查科技有限公司")+SUMIFS('2月数据源'!$J:$J,'2月数据源'!$D:$D,$E91,'2月数据源'!$F:$F,"杭州实时查科技有限公司")</f>
        <v/>
      </c>
      <c r="H91" s="89">
        <f>-SUMIFS('3月数据源'!$I:$I,'3月数据源'!$D:$D,$E91,'3月数据源'!$F:$F,"杭州实时查科技有限公司")+SUMIFS('3月数据源'!$J:$J,'3月数据源'!$D:$D,$E91,'3月数据源'!$F:$F,"杭州实时查科技有限公司")</f>
        <v/>
      </c>
      <c r="I91" s="89">
        <f>-SUMIFS('4月数据源'!$I:$I,'4月数据源'!$D:$D,$E91,'4月数据源'!$F:$F,"杭州实时查科技有限公司")+SUMIFS('4月数据源'!$J:$J,'4月数据源'!$D:$D,$E91,'4月数据源'!$F:$F,"杭州实时查科技有限公司")</f>
        <v/>
      </c>
      <c r="J91" s="89">
        <f>-SUMIFS('5月数据源'!$I:$I,'5月数据源'!$D:$D,$E91,'5月数据源'!$F:$F,"杭州实时查科技有限公司")+SUMIFS('5月数据源'!$J:$J,'5月数据源'!$D:$D,$E91,'5月数据源'!$F:$F,"杭州实时查科技有限公司")</f>
        <v/>
      </c>
      <c r="K91" s="89">
        <f>-SUMIFS('6月数据源'!$I:$I,'6月数据源'!$D:$D,$E91,'6月数据源'!$F:$F,"杭州实时查科技有限公司")+SUMIFS('6月数据源'!$J:$J,'6月数据源'!$D:$D,$E91,'6月数据源'!$F:$F,"杭州实时查科技有限公司")</f>
        <v/>
      </c>
      <c r="L91" s="89">
        <f>-SUMIFS('7月数据源'!$I:$I,'7月数据源'!$D:$D,$E91,'7月数据源'!$F:$F,"杭州实时查科技有限公司")+SUMIFS('7月数据源'!$J:$J,'7月数据源'!$D:$D,$E91,'7月数据源'!$F:$F,"杭州实时查科技有限公司")</f>
        <v/>
      </c>
      <c r="M91" s="89">
        <f>-SUMIFS('8月数据源'!$I:$I,'8月数据源'!$D:$D,$E91,'8月数据源'!$F:$F,"杭州实时查科技有限公司")+SUMIFS('8月数据源'!$J:$J,'8月数据源'!$D:$D,$E91,'8月数据源'!$F:$F,"杭州实时查科技有限公司")</f>
        <v/>
      </c>
      <c r="N91" s="89">
        <f>-SUMIFS('9月数据源'!$I:$I,'9月数据源'!$D:$D,$E91,'9月数据源'!$F:$F,"杭州实时查科技有限公司")+SUMIFS('9月数据源'!$J:$J,'9月数据源'!$D:$D,$E91,'9月数据源'!$F:$F,"杭州实时查科技有限公司")</f>
        <v/>
      </c>
      <c r="O91" s="89">
        <f>-SUMIFS('10月数据源'!$I:$I,'10月数据源'!$D:$D,$E91,'10月数据源'!$F:$F,"杭州实时查科技有限公司")+SUMIFS('10月数据源'!$J:$J,'10月数据源'!$D:$D,$E91,'10月数据源'!$F:$F,"杭州实时查科技有限公司")</f>
        <v/>
      </c>
      <c r="P91" s="89">
        <f>-SUMIFS('11月数据源'!$I:$I,'11月数据源'!$D:$D,$E91,'11月数据源'!$F:$F,"杭州实时查科技有限公司")+SUMIFS('11月数据源'!$J:$J,'11月数据源'!$D:$D,$E91,'11月数据源'!$F:$F,"杭州实时查科技有限公司")</f>
        <v/>
      </c>
      <c r="Q91" s="89">
        <f>-SUMIFS('12月数据源'!$I:$I,'12月数据源'!$D:$D,$E91,'12月数据源'!$F:$F,"杭州实时查科技有限公司")+SUMIFS('12月数据源'!$J:$J,'12月数据源'!$D:$D,$E91,'12月数据源'!$F:$F,"杭州实时查科技有限公司")</f>
        <v/>
      </c>
    </row>
    <row r="92" s="83">
      <c r="A92" s="5" t="inlineStr">
        <is>
          <t>研发支出</t>
        </is>
      </c>
      <c r="B92" s="6" t="inlineStr">
        <is>
          <t>服务器算法充值</t>
        </is>
      </c>
      <c r="D92" s="5" t="inlineStr">
        <is>
          <t>无问芯穹充值费用</t>
        </is>
      </c>
      <c r="E92" s="6" t="inlineStr">
        <is>
          <t>Q1507</t>
        </is>
      </c>
      <c r="F92" s="89">
        <f>-SUMIFS('1月数据源'!I:I,'1月数据源'!D:D,E92,'1月数据源'!F:F,"杭州实时查科技有限公司")+SUMIFS('1月数据源'!J:J,'1月数据源'!D:D,E92,'1月数据源'!F:F,"杭州实时查科技有限公司")</f>
        <v/>
      </c>
      <c r="G92" s="89">
        <f>-SUMIFS('2月数据源'!$I:$I,'2月数据源'!$D:$D,$E92,'2月数据源'!$F:$F,"杭州实时查科技有限公司")+SUMIFS('2月数据源'!$J:$J,'2月数据源'!$D:$D,$E92,'2月数据源'!$F:$F,"杭州实时查科技有限公司")</f>
        <v/>
      </c>
      <c r="H92" s="89">
        <f>-SUMIFS('3月数据源'!$I:$I,'3月数据源'!$D:$D,$E92,'3月数据源'!$F:$F,"杭州实时查科技有限公司")+SUMIFS('3月数据源'!$J:$J,'3月数据源'!$D:$D,$E92,'3月数据源'!$F:$F,"杭州实时查科技有限公司")</f>
        <v/>
      </c>
      <c r="I92" s="89">
        <f>-SUMIFS('4月数据源'!$I:$I,'4月数据源'!$D:$D,$E92,'4月数据源'!$F:$F,"杭州实时查科技有限公司")+SUMIFS('4月数据源'!$J:$J,'4月数据源'!$D:$D,$E92,'4月数据源'!$F:$F,"杭州实时查科技有限公司")</f>
        <v/>
      </c>
      <c r="J92" s="89">
        <f>-SUMIFS('5月数据源'!$I:$I,'5月数据源'!$D:$D,$E92,'5月数据源'!$F:$F,"杭州实时查科技有限公司")+SUMIFS('5月数据源'!$J:$J,'5月数据源'!$D:$D,$E92,'5月数据源'!$F:$F,"杭州实时查科技有限公司")</f>
        <v/>
      </c>
      <c r="K92" s="89">
        <f>-SUMIFS('6月数据源'!$I:$I,'6月数据源'!$D:$D,$E92,'6月数据源'!$F:$F,"杭州实时查科技有限公司")+SUMIFS('6月数据源'!$J:$J,'6月数据源'!$D:$D,$E92,'6月数据源'!$F:$F,"杭州实时查科技有限公司")</f>
        <v/>
      </c>
      <c r="L92" s="89">
        <f>-SUMIFS('7月数据源'!$I:$I,'7月数据源'!$D:$D,$E92,'7月数据源'!$F:$F,"杭州实时查科技有限公司")+SUMIFS('7月数据源'!$J:$J,'7月数据源'!$D:$D,$E92,'7月数据源'!$F:$F,"杭州实时查科技有限公司")</f>
        <v/>
      </c>
      <c r="M92" s="89">
        <f>-SUMIFS('8月数据源'!$I:$I,'8月数据源'!$D:$D,$E92,'8月数据源'!$F:$F,"杭州实时查科技有限公司")+SUMIFS('8月数据源'!$J:$J,'8月数据源'!$D:$D,$E92,'8月数据源'!$F:$F,"杭州实时查科技有限公司")</f>
        <v/>
      </c>
      <c r="N92" s="89">
        <f>-SUMIFS('9月数据源'!$I:$I,'9月数据源'!$D:$D,$E92,'9月数据源'!$F:$F,"杭州实时查科技有限公司")+SUMIFS('9月数据源'!$J:$J,'9月数据源'!$D:$D,$E92,'9月数据源'!$F:$F,"杭州实时查科技有限公司")</f>
        <v/>
      </c>
      <c r="O92" s="89">
        <f>-SUMIFS('10月数据源'!$I:$I,'10月数据源'!$D:$D,$E92,'10月数据源'!$F:$F,"杭州实时查科技有限公司")+SUMIFS('10月数据源'!$J:$J,'10月数据源'!$D:$D,$E92,'10月数据源'!$F:$F,"杭州实时查科技有限公司")</f>
        <v/>
      </c>
      <c r="P92" s="89">
        <f>-SUMIFS('11月数据源'!$I:$I,'11月数据源'!$D:$D,$E92,'11月数据源'!$F:$F,"杭州实时查科技有限公司")+SUMIFS('11月数据源'!$J:$J,'11月数据源'!$D:$D,$E92,'11月数据源'!$F:$F,"杭州实时查科技有限公司")</f>
        <v/>
      </c>
      <c r="Q92" s="89">
        <f>-SUMIFS('12月数据源'!$I:$I,'12月数据源'!$D:$D,$E92,'12月数据源'!$F:$F,"杭州实时查科技有限公司")+SUMIFS('12月数据源'!$J:$J,'12月数据源'!$D:$D,$E92,'12月数据源'!$F:$F,"杭州实时查科技有限公司")</f>
        <v/>
      </c>
    </row>
    <row r="93" s="83">
      <c r="A93" s="5" t="inlineStr">
        <is>
          <t>研发支出</t>
        </is>
      </c>
      <c r="B93" s="6" t="inlineStr">
        <is>
          <t>服务器算法充值</t>
        </is>
      </c>
      <c r="D93" s="5" t="inlineStr">
        <is>
          <t>其他服务器算法充值</t>
        </is>
      </c>
      <c r="E93" s="6" t="inlineStr">
        <is>
          <t>Q1505</t>
        </is>
      </c>
      <c r="F93" s="89">
        <f>-SUMIFS('1月数据源'!I:I,'1月数据源'!D:D,E93,'1月数据源'!F:F,"杭州实时查科技有限公司")+SUMIFS('1月数据源'!J:J,'1月数据源'!D:D,E93,'1月数据源'!F:F,"杭州实时查科技有限公司")</f>
        <v/>
      </c>
      <c r="G93" s="89">
        <f>-SUMIFS('2月数据源'!$I:$I,'2月数据源'!$D:$D,$E93,'2月数据源'!$F:$F,"杭州实时查科技有限公司")+SUMIFS('2月数据源'!$J:$J,'2月数据源'!$D:$D,$E93,'2月数据源'!$F:$F,"杭州实时查科技有限公司")</f>
        <v/>
      </c>
      <c r="H93" s="89">
        <f>-SUMIFS('3月数据源'!$I:$I,'3月数据源'!$D:$D,$E93,'3月数据源'!$F:$F,"杭州实时查科技有限公司")+SUMIFS('3月数据源'!$J:$J,'3月数据源'!$D:$D,$E93,'3月数据源'!$F:$F,"杭州实时查科技有限公司")</f>
        <v/>
      </c>
      <c r="I93" s="89">
        <f>-SUMIFS('4月数据源'!$I:$I,'4月数据源'!$D:$D,$E93,'4月数据源'!$F:$F,"杭州实时查科技有限公司")+SUMIFS('4月数据源'!$J:$J,'4月数据源'!$D:$D,$E93,'4月数据源'!$F:$F,"杭州实时查科技有限公司")</f>
        <v/>
      </c>
      <c r="J93" s="89">
        <f>-SUMIFS('5月数据源'!$I:$I,'5月数据源'!$D:$D,$E93,'5月数据源'!$F:$F,"杭州实时查科技有限公司")+SUMIFS('5月数据源'!$J:$J,'5月数据源'!$D:$D,$E93,'5月数据源'!$F:$F,"杭州实时查科技有限公司")</f>
        <v/>
      </c>
      <c r="K93" s="89">
        <f>-SUMIFS('6月数据源'!$I:$I,'6月数据源'!$D:$D,$E93,'6月数据源'!$F:$F,"杭州实时查科技有限公司")+SUMIFS('6月数据源'!$J:$J,'6月数据源'!$D:$D,$E93,'6月数据源'!$F:$F,"杭州实时查科技有限公司")</f>
        <v/>
      </c>
      <c r="L93" s="89">
        <f>-SUMIFS('7月数据源'!$I:$I,'7月数据源'!$D:$D,$E93,'7月数据源'!$F:$F,"杭州实时查科技有限公司")+SUMIFS('7月数据源'!$J:$J,'7月数据源'!$D:$D,$E93,'7月数据源'!$F:$F,"杭州实时查科技有限公司")</f>
        <v/>
      </c>
      <c r="M93" s="89">
        <f>-SUMIFS('8月数据源'!$I:$I,'8月数据源'!$D:$D,$E93,'8月数据源'!$F:$F,"杭州实时查科技有限公司")+SUMIFS('8月数据源'!$J:$J,'8月数据源'!$D:$D,$E93,'8月数据源'!$F:$F,"杭州实时查科技有限公司")</f>
        <v/>
      </c>
      <c r="N93" s="89">
        <f>-SUMIFS('9月数据源'!$I:$I,'9月数据源'!$D:$D,$E93,'9月数据源'!$F:$F,"杭州实时查科技有限公司")+SUMIFS('9月数据源'!$J:$J,'9月数据源'!$D:$D,$E93,'9月数据源'!$F:$F,"杭州实时查科技有限公司")</f>
        <v/>
      </c>
      <c r="O93" s="89">
        <f>-SUMIFS('10月数据源'!$I:$I,'10月数据源'!$D:$D,$E93,'10月数据源'!$F:$F,"杭州实时查科技有限公司")+SUMIFS('10月数据源'!$J:$J,'10月数据源'!$D:$D,$E93,'10月数据源'!$F:$F,"杭州实时查科技有限公司")</f>
        <v/>
      </c>
      <c r="P93" s="89">
        <f>-SUMIFS('11月数据源'!$I:$I,'11月数据源'!$D:$D,$E93,'11月数据源'!$F:$F,"杭州实时查科技有限公司")+SUMIFS('11月数据源'!$J:$J,'11月数据源'!$D:$D,$E93,'11月数据源'!$F:$F,"杭州实时查科技有限公司")</f>
        <v/>
      </c>
      <c r="Q93" s="89">
        <f>-SUMIFS('12月数据源'!$I:$I,'12月数据源'!$D:$D,$E93,'12月数据源'!$F:$F,"杭州实时查科技有限公司")+SUMIFS('12月数据源'!$J:$J,'12月数据源'!$D:$D,$E93,'12月数据源'!$F:$F,"杭州实时查科技有限公司")</f>
        <v/>
      </c>
    </row>
    <row r="94" s="83">
      <c r="A94" s="5" t="inlineStr">
        <is>
          <t>研发支出</t>
        </is>
      </c>
      <c r="B94" s="6" t="inlineStr">
        <is>
          <t>研发-服务费</t>
        </is>
      </c>
      <c r="C94" s="6" t="inlineStr">
        <is>
          <t>研发-服务费</t>
        </is>
      </c>
      <c r="D94" s="5" t="inlineStr">
        <is>
          <t>设计外包服务费</t>
        </is>
      </c>
      <c r="E94" s="6" t="inlineStr">
        <is>
          <t>Q1601</t>
        </is>
      </c>
      <c r="F94" s="89">
        <f>-SUMIFS('1月数据源'!I:I,'1月数据源'!D:D,E94,'1月数据源'!F:F,"杭州实时查科技有限公司")+SUMIFS('1月数据源'!J:J,'1月数据源'!D:D,E94,'1月数据源'!F:F,"杭州实时查科技有限公司")</f>
        <v/>
      </c>
      <c r="G94" s="89">
        <f>-SUMIFS('2月数据源'!$I:$I,'2月数据源'!$D:$D,$E94,'2月数据源'!$F:$F,"杭州实时查科技有限公司")+SUMIFS('2月数据源'!$J:$J,'2月数据源'!$D:$D,$E94,'2月数据源'!$F:$F,"杭州实时查科技有限公司")</f>
        <v/>
      </c>
      <c r="H94" s="89">
        <f>-SUMIFS('3月数据源'!$I:$I,'3月数据源'!$D:$D,$E94,'3月数据源'!$F:$F,"杭州实时查科技有限公司")+SUMIFS('3月数据源'!$J:$J,'3月数据源'!$D:$D,$E94,'3月数据源'!$F:$F,"杭州实时查科技有限公司")</f>
        <v/>
      </c>
      <c r="I94" s="89">
        <f>-SUMIFS('4月数据源'!$I:$I,'4月数据源'!$D:$D,$E94,'4月数据源'!$F:$F,"杭州实时查科技有限公司")+SUMIFS('4月数据源'!$J:$J,'4月数据源'!$D:$D,$E94,'4月数据源'!$F:$F,"杭州实时查科技有限公司")</f>
        <v/>
      </c>
      <c r="J94" s="89">
        <f>-SUMIFS('5月数据源'!$I:$I,'5月数据源'!$D:$D,$E94,'5月数据源'!$F:$F,"杭州实时查科技有限公司")+SUMIFS('5月数据源'!$J:$J,'5月数据源'!$D:$D,$E94,'5月数据源'!$F:$F,"杭州实时查科技有限公司")</f>
        <v/>
      </c>
      <c r="K94" s="89">
        <f>-SUMIFS('6月数据源'!$I:$I,'6月数据源'!$D:$D,$E94,'6月数据源'!$F:$F,"杭州实时查科技有限公司")+SUMIFS('6月数据源'!$J:$J,'6月数据源'!$D:$D,$E94,'6月数据源'!$F:$F,"杭州实时查科技有限公司")</f>
        <v/>
      </c>
      <c r="L94" s="89">
        <f>-SUMIFS('7月数据源'!$I:$I,'7月数据源'!$D:$D,$E94,'7月数据源'!$F:$F,"杭州实时查科技有限公司")+SUMIFS('7月数据源'!$J:$J,'7月数据源'!$D:$D,$E94,'7月数据源'!$F:$F,"杭州实时查科技有限公司")</f>
        <v/>
      </c>
      <c r="M94" s="89">
        <f>-SUMIFS('8月数据源'!$I:$I,'8月数据源'!$D:$D,$E94,'8月数据源'!$F:$F,"杭州实时查科技有限公司")+SUMIFS('8月数据源'!$J:$J,'8月数据源'!$D:$D,$E94,'8月数据源'!$F:$F,"杭州实时查科技有限公司")</f>
        <v/>
      </c>
      <c r="N94" s="89">
        <f>-SUMIFS('9月数据源'!$I:$I,'9月数据源'!$D:$D,$E94,'9月数据源'!$F:$F,"杭州实时查科技有限公司")+SUMIFS('9月数据源'!$J:$J,'9月数据源'!$D:$D,$E94,'9月数据源'!$F:$F,"杭州实时查科技有限公司")</f>
        <v/>
      </c>
      <c r="O94" s="89">
        <f>-SUMIFS('10月数据源'!$I:$I,'10月数据源'!$D:$D,$E94,'10月数据源'!$F:$F,"杭州实时查科技有限公司")+SUMIFS('10月数据源'!$J:$J,'10月数据源'!$D:$D,$E94,'10月数据源'!$F:$F,"杭州实时查科技有限公司")</f>
        <v/>
      </c>
      <c r="P94" s="89">
        <f>-SUMIFS('11月数据源'!$I:$I,'11月数据源'!$D:$D,$E94,'11月数据源'!$F:$F,"杭州实时查科技有限公司")+SUMIFS('11月数据源'!$J:$J,'11月数据源'!$D:$D,$E94,'11月数据源'!$F:$F,"杭州实时查科技有限公司")</f>
        <v/>
      </c>
      <c r="Q94" s="89">
        <f>-SUMIFS('12月数据源'!$I:$I,'12月数据源'!$D:$D,$E94,'12月数据源'!$F:$F,"杭州实时查科技有限公司")+SUMIFS('12月数据源'!$J:$J,'12月数据源'!$D:$D,$E94,'12月数据源'!$F:$F,"杭州实时查科技有限公司")</f>
        <v/>
      </c>
    </row>
    <row r="95" s="83">
      <c r="A95" s="5" t="inlineStr">
        <is>
          <t>研发支出</t>
        </is>
      </c>
      <c r="B95" s="6" t="inlineStr">
        <is>
          <t>研发-服务费</t>
        </is>
      </c>
      <c r="D95" s="5" t="inlineStr">
        <is>
          <t>AI技术外包服务费</t>
        </is>
      </c>
      <c r="E95" s="6" t="inlineStr">
        <is>
          <t>Q1602</t>
        </is>
      </c>
      <c r="F95" s="89">
        <f>-SUMIFS('1月数据源'!I:I,'1月数据源'!D:D,E95,'1月数据源'!F:F,"杭州实时查科技有限公司")+SUMIFS('1月数据源'!J:J,'1月数据源'!D:D,E95,'1月数据源'!F:F,"杭州实时查科技有限公司")</f>
        <v/>
      </c>
      <c r="G95" s="89">
        <f>-SUMIFS('2月数据源'!$I:$I,'2月数据源'!$D:$D,$E95,'2月数据源'!$F:$F,"杭州实时查科技有限公司")+SUMIFS('2月数据源'!$J:$J,'2月数据源'!$D:$D,$E95,'2月数据源'!$F:$F,"杭州实时查科技有限公司")</f>
        <v/>
      </c>
      <c r="H95" s="89">
        <f>-SUMIFS('3月数据源'!$I:$I,'3月数据源'!$D:$D,$E95,'3月数据源'!$F:$F,"杭州实时查科技有限公司")+SUMIFS('3月数据源'!$J:$J,'3月数据源'!$D:$D,$E95,'3月数据源'!$F:$F,"杭州实时查科技有限公司")</f>
        <v/>
      </c>
      <c r="I95" s="89">
        <f>-SUMIFS('4月数据源'!$I:$I,'4月数据源'!$D:$D,$E95,'4月数据源'!$F:$F,"杭州实时查科技有限公司")+SUMIFS('4月数据源'!$J:$J,'4月数据源'!$D:$D,$E95,'4月数据源'!$F:$F,"杭州实时查科技有限公司")</f>
        <v/>
      </c>
      <c r="J95" s="89">
        <f>-SUMIFS('5月数据源'!$I:$I,'5月数据源'!$D:$D,$E95,'5月数据源'!$F:$F,"杭州实时查科技有限公司")+SUMIFS('5月数据源'!$J:$J,'5月数据源'!$D:$D,$E95,'5月数据源'!$F:$F,"杭州实时查科技有限公司")</f>
        <v/>
      </c>
      <c r="K95" s="89">
        <f>-SUMIFS('6月数据源'!$I:$I,'6月数据源'!$D:$D,$E95,'6月数据源'!$F:$F,"杭州实时查科技有限公司")+SUMIFS('6月数据源'!$J:$J,'6月数据源'!$D:$D,$E95,'6月数据源'!$F:$F,"杭州实时查科技有限公司")</f>
        <v/>
      </c>
      <c r="L95" s="89">
        <f>-SUMIFS('7月数据源'!$I:$I,'7月数据源'!$D:$D,$E95,'7月数据源'!$F:$F,"杭州实时查科技有限公司")+SUMIFS('7月数据源'!$J:$J,'7月数据源'!$D:$D,$E95,'7月数据源'!$F:$F,"杭州实时查科技有限公司")</f>
        <v/>
      </c>
      <c r="M95" s="89">
        <f>-SUMIFS('8月数据源'!$I:$I,'8月数据源'!$D:$D,$E95,'8月数据源'!$F:$F,"杭州实时查科技有限公司")+SUMIFS('8月数据源'!$J:$J,'8月数据源'!$D:$D,$E95,'8月数据源'!$F:$F,"杭州实时查科技有限公司")</f>
        <v/>
      </c>
      <c r="N95" s="89">
        <f>-SUMIFS('9月数据源'!$I:$I,'9月数据源'!$D:$D,$E95,'9月数据源'!$F:$F,"杭州实时查科技有限公司")+SUMIFS('9月数据源'!$J:$J,'9月数据源'!$D:$D,$E95,'9月数据源'!$F:$F,"杭州实时查科技有限公司")</f>
        <v/>
      </c>
      <c r="O95" s="89">
        <f>-SUMIFS('10月数据源'!$I:$I,'10月数据源'!$D:$D,$E95,'10月数据源'!$F:$F,"杭州实时查科技有限公司")+SUMIFS('10月数据源'!$J:$J,'10月数据源'!$D:$D,$E95,'10月数据源'!$F:$F,"杭州实时查科技有限公司")</f>
        <v/>
      </c>
      <c r="P95" s="89">
        <f>-SUMIFS('11月数据源'!$I:$I,'11月数据源'!$D:$D,$E95,'11月数据源'!$F:$F,"杭州实时查科技有限公司")+SUMIFS('11月数据源'!$J:$J,'11月数据源'!$D:$D,$E95,'11月数据源'!$F:$F,"杭州实时查科技有限公司")</f>
        <v/>
      </c>
      <c r="Q95" s="89">
        <f>-SUMIFS('12月数据源'!$I:$I,'12月数据源'!$D:$D,$E95,'12月数据源'!$F:$F,"杭州实时查科技有限公司")+SUMIFS('12月数据源'!$J:$J,'12月数据源'!$D:$D,$E95,'12月数据源'!$F:$F,"杭州实时查科技有限公司")</f>
        <v/>
      </c>
    </row>
    <row r="96" s="83">
      <c r="A96" s="5" t="inlineStr">
        <is>
          <t>研发支出</t>
        </is>
      </c>
      <c r="B96" s="6" t="inlineStr">
        <is>
          <t>研发-服务费</t>
        </is>
      </c>
      <c r="D96" s="5" t="inlineStr">
        <is>
          <t>知识产权服务费</t>
        </is>
      </c>
      <c r="E96" s="6" t="inlineStr">
        <is>
          <t>Q1603</t>
        </is>
      </c>
      <c r="F96" s="89">
        <f>-SUMIFS('1月数据源'!I:I,'1月数据源'!D:D,E96,'1月数据源'!F:F,"杭州实时查科技有限公司")+SUMIFS('1月数据源'!J:J,'1月数据源'!D:D,E96,'1月数据源'!F:F,"杭州实时查科技有限公司")</f>
        <v/>
      </c>
      <c r="G96" s="89">
        <f>-SUMIFS('2月数据源'!$I:$I,'2月数据源'!$D:$D,$E96,'2月数据源'!$F:$F,"杭州实时查科技有限公司")+SUMIFS('2月数据源'!$J:$J,'2月数据源'!$D:$D,$E96,'2月数据源'!$F:$F,"杭州实时查科技有限公司")</f>
        <v/>
      </c>
      <c r="H96" s="89">
        <f>-SUMIFS('3月数据源'!$I:$I,'3月数据源'!$D:$D,$E96,'3月数据源'!$F:$F,"杭州实时查科技有限公司")+SUMIFS('3月数据源'!$J:$J,'3月数据源'!$D:$D,$E96,'3月数据源'!$F:$F,"杭州实时查科技有限公司")</f>
        <v/>
      </c>
      <c r="I96" s="89">
        <f>-SUMIFS('4月数据源'!$I:$I,'4月数据源'!$D:$D,$E96,'4月数据源'!$F:$F,"杭州实时查科技有限公司")+SUMIFS('4月数据源'!$J:$J,'4月数据源'!$D:$D,$E96,'4月数据源'!$F:$F,"杭州实时查科技有限公司")</f>
        <v/>
      </c>
      <c r="J96" s="89">
        <f>-SUMIFS('5月数据源'!$I:$I,'5月数据源'!$D:$D,$E96,'5月数据源'!$F:$F,"杭州实时查科技有限公司")+SUMIFS('5月数据源'!$J:$J,'5月数据源'!$D:$D,$E96,'5月数据源'!$F:$F,"杭州实时查科技有限公司")</f>
        <v/>
      </c>
      <c r="K96" s="89">
        <f>-SUMIFS('6月数据源'!$I:$I,'6月数据源'!$D:$D,$E96,'6月数据源'!$F:$F,"杭州实时查科技有限公司")+SUMIFS('6月数据源'!$J:$J,'6月数据源'!$D:$D,$E96,'6月数据源'!$F:$F,"杭州实时查科技有限公司")</f>
        <v/>
      </c>
      <c r="L96" s="89">
        <f>-SUMIFS('7月数据源'!$I:$I,'7月数据源'!$D:$D,$E96,'7月数据源'!$F:$F,"杭州实时查科技有限公司")+SUMIFS('7月数据源'!$J:$J,'7月数据源'!$D:$D,$E96,'7月数据源'!$F:$F,"杭州实时查科技有限公司")</f>
        <v/>
      </c>
      <c r="M96" s="89">
        <f>-SUMIFS('8月数据源'!$I:$I,'8月数据源'!$D:$D,$E96,'8月数据源'!$F:$F,"杭州实时查科技有限公司")+SUMIFS('8月数据源'!$J:$J,'8月数据源'!$D:$D,$E96,'8月数据源'!$F:$F,"杭州实时查科技有限公司")</f>
        <v/>
      </c>
      <c r="N96" s="89">
        <f>-SUMIFS('9月数据源'!$I:$I,'9月数据源'!$D:$D,$E96,'9月数据源'!$F:$F,"杭州实时查科技有限公司")+SUMIFS('9月数据源'!$J:$J,'9月数据源'!$D:$D,$E96,'9月数据源'!$F:$F,"杭州实时查科技有限公司")</f>
        <v/>
      </c>
      <c r="O96" s="89">
        <f>-SUMIFS('10月数据源'!$I:$I,'10月数据源'!$D:$D,$E96,'10月数据源'!$F:$F,"杭州实时查科技有限公司")+SUMIFS('10月数据源'!$J:$J,'10月数据源'!$D:$D,$E96,'10月数据源'!$F:$F,"杭州实时查科技有限公司")</f>
        <v/>
      </c>
      <c r="P96" s="89">
        <f>-SUMIFS('11月数据源'!$I:$I,'11月数据源'!$D:$D,$E96,'11月数据源'!$F:$F,"杭州实时查科技有限公司")+SUMIFS('11月数据源'!$J:$J,'11月数据源'!$D:$D,$E96,'11月数据源'!$F:$F,"杭州实时查科技有限公司")</f>
        <v/>
      </c>
      <c r="Q96" s="89">
        <f>-SUMIFS('12月数据源'!$I:$I,'12月数据源'!$D:$D,$E96,'12月数据源'!$F:$F,"杭州实时查科技有限公司")+SUMIFS('12月数据源'!$J:$J,'12月数据源'!$D:$D,$E96,'12月数据源'!$F:$F,"杭州实时查科技有限公司")</f>
        <v/>
      </c>
    </row>
    <row r="97" s="83">
      <c r="A97" s="5" t="inlineStr">
        <is>
          <t>研发支出</t>
        </is>
      </c>
      <c r="B97" s="6" t="inlineStr">
        <is>
          <t>研发-费用报销</t>
        </is>
      </c>
      <c r="C97" s="6" t="inlineStr">
        <is>
          <t>研发-费用报销</t>
        </is>
      </c>
      <c r="D97" s="5" t="inlineStr">
        <is>
          <t>研发员工报销</t>
        </is>
      </c>
      <c r="E97" s="6" t="inlineStr">
        <is>
          <t>Q1701</t>
        </is>
      </c>
      <c r="F97" s="89">
        <f>-SUMIFS('1月数据源'!I:I,'1月数据源'!D:D,E97,'1月数据源'!F:F,"杭州实时查科技有限公司")+SUMIFS('1月数据源'!J:J,'1月数据源'!D:D,E97,'1月数据源'!F:F,"杭州实时查科技有限公司")</f>
        <v/>
      </c>
      <c r="G97" s="89">
        <f>-SUMIFS('2月数据源'!$I:$I,'2月数据源'!$D:$D,$E97,'2月数据源'!$F:$F,"杭州实时查科技有限公司")+SUMIFS('2月数据源'!$J:$J,'2月数据源'!$D:$D,$E97,'2月数据源'!$F:$F,"杭州实时查科技有限公司")</f>
        <v/>
      </c>
      <c r="H97" s="89">
        <f>-SUMIFS('3月数据源'!$I:$I,'3月数据源'!$D:$D,$E97,'3月数据源'!$F:$F,"杭州实时查科技有限公司")+SUMIFS('3月数据源'!$J:$J,'3月数据源'!$D:$D,$E97,'3月数据源'!$F:$F,"杭州实时查科技有限公司")</f>
        <v/>
      </c>
      <c r="I97" s="89">
        <f>-SUMIFS('4月数据源'!$I:$I,'4月数据源'!$D:$D,$E97,'4月数据源'!$F:$F,"杭州实时查科技有限公司")+SUMIFS('4月数据源'!$J:$J,'4月数据源'!$D:$D,$E97,'4月数据源'!$F:$F,"杭州实时查科技有限公司")</f>
        <v/>
      </c>
      <c r="J97" s="89">
        <f>-SUMIFS('5月数据源'!$I:$I,'5月数据源'!$D:$D,$E97,'5月数据源'!$F:$F,"杭州实时查科技有限公司")+SUMIFS('5月数据源'!$J:$J,'5月数据源'!$D:$D,$E97,'5月数据源'!$F:$F,"杭州实时查科技有限公司")</f>
        <v/>
      </c>
      <c r="K97" s="89">
        <f>-SUMIFS('6月数据源'!$I:$I,'6月数据源'!$D:$D,$E97,'6月数据源'!$F:$F,"杭州实时查科技有限公司")+SUMIFS('6月数据源'!$J:$J,'6月数据源'!$D:$D,$E97,'6月数据源'!$F:$F,"杭州实时查科技有限公司")</f>
        <v/>
      </c>
      <c r="L97" s="89">
        <f>-SUMIFS('7月数据源'!$I:$I,'7月数据源'!$D:$D,$E97,'7月数据源'!$F:$F,"杭州实时查科技有限公司")+SUMIFS('7月数据源'!$J:$J,'7月数据源'!$D:$D,$E97,'7月数据源'!$F:$F,"杭州实时查科技有限公司")</f>
        <v/>
      </c>
      <c r="M97" s="89">
        <f>-SUMIFS('8月数据源'!$I:$I,'8月数据源'!$D:$D,$E97,'8月数据源'!$F:$F,"杭州实时查科技有限公司")+SUMIFS('8月数据源'!$J:$J,'8月数据源'!$D:$D,$E97,'8月数据源'!$F:$F,"杭州实时查科技有限公司")</f>
        <v/>
      </c>
      <c r="N97" s="89">
        <f>-SUMIFS('9月数据源'!$I:$I,'9月数据源'!$D:$D,$E97,'9月数据源'!$F:$F,"杭州实时查科技有限公司")+SUMIFS('9月数据源'!$J:$J,'9月数据源'!$D:$D,$E97,'9月数据源'!$F:$F,"杭州实时查科技有限公司")</f>
        <v/>
      </c>
      <c r="O97" s="89">
        <f>-SUMIFS('10月数据源'!$I:$I,'10月数据源'!$D:$D,$E97,'10月数据源'!$F:$F,"杭州实时查科技有限公司")+SUMIFS('10月数据源'!$J:$J,'10月数据源'!$D:$D,$E97,'10月数据源'!$F:$F,"杭州实时查科技有限公司")</f>
        <v/>
      </c>
      <c r="P97" s="89">
        <f>-SUMIFS('11月数据源'!$I:$I,'11月数据源'!$D:$D,$E97,'11月数据源'!$F:$F,"杭州实时查科技有限公司")+SUMIFS('11月数据源'!$J:$J,'11月数据源'!$D:$D,$E97,'11月数据源'!$F:$F,"杭州实时查科技有限公司")</f>
        <v/>
      </c>
      <c r="Q97" s="89">
        <f>-SUMIFS('12月数据源'!$I:$I,'12月数据源'!$D:$D,$E97,'12月数据源'!$F:$F,"杭州实时查科技有限公司")+SUMIFS('12月数据源'!$J:$J,'12月数据源'!$D:$D,$E97,'12月数据源'!$F:$F,"杭州实时查科技有限公司")</f>
        <v/>
      </c>
    </row>
    <row r="98" s="83">
      <c r="A98" s="49" t="inlineStr">
        <is>
          <t>研发支出合计</t>
        </is>
      </c>
      <c r="B98" s="50" t="n"/>
      <c r="C98" s="50" t="n"/>
      <c r="D98" s="49" t="n"/>
      <c r="E98" s="49" t="n"/>
      <c r="F98" s="89">
        <f>SUM(F70:F97)</f>
        <v/>
      </c>
      <c r="G98" s="89">
        <f>SUM(G70:G97)</f>
        <v/>
      </c>
      <c r="H98" s="89">
        <f>SUM(H70:H97)</f>
        <v/>
      </c>
      <c r="I98" s="89">
        <f>SUM(I70:I97)</f>
        <v/>
      </c>
      <c r="J98" s="89">
        <f>SUM(J70:J97)</f>
        <v/>
      </c>
      <c r="K98" s="89">
        <f>SUM(K70:K97)</f>
        <v/>
      </c>
      <c r="L98" s="89">
        <f>SUM(L70:L97)</f>
        <v/>
      </c>
      <c r="M98" s="89">
        <f>SUM(M70:M97)</f>
        <v/>
      </c>
      <c r="N98" s="89">
        <f>SUM(N70:N97)</f>
        <v/>
      </c>
      <c r="O98" s="89">
        <f>SUM(O70:O97)</f>
        <v/>
      </c>
      <c r="P98" s="89">
        <f>SUM(P70:P97)</f>
        <v/>
      </c>
      <c r="Q98" s="89">
        <f>SUM(Q70:Q97)</f>
        <v/>
      </c>
    </row>
    <row r="99" s="83">
      <c r="A99" s="5" t="inlineStr">
        <is>
          <t>销售费用</t>
        </is>
      </c>
      <c r="B99" s="6" t="inlineStr">
        <is>
          <t>品牌建设</t>
        </is>
      </c>
      <c r="C99" s="6" t="inlineStr">
        <is>
          <t>品牌建设</t>
        </is>
      </c>
      <c r="D99" s="5" t="inlineStr">
        <is>
          <t>媒体采购</t>
        </is>
      </c>
      <c r="E99" s="6" t="inlineStr">
        <is>
          <t>Q1801</t>
        </is>
      </c>
      <c r="F99" s="89">
        <f>-SUMIFS('1月数据源'!I:I,'1月数据源'!D:D,E99,'1月数据源'!F:F,"杭州实时查科技有限公司")+SUMIFS('1月数据源'!J:J,'1月数据源'!D:D,E99,'1月数据源'!F:F,"杭州实时查科技有限公司")</f>
        <v/>
      </c>
      <c r="G99" s="89">
        <f>-SUMIFS('2月数据源'!$I:$I,'2月数据源'!$D:$D,$E99,'2月数据源'!$F:$F,"杭州实时查科技有限公司")+SUMIFS('2月数据源'!$J:$J,'2月数据源'!$D:$D,$E99,'2月数据源'!$F:$F,"杭州实时查科技有限公司")</f>
        <v/>
      </c>
      <c r="H99" s="89">
        <f>-SUMIFS('3月数据源'!$I:$I,'3月数据源'!$D:$D,$E99,'3月数据源'!$F:$F,"杭州实时查科技有限公司")+SUMIFS('3月数据源'!$J:$J,'3月数据源'!$D:$D,$E99,'3月数据源'!$F:$F,"杭州实时查科技有限公司")</f>
        <v/>
      </c>
      <c r="I99" s="89">
        <f>-SUMIFS('4月数据源'!$I:$I,'4月数据源'!$D:$D,$E99,'4月数据源'!$F:$F,"杭州实时查科技有限公司")+SUMIFS('4月数据源'!$J:$J,'4月数据源'!$D:$D,$E99,'4月数据源'!$F:$F,"杭州实时查科技有限公司")</f>
        <v/>
      </c>
      <c r="J99" s="89">
        <f>-SUMIFS('5月数据源'!$I:$I,'5月数据源'!$D:$D,$E99,'5月数据源'!$F:$F,"杭州实时查科技有限公司")+SUMIFS('5月数据源'!$J:$J,'5月数据源'!$D:$D,$E99,'5月数据源'!$F:$F,"杭州实时查科技有限公司")</f>
        <v/>
      </c>
      <c r="K99" s="89">
        <f>-SUMIFS('6月数据源'!$I:$I,'6月数据源'!$D:$D,$E99,'6月数据源'!$F:$F,"杭州实时查科技有限公司")+SUMIFS('6月数据源'!$J:$J,'6月数据源'!$D:$D,$E99,'6月数据源'!$F:$F,"杭州实时查科技有限公司")</f>
        <v/>
      </c>
      <c r="L99" s="89">
        <f>-SUMIFS('7月数据源'!$I:$I,'7月数据源'!$D:$D,$E99,'7月数据源'!$F:$F,"杭州实时查科技有限公司")+SUMIFS('7月数据源'!$J:$J,'7月数据源'!$D:$D,$E99,'7月数据源'!$F:$F,"杭州实时查科技有限公司")</f>
        <v/>
      </c>
      <c r="M99" s="89">
        <f>-SUMIFS('8月数据源'!$I:$I,'8月数据源'!$D:$D,$E99,'8月数据源'!$F:$F,"杭州实时查科技有限公司")+SUMIFS('8月数据源'!$J:$J,'8月数据源'!$D:$D,$E99,'8月数据源'!$F:$F,"杭州实时查科技有限公司")</f>
        <v/>
      </c>
      <c r="N99" s="89">
        <f>-SUMIFS('9月数据源'!$I:$I,'9月数据源'!$D:$D,$E99,'9月数据源'!$F:$F,"杭州实时查科技有限公司")+SUMIFS('9月数据源'!$J:$J,'9月数据源'!$D:$D,$E99,'9月数据源'!$F:$F,"杭州实时查科技有限公司")</f>
        <v/>
      </c>
      <c r="O99" s="89">
        <f>-SUMIFS('10月数据源'!$I:$I,'10月数据源'!$D:$D,$E99,'10月数据源'!$F:$F,"杭州实时查科技有限公司")+SUMIFS('10月数据源'!$J:$J,'10月数据源'!$D:$D,$E99,'10月数据源'!$F:$F,"杭州实时查科技有限公司")</f>
        <v/>
      </c>
      <c r="P99" s="89">
        <f>-SUMIFS('11月数据源'!$I:$I,'11月数据源'!$D:$D,$E99,'11月数据源'!$F:$F,"杭州实时查科技有限公司")+SUMIFS('11月数据源'!$J:$J,'11月数据源'!$D:$D,$E99,'11月数据源'!$F:$F,"杭州实时查科技有限公司")</f>
        <v/>
      </c>
      <c r="Q99" s="89">
        <f>-SUMIFS('12月数据源'!$I:$I,'12月数据源'!$D:$D,$E99,'12月数据源'!$F:$F,"杭州实时查科技有限公司")+SUMIFS('12月数据源'!$J:$J,'12月数据源'!$D:$D,$E99,'12月数据源'!$F:$F,"杭州实时查科技有限公司")</f>
        <v/>
      </c>
    </row>
    <row r="100" s="83">
      <c r="A100" s="5" t="inlineStr">
        <is>
          <t>销售费用</t>
        </is>
      </c>
      <c r="B100" s="6" t="inlineStr">
        <is>
          <t>品牌建设</t>
        </is>
      </c>
      <c r="D100" s="5" t="inlineStr">
        <is>
          <t>舆情服务</t>
        </is>
      </c>
      <c r="E100" s="6" t="inlineStr">
        <is>
          <t>Q1802</t>
        </is>
      </c>
      <c r="F100" s="89">
        <f>-SUMIFS('1月数据源'!I:I,'1月数据源'!D:D,E100,'1月数据源'!F:F,"杭州实时查科技有限公司")+SUMIFS('1月数据源'!J:J,'1月数据源'!D:D,E100,'1月数据源'!F:F,"杭州实时查科技有限公司")</f>
        <v/>
      </c>
      <c r="G100" s="89">
        <f>-SUMIFS('2月数据源'!$I:$I,'2月数据源'!$D:$D,$E100,'2月数据源'!$F:$F,"杭州实时查科技有限公司")+SUMIFS('2月数据源'!$J:$J,'2月数据源'!$D:$D,$E100,'2月数据源'!$F:$F,"杭州实时查科技有限公司")</f>
        <v/>
      </c>
      <c r="H100" s="89">
        <f>-SUMIFS('3月数据源'!$I:$I,'3月数据源'!$D:$D,$E100,'3月数据源'!$F:$F,"杭州实时查科技有限公司")+SUMIFS('3月数据源'!$J:$J,'3月数据源'!$D:$D,$E100,'3月数据源'!$F:$F,"杭州实时查科技有限公司")</f>
        <v/>
      </c>
      <c r="I100" s="89">
        <f>-SUMIFS('4月数据源'!$I:$I,'4月数据源'!$D:$D,$E100,'4月数据源'!$F:$F,"杭州实时查科技有限公司")+SUMIFS('4月数据源'!$J:$J,'4月数据源'!$D:$D,$E100,'4月数据源'!$F:$F,"杭州实时查科技有限公司")</f>
        <v/>
      </c>
      <c r="J100" s="89">
        <f>-SUMIFS('5月数据源'!$I:$I,'5月数据源'!$D:$D,$E100,'5月数据源'!$F:$F,"杭州实时查科技有限公司")+SUMIFS('5月数据源'!$J:$J,'5月数据源'!$D:$D,$E100,'5月数据源'!$F:$F,"杭州实时查科技有限公司")</f>
        <v/>
      </c>
      <c r="K100" s="89">
        <f>-SUMIFS('6月数据源'!$I:$I,'6月数据源'!$D:$D,$E100,'6月数据源'!$F:$F,"杭州实时查科技有限公司")+SUMIFS('6月数据源'!$J:$J,'6月数据源'!$D:$D,$E100,'6月数据源'!$F:$F,"杭州实时查科技有限公司")</f>
        <v/>
      </c>
      <c r="L100" s="89">
        <f>-SUMIFS('7月数据源'!$I:$I,'7月数据源'!$D:$D,$E100,'7月数据源'!$F:$F,"杭州实时查科技有限公司")+SUMIFS('7月数据源'!$J:$J,'7月数据源'!$D:$D,$E100,'7月数据源'!$F:$F,"杭州实时查科技有限公司")</f>
        <v/>
      </c>
      <c r="M100" s="89">
        <f>-SUMIFS('8月数据源'!$I:$I,'8月数据源'!$D:$D,$E100,'8月数据源'!$F:$F,"杭州实时查科技有限公司")+SUMIFS('8月数据源'!$J:$J,'8月数据源'!$D:$D,$E100,'8月数据源'!$F:$F,"杭州实时查科技有限公司")</f>
        <v/>
      </c>
      <c r="N100" s="89">
        <f>-SUMIFS('9月数据源'!$I:$I,'9月数据源'!$D:$D,$E100,'9月数据源'!$F:$F,"杭州实时查科技有限公司")+SUMIFS('9月数据源'!$J:$J,'9月数据源'!$D:$D,$E100,'9月数据源'!$F:$F,"杭州实时查科技有限公司")</f>
        <v/>
      </c>
      <c r="O100" s="89">
        <f>-SUMIFS('10月数据源'!$I:$I,'10月数据源'!$D:$D,$E100,'10月数据源'!$F:$F,"杭州实时查科技有限公司")+SUMIFS('10月数据源'!$J:$J,'10月数据源'!$D:$D,$E100,'10月数据源'!$F:$F,"杭州实时查科技有限公司")</f>
        <v/>
      </c>
      <c r="P100" s="89">
        <f>-SUMIFS('11月数据源'!$I:$I,'11月数据源'!$D:$D,$E100,'11月数据源'!$F:$F,"杭州实时查科技有限公司")+SUMIFS('11月数据源'!$J:$J,'11月数据源'!$D:$D,$E100,'11月数据源'!$F:$F,"杭州实时查科技有限公司")</f>
        <v/>
      </c>
      <c r="Q100" s="89">
        <f>-SUMIFS('12月数据源'!$I:$I,'12月数据源'!$D:$D,$E100,'12月数据源'!$F:$F,"杭州实时查科技有限公司")+SUMIFS('12月数据源'!$J:$J,'12月数据源'!$D:$D,$E100,'12月数据源'!$F:$F,"杭州实时查科技有限公司")</f>
        <v/>
      </c>
    </row>
    <row r="101" s="83">
      <c r="A101" s="5" t="inlineStr">
        <is>
          <t>销售费用</t>
        </is>
      </c>
      <c r="B101" s="6" t="inlineStr">
        <is>
          <t>品牌建设</t>
        </is>
      </c>
      <c r="D101" s="5" t="inlineStr">
        <is>
          <t>会务服务</t>
        </is>
      </c>
      <c r="E101" s="6" t="inlineStr">
        <is>
          <t>Q1803</t>
        </is>
      </c>
      <c r="F101" s="89">
        <f>-SUMIFS('1月数据源'!I:I,'1月数据源'!D:D,E101,'1月数据源'!F:F,"杭州实时查科技有限公司")+SUMIFS('1月数据源'!J:J,'1月数据源'!D:D,E101,'1月数据源'!F:F,"杭州实时查科技有限公司")</f>
        <v/>
      </c>
      <c r="G101" s="89">
        <f>-SUMIFS('2月数据源'!$I:$I,'2月数据源'!$D:$D,$E101,'2月数据源'!$F:$F,"杭州实时查科技有限公司")+SUMIFS('2月数据源'!$J:$J,'2月数据源'!$D:$D,$E101,'2月数据源'!$F:$F,"杭州实时查科技有限公司")</f>
        <v/>
      </c>
      <c r="H101" s="89">
        <f>-SUMIFS('3月数据源'!$I:$I,'3月数据源'!$D:$D,$E101,'3月数据源'!$F:$F,"杭州实时查科技有限公司")+SUMIFS('3月数据源'!$J:$J,'3月数据源'!$D:$D,$E101,'3月数据源'!$F:$F,"杭州实时查科技有限公司")</f>
        <v/>
      </c>
      <c r="I101" s="89">
        <f>-SUMIFS('4月数据源'!$I:$I,'4月数据源'!$D:$D,$E101,'4月数据源'!$F:$F,"杭州实时查科技有限公司")+SUMIFS('4月数据源'!$J:$J,'4月数据源'!$D:$D,$E101,'4月数据源'!$F:$F,"杭州实时查科技有限公司")</f>
        <v/>
      </c>
      <c r="J101" s="89">
        <f>-SUMIFS('5月数据源'!$I:$I,'5月数据源'!$D:$D,$E101,'5月数据源'!$F:$F,"杭州实时查科技有限公司")+SUMIFS('5月数据源'!$J:$J,'5月数据源'!$D:$D,$E101,'5月数据源'!$F:$F,"杭州实时查科技有限公司")</f>
        <v/>
      </c>
      <c r="K101" s="89">
        <f>-SUMIFS('6月数据源'!$I:$I,'6月数据源'!$D:$D,$E101,'6月数据源'!$F:$F,"杭州实时查科技有限公司")+SUMIFS('6月数据源'!$J:$J,'6月数据源'!$D:$D,$E101,'6月数据源'!$F:$F,"杭州实时查科技有限公司")</f>
        <v/>
      </c>
      <c r="L101" s="89">
        <f>-SUMIFS('7月数据源'!$I:$I,'7月数据源'!$D:$D,$E101,'7月数据源'!$F:$F,"杭州实时查科技有限公司")+SUMIFS('7月数据源'!$J:$J,'7月数据源'!$D:$D,$E101,'7月数据源'!$F:$F,"杭州实时查科技有限公司")</f>
        <v/>
      </c>
      <c r="M101" s="89">
        <f>-SUMIFS('8月数据源'!$I:$I,'8月数据源'!$D:$D,$E101,'8月数据源'!$F:$F,"杭州实时查科技有限公司")+SUMIFS('8月数据源'!$J:$J,'8月数据源'!$D:$D,$E101,'8月数据源'!$F:$F,"杭州实时查科技有限公司")</f>
        <v/>
      </c>
      <c r="N101" s="89">
        <f>-SUMIFS('9月数据源'!$I:$I,'9月数据源'!$D:$D,$E101,'9月数据源'!$F:$F,"杭州实时查科技有限公司")+SUMIFS('9月数据源'!$J:$J,'9月数据源'!$D:$D,$E101,'9月数据源'!$F:$F,"杭州实时查科技有限公司")</f>
        <v/>
      </c>
      <c r="O101" s="89">
        <f>-SUMIFS('10月数据源'!$I:$I,'10月数据源'!$D:$D,$E101,'10月数据源'!$F:$F,"杭州实时查科技有限公司")+SUMIFS('10月数据源'!$J:$J,'10月数据源'!$D:$D,$E101,'10月数据源'!$F:$F,"杭州实时查科技有限公司")</f>
        <v/>
      </c>
      <c r="P101" s="89">
        <f>-SUMIFS('11月数据源'!$I:$I,'11月数据源'!$D:$D,$E101,'11月数据源'!$F:$F,"杭州实时查科技有限公司")+SUMIFS('11月数据源'!$J:$J,'11月数据源'!$D:$D,$E101,'11月数据源'!$F:$F,"杭州实时查科技有限公司")</f>
        <v/>
      </c>
      <c r="Q101" s="89">
        <f>-SUMIFS('12月数据源'!$I:$I,'12月数据源'!$D:$D,$E101,'12月数据源'!$F:$F,"杭州实时查科技有限公司")+SUMIFS('12月数据源'!$J:$J,'12月数据源'!$D:$D,$E101,'12月数据源'!$F:$F,"杭州实时查科技有限公司")</f>
        <v/>
      </c>
    </row>
    <row r="102" s="83">
      <c r="A102" s="5" t="inlineStr">
        <is>
          <t>销售费用</t>
        </is>
      </c>
      <c r="B102" s="6" t="inlineStr">
        <is>
          <t>品牌建设</t>
        </is>
      </c>
      <c r="D102" s="5" t="inlineStr">
        <is>
          <t>场地搭建</t>
        </is>
      </c>
      <c r="E102" s="6" t="inlineStr">
        <is>
          <t>Q1804</t>
        </is>
      </c>
      <c r="F102" s="89">
        <f>-SUMIFS('1月数据源'!I:I,'1月数据源'!D:D,E102,'1月数据源'!F:F,"杭州实时查科技有限公司")+SUMIFS('1月数据源'!J:J,'1月数据源'!D:D,E102,'1月数据源'!F:F,"杭州实时查科技有限公司")</f>
        <v/>
      </c>
      <c r="G102" s="89">
        <f>-SUMIFS('2月数据源'!$I:$I,'2月数据源'!$D:$D,$E102,'2月数据源'!$F:$F,"杭州实时查科技有限公司")+SUMIFS('2月数据源'!$J:$J,'2月数据源'!$D:$D,$E102,'2月数据源'!$F:$F,"杭州实时查科技有限公司")</f>
        <v/>
      </c>
      <c r="H102" s="89">
        <f>-SUMIFS('3月数据源'!$I:$I,'3月数据源'!$D:$D,$E102,'3月数据源'!$F:$F,"杭州实时查科技有限公司")+SUMIFS('3月数据源'!$J:$J,'3月数据源'!$D:$D,$E102,'3月数据源'!$F:$F,"杭州实时查科技有限公司")</f>
        <v/>
      </c>
      <c r="I102" s="89">
        <f>-SUMIFS('4月数据源'!$I:$I,'4月数据源'!$D:$D,$E102,'4月数据源'!$F:$F,"杭州实时查科技有限公司")+SUMIFS('4月数据源'!$J:$J,'4月数据源'!$D:$D,$E102,'4月数据源'!$F:$F,"杭州实时查科技有限公司")</f>
        <v/>
      </c>
      <c r="J102" s="89">
        <f>-SUMIFS('5月数据源'!$I:$I,'5月数据源'!$D:$D,$E102,'5月数据源'!$F:$F,"杭州实时查科技有限公司")+SUMIFS('5月数据源'!$J:$J,'5月数据源'!$D:$D,$E102,'5月数据源'!$F:$F,"杭州实时查科技有限公司")</f>
        <v/>
      </c>
      <c r="K102" s="89">
        <f>-SUMIFS('6月数据源'!$I:$I,'6月数据源'!$D:$D,$E102,'6月数据源'!$F:$F,"杭州实时查科技有限公司")+SUMIFS('6月数据源'!$J:$J,'6月数据源'!$D:$D,$E102,'6月数据源'!$F:$F,"杭州实时查科技有限公司")</f>
        <v/>
      </c>
      <c r="L102" s="89">
        <f>-SUMIFS('7月数据源'!$I:$I,'7月数据源'!$D:$D,$E102,'7月数据源'!$F:$F,"杭州实时查科技有限公司")+SUMIFS('7月数据源'!$J:$J,'7月数据源'!$D:$D,$E102,'7月数据源'!$F:$F,"杭州实时查科技有限公司")</f>
        <v/>
      </c>
      <c r="M102" s="89">
        <f>-SUMIFS('8月数据源'!$I:$I,'8月数据源'!$D:$D,$E102,'8月数据源'!$F:$F,"杭州实时查科技有限公司")+SUMIFS('8月数据源'!$J:$J,'8月数据源'!$D:$D,$E102,'8月数据源'!$F:$F,"杭州实时查科技有限公司")</f>
        <v/>
      </c>
      <c r="N102" s="89">
        <f>-SUMIFS('9月数据源'!$I:$I,'9月数据源'!$D:$D,$E102,'9月数据源'!$F:$F,"杭州实时查科技有限公司")+SUMIFS('9月数据源'!$J:$J,'9月数据源'!$D:$D,$E102,'9月数据源'!$F:$F,"杭州实时查科技有限公司")</f>
        <v/>
      </c>
      <c r="O102" s="89">
        <f>-SUMIFS('10月数据源'!$I:$I,'10月数据源'!$D:$D,$E102,'10月数据源'!$F:$F,"杭州实时查科技有限公司")+SUMIFS('10月数据源'!$J:$J,'10月数据源'!$D:$D,$E102,'10月数据源'!$F:$F,"杭州实时查科技有限公司")</f>
        <v/>
      </c>
      <c r="P102" s="89">
        <f>-SUMIFS('11月数据源'!$I:$I,'11月数据源'!$D:$D,$E102,'11月数据源'!$F:$F,"杭州实时查科技有限公司")+SUMIFS('11月数据源'!$J:$J,'11月数据源'!$D:$D,$E102,'11月数据源'!$F:$F,"杭州实时查科技有限公司")</f>
        <v/>
      </c>
      <c r="Q102" s="89">
        <f>-SUMIFS('12月数据源'!$I:$I,'12月数据源'!$D:$D,$E102,'12月数据源'!$F:$F,"杭州实时查科技有限公司")+SUMIFS('12月数据源'!$J:$J,'12月数据源'!$D:$D,$E102,'12月数据源'!$F:$F,"杭州实时查科技有限公司")</f>
        <v/>
      </c>
    </row>
    <row r="103" s="83">
      <c r="A103" s="5" t="inlineStr">
        <is>
          <t>销售费用</t>
        </is>
      </c>
      <c r="B103" s="6" t="inlineStr">
        <is>
          <t>品牌建设</t>
        </is>
      </c>
      <c r="D103" s="5" t="inlineStr">
        <is>
          <t>素材拍摄</t>
        </is>
      </c>
      <c r="E103" s="6" t="inlineStr">
        <is>
          <t>Q1805</t>
        </is>
      </c>
      <c r="F103" s="89">
        <f>-SUMIFS('1月数据源'!I:I,'1月数据源'!D:D,E103,'1月数据源'!F:F,"杭州实时查科技有限公司")+SUMIFS('1月数据源'!J:J,'1月数据源'!D:D,E103,'1月数据源'!F:F,"杭州实时查科技有限公司")</f>
        <v/>
      </c>
      <c r="G103" s="89">
        <f>-SUMIFS('2月数据源'!$I:$I,'2月数据源'!$D:$D,$E103,'2月数据源'!$F:$F,"杭州实时查科技有限公司")+SUMIFS('2月数据源'!$J:$J,'2月数据源'!$D:$D,$E103,'2月数据源'!$F:$F,"杭州实时查科技有限公司")</f>
        <v/>
      </c>
      <c r="H103" s="89">
        <f>-SUMIFS('3月数据源'!$I:$I,'3月数据源'!$D:$D,$E103,'3月数据源'!$F:$F,"杭州实时查科技有限公司")+SUMIFS('3月数据源'!$J:$J,'3月数据源'!$D:$D,$E103,'3月数据源'!$F:$F,"杭州实时查科技有限公司")</f>
        <v/>
      </c>
      <c r="I103" s="89">
        <f>-SUMIFS('4月数据源'!$I:$I,'4月数据源'!$D:$D,$E103,'4月数据源'!$F:$F,"杭州实时查科技有限公司")+SUMIFS('4月数据源'!$J:$J,'4月数据源'!$D:$D,$E103,'4月数据源'!$F:$F,"杭州实时查科技有限公司")</f>
        <v/>
      </c>
      <c r="J103" s="89">
        <f>-SUMIFS('5月数据源'!$I:$I,'5月数据源'!$D:$D,$E103,'5月数据源'!$F:$F,"杭州实时查科技有限公司")+SUMIFS('5月数据源'!$J:$J,'5月数据源'!$D:$D,$E103,'5月数据源'!$F:$F,"杭州实时查科技有限公司")</f>
        <v/>
      </c>
      <c r="K103" s="89">
        <f>-SUMIFS('6月数据源'!$I:$I,'6月数据源'!$D:$D,$E103,'6月数据源'!$F:$F,"杭州实时查科技有限公司")+SUMIFS('6月数据源'!$J:$J,'6月数据源'!$D:$D,$E103,'6月数据源'!$F:$F,"杭州实时查科技有限公司")</f>
        <v/>
      </c>
      <c r="L103" s="89">
        <f>-SUMIFS('7月数据源'!$I:$I,'7月数据源'!$D:$D,$E103,'7月数据源'!$F:$F,"杭州实时查科技有限公司")+SUMIFS('7月数据源'!$J:$J,'7月数据源'!$D:$D,$E103,'7月数据源'!$F:$F,"杭州实时查科技有限公司")</f>
        <v/>
      </c>
      <c r="M103" s="89">
        <f>-SUMIFS('8月数据源'!$I:$I,'8月数据源'!$D:$D,$E103,'8月数据源'!$F:$F,"杭州实时查科技有限公司")+SUMIFS('8月数据源'!$J:$J,'8月数据源'!$D:$D,$E103,'8月数据源'!$F:$F,"杭州实时查科技有限公司")</f>
        <v/>
      </c>
      <c r="N103" s="89">
        <f>-SUMIFS('9月数据源'!$I:$I,'9月数据源'!$D:$D,$E103,'9月数据源'!$F:$F,"杭州实时查科技有限公司")+SUMIFS('9月数据源'!$J:$J,'9月数据源'!$D:$D,$E103,'9月数据源'!$F:$F,"杭州实时查科技有限公司")</f>
        <v/>
      </c>
      <c r="O103" s="89">
        <f>-SUMIFS('10月数据源'!$I:$I,'10月数据源'!$D:$D,$E103,'10月数据源'!$F:$F,"杭州实时查科技有限公司")+SUMIFS('10月数据源'!$J:$J,'10月数据源'!$D:$D,$E103,'10月数据源'!$F:$F,"杭州实时查科技有限公司")</f>
        <v/>
      </c>
      <c r="P103" s="89">
        <f>-SUMIFS('11月数据源'!$I:$I,'11月数据源'!$D:$D,$E103,'11月数据源'!$F:$F,"杭州实时查科技有限公司")+SUMIFS('11月数据源'!$J:$J,'11月数据源'!$D:$D,$E103,'11月数据源'!$F:$F,"杭州实时查科技有限公司")</f>
        <v/>
      </c>
      <c r="Q103" s="89">
        <f>-SUMIFS('12月数据源'!$I:$I,'12月数据源'!$D:$D,$E103,'12月数据源'!$F:$F,"杭州实时查科技有限公司")+SUMIFS('12月数据源'!$J:$J,'12月数据源'!$D:$D,$E103,'12月数据源'!$F:$F,"杭州实时查科技有限公司")</f>
        <v/>
      </c>
    </row>
    <row r="104" s="83">
      <c r="A104" s="5" t="inlineStr">
        <is>
          <t>销售费用</t>
        </is>
      </c>
      <c r="B104" s="6" t="inlineStr">
        <is>
          <t>品牌建设</t>
        </is>
      </c>
      <c r="D104" s="5" t="inlineStr">
        <is>
          <t>背书合作费用</t>
        </is>
      </c>
      <c r="E104" s="6" t="inlineStr">
        <is>
          <t>Q1806</t>
        </is>
      </c>
      <c r="F104" s="89">
        <f>-SUMIFS('1月数据源'!I:I,'1月数据源'!D:D,E104,'1月数据源'!F:F,"杭州实时查科技有限公司")+SUMIFS('1月数据源'!J:J,'1月数据源'!D:D,E104,'1月数据源'!F:F,"杭州实时查科技有限公司")</f>
        <v/>
      </c>
      <c r="G104" s="89">
        <f>-SUMIFS('2月数据源'!$I:$I,'2月数据源'!$D:$D,$E104,'2月数据源'!$F:$F,"杭州实时查科技有限公司")+SUMIFS('2月数据源'!$J:$J,'2月数据源'!$D:$D,$E104,'2月数据源'!$F:$F,"杭州实时查科技有限公司")</f>
        <v/>
      </c>
      <c r="H104" s="89">
        <f>-SUMIFS('3月数据源'!$I:$I,'3月数据源'!$D:$D,$E104,'3月数据源'!$F:$F,"杭州实时查科技有限公司")+SUMIFS('3月数据源'!$J:$J,'3月数据源'!$D:$D,$E104,'3月数据源'!$F:$F,"杭州实时查科技有限公司")</f>
        <v/>
      </c>
      <c r="I104" s="89">
        <f>-SUMIFS('4月数据源'!$I:$I,'4月数据源'!$D:$D,$E104,'4月数据源'!$F:$F,"杭州实时查科技有限公司")+SUMIFS('4月数据源'!$J:$J,'4月数据源'!$D:$D,$E104,'4月数据源'!$F:$F,"杭州实时查科技有限公司")</f>
        <v/>
      </c>
      <c r="J104" s="89">
        <f>-SUMIFS('5月数据源'!$I:$I,'5月数据源'!$D:$D,$E104,'5月数据源'!$F:$F,"杭州实时查科技有限公司")+SUMIFS('5月数据源'!$J:$J,'5月数据源'!$D:$D,$E104,'5月数据源'!$F:$F,"杭州实时查科技有限公司")</f>
        <v/>
      </c>
      <c r="K104" s="89">
        <f>-SUMIFS('6月数据源'!$I:$I,'6月数据源'!$D:$D,$E104,'6月数据源'!$F:$F,"杭州实时查科技有限公司")+SUMIFS('6月数据源'!$J:$J,'6月数据源'!$D:$D,$E104,'6月数据源'!$F:$F,"杭州实时查科技有限公司")</f>
        <v/>
      </c>
      <c r="L104" s="89">
        <f>-SUMIFS('7月数据源'!$I:$I,'7月数据源'!$D:$D,$E104,'7月数据源'!$F:$F,"杭州实时查科技有限公司")+SUMIFS('7月数据源'!$J:$J,'7月数据源'!$D:$D,$E104,'7月数据源'!$F:$F,"杭州实时查科技有限公司")</f>
        <v/>
      </c>
      <c r="M104" s="89">
        <f>-SUMIFS('8月数据源'!$I:$I,'8月数据源'!$D:$D,$E104,'8月数据源'!$F:$F,"杭州实时查科技有限公司")+SUMIFS('8月数据源'!$J:$J,'8月数据源'!$D:$D,$E104,'8月数据源'!$F:$F,"杭州实时查科技有限公司")</f>
        <v/>
      </c>
      <c r="N104" s="89">
        <f>-SUMIFS('9月数据源'!$I:$I,'9月数据源'!$D:$D,$E104,'9月数据源'!$F:$F,"杭州实时查科技有限公司")+SUMIFS('9月数据源'!$J:$J,'9月数据源'!$D:$D,$E104,'9月数据源'!$F:$F,"杭州实时查科技有限公司")</f>
        <v/>
      </c>
      <c r="O104" s="89">
        <f>-SUMIFS('10月数据源'!$I:$I,'10月数据源'!$D:$D,$E104,'10月数据源'!$F:$F,"杭州实时查科技有限公司")+SUMIFS('10月数据源'!$J:$J,'10月数据源'!$D:$D,$E104,'10月数据源'!$F:$F,"杭州实时查科技有限公司")</f>
        <v/>
      </c>
      <c r="P104" s="89">
        <f>-SUMIFS('11月数据源'!$I:$I,'11月数据源'!$D:$D,$E104,'11月数据源'!$F:$F,"杭州实时查科技有限公司")+SUMIFS('11月数据源'!$J:$J,'11月数据源'!$D:$D,$E104,'11月数据源'!$F:$F,"杭州实时查科技有限公司")</f>
        <v/>
      </c>
      <c r="Q104" s="89">
        <f>-SUMIFS('12月数据源'!$I:$I,'12月数据源'!$D:$D,$E104,'12月数据源'!$F:$F,"杭州实时查科技有限公司")+SUMIFS('12月数据源'!$J:$J,'12月数据源'!$D:$D,$E104,'12月数据源'!$F:$F,"杭州实时查科技有限公司")</f>
        <v/>
      </c>
    </row>
    <row r="105" s="83">
      <c r="A105" s="5" t="inlineStr">
        <is>
          <t>销售费用</t>
        </is>
      </c>
      <c r="B105" s="6" t="inlineStr">
        <is>
          <t>内容种草</t>
        </is>
      </c>
      <c r="C105" s="6" t="inlineStr">
        <is>
          <t>内容种草</t>
        </is>
      </c>
      <c r="D105" s="5" t="inlineStr">
        <is>
          <t>抖音平台种草-GD广告</t>
        </is>
      </c>
      <c r="E105" s="6" t="inlineStr">
        <is>
          <t>Q1901</t>
        </is>
      </c>
      <c r="F105" s="89">
        <f>-SUMIFS('1月数据源'!I:I,'1月数据源'!D:D,E105,'1月数据源'!F:F,"杭州实时查科技有限公司")+SUMIFS('1月数据源'!J:J,'1月数据源'!D:D,E105,'1月数据源'!F:F,"杭州实时查科技有限公司")</f>
        <v/>
      </c>
      <c r="G105" s="89">
        <f>-SUMIFS('2月数据源'!$I:$I,'2月数据源'!$D:$D,$E105,'2月数据源'!$F:$F,"杭州实时查科技有限公司")+SUMIFS('2月数据源'!$J:$J,'2月数据源'!$D:$D,$E105,'2月数据源'!$F:$F,"杭州实时查科技有限公司")</f>
        <v/>
      </c>
      <c r="H105" s="89">
        <f>-SUMIFS('3月数据源'!$I:$I,'3月数据源'!$D:$D,$E105,'3月数据源'!$F:$F,"杭州实时查科技有限公司")+SUMIFS('3月数据源'!$J:$J,'3月数据源'!$D:$D,$E105,'3月数据源'!$F:$F,"杭州实时查科技有限公司")</f>
        <v/>
      </c>
      <c r="I105" s="89">
        <f>-SUMIFS('4月数据源'!$I:$I,'4月数据源'!$D:$D,$E105,'4月数据源'!$F:$F,"杭州实时查科技有限公司")+SUMIFS('4月数据源'!$J:$J,'4月数据源'!$D:$D,$E105,'4月数据源'!$F:$F,"杭州实时查科技有限公司")</f>
        <v/>
      </c>
      <c r="J105" s="89">
        <f>-SUMIFS('5月数据源'!$I:$I,'5月数据源'!$D:$D,$E105,'5月数据源'!$F:$F,"杭州实时查科技有限公司")+SUMIFS('5月数据源'!$J:$J,'5月数据源'!$D:$D,$E105,'5月数据源'!$F:$F,"杭州实时查科技有限公司")</f>
        <v/>
      </c>
      <c r="K105" s="89">
        <f>-SUMIFS('6月数据源'!$I:$I,'6月数据源'!$D:$D,$E105,'6月数据源'!$F:$F,"杭州实时查科技有限公司")+SUMIFS('6月数据源'!$J:$J,'6月数据源'!$D:$D,$E105,'6月数据源'!$F:$F,"杭州实时查科技有限公司")</f>
        <v/>
      </c>
      <c r="L105" s="89">
        <f>-SUMIFS('7月数据源'!$I:$I,'7月数据源'!$D:$D,$E105,'7月数据源'!$F:$F,"杭州实时查科技有限公司")+SUMIFS('7月数据源'!$J:$J,'7月数据源'!$D:$D,$E105,'7月数据源'!$F:$F,"杭州实时查科技有限公司")</f>
        <v/>
      </c>
      <c r="M105" s="89">
        <f>-SUMIFS('8月数据源'!$I:$I,'8月数据源'!$D:$D,$E105,'8月数据源'!$F:$F,"杭州实时查科技有限公司")+SUMIFS('8月数据源'!$J:$J,'8月数据源'!$D:$D,$E105,'8月数据源'!$F:$F,"杭州实时查科技有限公司")</f>
        <v/>
      </c>
      <c r="N105" s="89">
        <f>-SUMIFS('9月数据源'!$I:$I,'9月数据源'!$D:$D,$E105,'9月数据源'!$F:$F,"杭州实时查科技有限公司")+SUMIFS('9月数据源'!$J:$J,'9月数据源'!$D:$D,$E105,'9月数据源'!$F:$F,"杭州实时查科技有限公司")</f>
        <v/>
      </c>
      <c r="O105" s="89">
        <f>-SUMIFS('10月数据源'!$I:$I,'10月数据源'!$D:$D,$E105,'10月数据源'!$F:$F,"杭州实时查科技有限公司")+SUMIFS('10月数据源'!$J:$J,'10月数据源'!$D:$D,$E105,'10月数据源'!$F:$F,"杭州实时查科技有限公司")</f>
        <v/>
      </c>
      <c r="P105" s="89">
        <f>-SUMIFS('11月数据源'!$I:$I,'11月数据源'!$D:$D,$E105,'11月数据源'!$F:$F,"杭州实时查科技有限公司")+SUMIFS('11月数据源'!$J:$J,'11月数据源'!$D:$D,$E105,'11月数据源'!$F:$F,"杭州实时查科技有限公司")</f>
        <v/>
      </c>
      <c r="Q105" s="89">
        <f>-SUMIFS('12月数据源'!$I:$I,'12月数据源'!$D:$D,$E105,'12月数据源'!$F:$F,"杭州实时查科技有限公司")+SUMIFS('12月数据源'!$J:$J,'12月数据源'!$D:$D,$E105,'12月数据源'!$F:$F,"杭州实时查科技有限公司")</f>
        <v/>
      </c>
    </row>
    <row r="106" s="83">
      <c r="A106" s="5" t="inlineStr">
        <is>
          <t>销售费用</t>
        </is>
      </c>
      <c r="B106" s="6" t="inlineStr">
        <is>
          <t>内容种草</t>
        </is>
      </c>
      <c r="D106" s="5" t="inlineStr">
        <is>
          <t>抖音平台种草-种草通</t>
        </is>
      </c>
      <c r="E106" s="6" t="inlineStr">
        <is>
          <t>Q1902</t>
        </is>
      </c>
      <c r="F106" s="89">
        <f>-SUMIFS('1月数据源'!I:I,'1月数据源'!D:D,E106,'1月数据源'!F:F,"杭州实时查科技有限公司")+SUMIFS('1月数据源'!J:J,'1月数据源'!D:D,E106,'1月数据源'!F:F,"杭州实时查科技有限公司")</f>
        <v/>
      </c>
      <c r="G106" s="89">
        <f>-SUMIFS('2月数据源'!$I:$I,'2月数据源'!$D:$D,$E106,'2月数据源'!$F:$F,"杭州实时查科技有限公司")+SUMIFS('2月数据源'!$J:$J,'2月数据源'!$D:$D,$E106,'2月数据源'!$F:$F,"杭州实时查科技有限公司")</f>
        <v/>
      </c>
      <c r="H106" s="89">
        <f>-SUMIFS('3月数据源'!$I:$I,'3月数据源'!$D:$D,$E106,'3月数据源'!$F:$F,"杭州实时查科技有限公司")+SUMIFS('3月数据源'!$J:$J,'3月数据源'!$D:$D,$E106,'3月数据源'!$F:$F,"杭州实时查科技有限公司")</f>
        <v/>
      </c>
      <c r="I106" s="89">
        <f>-SUMIFS('4月数据源'!$I:$I,'4月数据源'!$D:$D,$E106,'4月数据源'!$F:$F,"杭州实时查科技有限公司")+SUMIFS('4月数据源'!$J:$J,'4月数据源'!$D:$D,$E106,'4月数据源'!$F:$F,"杭州实时查科技有限公司")</f>
        <v/>
      </c>
      <c r="J106" s="89">
        <f>-SUMIFS('5月数据源'!$I:$I,'5月数据源'!$D:$D,$E106,'5月数据源'!$F:$F,"杭州实时查科技有限公司")+SUMIFS('5月数据源'!$J:$J,'5月数据源'!$D:$D,$E106,'5月数据源'!$F:$F,"杭州实时查科技有限公司")</f>
        <v/>
      </c>
      <c r="K106" s="89">
        <f>-SUMIFS('6月数据源'!$I:$I,'6月数据源'!$D:$D,$E106,'6月数据源'!$F:$F,"杭州实时查科技有限公司")+SUMIFS('6月数据源'!$J:$J,'6月数据源'!$D:$D,$E106,'6月数据源'!$F:$F,"杭州实时查科技有限公司")</f>
        <v/>
      </c>
      <c r="L106" s="89">
        <f>-SUMIFS('7月数据源'!$I:$I,'7月数据源'!$D:$D,$E106,'7月数据源'!$F:$F,"杭州实时查科技有限公司")+SUMIFS('7月数据源'!$J:$J,'7月数据源'!$D:$D,$E106,'7月数据源'!$F:$F,"杭州实时查科技有限公司")</f>
        <v/>
      </c>
      <c r="M106" s="89">
        <f>-SUMIFS('8月数据源'!$I:$I,'8月数据源'!$D:$D,$E106,'8月数据源'!$F:$F,"杭州实时查科技有限公司")+SUMIFS('8月数据源'!$J:$J,'8月数据源'!$D:$D,$E106,'8月数据源'!$F:$F,"杭州实时查科技有限公司")</f>
        <v/>
      </c>
      <c r="N106" s="89">
        <f>-SUMIFS('9月数据源'!$I:$I,'9月数据源'!$D:$D,$E106,'9月数据源'!$F:$F,"杭州实时查科技有限公司")+SUMIFS('9月数据源'!$J:$J,'9月数据源'!$D:$D,$E106,'9月数据源'!$F:$F,"杭州实时查科技有限公司")</f>
        <v/>
      </c>
      <c r="O106" s="89">
        <f>-SUMIFS('10月数据源'!$I:$I,'10月数据源'!$D:$D,$E106,'10月数据源'!$F:$F,"杭州实时查科技有限公司")+SUMIFS('10月数据源'!$J:$J,'10月数据源'!$D:$D,$E106,'10月数据源'!$F:$F,"杭州实时查科技有限公司")</f>
        <v/>
      </c>
      <c r="P106" s="89">
        <f>-SUMIFS('11月数据源'!$I:$I,'11月数据源'!$D:$D,$E106,'11月数据源'!$F:$F,"杭州实时查科技有限公司")+SUMIFS('11月数据源'!$J:$J,'11月数据源'!$D:$D,$E106,'11月数据源'!$F:$F,"杭州实时查科技有限公司")</f>
        <v/>
      </c>
      <c r="Q106" s="89">
        <f>-SUMIFS('12月数据源'!$I:$I,'12月数据源'!$D:$D,$E106,'12月数据源'!$F:$F,"杭州实时查科技有限公司")+SUMIFS('12月数据源'!$J:$J,'12月数据源'!$D:$D,$E106,'12月数据源'!$F:$F,"杭州实时查科技有限公司")</f>
        <v/>
      </c>
    </row>
    <row r="107" s="83">
      <c r="A107" s="5" t="inlineStr">
        <is>
          <t>销售费用</t>
        </is>
      </c>
      <c r="B107" s="6" t="inlineStr">
        <is>
          <t>内容种草</t>
        </is>
      </c>
      <c r="D107" s="5" t="inlineStr">
        <is>
          <t>抖音平台种草-达人合作</t>
        </is>
      </c>
      <c r="E107" s="6" t="inlineStr">
        <is>
          <t>Q1903</t>
        </is>
      </c>
      <c r="F107" s="89">
        <f>-SUMIFS('1月数据源'!I:I,'1月数据源'!D:D,E107,'1月数据源'!F:F,"杭州实时查科技有限公司")+SUMIFS('1月数据源'!J:J,'1月数据源'!D:D,E107,'1月数据源'!F:F,"杭州实时查科技有限公司")</f>
        <v/>
      </c>
      <c r="G107" s="89">
        <f>-SUMIFS('2月数据源'!$I:$I,'2月数据源'!$D:$D,$E107,'2月数据源'!$F:$F,"杭州实时查科技有限公司")+SUMIFS('2月数据源'!$J:$J,'2月数据源'!$D:$D,$E107,'2月数据源'!$F:$F,"杭州实时查科技有限公司")</f>
        <v/>
      </c>
      <c r="H107" s="89">
        <f>-SUMIFS('3月数据源'!$I:$I,'3月数据源'!$D:$D,$E107,'3月数据源'!$F:$F,"杭州实时查科技有限公司")+SUMIFS('3月数据源'!$J:$J,'3月数据源'!$D:$D,$E107,'3月数据源'!$F:$F,"杭州实时查科技有限公司")</f>
        <v/>
      </c>
      <c r="I107" s="89">
        <f>-SUMIFS('4月数据源'!$I:$I,'4月数据源'!$D:$D,$E107,'4月数据源'!$F:$F,"杭州实时查科技有限公司")+SUMIFS('4月数据源'!$J:$J,'4月数据源'!$D:$D,$E107,'4月数据源'!$F:$F,"杭州实时查科技有限公司")</f>
        <v/>
      </c>
      <c r="J107" s="89">
        <f>-SUMIFS('5月数据源'!$I:$I,'5月数据源'!$D:$D,$E107,'5月数据源'!$F:$F,"杭州实时查科技有限公司")+SUMIFS('5月数据源'!$J:$J,'5月数据源'!$D:$D,$E107,'5月数据源'!$F:$F,"杭州实时查科技有限公司")</f>
        <v/>
      </c>
      <c r="K107" s="89">
        <f>-SUMIFS('6月数据源'!$I:$I,'6月数据源'!$D:$D,$E107,'6月数据源'!$F:$F,"杭州实时查科技有限公司")+SUMIFS('6月数据源'!$J:$J,'6月数据源'!$D:$D,$E107,'6月数据源'!$F:$F,"杭州实时查科技有限公司")</f>
        <v/>
      </c>
      <c r="L107" s="89">
        <f>-SUMIFS('7月数据源'!$I:$I,'7月数据源'!$D:$D,$E107,'7月数据源'!$F:$F,"杭州实时查科技有限公司")+SUMIFS('7月数据源'!$J:$J,'7月数据源'!$D:$D,$E107,'7月数据源'!$F:$F,"杭州实时查科技有限公司")</f>
        <v/>
      </c>
      <c r="M107" s="89">
        <f>-SUMIFS('8月数据源'!$I:$I,'8月数据源'!$D:$D,$E107,'8月数据源'!$F:$F,"杭州实时查科技有限公司")+SUMIFS('8月数据源'!$J:$J,'8月数据源'!$D:$D,$E107,'8月数据源'!$F:$F,"杭州实时查科技有限公司")</f>
        <v/>
      </c>
      <c r="N107" s="89">
        <f>-SUMIFS('9月数据源'!$I:$I,'9月数据源'!$D:$D,$E107,'9月数据源'!$F:$F,"杭州实时查科技有限公司")+SUMIFS('9月数据源'!$J:$J,'9月数据源'!$D:$D,$E107,'9月数据源'!$F:$F,"杭州实时查科技有限公司")</f>
        <v/>
      </c>
      <c r="O107" s="89">
        <f>-SUMIFS('10月数据源'!$I:$I,'10月数据源'!$D:$D,$E107,'10月数据源'!$F:$F,"杭州实时查科技有限公司")+SUMIFS('10月数据源'!$J:$J,'10月数据源'!$D:$D,$E107,'10月数据源'!$F:$F,"杭州实时查科技有限公司")</f>
        <v/>
      </c>
      <c r="P107" s="89">
        <f>-SUMIFS('11月数据源'!$I:$I,'11月数据源'!$D:$D,$E107,'11月数据源'!$F:$F,"杭州实时查科技有限公司")+SUMIFS('11月数据源'!$J:$J,'11月数据源'!$D:$D,$E107,'11月数据源'!$F:$F,"杭州实时查科技有限公司")</f>
        <v/>
      </c>
      <c r="Q107" s="89">
        <f>-SUMIFS('12月数据源'!$I:$I,'12月数据源'!$D:$D,$E107,'12月数据源'!$F:$F,"杭州实时查科技有限公司")+SUMIFS('12月数据源'!$J:$J,'12月数据源'!$D:$D,$E107,'12月数据源'!$F:$F,"杭州实时查科技有限公司")</f>
        <v/>
      </c>
    </row>
    <row r="108" s="83">
      <c r="A108" s="5" t="inlineStr">
        <is>
          <t>销售费用</t>
        </is>
      </c>
      <c r="B108" s="6" t="inlineStr">
        <is>
          <t>内容种草</t>
        </is>
      </c>
      <c r="D108" s="5" t="inlineStr">
        <is>
          <t>小红书平台种草-达人合作</t>
        </is>
      </c>
      <c r="E108" s="6" t="inlineStr">
        <is>
          <t>Q1904</t>
        </is>
      </c>
      <c r="F108" s="89">
        <f>-SUMIFS('1月数据源'!I:I,'1月数据源'!D:D,E108,'1月数据源'!F:F,"杭州实时查科技有限公司")+SUMIFS('1月数据源'!J:J,'1月数据源'!D:D,E108,'1月数据源'!F:F,"杭州实时查科技有限公司")</f>
        <v/>
      </c>
      <c r="G108" s="89">
        <f>-SUMIFS('2月数据源'!$I:$I,'2月数据源'!$D:$D,$E108,'2月数据源'!$F:$F,"杭州实时查科技有限公司")+SUMIFS('2月数据源'!$J:$J,'2月数据源'!$D:$D,$E108,'2月数据源'!$F:$F,"杭州实时查科技有限公司")</f>
        <v/>
      </c>
      <c r="H108" s="89">
        <f>-SUMIFS('3月数据源'!$I:$I,'3月数据源'!$D:$D,$E108,'3月数据源'!$F:$F,"杭州实时查科技有限公司")+SUMIFS('3月数据源'!$J:$J,'3月数据源'!$D:$D,$E108,'3月数据源'!$F:$F,"杭州实时查科技有限公司")</f>
        <v/>
      </c>
      <c r="I108" s="89">
        <f>-SUMIFS('4月数据源'!$I:$I,'4月数据源'!$D:$D,$E108,'4月数据源'!$F:$F,"杭州实时查科技有限公司")+SUMIFS('4月数据源'!$J:$J,'4月数据源'!$D:$D,$E108,'4月数据源'!$F:$F,"杭州实时查科技有限公司")</f>
        <v/>
      </c>
      <c r="J108" s="89">
        <f>-SUMIFS('5月数据源'!$I:$I,'5月数据源'!$D:$D,$E108,'5月数据源'!$F:$F,"杭州实时查科技有限公司")+SUMIFS('5月数据源'!$J:$J,'5月数据源'!$D:$D,$E108,'5月数据源'!$F:$F,"杭州实时查科技有限公司")</f>
        <v/>
      </c>
      <c r="K108" s="89">
        <f>-SUMIFS('6月数据源'!$I:$I,'6月数据源'!$D:$D,$E108,'6月数据源'!$F:$F,"杭州实时查科技有限公司")+SUMIFS('6月数据源'!$J:$J,'6月数据源'!$D:$D,$E108,'6月数据源'!$F:$F,"杭州实时查科技有限公司")</f>
        <v/>
      </c>
      <c r="L108" s="89">
        <f>-SUMIFS('7月数据源'!$I:$I,'7月数据源'!$D:$D,$E108,'7月数据源'!$F:$F,"杭州实时查科技有限公司")+SUMIFS('7月数据源'!$J:$J,'7月数据源'!$D:$D,$E108,'7月数据源'!$F:$F,"杭州实时查科技有限公司")</f>
        <v/>
      </c>
      <c r="M108" s="89">
        <f>-SUMIFS('8月数据源'!$I:$I,'8月数据源'!$D:$D,$E108,'8月数据源'!$F:$F,"杭州实时查科技有限公司")+SUMIFS('8月数据源'!$J:$J,'8月数据源'!$D:$D,$E108,'8月数据源'!$F:$F,"杭州实时查科技有限公司")</f>
        <v/>
      </c>
      <c r="N108" s="89">
        <f>-SUMIFS('9月数据源'!$I:$I,'9月数据源'!$D:$D,$E108,'9月数据源'!$F:$F,"杭州实时查科技有限公司")+SUMIFS('9月数据源'!$J:$J,'9月数据源'!$D:$D,$E108,'9月数据源'!$F:$F,"杭州实时查科技有限公司")</f>
        <v/>
      </c>
      <c r="O108" s="89">
        <f>-SUMIFS('10月数据源'!$I:$I,'10月数据源'!$D:$D,$E108,'10月数据源'!$F:$F,"杭州实时查科技有限公司")+SUMIFS('10月数据源'!$J:$J,'10月数据源'!$D:$D,$E108,'10月数据源'!$F:$F,"杭州实时查科技有限公司")</f>
        <v/>
      </c>
      <c r="P108" s="89">
        <f>-SUMIFS('11月数据源'!$I:$I,'11月数据源'!$D:$D,$E108,'11月数据源'!$F:$F,"杭州实时查科技有限公司")+SUMIFS('11月数据源'!$J:$J,'11月数据源'!$D:$D,$E108,'11月数据源'!$F:$F,"杭州实时查科技有限公司")</f>
        <v/>
      </c>
      <c r="Q108" s="89">
        <f>-SUMIFS('12月数据源'!$I:$I,'12月数据源'!$D:$D,$E108,'12月数据源'!$F:$F,"杭州实时查科技有限公司")+SUMIFS('12月数据源'!$J:$J,'12月数据源'!$D:$D,$E108,'12月数据源'!$F:$F,"杭州实时查科技有限公司")</f>
        <v/>
      </c>
    </row>
    <row r="109" s="83">
      <c r="A109" s="5" t="inlineStr">
        <is>
          <t>销售费用</t>
        </is>
      </c>
      <c r="B109" s="6" t="inlineStr">
        <is>
          <t>内容种草</t>
        </is>
      </c>
      <c r="D109" s="5" t="inlineStr">
        <is>
          <t>全平台种草-达人合作</t>
        </is>
      </c>
      <c r="E109" s="6" t="inlineStr">
        <is>
          <t>Q1905</t>
        </is>
      </c>
      <c r="F109" s="89">
        <f>-SUMIFS('1月数据源'!I:I,'1月数据源'!D:D,E109,'1月数据源'!F:F,"杭州实时查科技有限公司")+SUMIFS('1月数据源'!J:J,'1月数据源'!D:D,E109,'1月数据源'!F:F,"杭州实时查科技有限公司")</f>
        <v/>
      </c>
      <c r="G109" s="89">
        <f>-SUMIFS('2月数据源'!$I:$I,'2月数据源'!$D:$D,$E109,'2月数据源'!$F:$F,"杭州实时查科技有限公司")+SUMIFS('2月数据源'!$J:$J,'2月数据源'!$D:$D,$E109,'2月数据源'!$F:$F,"杭州实时查科技有限公司")</f>
        <v/>
      </c>
      <c r="H109" s="89">
        <f>-SUMIFS('3月数据源'!$I:$I,'3月数据源'!$D:$D,$E109,'3月数据源'!$F:$F,"杭州实时查科技有限公司")+SUMIFS('3月数据源'!$J:$J,'3月数据源'!$D:$D,$E109,'3月数据源'!$F:$F,"杭州实时查科技有限公司")</f>
        <v/>
      </c>
      <c r="I109" s="89">
        <f>-SUMIFS('4月数据源'!$I:$I,'4月数据源'!$D:$D,$E109,'4月数据源'!$F:$F,"杭州实时查科技有限公司")+SUMIFS('4月数据源'!$J:$J,'4月数据源'!$D:$D,$E109,'4月数据源'!$F:$F,"杭州实时查科技有限公司")</f>
        <v/>
      </c>
      <c r="J109" s="89">
        <f>-SUMIFS('5月数据源'!$I:$I,'5月数据源'!$D:$D,$E109,'5月数据源'!$F:$F,"杭州实时查科技有限公司")+SUMIFS('5月数据源'!$J:$J,'5月数据源'!$D:$D,$E109,'5月数据源'!$F:$F,"杭州实时查科技有限公司")</f>
        <v/>
      </c>
      <c r="K109" s="89">
        <f>-SUMIFS('6月数据源'!$I:$I,'6月数据源'!$D:$D,$E109,'6月数据源'!$F:$F,"杭州实时查科技有限公司")+SUMIFS('6月数据源'!$J:$J,'6月数据源'!$D:$D,$E109,'6月数据源'!$F:$F,"杭州实时查科技有限公司")</f>
        <v/>
      </c>
      <c r="L109" s="89">
        <f>-SUMIFS('7月数据源'!$I:$I,'7月数据源'!$D:$D,$E109,'7月数据源'!$F:$F,"杭州实时查科技有限公司")+SUMIFS('7月数据源'!$J:$J,'7月数据源'!$D:$D,$E109,'7月数据源'!$F:$F,"杭州实时查科技有限公司")</f>
        <v/>
      </c>
      <c r="M109" s="89">
        <f>-SUMIFS('8月数据源'!$I:$I,'8月数据源'!$D:$D,$E109,'8月数据源'!$F:$F,"杭州实时查科技有限公司")+SUMIFS('8月数据源'!$J:$J,'8月数据源'!$D:$D,$E109,'8月数据源'!$F:$F,"杭州实时查科技有限公司")</f>
        <v/>
      </c>
      <c r="N109" s="89">
        <f>-SUMIFS('9月数据源'!$I:$I,'9月数据源'!$D:$D,$E109,'9月数据源'!$F:$F,"杭州实时查科技有限公司")+SUMIFS('9月数据源'!$J:$J,'9月数据源'!$D:$D,$E109,'9月数据源'!$F:$F,"杭州实时查科技有限公司")</f>
        <v/>
      </c>
      <c r="O109" s="89">
        <f>-SUMIFS('10月数据源'!$I:$I,'10月数据源'!$D:$D,$E109,'10月数据源'!$F:$F,"杭州实时查科技有限公司")+SUMIFS('10月数据源'!$J:$J,'10月数据源'!$D:$D,$E109,'10月数据源'!$F:$F,"杭州实时查科技有限公司")</f>
        <v/>
      </c>
      <c r="P109" s="89">
        <f>-SUMIFS('11月数据源'!$I:$I,'11月数据源'!$D:$D,$E109,'11月数据源'!$F:$F,"杭州实时查科技有限公司")+SUMIFS('11月数据源'!$J:$J,'11月数据源'!$D:$D,$E109,'11月数据源'!$F:$F,"杭州实时查科技有限公司")</f>
        <v/>
      </c>
      <c r="Q109" s="89">
        <f>-SUMIFS('12月数据源'!$I:$I,'12月数据源'!$D:$D,$E109,'12月数据源'!$F:$F,"杭州实时查科技有限公司")+SUMIFS('12月数据源'!$J:$J,'12月数据源'!$D:$D,$E109,'12月数据源'!$F:$F,"杭州实时查科技有限公司")</f>
        <v/>
      </c>
    </row>
    <row r="110" s="83">
      <c r="A110" s="5" t="inlineStr">
        <is>
          <t>销售费用</t>
        </is>
      </c>
      <c r="B110" s="6" t="inlineStr">
        <is>
          <t>内容种草</t>
        </is>
      </c>
      <c r="D110" s="5" t="inlineStr">
        <is>
          <t>小红书种草充值</t>
        </is>
      </c>
      <c r="E110" s="6" t="inlineStr">
        <is>
          <t>Q1906</t>
        </is>
      </c>
      <c r="F110" s="89">
        <f>-SUMIFS('1月数据源'!I:I,'1月数据源'!D:D,E110,'1月数据源'!F:F,"杭州实时查科技有限公司")+SUMIFS('1月数据源'!J:J,'1月数据源'!D:D,E110,'1月数据源'!F:F,"杭州实时查科技有限公司")</f>
        <v/>
      </c>
      <c r="G110" s="89">
        <f>-SUMIFS('2月数据源'!$I:$I,'2月数据源'!$D:$D,$E110,'2月数据源'!$F:$F,"杭州实时查科技有限公司")+SUMIFS('2月数据源'!$J:$J,'2月数据源'!$D:$D,$E110,'2月数据源'!$F:$F,"杭州实时查科技有限公司")</f>
        <v/>
      </c>
      <c r="H110" s="89">
        <f>-SUMIFS('3月数据源'!$I:$I,'3月数据源'!$D:$D,$E110,'3月数据源'!$F:$F,"杭州实时查科技有限公司")+SUMIFS('3月数据源'!$J:$J,'3月数据源'!$D:$D,$E110,'3月数据源'!$F:$F,"杭州实时查科技有限公司")</f>
        <v/>
      </c>
      <c r="I110" s="89">
        <f>-SUMIFS('4月数据源'!$I:$I,'4月数据源'!$D:$D,$E110,'4月数据源'!$F:$F,"杭州实时查科技有限公司")+SUMIFS('4月数据源'!$J:$J,'4月数据源'!$D:$D,$E110,'4月数据源'!$F:$F,"杭州实时查科技有限公司")</f>
        <v/>
      </c>
      <c r="J110" s="89">
        <f>-SUMIFS('5月数据源'!$I:$I,'5月数据源'!$D:$D,$E110,'5月数据源'!$F:$F,"杭州实时查科技有限公司")+SUMIFS('5月数据源'!$J:$J,'5月数据源'!$D:$D,$E110,'5月数据源'!$F:$F,"杭州实时查科技有限公司")</f>
        <v/>
      </c>
      <c r="K110" s="89">
        <f>-SUMIFS('6月数据源'!$I:$I,'6月数据源'!$D:$D,$E110,'6月数据源'!$F:$F,"杭州实时查科技有限公司")+SUMIFS('6月数据源'!$J:$J,'6月数据源'!$D:$D,$E110,'6月数据源'!$F:$F,"杭州实时查科技有限公司")</f>
        <v/>
      </c>
      <c r="L110" s="89">
        <f>-SUMIFS('7月数据源'!$I:$I,'7月数据源'!$D:$D,$E110,'7月数据源'!$F:$F,"杭州实时查科技有限公司")+SUMIFS('7月数据源'!$J:$J,'7月数据源'!$D:$D,$E110,'7月数据源'!$F:$F,"杭州实时查科技有限公司")</f>
        <v/>
      </c>
      <c r="M110" s="89">
        <f>-SUMIFS('8月数据源'!$I:$I,'8月数据源'!$D:$D,$E110,'8月数据源'!$F:$F,"杭州实时查科技有限公司")+SUMIFS('8月数据源'!$J:$J,'8月数据源'!$D:$D,$E110,'8月数据源'!$F:$F,"杭州实时查科技有限公司")</f>
        <v/>
      </c>
      <c r="N110" s="89">
        <f>-SUMIFS('9月数据源'!$I:$I,'9月数据源'!$D:$D,$E110,'9月数据源'!$F:$F,"杭州实时查科技有限公司")+SUMIFS('9月数据源'!$J:$J,'9月数据源'!$D:$D,$E110,'9月数据源'!$F:$F,"杭州实时查科技有限公司")</f>
        <v/>
      </c>
      <c r="O110" s="89">
        <f>-SUMIFS('10月数据源'!$I:$I,'10月数据源'!$D:$D,$E110,'10月数据源'!$F:$F,"杭州实时查科技有限公司")+SUMIFS('10月数据源'!$J:$J,'10月数据源'!$D:$D,$E110,'10月数据源'!$F:$F,"杭州实时查科技有限公司")</f>
        <v/>
      </c>
      <c r="P110" s="89">
        <f>-SUMIFS('11月数据源'!$I:$I,'11月数据源'!$D:$D,$E110,'11月数据源'!$F:$F,"杭州实时查科技有限公司")+SUMIFS('11月数据源'!$J:$J,'11月数据源'!$D:$D,$E110,'11月数据源'!$F:$F,"杭州实时查科技有限公司")</f>
        <v/>
      </c>
      <c r="Q110" s="89">
        <f>-SUMIFS('12月数据源'!$I:$I,'12月数据源'!$D:$D,$E110,'12月数据源'!$F:$F,"杭州实时查科技有限公司")+SUMIFS('12月数据源'!$J:$J,'12月数据源'!$D:$D,$E110,'12月数据源'!$F:$F,"杭州实时查科技有限公司")</f>
        <v/>
      </c>
    </row>
    <row r="111" s="83">
      <c r="A111" s="5" t="inlineStr">
        <is>
          <t>销售费用</t>
        </is>
      </c>
      <c r="B111" s="6" t="inlineStr">
        <is>
          <t>投放转化</t>
        </is>
      </c>
      <c r="C111" s="6" t="inlineStr">
        <is>
          <t>投放转化</t>
        </is>
      </c>
      <c r="D111" s="5" t="inlineStr">
        <is>
          <t>信息流视频制作</t>
        </is>
      </c>
      <c r="E111" s="6" t="inlineStr">
        <is>
          <t>Q2001</t>
        </is>
      </c>
      <c r="F111" s="89">
        <f>-SUMIFS('1月数据源'!I:I,'1月数据源'!D:D,E111,'1月数据源'!F:F,"杭州实时查科技有限公司")+SUMIFS('1月数据源'!J:J,'1月数据源'!D:D,E111,'1月数据源'!F:F,"杭州实时查科技有限公司")</f>
        <v/>
      </c>
      <c r="G111" s="89">
        <f>-SUMIFS('2月数据源'!$I:$I,'2月数据源'!$D:$D,$E111,'2月数据源'!$F:$F,"杭州实时查科技有限公司")+SUMIFS('2月数据源'!$J:$J,'2月数据源'!$D:$D,$E111,'2月数据源'!$F:$F,"杭州实时查科技有限公司")</f>
        <v/>
      </c>
      <c r="H111" s="89">
        <f>-SUMIFS('3月数据源'!$I:$I,'3月数据源'!$D:$D,$E111,'3月数据源'!$F:$F,"杭州实时查科技有限公司")+SUMIFS('3月数据源'!$J:$J,'3月数据源'!$D:$D,$E111,'3月数据源'!$F:$F,"杭州实时查科技有限公司")</f>
        <v/>
      </c>
      <c r="I111" s="89">
        <f>-SUMIFS('4月数据源'!$I:$I,'4月数据源'!$D:$D,$E111,'4月数据源'!$F:$F,"杭州实时查科技有限公司")+SUMIFS('4月数据源'!$J:$J,'4月数据源'!$D:$D,$E111,'4月数据源'!$F:$F,"杭州实时查科技有限公司")</f>
        <v/>
      </c>
      <c r="J111" s="89">
        <f>-SUMIFS('5月数据源'!$I:$I,'5月数据源'!$D:$D,$E111,'5月数据源'!$F:$F,"杭州实时查科技有限公司")+SUMIFS('5月数据源'!$J:$J,'5月数据源'!$D:$D,$E111,'5月数据源'!$F:$F,"杭州实时查科技有限公司")</f>
        <v/>
      </c>
      <c r="K111" s="89">
        <f>-SUMIFS('6月数据源'!$I:$I,'6月数据源'!$D:$D,$E111,'6月数据源'!$F:$F,"杭州实时查科技有限公司")+SUMIFS('6月数据源'!$J:$J,'6月数据源'!$D:$D,$E111,'6月数据源'!$F:$F,"杭州实时查科技有限公司")</f>
        <v/>
      </c>
      <c r="L111" s="89">
        <f>-SUMIFS('7月数据源'!$I:$I,'7月数据源'!$D:$D,$E111,'7月数据源'!$F:$F,"杭州实时查科技有限公司")+SUMIFS('7月数据源'!$J:$J,'7月数据源'!$D:$D,$E111,'7月数据源'!$F:$F,"杭州实时查科技有限公司")</f>
        <v/>
      </c>
      <c r="M111" s="89">
        <f>-SUMIFS('8月数据源'!$I:$I,'8月数据源'!$D:$D,$E111,'8月数据源'!$F:$F,"杭州实时查科技有限公司")+SUMIFS('8月数据源'!$J:$J,'8月数据源'!$D:$D,$E111,'8月数据源'!$F:$F,"杭州实时查科技有限公司")</f>
        <v/>
      </c>
      <c r="N111" s="89">
        <f>-SUMIFS('9月数据源'!$I:$I,'9月数据源'!$D:$D,$E111,'9月数据源'!$F:$F,"杭州实时查科技有限公司")+SUMIFS('9月数据源'!$J:$J,'9月数据源'!$D:$D,$E111,'9月数据源'!$F:$F,"杭州实时查科技有限公司")</f>
        <v/>
      </c>
      <c r="O111" s="89">
        <f>-SUMIFS('10月数据源'!$I:$I,'10月数据源'!$D:$D,$E111,'10月数据源'!$F:$F,"杭州实时查科技有限公司")+SUMIFS('10月数据源'!$J:$J,'10月数据源'!$D:$D,$E111,'10月数据源'!$F:$F,"杭州实时查科技有限公司")</f>
        <v/>
      </c>
      <c r="P111" s="89">
        <f>-SUMIFS('11月数据源'!$I:$I,'11月数据源'!$D:$D,$E111,'11月数据源'!$F:$F,"杭州实时查科技有限公司")+SUMIFS('11月数据源'!$J:$J,'11月数据源'!$D:$D,$E111,'11月数据源'!$F:$F,"杭州实时查科技有限公司")</f>
        <v/>
      </c>
      <c r="Q111" s="89">
        <f>-SUMIFS('12月数据源'!$I:$I,'12月数据源'!$D:$D,$E111,'12月数据源'!$F:$F,"杭州实时查科技有限公司")+SUMIFS('12月数据源'!$J:$J,'12月数据源'!$D:$D,$E111,'12月数据源'!$F:$F,"杭州实时查科技有限公司")</f>
        <v/>
      </c>
    </row>
    <row r="112" s="83">
      <c r="A112" s="5" t="inlineStr">
        <is>
          <t>销售费用</t>
        </is>
      </c>
      <c r="B112" s="6" t="inlineStr">
        <is>
          <t>投放转化</t>
        </is>
      </c>
      <c r="D112" s="5" t="inlineStr">
        <is>
          <t>抖音投放充值</t>
        </is>
      </c>
      <c r="E112" s="6" t="inlineStr">
        <is>
          <t>Q2002</t>
        </is>
      </c>
      <c r="F112" s="89">
        <f>-SUMIFS('1月数据源'!I:I,'1月数据源'!D:D,E112,'1月数据源'!F:F,"杭州实时查科技有限公司")+SUMIFS('1月数据源'!J:J,'1月数据源'!D:D,E112,'1月数据源'!F:F,"杭州实时查科技有限公司")</f>
        <v/>
      </c>
      <c r="G112" s="89">
        <f>-SUMIFS('2月数据源'!$I:$I,'2月数据源'!$D:$D,$E112,'2月数据源'!$F:$F,"杭州实时查科技有限公司")+SUMIFS('2月数据源'!$J:$J,'2月数据源'!$D:$D,$E112,'2月数据源'!$F:$F,"杭州实时查科技有限公司")</f>
        <v/>
      </c>
      <c r="H112" s="89">
        <f>-SUMIFS('3月数据源'!$I:$I,'3月数据源'!$D:$D,$E112,'3月数据源'!$F:$F,"杭州实时查科技有限公司")+SUMIFS('3月数据源'!$J:$J,'3月数据源'!$D:$D,$E112,'3月数据源'!$F:$F,"杭州实时查科技有限公司")</f>
        <v/>
      </c>
      <c r="I112" s="89">
        <f>-SUMIFS('4月数据源'!$I:$I,'4月数据源'!$D:$D,$E112,'4月数据源'!$F:$F,"杭州实时查科技有限公司")+SUMIFS('4月数据源'!$J:$J,'4月数据源'!$D:$D,$E112,'4月数据源'!$F:$F,"杭州实时查科技有限公司")</f>
        <v/>
      </c>
      <c r="J112" s="89">
        <f>-SUMIFS('5月数据源'!$I:$I,'5月数据源'!$D:$D,$E112,'5月数据源'!$F:$F,"杭州实时查科技有限公司")+SUMIFS('5月数据源'!$J:$J,'5月数据源'!$D:$D,$E112,'5月数据源'!$F:$F,"杭州实时查科技有限公司")</f>
        <v/>
      </c>
      <c r="K112" s="89">
        <f>-SUMIFS('6月数据源'!$I:$I,'6月数据源'!$D:$D,$E112,'6月数据源'!$F:$F,"杭州实时查科技有限公司")+SUMIFS('6月数据源'!$J:$J,'6月数据源'!$D:$D,$E112,'6月数据源'!$F:$F,"杭州实时查科技有限公司")</f>
        <v/>
      </c>
      <c r="L112" s="89">
        <f>-SUMIFS('7月数据源'!$I:$I,'7月数据源'!$D:$D,$E112,'7月数据源'!$F:$F,"杭州实时查科技有限公司")+SUMIFS('7月数据源'!$J:$J,'7月数据源'!$D:$D,$E112,'7月数据源'!$F:$F,"杭州实时查科技有限公司")</f>
        <v/>
      </c>
      <c r="M112" s="89">
        <f>-SUMIFS('8月数据源'!$I:$I,'8月数据源'!$D:$D,$E112,'8月数据源'!$F:$F,"杭州实时查科技有限公司")+SUMIFS('8月数据源'!$J:$J,'8月数据源'!$D:$D,$E112,'8月数据源'!$F:$F,"杭州实时查科技有限公司")</f>
        <v/>
      </c>
      <c r="N112" s="89">
        <f>-SUMIFS('9月数据源'!$I:$I,'9月数据源'!$D:$D,$E112,'9月数据源'!$F:$F,"杭州实时查科技有限公司")+SUMIFS('9月数据源'!$J:$J,'9月数据源'!$D:$D,$E112,'9月数据源'!$F:$F,"杭州实时查科技有限公司")</f>
        <v/>
      </c>
      <c r="O112" s="89">
        <f>-SUMIFS('10月数据源'!$I:$I,'10月数据源'!$D:$D,$E112,'10月数据源'!$F:$F,"杭州实时查科技有限公司")+SUMIFS('10月数据源'!$J:$J,'10月数据源'!$D:$D,$E112,'10月数据源'!$F:$F,"杭州实时查科技有限公司")</f>
        <v/>
      </c>
      <c r="P112" s="89">
        <f>-SUMIFS('11月数据源'!$I:$I,'11月数据源'!$D:$D,$E112,'11月数据源'!$F:$F,"杭州实时查科技有限公司")+SUMIFS('11月数据源'!$J:$J,'11月数据源'!$D:$D,$E112,'11月数据源'!$F:$F,"杭州实时查科技有限公司")</f>
        <v/>
      </c>
      <c r="Q112" s="89">
        <f>-SUMIFS('12月数据源'!$I:$I,'12月数据源'!$D:$D,$E112,'12月数据源'!$F:$F,"杭州实时查科技有限公司")+SUMIFS('12月数据源'!$J:$J,'12月数据源'!$D:$D,$E112,'12月数据源'!$F:$F,"杭州实时查科技有限公司")</f>
        <v/>
      </c>
    </row>
    <row r="113" s="83">
      <c r="A113" s="5" t="inlineStr">
        <is>
          <t>销售费用</t>
        </is>
      </c>
      <c r="B113" s="6" t="inlineStr">
        <is>
          <t>投放转化</t>
        </is>
      </c>
      <c r="D113" s="5" t="inlineStr">
        <is>
          <t>京东平台投放充值</t>
        </is>
      </c>
      <c r="E113" s="6" t="inlineStr">
        <is>
          <t>Q2003</t>
        </is>
      </c>
      <c r="F113" s="89">
        <f>-SUMIFS('1月数据源'!I:I,'1月数据源'!D:D,E113,'1月数据源'!F:F,"杭州实时查科技有限公司")+SUMIFS('1月数据源'!J:J,'1月数据源'!D:D,E113,'1月数据源'!F:F,"杭州实时查科技有限公司")</f>
        <v/>
      </c>
      <c r="G113" s="89">
        <f>-SUMIFS('2月数据源'!$I:$I,'2月数据源'!$D:$D,$E113,'2月数据源'!$F:$F,"杭州实时查科技有限公司")+SUMIFS('2月数据源'!$J:$J,'2月数据源'!$D:$D,$E113,'2月数据源'!$F:$F,"杭州实时查科技有限公司")</f>
        <v/>
      </c>
      <c r="H113" s="89">
        <f>-SUMIFS('3月数据源'!$I:$I,'3月数据源'!$D:$D,$E113,'3月数据源'!$F:$F,"杭州实时查科技有限公司")+SUMIFS('3月数据源'!$J:$J,'3月数据源'!$D:$D,$E113,'3月数据源'!$F:$F,"杭州实时查科技有限公司")</f>
        <v/>
      </c>
      <c r="I113" s="89">
        <f>-SUMIFS('4月数据源'!$I:$I,'4月数据源'!$D:$D,$E113,'4月数据源'!$F:$F,"杭州实时查科技有限公司")+SUMIFS('4月数据源'!$J:$J,'4月数据源'!$D:$D,$E113,'4月数据源'!$F:$F,"杭州实时查科技有限公司")</f>
        <v/>
      </c>
      <c r="J113" s="89">
        <f>-SUMIFS('5月数据源'!$I:$I,'5月数据源'!$D:$D,$E113,'5月数据源'!$F:$F,"杭州实时查科技有限公司")+SUMIFS('5月数据源'!$J:$J,'5月数据源'!$D:$D,$E113,'5月数据源'!$F:$F,"杭州实时查科技有限公司")</f>
        <v/>
      </c>
      <c r="K113" s="89">
        <f>-SUMIFS('6月数据源'!$I:$I,'6月数据源'!$D:$D,$E113,'6月数据源'!$F:$F,"杭州实时查科技有限公司")+SUMIFS('6月数据源'!$J:$J,'6月数据源'!$D:$D,$E113,'6月数据源'!$F:$F,"杭州实时查科技有限公司")</f>
        <v/>
      </c>
      <c r="L113" s="89">
        <f>-SUMIFS('7月数据源'!$I:$I,'7月数据源'!$D:$D,$E113,'7月数据源'!$F:$F,"杭州实时查科技有限公司")+SUMIFS('7月数据源'!$J:$J,'7月数据源'!$D:$D,$E113,'7月数据源'!$F:$F,"杭州实时查科技有限公司")</f>
        <v/>
      </c>
      <c r="M113" s="89">
        <f>-SUMIFS('8月数据源'!$I:$I,'8月数据源'!$D:$D,$E113,'8月数据源'!$F:$F,"杭州实时查科技有限公司")+SUMIFS('8月数据源'!$J:$J,'8月数据源'!$D:$D,$E113,'8月数据源'!$F:$F,"杭州实时查科技有限公司")</f>
        <v/>
      </c>
      <c r="N113" s="89">
        <f>-SUMIFS('9月数据源'!$I:$I,'9月数据源'!$D:$D,$E113,'9月数据源'!$F:$F,"杭州实时查科技有限公司")+SUMIFS('9月数据源'!$J:$J,'9月数据源'!$D:$D,$E113,'9月数据源'!$F:$F,"杭州实时查科技有限公司")</f>
        <v/>
      </c>
      <c r="O113" s="89">
        <f>-SUMIFS('10月数据源'!$I:$I,'10月数据源'!$D:$D,$E113,'10月数据源'!$F:$F,"杭州实时查科技有限公司")+SUMIFS('10月数据源'!$J:$J,'10月数据源'!$D:$D,$E113,'10月数据源'!$F:$F,"杭州实时查科技有限公司")</f>
        <v/>
      </c>
      <c r="P113" s="89">
        <f>-SUMIFS('11月数据源'!$I:$I,'11月数据源'!$D:$D,$E113,'11月数据源'!$F:$F,"杭州实时查科技有限公司")+SUMIFS('11月数据源'!$J:$J,'11月数据源'!$D:$D,$E113,'11月数据源'!$F:$F,"杭州实时查科技有限公司")</f>
        <v/>
      </c>
      <c r="Q113" s="89">
        <f>-SUMIFS('12月数据源'!$I:$I,'12月数据源'!$D:$D,$E113,'12月数据源'!$F:$F,"杭州实时查科技有限公司")+SUMIFS('12月数据源'!$J:$J,'12月数据源'!$D:$D,$E113,'12月数据源'!$F:$F,"杭州实时查科技有限公司")</f>
        <v/>
      </c>
    </row>
    <row r="114" s="83">
      <c r="A114" s="5" t="inlineStr">
        <is>
          <t>销售费用</t>
        </is>
      </c>
      <c r="B114" s="6" t="inlineStr">
        <is>
          <t>投放转化</t>
        </is>
      </c>
      <c r="D114" s="5" t="inlineStr">
        <is>
          <t>视频号投放充值</t>
        </is>
      </c>
      <c r="E114" s="6" t="inlineStr">
        <is>
          <t>Q2004</t>
        </is>
      </c>
      <c r="F114" s="89">
        <f>-SUMIFS('1月数据源'!I:I,'1月数据源'!D:D,E114,'1月数据源'!F:F,"杭州实时查科技有限公司")+SUMIFS('1月数据源'!J:J,'1月数据源'!D:D,E114,'1月数据源'!F:F,"杭州实时查科技有限公司")</f>
        <v/>
      </c>
      <c r="G114" s="89">
        <f>-SUMIFS('2月数据源'!$I:$I,'2月数据源'!$D:$D,$E114,'2月数据源'!$F:$F,"杭州实时查科技有限公司")+SUMIFS('2月数据源'!$J:$J,'2月数据源'!$D:$D,$E114,'2月数据源'!$F:$F,"杭州实时查科技有限公司")</f>
        <v/>
      </c>
      <c r="H114" s="89">
        <f>-SUMIFS('3月数据源'!$I:$I,'3月数据源'!$D:$D,$E114,'3月数据源'!$F:$F,"杭州实时查科技有限公司")+SUMIFS('3月数据源'!$J:$J,'3月数据源'!$D:$D,$E114,'3月数据源'!$F:$F,"杭州实时查科技有限公司")</f>
        <v/>
      </c>
      <c r="I114" s="89">
        <f>-SUMIFS('4月数据源'!$I:$I,'4月数据源'!$D:$D,$E114,'4月数据源'!$F:$F,"杭州实时查科技有限公司")+SUMIFS('4月数据源'!$J:$J,'4月数据源'!$D:$D,$E114,'4月数据源'!$F:$F,"杭州实时查科技有限公司")</f>
        <v/>
      </c>
      <c r="J114" s="89">
        <f>-SUMIFS('5月数据源'!$I:$I,'5月数据源'!$D:$D,$E114,'5月数据源'!$F:$F,"杭州实时查科技有限公司")+SUMIFS('5月数据源'!$J:$J,'5月数据源'!$D:$D,$E114,'5月数据源'!$F:$F,"杭州实时查科技有限公司")</f>
        <v/>
      </c>
      <c r="K114" s="89">
        <f>-SUMIFS('6月数据源'!$I:$I,'6月数据源'!$D:$D,$E114,'6月数据源'!$F:$F,"杭州实时查科技有限公司")+SUMIFS('6月数据源'!$J:$J,'6月数据源'!$D:$D,$E114,'6月数据源'!$F:$F,"杭州实时查科技有限公司")</f>
        <v/>
      </c>
      <c r="L114" s="89">
        <f>-SUMIFS('7月数据源'!$I:$I,'7月数据源'!$D:$D,$E114,'7月数据源'!$F:$F,"杭州实时查科技有限公司")+SUMIFS('7月数据源'!$J:$J,'7月数据源'!$D:$D,$E114,'7月数据源'!$F:$F,"杭州实时查科技有限公司")</f>
        <v/>
      </c>
      <c r="M114" s="89">
        <f>-SUMIFS('8月数据源'!$I:$I,'8月数据源'!$D:$D,$E114,'8月数据源'!$F:$F,"杭州实时查科技有限公司")+SUMIFS('8月数据源'!$J:$J,'8月数据源'!$D:$D,$E114,'8月数据源'!$F:$F,"杭州实时查科技有限公司")</f>
        <v/>
      </c>
      <c r="N114" s="89">
        <f>-SUMIFS('9月数据源'!$I:$I,'9月数据源'!$D:$D,$E114,'9月数据源'!$F:$F,"杭州实时查科技有限公司")+SUMIFS('9月数据源'!$J:$J,'9月数据源'!$D:$D,$E114,'9月数据源'!$F:$F,"杭州实时查科技有限公司")</f>
        <v/>
      </c>
      <c r="O114" s="89">
        <f>-SUMIFS('10月数据源'!$I:$I,'10月数据源'!$D:$D,$E114,'10月数据源'!$F:$F,"杭州实时查科技有限公司")+SUMIFS('10月数据源'!$J:$J,'10月数据源'!$D:$D,$E114,'10月数据源'!$F:$F,"杭州实时查科技有限公司")</f>
        <v/>
      </c>
      <c r="P114" s="89">
        <f>-SUMIFS('11月数据源'!$I:$I,'11月数据源'!$D:$D,$E114,'11月数据源'!$F:$F,"杭州实时查科技有限公司")+SUMIFS('11月数据源'!$J:$J,'11月数据源'!$D:$D,$E114,'11月数据源'!$F:$F,"杭州实时查科技有限公司")</f>
        <v/>
      </c>
      <c r="Q114" s="89">
        <f>-SUMIFS('12月数据源'!$I:$I,'12月数据源'!$D:$D,$E114,'12月数据源'!$F:$F,"杭州实时查科技有限公司")+SUMIFS('12月数据源'!$J:$J,'12月数据源'!$D:$D,$E114,'12月数据源'!$F:$F,"杭州实时查科技有限公司")</f>
        <v/>
      </c>
    </row>
    <row r="115" s="83">
      <c r="A115" s="5" t="inlineStr">
        <is>
          <t>销售费用</t>
        </is>
      </c>
      <c r="B115" s="6" t="inlineStr">
        <is>
          <t>投放转化</t>
        </is>
      </c>
      <c r="D115" s="5" t="inlineStr">
        <is>
          <t>天猫平台投放充值</t>
        </is>
      </c>
      <c r="E115" s="6" t="inlineStr">
        <is>
          <t>Q2005</t>
        </is>
      </c>
      <c r="F115" s="89">
        <f>-SUMIFS('1月数据源'!I:I,'1月数据源'!D:D,E115,'1月数据源'!F:F,"杭州实时查科技有限公司")+SUMIFS('1月数据源'!J:J,'1月数据源'!D:D,E115,'1月数据源'!F:F,"杭州实时查科技有限公司")</f>
        <v/>
      </c>
      <c r="G115" s="89">
        <f>-SUMIFS('2月数据源'!$I:$I,'2月数据源'!$D:$D,$E115,'2月数据源'!$F:$F,"杭州实时查科技有限公司")+SUMIFS('2月数据源'!$J:$J,'2月数据源'!$D:$D,$E115,'2月数据源'!$F:$F,"杭州实时查科技有限公司")</f>
        <v/>
      </c>
      <c r="H115" s="89">
        <f>-SUMIFS('3月数据源'!$I:$I,'3月数据源'!$D:$D,$E115,'3月数据源'!$F:$F,"杭州实时查科技有限公司")+SUMIFS('3月数据源'!$J:$J,'3月数据源'!$D:$D,$E115,'3月数据源'!$F:$F,"杭州实时查科技有限公司")</f>
        <v/>
      </c>
      <c r="I115" s="89">
        <f>-SUMIFS('4月数据源'!$I:$I,'4月数据源'!$D:$D,$E115,'4月数据源'!$F:$F,"杭州实时查科技有限公司")+SUMIFS('4月数据源'!$J:$J,'4月数据源'!$D:$D,$E115,'4月数据源'!$F:$F,"杭州实时查科技有限公司")</f>
        <v/>
      </c>
      <c r="J115" s="89">
        <f>-SUMIFS('5月数据源'!$I:$I,'5月数据源'!$D:$D,$E115,'5月数据源'!$F:$F,"杭州实时查科技有限公司")+SUMIFS('5月数据源'!$J:$J,'5月数据源'!$D:$D,$E115,'5月数据源'!$F:$F,"杭州实时查科技有限公司")</f>
        <v/>
      </c>
      <c r="K115" s="89">
        <f>-SUMIFS('6月数据源'!$I:$I,'6月数据源'!$D:$D,$E115,'6月数据源'!$F:$F,"杭州实时查科技有限公司")+SUMIFS('6月数据源'!$J:$J,'6月数据源'!$D:$D,$E115,'6月数据源'!$F:$F,"杭州实时查科技有限公司")</f>
        <v/>
      </c>
      <c r="L115" s="89">
        <f>-SUMIFS('7月数据源'!$I:$I,'7月数据源'!$D:$D,$E115,'7月数据源'!$F:$F,"杭州实时查科技有限公司")+SUMIFS('7月数据源'!$J:$J,'7月数据源'!$D:$D,$E115,'7月数据源'!$F:$F,"杭州实时查科技有限公司")</f>
        <v/>
      </c>
      <c r="M115" s="89">
        <f>-SUMIFS('8月数据源'!$I:$I,'8月数据源'!$D:$D,$E115,'8月数据源'!$F:$F,"杭州实时查科技有限公司")+SUMIFS('8月数据源'!$J:$J,'8月数据源'!$D:$D,$E115,'8月数据源'!$F:$F,"杭州实时查科技有限公司")</f>
        <v/>
      </c>
      <c r="N115" s="89">
        <f>-SUMIFS('9月数据源'!$I:$I,'9月数据源'!$D:$D,$E115,'9月数据源'!$F:$F,"杭州实时查科技有限公司")+SUMIFS('9月数据源'!$J:$J,'9月数据源'!$D:$D,$E115,'9月数据源'!$F:$F,"杭州实时查科技有限公司")</f>
        <v/>
      </c>
      <c r="O115" s="89">
        <f>-SUMIFS('10月数据源'!$I:$I,'10月数据源'!$D:$D,$E115,'10月数据源'!$F:$F,"杭州实时查科技有限公司")+SUMIFS('10月数据源'!$J:$J,'10月数据源'!$D:$D,$E115,'10月数据源'!$F:$F,"杭州实时查科技有限公司")</f>
        <v/>
      </c>
      <c r="P115" s="89">
        <f>-SUMIFS('11月数据源'!$I:$I,'11月数据源'!$D:$D,$E115,'11月数据源'!$F:$F,"杭州实时查科技有限公司")+SUMIFS('11月数据源'!$J:$J,'11月数据源'!$D:$D,$E115,'11月数据源'!$F:$F,"杭州实时查科技有限公司")</f>
        <v/>
      </c>
      <c r="Q115" s="89">
        <f>-SUMIFS('12月数据源'!$I:$I,'12月数据源'!$D:$D,$E115,'12月数据源'!$F:$F,"杭州实时查科技有限公司")+SUMIFS('12月数据源'!$J:$J,'12月数据源'!$D:$D,$E115,'12月数据源'!$F:$F,"杭州实时查科技有限公司")</f>
        <v/>
      </c>
    </row>
    <row r="116" s="83">
      <c r="A116" s="5" t="inlineStr">
        <is>
          <t>销售费用</t>
        </is>
      </c>
      <c r="B116" s="6" t="inlineStr">
        <is>
          <t>直播间运营</t>
        </is>
      </c>
      <c r="C116" s="6" t="inlineStr">
        <is>
          <t>直播间运营</t>
        </is>
      </c>
      <c r="D116" s="5" t="inlineStr">
        <is>
          <t>DP-有熊团队服务费</t>
        </is>
      </c>
      <c r="E116" s="6" t="inlineStr">
        <is>
          <t>Q2101</t>
        </is>
      </c>
      <c r="F116" s="89">
        <f>-SUMIFS('1月数据源'!I:I,'1月数据源'!D:D,E116,'1月数据源'!F:F,"杭州实时查科技有限公司")+SUMIFS('1月数据源'!J:J,'1月数据源'!D:D,E116,'1月数据源'!F:F,"杭州实时查科技有限公司")</f>
        <v/>
      </c>
      <c r="G116" s="89">
        <f>-SUMIFS('2月数据源'!$I:$I,'2月数据源'!$D:$D,$E116,'2月数据源'!$F:$F,"杭州实时查科技有限公司")+SUMIFS('2月数据源'!$J:$J,'2月数据源'!$D:$D,$E116,'2月数据源'!$F:$F,"杭州实时查科技有限公司")</f>
        <v/>
      </c>
      <c r="H116" s="89">
        <f>-SUMIFS('3月数据源'!$I:$I,'3月数据源'!$D:$D,$E116,'3月数据源'!$F:$F,"杭州实时查科技有限公司")+SUMIFS('3月数据源'!$J:$J,'3月数据源'!$D:$D,$E116,'3月数据源'!$F:$F,"杭州实时查科技有限公司")</f>
        <v/>
      </c>
      <c r="I116" s="89">
        <f>-SUMIFS('4月数据源'!$I:$I,'4月数据源'!$D:$D,$E116,'4月数据源'!$F:$F,"杭州实时查科技有限公司")+SUMIFS('4月数据源'!$J:$J,'4月数据源'!$D:$D,$E116,'4月数据源'!$F:$F,"杭州实时查科技有限公司")</f>
        <v/>
      </c>
      <c r="J116" s="89">
        <f>-SUMIFS('5月数据源'!$I:$I,'5月数据源'!$D:$D,$E116,'5月数据源'!$F:$F,"杭州实时查科技有限公司")+SUMIFS('5月数据源'!$J:$J,'5月数据源'!$D:$D,$E116,'5月数据源'!$F:$F,"杭州实时查科技有限公司")</f>
        <v/>
      </c>
      <c r="K116" s="89">
        <f>-SUMIFS('6月数据源'!$I:$I,'6月数据源'!$D:$D,$E116,'6月数据源'!$F:$F,"杭州实时查科技有限公司")+SUMIFS('6月数据源'!$J:$J,'6月数据源'!$D:$D,$E116,'6月数据源'!$F:$F,"杭州实时查科技有限公司")</f>
        <v/>
      </c>
      <c r="L116" s="89">
        <f>-SUMIFS('7月数据源'!$I:$I,'7月数据源'!$D:$D,$E116,'7月数据源'!$F:$F,"杭州实时查科技有限公司")+SUMIFS('7月数据源'!$J:$J,'7月数据源'!$D:$D,$E116,'7月数据源'!$F:$F,"杭州实时查科技有限公司")</f>
        <v/>
      </c>
      <c r="M116" s="89">
        <f>-SUMIFS('8月数据源'!$I:$I,'8月数据源'!$D:$D,$E116,'8月数据源'!$F:$F,"杭州实时查科技有限公司")+SUMIFS('8月数据源'!$J:$J,'8月数据源'!$D:$D,$E116,'8月数据源'!$F:$F,"杭州实时查科技有限公司")</f>
        <v/>
      </c>
      <c r="N116" s="89">
        <f>-SUMIFS('9月数据源'!$I:$I,'9月数据源'!$D:$D,$E116,'9月数据源'!$F:$F,"杭州实时查科技有限公司")+SUMIFS('9月数据源'!$J:$J,'9月数据源'!$D:$D,$E116,'9月数据源'!$F:$F,"杭州实时查科技有限公司")</f>
        <v/>
      </c>
      <c r="O116" s="89">
        <f>-SUMIFS('10月数据源'!$I:$I,'10月数据源'!$D:$D,$E116,'10月数据源'!$F:$F,"杭州实时查科技有限公司")+SUMIFS('10月数据源'!$J:$J,'10月数据源'!$D:$D,$E116,'10月数据源'!$F:$F,"杭州实时查科技有限公司")</f>
        <v/>
      </c>
      <c r="P116" s="89">
        <f>-SUMIFS('11月数据源'!$I:$I,'11月数据源'!$D:$D,$E116,'11月数据源'!$F:$F,"杭州实时查科技有限公司")+SUMIFS('11月数据源'!$J:$J,'11月数据源'!$D:$D,$E116,'11月数据源'!$F:$F,"杭州实时查科技有限公司")</f>
        <v/>
      </c>
      <c r="Q116" s="89">
        <f>-SUMIFS('12月数据源'!$I:$I,'12月数据源'!$D:$D,$E116,'12月数据源'!$F:$F,"杭州实时查科技有限公司")+SUMIFS('12月数据源'!$J:$J,'12月数据源'!$D:$D,$E116,'12月数据源'!$F:$F,"杭州实时查科技有限公司")</f>
        <v/>
      </c>
    </row>
    <row r="117" s="83">
      <c r="A117" s="5" t="inlineStr">
        <is>
          <t>销售费用</t>
        </is>
      </c>
      <c r="B117" s="6" t="inlineStr">
        <is>
          <t>直播间运营</t>
        </is>
      </c>
      <c r="D117" s="5" t="inlineStr">
        <is>
          <t>DP-黑哥团队服务费</t>
        </is>
      </c>
      <c r="E117" s="6" t="inlineStr">
        <is>
          <t>Q2102</t>
        </is>
      </c>
      <c r="F117" s="89">
        <f>-SUMIFS('1月数据源'!I:I,'1月数据源'!D:D,E117,'1月数据源'!F:F,"杭州实时查科技有限公司")+SUMIFS('1月数据源'!J:J,'1月数据源'!D:D,E117,'1月数据源'!F:F,"杭州实时查科技有限公司")</f>
        <v/>
      </c>
      <c r="G117" s="89">
        <f>-SUMIFS('2月数据源'!$I:$I,'2月数据源'!$D:$D,$E117,'2月数据源'!$F:$F,"杭州实时查科技有限公司")+SUMIFS('2月数据源'!$J:$J,'2月数据源'!$D:$D,$E117,'2月数据源'!$F:$F,"杭州实时查科技有限公司")</f>
        <v/>
      </c>
      <c r="H117" s="89">
        <f>-SUMIFS('3月数据源'!$I:$I,'3月数据源'!$D:$D,$E117,'3月数据源'!$F:$F,"杭州实时查科技有限公司")+SUMIFS('3月数据源'!$J:$J,'3月数据源'!$D:$D,$E117,'3月数据源'!$F:$F,"杭州实时查科技有限公司")</f>
        <v/>
      </c>
      <c r="I117" s="89">
        <f>-SUMIFS('4月数据源'!$I:$I,'4月数据源'!$D:$D,$E117,'4月数据源'!$F:$F,"杭州实时查科技有限公司")+SUMIFS('4月数据源'!$J:$J,'4月数据源'!$D:$D,$E117,'4月数据源'!$F:$F,"杭州实时查科技有限公司")</f>
        <v/>
      </c>
      <c r="J117" s="89">
        <f>-SUMIFS('5月数据源'!$I:$I,'5月数据源'!$D:$D,$E117,'5月数据源'!$F:$F,"杭州实时查科技有限公司")+SUMIFS('5月数据源'!$J:$J,'5月数据源'!$D:$D,$E117,'5月数据源'!$F:$F,"杭州实时查科技有限公司")</f>
        <v/>
      </c>
      <c r="K117" s="89">
        <f>-SUMIFS('6月数据源'!$I:$I,'6月数据源'!$D:$D,$E117,'6月数据源'!$F:$F,"杭州实时查科技有限公司")+SUMIFS('6月数据源'!$J:$J,'6月数据源'!$D:$D,$E117,'6月数据源'!$F:$F,"杭州实时查科技有限公司")</f>
        <v/>
      </c>
      <c r="L117" s="89">
        <f>-SUMIFS('7月数据源'!$I:$I,'7月数据源'!$D:$D,$E117,'7月数据源'!$F:$F,"杭州实时查科技有限公司")+SUMIFS('7月数据源'!$J:$J,'7月数据源'!$D:$D,$E117,'7月数据源'!$F:$F,"杭州实时查科技有限公司")</f>
        <v/>
      </c>
      <c r="M117" s="89">
        <f>-SUMIFS('8月数据源'!$I:$I,'8月数据源'!$D:$D,$E117,'8月数据源'!$F:$F,"杭州实时查科技有限公司")+SUMIFS('8月数据源'!$J:$J,'8月数据源'!$D:$D,$E117,'8月数据源'!$F:$F,"杭州实时查科技有限公司")</f>
        <v/>
      </c>
      <c r="N117" s="89">
        <f>-SUMIFS('9月数据源'!$I:$I,'9月数据源'!$D:$D,$E117,'9月数据源'!$F:$F,"杭州实时查科技有限公司")+SUMIFS('9月数据源'!$J:$J,'9月数据源'!$D:$D,$E117,'9月数据源'!$F:$F,"杭州实时查科技有限公司")</f>
        <v/>
      </c>
      <c r="O117" s="89">
        <f>-SUMIFS('10月数据源'!$I:$I,'10月数据源'!$D:$D,$E117,'10月数据源'!$F:$F,"杭州实时查科技有限公司")+SUMIFS('10月数据源'!$J:$J,'10月数据源'!$D:$D,$E117,'10月数据源'!$F:$F,"杭州实时查科技有限公司")</f>
        <v/>
      </c>
      <c r="P117" s="89">
        <f>-SUMIFS('11月数据源'!$I:$I,'11月数据源'!$D:$D,$E117,'11月数据源'!$F:$F,"杭州实时查科技有限公司")+SUMIFS('11月数据源'!$J:$J,'11月数据源'!$D:$D,$E117,'11月数据源'!$F:$F,"杭州实时查科技有限公司")</f>
        <v/>
      </c>
      <c r="Q117" s="89">
        <f>-SUMIFS('12月数据源'!$I:$I,'12月数据源'!$D:$D,$E117,'12月数据源'!$F:$F,"杭州实时查科技有限公司")+SUMIFS('12月数据源'!$J:$J,'12月数据源'!$D:$D,$E117,'12月数据源'!$F:$F,"杭州实时查科技有限公司")</f>
        <v/>
      </c>
    </row>
    <row r="118" s="83">
      <c r="A118" s="5" t="inlineStr">
        <is>
          <t>销售费用</t>
        </is>
      </c>
      <c r="B118" s="6" t="inlineStr">
        <is>
          <t>直播间运营</t>
        </is>
      </c>
      <c r="D118" s="5" t="inlineStr">
        <is>
          <t>DP-小太阳团队服务费</t>
        </is>
      </c>
      <c r="E118" s="6" t="inlineStr">
        <is>
          <t>Q2103</t>
        </is>
      </c>
      <c r="F118" s="89">
        <f>-SUMIFS('1月数据源'!I:I,'1月数据源'!D:D,E118,'1月数据源'!F:F,"杭州实时查科技有限公司")+SUMIFS('1月数据源'!J:J,'1月数据源'!D:D,E118,'1月数据源'!F:F,"杭州实时查科技有限公司")</f>
        <v/>
      </c>
      <c r="G118" s="89">
        <f>-SUMIFS('2月数据源'!$I:$I,'2月数据源'!$D:$D,$E118,'2月数据源'!$F:$F,"杭州实时查科技有限公司")+SUMIFS('2月数据源'!$J:$J,'2月数据源'!$D:$D,$E118,'2月数据源'!$F:$F,"杭州实时查科技有限公司")</f>
        <v/>
      </c>
      <c r="H118" s="89">
        <f>-SUMIFS('3月数据源'!$I:$I,'3月数据源'!$D:$D,$E118,'3月数据源'!$F:$F,"杭州实时查科技有限公司")+SUMIFS('3月数据源'!$J:$J,'3月数据源'!$D:$D,$E118,'3月数据源'!$F:$F,"杭州实时查科技有限公司")</f>
        <v/>
      </c>
      <c r="I118" s="89">
        <f>-SUMIFS('4月数据源'!$I:$I,'4月数据源'!$D:$D,$E118,'4月数据源'!$F:$F,"杭州实时查科技有限公司")+SUMIFS('4月数据源'!$J:$J,'4月数据源'!$D:$D,$E118,'4月数据源'!$F:$F,"杭州实时查科技有限公司")</f>
        <v/>
      </c>
      <c r="J118" s="89">
        <f>-SUMIFS('5月数据源'!$I:$I,'5月数据源'!$D:$D,$E118,'5月数据源'!$F:$F,"杭州实时查科技有限公司")+SUMIFS('5月数据源'!$J:$J,'5月数据源'!$D:$D,$E118,'5月数据源'!$F:$F,"杭州实时查科技有限公司")</f>
        <v/>
      </c>
      <c r="K118" s="89">
        <f>-SUMIFS('6月数据源'!$I:$I,'6月数据源'!$D:$D,$E118,'6月数据源'!$F:$F,"杭州实时查科技有限公司")+SUMIFS('6月数据源'!$J:$J,'6月数据源'!$D:$D,$E118,'6月数据源'!$F:$F,"杭州实时查科技有限公司")</f>
        <v/>
      </c>
      <c r="L118" s="89">
        <f>-SUMIFS('7月数据源'!$I:$I,'7月数据源'!$D:$D,$E118,'7月数据源'!$F:$F,"杭州实时查科技有限公司")+SUMIFS('7月数据源'!$J:$J,'7月数据源'!$D:$D,$E118,'7月数据源'!$F:$F,"杭州实时查科技有限公司")</f>
        <v/>
      </c>
      <c r="M118" s="89">
        <f>-SUMIFS('8月数据源'!$I:$I,'8月数据源'!$D:$D,$E118,'8月数据源'!$F:$F,"杭州实时查科技有限公司")+SUMIFS('8月数据源'!$J:$J,'8月数据源'!$D:$D,$E118,'8月数据源'!$F:$F,"杭州实时查科技有限公司")</f>
        <v/>
      </c>
      <c r="N118" s="89">
        <f>-SUMIFS('9月数据源'!$I:$I,'9月数据源'!$D:$D,$E118,'9月数据源'!$F:$F,"杭州实时查科技有限公司")+SUMIFS('9月数据源'!$J:$J,'9月数据源'!$D:$D,$E118,'9月数据源'!$F:$F,"杭州实时查科技有限公司")</f>
        <v/>
      </c>
      <c r="O118" s="89">
        <f>-SUMIFS('10月数据源'!$I:$I,'10月数据源'!$D:$D,$E118,'10月数据源'!$F:$F,"杭州实时查科技有限公司")+SUMIFS('10月数据源'!$J:$J,'10月数据源'!$D:$D,$E118,'10月数据源'!$F:$F,"杭州实时查科技有限公司")</f>
        <v/>
      </c>
      <c r="P118" s="89">
        <f>-SUMIFS('11月数据源'!$I:$I,'11月数据源'!$D:$D,$E118,'11月数据源'!$F:$F,"杭州实时查科技有限公司")+SUMIFS('11月数据源'!$J:$J,'11月数据源'!$D:$D,$E118,'11月数据源'!$F:$F,"杭州实时查科技有限公司")</f>
        <v/>
      </c>
      <c r="Q118" s="89">
        <f>-SUMIFS('12月数据源'!$I:$I,'12月数据源'!$D:$D,$E118,'12月数据源'!$F:$F,"杭州实时查科技有限公司")+SUMIFS('12月数据源'!$J:$J,'12月数据源'!$D:$D,$E118,'12月数据源'!$F:$F,"杭州实时查科技有限公司")</f>
        <v/>
      </c>
    </row>
    <row r="119" s="83">
      <c r="A119" s="5" t="inlineStr">
        <is>
          <t>销售费用</t>
        </is>
      </c>
      <c r="B119" s="6" t="inlineStr">
        <is>
          <t>直播间运营</t>
        </is>
      </c>
      <c r="D119" s="5" t="inlineStr">
        <is>
          <t>直播间搭建费用</t>
        </is>
      </c>
      <c r="E119" s="6" t="inlineStr">
        <is>
          <t>Q2104</t>
        </is>
      </c>
      <c r="F119" s="89">
        <f>-SUMIFS('1月数据源'!I:I,'1月数据源'!D:D,E119,'1月数据源'!F:F,"杭州实时查科技有限公司")+SUMIFS('1月数据源'!J:J,'1月数据源'!D:D,E119,'1月数据源'!F:F,"杭州实时查科技有限公司")</f>
        <v/>
      </c>
      <c r="G119" s="89">
        <f>-SUMIFS('2月数据源'!$I:$I,'2月数据源'!$D:$D,$E119,'2月数据源'!$F:$F,"杭州实时查科技有限公司")+SUMIFS('2月数据源'!$J:$J,'2月数据源'!$D:$D,$E119,'2月数据源'!$F:$F,"杭州实时查科技有限公司")</f>
        <v/>
      </c>
      <c r="H119" s="89">
        <f>-SUMIFS('3月数据源'!$I:$I,'3月数据源'!$D:$D,$E119,'3月数据源'!$F:$F,"杭州实时查科技有限公司")+SUMIFS('3月数据源'!$J:$J,'3月数据源'!$D:$D,$E119,'3月数据源'!$F:$F,"杭州实时查科技有限公司")</f>
        <v/>
      </c>
      <c r="I119" s="89">
        <f>-SUMIFS('4月数据源'!$I:$I,'4月数据源'!$D:$D,$E119,'4月数据源'!$F:$F,"杭州实时查科技有限公司")+SUMIFS('4月数据源'!$J:$J,'4月数据源'!$D:$D,$E119,'4月数据源'!$F:$F,"杭州实时查科技有限公司")</f>
        <v/>
      </c>
      <c r="J119" s="89">
        <f>-SUMIFS('5月数据源'!$I:$I,'5月数据源'!$D:$D,$E119,'5月数据源'!$F:$F,"杭州实时查科技有限公司")+SUMIFS('5月数据源'!$J:$J,'5月数据源'!$D:$D,$E119,'5月数据源'!$F:$F,"杭州实时查科技有限公司")</f>
        <v/>
      </c>
      <c r="K119" s="89">
        <f>-SUMIFS('6月数据源'!$I:$I,'6月数据源'!$D:$D,$E119,'6月数据源'!$F:$F,"杭州实时查科技有限公司")+SUMIFS('6月数据源'!$J:$J,'6月数据源'!$D:$D,$E119,'6月数据源'!$F:$F,"杭州实时查科技有限公司")</f>
        <v/>
      </c>
      <c r="L119" s="89">
        <f>-SUMIFS('7月数据源'!$I:$I,'7月数据源'!$D:$D,$E119,'7月数据源'!$F:$F,"杭州实时查科技有限公司")+SUMIFS('7月数据源'!$J:$J,'7月数据源'!$D:$D,$E119,'7月数据源'!$F:$F,"杭州实时查科技有限公司")</f>
        <v/>
      </c>
      <c r="M119" s="89">
        <f>-SUMIFS('8月数据源'!$I:$I,'8月数据源'!$D:$D,$E119,'8月数据源'!$F:$F,"杭州实时查科技有限公司")+SUMIFS('8月数据源'!$J:$J,'8月数据源'!$D:$D,$E119,'8月数据源'!$F:$F,"杭州实时查科技有限公司")</f>
        <v/>
      </c>
      <c r="N119" s="89">
        <f>-SUMIFS('9月数据源'!$I:$I,'9月数据源'!$D:$D,$E119,'9月数据源'!$F:$F,"杭州实时查科技有限公司")+SUMIFS('9月数据源'!$J:$J,'9月数据源'!$D:$D,$E119,'9月数据源'!$F:$F,"杭州实时查科技有限公司")</f>
        <v/>
      </c>
      <c r="O119" s="89">
        <f>-SUMIFS('10月数据源'!$I:$I,'10月数据源'!$D:$D,$E119,'10月数据源'!$F:$F,"杭州实时查科技有限公司")+SUMIFS('10月数据源'!$J:$J,'10月数据源'!$D:$D,$E119,'10月数据源'!$F:$F,"杭州实时查科技有限公司")</f>
        <v/>
      </c>
      <c r="P119" s="89">
        <f>-SUMIFS('11月数据源'!$I:$I,'11月数据源'!$D:$D,$E119,'11月数据源'!$F:$F,"杭州实时查科技有限公司")+SUMIFS('11月数据源'!$J:$J,'11月数据源'!$D:$D,$E119,'11月数据源'!$F:$F,"杭州实时查科技有限公司")</f>
        <v/>
      </c>
      <c r="Q119" s="89">
        <f>-SUMIFS('12月数据源'!$I:$I,'12月数据源'!$D:$D,$E119,'12月数据源'!$F:$F,"杭州实时查科技有限公司")+SUMIFS('12月数据源'!$J:$J,'12月数据源'!$D:$D,$E119,'12月数据源'!$F:$F,"杭州实时查科技有限公司")</f>
        <v/>
      </c>
    </row>
    <row r="120" s="83">
      <c r="A120" s="5" t="inlineStr">
        <is>
          <t>销售费用</t>
        </is>
      </c>
      <c r="B120" s="6" t="inlineStr">
        <is>
          <t>平台运营</t>
        </is>
      </c>
      <c r="C120" s="6" t="inlineStr">
        <is>
          <t>平台运营</t>
        </is>
      </c>
      <c r="D120" s="5" t="inlineStr">
        <is>
          <t>分期服务费</t>
        </is>
      </c>
      <c r="E120" s="6" t="inlineStr">
        <is>
          <t>Q2204</t>
        </is>
      </c>
      <c r="F120" s="89">
        <f>-SUMIFS('1月数据源'!I:I,'1月数据源'!D:D,E120,'1月数据源'!F:F,"杭州实时查科技有限公司")+SUMIFS('1月数据源'!J:J,'1月数据源'!D:D,E120,'1月数据源'!F:F,"杭州实时查科技有限公司")</f>
        <v/>
      </c>
      <c r="G120" s="89">
        <f>-SUMIFS('2月数据源'!$I:$I,'2月数据源'!$D:$D,$E120,'2月数据源'!$F:$F,"杭州实时查科技有限公司")+SUMIFS('2月数据源'!$J:$J,'2月数据源'!$D:$D,$E120,'2月数据源'!$F:$F,"杭州实时查科技有限公司")</f>
        <v/>
      </c>
      <c r="H120" s="89">
        <f>-SUMIFS('3月数据源'!$I:$I,'3月数据源'!$D:$D,$E120,'3月数据源'!$F:$F,"杭州实时查科技有限公司")+SUMIFS('3月数据源'!$J:$J,'3月数据源'!$D:$D,$E120,'3月数据源'!$F:$F,"杭州实时查科技有限公司")</f>
        <v/>
      </c>
      <c r="I120" s="89">
        <f>-SUMIFS('4月数据源'!$I:$I,'4月数据源'!$D:$D,$E120,'4月数据源'!$F:$F,"杭州实时查科技有限公司")+SUMIFS('4月数据源'!$J:$J,'4月数据源'!$D:$D,$E120,'4月数据源'!$F:$F,"杭州实时查科技有限公司")</f>
        <v/>
      </c>
      <c r="J120" s="89">
        <f>-SUMIFS('5月数据源'!$I:$I,'5月数据源'!$D:$D,$E120,'5月数据源'!$F:$F,"杭州实时查科技有限公司")+SUMIFS('5月数据源'!$J:$J,'5月数据源'!$D:$D,$E120,'5月数据源'!$F:$F,"杭州实时查科技有限公司")</f>
        <v/>
      </c>
      <c r="K120" s="89">
        <f>-SUMIFS('6月数据源'!$I:$I,'6月数据源'!$D:$D,$E120,'6月数据源'!$F:$F,"杭州实时查科技有限公司")+SUMIFS('6月数据源'!$J:$J,'6月数据源'!$D:$D,$E120,'6月数据源'!$F:$F,"杭州实时查科技有限公司")</f>
        <v/>
      </c>
      <c r="L120" s="89">
        <f>-SUMIFS('7月数据源'!$I:$I,'7月数据源'!$D:$D,$E120,'7月数据源'!$F:$F,"杭州实时查科技有限公司")+SUMIFS('7月数据源'!$J:$J,'7月数据源'!$D:$D,$E120,'7月数据源'!$F:$F,"杭州实时查科技有限公司")</f>
        <v/>
      </c>
      <c r="M120" s="89">
        <f>-SUMIFS('8月数据源'!$I:$I,'8月数据源'!$D:$D,$E120,'8月数据源'!$F:$F,"杭州实时查科技有限公司")+SUMIFS('8月数据源'!$J:$J,'8月数据源'!$D:$D,$E120,'8月数据源'!$F:$F,"杭州实时查科技有限公司")</f>
        <v/>
      </c>
      <c r="N120" s="89">
        <f>-SUMIFS('9月数据源'!$I:$I,'9月数据源'!$D:$D,$E120,'9月数据源'!$F:$F,"杭州实时查科技有限公司")+SUMIFS('9月数据源'!$J:$J,'9月数据源'!$D:$D,$E120,'9月数据源'!$F:$F,"杭州实时查科技有限公司")</f>
        <v/>
      </c>
      <c r="O120" s="89">
        <f>-SUMIFS('10月数据源'!$I:$I,'10月数据源'!$D:$D,$E120,'10月数据源'!$F:$F,"杭州实时查科技有限公司")+SUMIFS('10月数据源'!$J:$J,'10月数据源'!$D:$D,$E120,'10月数据源'!$F:$F,"杭州实时查科技有限公司")</f>
        <v/>
      </c>
      <c r="P120" s="89">
        <f>-SUMIFS('11月数据源'!$I:$I,'11月数据源'!$D:$D,$E120,'11月数据源'!$F:$F,"杭州实时查科技有限公司")+SUMIFS('11月数据源'!$J:$J,'11月数据源'!$D:$D,$E120,'11月数据源'!$F:$F,"杭州实时查科技有限公司")</f>
        <v/>
      </c>
      <c r="Q120" s="89">
        <f>-SUMIFS('12月数据源'!$I:$I,'12月数据源'!$D:$D,$E120,'12月数据源'!$F:$F,"杭州实时查科技有限公司")+SUMIFS('12月数据源'!$J:$J,'12月数据源'!$D:$D,$E120,'12月数据源'!$F:$F,"杭州实时查科技有限公司")</f>
        <v/>
      </c>
    </row>
    <row r="121" s="83">
      <c r="A121" s="5" t="inlineStr">
        <is>
          <t>销售费用</t>
        </is>
      </c>
      <c r="B121" s="6" t="inlineStr">
        <is>
          <t>平台运营</t>
        </is>
      </c>
      <c r="D121" s="5" t="inlineStr">
        <is>
          <t>平台服务费</t>
        </is>
      </c>
      <c r="E121" s="6" t="inlineStr">
        <is>
          <t>Q2201</t>
        </is>
      </c>
      <c r="F121" s="89">
        <f>-SUMIFS('1月数据源'!I:I,'1月数据源'!D:D,E121,'1月数据源'!F:F,"杭州实时查科技有限公司")+SUMIFS('1月数据源'!J:J,'1月数据源'!D:D,E121,'1月数据源'!F:F,"杭州实时查科技有限公司")</f>
        <v/>
      </c>
      <c r="G121" s="89">
        <f>-SUMIFS('2月数据源'!$I:$I,'2月数据源'!$D:$D,$E121,'2月数据源'!$F:$F,"杭州实时查科技有限公司")+SUMIFS('2月数据源'!$J:$J,'2月数据源'!$D:$D,$E121,'2月数据源'!$F:$F,"杭州实时查科技有限公司")</f>
        <v/>
      </c>
      <c r="H121" s="89">
        <f>-SUMIFS('3月数据源'!$I:$I,'3月数据源'!$D:$D,$E121,'3月数据源'!$F:$F,"杭州实时查科技有限公司")+SUMIFS('3月数据源'!$J:$J,'3月数据源'!$D:$D,$E121,'3月数据源'!$F:$F,"杭州实时查科技有限公司")</f>
        <v/>
      </c>
      <c r="I121" s="89">
        <f>-SUMIFS('4月数据源'!$I:$I,'4月数据源'!$D:$D,$E121,'4月数据源'!$F:$F,"杭州实时查科技有限公司")+SUMIFS('4月数据源'!$J:$J,'4月数据源'!$D:$D,$E121,'4月数据源'!$F:$F,"杭州实时查科技有限公司")</f>
        <v/>
      </c>
      <c r="J121" s="89">
        <f>-SUMIFS('5月数据源'!$I:$I,'5月数据源'!$D:$D,$E121,'5月数据源'!$F:$F,"杭州实时查科技有限公司")+SUMIFS('5月数据源'!$J:$J,'5月数据源'!$D:$D,$E121,'5月数据源'!$F:$F,"杭州实时查科技有限公司")</f>
        <v/>
      </c>
      <c r="K121" s="89">
        <f>-SUMIFS('6月数据源'!$I:$I,'6月数据源'!$D:$D,$E121,'6月数据源'!$F:$F,"杭州实时查科技有限公司")+SUMIFS('6月数据源'!$J:$J,'6月数据源'!$D:$D,$E121,'6月数据源'!$F:$F,"杭州实时查科技有限公司")</f>
        <v/>
      </c>
      <c r="L121" s="89">
        <f>-SUMIFS('7月数据源'!$I:$I,'7月数据源'!$D:$D,$E121,'7月数据源'!$F:$F,"杭州实时查科技有限公司")+SUMIFS('7月数据源'!$J:$J,'7月数据源'!$D:$D,$E121,'7月数据源'!$F:$F,"杭州实时查科技有限公司")</f>
        <v/>
      </c>
      <c r="M121" s="89">
        <f>-SUMIFS('8月数据源'!$I:$I,'8月数据源'!$D:$D,$E121,'8月数据源'!$F:$F,"杭州实时查科技有限公司")+SUMIFS('8月数据源'!$J:$J,'8月数据源'!$D:$D,$E121,'8月数据源'!$F:$F,"杭州实时查科技有限公司")</f>
        <v/>
      </c>
      <c r="N121" s="89">
        <f>-SUMIFS('9月数据源'!$I:$I,'9月数据源'!$D:$D,$E121,'9月数据源'!$F:$F,"杭州实时查科技有限公司")+SUMIFS('9月数据源'!$J:$J,'9月数据源'!$D:$D,$E121,'9月数据源'!$F:$F,"杭州实时查科技有限公司")</f>
        <v/>
      </c>
      <c r="O121" s="89">
        <f>-SUMIFS('10月数据源'!$I:$I,'10月数据源'!$D:$D,$E121,'10月数据源'!$F:$F,"杭州实时查科技有限公司")+SUMIFS('10月数据源'!$J:$J,'10月数据源'!$D:$D,$E121,'10月数据源'!$F:$F,"杭州实时查科技有限公司")</f>
        <v/>
      </c>
      <c r="P121" s="89">
        <f>-SUMIFS('11月数据源'!$I:$I,'11月数据源'!$D:$D,$E121,'11月数据源'!$F:$F,"杭州实时查科技有限公司")+SUMIFS('11月数据源'!$J:$J,'11月数据源'!$D:$D,$E121,'11月数据源'!$F:$F,"杭州实时查科技有限公司")</f>
        <v/>
      </c>
      <c r="Q121" s="89">
        <f>-SUMIFS('12月数据源'!$I:$I,'12月数据源'!$D:$D,$E121,'12月数据源'!$F:$F,"杭州实时查科技有限公司")+SUMIFS('12月数据源'!$J:$J,'12月数据源'!$D:$D,$E121,'12月数据源'!$F:$F,"杭州实时查科技有限公司")</f>
        <v/>
      </c>
    </row>
    <row r="122" s="83">
      <c r="A122" s="5" t="inlineStr">
        <is>
          <t>销售费用</t>
        </is>
      </c>
      <c r="B122" s="6" t="inlineStr">
        <is>
          <t>平台运营</t>
        </is>
      </c>
      <c r="D122" s="5" t="inlineStr">
        <is>
          <t>权益保险</t>
        </is>
      </c>
      <c r="E122" s="6" t="inlineStr">
        <is>
          <t>Q2205</t>
        </is>
      </c>
      <c r="F122" s="89">
        <f>-SUMIFS('1月数据源'!I:I,'1月数据源'!D:D,E122,'1月数据源'!F:F,"杭州实时查科技有限公司")+SUMIFS('1月数据源'!J:J,'1月数据源'!D:D,E122,'1月数据源'!F:F,"杭州实时查科技有限公司")</f>
        <v/>
      </c>
      <c r="G122" s="89">
        <f>-SUMIFS('2月数据源'!$I:$I,'2月数据源'!$D:$D,$E122,'2月数据源'!$F:$F,"杭州实时查科技有限公司")+SUMIFS('2月数据源'!$J:$J,'2月数据源'!$D:$D,$E122,'2月数据源'!$F:$F,"杭州实时查科技有限公司")</f>
        <v/>
      </c>
      <c r="H122" s="89">
        <f>-SUMIFS('3月数据源'!$I:$I,'3月数据源'!$D:$D,$E122,'3月数据源'!$F:$F,"杭州实时查科技有限公司")+SUMIFS('3月数据源'!$J:$J,'3月数据源'!$D:$D,$E122,'3月数据源'!$F:$F,"杭州实时查科技有限公司")</f>
        <v/>
      </c>
      <c r="I122" s="89">
        <f>-SUMIFS('4月数据源'!$I:$I,'4月数据源'!$D:$D,$E122,'4月数据源'!$F:$F,"杭州实时查科技有限公司")+SUMIFS('4月数据源'!$J:$J,'4月数据源'!$D:$D,$E122,'4月数据源'!$F:$F,"杭州实时查科技有限公司")</f>
        <v/>
      </c>
      <c r="J122" s="89">
        <f>-SUMIFS('5月数据源'!$I:$I,'5月数据源'!$D:$D,$E122,'5月数据源'!$F:$F,"杭州实时查科技有限公司")+SUMIFS('5月数据源'!$J:$J,'5月数据源'!$D:$D,$E122,'5月数据源'!$F:$F,"杭州实时查科技有限公司")</f>
        <v/>
      </c>
      <c r="K122" s="89">
        <f>-SUMIFS('6月数据源'!$I:$I,'6月数据源'!$D:$D,$E122,'6月数据源'!$F:$F,"杭州实时查科技有限公司")+SUMIFS('6月数据源'!$J:$J,'6月数据源'!$D:$D,$E122,'6月数据源'!$F:$F,"杭州实时查科技有限公司")</f>
        <v/>
      </c>
      <c r="L122" s="89">
        <f>-SUMIFS('7月数据源'!$I:$I,'7月数据源'!$D:$D,$E122,'7月数据源'!$F:$F,"杭州实时查科技有限公司")+SUMIFS('7月数据源'!$J:$J,'7月数据源'!$D:$D,$E122,'7月数据源'!$F:$F,"杭州实时查科技有限公司")</f>
        <v/>
      </c>
      <c r="M122" s="89">
        <f>-SUMIFS('8月数据源'!$I:$I,'8月数据源'!$D:$D,$E122,'8月数据源'!$F:$F,"杭州实时查科技有限公司")+SUMIFS('8月数据源'!$J:$J,'8月数据源'!$D:$D,$E122,'8月数据源'!$F:$F,"杭州实时查科技有限公司")</f>
        <v/>
      </c>
      <c r="N122" s="89">
        <f>-SUMIFS('9月数据源'!$I:$I,'9月数据源'!$D:$D,$E122,'9月数据源'!$F:$F,"杭州实时查科技有限公司")+SUMIFS('9月数据源'!$J:$J,'9月数据源'!$D:$D,$E122,'9月数据源'!$F:$F,"杭州实时查科技有限公司")</f>
        <v/>
      </c>
      <c r="O122" s="89">
        <f>-SUMIFS('10月数据源'!$I:$I,'10月数据源'!$D:$D,$E122,'10月数据源'!$F:$F,"杭州实时查科技有限公司")+SUMIFS('10月数据源'!$J:$J,'10月数据源'!$D:$D,$E122,'10月数据源'!$F:$F,"杭州实时查科技有限公司")</f>
        <v/>
      </c>
      <c r="P122" s="89">
        <f>-SUMIFS('11月数据源'!$I:$I,'11月数据源'!$D:$D,$E122,'11月数据源'!$F:$F,"杭州实时查科技有限公司")+SUMIFS('11月数据源'!$J:$J,'11月数据源'!$D:$D,$E122,'11月数据源'!$F:$F,"杭州实时查科技有限公司")</f>
        <v/>
      </c>
      <c r="Q122" s="89">
        <f>-SUMIFS('12月数据源'!$I:$I,'12月数据源'!$D:$D,$E122,'12月数据源'!$F:$F,"杭州实时查科技有限公司")+SUMIFS('12月数据源'!$J:$J,'12月数据源'!$D:$D,$E122,'12月数据源'!$F:$F,"杭州实时查科技有限公司")</f>
        <v/>
      </c>
    </row>
    <row r="123" s="83">
      <c r="A123" s="5" t="inlineStr">
        <is>
          <t>销售费用</t>
        </is>
      </c>
      <c r="B123" s="6" t="inlineStr">
        <is>
          <t>平台运营</t>
        </is>
      </c>
      <c r="D123" s="5" t="inlineStr">
        <is>
          <t>消费者赔付</t>
        </is>
      </c>
      <c r="E123" s="6" t="inlineStr">
        <is>
          <t>Q2206</t>
        </is>
      </c>
      <c r="F123" s="89">
        <f>-SUMIFS('1月数据源'!I:I,'1月数据源'!D:D,E123,'1月数据源'!F:F,"杭州实时查科技有限公司")+SUMIFS('1月数据源'!J:J,'1月数据源'!D:D,E123,'1月数据源'!F:F,"杭州实时查科技有限公司")</f>
        <v/>
      </c>
      <c r="G123" s="89">
        <f>-SUMIFS('2月数据源'!$I:$I,'2月数据源'!$D:$D,$E123,'2月数据源'!$F:$F,"杭州实时查科技有限公司")+SUMIFS('2月数据源'!$J:$J,'2月数据源'!$D:$D,$E123,'2月数据源'!$F:$F,"杭州实时查科技有限公司")</f>
        <v/>
      </c>
      <c r="H123" s="89">
        <f>-SUMIFS('3月数据源'!$I:$I,'3月数据源'!$D:$D,$E123,'3月数据源'!$F:$F,"杭州实时查科技有限公司")+SUMIFS('3月数据源'!$J:$J,'3月数据源'!$D:$D,$E123,'3月数据源'!$F:$F,"杭州实时查科技有限公司")</f>
        <v/>
      </c>
      <c r="I123" s="89">
        <f>-SUMIFS('4月数据源'!$I:$I,'4月数据源'!$D:$D,$E123,'4月数据源'!$F:$F,"杭州实时查科技有限公司")+SUMIFS('4月数据源'!$J:$J,'4月数据源'!$D:$D,$E123,'4月数据源'!$F:$F,"杭州实时查科技有限公司")</f>
        <v/>
      </c>
      <c r="J123" s="89">
        <f>-SUMIFS('5月数据源'!$I:$I,'5月数据源'!$D:$D,$E123,'5月数据源'!$F:$F,"杭州实时查科技有限公司")+SUMIFS('5月数据源'!$J:$J,'5月数据源'!$D:$D,$E123,'5月数据源'!$F:$F,"杭州实时查科技有限公司")</f>
        <v/>
      </c>
      <c r="K123" s="89">
        <f>-SUMIFS('6月数据源'!$I:$I,'6月数据源'!$D:$D,$E123,'6月数据源'!$F:$F,"杭州实时查科技有限公司")+SUMIFS('6月数据源'!$J:$J,'6月数据源'!$D:$D,$E123,'6月数据源'!$F:$F,"杭州实时查科技有限公司")</f>
        <v/>
      </c>
      <c r="L123" s="89">
        <f>-SUMIFS('7月数据源'!$I:$I,'7月数据源'!$D:$D,$E123,'7月数据源'!$F:$F,"杭州实时查科技有限公司")+SUMIFS('7月数据源'!$J:$J,'7月数据源'!$D:$D,$E123,'7月数据源'!$F:$F,"杭州实时查科技有限公司")</f>
        <v/>
      </c>
      <c r="M123" s="89">
        <f>-SUMIFS('8月数据源'!$I:$I,'8月数据源'!$D:$D,$E123,'8月数据源'!$F:$F,"杭州实时查科技有限公司")+SUMIFS('8月数据源'!$J:$J,'8月数据源'!$D:$D,$E123,'8月数据源'!$F:$F,"杭州实时查科技有限公司")</f>
        <v/>
      </c>
      <c r="N123" s="89">
        <f>-SUMIFS('9月数据源'!$I:$I,'9月数据源'!$D:$D,$E123,'9月数据源'!$F:$F,"杭州实时查科技有限公司")+SUMIFS('9月数据源'!$J:$J,'9月数据源'!$D:$D,$E123,'9月数据源'!$F:$F,"杭州实时查科技有限公司")</f>
        <v/>
      </c>
      <c r="O123" s="89">
        <f>-SUMIFS('10月数据源'!$I:$I,'10月数据源'!$D:$D,$E123,'10月数据源'!$F:$F,"杭州实时查科技有限公司")+SUMIFS('10月数据源'!$J:$J,'10月数据源'!$D:$D,$E123,'10月数据源'!$F:$F,"杭州实时查科技有限公司")</f>
        <v/>
      </c>
      <c r="P123" s="89">
        <f>-SUMIFS('11月数据源'!$I:$I,'11月数据源'!$D:$D,$E123,'11月数据源'!$F:$F,"杭州实时查科技有限公司")+SUMIFS('11月数据源'!$J:$J,'11月数据源'!$D:$D,$E123,'11月数据源'!$F:$F,"杭州实时查科技有限公司")</f>
        <v/>
      </c>
      <c r="Q123" s="89">
        <f>-SUMIFS('12月数据源'!$I:$I,'12月数据源'!$D:$D,$E123,'12月数据源'!$F:$F,"杭州实时查科技有限公司")+SUMIFS('12月数据源'!$J:$J,'12月数据源'!$D:$D,$E123,'12月数据源'!$F:$F,"杭州实时查科技有限公司")</f>
        <v/>
      </c>
    </row>
    <row r="124" s="83">
      <c r="A124" s="5" t="inlineStr">
        <is>
          <t>销售费用</t>
        </is>
      </c>
      <c r="B124" s="6" t="inlineStr">
        <is>
          <t>平台运营</t>
        </is>
      </c>
      <c r="D124" s="5" t="inlineStr">
        <is>
          <t>平台积分扣款</t>
        </is>
      </c>
      <c r="E124" s="6" t="inlineStr">
        <is>
          <t>Q2207</t>
        </is>
      </c>
      <c r="F124" s="89">
        <f>-SUMIFS('1月数据源'!I:I,'1月数据源'!D:D,E124,'1月数据源'!F:F,"杭州实时查科技有限公司")+SUMIFS('1月数据源'!J:J,'1月数据源'!D:D,E124,'1月数据源'!F:F,"杭州实时查科技有限公司")</f>
        <v/>
      </c>
      <c r="G124" s="89">
        <f>-SUMIFS('2月数据源'!$I:$I,'2月数据源'!$D:$D,$E124,'2月数据源'!$F:$F,"杭州实时查科技有限公司")+SUMIFS('2月数据源'!$J:$J,'2月数据源'!$D:$D,$E124,'2月数据源'!$F:$F,"杭州实时查科技有限公司")</f>
        <v/>
      </c>
      <c r="H124" s="89">
        <f>-SUMIFS('3月数据源'!$I:$I,'3月数据源'!$D:$D,$E124,'3月数据源'!$F:$F,"杭州实时查科技有限公司")+SUMIFS('3月数据源'!$J:$J,'3月数据源'!$D:$D,$E124,'3月数据源'!$F:$F,"杭州实时查科技有限公司")</f>
        <v/>
      </c>
      <c r="I124" s="89">
        <f>-SUMIFS('4月数据源'!$I:$I,'4月数据源'!$D:$D,$E124,'4月数据源'!$F:$F,"杭州实时查科技有限公司")+SUMIFS('4月数据源'!$J:$J,'4月数据源'!$D:$D,$E124,'4月数据源'!$F:$F,"杭州实时查科技有限公司")</f>
        <v/>
      </c>
      <c r="J124" s="89">
        <f>-SUMIFS('5月数据源'!$I:$I,'5月数据源'!$D:$D,$E124,'5月数据源'!$F:$F,"杭州实时查科技有限公司")+SUMIFS('5月数据源'!$J:$J,'5月数据源'!$D:$D,$E124,'5月数据源'!$F:$F,"杭州实时查科技有限公司")</f>
        <v/>
      </c>
      <c r="K124" s="89">
        <f>-SUMIFS('6月数据源'!$I:$I,'6月数据源'!$D:$D,$E124,'6月数据源'!$F:$F,"杭州实时查科技有限公司")+SUMIFS('6月数据源'!$J:$J,'6月数据源'!$D:$D,$E124,'6月数据源'!$F:$F,"杭州实时查科技有限公司")</f>
        <v/>
      </c>
      <c r="L124" s="89">
        <f>-SUMIFS('7月数据源'!$I:$I,'7月数据源'!$D:$D,$E124,'7月数据源'!$F:$F,"杭州实时查科技有限公司")+SUMIFS('7月数据源'!$J:$J,'7月数据源'!$D:$D,$E124,'7月数据源'!$F:$F,"杭州实时查科技有限公司")</f>
        <v/>
      </c>
      <c r="M124" s="89">
        <f>-SUMIFS('8月数据源'!$I:$I,'8月数据源'!$D:$D,$E124,'8月数据源'!$F:$F,"杭州实时查科技有限公司")+SUMIFS('8月数据源'!$J:$J,'8月数据源'!$D:$D,$E124,'8月数据源'!$F:$F,"杭州实时查科技有限公司")</f>
        <v/>
      </c>
      <c r="N124" s="89">
        <f>-SUMIFS('9月数据源'!$I:$I,'9月数据源'!$D:$D,$E124,'9月数据源'!$F:$F,"杭州实时查科技有限公司")+SUMIFS('9月数据源'!$J:$J,'9月数据源'!$D:$D,$E124,'9月数据源'!$F:$F,"杭州实时查科技有限公司")</f>
        <v/>
      </c>
      <c r="O124" s="89">
        <f>-SUMIFS('10月数据源'!$I:$I,'10月数据源'!$D:$D,$E124,'10月数据源'!$F:$F,"杭州实时查科技有限公司")+SUMIFS('10月数据源'!$J:$J,'10月数据源'!$D:$D,$E124,'10月数据源'!$F:$F,"杭州实时查科技有限公司")</f>
        <v/>
      </c>
      <c r="P124" s="89">
        <f>-SUMIFS('11月数据源'!$I:$I,'11月数据源'!$D:$D,$E124,'11月数据源'!$F:$F,"杭州实时查科技有限公司")+SUMIFS('11月数据源'!$J:$J,'11月数据源'!$D:$D,$E124,'11月数据源'!$F:$F,"杭州实时查科技有限公司")</f>
        <v/>
      </c>
      <c r="Q124" s="89">
        <f>-SUMIFS('12月数据源'!$I:$I,'12月数据源'!$D:$D,$E124,'12月数据源'!$F:$F,"杭州实时查科技有限公司")+SUMIFS('12月数据源'!$J:$J,'12月数据源'!$D:$D,$E124,'12月数据源'!$F:$F,"杭州实时查科技有限公司")</f>
        <v/>
      </c>
    </row>
    <row r="125" s="83">
      <c r="A125" s="5" t="inlineStr">
        <is>
          <t>销售费用</t>
        </is>
      </c>
      <c r="B125" s="6" t="inlineStr">
        <is>
          <t>平台运营</t>
        </is>
      </c>
      <c r="D125" s="5" t="inlineStr">
        <is>
          <t>平台推荐佣金</t>
        </is>
      </c>
      <c r="E125" s="6" t="inlineStr">
        <is>
          <t>Q2208</t>
        </is>
      </c>
      <c r="F125" s="89">
        <f>-SUMIFS('1月数据源'!I:I,'1月数据源'!D:D,E125,'1月数据源'!F:F,"杭州实时查科技有限公司")+SUMIFS('1月数据源'!J:J,'1月数据源'!D:D,E125,'1月数据源'!F:F,"杭州实时查科技有限公司")</f>
        <v/>
      </c>
      <c r="G125" s="89">
        <f>-SUMIFS('2月数据源'!$I:$I,'2月数据源'!$D:$D,$E125,'2月数据源'!$F:$F,"杭州实时查科技有限公司")+SUMIFS('2月数据源'!$J:$J,'2月数据源'!$D:$D,$E125,'2月数据源'!$F:$F,"杭州实时查科技有限公司")</f>
        <v/>
      </c>
      <c r="H125" s="89">
        <f>-SUMIFS('3月数据源'!$I:$I,'3月数据源'!$D:$D,$E125,'3月数据源'!$F:$F,"杭州实时查科技有限公司")+SUMIFS('3月数据源'!$J:$J,'3月数据源'!$D:$D,$E125,'3月数据源'!$F:$F,"杭州实时查科技有限公司")</f>
        <v/>
      </c>
      <c r="I125" s="89">
        <f>-SUMIFS('4月数据源'!$I:$I,'4月数据源'!$D:$D,$E125,'4月数据源'!$F:$F,"杭州实时查科技有限公司")+SUMIFS('4月数据源'!$J:$J,'4月数据源'!$D:$D,$E125,'4月数据源'!$F:$F,"杭州实时查科技有限公司")</f>
        <v/>
      </c>
      <c r="J125" s="89">
        <f>-SUMIFS('5月数据源'!$I:$I,'5月数据源'!$D:$D,$E125,'5月数据源'!$F:$F,"杭州实时查科技有限公司")+SUMIFS('5月数据源'!$J:$J,'5月数据源'!$D:$D,$E125,'5月数据源'!$F:$F,"杭州实时查科技有限公司")</f>
        <v/>
      </c>
      <c r="K125" s="89">
        <f>-SUMIFS('6月数据源'!$I:$I,'6月数据源'!$D:$D,$E125,'6月数据源'!$F:$F,"杭州实时查科技有限公司")+SUMIFS('6月数据源'!$J:$J,'6月数据源'!$D:$D,$E125,'6月数据源'!$F:$F,"杭州实时查科技有限公司")</f>
        <v/>
      </c>
      <c r="L125" s="89">
        <f>-SUMIFS('7月数据源'!$I:$I,'7月数据源'!$D:$D,$E125,'7月数据源'!$F:$F,"杭州实时查科技有限公司")+SUMIFS('7月数据源'!$J:$J,'7月数据源'!$D:$D,$E125,'7月数据源'!$F:$F,"杭州实时查科技有限公司")</f>
        <v/>
      </c>
      <c r="M125" s="89">
        <f>-SUMIFS('8月数据源'!$I:$I,'8月数据源'!$D:$D,$E125,'8月数据源'!$F:$F,"杭州实时查科技有限公司")+SUMIFS('8月数据源'!$J:$J,'8月数据源'!$D:$D,$E125,'8月数据源'!$F:$F,"杭州实时查科技有限公司")</f>
        <v/>
      </c>
      <c r="N125" s="89">
        <f>-SUMIFS('9月数据源'!$I:$I,'9月数据源'!$D:$D,$E125,'9月数据源'!$F:$F,"杭州实时查科技有限公司")+SUMIFS('9月数据源'!$J:$J,'9月数据源'!$D:$D,$E125,'9月数据源'!$F:$F,"杭州实时查科技有限公司")</f>
        <v/>
      </c>
      <c r="O125" s="89">
        <f>-SUMIFS('10月数据源'!$I:$I,'10月数据源'!$D:$D,$E125,'10月数据源'!$F:$F,"杭州实时查科技有限公司")+SUMIFS('10月数据源'!$J:$J,'10月数据源'!$D:$D,$E125,'10月数据源'!$F:$F,"杭州实时查科技有限公司")</f>
        <v/>
      </c>
      <c r="P125" s="89">
        <f>-SUMIFS('11月数据源'!$I:$I,'11月数据源'!$D:$D,$E125,'11月数据源'!$F:$F,"杭州实时查科技有限公司")+SUMIFS('11月数据源'!$J:$J,'11月数据源'!$D:$D,$E125,'11月数据源'!$F:$F,"杭州实时查科技有限公司")</f>
        <v/>
      </c>
      <c r="Q125" s="89">
        <f>-SUMIFS('12月数据源'!$I:$I,'12月数据源'!$D:$D,$E125,'12月数据源'!$F:$F,"杭州实时查科技有限公司")+SUMIFS('12月数据源'!$J:$J,'12月数据源'!$D:$D,$E125,'12月数据源'!$F:$F,"杭州实时查科技有限公司")</f>
        <v/>
      </c>
    </row>
    <row r="126" s="83">
      <c r="A126" s="5" t="inlineStr">
        <is>
          <t>销售费用</t>
        </is>
      </c>
      <c r="B126" s="6" t="inlineStr">
        <is>
          <t>平台运营</t>
        </is>
      </c>
      <c r="D126" s="5" t="inlineStr">
        <is>
          <t>保证金及认证费用</t>
        </is>
      </c>
      <c r="E126" s="6" t="inlineStr">
        <is>
          <t>Q2202</t>
        </is>
      </c>
      <c r="F126" s="89">
        <f>-SUMIFS('1月数据源'!I:I,'1月数据源'!D:D,E126,'1月数据源'!F:F,"杭州实时查科技有限公司")+SUMIFS('1月数据源'!J:J,'1月数据源'!D:D,E126,'1月数据源'!F:F,"杭州实时查科技有限公司")</f>
        <v/>
      </c>
      <c r="G126" s="89">
        <f>-SUMIFS('2月数据源'!$I:$I,'2月数据源'!$D:$D,$E126,'2月数据源'!$F:$F,"杭州实时查科技有限公司")+SUMIFS('2月数据源'!$J:$J,'2月数据源'!$D:$D,$E126,'2月数据源'!$F:$F,"杭州实时查科技有限公司")</f>
        <v/>
      </c>
      <c r="H126" s="89">
        <f>-SUMIFS('3月数据源'!$I:$I,'3月数据源'!$D:$D,$E126,'3月数据源'!$F:$F,"杭州实时查科技有限公司")+SUMIFS('3月数据源'!$J:$J,'3月数据源'!$D:$D,$E126,'3月数据源'!$F:$F,"杭州实时查科技有限公司")</f>
        <v/>
      </c>
      <c r="I126" s="89">
        <f>-SUMIFS('4月数据源'!$I:$I,'4月数据源'!$D:$D,$E126,'4月数据源'!$F:$F,"杭州实时查科技有限公司")+SUMIFS('4月数据源'!$J:$J,'4月数据源'!$D:$D,$E126,'4月数据源'!$F:$F,"杭州实时查科技有限公司")</f>
        <v/>
      </c>
      <c r="J126" s="89">
        <f>-SUMIFS('5月数据源'!$I:$I,'5月数据源'!$D:$D,$E126,'5月数据源'!$F:$F,"杭州实时查科技有限公司")+SUMIFS('5月数据源'!$J:$J,'5月数据源'!$D:$D,$E126,'5月数据源'!$F:$F,"杭州实时查科技有限公司")</f>
        <v/>
      </c>
      <c r="K126" s="89">
        <f>-SUMIFS('6月数据源'!$I:$I,'6月数据源'!$D:$D,$E126,'6月数据源'!$F:$F,"杭州实时查科技有限公司")+SUMIFS('6月数据源'!$J:$J,'6月数据源'!$D:$D,$E126,'6月数据源'!$F:$F,"杭州实时查科技有限公司")</f>
        <v/>
      </c>
      <c r="L126" s="89">
        <f>-SUMIFS('7月数据源'!$I:$I,'7月数据源'!$D:$D,$E126,'7月数据源'!$F:$F,"杭州实时查科技有限公司")+SUMIFS('7月数据源'!$J:$J,'7月数据源'!$D:$D,$E126,'7月数据源'!$F:$F,"杭州实时查科技有限公司")</f>
        <v/>
      </c>
      <c r="M126" s="89">
        <f>-SUMIFS('8月数据源'!$I:$I,'8月数据源'!$D:$D,$E126,'8月数据源'!$F:$F,"杭州实时查科技有限公司")+SUMIFS('8月数据源'!$J:$J,'8月数据源'!$D:$D,$E126,'8月数据源'!$F:$F,"杭州实时查科技有限公司")</f>
        <v/>
      </c>
      <c r="N126" s="89">
        <f>-SUMIFS('9月数据源'!$I:$I,'9月数据源'!$D:$D,$E126,'9月数据源'!$F:$F,"杭州实时查科技有限公司")+SUMIFS('9月数据源'!$J:$J,'9月数据源'!$D:$D,$E126,'9月数据源'!$F:$F,"杭州实时查科技有限公司")</f>
        <v/>
      </c>
      <c r="O126" s="89">
        <f>-SUMIFS('10月数据源'!$I:$I,'10月数据源'!$D:$D,$E126,'10月数据源'!$F:$F,"杭州实时查科技有限公司")+SUMIFS('10月数据源'!$J:$J,'10月数据源'!$D:$D,$E126,'10月数据源'!$F:$F,"杭州实时查科技有限公司")</f>
        <v/>
      </c>
      <c r="P126" s="89">
        <f>-SUMIFS('11月数据源'!$I:$I,'11月数据源'!$D:$D,$E126,'11月数据源'!$F:$F,"杭州实时查科技有限公司")+SUMIFS('11月数据源'!$J:$J,'11月数据源'!$D:$D,$E126,'11月数据源'!$F:$F,"杭州实时查科技有限公司")</f>
        <v/>
      </c>
      <c r="Q126" s="89">
        <f>-SUMIFS('12月数据源'!$I:$I,'12月数据源'!$D:$D,$E126,'12月数据源'!$F:$F,"杭州实时查科技有限公司")+SUMIFS('12月数据源'!$J:$J,'12月数据源'!$D:$D,$E126,'12月数据源'!$F:$F,"杭州实时查科技有限公司")</f>
        <v/>
      </c>
    </row>
    <row r="127" s="83">
      <c r="A127" s="5" t="inlineStr">
        <is>
          <t>销售费用</t>
        </is>
      </c>
      <c r="B127" s="6" t="inlineStr">
        <is>
          <t>平台运营</t>
        </is>
      </c>
      <c r="D127" s="5" t="inlineStr">
        <is>
          <t>品专支出</t>
        </is>
      </c>
      <c r="E127" s="6" t="inlineStr">
        <is>
          <t>Q2203</t>
        </is>
      </c>
      <c r="F127" s="89">
        <f>-SUMIFS('1月数据源'!I:I,'1月数据源'!D:D,E127,'1月数据源'!F:F,"杭州实时查科技有限公司")+SUMIFS('1月数据源'!J:J,'1月数据源'!D:D,E127,'1月数据源'!F:F,"杭州实时查科技有限公司")</f>
        <v/>
      </c>
      <c r="G127" s="89">
        <f>-SUMIFS('2月数据源'!$I:$I,'2月数据源'!$D:$D,$E127,'2月数据源'!$F:$F,"杭州实时查科技有限公司")+SUMIFS('2月数据源'!$J:$J,'2月数据源'!$D:$D,$E127,'2月数据源'!$F:$F,"杭州实时查科技有限公司")</f>
        <v/>
      </c>
      <c r="H127" s="89">
        <f>-SUMIFS('3月数据源'!$I:$I,'3月数据源'!$D:$D,$E127,'3月数据源'!$F:$F,"杭州实时查科技有限公司")+SUMIFS('3月数据源'!$J:$J,'3月数据源'!$D:$D,$E127,'3月数据源'!$F:$F,"杭州实时查科技有限公司")</f>
        <v/>
      </c>
      <c r="I127" s="89">
        <f>-SUMIFS('4月数据源'!$I:$I,'4月数据源'!$D:$D,$E127,'4月数据源'!$F:$F,"杭州实时查科技有限公司")+SUMIFS('4月数据源'!$J:$J,'4月数据源'!$D:$D,$E127,'4月数据源'!$F:$F,"杭州实时查科技有限公司")</f>
        <v/>
      </c>
      <c r="J127" s="89">
        <f>-SUMIFS('5月数据源'!$I:$I,'5月数据源'!$D:$D,$E127,'5月数据源'!$F:$F,"杭州实时查科技有限公司")+SUMIFS('5月数据源'!$J:$J,'5月数据源'!$D:$D,$E127,'5月数据源'!$F:$F,"杭州实时查科技有限公司")</f>
        <v/>
      </c>
      <c r="K127" s="89">
        <f>-SUMIFS('6月数据源'!$I:$I,'6月数据源'!$D:$D,$E127,'6月数据源'!$F:$F,"杭州实时查科技有限公司")+SUMIFS('6月数据源'!$J:$J,'6月数据源'!$D:$D,$E127,'6月数据源'!$F:$F,"杭州实时查科技有限公司")</f>
        <v/>
      </c>
      <c r="L127" s="89">
        <f>-SUMIFS('7月数据源'!$I:$I,'7月数据源'!$D:$D,$E127,'7月数据源'!$F:$F,"杭州实时查科技有限公司")+SUMIFS('7月数据源'!$J:$J,'7月数据源'!$D:$D,$E127,'7月数据源'!$F:$F,"杭州实时查科技有限公司")</f>
        <v/>
      </c>
      <c r="M127" s="89">
        <f>-SUMIFS('8月数据源'!$I:$I,'8月数据源'!$D:$D,$E127,'8月数据源'!$F:$F,"杭州实时查科技有限公司")+SUMIFS('8月数据源'!$J:$J,'8月数据源'!$D:$D,$E127,'8月数据源'!$F:$F,"杭州实时查科技有限公司")</f>
        <v/>
      </c>
      <c r="N127" s="89">
        <f>-SUMIFS('9月数据源'!$I:$I,'9月数据源'!$D:$D,$E127,'9月数据源'!$F:$F,"杭州实时查科技有限公司")+SUMIFS('9月数据源'!$J:$J,'9月数据源'!$D:$D,$E127,'9月数据源'!$F:$F,"杭州实时查科技有限公司")</f>
        <v/>
      </c>
      <c r="O127" s="89">
        <f>-SUMIFS('10月数据源'!$I:$I,'10月数据源'!$D:$D,$E127,'10月数据源'!$F:$F,"杭州实时查科技有限公司")+SUMIFS('10月数据源'!$J:$J,'10月数据源'!$D:$D,$E127,'10月数据源'!$F:$F,"杭州实时查科技有限公司")</f>
        <v/>
      </c>
      <c r="P127" s="89">
        <f>-SUMIFS('11月数据源'!$I:$I,'11月数据源'!$D:$D,$E127,'11月数据源'!$F:$F,"杭州实时查科技有限公司")+SUMIFS('11月数据源'!$J:$J,'11月数据源'!$D:$D,$E127,'11月数据源'!$F:$F,"杭州实时查科技有限公司")</f>
        <v/>
      </c>
      <c r="Q127" s="89">
        <f>-SUMIFS('12月数据源'!$I:$I,'12月数据源'!$D:$D,$E127,'12月数据源'!$F:$F,"杭州实时查科技有限公司")+SUMIFS('12月数据源'!$J:$J,'12月数据源'!$D:$D,$E127,'12月数据源'!$F:$F,"杭州实时查科技有限公司")</f>
        <v/>
      </c>
    </row>
    <row r="128" s="83">
      <c r="A128" s="5" t="inlineStr">
        <is>
          <t>销售费用</t>
        </is>
      </c>
      <c r="B128" s="6" t="inlineStr">
        <is>
          <t>平台运营</t>
        </is>
      </c>
      <c r="D128" s="5" t="inlineStr">
        <is>
          <t>其他平台扣款</t>
        </is>
      </c>
      <c r="E128" s="6" t="inlineStr">
        <is>
          <t>Q2209</t>
        </is>
      </c>
      <c r="F128" s="89">
        <f>-SUMIFS('1月数据源'!I:I,'1月数据源'!D:D,E128,'1月数据源'!F:F,"杭州实时查科技有限公司")+SUMIFS('1月数据源'!J:J,'1月数据源'!D:D,E128,'1月数据源'!F:F,"杭州实时查科技有限公司")</f>
        <v/>
      </c>
      <c r="G128" s="89">
        <f>-SUMIFS('2月数据源'!$I:$I,'2月数据源'!$D:$D,$E128,'2月数据源'!$F:$F,"杭州实时查科技有限公司")+SUMIFS('2月数据源'!$J:$J,'2月数据源'!$D:$D,$E128,'2月数据源'!$F:$F,"杭州实时查科技有限公司")</f>
        <v/>
      </c>
      <c r="H128" s="89">
        <f>-SUMIFS('3月数据源'!$I:$I,'3月数据源'!$D:$D,$E128,'3月数据源'!$F:$F,"杭州实时查科技有限公司")+SUMIFS('3月数据源'!$J:$J,'3月数据源'!$D:$D,$E128,'3月数据源'!$F:$F,"杭州实时查科技有限公司")</f>
        <v/>
      </c>
      <c r="I128" s="89">
        <f>-SUMIFS('4月数据源'!$I:$I,'4月数据源'!$D:$D,$E128,'4月数据源'!$F:$F,"杭州实时查科技有限公司")+SUMIFS('4月数据源'!$J:$J,'4月数据源'!$D:$D,$E128,'4月数据源'!$F:$F,"杭州实时查科技有限公司")</f>
        <v/>
      </c>
      <c r="J128" s="89">
        <f>-SUMIFS('5月数据源'!$I:$I,'5月数据源'!$D:$D,$E128,'5月数据源'!$F:$F,"杭州实时查科技有限公司")+SUMIFS('5月数据源'!$J:$J,'5月数据源'!$D:$D,$E128,'5月数据源'!$F:$F,"杭州实时查科技有限公司")</f>
        <v/>
      </c>
      <c r="K128" s="89">
        <f>-SUMIFS('6月数据源'!$I:$I,'6月数据源'!$D:$D,$E128,'6月数据源'!$F:$F,"杭州实时查科技有限公司")+SUMIFS('6月数据源'!$J:$J,'6月数据源'!$D:$D,$E128,'6月数据源'!$F:$F,"杭州实时查科技有限公司")</f>
        <v/>
      </c>
      <c r="L128" s="89">
        <f>-SUMIFS('7月数据源'!$I:$I,'7月数据源'!$D:$D,$E128,'7月数据源'!$F:$F,"杭州实时查科技有限公司")+SUMIFS('7月数据源'!$J:$J,'7月数据源'!$D:$D,$E128,'7月数据源'!$F:$F,"杭州实时查科技有限公司")</f>
        <v/>
      </c>
      <c r="M128" s="89">
        <f>-SUMIFS('8月数据源'!$I:$I,'8月数据源'!$D:$D,$E128,'8月数据源'!$F:$F,"杭州实时查科技有限公司")+SUMIFS('8月数据源'!$J:$J,'8月数据源'!$D:$D,$E128,'8月数据源'!$F:$F,"杭州实时查科技有限公司")</f>
        <v/>
      </c>
      <c r="N128" s="89">
        <f>-SUMIFS('9月数据源'!$I:$I,'9月数据源'!$D:$D,$E128,'9月数据源'!$F:$F,"杭州实时查科技有限公司")+SUMIFS('9月数据源'!$J:$J,'9月数据源'!$D:$D,$E128,'9月数据源'!$F:$F,"杭州实时查科技有限公司")</f>
        <v/>
      </c>
      <c r="O128" s="89">
        <f>-SUMIFS('10月数据源'!$I:$I,'10月数据源'!$D:$D,$E128,'10月数据源'!$F:$F,"杭州实时查科技有限公司")+SUMIFS('10月数据源'!$J:$J,'10月数据源'!$D:$D,$E128,'10月数据源'!$F:$F,"杭州实时查科技有限公司")</f>
        <v/>
      </c>
      <c r="P128" s="89">
        <f>-SUMIFS('11月数据源'!$I:$I,'11月数据源'!$D:$D,$E128,'11月数据源'!$F:$F,"杭州实时查科技有限公司")+SUMIFS('11月数据源'!$J:$J,'11月数据源'!$D:$D,$E128,'11月数据源'!$F:$F,"杭州实时查科技有限公司")</f>
        <v/>
      </c>
      <c r="Q128" s="89">
        <f>-SUMIFS('12月数据源'!$I:$I,'12月数据源'!$D:$D,$E128,'12月数据源'!$F:$F,"杭州实时查科技有限公司")+SUMIFS('12月数据源'!$J:$J,'12月数据源'!$D:$D,$E128,'12月数据源'!$F:$F,"杭州实时查科技有限公司")</f>
        <v/>
      </c>
    </row>
    <row r="129" s="83">
      <c r="A129" s="5" t="inlineStr">
        <is>
          <t>销售费用</t>
        </is>
      </c>
      <c r="B129" s="6" t="inlineStr">
        <is>
          <t>私域运营</t>
        </is>
      </c>
      <c r="C129" s="6" t="inlineStr">
        <is>
          <t>私域运营</t>
        </is>
      </c>
      <c r="D129" s="5" t="inlineStr">
        <is>
          <t>返现活动</t>
        </is>
      </c>
      <c r="E129" s="6" t="inlineStr">
        <is>
          <t>Q2301</t>
        </is>
      </c>
      <c r="F129" s="89">
        <f>-SUMIFS('1月数据源'!I:I,'1月数据源'!D:D,E129,'1月数据源'!F:F,"杭州实时查科技有限公司")+SUMIFS('1月数据源'!J:J,'1月数据源'!D:D,E129,'1月数据源'!F:F,"杭州实时查科技有限公司")</f>
        <v/>
      </c>
      <c r="G129" s="89">
        <f>-SUMIFS('2月数据源'!$I:$I,'2月数据源'!$D:$D,$E129,'2月数据源'!$F:$F,"杭州实时查科技有限公司")+SUMIFS('2月数据源'!$J:$J,'2月数据源'!$D:$D,$E129,'2月数据源'!$F:$F,"杭州实时查科技有限公司")</f>
        <v/>
      </c>
      <c r="H129" s="89">
        <f>-SUMIFS('3月数据源'!$I:$I,'3月数据源'!$D:$D,$E129,'3月数据源'!$F:$F,"杭州实时查科技有限公司")+SUMIFS('3月数据源'!$J:$J,'3月数据源'!$D:$D,$E129,'3月数据源'!$F:$F,"杭州实时查科技有限公司")</f>
        <v/>
      </c>
      <c r="I129" s="89">
        <f>-SUMIFS('4月数据源'!$I:$I,'4月数据源'!$D:$D,$E129,'4月数据源'!$F:$F,"杭州实时查科技有限公司")+SUMIFS('4月数据源'!$J:$J,'4月数据源'!$D:$D,$E129,'4月数据源'!$F:$F,"杭州实时查科技有限公司")</f>
        <v/>
      </c>
      <c r="J129" s="89">
        <f>-SUMIFS('5月数据源'!$I:$I,'5月数据源'!$D:$D,$E129,'5月数据源'!$F:$F,"杭州实时查科技有限公司")+SUMIFS('5月数据源'!$J:$J,'5月数据源'!$D:$D,$E129,'5月数据源'!$F:$F,"杭州实时查科技有限公司")</f>
        <v/>
      </c>
      <c r="K129" s="89">
        <f>-SUMIFS('6月数据源'!$I:$I,'6月数据源'!$D:$D,$E129,'6月数据源'!$F:$F,"杭州实时查科技有限公司")+SUMIFS('6月数据源'!$J:$J,'6月数据源'!$D:$D,$E129,'6月数据源'!$F:$F,"杭州实时查科技有限公司")</f>
        <v/>
      </c>
      <c r="L129" s="89">
        <f>-SUMIFS('7月数据源'!$I:$I,'7月数据源'!$D:$D,$E129,'7月数据源'!$F:$F,"杭州实时查科技有限公司")+SUMIFS('7月数据源'!$J:$J,'7月数据源'!$D:$D,$E129,'7月数据源'!$F:$F,"杭州实时查科技有限公司")</f>
        <v/>
      </c>
      <c r="M129" s="89">
        <f>-SUMIFS('8月数据源'!$I:$I,'8月数据源'!$D:$D,$E129,'8月数据源'!$F:$F,"杭州实时查科技有限公司")+SUMIFS('8月数据源'!$J:$J,'8月数据源'!$D:$D,$E129,'8月数据源'!$F:$F,"杭州实时查科技有限公司")</f>
        <v/>
      </c>
      <c r="N129" s="89">
        <f>-SUMIFS('9月数据源'!$I:$I,'9月数据源'!$D:$D,$E129,'9月数据源'!$F:$F,"杭州实时查科技有限公司")+SUMIFS('9月数据源'!$J:$J,'9月数据源'!$D:$D,$E129,'9月数据源'!$F:$F,"杭州实时查科技有限公司")</f>
        <v/>
      </c>
      <c r="O129" s="89">
        <f>-SUMIFS('10月数据源'!$I:$I,'10月数据源'!$D:$D,$E129,'10月数据源'!$F:$F,"杭州实时查科技有限公司")+SUMIFS('10月数据源'!$J:$J,'10月数据源'!$D:$D,$E129,'10月数据源'!$F:$F,"杭州实时查科技有限公司")</f>
        <v/>
      </c>
      <c r="P129" s="89">
        <f>-SUMIFS('11月数据源'!$I:$I,'11月数据源'!$D:$D,$E129,'11月数据源'!$F:$F,"杭州实时查科技有限公司")+SUMIFS('11月数据源'!$J:$J,'11月数据源'!$D:$D,$E129,'11月数据源'!$F:$F,"杭州实时查科技有限公司")</f>
        <v/>
      </c>
      <c r="Q129" s="89">
        <f>-SUMIFS('12月数据源'!$I:$I,'12月数据源'!$D:$D,$E129,'12月数据源'!$F:$F,"杭州实时查科技有限公司")+SUMIFS('12月数据源'!$J:$J,'12月数据源'!$D:$D,$E129,'12月数据源'!$F:$F,"杭州实时查科技有限公司")</f>
        <v/>
      </c>
    </row>
    <row r="130" s="83">
      <c r="A130" s="5" t="inlineStr">
        <is>
          <t>销售费用</t>
        </is>
      </c>
      <c r="B130" s="6" t="inlineStr">
        <is>
          <t>私域运营</t>
        </is>
      </c>
      <c r="D130" s="5" t="inlineStr">
        <is>
          <t>转介绍佣金</t>
        </is>
      </c>
      <c r="E130" s="6" t="inlineStr">
        <is>
          <t>Q2302</t>
        </is>
      </c>
      <c r="F130" s="89">
        <f>-SUMIFS('1月数据源'!I:I,'1月数据源'!D:D,E130,'1月数据源'!F:F,"杭州实时查科技有限公司")+SUMIFS('1月数据源'!J:J,'1月数据源'!D:D,E130,'1月数据源'!F:F,"杭州实时查科技有限公司")</f>
        <v/>
      </c>
      <c r="G130" s="89">
        <f>-SUMIFS('2月数据源'!$I:$I,'2月数据源'!$D:$D,$E130,'2月数据源'!$F:$F,"杭州实时查科技有限公司")+SUMIFS('2月数据源'!$J:$J,'2月数据源'!$D:$D,$E130,'2月数据源'!$F:$F,"杭州实时查科技有限公司")</f>
        <v/>
      </c>
      <c r="H130" s="89">
        <f>-SUMIFS('3月数据源'!$I:$I,'3月数据源'!$D:$D,$E130,'3月数据源'!$F:$F,"杭州实时查科技有限公司")+SUMIFS('3月数据源'!$J:$J,'3月数据源'!$D:$D,$E130,'3月数据源'!$F:$F,"杭州实时查科技有限公司")</f>
        <v/>
      </c>
      <c r="I130" s="89">
        <f>-SUMIFS('4月数据源'!$I:$I,'4月数据源'!$D:$D,$E130,'4月数据源'!$F:$F,"杭州实时查科技有限公司")+SUMIFS('4月数据源'!$J:$J,'4月数据源'!$D:$D,$E130,'4月数据源'!$F:$F,"杭州实时查科技有限公司")</f>
        <v/>
      </c>
      <c r="J130" s="89">
        <f>-SUMIFS('5月数据源'!$I:$I,'5月数据源'!$D:$D,$E130,'5月数据源'!$F:$F,"杭州实时查科技有限公司")+SUMIFS('5月数据源'!$J:$J,'5月数据源'!$D:$D,$E130,'5月数据源'!$F:$F,"杭州实时查科技有限公司")</f>
        <v/>
      </c>
      <c r="K130" s="89">
        <f>-SUMIFS('6月数据源'!$I:$I,'6月数据源'!$D:$D,$E130,'6月数据源'!$F:$F,"杭州实时查科技有限公司")+SUMIFS('6月数据源'!$J:$J,'6月数据源'!$D:$D,$E130,'6月数据源'!$F:$F,"杭州实时查科技有限公司")</f>
        <v/>
      </c>
      <c r="L130" s="89">
        <f>-SUMIFS('7月数据源'!$I:$I,'7月数据源'!$D:$D,$E130,'7月数据源'!$F:$F,"杭州实时查科技有限公司")+SUMIFS('7月数据源'!$J:$J,'7月数据源'!$D:$D,$E130,'7月数据源'!$F:$F,"杭州实时查科技有限公司")</f>
        <v/>
      </c>
      <c r="M130" s="89">
        <f>-SUMIFS('8月数据源'!$I:$I,'8月数据源'!$D:$D,$E130,'8月数据源'!$F:$F,"杭州实时查科技有限公司")+SUMIFS('8月数据源'!$J:$J,'8月数据源'!$D:$D,$E130,'8月数据源'!$F:$F,"杭州实时查科技有限公司")</f>
        <v/>
      </c>
      <c r="N130" s="89">
        <f>-SUMIFS('9月数据源'!$I:$I,'9月数据源'!$D:$D,$E130,'9月数据源'!$F:$F,"杭州实时查科技有限公司")+SUMIFS('9月数据源'!$J:$J,'9月数据源'!$D:$D,$E130,'9月数据源'!$F:$F,"杭州实时查科技有限公司")</f>
        <v/>
      </c>
      <c r="O130" s="89">
        <f>-SUMIFS('10月数据源'!$I:$I,'10月数据源'!$D:$D,$E130,'10月数据源'!$F:$F,"杭州实时查科技有限公司")+SUMIFS('10月数据源'!$J:$J,'10月数据源'!$D:$D,$E130,'10月数据源'!$F:$F,"杭州实时查科技有限公司")</f>
        <v/>
      </c>
      <c r="P130" s="89">
        <f>-SUMIFS('11月数据源'!$I:$I,'11月数据源'!$D:$D,$E130,'11月数据源'!$F:$F,"杭州实时查科技有限公司")+SUMIFS('11月数据源'!$J:$J,'11月数据源'!$D:$D,$E130,'11月数据源'!$F:$F,"杭州实时查科技有限公司")</f>
        <v/>
      </c>
      <c r="Q130" s="89">
        <f>-SUMIFS('12月数据源'!$I:$I,'12月数据源'!$D:$D,$E130,'12月数据源'!$F:$F,"杭州实时查科技有限公司")+SUMIFS('12月数据源'!$J:$J,'12月数据源'!$D:$D,$E130,'12月数据源'!$F:$F,"杭州实时查科技有限公司")</f>
        <v/>
      </c>
    </row>
    <row r="131" s="83">
      <c r="A131" s="5" t="inlineStr">
        <is>
          <t>销售费用</t>
        </is>
      </c>
      <c r="B131" s="6" t="inlineStr">
        <is>
          <t>达人带货</t>
        </is>
      </c>
      <c r="C131" s="6" t="inlineStr">
        <is>
          <t>达人带货</t>
        </is>
      </c>
      <c r="D131" s="5" t="inlineStr">
        <is>
          <t>坑位费</t>
        </is>
      </c>
      <c r="E131" s="6" t="inlineStr">
        <is>
          <t>Q2401</t>
        </is>
      </c>
      <c r="F131" s="89">
        <f>-SUMIFS('1月数据源'!I:I,'1月数据源'!D:D,E131,'1月数据源'!F:F,"杭州实时查科技有限公司")+SUMIFS('1月数据源'!J:J,'1月数据源'!D:D,E131,'1月数据源'!F:F,"杭州实时查科技有限公司")</f>
        <v/>
      </c>
      <c r="G131" s="89">
        <f>-SUMIFS('2月数据源'!$I:$I,'2月数据源'!$D:$D,$E131,'2月数据源'!$F:$F,"杭州实时查科技有限公司")+SUMIFS('2月数据源'!$J:$J,'2月数据源'!$D:$D,$E131,'2月数据源'!$F:$F,"杭州实时查科技有限公司")</f>
        <v/>
      </c>
      <c r="H131" s="89">
        <f>-SUMIFS('3月数据源'!$I:$I,'3月数据源'!$D:$D,$E131,'3月数据源'!$F:$F,"杭州实时查科技有限公司")+SUMIFS('3月数据源'!$J:$J,'3月数据源'!$D:$D,$E131,'3月数据源'!$F:$F,"杭州实时查科技有限公司")</f>
        <v/>
      </c>
      <c r="I131" s="89">
        <f>-SUMIFS('4月数据源'!$I:$I,'4月数据源'!$D:$D,$E131,'4月数据源'!$F:$F,"杭州实时查科技有限公司")+SUMIFS('4月数据源'!$J:$J,'4月数据源'!$D:$D,$E131,'4月数据源'!$F:$F,"杭州实时查科技有限公司")</f>
        <v/>
      </c>
      <c r="J131" s="89">
        <f>-SUMIFS('5月数据源'!$I:$I,'5月数据源'!$D:$D,$E131,'5月数据源'!$F:$F,"杭州实时查科技有限公司")+SUMIFS('5月数据源'!$J:$J,'5月数据源'!$D:$D,$E131,'5月数据源'!$F:$F,"杭州实时查科技有限公司")</f>
        <v/>
      </c>
      <c r="K131" s="89">
        <f>-SUMIFS('6月数据源'!$I:$I,'6月数据源'!$D:$D,$E131,'6月数据源'!$F:$F,"杭州实时查科技有限公司")+SUMIFS('6月数据源'!$J:$J,'6月数据源'!$D:$D,$E131,'6月数据源'!$F:$F,"杭州实时查科技有限公司")</f>
        <v/>
      </c>
      <c r="L131" s="89">
        <f>-SUMIFS('7月数据源'!$I:$I,'7月数据源'!$D:$D,$E131,'7月数据源'!$F:$F,"杭州实时查科技有限公司")+SUMIFS('7月数据源'!$J:$J,'7月数据源'!$D:$D,$E131,'7月数据源'!$F:$F,"杭州实时查科技有限公司")</f>
        <v/>
      </c>
      <c r="M131" s="89">
        <f>-SUMIFS('8月数据源'!$I:$I,'8月数据源'!$D:$D,$E131,'8月数据源'!$F:$F,"杭州实时查科技有限公司")+SUMIFS('8月数据源'!$J:$J,'8月数据源'!$D:$D,$E131,'8月数据源'!$F:$F,"杭州实时查科技有限公司")</f>
        <v/>
      </c>
      <c r="N131" s="89">
        <f>-SUMIFS('9月数据源'!$I:$I,'9月数据源'!$D:$D,$E131,'9月数据源'!$F:$F,"杭州实时查科技有限公司")+SUMIFS('9月数据源'!$J:$J,'9月数据源'!$D:$D,$E131,'9月数据源'!$F:$F,"杭州实时查科技有限公司")</f>
        <v/>
      </c>
      <c r="O131" s="89">
        <f>-SUMIFS('10月数据源'!$I:$I,'10月数据源'!$D:$D,$E131,'10月数据源'!$F:$F,"杭州实时查科技有限公司")+SUMIFS('10月数据源'!$J:$J,'10月数据源'!$D:$D,$E131,'10月数据源'!$F:$F,"杭州实时查科技有限公司")</f>
        <v/>
      </c>
      <c r="P131" s="89">
        <f>-SUMIFS('11月数据源'!$I:$I,'11月数据源'!$D:$D,$E131,'11月数据源'!$F:$F,"杭州实时查科技有限公司")+SUMIFS('11月数据源'!$J:$J,'11月数据源'!$D:$D,$E131,'11月数据源'!$F:$F,"杭州实时查科技有限公司")</f>
        <v/>
      </c>
      <c r="Q131" s="89">
        <f>-SUMIFS('12月数据源'!$I:$I,'12月数据源'!$D:$D,$E131,'12月数据源'!$F:$F,"杭州实时查科技有限公司")+SUMIFS('12月数据源'!$J:$J,'12月数据源'!$D:$D,$E131,'12月数据源'!$F:$F,"杭州实时查科技有限公司")</f>
        <v/>
      </c>
    </row>
    <row r="132" s="83">
      <c r="A132" s="5" t="inlineStr">
        <is>
          <t>销售费用</t>
        </is>
      </c>
      <c r="B132" s="6" t="inlineStr">
        <is>
          <t>达人带货</t>
        </is>
      </c>
      <c r="D132" s="5" t="inlineStr">
        <is>
          <t>佣金</t>
        </is>
      </c>
      <c r="E132" s="6" t="inlineStr">
        <is>
          <t>Q2402</t>
        </is>
      </c>
      <c r="F132" s="89">
        <f>-SUMIFS('1月数据源'!I:I,'1月数据源'!D:D,E132,'1月数据源'!F:F,"杭州实时查科技有限公司")+SUMIFS('1月数据源'!J:J,'1月数据源'!D:D,E132,'1月数据源'!F:F,"杭州实时查科技有限公司")</f>
        <v/>
      </c>
      <c r="G132" s="89">
        <f>-SUMIFS('2月数据源'!$I:$I,'2月数据源'!$D:$D,$E132,'2月数据源'!$F:$F,"杭州实时查科技有限公司")+SUMIFS('2月数据源'!$J:$J,'2月数据源'!$D:$D,$E132,'2月数据源'!$F:$F,"杭州实时查科技有限公司")</f>
        <v/>
      </c>
      <c r="H132" s="89">
        <f>-SUMIFS('3月数据源'!$I:$I,'3月数据源'!$D:$D,$E132,'3月数据源'!$F:$F,"杭州实时查科技有限公司")+SUMIFS('3月数据源'!$J:$J,'3月数据源'!$D:$D,$E132,'3月数据源'!$F:$F,"杭州实时查科技有限公司")</f>
        <v/>
      </c>
      <c r="I132" s="89">
        <f>-SUMIFS('4月数据源'!$I:$I,'4月数据源'!$D:$D,$E132,'4月数据源'!$F:$F,"杭州实时查科技有限公司")+SUMIFS('4月数据源'!$J:$J,'4月数据源'!$D:$D,$E132,'4月数据源'!$F:$F,"杭州实时查科技有限公司")</f>
        <v/>
      </c>
      <c r="J132" s="89">
        <f>-SUMIFS('5月数据源'!$I:$I,'5月数据源'!$D:$D,$E132,'5月数据源'!$F:$F,"杭州实时查科技有限公司")+SUMIFS('5月数据源'!$J:$J,'5月数据源'!$D:$D,$E132,'5月数据源'!$F:$F,"杭州实时查科技有限公司")</f>
        <v/>
      </c>
      <c r="K132" s="89">
        <f>-SUMIFS('6月数据源'!$I:$I,'6月数据源'!$D:$D,$E132,'6月数据源'!$F:$F,"杭州实时查科技有限公司")+SUMIFS('6月数据源'!$J:$J,'6月数据源'!$D:$D,$E132,'6月数据源'!$F:$F,"杭州实时查科技有限公司")</f>
        <v/>
      </c>
      <c r="L132" s="89">
        <f>-SUMIFS('7月数据源'!$I:$I,'7月数据源'!$D:$D,$E132,'7月数据源'!$F:$F,"杭州实时查科技有限公司")+SUMIFS('7月数据源'!$J:$J,'7月数据源'!$D:$D,$E132,'7月数据源'!$F:$F,"杭州实时查科技有限公司")</f>
        <v/>
      </c>
      <c r="M132" s="89">
        <f>-SUMIFS('8月数据源'!$I:$I,'8月数据源'!$D:$D,$E132,'8月数据源'!$F:$F,"杭州实时查科技有限公司")+SUMIFS('8月数据源'!$J:$J,'8月数据源'!$D:$D,$E132,'8月数据源'!$F:$F,"杭州实时查科技有限公司")</f>
        <v/>
      </c>
      <c r="N132" s="89">
        <f>-SUMIFS('9月数据源'!$I:$I,'9月数据源'!$D:$D,$E132,'9月数据源'!$F:$F,"杭州实时查科技有限公司")+SUMIFS('9月数据源'!$J:$J,'9月数据源'!$D:$D,$E132,'9月数据源'!$F:$F,"杭州实时查科技有限公司")</f>
        <v/>
      </c>
      <c r="O132" s="89">
        <f>-SUMIFS('10月数据源'!$I:$I,'10月数据源'!$D:$D,$E132,'10月数据源'!$F:$F,"杭州实时查科技有限公司")+SUMIFS('10月数据源'!$J:$J,'10月数据源'!$D:$D,$E132,'10月数据源'!$F:$F,"杭州实时查科技有限公司")</f>
        <v/>
      </c>
      <c r="P132" s="89">
        <f>-SUMIFS('11月数据源'!$I:$I,'11月数据源'!$D:$D,$E132,'11月数据源'!$F:$F,"杭州实时查科技有限公司")+SUMIFS('11月数据源'!$J:$J,'11月数据源'!$D:$D,$E132,'11月数据源'!$F:$F,"杭州实时查科技有限公司")</f>
        <v/>
      </c>
      <c r="Q132" s="89">
        <f>-SUMIFS('12月数据源'!$I:$I,'12月数据源'!$D:$D,$E132,'12月数据源'!$F:$F,"杭州实时查科技有限公司")+SUMIFS('12月数据源'!$J:$J,'12月数据源'!$D:$D,$E132,'12月数据源'!$F:$F,"杭州实时查科技有限公司")</f>
        <v/>
      </c>
    </row>
    <row r="133" s="83">
      <c r="A133" s="5" t="inlineStr">
        <is>
          <t>销售费用</t>
        </is>
      </c>
      <c r="B133" s="6" t="inlineStr">
        <is>
          <t>达人带货</t>
        </is>
      </c>
      <c r="D133" s="5" t="inlineStr">
        <is>
          <t>助播费用</t>
        </is>
      </c>
      <c r="E133" s="6" t="inlineStr">
        <is>
          <t>Q2403</t>
        </is>
      </c>
      <c r="F133" s="89">
        <f>-SUMIFS('1月数据源'!I:I,'1月数据源'!D:D,E133,'1月数据源'!F:F,"杭州实时查科技有限公司")+SUMIFS('1月数据源'!J:J,'1月数据源'!D:D,E133,'1月数据源'!F:F,"杭州实时查科技有限公司")</f>
        <v/>
      </c>
      <c r="G133" s="89">
        <f>-SUMIFS('2月数据源'!$I:$I,'2月数据源'!$D:$D,$E133,'2月数据源'!$F:$F,"杭州实时查科技有限公司")+SUMIFS('2月数据源'!$J:$J,'2月数据源'!$D:$D,$E133,'2月数据源'!$F:$F,"杭州实时查科技有限公司")</f>
        <v/>
      </c>
      <c r="H133" s="89">
        <f>-SUMIFS('3月数据源'!$I:$I,'3月数据源'!$D:$D,$E133,'3月数据源'!$F:$F,"杭州实时查科技有限公司")+SUMIFS('3月数据源'!$J:$J,'3月数据源'!$D:$D,$E133,'3月数据源'!$F:$F,"杭州实时查科技有限公司")</f>
        <v/>
      </c>
      <c r="I133" s="89">
        <f>-SUMIFS('4月数据源'!$I:$I,'4月数据源'!$D:$D,$E133,'4月数据源'!$F:$F,"杭州实时查科技有限公司")+SUMIFS('4月数据源'!$J:$J,'4月数据源'!$D:$D,$E133,'4月数据源'!$F:$F,"杭州实时查科技有限公司")</f>
        <v/>
      </c>
      <c r="J133" s="89">
        <f>-SUMIFS('5月数据源'!$I:$I,'5月数据源'!$D:$D,$E133,'5月数据源'!$F:$F,"杭州实时查科技有限公司")+SUMIFS('5月数据源'!$J:$J,'5月数据源'!$D:$D,$E133,'5月数据源'!$F:$F,"杭州实时查科技有限公司")</f>
        <v/>
      </c>
      <c r="K133" s="89">
        <f>-SUMIFS('6月数据源'!$I:$I,'6月数据源'!$D:$D,$E133,'6月数据源'!$F:$F,"杭州实时查科技有限公司")+SUMIFS('6月数据源'!$J:$J,'6月数据源'!$D:$D,$E133,'6月数据源'!$F:$F,"杭州实时查科技有限公司")</f>
        <v/>
      </c>
      <c r="L133" s="89">
        <f>-SUMIFS('7月数据源'!$I:$I,'7月数据源'!$D:$D,$E133,'7月数据源'!$F:$F,"杭州实时查科技有限公司")+SUMIFS('7月数据源'!$J:$J,'7月数据源'!$D:$D,$E133,'7月数据源'!$F:$F,"杭州实时查科技有限公司")</f>
        <v/>
      </c>
      <c r="M133" s="89">
        <f>-SUMIFS('8月数据源'!$I:$I,'8月数据源'!$D:$D,$E133,'8月数据源'!$F:$F,"杭州实时查科技有限公司")+SUMIFS('8月数据源'!$J:$J,'8月数据源'!$D:$D,$E133,'8月数据源'!$F:$F,"杭州实时查科技有限公司")</f>
        <v/>
      </c>
      <c r="N133" s="89">
        <f>-SUMIFS('9月数据源'!$I:$I,'9月数据源'!$D:$D,$E133,'9月数据源'!$F:$F,"杭州实时查科技有限公司")+SUMIFS('9月数据源'!$J:$J,'9月数据源'!$D:$D,$E133,'9月数据源'!$F:$F,"杭州实时查科技有限公司")</f>
        <v/>
      </c>
      <c r="O133" s="89">
        <f>-SUMIFS('10月数据源'!$I:$I,'10月数据源'!$D:$D,$E133,'10月数据源'!$F:$F,"杭州实时查科技有限公司")+SUMIFS('10月数据源'!$J:$J,'10月数据源'!$D:$D,$E133,'10月数据源'!$F:$F,"杭州实时查科技有限公司")</f>
        <v/>
      </c>
      <c r="P133" s="89">
        <f>-SUMIFS('11月数据源'!$I:$I,'11月数据源'!$D:$D,$E133,'11月数据源'!$F:$F,"杭州实时查科技有限公司")+SUMIFS('11月数据源'!$J:$J,'11月数据源'!$D:$D,$E133,'11月数据源'!$F:$F,"杭州实时查科技有限公司")</f>
        <v/>
      </c>
      <c r="Q133" s="89">
        <f>-SUMIFS('12月数据源'!$I:$I,'12月数据源'!$D:$D,$E133,'12月数据源'!$F:$F,"杭州实时查科技有限公司")+SUMIFS('12月数据源'!$J:$J,'12月数据源'!$D:$D,$E133,'12月数据源'!$F:$F,"杭州实时查科技有限公司")</f>
        <v/>
      </c>
    </row>
    <row r="134" s="83">
      <c r="A134" s="5" t="inlineStr">
        <is>
          <t>销售费用</t>
        </is>
      </c>
      <c r="B134" s="6" t="inlineStr">
        <is>
          <t>发货成本</t>
        </is>
      </c>
      <c r="C134" s="6" t="inlineStr">
        <is>
          <t>发货成本</t>
        </is>
      </c>
      <c r="D134" s="5" t="inlineStr">
        <is>
          <t>快递费</t>
        </is>
      </c>
      <c r="E134" s="6" t="inlineStr">
        <is>
          <t>Q2501</t>
        </is>
      </c>
      <c r="F134" s="89">
        <f>-SUMIFS('1月数据源'!I:I,'1月数据源'!D:D,E134,'1月数据源'!F:F,"杭州实时查科技有限公司")+SUMIFS('1月数据源'!J:J,'1月数据源'!D:D,E134,'1月数据源'!F:F,"杭州实时查科技有限公司")</f>
        <v/>
      </c>
      <c r="G134" s="89">
        <f>-SUMIFS('2月数据源'!$I:$I,'2月数据源'!$D:$D,$E134,'2月数据源'!$F:$F,"杭州实时查科技有限公司")+SUMIFS('2月数据源'!$J:$J,'2月数据源'!$D:$D,$E134,'2月数据源'!$F:$F,"杭州实时查科技有限公司")</f>
        <v/>
      </c>
      <c r="H134" s="89">
        <f>-SUMIFS('3月数据源'!$I:$I,'3月数据源'!$D:$D,$E134,'3月数据源'!$F:$F,"杭州实时查科技有限公司")+SUMIFS('3月数据源'!$J:$J,'3月数据源'!$D:$D,$E134,'3月数据源'!$F:$F,"杭州实时查科技有限公司")</f>
        <v/>
      </c>
      <c r="I134" s="89">
        <f>-SUMIFS('4月数据源'!$I:$I,'4月数据源'!$D:$D,$E134,'4月数据源'!$F:$F,"杭州实时查科技有限公司")+SUMIFS('4月数据源'!$J:$J,'4月数据源'!$D:$D,$E134,'4月数据源'!$F:$F,"杭州实时查科技有限公司")</f>
        <v/>
      </c>
      <c r="J134" s="89">
        <f>-SUMIFS('5月数据源'!$I:$I,'5月数据源'!$D:$D,$E134,'5月数据源'!$F:$F,"杭州实时查科技有限公司")+SUMIFS('5月数据源'!$J:$J,'5月数据源'!$D:$D,$E134,'5月数据源'!$F:$F,"杭州实时查科技有限公司")</f>
        <v/>
      </c>
      <c r="K134" s="89">
        <f>-SUMIFS('6月数据源'!$I:$I,'6月数据源'!$D:$D,$E134,'6月数据源'!$F:$F,"杭州实时查科技有限公司")+SUMIFS('6月数据源'!$J:$J,'6月数据源'!$D:$D,$E134,'6月数据源'!$F:$F,"杭州实时查科技有限公司")</f>
        <v/>
      </c>
      <c r="L134" s="89">
        <f>-SUMIFS('7月数据源'!$I:$I,'7月数据源'!$D:$D,$E134,'7月数据源'!$F:$F,"杭州实时查科技有限公司")+SUMIFS('7月数据源'!$J:$J,'7月数据源'!$D:$D,$E134,'7月数据源'!$F:$F,"杭州实时查科技有限公司")</f>
        <v/>
      </c>
      <c r="M134" s="89">
        <f>-SUMIFS('8月数据源'!$I:$I,'8月数据源'!$D:$D,$E134,'8月数据源'!$F:$F,"杭州实时查科技有限公司")+SUMIFS('8月数据源'!$J:$J,'8月数据源'!$D:$D,$E134,'8月数据源'!$F:$F,"杭州实时查科技有限公司")</f>
        <v/>
      </c>
      <c r="N134" s="89">
        <f>-SUMIFS('9月数据源'!$I:$I,'9月数据源'!$D:$D,$E134,'9月数据源'!$F:$F,"杭州实时查科技有限公司")+SUMIFS('9月数据源'!$J:$J,'9月数据源'!$D:$D,$E134,'9月数据源'!$F:$F,"杭州实时查科技有限公司")</f>
        <v/>
      </c>
      <c r="O134" s="89">
        <f>-SUMIFS('10月数据源'!$I:$I,'10月数据源'!$D:$D,$E134,'10月数据源'!$F:$F,"杭州实时查科技有限公司")+SUMIFS('10月数据源'!$J:$J,'10月数据源'!$D:$D,$E134,'10月数据源'!$F:$F,"杭州实时查科技有限公司")</f>
        <v/>
      </c>
      <c r="P134" s="89">
        <f>-SUMIFS('11月数据源'!$I:$I,'11月数据源'!$D:$D,$E134,'11月数据源'!$F:$F,"杭州实时查科技有限公司")+SUMIFS('11月数据源'!$J:$J,'11月数据源'!$D:$D,$E134,'11月数据源'!$F:$F,"杭州实时查科技有限公司")</f>
        <v/>
      </c>
      <c r="Q134" s="89">
        <f>-SUMIFS('12月数据源'!$I:$I,'12月数据源'!$D:$D,$E134,'12月数据源'!$F:$F,"杭州实时查科技有限公司")+SUMIFS('12月数据源'!$J:$J,'12月数据源'!$D:$D,$E134,'12月数据源'!$F:$F,"杭州实时查科技有限公司")</f>
        <v/>
      </c>
    </row>
    <row r="135" s="83">
      <c r="A135" s="5" t="inlineStr">
        <is>
          <t>销售费用</t>
        </is>
      </c>
      <c r="B135" s="6" t="inlineStr">
        <is>
          <t>发货成本</t>
        </is>
      </c>
      <c r="D135" s="5" t="inlineStr">
        <is>
          <t>云仓租金</t>
        </is>
      </c>
      <c r="E135" s="6" t="inlineStr">
        <is>
          <t>Q2502</t>
        </is>
      </c>
      <c r="F135" s="89">
        <f>-SUMIFS('1月数据源'!I:I,'1月数据源'!D:D,E135,'1月数据源'!F:F,"杭州实时查科技有限公司")+SUMIFS('1月数据源'!J:J,'1月数据源'!D:D,E135,'1月数据源'!F:F,"杭州实时查科技有限公司")</f>
        <v/>
      </c>
      <c r="G135" s="89">
        <f>-SUMIFS('2月数据源'!$I:$I,'2月数据源'!$D:$D,$E135,'2月数据源'!$F:$F,"杭州实时查科技有限公司")+SUMIFS('2月数据源'!$J:$J,'2月数据源'!$D:$D,$E135,'2月数据源'!$F:$F,"杭州实时查科技有限公司")</f>
        <v/>
      </c>
      <c r="H135" s="89">
        <f>-SUMIFS('3月数据源'!$I:$I,'3月数据源'!$D:$D,$E135,'3月数据源'!$F:$F,"杭州实时查科技有限公司")+SUMIFS('3月数据源'!$J:$J,'3月数据源'!$D:$D,$E135,'3月数据源'!$F:$F,"杭州实时查科技有限公司")</f>
        <v/>
      </c>
      <c r="I135" s="89">
        <f>-SUMIFS('4月数据源'!$I:$I,'4月数据源'!$D:$D,$E135,'4月数据源'!$F:$F,"杭州实时查科技有限公司")+SUMIFS('4月数据源'!$J:$J,'4月数据源'!$D:$D,$E135,'4月数据源'!$F:$F,"杭州实时查科技有限公司")</f>
        <v/>
      </c>
      <c r="J135" s="89">
        <f>-SUMIFS('5月数据源'!$I:$I,'5月数据源'!$D:$D,$E135,'5月数据源'!$F:$F,"杭州实时查科技有限公司")+SUMIFS('5月数据源'!$J:$J,'5月数据源'!$D:$D,$E135,'5月数据源'!$F:$F,"杭州实时查科技有限公司")</f>
        <v/>
      </c>
      <c r="K135" s="89">
        <f>-SUMIFS('6月数据源'!$I:$I,'6月数据源'!$D:$D,$E135,'6月数据源'!$F:$F,"杭州实时查科技有限公司")+SUMIFS('6月数据源'!$J:$J,'6月数据源'!$D:$D,$E135,'6月数据源'!$F:$F,"杭州实时查科技有限公司")</f>
        <v/>
      </c>
      <c r="L135" s="89">
        <f>-SUMIFS('7月数据源'!$I:$I,'7月数据源'!$D:$D,$E135,'7月数据源'!$F:$F,"杭州实时查科技有限公司")+SUMIFS('7月数据源'!$J:$J,'7月数据源'!$D:$D,$E135,'7月数据源'!$F:$F,"杭州实时查科技有限公司")</f>
        <v/>
      </c>
      <c r="M135" s="89">
        <f>-SUMIFS('8月数据源'!$I:$I,'8月数据源'!$D:$D,$E135,'8月数据源'!$F:$F,"杭州实时查科技有限公司")+SUMIFS('8月数据源'!$J:$J,'8月数据源'!$D:$D,$E135,'8月数据源'!$F:$F,"杭州实时查科技有限公司")</f>
        <v/>
      </c>
      <c r="N135" s="89">
        <f>-SUMIFS('9月数据源'!$I:$I,'9月数据源'!$D:$D,$E135,'9月数据源'!$F:$F,"杭州实时查科技有限公司")+SUMIFS('9月数据源'!$J:$J,'9月数据源'!$D:$D,$E135,'9月数据源'!$F:$F,"杭州实时查科技有限公司")</f>
        <v/>
      </c>
      <c r="O135" s="89">
        <f>-SUMIFS('10月数据源'!$I:$I,'10月数据源'!$D:$D,$E135,'10月数据源'!$F:$F,"杭州实时查科技有限公司")+SUMIFS('10月数据源'!$J:$J,'10月数据源'!$D:$D,$E135,'10月数据源'!$F:$F,"杭州实时查科技有限公司")</f>
        <v/>
      </c>
      <c r="P135" s="89">
        <f>-SUMIFS('11月数据源'!$I:$I,'11月数据源'!$D:$D,$E135,'11月数据源'!$F:$F,"杭州实时查科技有限公司")+SUMIFS('11月数据源'!$J:$J,'11月数据源'!$D:$D,$E135,'11月数据源'!$F:$F,"杭州实时查科技有限公司")</f>
        <v/>
      </c>
      <c r="Q135" s="89">
        <f>-SUMIFS('12月数据源'!$I:$I,'12月数据源'!$D:$D,$E135,'12月数据源'!$F:$F,"杭州实时查科技有限公司")+SUMIFS('12月数据源'!$J:$J,'12月数据源'!$D:$D,$E135,'12月数据源'!$F:$F,"杭州实时查科技有限公司")</f>
        <v/>
      </c>
    </row>
    <row r="136" s="83">
      <c r="A136" s="5" t="inlineStr">
        <is>
          <t>销售费用</t>
        </is>
      </c>
      <c r="B136" s="6" t="inlineStr">
        <is>
          <t>品销-费用报销</t>
        </is>
      </c>
      <c r="C136" s="6" t="inlineStr">
        <is>
          <t>品销-费用报销</t>
        </is>
      </c>
      <c r="D136" s="5" t="inlineStr">
        <is>
          <t>品销员工报销</t>
        </is>
      </c>
      <c r="E136" s="6" t="inlineStr">
        <is>
          <t>Q2601</t>
        </is>
      </c>
      <c r="F136" s="89">
        <f>-SUMIFS('1月数据源'!I:I,'1月数据源'!D:D,E136,'1月数据源'!F:F,"杭州实时查科技有限公司")+SUMIFS('1月数据源'!J:J,'1月数据源'!D:D,E136,'1月数据源'!F:F,"杭州实时查科技有限公司")</f>
        <v/>
      </c>
      <c r="G136" s="89">
        <f>-SUMIFS('2月数据源'!$I:$I,'2月数据源'!$D:$D,$E136,'2月数据源'!$F:$F,"杭州实时查科技有限公司")+SUMIFS('2月数据源'!$J:$J,'2月数据源'!$D:$D,$E136,'2月数据源'!$F:$F,"杭州实时查科技有限公司")</f>
        <v/>
      </c>
      <c r="H136" s="89">
        <f>-SUMIFS('3月数据源'!$I:$I,'3月数据源'!$D:$D,$E136,'3月数据源'!$F:$F,"杭州实时查科技有限公司")+SUMIFS('3月数据源'!$J:$J,'3月数据源'!$D:$D,$E136,'3月数据源'!$F:$F,"杭州实时查科技有限公司")</f>
        <v/>
      </c>
      <c r="I136" s="89">
        <f>-SUMIFS('4月数据源'!$I:$I,'4月数据源'!$D:$D,$E136,'4月数据源'!$F:$F,"杭州实时查科技有限公司")+SUMIFS('4月数据源'!$J:$J,'4月数据源'!$D:$D,$E136,'4月数据源'!$F:$F,"杭州实时查科技有限公司")</f>
        <v/>
      </c>
      <c r="J136" s="89">
        <f>-SUMIFS('5月数据源'!$I:$I,'5月数据源'!$D:$D,$E136,'5月数据源'!$F:$F,"杭州实时查科技有限公司")+SUMIFS('5月数据源'!$J:$J,'5月数据源'!$D:$D,$E136,'5月数据源'!$F:$F,"杭州实时查科技有限公司")</f>
        <v/>
      </c>
      <c r="K136" s="89">
        <f>-SUMIFS('6月数据源'!$I:$I,'6月数据源'!$D:$D,$E136,'6月数据源'!$F:$F,"杭州实时查科技有限公司")+SUMIFS('6月数据源'!$J:$J,'6月数据源'!$D:$D,$E136,'6月数据源'!$F:$F,"杭州实时查科技有限公司")</f>
        <v/>
      </c>
      <c r="L136" s="89">
        <f>-SUMIFS('7月数据源'!$I:$I,'7月数据源'!$D:$D,$E136,'7月数据源'!$F:$F,"杭州实时查科技有限公司")+SUMIFS('7月数据源'!$J:$J,'7月数据源'!$D:$D,$E136,'7月数据源'!$F:$F,"杭州实时查科技有限公司")</f>
        <v/>
      </c>
      <c r="M136" s="89">
        <f>-SUMIFS('8月数据源'!$I:$I,'8月数据源'!$D:$D,$E136,'8月数据源'!$F:$F,"杭州实时查科技有限公司")+SUMIFS('8月数据源'!$J:$J,'8月数据源'!$D:$D,$E136,'8月数据源'!$F:$F,"杭州实时查科技有限公司")</f>
        <v/>
      </c>
      <c r="N136" s="89">
        <f>-SUMIFS('9月数据源'!$I:$I,'9月数据源'!$D:$D,$E136,'9月数据源'!$F:$F,"杭州实时查科技有限公司")+SUMIFS('9月数据源'!$J:$J,'9月数据源'!$D:$D,$E136,'9月数据源'!$F:$F,"杭州实时查科技有限公司")</f>
        <v/>
      </c>
      <c r="O136" s="89">
        <f>-SUMIFS('10月数据源'!$I:$I,'10月数据源'!$D:$D,$E136,'10月数据源'!$F:$F,"杭州实时查科技有限公司")+SUMIFS('10月数据源'!$J:$J,'10月数据源'!$D:$D,$E136,'10月数据源'!$F:$F,"杭州实时查科技有限公司")</f>
        <v/>
      </c>
      <c r="P136" s="89">
        <f>-SUMIFS('11月数据源'!$I:$I,'11月数据源'!$D:$D,$E136,'11月数据源'!$F:$F,"杭州实时查科技有限公司")+SUMIFS('11月数据源'!$J:$J,'11月数据源'!$D:$D,$E136,'11月数据源'!$F:$F,"杭州实时查科技有限公司")</f>
        <v/>
      </c>
      <c r="Q136" s="89">
        <f>-SUMIFS('12月数据源'!$I:$I,'12月数据源'!$D:$D,$E136,'12月数据源'!$F:$F,"杭州实时查科技有限公司")+SUMIFS('12月数据源'!$J:$J,'12月数据源'!$D:$D,$E136,'12月数据源'!$F:$F,"杭州实时查科技有限公司")</f>
        <v/>
      </c>
    </row>
    <row r="137" s="83">
      <c r="A137" s="49" t="inlineStr">
        <is>
          <t>销售费用合计</t>
        </is>
      </c>
      <c r="B137" s="50" t="n"/>
      <c r="C137" s="50" t="n"/>
      <c r="D137" s="49" t="n"/>
      <c r="E137" s="49" t="n"/>
      <c r="F137" s="89">
        <f>SUM(F99:F136)</f>
        <v/>
      </c>
      <c r="G137" s="89">
        <f>SUM(G99:G136)</f>
        <v/>
      </c>
      <c r="H137" s="89">
        <f>SUM(H99:H136)</f>
        <v/>
      </c>
      <c r="I137" s="89">
        <f>SUM(I99:I136)</f>
        <v/>
      </c>
      <c r="J137" s="89">
        <f>SUM(J99:J136)</f>
        <v/>
      </c>
      <c r="K137" s="89">
        <f>SUM(K99:K136)</f>
        <v/>
      </c>
      <c r="L137" s="89">
        <f>SUM(L99:L136)</f>
        <v/>
      </c>
      <c r="M137" s="89">
        <f>SUM(M99:M136)</f>
        <v/>
      </c>
      <c r="N137" s="89">
        <f>SUM(N99:N136)</f>
        <v/>
      </c>
      <c r="O137" s="89">
        <f>SUM(O99:O136)</f>
        <v/>
      </c>
      <c r="P137" s="89">
        <f>SUM(P99:P136)</f>
        <v/>
      </c>
      <c r="Q137" s="89">
        <f>SUM(Q99:Q136)</f>
        <v/>
      </c>
    </row>
    <row r="138" s="83">
      <c r="A138" s="5" t="inlineStr">
        <is>
          <t>管理费用</t>
        </is>
      </c>
      <c r="B138" s="6" t="inlineStr">
        <is>
          <t>办公场地使用费</t>
        </is>
      </c>
      <c r="C138" s="6" t="inlineStr">
        <is>
          <t>办公场地使用费</t>
        </is>
      </c>
      <c r="D138" s="5" t="inlineStr">
        <is>
          <t>西溪首座办公场地租金</t>
        </is>
      </c>
      <c r="E138" s="6" t="inlineStr">
        <is>
          <t>Q2702</t>
        </is>
      </c>
      <c r="F138" s="89">
        <f>-SUMIFS('1月数据源'!I:I,'1月数据源'!D:D,E138,'1月数据源'!F:F,"杭州实时查科技有限公司")+SUMIFS('1月数据源'!J:J,'1月数据源'!D:D,E138,'1月数据源'!F:F,"杭州实时查科技有限公司")</f>
        <v/>
      </c>
      <c r="G138" s="89">
        <f>-SUMIFS('2月数据源'!$I:$I,'2月数据源'!$D:$D,$E138,'2月数据源'!$F:$F,"杭州实时查科技有限公司")+SUMIFS('2月数据源'!$J:$J,'2月数据源'!$D:$D,$E138,'2月数据源'!$F:$F,"杭州实时查科技有限公司")</f>
        <v/>
      </c>
      <c r="H138" s="89">
        <f>-SUMIFS('3月数据源'!$I:$I,'3月数据源'!$D:$D,$E138,'3月数据源'!$F:$F,"杭州实时查科技有限公司")+SUMIFS('3月数据源'!$J:$J,'3月数据源'!$D:$D,$E138,'3月数据源'!$F:$F,"杭州实时查科技有限公司")</f>
        <v/>
      </c>
      <c r="I138" s="89">
        <f>-SUMIFS('4月数据源'!$I:$I,'4月数据源'!$D:$D,$E138,'4月数据源'!$F:$F,"杭州实时查科技有限公司")+SUMIFS('4月数据源'!$J:$J,'4月数据源'!$D:$D,$E138,'4月数据源'!$F:$F,"杭州实时查科技有限公司")</f>
        <v/>
      </c>
      <c r="J138" s="89">
        <f>-SUMIFS('5月数据源'!$I:$I,'5月数据源'!$D:$D,$E138,'5月数据源'!$F:$F,"杭州实时查科技有限公司")+SUMIFS('5月数据源'!$J:$J,'5月数据源'!$D:$D,$E138,'5月数据源'!$F:$F,"杭州实时查科技有限公司")</f>
        <v/>
      </c>
      <c r="K138" s="89">
        <f>-SUMIFS('6月数据源'!$I:$I,'6月数据源'!$D:$D,$E138,'6月数据源'!$F:$F,"杭州实时查科技有限公司")+SUMIFS('6月数据源'!$J:$J,'6月数据源'!$D:$D,$E138,'6月数据源'!$F:$F,"杭州实时查科技有限公司")</f>
        <v/>
      </c>
      <c r="L138" s="89">
        <f>-SUMIFS('7月数据源'!$I:$I,'7月数据源'!$D:$D,$E138,'7月数据源'!$F:$F,"杭州实时查科技有限公司")+SUMIFS('7月数据源'!$J:$J,'7月数据源'!$D:$D,$E138,'7月数据源'!$F:$F,"杭州实时查科技有限公司")</f>
        <v/>
      </c>
      <c r="M138" s="89">
        <f>-SUMIFS('8月数据源'!$I:$I,'8月数据源'!$D:$D,$E138,'8月数据源'!$F:$F,"杭州实时查科技有限公司")+SUMIFS('8月数据源'!$J:$J,'8月数据源'!$D:$D,$E138,'8月数据源'!$F:$F,"杭州实时查科技有限公司")</f>
        <v/>
      </c>
      <c r="N138" s="89">
        <f>-SUMIFS('9月数据源'!$I:$I,'9月数据源'!$D:$D,$E138,'9月数据源'!$F:$F,"杭州实时查科技有限公司")+SUMIFS('9月数据源'!$J:$J,'9月数据源'!$D:$D,$E138,'9月数据源'!$F:$F,"杭州实时查科技有限公司")</f>
        <v/>
      </c>
      <c r="O138" s="89">
        <f>-SUMIFS('10月数据源'!$I:$I,'10月数据源'!$D:$D,$E138,'10月数据源'!$F:$F,"杭州实时查科技有限公司")+SUMIFS('10月数据源'!$J:$J,'10月数据源'!$D:$D,$E138,'10月数据源'!$F:$F,"杭州实时查科技有限公司")</f>
        <v/>
      </c>
      <c r="P138" s="89">
        <f>-SUMIFS('11月数据源'!$I:$I,'11月数据源'!$D:$D,$E138,'11月数据源'!$F:$F,"杭州实时查科技有限公司")+SUMIFS('11月数据源'!$J:$J,'11月数据源'!$D:$D,$E138,'11月数据源'!$F:$F,"杭州实时查科技有限公司")</f>
        <v/>
      </c>
      <c r="Q138" s="89">
        <f>-SUMIFS('12月数据源'!$I:$I,'12月数据源'!$D:$D,$E138,'12月数据源'!$F:$F,"杭州实时查科技有限公司")+SUMIFS('12月数据源'!$J:$J,'12月数据源'!$D:$D,$E138,'12月数据源'!$F:$F,"杭州实时查科技有限公司")</f>
        <v/>
      </c>
    </row>
    <row r="139" s="83">
      <c r="A139" s="5" t="inlineStr">
        <is>
          <t>管理费用</t>
        </is>
      </c>
      <c r="B139" s="6" t="inlineStr">
        <is>
          <t>办公场地使用费</t>
        </is>
      </c>
      <c r="D139" s="5" t="inlineStr">
        <is>
          <t>西溪首座办公场地装修费</t>
        </is>
      </c>
      <c r="E139" s="6" t="inlineStr">
        <is>
          <t>Q2701</t>
        </is>
      </c>
      <c r="F139" s="89">
        <f>-SUMIFS('1月数据源'!I:I,'1月数据源'!D:D,E139,'1月数据源'!F:F,"杭州实时查科技有限公司")+SUMIFS('1月数据源'!J:J,'1月数据源'!D:D,E139,'1月数据源'!F:F,"杭州实时查科技有限公司")</f>
        <v/>
      </c>
      <c r="G139" s="89">
        <f>-SUMIFS('2月数据源'!$I:$I,'2月数据源'!$D:$D,$E139,'2月数据源'!$F:$F,"杭州实时查科技有限公司")+SUMIFS('2月数据源'!$J:$J,'2月数据源'!$D:$D,$E139,'2月数据源'!$F:$F,"杭州实时查科技有限公司")</f>
        <v/>
      </c>
      <c r="H139" s="89">
        <f>-SUMIFS('3月数据源'!$I:$I,'3月数据源'!$D:$D,$E139,'3月数据源'!$F:$F,"杭州实时查科技有限公司")+SUMIFS('3月数据源'!$J:$J,'3月数据源'!$D:$D,$E139,'3月数据源'!$F:$F,"杭州实时查科技有限公司")</f>
        <v/>
      </c>
      <c r="I139" s="89">
        <f>-SUMIFS('4月数据源'!$I:$I,'4月数据源'!$D:$D,$E139,'4月数据源'!$F:$F,"杭州实时查科技有限公司")+SUMIFS('4月数据源'!$J:$J,'4月数据源'!$D:$D,$E139,'4月数据源'!$F:$F,"杭州实时查科技有限公司")</f>
        <v/>
      </c>
      <c r="J139" s="89">
        <f>-SUMIFS('5月数据源'!$I:$I,'5月数据源'!$D:$D,$E139,'5月数据源'!$F:$F,"杭州实时查科技有限公司")+SUMIFS('5月数据源'!$J:$J,'5月数据源'!$D:$D,$E139,'5月数据源'!$F:$F,"杭州实时查科技有限公司")</f>
        <v/>
      </c>
      <c r="K139" s="89">
        <f>-SUMIFS('6月数据源'!$I:$I,'6月数据源'!$D:$D,$E139,'6月数据源'!$F:$F,"杭州实时查科技有限公司")+SUMIFS('6月数据源'!$J:$J,'6月数据源'!$D:$D,$E139,'6月数据源'!$F:$F,"杭州实时查科技有限公司")</f>
        <v/>
      </c>
      <c r="L139" s="89">
        <f>-SUMIFS('7月数据源'!$I:$I,'7月数据源'!$D:$D,$E139,'7月数据源'!$F:$F,"杭州实时查科技有限公司")+SUMIFS('7月数据源'!$J:$J,'7月数据源'!$D:$D,$E139,'7月数据源'!$F:$F,"杭州实时查科技有限公司")</f>
        <v/>
      </c>
      <c r="M139" s="89">
        <f>-SUMIFS('8月数据源'!$I:$I,'8月数据源'!$D:$D,$E139,'8月数据源'!$F:$F,"杭州实时查科技有限公司")+SUMIFS('8月数据源'!$J:$J,'8月数据源'!$D:$D,$E139,'8月数据源'!$F:$F,"杭州实时查科技有限公司")</f>
        <v/>
      </c>
      <c r="N139" s="89">
        <f>-SUMIFS('9月数据源'!$I:$I,'9月数据源'!$D:$D,$E139,'9月数据源'!$F:$F,"杭州实时查科技有限公司")+SUMIFS('9月数据源'!$J:$J,'9月数据源'!$D:$D,$E139,'9月数据源'!$F:$F,"杭州实时查科技有限公司")</f>
        <v/>
      </c>
      <c r="O139" s="89">
        <f>-SUMIFS('10月数据源'!$I:$I,'10月数据源'!$D:$D,$E139,'10月数据源'!$F:$F,"杭州实时查科技有限公司")+SUMIFS('10月数据源'!$J:$J,'10月数据源'!$D:$D,$E139,'10月数据源'!$F:$F,"杭州实时查科技有限公司")</f>
        <v/>
      </c>
      <c r="P139" s="89">
        <f>-SUMIFS('11月数据源'!$I:$I,'11月数据源'!$D:$D,$E139,'11月数据源'!$F:$F,"杭州实时查科技有限公司")+SUMIFS('11月数据源'!$J:$J,'11月数据源'!$D:$D,$E139,'11月数据源'!$F:$F,"杭州实时查科技有限公司")</f>
        <v/>
      </c>
      <c r="Q139" s="89">
        <f>-SUMIFS('12月数据源'!$I:$I,'12月数据源'!$D:$D,$E139,'12月数据源'!$F:$F,"杭州实时查科技有限公司")+SUMIFS('12月数据源'!$J:$J,'12月数据源'!$D:$D,$E139,'12月数据源'!$F:$F,"杭州实时查科技有限公司")</f>
        <v/>
      </c>
    </row>
    <row r="140" s="83">
      <c r="A140" s="5" t="inlineStr">
        <is>
          <t>管理费用</t>
        </is>
      </c>
      <c r="B140" s="6" t="inlineStr">
        <is>
          <t>办公场地使用费</t>
        </is>
      </c>
      <c r="D140" s="5" t="inlineStr">
        <is>
          <t>西溪首座办公室物业水电费</t>
        </is>
      </c>
      <c r="E140" s="6" t="inlineStr">
        <is>
          <t>Q2703</t>
        </is>
      </c>
      <c r="F140" s="89">
        <f>-SUMIFS('1月数据源'!I:I,'1月数据源'!D:D,E140,'1月数据源'!F:F,"杭州实时查科技有限公司")+SUMIFS('1月数据源'!J:J,'1月数据源'!D:D,E140,'1月数据源'!F:F,"杭州实时查科技有限公司")</f>
        <v/>
      </c>
      <c r="G140" s="89">
        <f>-SUMIFS('2月数据源'!$I:$I,'2月数据源'!$D:$D,$E140,'2月数据源'!$F:$F,"杭州实时查科技有限公司")+SUMIFS('2月数据源'!$J:$J,'2月数据源'!$D:$D,$E140,'2月数据源'!$F:$F,"杭州实时查科技有限公司")</f>
        <v/>
      </c>
      <c r="H140" s="89">
        <f>-SUMIFS('3月数据源'!$I:$I,'3月数据源'!$D:$D,$E140,'3月数据源'!$F:$F,"杭州实时查科技有限公司")+SUMIFS('3月数据源'!$J:$J,'3月数据源'!$D:$D,$E140,'3月数据源'!$F:$F,"杭州实时查科技有限公司")</f>
        <v/>
      </c>
      <c r="I140" s="89">
        <f>-SUMIFS('4月数据源'!$I:$I,'4月数据源'!$D:$D,$E140,'4月数据源'!$F:$F,"杭州实时查科技有限公司")+SUMIFS('4月数据源'!$J:$J,'4月数据源'!$D:$D,$E140,'4月数据源'!$F:$F,"杭州实时查科技有限公司")</f>
        <v/>
      </c>
      <c r="J140" s="89">
        <f>-SUMIFS('5月数据源'!$I:$I,'5月数据源'!$D:$D,$E140,'5月数据源'!$F:$F,"杭州实时查科技有限公司")+SUMIFS('5月数据源'!$J:$J,'5月数据源'!$D:$D,$E140,'5月数据源'!$F:$F,"杭州实时查科技有限公司")</f>
        <v/>
      </c>
      <c r="K140" s="89">
        <f>-SUMIFS('6月数据源'!$I:$I,'6月数据源'!$D:$D,$E140,'6月数据源'!$F:$F,"杭州实时查科技有限公司")+SUMIFS('6月数据源'!$J:$J,'6月数据源'!$D:$D,$E140,'6月数据源'!$F:$F,"杭州实时查科技有限公司")</f>
        <v/>
      </c>
      <c r="L140" s="89">
        <f>-SUMIFS('7月数据源'!$I:$I,'7月数据源'!$D:$D,$E140,'7月数据源'!$F:$F,"杭州实时查科技有限公司")+SUMIFS('7月数据源'!$J:$J,'7月数据源'!$D:$D,$E140,'7月数据源'!$F:$F,"杭州实时查科技有限公司")</f>
        <v/>
      </c>
      <c r="M140" s="89">
        <f>-SUMIFS('8月数据源'!$I:$I,'8月数据源'!$D:$D,$E140,'8月数据源'!$F:$F,"杭州实时查科技有限公司")+SUMIFS('8月数据源'!$J:$J,'8月数据源'!$D:$D,$E140,'8月数据源'!$F:$F,"杭州实时查科技有限公司")</f>
        <v/>
      </c>
      <c r="N140" s="89">
        <f>-SUMIFS('9月数据源'!$I:$I,'9月数据源'!$D:$D,$E140,'9月数据源'!$F:$F,"杭州实时查科技有限公司")+SUMIFS('9月数据源'!$J:$J,'9月数据源'!$D:$D,$E140,'9月数据源'!$F:$F,"杭州实时查科技有限公司")</f>
        <v/>
      </c>
      <c r="O140" s="89">
        <f>-SUMIFS('10月数据源'!$I:$I,'10月数据源'!$D:$D,$E140,'10月数据源'!$F:$F,"杭州实时查科技有限公司")+SUMIFS('10月数据源'!$J:$J,'10月数据源'!$D:$D,$E140,'10月数据源'!$F:$F,"杭州实时查科技有限公司")</f>
        <v/>
      </c>
      <c r="P140" s="89">
        <f>-SUMIFS('11月数据源'!$I:$I,'11月数据源'!$D:$D,$E140,'11月数据源'!$F:$F,"杭州实时查科技有限公司")+SUMIFS('11月数据源'!$J:$J,'11月数据源'!$D:$D,$E140,'11月数据源'!$F:$F,"杭州实时查科技有限公司")</f>
        <v/>
      </c>
      <c r="Q140" s="89">
        <f>-SUMIFS('12月数据源'!$I:$I,'12月数据源'!$D:$D,$E140,'12月数据源'!$F:$F,"杭州实时查科技有限公司")+SUMIFS('12月数据源'!$J:$J,'12月数据源'!$D:$D,$E140,'12月数据源'!$F:$F,"杭州实时查科技有限公司")</f>
        <v/>
      </c>
    </row>
    <row r="141" s="83">
      <c r="A141" s="5" t="inlineStr">
        <is>
          <t>管理费用</t>
        </is>
      </c>
      <c r="B141" s="6" t="inlineStr">
        <is>
          <t>办公场地使用费</t>
        </is>
      </c>
      <c r="D141" s="5" t="inlineStr">
        <is>
          <t>合肥办公室租金</t>
        </is>
      </c>
      <c r="E141" s="6" t="inlineStr">
        <is>
          <t>Q2704</t>
        </is>
      </c>
      <c r="F141" s="89">
        <f>-SUMIFS('1月数据源'!I:I,'1月数据源'!D:D,E141,'1月数据源'!F:F,"杭州实时查科技有限公司")+SUMIFS('1月数据源'!J:J,'1月数据源'!D:D,E141,'1月数据源'!F:F,"杭州实时查科技有限公司")</f>
        <v/>
      </c>
      <c r="G141" s="89">
        <f>-SUMIFS('2月数据源'!$I:$I,'2月数据源'!$D:$D,$E141,'2月数据源'!$F:$F,"杭州实时查科技有限公司")+SUMIFS('2月数据源'!$J:$J,'2月数据源'!$D:$D,$E141,'2月数据源'!$F:$F,"杭州实时查科技有限公司")</f>
        <v/>
      </c>
      <c r="H141" s="89">
        <f>-SUMIFS('3月数据源'!$I:$I,'3月数据源'!$D:$D,$E141,'3月数据源'!$F:$F,"杭州实时查科技有限公司")+SUMIFS('3月数据源'!$J:$J,'3月数据源'!$D:$D,$E141,'3月数据源'!$F:$F,"杭州实时查科技有限公司")</f>
        <v/>
      </c>
      <c r="I141" s="89">
        <f>-SUMIFS('4月数据源'!$I:$I,'4月数据源'!$D:$D,$E141,'4月数据源'!$F:$F,"杭州实时查科技有限公司")+SUMIFS('4月数据源'!$J:$J,'4月数据源'!$D:$D,$E141,'4月数据源'!$F:$F,"杭州实时查科技有限公司")</f>
        <v/>
      </c>
      <c r="J141" s="89">
        <f>-SUMIFS('5月数据源'!$I:$I,'5月数据源'!$D:$D,$E141,'5月数据源'!$F:$F,"杭州实时查科技有限公司")+SUMIFS('5月数据源'!$J:$J,'5月数据源'!$D:$D,$E141,'5月数据源'!$F:$F,"杭州实时查科技有限公司")</f>
        <v/>
      </c>
      <c r="K141" s="89">
        <f>-SUMIFS('6月数据源'!$I:$I,'6月数据源'!$D:$D,$E141,'6月数据源'!$F:$F,"杭州实时查科技有限公司")+SUMIFS('6月数据源'!$J:$J,'6月数据源'!$D:$D,$E141,'6月数据源'!$F:$F,"杭州实时查科技有限公司")</f>
        <v/>
      </c>
      <c r="L141" s="89">
        <f>-SUMIFS('7月数据源'!$I:$I,'7月数据源'!$D:$D,$E141,'7月数据源'!$F:$F,"杭州实时查科技有限公司")+SUMIFS('7月数据源'!$J:$J,'7月数据源'!$D:$D,$E141,'7月数据源'!$F:$F,"杭州实时查科技有限公司")</f>
        <v/>
      </c>
      <c r="M141" s="89">
        <f>-SUMIFS('8月数据源'!$I:$I,'8月数据源'!$D:$D,$E141,'8月数据源'!$F:$F,"杭州实时查科技有限公司")+SUMIFS('8月数据源'!$J:$J,'8月数据源'!$D:$D,$E141,'8月数据源'!$F:$F,"杭州实时查科技有限公司")</f>
        <v/>
      </c>
      <c r="N141" s="89">
        <f>-SUMIFS('9月数据源'!$I:$I,'9月数据源'!$D:$D,$E141,'9月数据源'!$F:$F,"杭州实时查科技有限公司")+SUMIFS('9月数据源'!$J:$J,'9月数据源'!$D:$D,$E141,'9月数据源'!$F:$F,"杭州实时查科技有限公司")</f>
        <v/>
      </c>
      <c r="O141" s="89">
        <f>-SUMIFS('10月数据源'!$I:$I,'10月数据源'!$D:$D,$E141,'10月数据源'!$F:$F,"杭州实时查科技有限公司")+SUMIFS('10月数据源'!$J:$J,'10月数据源'!$D:$D,$E141,'10月数据源'!$F:$F,"杭州实时查科技有限公司")</f>
        <v/>
      </c>
      <c r="P141" s="89">
        <f>-SUMIFS('11月数据源'!$I:$I,'11月数据源'!$D:$D,$E141,'11月数据源'!$F:$F,"杭州实时查科技有限公司")+SUMIFS('11月数据源'!$J:$J,'11月数据源'!$D:$D,$E141,'11月数据源'!$F:$F,"杭州实时查科技有限公司")</f>
        <v/>
      </c>
      <c r="Q141" s="89">
        <f>-SUMIFS('12月数据源'!$I:$I,'12月数据源'!$D:$D,$E141,'12月数据源'!$F:$F,"杭州实时查科技有限公司")+SUMIFS('12月数据源'!$J:$J,'12月数据源'!$D:$D,$E141,'12月数据源'!$F:$F,"杭州实时查科技有限公司")</f>
        <v/>
      </c>
    </row>
    <row r="142" s="83">
      <c r="A142" s="5" t="inlineStr">
        <is>
          <t>管理费用</t>
        </is>
      </c>
      <c r="B142" s="6" t="inlineStr">
        <is>
          <t>办公场地使用费</t>
        </is>
      </c>
      <c r="D142" s="5" t="inlineStr">
        <is>
          <t>合肥办公室物业水电费</t>
        </is>
      </c>
      <c r="E142" s="6" t="inlineStr">
        <is>
          <t>Q2705</t>
        </is>
      </c>
      <c r="F142" s="89">
        <f>-SUMIFS('1月数据源'!I:I,'1月数据源'!D:D,E142,'1月数据源'!F:F,"杭州实时查科技有限公司")+SUMIFS('1月数据源'!J:J,'1月数据源'!D:D,E142,'1月数据源'!F:F,"杭州实时查科技有限公司")</f>
        <v/>
      </c>
      <c r="G142" s="89">
        <f>-SUMIFS('2月数据源'!$I:$I,'2月数据源'!$D:$D,$E142,'2月数据源'!$F:$F,"杭州实时查科技有限公司")+SUMIFS('2月数据源'!$J:$J,'2月数据源'!$D:$D,$E142,'2月数据源'!$F:$F,"杭州实时查科技有限公司")</f>
        <v/>
      </c>
      <c r="H142" s="89">
        <f>-SUMIFS('3月数据源'!$I:$I,'3月数据源'!$D:$D,$E142,'3月数据源'!$F:$F,"杭州实时查科技有限公司")+SUMIFS('3月数据源'!$J:$J,'3月数据源'!$D:$D,$E142,'3月数据源'!$F:$F,"杭州实时查科技有限公司")</f>
        <v/>
      </c>
      <c r="I142" s="89">
        <f>-SUMIFS('4月数据源'!$I:$I,'4月数据源'!$D:$D,$E142,'4月数据源'!$F:$F,"杭州实时查科技有限公司")+SUMIFS('4月数据源'!$J:$J,'4月数据源'!$D:$D,$E142,'4月数据源'!$F:$F,"杭州实时查科技有限公司")</f>
        <v/>
      </c>
      <c r="J142" s="89">
        <f>-SUMIFS('5月数据源'!$I:$I,'5月数据源'!$D:$D,$E142,'5月数据源'!$F:$F,"杭州实时查科技有限公司")+SUMIFS('5月数据源'!$J:$J,'5月数据源'!$D:$D,$E142,'5月数据源'!$F:$F,"杭州实时查科技有限公司")</f>
        <v/>
      </c>
      <c r="K142" s="89">
        <f>-SUMIFS('6月数据源'!$I:$I,'6月数据源'!$D:$D,$E142,'6月数据源'!$F:$F,"杭州实时查科技有限公司")+SUMIFS('6月数据源'!$J:$J,'6月数据源'!$D:$D,$E142,'6月数据源'!$F:$F,"杭州实时查科技有限公司")</f>
        <v/>
      </c>
      <c r="L142" s="89">
        <f>-SUMIFS('7月数据源'!$I:$I,'7月数据源'!$D:$D,$E142,'7月数据源'!$F:$F,"杭州实时查科技有限公司")+SUMIFS('7月数据源'!$J:$J,'7月数据源'!$D:$D,$E142,'7月数据源'!$F:$F,"杭州实时查科技有限公司")</f>
        <v/>
      </c>
      <c r="M142" s="89">
        <f>-SUMIFS('8月数据源'!$I:$I,'8月数据源'!$D:$D,$E142,'8月数据源'!$F:$F,"杭州实时查科技有限公司")+SUMIFS('8月数据源'!$J:$J,'8月数据源'!$D:$D,$E142,'8月数据源'!$F:$F,"杭州实时查科技有限公司")</f>
        <v/>
      </c>
      <c r="N142" s="89">
        <f>-SUMIFS('9月数据源'!$I:$I,'9月数据源'!$D:$D,$E142,'9月数据源'!$F:$F,"杭州实时查科技有限公司")+SUMIFS('9月数据源'!$J:$J,'9月数据源'!$D:$D,$E142,'9月数据源'!$F:$F,"杭州实时查科技有限公司")</f>
        <v/>
      </c>
      <c r="O142" s="89">
        <f>-SUMIFS('10月数据源'!$I:$I,'10月数据源'!$D:$D,$E142,'10月数据源'!$F:$F,"杭州实时查科技有限公司")+SUMIFS('10月数据源'!$J:$J,'10月数据源'!$D:$D,$E142,'10月数据源'!$F:$F,"杭州实时查科技有限公司")</f>
        <v/>
      </c>
      <c r="P142" s="89">
        <f>-SUMIFS('11月数据源'!$I:$I,'11月数据源'!$D:$D,$E142,'11月数据源'!$F:$F,"杭州实时查科技有限公司")+SUMIFS('11月数据源'!$J:$J,'11月数据源'!$D:$D,$E142,'11月数据源'!$F:$F,"杭州实时查科技有限公司")</f>
        <v/>
      </c>
      <c r="Q142" s="89">
        <f>-SUMIFS('12月数据源'!$I:$I,'12月数据源'!$D:$D,$E142,'12月数据源'!$F:$F,"杭州实时查科技有限公司")+SUMIFS('12月数据源'!$J:$J,'12月数据源'!$D:$D,$E142,'12月数据源'!$F:$F,"杭州实时查科技有限公司")</f>
        <v/>
      </c>
    </row>
    <row r="143" s="83">
      <c r="A143" s="5" t="inlineStr">
        <is>
          <t>管理费用</t>
        </is>
      </c>
      <c r="B143" s="6" t="inlineStr">
        <is>
          <t>办公场地使用费</t>
        </is>
      </c>
      <c r="D143" s="5" t="inlineStr">
        <is>
          <t>其他办公场地使用费</t>
        </is>
      </c>
      <c r="E143" s="6" t="inlineStr">
        <is>
          <t>Q2706</t>
        </is>
      </c>
      <c r="F143" s="89">
        <f>-SUMIFS('1月数据源'!I:I,'1月数据源'!D:D,E143,'1月数据源'!F:F,"杭州实时查科技有限公司")+SUMIFS('1月数据源'!J:J,'1月数据源'!D:D,E143,'1月数据源'!F:F,"杭州实时查科技有限公司")</f>
        <v/>
      </c>
      <c r="G143" s="89">
        <f>-SUMIFS('2月数据源'!$I:$I,'2月数据源'!$D:$D,$E143,'2月数据源'!$F:$F,"杭州实时查科技有限公司")+SUMIFS('2月数据源'!$J:$J,'2月数据源'!$D:$D,$E143,'2月数据源'!$F:$F,"杭州实时查科技有限公司")</f>
        <v/>
      </c>
      <c r="H143" s="89">
        <f>-SUMIFS('3月数据源'!$I:$I,'3月数据源'!$D:$D,$E143,'3月数据源'!$F:$F,"杭州实时查科技有限公司")+SUMIFS('3月数据源'!$J:$J,'3月数据源'!$D:$D,$E143,'3月数据源'!$F:$F,"杭州实时查科技有限公司")</f>
        <v/>
      </c>
      <c r="I143" s="89">
        <f>-SUMIFS('4月数据源'!$I:$I,'4月数据源'!$D:$D,$E143,'4月数据源'!$F:$F,"杭州实时查科技有限公司")+SUMIFS('4月数据源'!$J:$J,'4月数据源'!$D:$D,$E143,'4月数据源'!$F:$F,"杭州实时查科技有限公司")</f>
        <v/>
      </c>
      <c r="J143" s="89">
        <f>-SUMIFS('5月数据源'!$I:$I,'5月数据源'!$D:$D,$E143,'5月数据源'!$F:$F,"杭州实时查科技有限公司")+SUMIFS('5月数据源'!$J:$J,'5月数据源'!$D:$D,$E143,'5月数据源'!$F:$F,"杭州实时查科技有限公司")</f>
        <v/>
      </c>
      <c r="K143" s="89">
        <f>-SUMIFS('6月数据源'!$I:$I,'6月数据源'!$D:$D,$E143,'6月数据源'!$F:$F,"杭州实时查科技有限公司")+SUMIFS('6月数据源'!$J:$J,'6月数据源'!$D:$D,$E143,'6月数据源'!$F:$F,"杭州实时查科技有限公司")</f>
        <v/>
      </c>
      <c r="L143" s="89">
        <f>-SUMIFS('7月数据源'!$I:$I,'7月数据源'!$D:$D,$E143,'7月数据源'!$F:$F,"杭州实时查科技有限公司")+SUMIFS('7月数据源'!$J:$J,'7月数据源'!$D:$D,$E143,'7月数据源'!$F:$F,"杭州实时查科技有限公司")</f>
        <v/>
      </c>
      <c r="M143" s="89">
        <f>-SUMIFS('8月数据源'!$I:$I,'8月数据源'!$D:$D,$E143,'8月数据源'!$F:$F,"杭州实时查科技有限公司")+SUMIFS('8月数据源'!$J:$J,'8月数据源'!$D:$D,$E143,'8月数据源'!$F:$F,"杭州实时查科技有限公司")</f>
        <v/>
      </c>
      <c r="N143" s="89">
        <f>-SUMIFS('9月数据源'!$I:$I,'9月数据源'!$D:$D,$E143,'9月数据源'!$F:$F,"杭州实时查科技有限公司")+SUMIFS('9月数据源'!$J:$J,'9月数据源'!$D:$D,$E143,'9月数据源'!$F:$F,"杭州实时查科技有限公司")</f>
        <v/>
      </c>
      <c r="O143" s="89">
        <f>-SUMIFS('10月数据源'!$I:$I,'10月数据源'!$D:$D,$E143,'10月数据源'!$F:$F,"杭州实时查科技有限公司")+SUMIFS('10月数据源'!$J:$J,'10月数据源'!$D:$D,$E143,'10月数据源'!$F:$F,"杭州实时查科技有限公司")</f>
        <v/>
      </c>
      <c r="P143" s="89">
        <f>-SUMIFS('11月数据源'!$I:$I,'11月数据源'!$D:$D,$E143,'11月数据源'!$F:$F,"杭州实时查科技有限公司")+SUMIFS('11月数据源'!$J:$J,'11月数据源'!$D:$D,$E143,'11月数据源'!$F:$F,"杭州实时查科技有限公司")</f>
        <v/>
      </c>
      <c r="Q143" s="89">
        <f>-SUMIFS('12月数据源'!$I:$I,'12月数据源'!$D:$D,$E143,'12月数据源'!$F:$F,"杭州实时查科技有限公司")+SUMIFS('12月数据源'!$J:$J,'12月数据源'!$D:$D,$E143,'12月数据源'!$F:$F,"杭州实时查科技有限公司")</f>
        <v/>
      </c>
    </row>
    <row r="144" s="83">
      <c r="A144" s="5" t="inlineStr">
        <is>
          <t>管理费用</t>
        </is>
      </c>
      <c r="B144" s="6" t="inlineStr">
        <is>
          <t>办公场地使用费</t>
        </is>
      </c>
      <c r="D144" s="5" t="inlineStr">
        <is>
          <t>其他办公场地物业水电费</t>
        </is>
      </c>
      <c r="E144" s="6" t="inlineStr">
        <is>
          <t>Q2708</t>
        </is>
      </c>
      <c r="F144" s="89">
        <f>-SUMIFS('1月数据源'!I:I,'1月数据源'!D:D,E144,'1月数据源'!F:F,"杭州实时查科技有限公司")+SUMIFS('1月数据源'!J:J,'1月数据源'!D:D,E144,'1月数据源'!F:F,"杭州实时查科技有限公司")</f>
        <v/>
      </c>
      <c r="G144" s="89">
        <f>-SUMIFS('2月数据源'!$I:$I,'2月数据源'!$D:$D,$E144,'2月数据源'!$F:$F,"杭州实时查科技有限公司")+SUMIFS('2月数据源'!$J:$J,'2月数据源'!$D:$D,$E144,'2月数据源'!$F:$F,"杭州实时查科技有限公司")</f>
        <v/>
      </c>
      <c r="H144" s="89">
        <f>-SUMIFS('3月数据源'!$I:$I,'3月数据源'!$D:$D,$E144,'3月数据源'!$F:$F,"杭州实时查科技有限公司")+SUMIFS('3月数据源'!$J:$J,'3月数据源'!$D:$D,$E144,'3月数据源'!$F:$F,"杭州实时查科技有限公司")</f>
        <v/>
      </c>
      <c r="I144" s="89">
        <f>-SUMIFS('4月数据源'!$I:$I,'4月数据源'!$D:$D,$E144,'4月数据源'!$F:$F,"杭州实时查科技有限公司")+SUMIFS('4月数据源'!$J:$J,'4月数据源'!$D:$D,$E144,'4月数据源'!$F:$F,"杭州实时查科技有限公司")</f>
        <v/>
      </c>
      <c r="J144" s="89">
        <f>-SUMIFS('5月数据源'!$I:$I,'5月数据源'!$D:$D,$E144,'5月数据源'!$F:$F,"杭州实时查科技有限公司")+SUMIFS('5月数据源'!$J:$J,'5月数据源'!$D:$D,$E144,'5月数据源'!$F:$F,"杭州实时查科技有限公司")</f>
        <v/>
      </c>
      <c r="K144" s="89">
        <f>-SUMIFS('6月数据源'!$I:$I,'6月数据源'!$D:$D,$E144,'6月数据源'!$F:$F,"杭州实时查科技有限公司")+SUMIFS('6月数据源'!$J:$J,'6月数据源'!$D:$D,$E144,'6月数据源'!$F:$F,"杭州实时查科技有限公司")</f>
        <v/>
      </c>
      <c r="L144" s="89">
        <f>-SUMIFS('7月数据源'!$I:$I,'7月数据源'!$D:$D,$E144,'7月数据源'!$F:$F,"杭州实时查科技有限公司")+SUMIFS('7月数据源'!$J:$J,'7月数据源'!$D:$D,$E144,'7月数据源'!$F:$F,"杭州实时查科技有限公司")</f>
        <v/>
      </c>
      <c r="M144" s="89">
        <f>-SUMIFS('8月数据源'!$I:$I,'8月数据源'!$D:$D,$E144,'8月数据源'!$F:$F,"杭州实时查科技有限公司")+SUMIFS('8月数据源'!$J:$J,'8月数据源'!$D:$D,$E144,'8月数据源'!$F:$F,"杭州实时查科技有限公司")</f>
        <v/>
      </c>
      <c r="N144" s="89">
        <f>-SUMIFS('9月数据源'!$I:$I,'9月数据源'!$D:$D,$E144,'9月数据源'!$F:$F,"杭州实时查科技有限公司")+SUMIFS('9月数据源'!$J:$J,'9月数据源'!$D:$D,$E144,'9月数据源'!$F:$F,"杭州实时查科技有限公司")</f>
        <v/>
      </c>
      <c r="O144" s="89">
        <f>-SUMIFS('10月数据源'!$I:$I,'10月数据源'!$D:$D,$E144,'10月数据源'!$F:$F,"杭州实时查科技有限公司")+SUMIFS('10月数据源'!$J:$J,'10月数据源'!$D:$D,$E144,'10月数据源'!$F:$F,"杭州实时查科技有限公司")</f>
        <v/>
      </c>
      <c r="P144" s="89">
        <f>-SUMIFS('11月数据源'!$I:$I,'11月数据源'!$D:$D,$E144,'11月数据源'!$F:$F,"杭州实时查科技有限公司")+SUMIFS('11月数据源'!$J:$J,'11月数据源'!$D:$D,$E144,'11月数据源'!$F:$F,"杭州实时查科技有限公司")</f>
        <v/>
      </c>
      <c r="Q144" s="89">
        <f>-SUMIFS('12月数据源'!$I:$I,'12月数据源'!$D:$D,$E144,'12月数据源'!$F:$F,"杭州实时查科技有限公司")+SUMIFS('12月数据源'!$J:$J,'12月数据源'!$D:$D,$E144,'12月数据源'!$F:$F,"杭州实时查科技有限公司")</f>
        <v/>
      </c>
    </row>
    <row r="145" s="83">
      <c r="A145" s="5" t="inlineStr">
        <is>
          <t>管理费用</t>
        </is>
      </c>
      <c r="B145" s="6" t="inlineStr">
        <is>
          <t>办公场地使用费</t>
        </is>
      </c>
      <c r="D145" s="5" t="inlineStr">
        <is>
          <t>押金</t>
        </is>
      </c>
      <c r="E145" s="6" t="inlineStr">
        <is>
          <t>Q2707</t>
        </is>
      </c>
      <c r="F145" s="89">
        <f>-SUMIFS('1月数据源'!I:I,'1月数据源'!D:D,E145,'1月数据源'!F:F,"杭州实时查科技有限公司")+SUMIFS('1月数据源'!J:J,'1月数据源'!D:D,E145,'1月数据源'!F:F,"杭州实时查科技有限公司")</f>
        <v/>
      </c>
      <c r="G145" s="89">
        <f>-SUMIFS('2月数据源'!$I:$I,'2月数据源'!$D:$D,$E145,'2月数据源'!$F:$F,"杭州实时查科技有限公司")+SUMIFS('2月数据源'!$J:$J,'2月数据源'!$D:$D,$E145,'2月数据源'!$F:$F,"杭州实时查科技有限公司")</f>
        <v/>
      </c>
      <c r="H145" s="89">
        <f>-SUMIFS('3月数据源'!$I:$I,'3月数据源'!$D:$D,$E145,'3月数据源'!$F:$F,"杭州实时查科技有限公司")+SUMIFS('3月数据源'!$J:$J,'3月数据源'!$D:$D,$E145,'3月数据源'!$F:$F,"杭州实时查科技有限公司")</f>
        <v/>
      </c>
      <c r="I145" s="89">
        <f>-SUMIFS('4月数据源'!$I:$I,'4月数据源'!$D:$D,$E145,'4月数据源'!$F:$F,"杭州实时查科技有限公司")+SUMIFS('4月数据源'!$J:$J,'4月数据源'!$D:$D,$E145,'4月数据源'!$F:$F,"杭州实时查科技有限公司")</f>
        <v/>
      </c>
      <c r="J145" s="89">
        <f>-SUMIFS('5月数据源'!$I:$I,'5月数据源'!$D:$D,$E145,'5月数据源'!$F:$F,"杭州实时查科技有限公司")+SUMIFS('5月数据源'!$J:$J,'5月数据源'!$D:$D,$E145,'5月数据源'!$F:$F,"杭州实时查科技有限公司")</f>
        <v/>
      </c>
      <c r="K145" s="89">
        <f>-SUMIFS('6月数据源'!$I:$I,'6月数据源'!$D:$D,$E145,'6月数据源'!$F:$F,"杭州实时查科技有限公司")+SUMIFS('6月数据源'!$J:$J,'6月数据源'!$D:$D,$E145,'6月数据源'!$F:$F,"杭州实时查科技有限公司")</f>
        <v/>
      </c>
      <c r="L145" s="89">
        <f>-SUMIFS('7月数据源'!$I:$I,'7月数据源'!$D:$D,$E145,'7月数据源'!$F:$F,"杭州实时查科技有限公司")+SUMIFS('7月数据源'!$J:$J,'7月数据源'!$D:$D,$E145,'7月数据源'!$F:$F,"杭州实时查科技有限公司")</f>
        <v/>
      </c>
      <c r="M145" s="89">
        <f>-SUMIFS('8月数据源'!$I:$I,'8月数据源'!$D:$D,$E145,'8月数据源'!$F:$F,"杭州实时查科技有限公司")+SUMIFS('8月数据源'!$J:$J,'8月数据源'!$D:$D,$E145,'8月数据源'!$F:$F,"杭州实时查科技有限公司")</f>
        <v/>
      </c>
      <c r="N145" s="89">
        <f>-SUMIFS('9月数据源'!$I:$I,'9月数据源'!$D:$D,$E145,'9月数据源'!$F:$F,"杭州实时查科技有限公司")+SUMIFS('9月数据源'!$J:$J,'9月数据源'!$D:$D,$E145,'9月数据源'!$F:$F,"杭州实时查科技有限公司")</f>
        <v/>
      </c>
      <c r="O145" s="89">
        <f>-SUMIFS('10月数据源'!$I:$I,'10月数据源'!$D:$D,$E145,'10月数据源'!$F:$F,"杭州实时查科技有限公司")+SUMIFS('10月数据源'!$J:$J,'10月数据源'!$D:$D,$E145,'10月数据源'!$F:$F,"杭州实时查科技有限公司")</f>
        <v/>
      </c>
      <c r="P145" s="89">
        <f>-SUMIFS('11月数据源'!$I:$I,'11月数据源'!$D:$D,$E145,'11月数据源'!$F:$F,"杭州实时查科技有限公司")+SUMIFS('11月数据源'!$J:$J,'11月数据源'!$D:$D,$E145,'11月数据源'!$F:$F,"杭州实时查科技有限公司")</f>
        <v/>
      </c>
      <c r="Q145" s="89">
        <f>-SUMIFS('12月数据源'!$I:$I,'12月数据源'!$D:$D,$E145,'12月数据源'!$F:$F,"杭州实时查科技有限公司")+SUMIFS('12月数据源'!$J:$J,'12月数据源'!$D:$D,$E145,'12月数据源'!$F:$F,"杭州实时查科技有限公司")</f>
        <v/>
      </c>
    </row>
    <row r="146" s="83">
      <c r="A146" s="5" t="inlineStr">
        <is>
          <t>管理费用</t>
        </is>
      </c>
      <c r="B146" s="6" t="inlineStr">
        <is>
          <t>服务费</t>
        </is>
      </c>
      <c r="C146" s="6" t="inlineStr">
        <is>
          <t>服务费</t>
        </is>
      </c>
      <c r="D146" s="5" t="inlineStr">
        <is>
          <t>律师费</t>
        </is>
      </c>
      <c r="E146" s="6" t="inlineStr">
        <is>
          <t>Q2801</t>
        </is>
      </c>
      <c r="F146" s="89">
        <f>-SUMIFS('1月数据源'!I:I,'1月数据源'!D:D,E146,'1月数据源'!F:F,"杭州实时查科技有限公司")+SUMIFS('1月数据源'!J:J,'1月数据源'!D:D,E146,'1月数据源'!F:F,"杭州实时查科技有限公司")</f>
        <v/>
      </c>
      <c r="G146" s="89">
        <f>-SUMIFS('2月数据源'!$I:$I,'2月数据源'!$D:$D,$E146,'2月数据源'!$F:$F,"杭州实时查科技有限公司")+SUMIFS('2月数据源'!$J:$J,'2月数据源'!$D:$D,$E146,'2月数据源'!$F:$F,"杭州实时查科技有限公司")</f>
        <v/>
      </c>
      <c r="H146" s="89">
        <f>-SUMIFS('3月数据源'!$I:$I,'3月数据源'!$D:$D,$E146,'3月数据源'!$F:$F,"杭州实时查科技有限公司")+SUMIFS('3月数据源'!$J:$J,'3月数据源'!$D:$D,$E146,'3月数据源'!$F:$F,"杭州实时查科技有限公司")</f>
        <v/>
      </c>
      <c r="I146" s="89">
        <f>-SUMIFS('4月数据源'!$I:$I,'4月数据源'!$D:$D,$E146,'4月数据源'!$F:$F,"杭州实时查科技有限公司")+SUMIFS('4月数据源'!$J:$J,'4月数据源'!$D:$D,$E146,'4月数据源'!$F:$F,"杭州实时查科技有限公司")</f>
        <v/>
      </c>
      <c r="J146" s="89">
        <f>-SUMIFS('5月数据源'!$I:$I,'5月数据源'!$D:$D,$E146,'5月数据源'!$F:$F,"杭州实时查科技有限公司")+SUMIFS('5月数据源'!$J:$J,'5月数据源'!$D:$D,$E146,'5月数据源'!$F:$F,"杭州实时查科技有限公司")</f>
        <v/>
      </c>
      <c r="K146" s="89">
        <f>-SUMIFS('6月数据源'!$I:$I,'6月数据源'!$D:$D,$E146,'6月数据源'!$F:$F,"杭州实时查科技有限公司")+SUMIFS('6月数据源'!$J:$J,'6月数据源'!$D:$D,$E146,'6月数据源'!$F:$F,"杭州实时查科技有限公司")</f>
        <v/>
      </c>
      <c r="L146" s="89">
        <f>-SUMIFS('7月数据源'!$I:$I,'7月数据源'!$D:$D,$E146,'7月数据源'!$F:$F,"杭州实时查科技有限公司")+SUMIFS('7月数据源'!$J:$J,'7月数据源'!$D:$D,$E146,'7月数据源'!$F:$F,"杭州实时查科技有限公司")</f>
        <v/>
      </c>
      <c r="M146" s="89">
        <f>-SUMIFS('8月数据源'!$I:$I,'8月数据源'!$D:$D,$E146,'8月数据源'!$F:$F,"杭州实时查科技有限公司")+SUMIFS('8月数据源'!$J:$J,'8月数据源'!$D:$D,$E146,'8月数据源'!$F:$F,"杭州实时查科技有限公司")</f>
        <v/>
      </c>
      <c r="N146" s="89">
        <f>-SUMIFS('9月数据源'!$I:$I,'9月数据源'!$D:$D,$E146,'9月数据源'!$F:$F,"杭州实时查科技有限公司")+SUMIFS('9月数据源'!$J:$J,'9月数据源'!$D:$D,$E146,'9月数据源'!$F:$F,"杭州实时查科技有限公司")</f>
        <v/>
      </c>
      <c r="O146" s="89">
        <f>-SUMIFS('10月数据源'!$I:$I,'10月数据源'!$D:$D,$E146,'10月数据源'!$F:$F,"杭州实时查科技有限公司")+SUMIFS('10月数据源'!$J:$J,'10月数据源'!$D:$D,$E146,'10月数据源'!$F:$F,"杭州实时查科技有限公司")</f>
        <v/>
      </c>
      <c r="P146" s="89">
        <f>-SUMIFS('11月数据源'!$I:$I,'11月数据源'!$D:$D,$E146,'11月数据源'!$F:$F,"杭州实时查科技有限公司")+SUMIFS('11月数据源'!$J:$J,'11月数据源'!$D:$D,$E146,'11月数据源'!$F:$F,"杭州实时查科技有限公司")</f>
        <v/>
      </c>
      <c r="Q146" s="89">
        <f>-SUMIFS('12月数据源'!$I:$I,'12月数据源'!$D:$D,$E146,'12月数据源'!$F:$F,"杭州实时查科技有限公司")+SUMIFS('12月数据源'!$J:$J,'12月数据源'!$D:$D,$E146,'12月数据源'!$F:$F,"杭州实时查科技有限公司")</f>
        <v/>
      </c>
    </row>
    <row r="147" s="83">
      <c r="A147" s="5" t="inlineStr">
        <is>
          <t>管理费用</t>
        </is>
      </c>
      <c r="B147" s="6" t="inlineStr">
        <is>
          <t>服务费</t>
        </is>
      </c>
      <c r="D147" s="5" t="inlineStr">
        <is>
          <t>中介代理费用</t>
        </is>
      </c>
      <c r="E147" s="6" t="inlineStr">
        <is>
          <t>Q2802</t>
        </is>
      </c>
      <c r="F147" s="89">
        <f>-SUMIFS('1月数据源'!I:I,'1月数据源'!D:D,E147,'1月数据源'!F:F,"杭州实时查科技有限公司")+SUMIFS('1月数据源'!J:J,'1月数据源'!D:D,E147,'1月数据源'!F:F,"杭州实时查科技有限公司")</f>
        <v/>
      </c>
      <c r="G147" s="89">
        <f>-SUMIFS('2月数据源'!$I:$I,'2月数据源'!$D:$D,$E147,'2月数据源'!$F:$F,"杭州实时查科技有限公司")+SUMIFS('2月数据源'!$J:$J,'2月数据源'!$D:$D,$E147,'2月数据源'!$F:$F,"杭州实时查科技有限公司")</f>
        <v/>
      </c>
      <c r="H147" s="89">
        <f>-SUMIFS('3月数据源'!$I:$I,'3月数据源'!$D:$D,$E147,'3月数据源'!$F:$F,"杭州实时查科技有限公司")+SUMIFS('3月数据源'!$J:$J,'3月数据源'!$D:$D,$E147,'3月数据源'!$F:$F,"杭州实时查科技有限公司")</f>
        <v/>
      </c>
      <c r="I147" s="89">
        <f>-SUMIFS('4月数据源'!$I:$I,'4月数据源'!$D:$D,$E147,'4月数据源'!$F:$F,"杭州实时查科技有限公司")+SUMIFS('4月数据源'!$J:$J,'4月数据源'!$D:$D,$E147,'4月数据源'!$F:$F,"杭州实时查科技有限公司")</f>
        <v/>
      </c>
      <c r="J147" s="89">
        <f>-SUMIFS('5月数据源'!$I:$I,'5月数据源'!$D:$D,$E147,'5月数据源'!$F:$F,"杭州实时查科技有限公司")+SUMIFS('5月数据源'!$J:$J,'5月数据源'!$D:$D,$E147,'5月数据源'!$F:$F,"杭州实时查科技有限公司")</f>
        <v/>
      </c>
      <c r="K147" s="89">
        <f>-SUMIFS('6月数据源'!$I:$I,'6月数据源'!$D:$D,$E147,'6月数据源'!$F:$F,"杭州实时查科技有限公司")+SUMIFS('6月数据源'!$J:$J,'6月数据源'!$D:$D,$E147,'6月数据源'!$F:$F,"杭州实时查科技有限公司")</f>
        <v/>
      </c>
      <c r="L147" s="89">
        <f>-SUMIFS('7月数据源'!$I:$I,'7月数据源'!$D:$D,$E147,'7月数据源'!$F:$F,"杭州实时查科技有限公司")+SUMIFS('7月数据源'!$J:$J,'7月数据源'!$D:$D,$E147,'7月数据源'!$F:$F,"杭州实时查科技有限公司")</f>
        <v/>
      </c>
      <c r="M147" s="89">
        <f>-SUMIFS('8月数据源'!$I:$I,'8月数据源'!$D:$D,$E147,'8月数据源'!$F:$F,"杭州实时查科技有限公司")+SUMIFS('8月数据源'!$J:$J,'8月数据源'!$D:$D,$E147,'8月数据源'!$F:$F,"杭州实时查科技有限公司")</f>
        <v/>
      </c>
      <c r="N147" s="89">
        <f>-SUMIFS('9月数据源'!$I:$I,'9月数据源'!$D:$D,$E147,'9月数据源'!$F:$F,"杭州实时查科技有限公司")+SUMIFS('9月数据源'!$J:$J,'9月数据源'!$D:$D,$E147,'9月数据源'!$F:$F,"杭州实时查科技有限公司")</f>
        <v/>
      </c>
      <c r="O147" s="89">
        <f>-SUMIFS('10月数据源'!$I:$I,'10月数据源'!$D:$D,$E147,'10月数据源'!$F:$F,"杭州实时查科技有限公司")+SUMIFS('10月数据源'!$J:$J,'10月数据源'!$D:$D,$E147,'10月数据源'!$F:$F,"杭州实时查科技有限公司")</f>
        <v/>
      </c>
      <c r="P147" s="89">
        <f>-SUMIFS('11月数据源'!$I:$I,'11月数据源'!$D:$D,$E147,'11月数据源'!$F:$F,"杭州实时查科技有限公司")+SUMIFS('11月数据源'!$J:$J,'11月数据源'!$D:$D,$E147,'11月数据源'!$F:$F,"杭州实时查科技有限公司")</f>
        <v/>
      </c>
      <c r="Q147" s="89">
        <f>-SUMIFS('12月数据源'!$I:$I,'12月数据源'!$D:$D,$E147,'12月数据源'!$F:$F,"杭州实时查科技有限公司")+SUMIFS('12月数据源'!$J:$J,'12月数据源'!$D:$D,$E147,'12月数据源'!$F:$F,"杭州实时查科技有限公司")</f>
        <v/>
      </c>
    </row>
    <row r="148" s="83">
      <c r="A148" s="5" t="inlineStr">
        <is>
          <t>管理费用</t>
        </is>
      </c>
      <c r="B148" s="6" t="inlineStr">
        <is>
          <t>服务费</t>
        </is>
      </c>
      <c r="D148" s="5" t="inlineStr">
        <is>
          <t>财务咨询费</t>
        </is>
      </c>
      <c r="E148" s="6" t="inlineStr">
        <is>
          <t>Q2803</t>
        </is>
      </c>
      <c r="F148" s="89">
        <f>-SUMIFS('1月数据源'!I:I,'1月数据源'!D:D,E148,'1月数据源'!F:F,"杭州实时查科技有限公司")+SUMIFS('1月数据源'!J:J,'1月数据源'!D:D,E148,'1月数据源'!F:F,"杭州实时查科技有限公司")</f>
        <v/>
      </c>
      <c r="G148" s="89">
        <f>-SUMIFS('2月数据源'!$I:$I,'2月数据源'!$D:$D,$E148,'2月数据源'!$F:$F,"杭州实时查科技有限公司")+SUMIFS('2月数据源'!$J:$J,'2月数据源'!$D:$D,$E148,'2月数据源'!$F:$F,"杭州实时查科技有限公司")</f>
        <v/>
      </c>
      <c r="H148" s="89">
        <f>-SUMIFS('3月数据源'!$I:$I,'3月数据源'!$D:$D,$E148,'3月数据源'!$F:$F,"杭州实时查科技有限公司")+SUMIFS('3月数据源'!$J:$J,'3月数据源'!$D:$D,$E148,'3月数据源'!$F:$F,"杭州实时查科技有限公司")</f>
        <v/>
      </c>
      <c r="I148" s="89">
        <f>-SUMIFS('4月数据源'!$I:$I,'4月数据源'!$D:$D,$E148,'4月数据源'!$F:$F,"杭州实时查科技有限公司")+SUMIFS('4月数据源'!$J:$J,'4月数据源'!$D:$D,$E148,'4月数据源'!$F:$F,"杭州实时查科技有限公司")</f>
        <v/>
      </c>
      <c r="J148" s="89">
        <f>-SUMIFS('5月数据源'!$I:$I,'5月数据源'!$D:$D,$E148,'5月数据源'!$F:$F,"杭州实时查科技有限公司")+SUMIFS('5月数据源'!$J:$J,'5月数据源'!$D:$D,$E148,'5月数据源'!$F:$F,"杭州实时查科技有限公司")</f>
        <v/>
      </c>
      <c r="K148" s="89">
        <f>-SUMIFS('6月数据源'!$I:$I,'6月数据源'!$D:$D,$E148,'6月数据源'!$F:$F,"杭州实时查科技有限公司")+SUMIFS('6月数据源'!$J:$J,'6月数据源'!$D:$D,$E148,'6月数据源'!$F:$F,"杭州实时查科技有限公司")</f>
        <v/>
      </c>
      <c r="L148" s="89">
        <f>-SUMIFS('7月数据源'!$I:$I,'7月数据源'!$D:$D,$E148,'7月数据源'!$F:$F,"杭州实时查科技有限公司")+SUMIFS('7月数据源'!$J:$J,'7月数据源'!$D:$D,$E148,'7月数据源'!$F:$F,"杭州实时查科技有限公司")</f>
        <v/>
      </c>
      <c r="M148" s="89">
        <f>-SUMIFS('8月数据源'!$I:$I,'8月数据源'!$D:$D,$E148,'8月数据源'!$F:$F,"杭州实时查科技有限公司")+SUMIFS('8月数据源'!$J:$J,'8月数据源'!$D:$D,$E148,'8月数据源'!$F:$F,"杭州实时查科技有限公司")</f>
        <v/>
      </c>
      <c r="N148" s="89">
        <f>-SUMIFS('9月数据源'!$I:$I,'9月数据源'!$D:$D,$E148,'9月数据源'!$F:$F,"杭州实时查科技有限公司")+SUMIFS('9月数据源'!$J:$J,'9月数据源'!$D:$D,$E148,'9月数据源'!$F:$F,"杭州实时查科技有限公司")</f>
        <v/>
      </c>
      <c r="O148" s="89">
        <f>-SUMIFS('10月数据源'!$I:$I,'10月数据源'!$D:$D,$E148,'10月数据源'!$F:$F,"杭州实时查科技有限公司")+SUMIFS('10月数据源'!$J:$J,'10月数据源'!$D:$D,$E148,'10月数据源'!$F:$F,"杭州实时查科技有限公司")</f>
        <v/>
      </c>
      <c r="P148" s="89">
        <f>-SUMIFS('11月数据源'!$I:$I,'11月数据源'!$D:$D,$E148,'11月数据源'!$F:$F,"杭州实时查科技有限公司")+SUMIFS('11月数据源'!$J:$J,'11月数据源'!$D:$D,$E148,'11月数据源'!$F:$F,"杭州实时查科技有限公司")</f>
        <v/>
      </c>
      <c r="Q148" s="89">
        <f>-SUMIFS('12月数据源'!$I:$I,'12月数据源'!$D:$D,$E148,'12月数据源'!$F:$F,"杭州实时查科技有限公司")+SUMIFS('12月数据源'!$J:$J,'12月数据源'!$D:$D,$E148,'12月数据源'!$F:$F,"杭州实时查科技有限公司")</f>
        <v/>
      </c>
    </row>
    <row r="149" s="83">
      <c r="A149" s="5" t="inlineStr">
        <is>
          <t>管理费用</t>
        </is>
      </c>
      <c r="B149" s="6" t="inlineStr">
        <is>
          <t>服务费</t>
        </is>
      </c>
      <c r="D149" s="5" t="inlineStr">
        <is>
          <t>审计费</t>
        </is>
      </c>
      <c r="E149" s="6" t="inlineStr">
        <is>
          <t>Q2804</t>
        </is>
      </c>
      <c r="F149" s="89">
        <f>-SUMIFS('1月数据源'!I:I,'1月数据源'!D:D,E149,'1月数据源'!F:F,"杭州实时查科技有限公司")+SUMIFS('1月数据源'!J:J,'1月数据源'!D:D,E149,'1月数据源'!F:F,"杭州实时查科技有限公司")</f>
        <v/>
      </c>
      <c r="G149" s="89">
        <f>-SUMIFS('2月数据源'!$I:$I,'2月数据源'!$D:$D,$E149,'2月数据源'!$F:$F,"杭州实时查科技有限公司")+SUMIFS('2月数据源'!$J:$J,'2月数据源'!$D:$D,$E149,'2月数据源'!$F:$F,"杭州实时查科技有限公司")</f>
        <v/>
      </c>
      <c r="H149" s="89">
        <f>-SUMIFS('3月数据源'!$I:$I,'3月数据源'!$D:$D,$E149,'3月数据源'!$F:$F,"杭州实时查科技有限公司")+SUMIFS('3月数据源'!$J:$J,'3月数据源'!$D:$D,$E149,'3月数据源'!$F:$F,"杭州实时查科技有限公司")</f>
        <v/>
      </c>
      <c r="I149" s="89">
        <f>-SUMIFS('4月数据源'!$I:$I,'4月数据源'!$D:$D,$E149,'4月数据源'!$F:$F,"杭州实时查科技有限公司")+SUMIFS('4月数据源'!$J:$J,'4月数据源'!$D:$D,$E149,'4月数据源'!$F:$F,"杭州实时查科技有限公司")</f>
        <v/>
      </c>
      <c r="J149" s="89">
        <f>-SUMIFS('5月数据源'!$I:$I,'5月数据源'!$D:$D,$E149,'5月数据源'!$F:$F,"杭州实时查科技有限公司")+SUMIFS('5月数据源'!$J:$J,'5月数据源'!$D:$D,$E149,'5月数据源'!$F:$F,"杭州实时查科技有限公司")</f>
        <v/>
      </c>
      <c r="K149" s="89">
        <f>-SUMIFS('6月数据源'!$I:$I,'6月数据源'!$D:$D,$E149,'6月数据源'!$F:$F,"杭州实时查科技有限公司")+SUMIFS('6月数据源'!$J:$J,'6月数据源'!$D:$D,$E149,'6月数据源'!$F:$F,"杭州实时查科技有限公司")</f>
        <v/>
      </c>
      <c r="L149" s="89">
        <f>-SUMIFS('7月数据源'!$I:$I,'7月数据源'!$D:$D,$E149,'7月数据源'!$F:$F,"杭州实时查科技有限公司")+SUMIFS('7月数据源'!$J:$J,'7月数据源'!$D:$D,$E149,'7月数据源'!$F:$F,"杭州实时查科技有限公司")</f>
        <v/>
      </c>
      <c r="M149" s="89">
        <f>-SUMIFS('8月数据源'!$I:$I,'8月数据源'!$D:$D,$E149,'8月数据源'!$F:$F,"杭州实时查科技有限公司")+SUMIFS('8月数据源'!$J:$J,'8月数据源'!$D:$D,$E149,'8月数据源'!$F:$F,"杭州实时查科技有限公司")</f>
        <v/>
      </c>
      <c r="N149" s="89">
        <f>-SUMIFS('9月数据源'!$I:$I,'9月数据源'!$D:$D,$E149,'9月数据源'!$F:$F,"杭州实时查科技有限公司")+SUMIFS('9月数据源'!$J:$J,'9月数据源'!$D:$D,$E149,'9月数据源'!$F:$F,"杭州实时查科技有限公司")</f>
        <v/>
      </c>
      <c r="O149" s="89">
        <f>-SUMIFS('10月数据源'!$I:$I,'10月数据源'!$D:$D,$E149,'10月数据源'!$F:$F,"杭州实时查科技有限公司")+SUMIFS('10月数据源'!$J:$J,'10月数据源'!$D:$D,$E149,'10月数据源'!$F:$F,"杭州实时查科技有限公司")</f>
        <v/>
      </c>
      <c r="P149" s="89">
        <f>-SUMIFS('11月数据源'!$I:$I,'11月数据源'!$D:$D,$E149,'11月数据源'!$F:$F,"杭州实时查科技有限公司")+SUMIFS('11月数据源'!$J:$J,'11月数据源'!$D:$D,$E149,'11月数据源'!$F:$F,"杭州实时查科技有限公司")</f>
        <v/>
      </c>
      <c r="Q149" s="89">
        <f>-SUMIFS('12月数据源'!$I:$I,'12月数据源'!$D:$D,$E149,'12月数据源'!$F:$F,"杭州实时查科技有限公司")+SUMIFS('12月数据源'!$J:$J,'12月数据源'!$D:$D,$E149,'12月数据源'!$F:$F,"杭州实时查科技有限公司")</f>
        <v/>
      </c>
    </row>
    <row r="150" s="83">
      <c r="A150" s="5" t="inlineStr">
        <is>
          <t>管理费用</t>
        </is>
      </c>
      <c r="B150" s="6" t="inlineStr">
        <is>
          <t>服务费</t>
        </is>
      </c>
      <c r="D150" s="5" t="inlineStr">
        <is>
          <t>招聘费用</t>
        </is>
      </c>
      <c r="E150" s="6" t="inlineStr">
        <is>
          <t>Q2805</t>
        </is>
      </c>
      <c r="F150" s="89">
        <f>-SUMIFS('1月数据源'!I:I,'1月数据源'!D:D,E150,'1月数据源'!F:F,"杭州实时查科技有限公司")+SUMIFS('1月数据源'!J:J,'1月数据源'!D:D,E150,'1月数据源'!F:F,"杭州实时查科技有限公司")</f>
        <v/>
      </c>
      <c r="G150" s="89">
        <f>-SUMIFS('2月数据源'!$I:$I,'2月数据源'!$D:$D,$E150,'2月数据源'!$F:$F,"杭州实时查科技有限公司")+SUMIFS('2月数据源'!$J:$J,'2月数据源'!$D:$D,$E150,'2月数据源'!$F:$F,"杭州实时查科技有限公司")</f>
        <v/>
      </c>
      <c r="H150" s="89">
        <f>-SUMIFS('3月数据源'!$I:$I,'3月数据源'!$D:$D,$E150,'3月数据源'!$F:$F,"杭州实时查科技有限公司")+SUMIFS('3月数据源'!$J:$J,'3月数据源'!$D:$D,$E150,'3月数据源'!$F:$F,"杭州实时查科技有限公司")</f>
        <v/>
      </c>
      <c r="I150" s="89">
        <f>-SUMIFS('4月数据源'!$I:$I,'4月数据源'!$D:$D,$E150,'4月数据源'!$F:$F,"杭州实时查科技有限公司")+SUMIFS('4月数据源'!$J:$J,'4月数据源'!$D:$D,$E150,'4月数据源'!$F:$F,"杭州实时查科技有限公司")</f>
        <v/>
      </c>
      <c r="J150" s="89">
        <f>-SUMIFS('5月数据源'!$I:$I,'5月数据源'!$D:$D,$E150,'5月数据源'!$F:$F,"杭州实时查科技有限公司")+SUMIFS('5月数据源'!$J:$J,'5月数据源'!$D:$D,$E150,'5月数据源'!$F:$F,"杭州实时查科技有限公司")</f>
        <v/>
      </c>
      <c r="K150" s="89">
        <f>-SUMIFS('6月数据源'!$I:$I,'6月数据源'!$D:$D,$E150,'6月数据源'!$F:$F,"杭州实时查科技有限公司")+SUMIFS('6月数据源'!$J:$J,'6月数据源'!$D:$D,$E150,'6月数据源'!$F:$F,"杭州实时查科技有限公司")</f>
        <v/>
      </c>
      <c r="L150" s="89">
        <f>-SUMIFS('7月数据源'!$I:$I,'7月数据源'!$D:$D,$E150,'7月数据源'!$F:$F,"杭州实时查科技有限公司")+SUMIFS('7月数据源'!$J:$J,'7月数据源'!$D:$D,$E150,'7月数据源'!$F:$F,"杭州实时查科技有限公司")</f>
        <v/>
      </c>
      <c r="M150" s="89">
        <f>-SUMIFS('8月数据源'!$I:$I,'8月数据源'!$D:$D,$E150,'8月数据源'!$F:$F,"杭州实时查科技有限公司")+SUMIFS('8月数据源'!$J:$J,'8月数据源'!$D:$D,$E150,'8月数据源'!$F:$F,"杭州实时查科技有限公司")</f>
        <v/>
      </c>
      <c r="N150" s="89">
        <f>-SUMIFS('9月数据源'!$I:$I,'9月数据源'!$D:$D,$E150,'9月数据源'!$F:$F,"杭州实时查科技有限公司")+SUMIFS('9月数据源'!$J:$J,'9月数据源'!$D:$D,$E150,'9月数据源'!$F:$F,"杭州实时查科技有限公司")</f>
        <v/>
      </c>
      <c r="O150" s="89">
        <f>-SUMIFS('10月数据源'!$I:$I,'10月数据源'!$D:$D,$E150,'10月数据源'!$F:$F,"杭州实时查科技有限公司")+SUMIFS('10月数据源'!$J:$J,'10月数据源'!$D:$D,$E150,'10月数据源'!$F:$F,"杭州实时查科技有限公司")</f>
        <v/>
      </c>
      <c r="P150" s="89">
        <f>-SUMIFS('11月数据源'!$I:$I,'11月数据源'!$D:$D,$E150,'11月数据源'!$F:$F,"杭州实时查科技有限公司")+SUMIFS('11月数据源'!$J:$J,'11月数据源'!$D:$D,$E150,'11月数据源'!$F:$F,"杭州实时查科技有限公司")</f>
        <v/>
      </c>
      <c r="Q150" s="89">
        <f>-SUMIFS('12月数据源'!$I:$I,'12月数据源'!$D:$D,$E150,'12月数据源'!$F:$F,"杭州实时查科技有限公司")+SUMIFS('12月数据源'!$J:$J,'12月数据源'!$D:$D,$E150,'12月数据源'!$F:$F,"杭州实时查科技有限公司")</f>
        <v/>
      </c>
    </row>
    <row r="151" s="83">
      <c r="A151" s="5" t="inlineStr">
        <is>
          <t>管理费用</t>
        </is>
      </c>
      <c r="B151" s="6" t="inlineStr">
        <is>
          <t>服务费</t>
        </is>
      </c>
      <c r="D151" s="5" t="inlineStr">
        <is>
          <t>软件服务费</t>
        </is>
      </c>
      <c r="E151" s="6" t="inlineStr">
        <is>
          <t>Q2807</t>
        </is>
      </c>
      <c r="F151" s="89">
        <f>-SUMIFS('1月数据源'!I:I,'1月数据源'!D:D,E151,'1月数据源'!F:F,"杭州实时查科技有限公司")+SUMIFS('1月数据源'!J:J,'1月数据源'!D:D,E151,'1月数据源'!F:F,"杭州实时查科技有限公司")</f>
        <v/>
      </c>
      <c r="G151" s="89">
        <f>-SUMIFS('2月数据源'!$I:$I,'2月数据源'!$D:$D,$E151,'2月数据源'!$F:$F,"杭州实时查科技有限公司")+SUMIFS('2月数据源'!$J:$J,'2月数据源'!$D:$D,$E151,'2月数据源'!$F:$F,"杭州实时查科技有限公司")</f>
        <v/>
      </c>
      <c r="H151" s="89">
        <f>-SUMIFS('3月数据源'!$I:$I,'3月数据源'!$D:$D,$E151,'3月数据源'!$F:$F,"杭州实时查科技有限公司")+SUMIFS('3月数据源'!$J:$J,'3月数据源'!$D:$D,$E151,'3月数据源'!$F:$F,"杭州实时查科技有限公司")</f>
        <v/>
      </c>
      <c r="I151" s="89">
        <f>-SUMIFS('4月数据源'!$I:$I,'4月数据源'!$D:$D,$E151,'4月数据源'!$F:$F,"杭州实时查科技有限公司")+SUMIFS('4月数据源'!$J:$J,'4月数据源'!$D:$D,$E151,'4月数据源'!$F:$F,"杭州实时查科技有限公司")</f>
        <v/>
      </c>
      <c r="J151" s="89">
        <f>-SUMIFS('5月数据源'!$I:$I,'5月数据源'!$D:$D,$E151,'5月数据源'!$F:$F,"杭州实时查科技有限公司")+SUMIFS('5月数据源'!$J:$J,'5月数据源'!$D:$D,$E151,'5月数据源'!$F:$F,"杭州实时查科技有限公司")</f>
        <v/>
      </c>
      <c r="K151" s="89">
        <f>-SUMIFS('6月数据源'!$I:$I,'6月数据源'!$D:$D,$E151,'6月数据源'!$F:$F,"杭州实时查科技有限公司")+SUMIFS('6月数据源'!$J:$J,'6月数据源'!$D:$D,$E151,'6月数据源'!$F:$F,"杭州实时查科技有限公司")</f>
        <v/>
      </c>
      <c r="L151" s="89">
        <f>-SUMIFS('7月数据源'!$I:$I,'7月数据源'!$D:$D,$E151,'7月数据源'!$F:$F,"杭州实时查科技有限公司")+SUMIFS('7月数据源'!$J:$J,'7月数据源'!$D:$D,$E151,'7月数据源'!$F:$F,"杭州实时查科技有限公司")</f>
        <v/>
      </c>
      <c r="M151" s="89">
        <f>-SUMIFS('8月数据源'!$I:$I,'8月数据源'!$D:$D,$E151,'8月数据源'!$F:$F,"杭州实时查科技有限公司")+SUMIFS('8月数据源'!$J:$J,'8月数据源'!$D:$D,$E151,'8月数据源'!$F:$F,"杭州实时查科技有限公司")</f>
        <v/>
      </c>
      <c r="N151" s="89">
        <f>-SUMIFS('9月数据源'!$I:$I,'9月数据源'!$D:$D,$E151,'9月数据源'!$F:$F,"杭州实时查科技有限公司")+SUMIFS('9月数据源'!$J:$J,'9月数据源'!$D:$D,$E151,'9月数据源'!$F:$F,"杭州实时查科技有限公司")</f>
        <v/>
      </c>
      <c r="O151" s="89">
        <f>-SUMIFS('10月数据源'!$I:$I,'10月数据源'!$D:$D,$E151,'10月数据源'!$F:$F,"杭州实时查科技有限公司")+SUMIFS('10月数据源'!$J:$J,'10月数据源'!$D:$D,$E151,'10月数据源'!$F:$F,"杭州实时查科技有限公司")</f>
        <v/>
      </c>
      <c r="P151" s="89">
        <f>-SUMIFS('11月数据源'!$I:$I,'11月数据源'!$D:$D,$E151,'11月数据源'!$F:$F,"杭州实时查科技有限公司")+SUMIFS('11月数据源'!$J:$J,'11月数据源'!$D:$D,$E151,'11月数据源'!$F:$F,"杭州实时查科技有限公司")</f>
        <v/>
      </c>
      <c r="Q151" s="89">
        <f>-SUMIFS('12月数据源'!$I:$I,'12月数据源'!$D:$D,$E151,'12月数据源'!$F:$F,"杭州实时查科技有限公司")+SUMIFS('12月数据源'!$J:$J,'12月数据源'!$D:$D,$E151,'12月数据源'!$F:$F,"杭州实时查科技有限公司")</f>
        <v/>
      </c>
    </row>
    <row r="152" s="83">
      <c r="A152" s="5" t="inlineStr">
        <is>
          <t>管理费用</t>
        </is>
      </c>
      <c r="B152" s="6" t="inlineStr">
        <is>
          <t>服务费</t>
        </is>
      </c>
      <c r="D152" s="5" t="inlineStr">
        <is>
          <t>其他服务费</t>
        </is>
      </c>
      <c r="E152" s="6" t="inlineStr">
        <is>
          <t>Q2806</t>
        </is>
      </c>
      <c r="F152" s="89">
        <f>-SUMIFS('1月数据源'!I:I,'1月数据源'!D:D,E152,'1月数据源'!F:F,"杭州实时查科技有限公司")+SUMIFS('1月数据源'!J:J,'1月数据源'!D:D,E152,'1月数据源'!F:F,"杭州实时查科技有限公司")</f>
        <v/>
      </c>
      <c r="G152" s="89">
        <f>-SUMIFS('2月数据源'!$I:$I,'2月数据源'!$D:$D,$E152,'2月数据源'!$F:$F,"杭州实时查科技有限公司")+SUMIFS('2月数据源'!$J:$J,'2月数据源'!$D:$D,$E152,'2月数据源'!$F:$F,"杭州实时查科技有限公司")</f>
        <v/>
      </c>
      <c r="H152" s="89">
        <f>-SUMIFS('3月数据源'!$I:$I,'3月数据源'!$D:$D,$E152,'3月数据源'!$F:$F,"杭州实时查科技有限公司")+SUMIFS('3月数据源'!$J:$J,'3月数据源'!$D:$D,$E152,'3月数据源'!$F:$F,"杭州实时查科技有限公司")</f>
        <v/>
      </c>
      <c r="I152" s="89">
        <f>-SUMIFS('4月数据源'!$I:$I,'4月数据源'!$D:$D,$E152,'4月数据源'!$F:$F,"杭州实时查科技有限公司")+SUMIFS('4月数据源'!$J:$J,'4月数据源'!$D:$D,$E152,'4月数据源'!$F:$F,"杭州实时查科技有限公司")</f>
        <v/>
      </c>
      <c r="J152" s="89">
        <f>-SUMIFS('5月数据源'!$I:$I,'5月数据源'!$D:$D,$E152,'5月数据源'!$F:$F,"杭州实时查科技有限公司")+SUMIFS('5月数据源'!$J:$J,'5月数据源'!$D:$D,$E152,'5月数据源'!$F:$F,"杭州实时查科技有限公司")</f>
        <v/>
      </c>
      <c r="K152" s="89">
        <f>-SUMIFS('6月数据源'!$I:$I,'6月数据源'!$D:$D,$E152,'6月数据源'!$F:$F,"杭州实时查科技有限公司")+SUMIFS('6月数据源'!$J:$J,'6月数据源'!$D:$D,$E152,'6月数据源'!$F:$F,"杭州实时查科技有限公司")</f>
        <v/>
      </c>
      <c r="L152" s="89">
        <f>-SUMIFS('7月数据源'!$I:$I,'7月数据源'!$D:$D,$E152,'7月数据源'!$F:$F,"杭州实时查科技有限公司")+SUMIFS('7月数据源'!$J:$J,'7月数据源'!$D:$D,$E152,'7月数据源'!$F:$F,"杭州实时查科技有限公司")</f>
        <v/>
      </c>
      <c r="M152" s="89">
        <f>-SUMIFS('8月数据源'!$I:$I,'8月数据源'!$D:$D,$E152,'8月数据源'!$F:$F,"杭州实时查科技有限公司")+SUMIFS('8月数据源'!$J:$J,'8月数据源'!$D:$D,$E152,'8月数据源'!$F:$F,"杭州实时查科技有限公司")</f>
        <v/>
      </c>
      <c r="N152" s="89">
        <f>-SUMIFS('9月数据源'!$I:$I,'9月数据源'!$D:$D,$E152,'9月数据源'!$F:$F,"杭州实时查科技有限公司")+SUMIFS('9月数据源'!$J:$J,'9月数据源'!$D:$D,$E152,'9月数据源'!$F:$F,"杭州实时查科技有限公司")</f>
        <v/>
      </c>
      <c r="O152" s="89">
        <f>-SUMIFS('10月数据源'!$I:$I,'10月数据源'!$D:$D,$E152,'10月数据源'!$F:$F,"杭州实时查科技有限公司")+SUMIFS('10月数据源'!$J:$J,'10月数据源'!$D:$D,$E152,'10月数据源'!$F:$F,"杭州实时查科技有限公司")</f>
        <v/>
      </c>
      <c r="P152" s="89">
        <f>-SUMIFS('11月数据源'!$I:$I,'11月数据源'!$D:$D,$E152,'11月数据源'!$F:$F,"杭州实时查科技有限公司")+SUMIFS('11月数据源'!$J:$J,'11月数据源'!$D:$D,$E152,'11月数据源'!$F:$F,"杭州实时查科技有限公司")</f>
        <v/>
      </c>
      <c r="Q152" s="89">
        <f>-SUMIFS('12月数据源'!$I:$I,'12月数据源'!$D:$D,$E152,'12月数据源'!$F:$F,"杭州实时查科技有限公司")+SUMIFS('12月数据源'!$J:$J,'12月数据源'!$D:$D,$E152,'12月数据源'!$F:$F,"杭州实时查科技有限公司")</f>
        <v/>
      </c>
    </row>
    <row r="153" s="83">
      <c r="A153" s="5" t="inlineStr">
        <is>
          <t>管理费用</t>
        </is>
      </c>
      <c r="B153" s="6" t="inlineStr">
        <is>
          <t>办公费用</t>
        </is>
      </c>
      <c r="C153" s="6" t="inlineStr">
        <is>
          <t>办公费用</t>
        </is>
      </c>
      <c r="D153" s="5" t="inlineStr">
        <is>
          <t>固定资产采购</t>
        </is>
      </c>
      <c r="E153" s="6" t="inlineStr">
        <is>
          <t>Q2901</t>
        </is>
      </c>
      <c r="F153" s="89">
        <f>-SUMIFS('1月数据源'!I:I,'1月数据源'!D:D,E153,'1月数据源'!F:F,"杭州实时查科技有限公司")+SUMIFS('1月数据源'!J:J,'1月数据源'!D:D,E153,'1月数据源'!F:F,"杭州实时查科技有限公司")</f>
        <v/>
      </c>
      <c r="G153" s="89">
        <f>-SUMIFS('2月数据源'!$I:$I,'2月数据源'!$D:$D,$E153,'2月数据源'!$F:$F,"杭州实时查科技有限公司")+SUMIFS('2月数据源'!$J:$J,'2月数据源'!$D:$D,$E153,'2月数据源'!$F:$F,"杭州实时查科技有限公司")</f>
        <v/>
      </c>
      <c r="H153" s="89">
        <f>-SUMIFS('3月数据源'!$I:$I,'3月数据源'!$D:$D,$E153,'3月数据源'!$F:$F,"杭州实时查科技有限公司")+SUMIFS('3月数据源'!$J:$J,'3月数据源'!$D:$D,$E153,'3月数据源'!$F:$F,"杭州实时查科技有限公司")</f>
        <v/>
      </c>
      <c r="I153" s="89">
        <f>-SUMIFS('4月数据源'!$I:$I,'4月数据源'!$D:$D,$E153,'4月数据源'!$F:$F,"杭州实时查科技有限公司")+SUMIFS('4月数据源'!$J:$J,'4月数据源'!$D:$D,$E153,'4月数据源'!$F:$F,"杭州实时查科技有限公司")</f>
        <v/>
      </c>
      <c r="J153" s="89">
        <f>-SUMIFS('5月数据源'!$I:$I,'5月数据源'!$D:$D,$E153,'5月数据源'!$F:$F,"杭州实时查科技有限公司")+SUMIFS('5月数据源'!$J:$J,'5月数据源'!$D:$D,$E153,'5月数据源'!$F:$F,"杭州实时查科技有限公司")</f>
        <v/>
      </c>
      <c r="K153" s="89">
        <f>-SUMIFS('6月数据源'!$I:$I,'6月数据源'!$D:$D,$E153,'6月数据源'!$F:$F,"杭州实时查科技有限公司")+SUMIFS('6月数据源'!$J:$J,'6月数据源'!$D:$D,$E153,'6月数据源'!$F:$F,"杭州实时查科技有限公司")</f>
        <v/>
      </c>
      <c r="L153" s="89">
        <f>-SUMIFS('7月数据源'!$I:$I,'7月数据源'!$D:$D,$E153,'7月数据源'!$F:$F,"杭州实时查科技有限公司")+SUMIFS('7月数据源'!$J:$J,'7月数据源'!$D:$D,$E153,'7月数据源'!$F:$F,"杭州实时查科技有限公司")</f>
        <v/>
      </c>
      <c r="M153" s="89">
        <f>-SUMIFS('8月数据源'!$I:$I,'8月数据源'!$D:$D,$E153,'8月数据源'!$F:$F,"杭州实时查科技有限公司")+SUMIFS('8月数据源'!$J:$J,'8月数据源'!$D:$D,$E153,'8月数据源'!$F:$F,"杭州实时查科技有限公司")</f>
        <v/>
      </c>
      <c r="N153" s="89">
        <f>-SUMIFS('9月数据源'!$I:$I,'9月数据源'!$D:$D,$E153,'9月数据源'!$F:$F,"杭州实时查科技有限公司")+SUMIFS('9月数据源'!$J:$J,'9月数据源'!$D:$D,$E153,'9月数据源'!$F:$F,"杭州实时查科技有限公司")</f>
        <v/>
      </c>
      <c r="O153" s="89">
        <f>-SUMIFS('10月数据源'!$I:$I,'10月数据源'!$D:$D,$E153,'10月数据源'!$F:$F,"杭州实时查科技有限公司")+SUMIFS('10月数据源'!$J:$J,'10月数据源'!$D:$D,$E153,'10月数据源'!$F:$F,"杭州实时查科技有限公司")</f>
        <v/>
      </c>
      <c r="P153" s="89">
        <f>-SUMIFS('11月数据源'!$I:$I,'11月数据源'!$D:$D,$E153,'11月数据源'!$F:$F,"杭州实时查科技有限公司")+SUMIFS('11月数据源'!$J:$J,'11月数据源'!$D:$D,$E153,'11月数据源'!$F:$F,"杭州实时查科技有限公司")</f>
        <v/>
      </c>
      <c r="Q153" s="89">
        <f>-SUMIFS('12月数据源'!$I:$I,'12月数据源'!$D:$D,$E153,'12月数据源'!$F:$F,"杭州实时查科技有限公司")+SUMIFS('12月数据源'!$J:$J,'12月数据源'!$D:$D,$E153,'12月数据源'!$F:$F,"杭州实时查科技有限公司")</f>
        <v/>
      </c>
    </row>
    <row r="154" s="83">
      <c r="A154" s="5" t="inlineStr">
        <is>
          <t>管理费用</t>
        </is>
      </c>
      <c r="B154" s="6" t="inlineStr">
        <is>
          <t>办公费用</t>
        </is>
      </c>
      <c r="D154" s="5" t="inlineStr">
        <is>
          <t>办公用品采购</t>
        </is>
      </c>
      <c r="E154" s="6" t="inlineStr">
        <is>
          <t>Q2902</t>
        </is>
      </c>
      <c r="F154" s="89">
        <f>-SUMIFS('1月数据源'!I:I,'1月数据源'!D:D,E154,'1月数据源'!F:F,"杭州实时查科技有限公司")+SUMIFS('1月数据源'!J:J,'1月数据源'!D:D,E154,'1月数据源'!F:F,"杭州实时查科技有限公司")</f>
        <v/>
      </c>
      <c r="G154" s="89">
        <f>-SUMIFS('2月数据源'!$I:$I,'2月数据源'!$D:$D,$E154,'2月数据源'!$F:$F,"杭州实时查科技有限公司")+SUMIFS('2月数据源'!$J:$J,'2月数据源'!$D:$D,$E154,'2月数据源'!$F:$F,"杭州实时查科技有限公司")</f>
        <v/>
      </c>
      <c r="H154" s="89">
        <f>-SUMIFS('3月数据源'!$I:$I,'3月数据源'!$D:$D,$E154,'3月数据源'!$F:$F,"杭州实时查科技有限公司")+SUMIFS('3月数据源'!$J:$J,'3月数据源'!$D:$D,$E154,'3月数据源'!$F:$F,"杭州实时查科技有限公司")</f>
        <v/>
      </c>
      <c r="I154" s="89">
        <f>-SUMIFS('4月数据源'!$I:$I,'4月数据源'!$D:$D,$E154,'4月数据源'!$F:$F,"杭州实时查科技有限公司")+SUMIFS('4月数据源'!$J:$J,'4月数据源'!$D:$D,$E154,'4月数据源'!$F:$F,"杭州实时查科技有限公司")</f>
        <v/>
      </c>
      <c r="J154" s="89">
        <f>-SUMIFS('5月数据源'!$I:$I,'5月数据源'!$D:$D,$E154,'5月数据源'!$F:$F,"杭州实时查科技有限公司")+SUMIFS('5月数据源'!$J:$J,'5月数据源'!$D:$D,$E154,'5月数据源'!$F:$F,"杭州实时查科技有限公司")</f>
        <v/>
      </c>
      <c r="K154" s="89">
        <f>-SUMIFS('6月数据源'!$I:$I,'6月数据源'!$D:$D,$E154,'6月数据源'!$F:$F,"杭州实时查科技有限公司")+SUMIFS('6月数据源'!$J:$J,'6月数据源'!$D:$D,$E154,'6月数据源'!$F:$F,"杭州实时查科技有限公司")</f>
        <v/>
      </c>
      <c r="L154" s="89">
        <f>-SUMIFS('7月数据源'!$I:$I,'7月数据源'!$D:$D,$E154,'7月数据源'!$F:$F,"杭州实时查科技有限公司")+SUMIFS('7月数据源'!$J:$J,'7月数据源'!$D:$D,$E154,'7月数据源'!$F:$F,"杭州实时查科技有限公司")</f>
        <v/>
      </c>
      <c r="M154" s="89">
        <f>-SUMIFS('8月数据源'!$I:$I,'8月数据源'!$D:$D,$E154,'8月数据源'!$F:$F,"杭州实时查科技有限公司")+SUMIFS('8月数据源'!$J:$J,'8月数据源'!$D:$D,$E154,'8月数据源'!$F:$F,"杭州实时查科技有限公司")</f>
        <v/>
      </c>
      <c r="N154" s="89">
        <f>-SUMIFS('9月数据源'!$I:$I,'9月数据源'!$D:$D,$E154,'9月数据源'!$F:$F,"杭州实时查科技有限公司")+SUMIFS('9月数据源'!$J:$J,'9月数据源'!$D:$D,$E154,'9月数据源'!$F:$F,"杭州实时查科技有限公司")</f>
        <v/>
      </c>
      <c r="O154" s="89">
        <f>-SUMIFS('10月数据源'!$I:$I,'10月数据源'!$D:$D,$E154,'10月数据源'!$F:$F,"杭州实时查科技有限公司")+SUMIFS('10月数据源'!$J:$J,'10月数据源'!$D:$D,$E154,'10月数据源'!$F:$F,"杭州实时查科技有限公司")</f>
        <v/>
      </c>
      <c r="P154" s="89">
        <f>-SUMIFS('11月数据源'!$I:$I,'11月数据源'!$D:$D,$E154,'11月数据源'!$F:$F,"杭州实时查科技有限公司")+SUMIFS('11月数据源'!$J:$J,'11月数据源'!$D:$D,$E154,'11月数据源'!$F:$F,"杭州实时查科技有限公司")</f>
        <v/>
      </c>
      <c r="Q154" s="89">
        <f>-SUMIFS('12月数据源'!$I:$I,'12月数据源'!$D:$D,$E154,'12月数据源'!$F:$F,"杭州实时查科技有限公司")+SUMIFS('12月数据源'!$J:$J,'12月数据源'!$D:$D,$E154,'12月数据源'!$F:$F,"杭州实时查科技有限公司")</f>
        <v/>
      </c>
    </row>
    <row r="155" s="83">
      <c r="A155" s="5" t="inlineStr">
        <is>
          <t>管理费用</t>
        </is>
      </c>
      <c r="B155" s="6" t="inlineStr">
        <is>
          <t>办公费用</t>
        </is>
      </c>
      <c r="D155" s="5" t="inlineStr">
        <is>
          <t>网络费</t>
        </is>
      </c>
      <c r="E155" s="6" t="inlineStr">
        <is>
          <t>Q2903</t>
        </is>
      </c>
      <c r="F155" s="89">
        <f>-SUMIFS('1月数据源'!I:I,'1月数据源'!D:D,E155,'1月数据源'!F:F,"杭州实时查科技有限公司")+SUMIFS('1月数据源'!J:J,'1月数据源'!D:D,E155,'1月数据源'!F:F,"杭州实时查科技有限公司")</f>
        <v/>
      </c>
      <c r="G155" s="89">
        <f>-SUMIFS('2月数据源'!$I:$I,'2月数据源'!$D:$D,$E155,'2月数据源'!$F:$F,"杭州实时查科技有限公司")+SUMIFS('2月数据源'!$J:$J,'2月数据源'!$D:$D,$E155,'2月数据源'!$F:$F,"杭州实时查科技有限公司")</f>
        <v/>
      </c>
      <c r="H155" s="89">
        <f>-SUMIFS('3月数据源'!$I:$I,'3月数据源'!$D:$D,$E155,'3月数据源'!$F:$F,"杭州实时查科技有限公司")+SUMIFS('3月数据源'!$J:$J,'3月数据源'!$D:$D,$E155,'3月数据源'!$F:$F,"杭州实时查科技有限公司")</f>
        <v/>
      </c>
      <c r="I155" s="89">
        <f>-SUMIFS('4月数据源'!$I:$I,'4月数据源'!$D:$D,$E155,'4月数据源'!$F:$F,"杭州实时查科技有限公司")+SUMIFS('4月数据源'!$J:$J,'4月数据源'!$D:$D,$E155,'4月数据源'!$F:$F,"杭州实时查科技有限公司")</f>
        <v/>
      </c>
      <c r="J155" s="89">
        <f>-SUMIFS('5月数据源'!$I:$I,'5月数据源'!$D:$D,$E155,'5月数据源'!$F:$F,"杭州实时查科技有限公司")+SUMIFS('5月数据源'!$J:$J,'5月数据源'!$D:$D,$E155,'5月数据源'!$F:$F,"杭州实时查科技有限公司")</f>
        <v/>
      </c>
      <c r="K155" s="89">
        <f>-SUMIFS('6月数据源'!$I:$I,'6月数据源'!$D:$D,$E155,'6月数据源'!$F:$F,"杭州实时查科技有限公司")+SUMIFS('6月数据源'!$J:$J,'6月数据源'!$D:$D,$E155,'6月数据源'!$F:$F,"杭州实时查科技有限公司")</f>
        <v/>
      </c>
      <c r="L155" s="89">
        <f>-SUMIFS('7月数据源'!$I:$I,'7月数据源'!$D:$D,$E155,'7月数据源'!$F:$F,"杭州实时查科技有限公司")+SUMIFS('7月数据源'!$J:$J,'7月数据源'!$D:$D,$E155,'7月数据源'!$F:$F,"杭州实时查科技有限公司")</f>
        <v/>
      </c>
      <c r="M155" s="89">
        <f>-SUMIFS('8月数据源'!$I:$I,'8月数据源'!$D:$D,$E155,'8月数据源'!$F:$F,"杭州实时查科技有限公司")+SUMIFS('8月数据源'!$J:$J,'8月数据源'!$D:$D,$E155,'8月数据源'!$F:$F,"杭州实时查科技有限公司")</f>
        <v/>
      </c>
      <c r="N155" s="89">
        <f>-SUMIFS('9月数据源'!$I:$I,'9月数据源'!$D:$D,$E155,'9月数据源'!$F:$F,"杭州实时查科技有限公司")+SUMIFS('9月数据源'!$J:$J,'9月数据源'!$D:$D,$E155,'9月数据源'!$F:$F,"杭州实时查科技有限公司")</f>
        <v/>
      </c>
      <c r="O155" s="89">
        <f>-SUMIFS('10月数据源'!$I:$I,'10月数据源'!$D:$D,$E155,'10月数据源'!$F:$F,"杭州实时查科技有限公司")+SUMIFS('10月数据源'!$J:$J,'10月数据源'!$D:$D,$E155,'10月数据源'!$F:$F,"杭州实时查科技有限公司")</f>
        <v/>
      </c>
      <c r="P155" s="89">
        <f>-SUMIFS('11月数据源'!$I:$I,'11月数据源'!$D:$D,$E155,'11月数据源'!$F:$F,"杭州实时查科技有限公司")+SUMIFS('11月数据源'!$J:$J,'11月数据源'!$D:$D,$E155,'11月数据源'!$F:$F,"杭州实时查科技有限公司")</f>
        <v/>
      </c>
      <c r="Q155" s="89">
        <f>-SUMIFS('12月数据源'!$I:$I,'12月数据源'!$D:$D,$E155,'12月数据源'!$F:$F,"杭州实时查科技有限公司")+SUMIFS('12月数据源'!$J:$J,'12月数据源'!$D:$D,$E155,'12月数据源'!$F:$F,"杭州实时查科技有限公司")</f>
        <v/>
      </c>
    </row>
    <row r="156" s="83">
      <c r="A156" s="5" t="inlineStr">
        <is>
          <t>管理费用</t>
        </is>
      </c>
      <c r="B156" s="6" t="inlineStr">
        <is>
          <t>办公费用</t>
        </is>
      </c>
      <c r="D156" s="5" t="inlineStr">
        <is>
          <t>通讯费</t>
        </is>
      </c>
      <c r="E156" s="6" t="inlineStr">
        <is>
          <t>Q2904</t>
        </is>
      </c>
      <c r="F156" s="89">
        <f>-SUMIFS('1月数据源'!I:I,'1月数据源'!D:D,E156,'1月数据源'!F:F,"杭州实时查科技有限公司")+SUMIFS('1月数据源'!J:J,'1月数据源'!D:D,E156,'1月数据源'!F:F,"杭州实时查科技有限公司")</f>
        <v/>
      </c>
      <c r="G156" s="89">
        <f>-SUMIFS('2月数据源'!$I:$I,'2月数据源'!$D:$D,$E156,'2月数据源'!$F:$F,"杭州实时查科技有限公司")+SUMIFS('2月数据源'!$J:$J,'2月数据源'!$D:$D,$E156,'2月数据源'!$F:$F,"杭州实时查科技有限公司")</f>
        <v/>
      </c>
      <c r="H156" s="89">
        <f>-SUMIFS('3月数据源'!$I:$I,'3月数据源'!$D:$D,$E156,'3月数据源'!$F:$F,"杭州实时查科技有限公司")+SUMIFS('3月数据源'!$J:$J,'3月数据源'!$D:$D,$E156,'3月数据源'!$F:$F,"杭州实时查科技有限公司")</f>
        <v/>
      </c>
      <c r="I156" s="89">
        <f>-SUMIFS('4月数据源'!$I:$I,'4月数据源'!$D:$D,$E156,'4月数据源'!$F:$F,"杭州实时查科技有限公司")+SUMIFS('4月数据源'!$J:$J,'4月数据源'!$D:$D,$E156,'4月数据源'!$F:$F,"杭州实时查科技有限公司")</f>
        <v/>
      </c>
      <c r="J156" s="89">
        <f>-SUMIFS('5月数据源'!$I:$I,'5月数据源'!$D:$D,$E156,'5月数据源'!$F:$F,"杭州实时查科技有限公司")+SUMIFS('5月数据源'!$J:$J,'5月数据源'!$D:$D,$E156,'5月数据源'!$F:$F,"杭州实时查科技有限公司")</f>
        <v/>
      </c>
      <c r="K156" s="89">
        <f>-SUMIFS('6月数据源'!$I:$I,'6月数据源'!$D:$D,$E156,'6月数据源'!$F:$F,"杭州实时查科技有限公司")+SUMIFS('6月数据源'!$J:$J,'6月数据源'!$D:$D,$E156,'6月数据源'!$F:$F,"杭州实时查科技有限公司")</f>
        <v/>
      </c>
      <c r="L156" s="89">
        <f>-SUMIFS('7月数据源'!$I:$I,'7月数据源'!$D:$D,$E156,'7月数据源'!$F:$F,"杭州实时查科技有限公司")+SUMIFS('7月数据源'!$J:$J,'7月数据源'!$D:$D,$E156,'7月数据源'!$F:$F,"杭州实时查科技有限公司")</f>
        <v/>
      </c>
      <c r="M156" s="89">
        <f>-SUMIFS('8月数据源'!$I:$I,'8月数据源'!$D:$D,$E156,'8月数据源'!$F:$F,"杭州实时查科技有限公司")+SUMIFS('8月数据源'!$J:$J,'8月数据源'!$D:$D,$E156,'8月数据源'!$F:$F,"杭州实时查科技有限公司")</f>
        <v/>
      </c>
      <c r="N156" s="89">
        <f>-SUMIFS('9月数据源'!$I:$I,'9月数据源'!$D:$D,$E156,'9月数据源'!$F:$F,"杭州实时查科技有限公司")+SUMIFS('9月数据源'!$J:$J,'9月数据源'!$D:$D,$E156,'9月数据源'!$F:$F,"杭州实时查科技有限公司")</f>
        <v/>
      </c>
      <c r="O156" s="89">
        <f>-SUMIFS('10月数据源'!$I:$I,'10月数据源'!$D:$D,$E156,'10月数据源'!$F:$F,"杭州实时查科技有限公司")+SUMIFS('10月数据源'!$J:$J,'10月数据源'!$D:$D,$E156,'10月数据源'!$F:$F,"杭州实时查科技有限公司")</f>
        <v/>
      </c>
      <c r="P156" s="89">
        <f>-SUMIFS('11月数据源'!$I:$I,'11月数据源'!$D:$D,$E156,'11月数据源'!$F:$F,"杭州实时查科技有限公司")+SUMIFS('11月数据源'!$J:$J,'11月数据源'!$D:$D,$E156,'11月数据源'!$F:$F,"杭州实时查科技有限公司")</f>
        <v/>
      </c>
      <c r="Q156" s="89">
        <f>-SUMIFS('12月数据源'!$I:$I,'12月数据源'!$D:$D,$E156,'12月数据源'!$F:$F,"杭州实时查科技有限公司")+SUMIFS('12月数据源'!$J:$J,'12月数据源'!$D:$D,$E156,'12月数据源'!$F:$F,"杭州实时查科技有限公司")</f>
        <v/>
      </c>
    </row>
    <row r="157" s="83">
      <c r="A157" s="5" t="inlineStr">
        <is>
          <t>管理费用</t>
        </is>
      </c>
      <c r="B157" s="6" t="inlineStr">
        <is>
          <t>办公费用</t>
        </is>
      </c>
      <c r="D157" s="5" t="inlineStr">
        <is>
          <t>快递费</t>
        </is>
      </c>
      <c r="E157" s="6" t="inlineStr">
        <is>
          <t>Q2905</t>
        </is>
      </c>
      <c r="F157" s="89">
        <f>-SUMIFS('1月数据源'!I:I,'1月数据源'!D:D,E157,'1月数据源'!F:F,"杭州实时查科技有限公司")+SUMIFS('1月数据源'!J:J,'1月数据源'!D:D,E157,'1月数据源'!F:F,"杭州实时查科技有限公司")</f>
        <v/>
      </c>
      <c r="G157" s="89">
        <f>-SUMIFS('2月数据源'!$I:$I,'2月数据源'!$D:$D,$E157,'2月数据源'!$F:$F,"杭州实时查科技有限公司")+SUMIFS('2月数据源'!$J:$J,'2月数据源'!$D:$D,$E157,'2月数据源'!$F:$F,"杭州实时查科技有限公司")</f>
        <v/>
      </c>
      <c r="H157" s="89">
        <f>-SUMIFS('3月数据源'!$I:$I,'3月数据源'!$D:$D,$E157,'3月数据源'!$F:$F,"杭州实时查科技有限公司")+SUMIFS('3月数据源'!$J:$J,'3月数据源'!$D:$D,$E157,'3月数据源'!$F:$F,"杭州实时查科技有限公司")</f>
        <v/>
      </c>
      <c r="I157" s="89">
        <f>-SUMIFS('4月数据源'!$I:$I,'4月数据源'!$D:$D,$E157,'4月数据源'!$F:$F,"杭州实时查科技有限公司")+SUMIFS('4月数据源'!$J:$J,'4月数据源'!$D:$D,$E157,'4月数据源'!$F:$F,"杭州实时查科技有限公司")</f>
        <v/>
      </c>
      <c r="J157" s="89">
        <f>-SUMIFS('5月数据源'!$I:$I,'5月数据源'!$D:$D,$E157,'5月数据源'!$F:$F,"杭州实时查科技有限公司")+SUMIFS('5月数据源'!$J:$J,'5月数据源'!$D:$D,$E157,'5月数据源'!$F:$F,"杭州实时查科技有限公司")</f>
        <v/>
      </c>
      <c r="K157" s="89">
        <f>-SUMIFS('6月数据源'!$I:$I,'6月数据源'!$D:$D,$E157,'6月数据源'!$F:$F,"杭州实时查科技有限公司")+SUMIFS('6月数据源'!$J:$J,'6月数据源'!$D:$D,$E157,'6月数据源'!$F:$F,"杭州实时查科技有限公司")</f>
        <v/>
      </c>
      <c r="L157" s="89">
        <f>-SUMIFS('7月数据源'!$I:$I,'7月数据源'!$D:$D,$E157,'7月数据源'!$F:$F,"杭州实时查科技有限公司")+SUMIFS('7月数据源'!$J:$J,'7月数据源'!$D:$D,$E157,'7月数据源'!$F:$F,"杭州实时查科技有限公司")</f>
        <v/>
      </c>
      <c r="M157" s="89">
        <f>-SUMIFS('8月数据源'!$I:$I,'8月数据源'!$D:$D,$E157,'8月数据源'!$F:$F,"杭州实时查科技有限公司")+SUMIFS('8月数据源'!$J:$J,'8月数据源'!$D:$D,$E157,'8月数据源'!$F:$F,"杭州实时查科技有限公司")</f>
        <v/>
      </c>
      <c r="N157" s="89">
        <f>-SUMIFS('9月数据源'!$I:$I,'9月数据源'!$D:$D,$E157,'9月数据源'!$F:$F,"杭州实时查科技有限公司")+SUMIFS('9月数据源'!$J:$J,'9月数据源'!$D:$D,$E157,'9月数据源'!$F:$F,"杭州实时查科技有限公司")</f>
        <v/>
      </c>
      <c r="O157" s="89">
        <f>-SUMIFS('10月数据源'!$I:$I,'10月数据源'!$D:$D,$E157,'10月数据源'!$F:$F,"杭州实时查科技有限公司")+SUMIFS('10月数据源'!$J:$J,'10月数据源'!$D:$D,$E157,'10月数据源'!$F:$F,"杭州实时查科技有限公司")</f>
        <v/>
      </c>
      <c r="P157" s="89">
        <f>-SUMIFS('11月数据源'!$I:$I,'11月数据源'!$D:$D,$E157,'11月数据源'!$F:$F,"杭州实时查科技有限公司")+SUMIFS('11月数据源'!$J:$J,'11月数据源'!$D:$D,$E157,'11月数据源'!$F:$F,"杭州实时查科技有限公司")</f>
        <v/>
      </c>
      <c r="Q157" s="89">
        <f>-SUMIFS('12月数据源'!$I:$I,'12月数据源'!$D:$D,$E157,'12月数据源'!$F:$F,"杭州实时查科技有限公司")+SUMIFS('12月数据源'!$J:$J,'12月数据源'!$D:$D,$E157,'12月数据源'!$F:$F,"杭州实时查科技有限公司")</f>
        <v/>
      </c>
    </row>
    <row r="158" s="83">
      <c r="A158" s="5" t="inlineStr">
        <is>
          <t>管理费用</t>
        </is>
      </c>
      <c r="B158" s="6" t="inlineStr">
        <is>
          <t>办公费用</t>
        </is>
      </c>
      <c r="D158" s="5" t="inlineStr">
        <is>
          <t>其他员工报销</t>
        </is>
      </c>
      <c r="E158" s="6" t="inlineStr">
        <is>
          <t>Q2907</t>
        </is>
      </c>
      <c r="F158" s="89">
        <f>-SUMIFS('1月数据源'!I:I,'1月数据源'!D:D,E158,'1月数据源'!F:F,"杭州实时查科技有限公司")+SUMIFS('1月数据源'!J:J,'1月数据源'!D:D,E158,'1月数据源'!F:F,"杭州实时查科技有限公司")</f>
        <v/>
      </c>
      <c r="G158" s="89">
        <f>-SUMIFS('2月数据源'!$I:$I,'2月数据源'!$D:$D,$E158,'2月数据源'!$F:$F,"杭州实时查科技有限公司")+SUMIFS('2月数据源'!$J:$J,'2月数据源'!$D:$D,$E158,'2月数据源'!$F:$F,"杭州实时查科技有限公司")</f>
        <v/>
      </c>
      <c r="H158" s="89">
        <f>-SUMIFS('3月数据源'!$I:$I,'3月数据源'!$D:$D,$E158,'3月数据源'!$F:$F,"杭州实时查科技有限公司")+SUMIFS('3月数据源'!$J:$J,'3月数据源'!$D:$D,$E158,'3月数据源'!$F:$F,"杭州实时查科技有限公司")</f>
        <v/>
      </c>
      <c r="I158" s="89">
        <f>-SUMIFS('4月数据源'!$I:$I,'4月数据源'!$D:$D,$E158,'4月数据源'!$F:$F,"杭州实时查科技有限公司")+SUMIFS('4月数据源'!$J:$J,'4月数据源'!$D:$D,$E158,'4月数据源'!$F:$F,"杭州实时查科技有限公司")</f>
        <v/>
      </c>
      <c r="J158" s="89">
        <f>-SUMIFS('5月数据源'!$I:$I,'5月数据源'!$D:$D,$E158,'5月数据源'!$F:$F,"杭州实时查科技有限公司")+SUMIFS('5月数据源'!$J:$J,'5月数据源'!$D:$D,$E158,'5月数据源'!$F:$F,"杭州实时查科技有限公司")</f>
        <v/>
      </c>
      <c r="K158" s="89">
        <f>-SUMIFS('6月数据源'!$I:$I,'6月数据源'!$D:$D,$E158,'6月数据源'!$F:$F,"杭州实时查科技有限公司")+SUMIFS('6月数据源'!$J:$J,'6月数据源'!$D:$D,$E158,'6月数据源'!$F:$F,"杭州实时查科技有限公司")</f>
        <v/>
      </c>
      <c r="L158" s="89">
        <f>-SUMIFS('7月数据源'!$I:$I,'7月数据源'!$D:$D,$E158,'7月数据源'!$F:$F,"杭州实时查科技有限公司")+SUMIFS('7月数据源'!$J:$J,'7月数据源'!$D:$D,$E158,'7月数据源'!$F:$F,"杭州实时查科技有限公司")</f>
        <v/>
      </c>
      <c r="M158" s="89">
        <f>-SUMIFS('8月数据源'!$I:$I,'8月数据源'!$D:$D,$E158,'8月数据源'!$F:$F,"杭州实时查科技有限公司")+SUMIFS('8月数据源'!$J:$J,'8月数据源'!$D:$D,$E158,'8月数据源'!$F:$F,"杭州实时查科技有限公司")</f>
        <v/>
      </c>
      <c r="N158" s="89">
        <f>-SUMIFS('9月数据源'!$I:$I,'9月数据源'!$D:$D,$E158,'9月数据源'!$F:$F,"杭州实时查科技有限公司")+SUMIFS('9月数据源'!$J:$J,'9月数据源'!$D:$D,$E158,'9月数据源'!$F:$F,"杭州实时查科技有限公司")</f>
        <v/>
      </c>
      <c r="O158" s="89">
        <f>-SUMIFS('10月数据源'!$I:$I,'10月数据源'!$D:$D,$E158,'10月数据源'!$F:$F,"杭州实时查科技有限公司")+SUMIFS('10月数据源'!$J:$J,'10月数据源'!$D:$D,$E158,'10月数据源'!$F:$F,"杭州实时查科技有限公司")</f>
        <v/>
      </c>
      <c r="P158" s="89">
        <f>-SUMIFS('11月数据源'!$I:$I,'11月数据源'!$D:$D,$E158,'11月数据源'!$F:$F,"杭州实时查科技有限公司")+SUMIFS('11月数据源'!$J:$J,'11月数据源'!$D:$D,$E158,'11月数据源'!$F:$F,"杭州实时查科技有限公司")</f>
        <v/>
      </c>
      <c r="Q158" s="89">
        <f>-SUMIFS('12月数据源'!$I:$I,'12月数据源'!$D:$D,$E158,'12月数据源'!$F:$F,"杭州实时查科技有限公司")+SUMIFS('12月数据源'!$J:$J,'12月数据源'!$D:$D,$E158,'12月数据源'!$F:$F,"杭州实时查科技有限公司")</f>
        <v/>
      </c>
    </row>
    <row r="159" s="83">
      <c r="A159" s="5" t="inlineStr">
        <is>
          <t>管理费用</t>
        </is>
      </c>
      <c r="B159" s="6" t="inlineStr">
        <is>
          <t>办公费用</t>
        </is>
      </c>
      <c r="D159" s="5" t="inlineStr">
        <is>
          <t>办公设备租赁费</t>
        </is>
      </c>
      <c r="E159" s="6" t="inlineStr">
        <is>
          <t>Q2908</t>
        </is>
      </c>
      <c r="F159" s="89">
        <f>-SUMIFS('1月数据源'!I:I,'1月数据源'!D:D,E159,'1月数据源'!F:F,"杭州实时查科技有限公司")+SUMIFS('1月数据源'!J:J,'1月数据源'!D:D,E159,'1月数据源'!F:F,"杭州实时查科技有限公司")</f>
        <v/>
      </c>
      <c r="G159" s="89">
        <f>-SUMIFS('2月数据源'!$I:$I,'2月数据源'!$D:$D,$E159,'2月数据源'!$F:$F,"杭州实时查科技有限公司")+SUMIFS('2月数据源'!$J:$J,'2月数据源'!$D:$D,$E159,'2月数据源'!$F:$F,"杭州实时查科技有限公司")</f>
        <v/>
      </c>
      <c r="H159" s="89">
        <f>-SUMIFS('3月数据源'!$I:$I,'3月数据源'!$D:$D,$E159,'3月数据源'!$F:$F,"杭州实时查科技有限公司")+SUMIFS('3月数据源'!$J:$J,'3月数据源'!$D:$D,$E159,'3月数据源'!$F:$F,"杭州实时查科技有限公司")</f>
        <v/>
      </c>
      <c r="I159" s="89">
        <f>-SUMIFS('4月数据源'!$I:$I,'4月数据源'!$D:$D,$E159,'4月数据源'!$F:$F,"杭州实时查科技有限公司")+SUMIFS('4月数据源'!$J:$J,'4月数据源'!$D:$D,$E159,'4月数据源'!$F:$F,"杭州实时查科技有限公司")</f>
        <v/>
      </c>
      <c r="J159" s="89">
        <f>-SUMIFS('5月数据源'!$I:$I,'5月数据源'!$D:$D,$E159,'5月数据源'!$F:$F,"杭州实时查科技有限公司")+SUMIFS('5月数据源'!$J:$J,'5月数据源'!$D:$D,$E159,'5月数据源'!$F:$F,"杭州实时查科技有限公司")</f>
        <v/>
      </c>
      <c r="K159" s="89">
        <f>-SUMIFS('6月数据源'!$I:$I,'6月数据源'!$D:$D,$E159,'6月数据源'!$F:$F,"杭州实时查科技有限公司")+SUMIFS('6月数据源'!$J:$J,'6月数据源'!$D:$D,$E159,'6月数据源'!$F:$F,"杭州实时查科技有限公司")</f>
        <v/>
      </c>
      <c r="L159" s="89">
        <f>-SUMIFS('7月数据源'!$I:$I,'7月数据源'!$D:$D,$E159,'7月数据源'!$F:$F,"杭州实时查科技有限公司")+SUMIFS('7月数据源'!$J:$J,'7月数据源'!$D:$D,$E159,'7月数据源'!$F:$F,"杭州实时查科技有限公司")</f>
        <v/>
      </c>
      <c r="M159" s="89">
        <f>-SUMIFS('8月数据源'!$I:$I,'8月数据源'!$D:$D,$E159,'8月数据源'!$F:$F,"杭州实时查科技有限公司")+SUMIFS('8月数据源'!$J:$J,'8月数据源'!$D:$D,$E159,'8月数据源'!$F:$F,"杭州实时查科技有限公司")</f>
        <v/>
      </c>
      <c r="N159" s="89">
        <f>-SUMIFS('9月数据源'!$I:$I,'9月数据源'!$D:$D,$E159,'9月数据源'!$F:$F,"杭州实时查科技有限公司")+SUMIFS('9月数据源'!$J:$J,'9月数据源'!$D:$D,$E159,'9月数据源'!$F:$F,"杭州实时查科技有限公司")</f>
        <v/>
      </c>
      <c r="O159" s="89">
        <f>-SUMIFS('10月数据源'!$I:$I,'10月数据源'!$D:$D,$E159,'10月数据源'!$F:$F,"杭州实时查科技有限公司")+SUMIFS('10月数据源'!$J:$J,'10月数据源'!$D:$D,$E159,'10月数据源'!$F:$F,"杭州实时查科技有限公司")</f>
        <v/>
      </c>
      <c r="P159" s="89">
        <f>-SUMIFS('11月数据源'!$I:$I,'11月数据源'!$D:$D,$E159,'11月数据源'!$F:$F,"杭州实时查科技有限公司")+SUMIFS('11月数据源'!$J:$J,'11月数据源'!$D:$D,$E159,'11月数据源'!$F:$F,"杭州实时查科技有限公司")</f>
        <v/>
      </c>
      <c r="Q159" s="89">
        <f>-SUMIFS('12月数据源'!$I:$I,'12月数据源'!$D:$D,$E159,'12月数据源'!$F:$F,"杭州实时查科技有限公司")+SUMIFS('12月数据源'!$J:$J,'12月数据源'!$D:$D,$E159,'12月数据源'!$F:$F,"杭州实时查科技有限公司")</f>
        <v/>
      </c>
    </row>
    <row r="160" s="83">
      <c r="A160" s="5" t="inlineStr">
        <is>
          <t>管理费用</t>
        </is>
      </c>
      <c r="B160" s="6" t="inlineStr">
        <is>
          <t>办公费用</t>
        </is>
      </c>
      <c r="D160" s="5" t="inlineStr">
        <is>
          <t>总经办报销费用</t>
        </is>
      </c>
      <c r="E160" s="6" t="inlineStr">
        <is>
          <t>Q2909</t>
        </is>
      </c>
      <c r="F160" s="89">
        <f>-SUMIFS('1月数据源'!I:I,'1月数据源'!D:D,E160,'1月数据源'!F:F,"杭州实时查科技有限公司")+SUMIFS('1月数据源'!J:J,'1月数据源'!D:D,E160,'1月数据源'!F:F,"杭州实时查科技有限公司")</f>
        <v/>
      </c>
      <c r="G160" s="89">
        <f>-SUMIFS('2月数据源'!$I:$I,'2月数据源'!$D:$D,$E160,'2月数据源'!$F:$F,"杭州实时查科技有限公司")+SUMIFS('2月数据源'!$J:$J,'2月数据源'!$D:$D,$E160,'2月数据源'!$F:$F,"杭州实时查科技有限公司")</f>
        <v/>
      </c>
      <c r="H160" s="89">
        <f>-SUMIFS('3月数据源'!$I:$I,'3月数据源'!$D:$D,$E160,'3月数据源'!$F:$F,"杭州实时查科技有限公司")+SUMIFS('3月数据源'!$J:$J,'3月数据源'!$D:$D,$E160,'3月数据源'!$F:$F,"杭州实时查科技有限公司")</f>
        <v/>
      </c>
      <c r="I160" s="89">
        <f>-SUMIFS('4月数据源'!$I:$I,'4月数据源'!$D:$D,$E160,'4月数据源'!$F:$F,"杭州实时查科技有限公司")+SUMIFS('4月数据源'!$J:$J,'4月数据源'!$D:$D,$E160,'4月数据源'!$F:$F,"杭州实时查科技有限公司")</f>
        <v/>
      </c>
      <c r="J160" s="89">
        <f>-SUMIFS('5月数据源'!$I:$I,'5月数据源'!$D:$D,$E160,'5月数据源'!$F:$F,"杭州实时查科技有限公司")+SUMIFS('5月数据源'!$J:$J,'5月数据源'!$D:$D,$E160,'5月数据源'!$F:$F,"杭州实时查科技有限公司")</f>
        <v/>
      </c>
      <c r="K160" s="89">
        <f>-SUMIFS('6月数据源'!$I:$I,'6月数据源'!$D:$D,$E160,'6月数据源'!$F:$F,"杭州实时查科技有限公司")+SUMIFS('6月数据源'!$J:$J,'6月数据源'!$D:$D,$E160,'6月数据源'!$F:$F,"杭州实时查科技有限公司")</f>
        <v/>
      </c>
      <c r="L160" s="89">
        <f>-SUMIFS('7月数据源'!$I:$I,'7月数据源'!$D:$D,$E160,'7月数据源'!$F:$F,"杭州实时查科技有限公司")+SUMIFS('7月数据源'!$J:$J,'7月数据源'!$D:$D,$E160,'7月数据源'!$F:$F,"杭州实时查科技有限公司")</f>
        <v/>
      </c>
      <c r="M160" s="89">
        <f>-SUMIFS('8月数据源'!$I:$I,'8月数据源'!$D:$D,$E160,'8月数据源'!$F:$F,"杭州实时查科技有限公司")+SUMIFS('8月数据源'!$J:$J,'8月数据源'!$D:$D,$E160,'8月数据源'!$F:$F,"杭州实时查科技有限公司")</f>
        <v/>
      </c>
      <c r="N160" s="89">
        <f>-SUMIFS('9月数据源'!$I:$I,'9月数据源'!$D:$D,$E160,'9月数据源'!$F:$F,"杭州实时查科技有限公司")+SUMIFS('9月数据源'!$J:$J,'9月数据源'!$D:$D,$E160,'9月数据源'!$F:$F,"杭州实时查科技有限公司")</f>
        <v/>
      </c>
      <c r="O160" s="89">
        <f>-SUMIFS('10月数据源'!$I:$I,'10月数据源'!$D:$D,$E160,'10月数据源'!$F:$F,"杭州实时查科技有限公司")+SUMIFS('10月数据源'!$J:$J,'10月数据源'!$D:$D,$E160,'10月数据源'!$F:$F,"杭州实时查科技有限公司")</f>
        <v/>
      </c>
      <c r="P160" s="89">
        <f>-SUMIFS('11月数据源'!$I:$I,'11月数据源'!$D:$D,$E160,'11月数据源'!$F:$F,"杭州实时查科技有限公司")+SUMIFS('11月数据源'!$J:$J,'11月数据源'!$D:$D,$E160,'11月数据源'!$F:$F,"杭州实时查科技有限公司")</f>
        <v/>
      </c>
      <c r="Q160" s="89">
        <f>-SUMIFS('12月数据源'!$I:$I,'12月数据源'!$D:$D,$E160,'12月数据源'!$F:$F,"杭州实时查科技有限公司")+SUMIFS('12月数据源'!$J:$J,'12月数据源'!$D:$D,$E160,'12月数据源'!$F:$F,"杭州实时查科技有限公司")</f>
        <v/>
      </c>
    </row>
    <row r="161" s="83">
      <c r="A161" s="5" t="inlineStr">
        <is>
          <t>管理费用</t>
        </is>
      </c>
      <c r="B161" s="6" t="inlineStr">
        <is>
          <t>办公费用</t>
        </is>
      </c>
      <c r="D161" s="5" t="inlineStr">
        <is>
          <t>其他办公费用</t>
        </is>
      </c>
      <c r="E161" s="6" t="inlineStr">
        <is>
          <t>Q29010</t>
        </is>
      </c>
      <c r="F161" s="89">
        <f>-SUMIFS('1月数据源'!I:I,'1月数据源'!D:D,E161,'1月数据源'!F:F,"杭州实时查科技有限公司")+SUMIFS('1月数据源'!J:J,'1月数据源'!D:D,E161,'1月数据源'!F:F,"杭州实时查科技有限公司")</f>
        <v/>
      </c>
      <c r="G161" s="89">
        <f>-SUMIFS('2月数据源'!$I:$I,'2月数据源'!$D:$D,$E161,'2月数据源'!$F:$F,"杭州实时查科技有限公司")+SUMIFS('2月数据源'!$J:$J,'2月数据源'!$D:$D,$E161,'2月数据源'!$F:$F,"杭州实时查科技有限公司")</f>
        <v/>
      </c>
      <c r="H161" s="89">
        <f>-SUMIFS('3月数据源'!$I:$I,'3月数据源'!$D:$D,$E161,'3月数据源'!$F:$F,"杭州实时查科技有限公司")+SUMIFS('3月数据源'!$J:$J,'3月数据源'!$D:$D,$E161,'3月数据源'!$F:$F,"杭州实时查科技有限公司")</f>
        <v/>
      </c>
      <c r="I161" s="89">
        <f>-SUMIFS('4月数据源'!$I:$I,'4月数据源'!$D:$D,$E161,'4月数据源'!$F:$F,"杭州实时查科技有限公司")+SUMIFS('4月数据源'!$J:$J,'4月数据源'!$D:$D,$E161,'4月数据源'!$F:$F,"杭州实时查科技有限公司")</f>
        <v/>
      </c>
      <c r="J161" s="89">
        <f>-SUMIFS('5月数据源'!$I:$I,'5月数据源'!$D:$D,$E161,'5月数据源'!$F:$F,"杭州实时查科技有限公司")+SUMIFS('5月数据源'!$J:$J,'5月数据源'!$D:$D,$E161,'5月数据源'!$F:$F,"杭州实时查科技有限公司")</f>
        <v/>
      </c>
      <c r="K161" s="89">
        <f>-SUMIFS('6月数据源'!$I:$I,'6月数据源'!$D:$D,$E161,'6月数据源'!$F:$F,"杭州实时查科技有限公司")+SUMIFS('6月数据源'!$J:$J,'6月数据源'!$D:$D,$E161,'6月数据源'!$F:$F,"杭州实时查科技有限公司")</f>
        <v/>
      </c>
      <c r="L161" s="89">
        <f>-SUMIFS('7月数据源'!$I:$I,'7月数据源'!$D:$D,$E161,'7月数据源'!$F:$F,"杭州实时查科技有限公司")+SUMIFS('7月数据源'!$J:$J,'7月数据源'!$D:$D,$E161,'7月数据源'!$F:$F,"杭州实时查科技有限公司")</f>
        <v/>
      </c>
      <c r="M161" s="89">
        <f>-SUMIFS('8月数据源'!$I:$I,'8月数据源'!$D:$D,$E161,'8月数据源'!$F:$F,"杭州实时查科技有限公司")+SUMIFS('8月数据源'!$J:$J,'8月数据源'!$D:$D,$E161,'8月数据源'!$F:$F,"杭州实时查科技有限公司")</f>
        <v/>
      </c>
      <c r="N161" s="89">
        <f>-SUMIFS('9月数据源'!$I:$I,'9月数据源'!$D:$D,$E161,'9月数据源'!$F:$F,"杭州实时查科技有限公司")+SUMIFS('9月数据源'!$J:$J,'9月数据源'!$D:$D,$E161,'9月数据源'!$F:$F,"杭州实时查科技有限公司")</f>
        <v/>
      </c>
      <c r="O161" s="89">
        <f>-SUMIFS('10月数据源'!$I:$I,'10月数据源'!$D:$D,$E161,'10月数据源'!$F:$F,"杭州实时查科技有限公司")+SUMIFS('10月数据源'!$J:$J,'10月数据源'!$D:$D,$E161,'10月数据源'!$F:$F,"杭州实时查科技有限公司")</f>
        <v/>
      </c>
      <c r="P161" s="89">
        <f>-SUMIFS('11月数据源'!$I:$I,'11月数据源'!$D:$D,$E161,'11月数据源'!$F:$F,"杭州实时查科技有限公司")+SUMIFS('11月数据源'!$J:$J,'11月数据源'!$D:$D,$E161,'11月数据源'!$F:$F,"杭州实时查科技有限公司")</f>
        <v/>
      </c>
      <c r="Q161" s="89">
        <f>-SUMIFS('12月数据源'!$I:$I,'12月数据源'!$D:$D,$E161,'12月数据源'!$F:$F,"杭州实时查科技有限公司")+SUMIFS('12月数据源'!$J:$J,'12月数据源'!$D:$D,$E161,'12月数据源'!$F:$F,"杭州实时查科技有限公司")</f>
        <v/>
      </c>
    </row>
    <row r="162" s="83">
      <c r="A162" s="49" t="inlineStr">
        <is>
          <t>管理费用合计</t>
        </is>
      </c>
      <c r="B162" s="50" t="n"/>
      <c r="C162" s="50" t="n"/>
      <c r="D162" s="49" t="n"/>
      <c r="E162" s="49" t="n"/>
      <c r="F162" s="89">
        <f>SUM(F138:F161)</f>
        <v/>
      </c>
      <c r="G162" s="89">
        <f>SUM(G138:G161)</f>
        <v/>
      </c>
      <c r="H162" s="89">
        <f>SUM(H138:H161)</f>
        <v/>
      </c>
      <c r="I162" s="89">
        <f>SUM(I138:I161)</f>
        <v/>
      </c>
      <c r="J162" s="89">
        <f>SUM(J138:J161)</f>
        <v/>
      </c>
      <c r="K162" s="89">
        <f>SUM(K138:K161)</f>
        <v/>
      </c>
      <c r="L162" s="89">
        <f>SUM(L138:L161)</f>
        <v/>
      </c>
      <c r="M162" s="89">
        <f>SUM(M138:M161)</f>
        <v/>
      </c>
      <c r="N162" s="89">
        <f>SUM(N138:N161)</f>
        <v/>
      </c>
      <c r="O162" s="89">
        <f>SUM(O138:O161)</f>
        <v/>
      </c>
      <c r="P162" s="89">
        <f>SUM(P138:P161)</f>
        <v/>
      </c>
      <c r="Q162" s="89">
        <f>SUM(Q138:Q161)</f>
        <v/>
      </c>
    </row>
    <row r="163" s="83">
      <c r="A163" s="5" t="inlineStr">
        <is>
          <t>税费成本</t>
        </is>
      </c>
      <c r="B163" s="6" t="inlineStr">
        <is>
          <t>税费成本</t>
        </is>
      </c>
      <c r="C163" s="6" t="inlineStr">
        <is>
          <t>税费成本</t>
        </is>
      </c>
      <c r="D163" s="5" t="inlineStr">
        <is>
          <t>增值税</t>
        </is>
      </c>
      <c r="E163" s="6" t="inlineStr">
        <is>
          <t>Q3001</t>
        </is>
      </c>
      <c r="F163" s="89">
        <f>-SUMIFS('1月数据源'!I:I,'1月数据源'!D:D,E163,'1月数据源'!F:F,"杭州实时查科技有限公司")+SUMIFS('1月数据源'!J:J,'1月数据源'!D:D,E163,'1月数据源'!F:F,"杭州实时查科技有限公司")</f>
        <v/>
      </c>
      <c r="G163" s="89">
        <f>-SUMIFS('2月数据源'!$I:$I,'2月数据源'!$D:$D,$E163,'2月数据源'!$F:$F,"杭州实时查科技有限公司")+SUMIFS('2月数据源'!$J:$J,'2月数据源'!$D:$D,$E163,'2月数据源'!$F:$F,"杭州实时查科技有限公司")</f>
        <v/>
      </c>
      <c r="H163" s="89">
        <f>-SUMIFS('3月数据源'!$I:$I,'3月数据源'!$D:$D,$E163,'3月数据源'!$F:$F,"杭州实时查科技有限公司")+SUMIFS('3月数据源'!$J:$J,'3月数据源'!$D:$D,$E163,'3月数据源'!$F:$F,"杭州实时查科技有限公司")</f>
        <v/>
      </c>
      <c r="I163" s="89">
        <f>-SUMIFS('4月数据源'!$I:$I,'4月数据源'!$D:$D,$E163,'4月数据源'!$F:$F,"杭州实时查科技有限公司")+SUMIFS('4月数据源'!$J:$J,'4月数据源'!$D:$D,$E163,'4月数据源'!$F:$F,"杭州实时查科技有限公司")</f>
        <v/>
      </c>
      <c r="J163" s="89">
        <f>-SUMIFS('5月数据源'!$I:$I,'5月数据源'!$D:$D,$E163,'5月数据源'!$F:$F,"杭州实时查科技有限公司")+SUMIFS('5月数据源'!$J:$J,'5月数据源'!$D:$D,$E163,'5月数据源'!$F:$F,"杭州实时查科技有限公司")</f>
        <v/>
      </c>
      <c r="K163" s="89">
        <f>-SUMIFS('6月数据源'!$I:$I,'6月数据源'!$D:$D,$E163,'6月数据源'!$F:$F,"杭州实时查科技有限公司")+SUMIFS('6月数据源'!$J:$J,'6月数据源'!$D:$D,$E163,'6月数据源'!$F:$F,"杭州实时查科技有限公司")</f>
        <v/>
      </c>
      <c r="L163" s="89">
        <f>-SUMIFS('7月数据源'!$I:$I,'7月数据源'!$D:$D,$E163,'7月数据源'!$F:$F,"杭州实时查科技有限公司")+SUMIFS('7月数据源'!$J:$J,'7月数据源'!$D:$D,$E163,'7月数据源'!$F:$F,"杭州实时查科技有限公司")</f>
        <v/>
      </c>
      <c r="M163" s="89">
        <f>-SUMIFS('8月数据源'!$I:$I,'8月数据源'!$D:$D,$E163,'8月数据源'!$F:$F,"杭州实时查科技有限公司")+SUMIFS('8月数据源'!$J:$J,'8月数据源'!$D:$D,$E163,'8月数据源'!$F:$F,"杭州实时查科技有限公司")</f>
        <v/>
      </c>
      <c r="N163" s="89">
        <f>-SUMIFS('9月数据源'!$I:$I,'9月数据源'!$D:$D,$E163,'9月数据源'!$F:$F,"杭州实时查科技有限公司")+SUMIFS('9月数据源'!$J:$J,'9月数据源'!$D:$D,$E163,'9月数据源'!$F:$F,"杭州实时查科技有限公司")</f>
        <v/>
      </c>
      <c r="O163" s="89">
        <f>-SUMIFS('10月数据源'!$I:$I,'10月数据源'!$D:$D,$E163,'10月数据源'!$F:$F,"杭州实时查科技有限公司")+SUMIFS('10月数据源'!$J:$J,'10月数据源'!$D:$D,$E163,'10月数据源'!$F:$F,"杭州实时查科技有限公司")</f>
        <v/>
      </c>
      <c r="P163" s="89">
        <f>-SUMIFS('11月数据源'!$I:$I,'11月数据源'!$D:$D,$E163,'11月数据源'!$F:$F,"杭州实时查科技有限公司")+SUMIFS('11月数据源'!$J:$J,'11月数据源'!$D:$D,$E163,'11月数据源'!$F:$F,"杭州实时查科技有限公司")</f>
        <v/>
      </c>
      <c r="Q163" s="89">
        <f>-SUMIFS('12月数据源'!$I:$I,'12月数据源'!$D:$D,$E163,'12月数据源'!$F:$F,"杭州实时查科技有限公司")+SUMIFS('12月数据源'!$J:$J,'12月数据源'!$D:$D,$E163,'12月数据源'!$F:$F,"杭州实时查科技有限公司")</f>
        <v/>
      </c>
    </row>
    <row r="164" s="83">
      <c r="A164" s="5" t="inlineStr">
        <is>
          <t>税费成本</t>
        </is>
      </c>
      <c r="B164" s="6" t="inlineStr">
        <is>
          <t>税费成本</t>
        </is>
      </c>
      <c r="D164" s="5" t="inlineStr">
        <is>
          <t>附加税</t>
        </is>
      </c>
      <c r="E164" s="6" t="inlineStr">
        <is>
          <t>Q3002</t>
        </is>
      </c>
      <c r="F164" s="89">
        <f>-SUMIFS('1月数据源'!I:I,'1月数据源'!D:D,E164,'1月数据源'!F:F,"杭州实时查科技有限公司")+SUMIFS('1月数据源'!J:J,'1月数据源'!D:D,E164,'1月数据源'!F:F,"杭州实时查科技有限公司")</f>
        <v/>
      </c>
      <c r="G164" s="89">
        <f>-SUMIFS('2月数据源'!$I:$I,'2月数据源'!$D:$D,$E164,'2月数据源'!$F:$F,"杭州实时查科技有限公司")+SUMIFS('2月数据源'!$J:$J,'2月数据源'!$D:$D,$E164,'2月数据源'!$F:$F,"杭州实时查科技有限公司")</f>
        <v/>
      </c>
      <c r="H164" s="89">
        <f>-SUMIFS('3月数据源'!$I:$I,'3月数据源'!$D:$D,$E164,'3月数据源'!$F:$F,"杭州实时查科技有限公司")+SUMIFS('3月数据源'!$J:$J,'3月数据源'!$D:$D,$E164,'3月数据源'!$F:$F,"杭州实时查科技有限公司")</f>
        <v/>
      </c>
      <c r="I164" s="89">
        <f>-SUMIFS('4月数据源'!$I:$I,'4月数据源'!$D:$D,$E164,'4月数据源'!$F:$F,"杭州实时查科技有限公司")+SUMIFS('4月数据源'!$J:$J,'4月数据源'!$D:$D,$E164,'4月数据源'!$F:$F,"杭州实时查科技有限公司")</f>
        <v/>
      </c>
      <c r="J164" s="89">
        <f>-SUMIFS('5月数据源'!$I:$I,'5月数据源'!$D:$D,$E164,'5月数据源'!$F:$F,"杭州实时查科技有限公司")+SUMIFS('5月数据源'!$J:$J,'5月数据源'!$D:$D,$E164,'5月数据源'!$F:$F,"杭州实时查科技有限公司")</f>
        <v/>
      </c>
      <c r="K164" s="89">
        <f>-SUMIFS('6月数据源'!$I:$I,'6月数据源'!$D:$D,$E164,'6月数据源'!$F:$F,"杭州实时查科技有限公司")+SUMIFS('6月数据源'!$J:$J,'6月数据源'!$D:$D,$E164,'6月数据源'!$F:$F,"杭州实时查科技有限公司")</f>
        <v/>
      </c>
      <c r="L164" s="89">
        <f>-SUMIFS('7月数据源'!$I:$I,'7月数据源'!$D:$D,$E164,'7月数据源'!$F:$F,"杭州实时查科技有限公司")+SUMIFS('7月数据源'!$J:$J,'7月数据源'!$D:$D,$E164,'7月数据源'!$F:$F,"杭州实时查科技有限公司")</f>
        <v/>
      </c>
      <c r="M164" s="89">
        <f>-SUMIFS('8月数据源'!$I:$I,'8月数据源'!$D:$D,$E164,'8月数据源'!$F:$F,"杭州实时查科技有限公司")+SUMIFS('8月数据源'!$J:$J,'8月数据源'!$D:$D,$E164,'8月数据源'!$F:$F,"杭州实时查科技有限公司")</f>
        <v/>
      </c>
      <c r="N164" s="89">
        <f>-SUMIFS('9月数据源'!$I:$I,'9月数据源'!$D:$D,$E164,'9月数据源'!$F:$F,"杭州实时查科技有限公司")+SUMIFS('9月数据源'!$J:$J,'9月数据源'!$D:$D,$E164,'9月数据源'!$F:$F,"杭州实时查科技有限公司")</f>
        <v/>
      </c>
      <c r="O164" s="89">
        <f>-SUMIFS('10月数据源'!$I:$I,'10月数据源'!$D:$D,$E164,'10月数据源'!$F:$F,"杭州实时查科技有限公司")+SUMIFS('10月数据源'!$J:$J,'10月数据源'!$D:$D,$E164,'10月数据源'!$F:$F,"杭州实时查科技有限公司")</f>
        <v/>
      </c>
      <c r="P164" s="89">
        <f>-SUMIFS('11月数据源'!$I:$I,'11月数据源'!$D:$D,$E164,'11月数据源'!$F:$F,"杭州实时查科技有限公司")+SUMIFS('11月数据源'!$J:$J,'11月数据源'!$D:$D,$E164,'11月数据源'!$F:$F,"杭州实时查科技有限公司")</f>
        <v/>
      </c>
      <c r="Q164" s="89">
        <f>-SUMIFS('12月数据源'!$I:$I,'12月数据源'!$D:$D,$E164,'12月数据源'!$F:$F,"杭州实时查科技有限公司")+SUMIFS('12月数据源'!$J:$J,'12月数据源'!$D:$D,$E164,'12月数据源'!$F:$F,"杭州实时查科技有限公司")</f>
        <v/>
      </c>
    </row>
    <row r="165" s="83">
      <c r="A165" s="5" t="inlineStr">
        <is>
          <t>税费成本</t>
        </is>
      </c>
      <c r="B165" s="6" t="inlineStr">
        <is>
          <t>税费成本</t>
        </is>
      </c>
      <c r="D165" s="5" t="inlineStr">
        <is>
          <t>印花税</t>
        </is>
      </c>
      <c r="E165" s="6" t="inlineStr">
        <is>
          <t>Q3003</t>
        </is>
      </c>
      <c r="F165" s="89">
        <f>-SUMIFS('1月数据源'!I:I,'1月数据源'!D:D,E165,'1月数据源'!F:F,"杭州实时查科技有限公司")+SUMIFS('1月数据源'!J:J,'1月数据源'!D:D,E165,'1月数据源'!F:F,"杭州实时查科技有限公司")</f>
        <v/>
      </c>
      <c r="G165" s="89">
        <f>-SUMIFS('2月数据源'!$I:$I,'2月数据源'!$D:$D,$E165,'2月数据源'!$F:$F,"杭州实时查科技有限公司")+SUMIFS('2月数据源'!$J:$J,'2月数据源'!$D:$D,$E165,'2月数据源'!$F:$F,"杭州实时查科技有限公司")</f>
        <v/>
      </c>
      <c r="H165" s="89">
        <f>-SUMIFS('3月数据源'!$I:$I,'3月数据源'!$D:$D,$E165,'3月数据源'!$F:$F,"杭州实时查科技有限公司")+SUMIFS('3月数据源'!$J:$J,'3月数据源'!$D:$D,$E165,'3月数据源'!$F:$F,"杭州实时查科技有限公司")</f>
        <v/>
      </c>
      <c r="I165" s="89">
        <f>-SUMIFS('4月数据源'!$I:$I,'4月数据源'!$D:$D,$E165,'4月数据源'!$F:$F,"杭州实时查科技有限公司")+SUMIFS('4月数据源'!$J:$J,'4月数据源'!$D:$D,$E165,'4月数据源'!$F:$F,"杭州实时查科技有限公司")</f>
        <v/>
      </c>
      <c r="J165" s="89">
        <f>-SUMIFS('5月数据源'!$I:$I,'5月数据源'!$D:$D,$E165,'5月数据源'!$F:$F,"杭州实时查科技有限公司")+SUMIFS('5月数据源'!$J:$J,'5月数据源'!$D:$D,$E165,'5月数据源'!$F:$F,"杭州实时查科技有限公司")</f>
        <v/>
      </c>
      <c r="K165" s="89">
        <f>-SUMIFS('6月数据源'!$I:$I,'6月数据源'!$D:$D,$E165,'6月数据源'!$F:$F,"杭州实时查科技有限公司")+SUMIFS('6月数据源'!$J:$J,'6月数据源'!$D:$D,$E165,'6月数据源'!$F:$F,"杭州实时查科技有限公司")</f>
        <v/>
      </c>
      <c r="L165" s="89">
        <f>-SUMIFS('7月数据源'!$I:$I,'7月数据源'!$D:$D,$E165,'7月数据源'!$F:$F,"杭州实时查科技有限公司")+SUMIFS('7月数据源'!$J:$J,'7月数据源'!$D:$D,$E165,'7月数据源'!$F:$F,"杭州实时查科技有限公司")</f>
        <v/>
      </c>
      <c r="M165" s="89">
        <f>-SUMIFS('8月数据源'!$I:$I,'8月数据源'!$D:$D,$E165,'8月数据源'!$F:$F,"杭州实时查科技有限公司")+SUMIFS('8月数据源'!$J:$J,'8月数据源'!$D:$D,$E165,'8月数据源'!$F:$F,"杭州实时查科技有限公司")</f>
        <v/>
      </c>
      <c r="N165" s="89">
        <f>-SUMIFS('9月数据源'!$I:$I,'9月数据源'!$D:$D,$E165,'9月数据源'!$F:$F,"杭州实时查科技有限公司")+SUMIFS('9月数据源'!$J:$J,'9月数据源'!$D:$D,$E165,'9月数据源'!$F:$F,"杭州实时查科技有限公司")</f>
        <v/>
      </c>
      <c r="O165" s="89">
        <f>-SUMIFS('10月数据源'!$I:$I,'10月数据源'!$D:$D,$E165,'10月数据源'!$F:$F,"杭州实时查科技有限公司")+SUMIFS('10月数据源'!$J:$J,'10月数据源'!$D:$D,$E165,'10月数据源'!$F:$F,"杭州实时查科技有限公司")</f>
        <v/>
      </c>
      <c r="P165" s="89">
        <f>-SUMIFS('11月数据源'!$I:$I,'11月数据源'!$D:$D,$E165,'11月数据源'!$F:$F,"杭州实时查科技有限公司")+SUMIFS('11月数据源'!$J:$J,'11月数据源'!$D:$D,$E165,'11月数据源'!$F:$F,"杭州实时查科技有限公司")</f>
        <v/>
      </c>
      <c r="Q165" s="89">
        <f>-SUMIFS('12月数据源'!$I:$I,'12月数据源'!$D:$D,$E165,'12月数据源'!$F:$F,"杭州实时查科技有限公司")+SUMIFS('12月数据源'!$J:$J,'12月数据源'!$D:$D,$E165,'12月数据源'!$F:$F,"杭州实时查科技有限公司")</f>
        <v/>
      </c>
    </row>
    <row r="166" s="83">
      <c r="A166" s="5" t="inlineStr">
        <is>
          <t>税费成本</t>
        </is>
      </c>
      <c r="B166" s="6" t="inlineStr">
        <is>
          <t>税费成本</t>
        </is>
      </c>
      <c r="D166" s="5" t="inlineStr">
        <is>
          <t>企业所得税</t>
        </is>
      </c>
      <c r="E166" s="6" t="inlineStr">
        <is>
          <t>Q3004</t>
        </is>
      </c>
      <c r="F166" s="89">
        <f>-SUMIFS('1月数据源'!I:I,'1月数据源'!D:D,E166,'1月数据源'!F:F,"杭州实时查科技有限公司")+SUMIFS('1月数据源'!J:J,'1月数据源'!D:D,E166,'1月数据源'!F:F,"杭州实时查科技有限公司")</f>
        <v/>
      </c>
      <c r="G166" s="89">
        <f>-SUMIFS('2月数据源'!$I:$I,'2月数据源'!$D:$D,$E166,'2月数据源'!$F:$F,"杭州实时查科技有限公司")+SUMIFS('2月数据源'!$J:$J,'2月数据源'!$D:$D,$E166,'2月数据源'!$F:$F,"杭州实时查科技有限公司")</f>
        <v/>
      </c>
      <c r="H166" s="89">
        <f>-SUMIFS('3月数据源'!$I:$I,'3月数据源'!$D:$D,$E166,'3月数据源'!$F:$F,"杭州实时查科技有限公司")+SUMIFS('3月数据源'!$J:$J,'3月数据源'!$D:$D,$E166,'3月数据源'!$F:$F,"杭州实时查科技有限公司")</f>
        <v/>
      </c>
      <c r="I166" s="89">
        <f>-SUMIFS('4月数据源'!$I:$I,'4月数据源'!$D:$D,$E166,'4月数据源'!$F:$F,"杭州实时查科技有限公司")+SUMIFS('4月数据源'!$J:$J,'4月数据源'!$D:$D,$E166,'4月数据源'!$F:$F,"杭州实时查科技有限公司")</f>
        <v/>
      </c>
      <c r="J166" s="89">
        <f>-SUMIFS('5月数据源'!$I:$I,'5月数据源'!$D:$D,$E166,'5月数据源'!$F:$F,"杭州实时查科技有限公司")+SUMIFS('5月数据源'!$J:$J,'5月数据源'!$D:$D,$E166,'5月数据源'!$F:$F,"杭州实时查科技有限公司")</f>
        <v/>
      </c>
      <c r="K166" s="89">
        <f>-SUMIFS('6月数据源'!$I:$I,'6月数据源'!$D:$D,$E166,'6月数据源'!$F:$F,"杭州实时查科技有限公司")+SUMIFS('6月数据源'!$J:$J,'6月数据源'!$D:$D,$E166,'6月数据源'!$F:$F,"杭州实时查科技有限公司")</f>
        <v/>
      </c>
      <c r="L166" s="89">
        <f>-SUMIFS('7月数据源'!$I:$I,'7月数据源'!$D:$D,$E166,'7月数据源'!$F:$F,"杭州实时查科技有限公司")+SUMIFS('7月数据源'!$J:$J,'7月数据源'!$D:$D,$E166,'7月数据源'!$F:$F,"杭州实时查科技有限公司")</f>
        <v/>
      </c>
      <c r="M166" s="89">
        <f>-SUMIFS('8月数据源'!$I:$I,'8月数据源'!$D:$D,$E166,'8月数据源'!$F:$F,"杭州实时查科技有限公司")+SUMIFS('8月数据源'!$J:$J,'8月数据源'!$D:$D,$E166,'8月数据源'!$F:$F,"杭州实时查科技有限公司")</f>
        <v/>
      </c>
      <c r="N166" s="89">
        <f>-SUMIFS('9月数据源'!$I:$I,'9月数据源'!$D:$D,$E166,'9月数据源'!$F:$F,"杭州实时查科技有限公司")+SUMIFS('9月数据源'!$J:$J,'9月数据源'!$D:$D,$E166,'9月数据源'!$F:$F,"杭州实时查科技有限公司")</f>
        <v/>
      </c>
      <c r="O166" s="89">
        <f>-SUMIFS('10月数据源'!$I:$I,'10月数据源'!$D:$D,$E166,'10月数据源'!$F:$F,"杭州实时查科技有限公司")+SUMIFS('10月数据源'!$J:$J,'10月数据源'!$D:$D,$E166,'10月数据源'!$F:$F,"杭州实时查科技有限公司")</f>
        <v/>
      </c>
      <c r="P166" s="89">
        <f>-SUMIFS('11月数据源'!$I:$I,'11月数据源'!$D:$D,$E166,'11月数据源'!$F:$F,"杭州实时查科技有限公司")+SUMIFS('11月数据源'!$J:$J,'11月数据源'!$D:$D,$E166,'11月数据源'!$F:$F,"杭州实时查科技有限公司")</f>
        <v/>
      </c>
      <c r="Q166" s="89">
        <f>-SUMIFS('12月数据源'!$I:$I,'12月数据源'!$D:$D,$E166,'12月数据源'!$F:$F,"杭州实时查科技有限公司")+SUMIFS('12月数据源'!$J:$J,'12月数据源'!$D:$D,$E166,'12月数据源'!$F:$F,"杭州实时查科技有限公司")</f>
        <v/>
      </c>
    </row>
    <row r="167" s="83">
      <c r="A167" s="49" t="inlineStr">
        <is>
          <t>税费成本合计</t>
        </is>
      </c>
      <c r="B167" s="50" t="n"/>
      <c r="C167" s="50" t="n"/>
      <c r="D167" s="49" t="n"/>
      <c r="E167" s="49" t="n"/>
      <c r="F167" s="89">
        <f>SUM(F163:F166)</f>
        <v/>
      </c>
      <c r="G167" s="89">
        <f>SUM(G163:G166)</f>
        <v/>
      </c>
      <c r="H167" s="89">
        <f>SUM(H163:H166)</f>
        <v/>
      </c>
      <c r="I167" s="89">
        <f>SUM(I163:I166)</f>
        <v/>
      </c>
      <c r="J167" s="89">
        <f>SUM(J163:J166)</f>
        <v/>
      </c>
      <c r="K167" s="89">
        <f>SUM(K163:K166)</f>
        <v/>
      </c>
      <c r="L167" s="89">
        <f>SUM(L163:L166)</f>
        <v/>
      </c>
      <c r="M167" s="89">
        <f>SUM(M163:M166)</f>
        <v/>
      </c>
      <c r="N167" s="89">
        <f>SUM(N163:N166)</f>
        <v/>
      </c>
      <c r="O167" s="89">
        <f>SUM(O163:O166)</f>
        <v/>
      </c>
      <c r="P167" s="89">
        <f>SUM(P163:P166)</f>
        <v/>
      </c>
      <c r="Q167" s="89">
        <f>SUM(Q163:Q166)</f>
        <v/>
      </c>
    </row>
    <row r="168" s="83">
      <c r="A168" s="5" t="inlineStr">
        <is>
          <t>营业外支出</t>
        </is>
      </c>
      <c r="B168" s="6" t="inlineStr">
        <is>
          <t>营业外支出</t>
        </is>
      </c>
      <c r="C168" s="34" t="inlineStr">
        <is>
          <t>营业外支出</t>
        </is>
      </c>
      <c r="D168" s="5" t="inlineStr">
        <is>
          <t>手续费</t>
        </is>
      </c>
      <c r="E168" s="6" t="inlineStr">
        <is>
          <t>Q3101</t>
        </is>
      </c>
      <c r="F168" s="89">
        <f>-SUMIFS('1月数据源'!I:I,'1月数据源'!D:D,E168,'1月数据源'!F:F,"杭州实时查科技有限公司")+SUMIFS('1月数据源'!J:J,'1月数据源'!D:D,E168,'1月数据源'!F:F,"杭州实时查科技有限公司")</f>
        <v/>
      </c>
      <c r="G168" s="89">
        <f>-SUMIFS('2月数据源'!$I:$I,'2月数据源'!$D:$D,$E168,'2月数据源'!$F:$F,"杭州实时查科技有限公司")+SUMIFS('2月数据源'!$J:$J,'2月数据源'!$D:$D,$E168,'2月数据源'!$F:$F,"杭州实时查科技有限公司")</f>
        <v/>
      </c>
      <c r="H168" s="89">
        <f>-SUMIFS('3月数据源'!$I:$I,'3月数据源'!$D:$D,$E168,'3月数据源'!$F:$F,"杭州实时查科技有限公司")+SUMIFS('3月数据源'!$J:$J,'3月数据源'!$D:$D,$E168,'3月数据源'!$F:$F,"杭州实时查科技有限公司")</f>
        <v/>
      </c>
      <c r="I168" s="89">
        <f>-SUMIFS('4月数据源'!$I:$I,'4月数据源'!$D:$D,$E168,'4月数据源'!$F:$F,"杭州实时查科技有限公司")+SUMIFS('4月数据源'!$J:$J,'4月数据源'!$D:$D,$E168,'4月数据源'!$F:$F,"杭州实时查科技有限公司")</f>
        <v/>
      </c>
      <c r="J168" s="89">
        <f>-SUMIFS('5月数据源'!$I:$I,'5月数据源'!$D:$D,$E168,'5月数据源'!$F:$F,"杭州实时查科技有限公司")+SUMIFS('5月数据源'!$J:$J,'5月数据源'!$D:$D,$E168,'5月数据源'!$F:$F,"杭州实时查科技有限公司")</f>
        <v/>
      </c>
      <c r="K168" s="89">
        <f>-SUMIFS('6月数据源'!$I:$I,'6月数据源'!$D:$D,$E168,'6月数据源'!$F:$F,"杭州实时查科技有限公司")+SUMIFS('6月数据源'!$J:$J,'6月数据源'!$D:$D,$E168,'6月数据源'!$F:$F,"杭州实时查科技有限公司")</f>
        <v/>
      </c>
      <c r="L168" s="89">
        <f>-SUMIFS('7月数据源'!$I:$I,'7月数据源'!$D:$D,$E168,'7月数据源'!$F:$F,"杭州实时查科技有限公司")+SUMIFS('7月数据源'!$J:$J,'7月数据源'!$D:$D,$E168,'7月数据源'!$F:$F,"杭州实时查科技有限公司")</f>
        <v/>
      </c>
      <c r="M168" s="89">
        <f>-SUMIFS('8月数据源'!$I:$I,'8月数据源'!$D:$D,$E168,'8月数据源'!$F:$F,"杭州实时查科技有限公司")+SUMIFS('8月数据源'!$J:$J,'8月数据源'!$D:$D,$E168,'8月数据源'!$F:$F,"杭州实时查科技有限公司")</f>
        <v/>
      </c>
      <c r="N168" s="89">
        <f>-SUMIFS('9月数据源'!$I:$I,'9月数据源'!$D:$D,$E168,'9月数据源'!$F:$F,"杭州实时查科技有限公司")+SUMIFS('9月数据源'!$J:$J,'9月数据源'!$D:$D,$E168,'9月数据源'!$F:$F,"杭州实时查科技有限公司")</f>
        <v/>
      </c>
      <c r="O168" s="89">
        <f>-SUMIFS('10月数据源'!$I:$I,'10月数据源'!$D:$D,$E168,'10月数据源'!$F:$F,"杭州实时查科技有限公司")+SUMIFS('10月数据源'!$J:$J,'10月数据源'!$D:$D,$E168,'10月数据源'!$F:$F,"杭州实时查科技有限公司")</f>
        <v/>
      </c>
      <c r="P168" s="89">
        <f>-SUMIFS('11月数据源'!$I:$I,'11月数据源'!$D:$D,$E168,'11月数据源'!$F:$F,"杭州实时查科技有限公司")+SUMIFS('11月数据源'!$J:$J,'11月数据源'!$D:$D,$E168,'11月数据源'!$F:$F,"杭州实时查科技有限公司")</f>
        <v/>
      </c>
      <c r="Q168" s="89">
        <f>-SUMIFS('12月数据源'!$I:$I,'12月数据源'!$D:$D,$E168,'12月数据源'!$F:$F,"杭州实时查科技有限公司")+SUMIFS('12月数据源'!$J:$J,'12月数据源'!$D:$D,$E168,'12月数据源'!$F:$F,"杭州实时查科技有限公司")</f>
        <v/>
      </c>
    </row>
    <row r="169" s="83">
      <c r="A169" s="5" t="inlineStr">
        <is>
          <t>营业外支出</t>
        </is>
      </c>
      <c r="B169" s="6" t="inlineStr">
        <is>
          <t>营业外支出</t>
        </is>
      </c>
      <c r="D169" s="5" t="inlineStr">
        <is>
          <t>罚款支出</t>
        </is>
      </c>
      <c r="E169" s="6" t="inlineStr">
        <is>
          <t>Q3102</t>
        </is>
      </c>
      <c r="F169" s="89">
        <f>-SUMIFS('1月数据源'!I:I,'1月数据源'!D:D,E169,'1月数据源'!F:F,"杭州实时查科技有限公司")+SUMIFS('1月数据源'!J:J,'1月数据源'!D:D,E169,'1月数据源'!F:F,"杭州实时查科技有限公司")</f>
        <v/>
      </c>
      <c r="G169" s="89">
        <f>-SUMIFS('2月数据源'!$I:$I,'2月数据源'!$D:$D,$E169,'2月数据源'!$F:$F,"杭州实时查科技有限公司")+SUMIFS('2月数据源'!$J:$J,'2月数据源'!$D:$D,$E169,'2月数据源'!$F:$F,"杭州实时查科技有限公司")</f>
        <v/>
      </c>
      <c r="H169" s="89">
        <f>-SUMIFS('3月数据源'!$I:$I,'3月数据源'!$D:$D,$E169,'3月数据源'!$F:$F,"杭州实时查科技有限公司")+SUMIFS('3月数据源'!$J:$J,'3月数据源'!$D:$D,$E169,'3月数据源'!$F:$F,"杭州实时查科技有限公司")</f>
        <v/>
      </c>
      <c r="I169" s="89">
        <f>-SUMIFS('4月数据源'!$I:$I,'4月数据源'!$D:$D,$E169,'4月数据源'!$F:$F,"杭州实时查科技有限公司")+SUMIFS('4月数据源'!$J:$J,'4月数据源'!$D:$D,$E169,'4月数据源'!$F:$F,"杭州实时查科技有限公司")</f>
        <v/>
      </c>
      <c r="J169" s="89">
        <f>-SUMIFS('5月数据源'!$I:$I,'5月数据源'!$D:$D,$E169,'5月数据源'!$F:$F,"杭州实时查科技有限公司")+SUMIFS('5月数据源'!$J:$J,'5月数据源'!$D:$D,$E169,'5月数据源'!$F:$F,"杭州实时查科技有限公司")</f>
        <v/>
      </c>
      <c r="K169" s="89">
        <f>-SUMIFS('6月数据源'!$I:$I,'6月数据源'!$D:$D,$E169,'6月数据源'!$F:$F,"杭州实时查科技有限公司")+SUMIFS('6月数据源'!$J:$J,'6月数据源'!$D:$D,$E169,'6月数据源'!$F:$F,"杭州实时查科技有限公司")</f>
        <v/>
      </c>
      <c r="L169" s="89">
        <f>-SUMIFS('7月数据源'!$I:$I,'7月数据源'!$D:$D,$E169,'7月数据源'!$F:$F,"杭州实时查科技有限公司")+SUMIFS('7月数据源'!$J:$J,'7月数据源'!$D:$D,$E169,'7月数据源'!$F:$F,"杭州实时查科技有限公司")</f>
        <v/>
      </c>
      <c r="M169" s="89">
        <f>-SUMIFS('8月数据源'!$I:$I,'8月数据源'!$D:$D,$E169,'8月数据源'!$F:$F,"杭州实时查科技有限公司")+SUMIFS('8月数据源'!$J:$J,'8月数据源'!$D:$D,$E169,'8月数据源'!$F:$F,"杭州实时查科技有限公司")</f>
        <v/>
      </c>
      <c r="N169" s="89">
        <f>-SUMIFS('9月数据源'!$I:$I,'9月数据源'!$D:$D,$E169,'9月数据源'!$F:$F,"杭州实时查科技有限公司")+SUMIFS('9月数据源'!$J:$J,'9月数据源'!$D:$D,$E169,'9月数据源'!$F:$F,"杭州实时查科技有限公司")</f>
        <v/>
      </c>
      <c r="O169" s="89">
        <f>-SUMIFS('10月数据源'!$I:$I,'10月数据源'!$D:$D,$E169,'10月数据源'!$F:$F,"杭州实时查科技有限公司")+SUMIFS('10月数据源'!$J:$J,'10月数据源'!$D:$D,$E169,'10月数据源'!$F:$F,"杭州实时查科技有限公司")</f>
        <v/>
      </c>
      <c r="P169" s="89">
        <f>-SUMIFS('11月数据源'!$I:$I,'11月数据源'!$D:$D,$E169,'11月数据源'!$F:$F,"杭州实时查科技有限公司")+SUMIFS('11月数据源'!$J:$J,'11月数据源'!$D:$D,$E169,'11月数据源'!$F:$F,"杭州实时查科技有限公司")</f>
        <v/>
      </c>
      <c r="Q169" s="89">
        <f>-SUMIFS('12月数据源'!$I:$I,'12月数据源'!$D:$D,$E169,'12月数据源'!$F:$F,"杭州实时查科技有限公司")+SUMIFS('12月数据源'!$J:$J,'12月数据源'!$D:$D,$E169,'12月数据源'!$F:$F,"杭州实时查科技有限公司")</f>
        <v/>
      </c>
    </row>
    <row r="170" s="83">
      <c r="A170" s="5" t="inlineStr">
        <is>
          <t>营业外支出</t>
        </is>
      </c>
      <c r="B170" s="6" t="inlineStr">
        <is>
          <t>营业外支出</t>
        </is>
      </c>
      <c r="D170" s="5" t="inlineStr">
        <is>
          <t>违约金支出</t>
        </is>
      </c>
      <c r="E170" s="6" t="inlineStr">
        <is>
          <t>Q3104</t>
        </is>
      </c>
      <c r="F170" s="89">
        <f>-SUMIFS('1月数据源'!I:I,'1月数据源'!D:D,E170,'1月数据源'!F:F,"杭州实时查科技有限公司")+SUMIFS('1月数据源'!J:J,'1月数据源'!D:D,E170,'1月数据源'!F:F,"杭州实时查科技有限公司")</f>
        <v/>
      </c>
      <c r="G170" s="89">
        <f>-SUMIFS('2月数据源'!$I:$I,'2月数据源'!$D:$D,$E170,'2月数据源'!$F:$F,"杭州实时查科技有限公司")+SUMIFS('2月数据源'!$J:$J,'2月数据源'!$D:$D,$E170,'2月数据源'!$F:$F,"杭州实时查科技有限公司")</f>
        <v/>
      </c>
      <c r="H170" s="89">
        <f>-SUMIFS('3月数据源'!$I:$I,'3月数据源'!$D:$D,$E170,'3月数据源'!$F:$F,"杭州实时查科技有限公司")+SUMIFS('3月数据源'!$J:$J,'3月数据源'!$D:$D,$E170,'3月数据源'!$F:$F,"杭州实时查科技有限公司")</f>
        <v/>
      </c>
      <c r="I170" s="89">
        <f>-SUMIFS('4月数据源'!$I:$I,'4月数据源'!$D:$D,$E170,'4月数据源'!$F:$F,"杭州实时查科技有限公司")+SUMIFS('4月数据源'!$J:$J,'4月数据源'!$D:$D,$E170,'4月数据源'!$F:$F,"杭州实时查科技有限公司")</f>
        <v/>
      </c>
      <c r="J170" s="89">
        <f>-SUMIFS('5月数据源'!$I:$I,'5月数据源'!$D:$D,$E170,'5月数据源'!$F:$F,"杭州实时查科技有限公司")+SUMIFS('5月数据源'!$J:$J,'5月数据源'!$D:$D,$E170,'5月数据源'!$F:$F,"杭州实时查科技有限公司")</f>
        <v/>
      </c>
      <c r="K170" s="89">
        <f>-SUMIFS('6月数据源'!$I:$I,'6月数据源'!$D:$D,$E170,'6月数据源'!$F:$F,"杭州实时查科技有限公司")+SUMIFS('6月数据源'!$J:$J,'6月数据源'!$D:$D,$E170,'6月数据源'!$F:$F,"杭州实时查科技有限公司")</f>
        <v/>
      </c>
      <c r="L170" s="89">
        <f>-SUMIFS('7月数据源'!$I:$I,'7月数据源'!$D:$D,$E170,'7月数据源'!$F:$F,"杭州实时查科技有限公司")+SUMIFS('7月数据源'!$J:$J,'7月数据源'!$D:$D,$E170,'7月数据源'!$F:$F,"杭州实时查科技有限公司")</f>
        <v/>
      </c>
      <c r="M170" s="89">
        <f>-SUMIFS('8月数据源'!$I:$I,'8月数据源'!$D:$D,$E170,'8月数据源'!$F:$F,"杭州实时查科技有限公司")+SUMIFS('8月数据源'!$J:$J,'8月数据源'!$D:$D,$E170,'8月数据源'!$F:$F,"杭州实时查科技有限公司")</f>
        <v/>
      </c>
      <c r="N170" s="89">
        <f>-SUMIFS('9月数据源'!$I:$I,'9月数据源'!$D:$D,$E170,'9月数据源'!$F:$F,"杭州实时查科技有限公司")+SUMIFS('9月数据源'!$J:$J,'9月数据源'!$D:$D,$E170,'9月数据源'!$F:$F,"杭州实时查科技有限公司")</f>
        <v/>
      </c>
      <c r="O170" s="89">
        <f>-SUMIFS('10月数据源'!$I:$I,'10月数据源'!$D:$D,$E170,'10月数据源'!$F:$F,"杭州实时查科技有限公司")+SUMIFS('10月数据源'!$J:$J,'10月数据源'!$D:$D,$E170,'10月数据源'!$F:$F,"杭州实时查科技有限公司")</f>
        <v/>
      </c>
      <c r="P170" s="89">
        <f>-SUMIFS('11月数据源'!$I:$I,'11月数据源'!$D:$D,$E170,'11月数据源'!$F:$F,"杭州实时查科技有限公司")+SUMIFS('11月数据源'!$J:$J,'11月数据源'!$D:$D,$E170,'11月数据源'!$F:$F,"杭州实时查科技有限公司")</f>
        <v/>
      </c>
      <c r="Q170" s="89">
        <f>-SUMIFS('12月数据源'!$I:$I,'12月数据源'!$D:$D,$E170,'12月数据源'!$F:$F,"杭州实时查科技有限公司")+SUMIFS('12月数据源'!$J:$J,'12月数据源'!$D:$D,$E170,'12月数据源'!$F:$F,"杭州实时查科技有限公司")</f>
        <v/>
      </c>
    </row>
    <row r="171" s="83">
      <c r="A171" s="5" t="inlineStr">
        <is>
          <t>营业外支出</t>
        </is>
      </c>
      <c r="B171" s="6" t="inlineStr">
        <is>
          <t>营业外支出</t>
        </is>
      </c>
      <c r="D171" s="5" t="inlineStr">
        <is>
          <t>滞纳金支出</t>
        </is>
      </c>
      <c r="E171" s="6" t="inlineStr">
        <is>
          <t>Q3103</t>
        </is>
      </c>
      <c r="F171" s="89">
        <f>-SUMIFS('1月数据源'!I:I,'1月数据源'!D:D,E171,'1月数据源'!F:F,"杭州实时查科技有限公司")+SUMIFS('1月数据源'!J:J,'1月数据源'!D:D,E171,'1月数据源'!F:F,"杭州实时查科技有限公司")</f>
        <v/>
      </c>
      <c r="G171" s="89">
        <f>-SUMIFS('2月数据源'!$I:$I,'2月数据源'!$D:$D,$E171,'2月数据源'!$F:$F,"杭州实时查科技有限公司")+SUMIFS('2月数据源'!$J:$J,'2月数据源'!$D:$D,$E171,'2月数据源'!$F:$F,"杭州实时查科技有限公司")</f>
        <v/>
      </c>
      <c r="H171" s="89">
        <f>-SUMIFS('3月数据源'!$I:$I,'3月数据源'!$D:$D,$E171,'3月数据源'!$F:$F,"杭州实时查科技有限公司")+SUMIFS('3月数据源'!$J:$J,'3月数据源'!$D:$D,$E171,'3月数据源'!$F:$F,"杭州实时查科技有限公司")</f>
        <v/>
      </c>
      <c r="I171" s="89">
        <f>-SUMIFS('4月数据源'!$I:$I,'4月数据源'!$D:$D,$E171,'4月数据源'!$F:$F,"杭州实时查科技有限公司")+SUMIFS('4月数据源'!$J:$J,'4月数据源'!$D:$D,$E171,'4月数据源'!$F:$F,"杭州实时查科技有限公司")</f>
        <v/>
      </c>
      <c r="J171" s="89">
        <f>-SUMIFS('5月数据源'!$I:$I,'5月数据源'!$D:$D,$E171,'5月数据源'!$F:$F,"杭州实时查科技有限公司")+SUMIFS('5月数据源'!$J:$J,'5月数据源'!$D:$D,$E171,'5月数据源'!$F:$F,"杭州实时查科技有限公司")</f>
        <v/>
      </c>
      <c r="K171" s="89">
        <f>-SUMIFS('6月数据源'!$I:$I,'6月数据源'!$D:$D,$E171,'6月数据源'!$F:$F,"杭州实时查科技有限公司")+SUMIFS('6月数据源'!$J:$J,'6月数据源'!$D:$D,$E171,'6月数据源'!$F:$F,"杭州实时查科技有限公司")</f>
        <v/>
      </c>
      <c r="L171" s="89">
        <f>-SUMIFS('7月数据源'!$I:$I,'7月数据源'!$D:$D,$E171,'7月数据源'!$F:$F,"杭州实时查科技有限公司")+SUMIFS('7月数据源'!$J:$J,'7月数据源'!$D:$D,$E171,'7月数据源'!$F:$F,"杭州实时查科技有限公司")</f>
        <v/>
      </c>
      <c r="M171" s="89">
        <f>-SUMIFS('8月数据源'!$I:$I,'8月数据源'!$D:$D,$E171,'8月数据源'!$F:$F,"杭州实时查科技有限公司")+SUMIFS('8月数据源'!$J:$J,'8月数据源'!$D:$D,$E171,'8月数据源'!$F:$F,"杭州实时查科技有限公司")</f>
        <v/>
      </c>
      <c r="N171" s="89">
        <f>-SUMIFS('9月数据源'!$I:$I,'9月数据源'!$D:$D,$E171,'9月数据源'!$F:$F,"杭州实时查科技有限公司")+SUMIFS('9月数据源'!$J:$J,'9月数据源'!$D:$D,$E171,'9月数据源'!$F:$F,"杭州实时查科技有限公司")</f>
        <v/>
      </c>
      <c r="O171" s="89">
        <f>-SUMIFS('10月数据源'!$I:$I,'10月数据源'!$D:$D,$E171,'10月数据源'!$F:$F,"杭州实时查科技有限公司")+SUMIFS('10月数据源'!$J:$J,'10月数据源'!$D:$D,$E171,'10月数据源'!$F:$F,"杭州实时查科技有限公司")</f>
        <v/>
      </c>
      <c r="P171" s="89">
        <f>-SUMIFS('11月数据源'!$I:$I,'11月数据源'!$D:$D,$E171,'11月数据源'!$F:$F,"杭州实时查科技有限公司")+SUMIFS('11月数据源'!$J:$J,'11月数据源'!$D:$D,$E171,'11月数据源'!$F:$F,"杭州实时查科技有限公司")</f>
        <v/>
      </c>
      <c r="Q171" s="89">
        <f>-SUMIFS('12月数据源'!$I:$I,'12月数据源'!$D:$D,$E171,'12月数据源'!$F:$F,"杭州实时查科技有限公司")+SUMIFS('12月数据源'!$J:$J,'12月数据源'!$D:$D,$E171,'12月数据源'!$F:$F,"杭州实时查科技有限公司")</f>
        <v/>
      </c>
    </row>
    <row r="172" s="83">
      <c r="A172" s="5" t="inlineStr">
        <is>
          <t>营业外支出</t>
        </is>
      </c>
      <c r="B172" s="6" t="inlineStr">
        <is>
          <t>营业外支出</t>
        </is>
      </c>
      <c r="D172" s="5" t="inlineStr">
        <is>
          <t>汇兑损益</t>
        </is>
      </c>
      <c r="E172" s="6" t="inlineStr">
        <is>
          <t>Q3105</t>
        </is>
      </c>
      <c r="F172" s="89">
        <f>-SUMIFS('1月数据源'!I:I,'1月数据源'!D:D,E172,'1月数据源'!F:F,"杭州实时查科技有限公司")+SUMIFS('1月数据源'!J:J,'1月数据源'!D:D,E172,'1月数据源'!F:F,"杭州实时查科技有限公司")</f>
        <v/>
      </c>
      <c r="G172" s="89">
        <f>-SUMIFS('2月数据源'!$I:$I,'2月数据源'!$D:$D,$E172,'2月数据源'!$F:$F,"杭州实时查科技有限公司")+SUMIFS('2月数据源'!$J:$J,'2月数据源'!$D:$D,$E172,'2月数据源'!$F:$F,"杭州实时查科技有限公司")</f>
        <v/>
      </c>
      <c r="H172" s="89">
        <f>-SUMIFS('3月数据源'!$I:$I,'3月数据源'!$D:$D,$E172,'3月数据源'!$F:$F,"杭州实时查科技有限公司")+SUMIFS('3月数据源'!$J:$J,'3月数据源'!$D:$D,$E172,'3月数据源'!$F:$F,"杭州实时查科技有限公司")</f>
        <v/>
      </c>
      <c r="I172" s="89">
        <f>-SUMIFS('4月数据源'!$I:$I,'4月数据源'!$D:$D,$E172,'4月数据源'!$F:$F,"杭州实时查科技有限公司")+SUMIFS('4月数据源'!$J:$J,'4月数据源'!$D:$D,$E172,'4月数据源'!$F:$F,"杭州实时查科技有限公司")</f>
        <v/>
      </c>
      <c r="J172" s="89">
        <f>-SUMIFS('5月数据源'!$I:$I,'5月数据源'!$D:$D,$E172,'5月数据源'!$F:$F,"杭州实时查科技有限公司")+SUMIFS('5月数据源'!$J:$J,'5月数据源'!$D:$D,$E172,'5月数据源'!$F:$F,"杭州实时查科技有限公司")</f>
        <v/>
      </c>
      <c r="K172" s="89">
        <f>-SUMIFS('6月数据源'!$I:$I,'6月数据源'!$D:$D,$E172,'6月数据源'!$F:$F,"杭州实时查科技有限公司")+SUMIFS('6月数据源'!$J:$J,'6月数据源'!$D:$D,$E172,'6月数据源'!$F:$F,"杭州实时查科技有限公司")</f>
        <v/>
      </c>
      <c r="L172" s="89">
        <f>-SUMIFS('7月数据源'!$I:$I,'7月数据源'!$D:$D,$E172,'7月数据源'!$F:$F,"杭州实时查科技有限公司")+SUMIFS('7月数据源'!$J:$J,'7月数据源'!$D:$D,$E172,'7月数据源'!$F:$F,"杭州实时查科技有限公司")</f>
        <v/>
      </c>
      <c r="M172" s="89">
        <f>-SUMIFS('8月数据源'!$I:$I,'8月数据源'!$D:$D,$E172,'8月数据源'!$F:$F,"杭州实时查科技有限公司")+SUMIFS('8月数据源'!$J:$J,'8月数据源'!$D:$D,$E172,'8月数据源'!$F:$F,"杭州实时查科技有限公司")</f>
        <v/>
      </c>
      <c r="N172" s="89">
        <f>-SUMIFS('9月数据源'!$I:$I,'9月数据源'!$D:$D,$E172,'9月数据源'!$F:$F,"杭州实时查科技有限公司")+SUMIFS('9月数据源'!$J:$J,'9月数据源'!$D:$D,$E172,'9月数据源'!$F:$F,"杭州实时查科技有限公司")</f>
        <v/>
      </c>
      <c r="O172" s="89">
        <f>-SUMIFS('10月数据源'!$I:$I,'10月数据源'!$D:$D,$E172,'10月数据源'!$F:$F,"杭州实时查科技有限公司")+SUMIFS('10月数据源'!$J:$J,'10月数据源'!$D:$D,$E172,'10月数据源'!$F:$F,"杭州实时查科技有限公司")</f>
        <v/>
      </c>
      <c r="P172" s="89">
        <f>-SUMIFS('11月数据源'!$I:$I,'11月数据源'!$D:$D,$E172,'11月数据源'!$F:$F,"杭州实时查科技有限公司")+SUMIFS('11月数据源'!$J:$J,'11月数据源'!$D:$D,$E172,'11月数据源'!$F:$F,"杭州实时查科技有限公司")</f>
        <v/>
      </c>
      <c r="Q172" s="89">
        <f>-SUMIFS('12月数据源'!$I:$I,'12月数据源'!$D:$D,$E172,'12月数据源'!$F:$F,"杭州实时查科技有限公司")+SUMIFS('12月数据源'!$J:$J,'12月数据源'!$D:$D,$E172,'12月数据源'!$F:$F,"杭州实时查科技有限公司")</f>
        <v/>
      </c>
    </row>
    <row r="173" s="83">
      <c r="A173" s="49" t="inlineStr">
        <is>
          <t>营业外支出合计</t>
        </is>
      </c>
      <c r="B173" s="50" t="n"/>
      <c r="C173" s="50" t="n"/>
      <c r="D173" s="49" t="n"/>
      <c r="E173" s="49" t="n"/>
      <c r="F173" s="89">
        <f>SUM(F168:F172)</f>
        <v/>
      </c>
      <c r="G173" s="89">
        <f>SUM(G168:G172)</f>
        <v/>
      </c>
      <c r="H173" s="89">
        <f>SUM(H168:H172)</f>
        <v/>
      </c>
      <c r="I173" s="89">
        <f>SUM(I168:I172)</f>
        <v/>
      </c>
      <c r="J173" s="89">
        <f>SUM(J168:J172)</f>
        <v/>
      </c>
      <c r="K173" s="89">
        <f>SUM(K168:K172)</f>
        <v/>
      </c>
      <c r="L173" s="89">
        <f>SUM(L168:L172)</f>
        <v/>
      </c>
      <c r="M173" s="89">
        <f>SUM(M168:M172)</f>
        <v/>
      </c>
      <c r="N173" s="89">
        <f>SUM(N168:N172)</f>
        <v/>
      </c>
      <c r="O173" s="89">
        <f>SUM(O168:O172)</f>
        <v/>
      </c>
      <c r="P173" s="89">
        <f>SUM(P168:P172)</f>
        <v/>
      </c>
      <c r="Q173" s="89">
        <f>SUM(Q168:Q172)</f>
        <v/>
      </c>
    </row>
    <row r="174" s="83">
      <c r="A174" s="5" t="inlineStr">
        <is>
          <t>理财收支</t>
        </is>
      </c>
      <c r="B174" s="6" t="inlineStr">
        <is>
          <t>理财收支</t>
        </is>
      </c>
      <c r="C174" s="6" t="inlineStr">
        <is>
          <t>理财支出</t>
        </is>
      </c>
      <c r="D174" s="5" t="inlineStr">
        <is>
          <t>理财收支</t>
        </is>
      </c>
      <c r="E174" s="6" t="inlineStr">
        <is>
          <t>Q3301</t>
        </is>
      </c>
      <c r="F174" s="89">
        <f>-SUMIFS('1月数据源'!I:I,'1月数据源'!D:D,E174,'1月数据源'!F:F,"杭州实时查科技有限公司")+SUMIFS('1月数据源'!J:J,'1月数据源'!D:D,E174,'1月数据源'!F:F,"杭州实时查科技有限公司")</f>
        <v/>
      </c>
      <c r="G174" s="89">
        <f>-SUMIFS('2月数据源'!$I:$I,'2月数据源'!$D:$D,$E174,'2月数据源'!$F:$F,"杭州实时查科技有限公司")+SUMIFS('2月数据源'!$J:$J,'2月数据源'!$D:$D,$E174,'2月数据源'!$F:$F,"杭州实时查科技有限公司")</f>
        <v/>
      </c>
      <c r="H174" s="89">
        <f>-SUMIFS('3月数据源'!$I:$I,'3月数据源'!$D:$D,$E174,'3月数据源'!$F:$F,"杭州实时查科技有限公司")+SUMIFS('3月数据源'!$J:$J,'3月数据源'!$D:$D,$E174,'3月数据源'!$F:$F,"杭州实时查科技有限公司")</f>
        <v/>
      </c>
      <c r="I174" s="89">
        <f>-SUMIFS('4月数据源'!$I:$I,'4月数据源'!$D:$D,$E174,'4月数据源'!$F:$F,"杭州实时查科技有限公司")+SUMIFS('4月数据源'!$J:$J,'4月数据源'!$D:$D,$E174,'4月数据源'!$F:$F,"杭州实时查科技有限公司")</f>
        <v/>
      </c>
      <c r="J174" s="89">
        <f>-SUMIFS('5月数据源'!$I:$I,'5月数据源'!$D:$D,$E174,'5月数据源'!$F:$F,"杭州实时查科技有限公司")+SUMIFS('5月数据源'!$J:$J,'5月数据源'!$D:$D,$E174,'5月数据源'!$F:$F,"杭州实时查科技有限公司")</f>
        <v/>
      </c>
      <c r="K174" s="89">
        <f>-SUMIFS('6月数据源'!$I:$I,'6月数据源'!$D:$D,$E174,'6月数据源'!$F:$F,"杭州实时查科技有限公司")+SUMIFS('6月数据源'!$J:$J,'6月数据源'!$D:$D,$E174,'6月数据源'!$F:$F,"杭州实时查科技有限公司")</f>
        <v/>
      </c>
      <c r="L174" s="89">
        <f>-SUMIFS('7月数据源'!$I:$I,'7月数据源'!$D:$D,$E174,'7月数据源'!$F:$F,"杭州实时查科技有限公司")+SUMIFS('7月数据源'!$J:$J,'7月数据源'!$D:$D,$E174,'7月数据源'!$F:$F,"杭州实时查科技有限公司")</f>
        <v/>
      </c>
      <c r="M174" s="89">
        <f>-SUMIFS('8月数据源'!$I:$I,'8月数据源'!$D:$D,$E174,'8月数据源'!$F:$F,"杭州实时查科技有限公司")+SUMIFS('8月数据源'!$J:$J,'8月数据源'!$D:$D,$E174,'8月数据源'!$F:$F,"杭州实时查科技有限公司")</f>
        <v/>
      </c>
      <c r="N174" s="89">
        <f>-SUMIFS('9月数据源'!$I:$I,'9月数据源'!$D:$D,$E174,'9月数据源'!$F:$F,"杭州实时查科技有限公司")+SUMIFS('9月数据源'!$J:$J,'9月数据源'!$D:$D,$E174,'9月数据源'!$F:$F,"杭州实时查科技有限公司")</f>
        <v/>
      </c>
      <c r="O174" s="89">
        <f>-SUMIFS('10月数据源'!$I:$I,'10月数据源'!$D:$D,$E174,'10月数据源'!$F:$F,"杭州实时查科技有限公司")+SUMIFS('10月数据源'!$J:$J,'10月数据源'!$D:$D,$E174,'10月数据源'!$F:$F,"杭州实时查科技有限公司")</f>
        <v/>
      </c>
      <c r="P174" s="89">
        <f>-SUMIFS('11月数据源'!$I:$I,'11月数据源'!$D:$D,$E174,'11月数据源'!$F:$F,"杭州实时查科技有限公司")+SUMIFS('11月数据源'!$J:$J,'11月数据源'!$D:$D,$E174,'11月数据源'!$F:$F,"杭州实时查科技有限公司")</f>
        <v/>
      </c>
      <c r="Q174" s="89">
        <f>-SUMIFS('12月数据源'!$I:$I,'12月数据源'!$D:$D,$E174,'12月数据源'!$F:$F,"杭州实时查科技有限公司")+SUMIFS('12月数据源'!$J:$J,'12月数据源'!$D:$D,$E174,'12月数据源'!$F:$F,"杭州实时查科技有限公司")</f>
        <v/>
      </c>
    </row>
    <row r="175" s="83">
      <c r="A175" s="49" t="inlineStr">
        <is>
          <t>理财收支合计</t>
        </is>
      </c>
      <c r="B175" s="50" t="n"/>
      <c r="C175" s="50" t="n"/>
      <c r="D175" s="49" t="n"/>
      <c r="E175" s="49" t="n"/>
      <c r="F175" s="89">
        <f>SUM(F174:F174)</f>
        <v/>
      </c>
      <c r="G175" s="89">
        <f>SUM(G174:G174)</f>
        <v/>
      </c>
      <c r="H175" s="89">
        <f>SUM(H174:H174)</f>
        <v/>
      </c>
      <c r="I175" s="89">
        <f>SUM(I174:I174)</f>
        <v/>
      </c>
      <c r="J175" s="89">
        <f>SUM(J174:J174)</f>
        <v/>
      </c>
      <c r="K175" s="89">
        <f>SUM(K174:K174)</f>
        <v/>
      </c>
      <c r="L175" s="89">
        <f>SUM(L174:L174)</f>
        <v/>
      </c>
      <c r="M175" s="89">
        <f>SUM(M174:M174)</f>
        <v/>
      </c>
      <c r="N175" s="89">
        <f>SUM(N174:N174)</f>
        <v/>
      </c>
      <c r="O175" s="89">
        <f>SUM(O174:O174)</f>
        <v/>
      </c>
      <c r="P175" s="89">
        <f>SUM(P174:P174)</f>
        <v/>
      </c>
      <c r="Q175" s="89">
        <f>SUM(Q174:Q174)</f>
        <v/>
      </c>
    </row>
    <row r="176" s="83">
      <c r="A176" s="51" t="inlineStr">
        <is>
          <t>付款合计</t>
        </is>
      </c>
      <c r="B176" s="52" t="n"/>
      <c r="C176" s="52" t="n"/>
      <c r="D176" s="51" t="n"/>
      <c r="E176" s="51" t="n"/>
      <c r="F176" s="89">
        <f>F22+F24+F35+F50+F63+F98+F137+F162+F167+F173+F175</f>
        <v/>
      </c>
      <c r="G176" s="89">
        <f>G22+G24+G35+G50+G63+G98+G137+G162+G167+G173+G175</f>
        <v/>
      </c>
      <c r="H176" s="89">
        <f>H22+H24+H35+H50+H63+H98+H137+H162+H167+H173+H175</f>
        <v/>
      </c>
      <c r="I176" s="89">
        <f>I22+I24+I35+I50+I63+I98+I137+I162+I167+I173+I175</f>
        <v/>
      </c>
      <c r="J176" s="89">
        <f>J22+J24+J35+J50+J63+J98+J137+J162+J167+J173+J175</f>
        <v/>
      </c>
      <c r="K176" s="89">
        <f>K22+K24+K35+K50+K63+K98+K137+K162+K167+K173+K175</f>
        <v/>
      </c>
      <c r="L176" s="89">
        <f>L22+L24+L35+L50+L63+L98+L137+L162+L167+L173+L175</f>
        <v/>
      </c>
      <c r="M176" s="89">
        <f>M22+M24+M35+M50+M63+M98+M137+M162+M167+M173+M175</f>
        <v/>
      </c>
      <c r="N176" s="89">
        <f>N22+N24+N35+N50+N63+N98+N137+N162+N167+N173+N175</f>
        <v/>
      </c>
      <c r="O176" s="89">
        <f>O22+O24+O35+O50+O63+O98+O137+O162+O167+O173+O175</f>
        <v/>
      </c>
      <c r="P176" s="89">
        <f>P22+P24+P35+P50+P63+P98+P137+P162+P167+P173+P175</f>
        <v/>
      </c>
      <c r="Q176" s="89">
        <f>Q22+Q24+Q35+Q50+Q63+Q98+Q137+Q162+Q167+Q173+Q175</f>
        <v/>
      </c>
    </row>
    <row r="177" s="83">
      <c r="A177" s="51" t="inlineStr">
        <is>
          <t>现金净流入</t>
        </is>
      </c>
      <c r="B177" s="54" t="n"/>
      <c r="C177" s="54" t="n"/>
      <c r="D177" s="51" t="n"/>
      <c r="E177" s="51" t="n"/>
      <c r="F177" s="89">
        <f>F19-F176</f>
        <v/>
      </c>
      <c r="G177" s="89">
        <f>G19-G176</f>
        <v/>
      </c>
      <c r="H177" s="89">
        <f>H19-H176</f>
        <v/>
      </c>
      <c r="I177" s="89">
        <f>I19-I176</f>
        <v/>
      </c>
      <c r="J177" s="89">
        <f>J19-J176</f>
        <v/>
      </c>
      <c r="K177" s="89">
        <f>K19-K176</f>
        <v/>
      </c>
      <c r="L177" s="89">
        <f>L19-L176</f>
        <v/>
      </c>
      <c r="M177" s="89">
        <f>M19-M176</f>
        <v/>
      </c>
      <c r="N177" s="89">
        <f>N19-N176</f>
        <v/>
      </c>
      <c r="O177" s="89">
        <f>O19-O176</f>
        <v/>
      </c>
      <c r="P177" s="89">
        <f>P19-P176</f>
        <v/>
      </c>
      <c r="Q177" s="89">
        <f>Q19-Q176</f>
        <v/>
      </c>
    </row>
    <row r="178" s="83">
      <c r="A178" s="51" t="inlineStr">
        <is>
          <t>现金期初数</t>
        </is>
      </c>
      <c r="B178" s="54" t="n"/>
      <c r="C178" s="54" t="n"/>
      <c r="D178" s="51" t="n"/>
      <c r="E178" s="51" t="n"/>
      <c r="F178" s="89">
        <f>331511.76+5958.81</f>
        <v/>
      </c>
      <c r="G178" s="89">
        <f>F179</f>
        <v/>
      </c>
      <c r="H178" s="89">
        <f>G179</f>
        <v/>
      </c>
      <c r="I178" s="89">
        <f>H179</f>
        <v/>
      </c>
      <c r="J178" s="89">
        <f>I179</f>
        <v/>
      </c>
      <c r="K178" s="89">
        <f>J179</f>
        <v/>
      </c>
      <c r="L178" s="89">
        <f>K179</f>
        <v/>
      </c>
      <c r="M178" s="89">
        <f>L179</f>
        <v/>
      </c>
      <c r="N178" s="89">
        <f>M179</f>
        <v/>
      </c>
      <c r="O178" s="89">
        <f>N179</f>
        <v/>
      </c>
      <c r="P178" s="89">
        <f>O179</f>
        <v/>
      </c>
      <c r="Q178" s="89">
        <f>P179</f>
        <v/>
      </c>
    </row>
    <row r="179" s="83">
      <c r="A179" s="51" t="inlineStr">
        <is>
          <t>现金期末数</t>
        </is>
      </c>
      <c r="B179" s="54" t="n"/>
      <c r="C179" s="54" t="n"/>
      <c r="D179" s="51" t="n"/>
      <c r="E179" s="51" t="n"/>
      <c r="F179" s="89">
        <f>F178+F177</f>
        <v/>
      </c>
      <c r="G179" s="89">
        <f>G178+G177</f>
        <v/>
      </c>
      <c r="H179" s="89">
        <f>H178+H177</f>
        <v/>
      </c>
      <c r="I179" s="89">
        <f>I178+I177</f>
        <v/>
      </c>
      <c r="J179" s="89">
        <f>J178+J177</f>
        <v/>
      </c>
      <c r="K179" s="89">
        <f>K178+K177</f>
        <v/>
      </c>
      <c r="L179" s="89">
        <f>L178+L177</f>
        <v/>
      </c>
      <c r="M179" s="89">
        <f>M178+M177</f>
        <v/>
      </c>
      <c r="N179" s="89">
        <f>N178+N177</f>
        <v/>
      </c>
      <c r="O179" s="89">
        <f>O178+O177</f>
        <v/>
      </c>
      <c r="P179" s="89">
        <f>P178+P177</f>
        <v/>
      </c>
      <c r="Q179" s="89">
        <f>Q178+Q177</f>
        <v/>
      </c>
    </row>
    <row r="180" s="83">
      <c r="A180" s="51" t="inlineStr">
        <is>
          <t>报表期末数</t>
        </is>
      </c>
      <c r="B180" s="54" t="n"/>
      <c r="C180" s="54" t="n"/>
      <c r="D180" s="51" t="n"/>
      <c r="E180" s="51" t="n"/>
      <c r="F180" s="89" t="n">
        <v>452778.61</v>
      </c>
      <c r="G180" s="89" t="n">
        <v>368339.11</v>
      </c>
      <c r="H180" s="89" t="n">
        <v>367677.24</v>
      </c>
      <c r="I180" s="89">
        <f>310664.4+65311.55</f>
        <v/>
      </c>
      <c r="J180" s="89">
        <f>310664.4+91465.73</f>
        <v/>
      </c>
      <c r="K180" s="89" t="n">
        <v>387413.93</v>
      </c>
      <c r="L180" s="89" t="n"/>
      <c r="M180" s="89" t="n"/>
      <c r="N180" s="89" t="n"/>
      <c r="O180" s="89" t="n"/>
      <c r="P180" s="89" t="n"/>
      <c r="Q180" s="89" t="n"/>
    </row>
    <row r="181" s="83">
      <c r="A181" s="51" t="inlineStr">
        <is>
          <t>check</t>
        </is>
      </c>
      <c r="B181" s="54" t="n"/>
      <c r="C181" s="54" t="n"/>
      <c r="D181" s="51" t="n"/>
      <c r="E181" s="51" t="n"/>
      <c r="F181" s="89">
        <f>F180-F179</f>
        <v/>
      </c>
      <c r="G181" s="89">
        <f>G180-G179</f>
        <v/>
      </c>
      <c r="H181" s="89">
        <f>H180-H179</f>
        <v/>
      </c>
      <c r="I181" s="89">
        <f>I180-I179</f>
        <v/>
      </c>
      <c r="J181" s="89">
        <f>J180-J179</f>
        <v/>
      </c>
      <c r="K181" s="89">
        <f>K180-K179</f>
        <v/>
      </c>
      <c r="L181" s="89">
        <f>L180-L179</f>
        <v/>
      </c>
      <c r="M181" s="89">
        <f>M180-M179</f>
        <v/>
      </c>
      <c r="N181" s="89">
        <f>N180-N179</f>
        <v/>
      </c>
      <c r="O181" s="89">
        <f>O180-O179</f>
        <v/>
      </c>
      <c r="P181" s="89">
        <f>P180-P179</f>
        <v/>
      </c>
      <c r="Q181" s="89">
        <f>Q180-Q179</f>
        <v/>
      </c>
    </row>
    <row r="184" s="83">
      <c r="I184" s="57" t="n"/>
    </row>
    <row r="185" s="83">
      <c r="I185" s="57" t="n"/>
    </row>
    <row r="186" s="83">
      <c r="I186" s="89" t="n"/>
    </row>
  </sheetData>
  <autoFilter ref="A2:AN181"/>
  <mergeCells count="30">
    <mergeCell ref="C20:C21"/>
    <mergeCell ref="C131:C133"/>
    <mergeCell ref="C116:C119"/>
    <mergeCell ref="C85:C86"/>
    <mergeCell ref="C134:C135"/>
    <mergeCell ref="C16:C17"/>
    <mergeCell ref="C42:C47"/>
    <mergeCell ref="C78:C84"/>
    <mergeCell ref="C120:C128"/>
    <mergeCell ref="C129:C130"/>
    <mergeCell ref="C111:C115"/>
    <mergeCell ref="C153:C161"/>
    <mergeCell ref="C163:C166"/>
    <mergeCell ref="C87:C93"/>
    <mergeCell ref="C105:C110"/>
    <mergeCell ref="C25:C34"/>
    <mergeCell ref="C99:C104"/>
    <mergeCell ref="C7:C8"/>
    <mergeCell ref="C94:C96"/>
    <mergeCell ref="C36:C41"/>
    <mergeCell ref="C48:C49"/>
    <mergeCell ref="C13:C14"/>
    <mergeCell ref="C70:C77"/>
    <mergeCell ref="C64:C68"/>
    <mergeCell ref="C146:C152"/>
    <mergeCell ref="C138:C145"/>
    <mergeCell ref="C3:C6"/>
    <mergeCell ref="C51:C62"/>
    <mergeCell ref="C168:C172"/>
    <mergeCell ref="C9:C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R181"/>
  <sheetViews>
    <sheetView workbookViewId="0">
      <pane xSplit="5" ySplit="2" topLeftCell="F166" activePane="bottomRight" state="frozen"/>
      <selection activeCell="A1" sqref="A1"/>
      <selection pane="topRight" activeCell="A1" sqref="A1"/>
      <selection pane="bottomLeft" activeCell="A1" sqref="A1"/>
      <selection pane="bottomRight" activeCell="P174" sqref="P174"/>
    </sheetView>
  </sheetViews>
  <sheetFormatPr baseColWidth="8" defaultColWidth="8.838461538461541" defaultRowHeight="16.05" customHeight="1"/>
  <cols>
    <col width="14.6615384615385" customWidth="1" style="5" min="1" max="1"/>
    <col width="14.5" customWidth="1" style="6" min="2" max="2"/>
    <col width="10.8307692307692" customWidth="1" style="6" min="3" max="3"/>
    <col width="19.1615384615385" customWidth="1" style="5" min="4" max="4"/>
    <col width="21.8384615384615" customWidth="1" style="5" min="5" max="5"/>
    <col width="18.3307692307692" customWidth="1" style="89" min="6" max="6"/>
    <col width="16.5" customWidth="1" style="5" min="7" max="7"/>
    <col width="15.8384615384615" customWidth="1" style="5" min="8" max="8"/>
    <col width="15.1615384615385" customWidth="1" style="5" min="9" max="11"/>
    <col width="15" customWidth="1" style="5" min="12" max="12"/>
    <col width="8.838461538461541" customWidth="1" style="5" min="13" max="17"/>
    <col width="14.8384615384615" customWidth="1" style="5" min="18" max="18"/>
    <col width="8.838461538461541" customWidth="1" style="5" min="19" max="40"/>
  </cols>
  <sheetData>
    <row r="1" s="83">
      <c r="A1" s="6" t="inlineStr">
        <is>
          <t>公司：目标准</t>
        </is>
      </c>
    </row>
    <row r="2" customFormat="1" s="34">
      <c r="A2" s="34" t="inlineStr">
        <is>
          <t>一级</t>
        </is>
      </c>
      <c r="B2" s="34" t="inlineStr">
        <is>
          <t>二级</t>
        </is>
      </c>
      <c r="C2" s="34" t="inlineStr">
        <is>
          <t>二级</t>
        </is>
      </c>
      <c r="D2" s="34" t="inlineStr">
        <is>
          <t>三级</t>
        </is>
      </c>
      <c r="E2" s="34" t="inlineStr">
        <is>
          <t>三级科目对应编码</t>
        </is>
      </c>
      <c r="F2" s="91" t="inlineStr">
        <is>
          <t>1月</t>
        </is>
      </c>
      <c r="G2" s="34" t="inlineStr">
        <is>
          <t>2月</t>
        </is>
      </c>
      <c r="H2" s="34" t="inlineStr">
        <is>
          <t>3月</t>
        </is>
      </c>
      <c r="I2" s="34" t="inlineStr">
        <is>
          <t>4月</t>
        </is>
      </c>
      <c r="J2" s="34" t="inlineStr">
        <is>
          <t>5月</t>
        </is>
      </c>
      <c r="K2" s="34" t="inlineStr">
        <is>
          <t>6月</t>
        </is>
      </c>
      <c r="L2" s="34" t="inlineStr">
        <is>
          <t>7月</t>
        </is>
      </c>
      <c r="M2" s="34" t="inlineStr">
        <is>
          <t>8月</t>
        </is>
      </c>
      <c r="N2" s="34" t="inlineStr">
        <is>
          <t>9月</t>
        </is>
      </c>
      <c r="O2" s="34" t="inlineStr">
        <is>
          <t>10月</t>
        </is>
      </c>
      <c r="P2" s="34" t="inlineStr">
        <is>
          <t>11月</t>
        </is>
      </c>
      <c r="Q2" s="34" t="inlineStr">
        <is>
          <t>12月</t>
        </is>
      </c>
      <c r="R2" s="34" t="inlineStr">
        <is>
          <t>本年合计</t>
        </is>
      </c>
    </row>
    <row r="3" s="83">
      <c r="A3" s="5" t="inlineStr">
        <is>
          <t>收入</t>
        </is>
      </c>
      <c r="B3" s="6" t="inlineStr">
        <is>
          <t>业务收入</t>
        </is>
      </c>
      <c r="C3" s="6" t="inlineStr">
        <is>
          <t>业务收入</t>
        </is>
      </c>
      <c r="D3" s="6" t="inlineStr">
        <is>
          <t>平台硬件销售收入</t>
        </is>
      </c>
      <c r="E3" s="6" t="inlineStr">
        <is>
          <t>Q0101</t>
        </is>
      </c>
      <c r="F3" s="89">
        <f>SUMIFS('1月数据源'!$I:$I,'1月数据源'!$D:$D,$E3,'1月数据源'!$F:$F,"杭州目标准科技有限公司")-SUMIFS('1月数据源'!$J:$J,'1月数据源'!$D:$D,$E3,'1月数据源'!$F:$F,"杭州目标准科技有限公司")</f>
        <v/>
      </c>
      <c r="G3" s="89">
        <f>SUMIFS('2月数据源'!$I:$I,'2月数据源'!$D:$D,$E3,'2月数据源'!$F:$F,"杭州目标准科技有限公司")-SUMIFS('2月数据源'!$J:$J,'2月数据源'!$D:$D,$E3,'2月数据源'!$F:$F,"杭州目标准科技有限公司")</f>
        <v/>
      </c>
      <c r="H3" s="89">
        <f>SUMIFS('3月数据源'!$I:$I,'3月数据源'!$D:$D,$E3,'3月数据源'!$F:$F,"杭州目标准科技有限公司")-SUMIFS('3月数据源'!$J:$J,'3月数据源'!$D:$D,$E3,'3月数据源'!$F:$F,"杭州目标准科技有限公司")</f>
        <v/>
      </c>
      <c r="I3" s="89">
        <f>SUMIFS('4月数据源'!$I:$I,'4月数据源'!$D:$D,$E3,'4月数据源'!$F:$F,"杭州目标准科技有限公司")-SUMIFS('4月数据源'!$J:$J,'4月数据源'!$D:$D,$E3,'4月数据源'!$F:$F,"杭州目标准科技有限公司")</f>
        <v/>
      </c>
      <c r="J3" s="89">
        <f>SUMIFS('5月数据源'!$I:$I,'5月数据源'!$D:$D,$E3,'5月数据源'!$F:$F,"杭州目标准科技有限公司")-SUMIFS('5月数据源'!$J:$J,'5月数据源'!$D:$D,$E3,'5月数据源'!$F:$F,"杭州目标准科技有限公司")</f>
        <v/>
      </c>
      <c r="K3" s="89">
        <f>SUMIFS('6月数据源'!I:I,'6月数据源'!D:D,E3,'6月数据源'!F:F,"杭州目标准科技有限公司")-SUMIFS('6月数据源'!J:J,'6月数据源'!D:D,E3,'6月数据源'!F:F,"杭州目标准科技有限公司")</f>
        <v/>
      </c>
      <c r="L3" s="89">
        <f>SUMIFS('7月数据源'!J:J,'7月数据源'!E:E,F3,'7月数据源'!G:G,"杭州目标准科技有限公司")-SUMIFS('7月数据源'!K:K,'7月数据源'!E:E,F3,'7月数据源'!G:G,"杭州目标准科技有限公司")</f>
        <v/>
      </c>
      <c r="M3" s="89">
        <f>SUMIFS('8月数据源'!K:K,'8月数据源'!F:F,G3,'8月数据源'!H:H,"杭州目标准科技有限公司")-SUMIFS('8月数据源'!L:L,'8月数据源'!F:F,G3,'8月数据源'!H:H,"杭州目标准科技有限公司")</f>
        <v/>
      </c>
      <c r="N3" s="89">
        <f>SUMIFS('9月数据源'!L:L,'9月数据源'!G:G,H3,'9月数据源'!I:I,"杭州目标准科技有限公司")-SUMIFS('9月数据源'!M:M,'9月数据源'!G:G,H3,'9月数据源'!I:I,"杭州目标准科技有限公司")</f>
        <v/>
      </c>
      <c r="O3" s="89">
        <f>SUMIFS('10月数据源'!M:M,'10月数据源'!H:H,I3,'10月数据源'!J:J,"杭州目标准科技有限公司")-SUMIFS('10月数据源'!N:N,'10月数据源'!H:H,I3,'10月数据源'!J:J,"杭州目标准科技有限公司")</f>
        <v/>
      </c>
      <c r="P3" s="89">
        <f>SUMIFS('11月数据源'!N:N,'11月数据源'!I:I,J3,'11月数据源'!K:K,"杭州目标准科技有限公司")-SUMIFS('11月数据源'!O:O,'11月数据源'!I:I,J3,'11月数据源'!K:K,"杭州目标准科技有限公司")</f>
        <v/>
      </c>
      <c r="Q3" s="89">
        <f>SUMIFS('12月数据源'!O:O,'12月数据源'!J:J,K3,'12月数据源'!L:L,"杭州目标准科技有限公司")-SUMIFS('12月数据源'!P:P,'12月数据源'!J:J,K3,'12月数据源'!L:L,"杭州目标准科技有限公司")</f>
        <v/>
      </c>
    </row>
    <row r="4" s="83">
      <c r="A4" s="5" t="inlineStr">
        <is>
          <t>收入</t>
        </is>
      </c>
      <c r="B4" s="6" t="inlineStr">
        <is>
          <t>业务收入</t>
        </is>
      </c>
      <c r="D4" s="6" t="inlineStr">
        <is>
          <t>服务收款</t>
        </is>
      </c>
      <c r="E4" s="6" t="inlineStr">
        <is>
          <t>Q0102</t>
        </is>
      </c>
      <c r="F4" s="89">
        <f>SUMIFS('1月数据源'!I:I,'1月数据源'!D:D,E4,'1月数据源'!F:F,"杭州目标准科技有限公司")-SUMIFS('1月数据源'!J:J,'1月数据源'!D:D,E4,'1月数据源'!F:F,"杭州目标准科技有限公司")</f>
        <v/>
      </c>
      <c r="G4" s="89">
        <f>SUMIFS('2月数据源'!$I:$I,'2月数据源'!$D:$D,$E4,'2月数据源'!$F:$F,"杭州目标准科技有限公司")-SUMIFS('2月数据源'!$J:$J,'2月数据源'!$D:$D,$E4,'2月数据源'!$F:$F,"杭州目标准科技有限公司")</f>
        <v/>
      </c>
      <c r="H4" s="89">
        <f>SUMIFS('3月数据源'!$I:$I,'3月数据源'!$D:$D,$E4,'3月数据源'!$F:$F,"杭州目标准科技有限公司")-SUMIFS('3月数据源'!$J:$J,'3月数据源'!$D:$D,$E4,'3月数据源'!$F:$F,"杭州目标准科技有限公司")</f>
        <v/>
      </c>
      <c r="I4" s="89">
        <f>SUMIFS('4月数据源'!$I:$I,'4月数据源'!$D:$D,$E4,'4月数据源'!$F:$F,"杭州目标准科技有限公司")-SUMIFS('4月数据源'!$J:$J,'4月数据源'!$D:$D,$E4,'4月数据源'!$F:$F,"杭州目标准科技有限公司")</f>
        <v/>
      </c>
      <c r="J4" s="89">
        <f>SUMIFS('5月数据源'!$I:$I,'5月数据源'!$D:$D,$E4,'5月数据源'!$F:$F,"杭州目标准科技有限公司")-SUMIFS('5月数据源'!$J:$J,'5月数据源'!$D:$D,$E4,'5月数据源'!$F:$F,"杭州目标准科技有限公司")</f>
        <v/>
      </c>
      <c r="K4" s="89">
        <f>SUMIFS('6月数据源'!$I:$I,'6月数据源'!$D:$D,$E4,'6月数据源'!$F:$F,"杭州目标准科技有限公司")-SUMIFS('6月数据源'!$J:$J,'6月数据源'!$D:$D,$E4,'6月数据源'!$F:$F,"杭州目标准科技有限公司")</f>
        <v/>
      </c>
      <c r="L4" s="89">
        <f>SUMIFS('7月数据源'!$I:$I,'7月数据源'!$D:$D,$E4,'7月数据源'!$F:$F,"杭州目标准科技有限公司")-SUMIFS('7月数据源'!$J:$J,'7月数据源'!$D:$D,$E4,'7月数据源'!$F:$F,"杭州目标准科技有限公司")</f>
        <v/>
      </c>
      <c r="M4" s="89">
        <f>SUMIFS('8月数据源'!$I:$I,'8月数据源'!$D:$D,$E4,'8月数据源'!$F:$F,"杭州目标准科技有限公司")-SUMIFS('8月数据源'!$J:$J,'8月数据源'!$D:$D,$E4,'8月数据源'!$F:$F,"杭州目标准科技有限公司")</f>
        <v/>
      </c>
      <c r="N4" s="89">
        <f>SUMIFS('9月数据源'!$I:$I,'9月数据源'!$D:$D,$E4,'9月数据源'!$F:$F,"杭州目标准科技有限公司")-SUMIFS('9月数据源'!$J:$J,'9月数据源'!$D:$D,$E4,'9月数据源'!$F:$F,"杭州目标准科技有限公司")</f>
        <v/>
      </c>
      <c r="O4" s="89">
        <f>SUMIFS('10月数据源'!$I:$I,'10月数据源'!$D:$D,$E4,'10月数据源'!$F:$F,"杭州目标准科技有限公司")-SUMIFS('10月数据源'!$J:$J,'10月数据源'!$D:$D,$E4,'10月数据源'!$F:$F,"杭州目标准科技有限公司")</f>
        <v/>
      </c>
      <c r="P4" s="89">
        <f>SUMIFS('11月数据源'!$I:$I,'11月数据源'!$D:$D,$E4,'11月数据源'!$F:$F,"杭州目标准科技有限公司")-SUMIFS('11月数据源'!$J:$J,'11月数据源'!$D:$D,$E4,'11月数据源'!$F:$F,"杭州目标准科技有限公司")</f>
        <v/>
      </c>
      <c r="Q4" s="89">
        <f>SUMIFS('12月数据源'!$I:$I,'12月数据源'!$D:$D,$E4,'12月数据源'!$F:$F,"杭州目标准科技有限公司")-SUMIFS('12月数据源'!$J:$J,'12月数据源'!$D:$D,$E4,'12月数据源'!$F:$F,"杭州目标准科技有限公司")</f>
        <v/>
      </c>
    </row>
    <row r="5" s="83">
      <c r="A5" s="5" t="inlineStr">
        <is>
          <t>收入</t>
        </is>
      </c>
      <c r="B5" s="6" t="inlineStr">
        <is>
          <t>业务收入</t>
        </is>
      </c>
      <c r="D5" s="6" t="inlineStr">
        <is>
          <t>平台补贴收入</t>
        </is>
      </c>
      <c r="E5" s="6" t="inlineStr">
        <is>
          <t>Q0103</t>
        </is>
      </c>
      <c r="F5" s="89">
        <f>SUMIFS('1月数据源'!I:I,'1月数据源'!D:D,E5,'1月数据源'!F:F,"杭州目标准科技有限公司")-SUMIFS('1月数据源'!J:J,'1月数据源'!D:D,E5,'1月数据源'!F:F,"杭州目标准科技有限公司")</f>
        <v/>
      </c>
      <c r="G5" s="89">
        <f>SUMIFS('2月数据源'!$I:$I,'2月数据源'!$D:$D,$E5,'2月数据源'!$F:$F,"杭州目标准科技有限公司")-SUMIFS('2月数据源'!$J:$J,'2月数据源'!$D:$D,$E5,'2月数据源'!$F:$F,"杭州目标准科技有限公司")</f>
        <v/>
      </c>
      <c r="H5" s="89">
        <f>SUMIFS('3月数据源'!$I:$I,'3月数据源'!$D:$D,$E5,'3月数据源'!$F:$F,"杭州目标准科技有限公司")-SUMIFS('3月数据源'!$J:$J,'3月数据源'!$D:$D,$E5,'3月数据源'!$F:$F,"杭州目标准科技有限公司")</f>
        <v/>
      </c>
      <c r="I5" s="89">
        <f>SUMIFS('4月数据源'!$I:$I,'4月数据源'!$D:$D,$E5,'4月数据源'!$F:$F,"杭州目标准科技有限公司")-SUMIFS('4月数据源'!$J:$J,'4月数据源'!$D:$D,$E5,'4月数据源'!$F:$F,"杭州目标准科技有限公司")</f>
        <v/>
      </c>
      <c r="J5" s="89">
        <f>SUMIFS('5月数据源'!$I:$I,'5月数据源'!$D:$D,$E5,'5月数据源'!$F:$F,"杭州目标准科技有限公司")-SUMIFS('5月数据源'!$J:$J,'5月数据源'!$D:$D,$E5,'5月数据源'!$F:$F,"杭州目标准科技有限公司")</f>
        <v/>
      </c>
      <c r="K5" s="89">
        <f>SUMIFS('6月数据源'!$I:$I,'6月数据源'!$D:$D,$E5,'6月数据源'!$F:$F,"杭州目标准科技有限公司")-SUMIFS('6月数据源'!$J:$J,'6月数据源'!$D:$D,$E5,'6月数据源'!$F:$F,"杭州目标准科技有限公司")</f>
        <v/>
      </c>
      <c r="L5" s="89">
        <f>SUMIFS('7月数据源'!$I:$I,'7月数据源'!$D:$D,$E5,'7月数据源'!$F:$F,"杭州目标准科技有限公司")-SUMIFS('7月数据源'!$J:$J,'7月数据源'!$D:$D,$E5,'7月数据源'!$F:$F,"杭州目标准科技有限公司")</f>
        <v/>
      </c>
      <c r="M5" s="89">
        <f>SUMIFS('8月数据源'!$I:$I,'8月数据源'!$D:$D,$E5,'8月数据源'!$F:$F,"杭州目标准科技有限公司")-SUMIFS('8月数据源'!$J:$J,'8月数据源'!$D:$D,$E5,'8月数据源'!$F:$F,"杭州目标准科技有限公司")</f>
        <v/>
      </c>
      <c r="N5" s="89">
        <f>SUMIFS('9月数据源'!$I:$I,'9月数据源'!$D:$D,$E5,'9月数据源'!$F:$F,"杭州目标准科技有限公司")-SUMIFS('9月数据源'!$J:$J,'9月数据源'!$D:$D,$E5,'9月数据源'!$F:$F,"杭州目标准科技有限公司")</f>
        <v/>
      </c>
      <c r="O5" s="89">
        <f>SUMIFS('10月数据源'!$I:$I,'10月数据源'!$D:$D,$E5,'10月数据源'!$F:$F,"杭州目标准科技有限公司")-SUMIFS('10月数据源'!$J:$J,'10月数据源'!$D:$D,$E5,'10月数据源'!$F:$F,"杭州目标准科技有限公司")</f>
        <v/>
      </c>
      <c r="P5" s="89">
        <f>SUMIFS('11月数据源'!$I:$I,'11月数据源'!$D:$D,$E5,'11月数据源'!$F:$F,"杭州目标准科技有限公司")-SUMIFS('11月数据源'!$J:$J,'11月数据源'!$D:$D,$E5,'11月数据源'!$F:$F,"杭州目标准科技有限公司")</f>
        <v/>
      </c>
      <c r="Q5" s="89">
        <f>SUMIFS('12月数据源'!$I:$I,'12月数据源'!$D:$D,$E5,'12月数据源'!$F:$F,"杭州目标准科技有限公司")-SUMIFS('12月数据源'!$J:$J,'12月数据源'!$D:$D,$E5,'12月数据源'!$F:$F,"杭州目标准科技有限公司")</f>
        <v/>
      </c>
    </row>
    <row r="6" s="83">
      <c r="A6" s="5" t="inlineStr">
        <is>
          <t>收入</t>
        </is>
      </c>
      <c r="B6" s="6" t="inlineStr">
        <is>
          <t>业务收入</t>
        </is>
      </c>
      <c r="D6" s="6" t="inlineStr">
        <is>
          <t>自习室收入</t>
        </is>
      </c>
      <c r="E6" s="6" t="inlineStr">
        <is>
          <t>Q0104</t>
        </is>
      </c>
      <c r="F6" s="89">
        <f>SUMIFS('1月数据源'!I:I,'1月数据源'!D:D,E6,'1月数据源'!F:F,"杭州目标准科技有限公司")-SUMIFS('1月数据源'!J:J,'1月数据源'!D:D,E6,'1月数据源'!F:F,"杭州目标准科技有限公司")</f>
        <v/>
      </c>
      <c r="G6" s="89">
        <f>SUMIFS('2月数据源'!$I:$I,'2月数据源'!$D:$D,$E6,'2月数据源'!$F:$F,"杭州目标准科技有限公司")-SUMIFS('2月数据源'!$J:$J,'2月数据源'!$D:$D,$E6,'2月数据源'!$F:$F,"杭州目标准科技有限公司")</f>
        <v/>
      </c>
      <c r="H6" s="89">
        <f>SUMIFS('3月数据源'!$I:$I,'3月数据源'!$D:$D,$E6,'3月数据源'!$F:$F,"杭州目标准科技有限公司")-SUMIFS('3月数据源'!$J:$J,'3月数据源'!$D:$D,$E6,'3月数据源'!$F:$F,"杭州目标准科技有限公司")</f>
        <v/>
      </c>
      <c r="I6" s="89">
        <f>SUMIFS('4月数据源'!$I:$I,'4月数据源'!$D:$D,$E6,'4月数据源'!$F:$F,"杭州目标准科技有限公司")-SUMIFS('4月数据源'!$J:$J,'4月数据源'!$D:$D,$E6,'4月数据源'!$F:$F,"杭州目标准科技有限公司")</f>
        <v/>
      </c>
      <c r="J6" s="89">
        <f>SUMIFS('5月数据源'!$I:$I,'5月数据源'!$D:$D,$E6,'5月数据源'!$F:$F,"杭州目标准科技有限公司")-SUMIFS('5月数据源'!$J:$J,'5月数据源'!$D:$D,$E6,'5月数据源'!$F:$F,"杭州目标准科技有限公司")</f>
        <v/>
      </c>
      <c r="K6" s="89">
        <f>SUMIFS('6月数据源'!$I:$I,'6月数据源'!$D:$D,$E6,'6月数据源'!$F:$F,"杭州目标准科技有限公司")-SUMIFS('6月数据源'!$J:$J,'6月数据源'!$D:$D,$E6,'6月数据源'!$F:$F,"杭州目标准科技有限公司")</f>
        <v/>
      </c>
      <c r="L6" s="89">
        <f>SUMIFS('7月数据源'!$I:$I,'7月数据源'!$D:$D,$E6,'7月数据源'!$F:$F,"杭州目标准科技有限公司")-SUMIFS('7月数据源'!$J:$J,'7月数据源'!$D:$D,$E6,'7月数据源'!$F:$F,"杭州目标准科技有限公司")</f>
        <v/>
      </c>
      <c r="M6" s="89">
        <f>SUMIFS('8月数据源'!$I:$I,'8月数据源'!$D:$D,$E6,'8月数据源'!$F:$F,"杭州目标准科技有限公司")-SUMIFS('8月数据源'!$J:$J,'8月数据源'!$D:$D,$E6,'8月数据源'!$F:$F,"杭州目标准科技有限公司")</f>
        <v/>
      </c>
      <c r="N6" s="89">
        <f>SUMIFS('9月数据源'!$I:$I,'9月数据源'!$D:$D,$E6,'9月数据源'!$F:$F,"杭州目标准科技有限公司")-SUMIFS('9月数据源'!$J:$J,'9月数据源'!$D:$D,$E6,'9月数据源'!$F:$F,"杭州目标准科技有限公司")</f>
        <v/>
      </c>
      <c r="O6" s="89">
        <f>SUMIFS('10月数据源'!$I:$I,'10月数据源'!$D:$D,$E6,'10月数据源'!$F:$F,"杭州目标准科技有限公司")-SUMIFS('10月数据源'!$J:$J,'10月数据源'!$D:$D,$E6,'10月数据源'!$F:$F,"杭州目标准科技有限公司")</f>
        <v/>
      </c>
      <c r="P6" s="89">
        <f>SUMIFS('11月数据源'!$I:$I,'11月数据源'!$D:$D,$E6,'11月数据源'!$F:$F,"杭州目标准科技有限公司")-SUMIFS('11月数据源'!$J:$J,'11月数据源'!$D:$D,$E6,'11月数据源'!$F:$F,"杭州目标准科技有限公司")</f>
        <v/>
      </c>
      <c r="Q6" s="89">
        <f>SUMIFS('12月数据源'!$I:$I,'12月数据源'!$D:$D,$E6,'12月数据源'!$F:$F,"杭州目标准科技有限公司")-SUMIFS('12月数据源'!$J:$J,'12月数据源'!$D:$D,$E6,'12月数据源'!$F:$F,"杭州目标准科技有限公司")</f>
        <v/>
      </c>
    </row>
    <row r="7" s="83">
      <c r="A7" s="5" t="inlineStr">
        <is>
          <t>收入</t>
        </is>
      </c>
      <c r="B7" s="6" t="inlineStr">
        <is>
          <t>售后收入</t>
        </is>
      </c>
      <c r="C7" s="6" t="inlineStr">
        <is>
          <t>售后收入</t>
        </is>
      </c>
      <c r="D7" s="6" t="inlineStr">
        <is>
          <t>客户赔偿款</t>
        </is>
      </c>
      <c r="E7" s="6" t="inlineStr">
        <is>
          <t>Q0201</t>
        </is>
      </c>
      <c r="F7" s="89">
        <f>SUMIFS('1月数据源'!I:I,'1月数据源'!D:D,E7,'1月数据源'!F:F,"杭州目标准科技有限公司")-SUMIFS('1月数据源'!J:J,'1月数据源'!D:D,E7,'1月数据源'!F:F,"杭州目标准科技有限公司")</f>
        <v/>
      </c>
      <c r="G7" s="89">
        <f>SUMIFS('2月数据源'!$I:$I,'2月数据源'!$D:$D,$E7,'2月数据源'!$F:$F,"杭州目标准科技有限公司")-SUMIFS('2月数据源'!$J:$J,'2月数据源'!$D:$D,$E7,'2月数据源'!$F:$F,"杭州目标准科技有限公司")</f>
        <v/>
      </c>
      <c r="H7" s="89">
        <f>SUMIFS('3月数据源'!$I:$I,'3月数据源'!$D:$D,$E7,'3月数据源'!$F:$F,"杭州目标准科技有限公司")-SUMIFS('3月数据源'!$J:$J,'3月数据源'!$D:$D,$E7,'3月数据源'!$F:$F,"杭州目标准科技有限公司")</f>
        <v/>
      </c>
      <c r="I7" s="89">
        <f>SUMIFS('4月数据源'!$I:$I,'4月数据源'!$D:$D,$E7,'4月数据源'!$F:$F,"杭州目标准科技有限公司")-SUMIFS('4月数据源'!$J:$J,'4月数据源'!$D:$D,$E7,'4月数据源'!$F:$F,"杭州目标准科技有限公司")</f>
        <v/>
      </c>
      <c r="J7" s="89">
        <f>SUMIFS('5月数据源'!$I:$I,'5月数据源'!$D:$D,$E7,'5月数据源'!$F:$F,"杭州目标准科技有限公司")-SUMIFS('5月数据源'!$J:$J,'5月数据源'!$D:$D,$E7,'5月数据源'!$F:$F,"杭州目标准科技有限公司")</f>
        <v/>
      </c>
      <c r="K7" s="89">
        <f>SUMIFS('6月数据源'!$I:$I,'6月数据源'!$D:$D,$E7,'6月数据源'!$F:$F,"杭州目标准科技有限公司")-SUMIFS('6月数据源'!$J:$J,'6月数据源'!$D:$D,$E7,'6月数据源'!$F:$F,"杭州目标准科技有限公司")</f>
        <v/>
      </c>
      <c r="L7" s="89">
        <f>SUMIFS('7月数据源'!$I:$I,'7月数据源'!$D:$D,$E7,'7月数据源'!$F:$F,"杭州目标准科技有限公司")-SUMIFS('7月数据源'!$J:$J,'7月数据源'!$D:$D,$E7,'7月数据源'!$F:$F,"杭州目标准科技有限公司")</f>
        <v/>
      </c>
      <c r="M7" s="89">
        <f>SUMIFS('8月数据源'!$I:$I,'8月数据源'!$D:$D,$E7,'8月数据源'!$F:$F,"杭州目标准科技有限公司")-SUMIFS('8月数据源'!$J:$J,'8月数据源'!$D:$D,$E7,'8月数据源'!$F:$F,"杭州目标准科技有限公司")</f>
        <v/>
      </c>
      <c r="N7" s="89">
        <f>SUMIFS('9月数据源'!$I:$I,'9月数据源'!$D:$D,$E7,'9月数据源'!$F:$F,"杭州目标准科技有限公司")-SUMIFS('9月数据源'!$J:$J,'9月数据源'!$D:$D,$E7,'9月数据源'!$F:$F,"杭州目标准科技有限公司")</f>
        <v/>
      </c>
      <c r="O7" s="89">
        <f>SUMIFS('10月数据源'!$I:$I,'10月数据源'!$D:$D,$E7,'10月数据源'!$F:$F,"杭州目标准科技有限公司")-SUMIFS('10月数据源'!$J:$J,'10月数据源'!$D:$D,$E7,'10月数据源'!$F:$F,"杭州目标准科技有限公司")</f>
        <v/>
      </c>
      <c r="P7" s="89">
        <f>SUMIFS('11月数据源'!$I:$I,'11月数据源'!$D:$D,$E7,'11月数据源'!$F:$F,"杭州目标准科技有限公司")-SUMIFS('11月数据源'!$J:$J,'11月数据源'!$D:$D,$E7,'11月数据源'!$F:$F,"杭州目标准科技有限公司")</f>
        <v/>
      </c>
      <c r="Q7" s="89">
        <f>SUMIFS('12月数据源'!$I:$I,'12月数据源'!$D:$D,$E7,'12月数据源'!$F:$F,"杭州目标准科技有限公司")-SUMIFS('12月数据源'!$J:$J,'12月数据源'!$D:$D,$E7,'12月数据源'!$F:$F,"杭州目标准科技有限公司")</f>
        <v/>
      </c>
    </row>
    <row r="8" s="83">
      <c r="A8" s="5" t="inlineStr">
        <is>
          <t>收入</t>
        </is>
      </c>
      <c r="B8" s="6" t="inlineStr">
        <is>
          <t>售后收入</t>
        </is>
      </c>
      <c r="D8" s="6" t="inlineStr">
        <is>
          <t>供应商赔偿款</t>
        </is>
      </c>
      <c r="E8" s="6" t="inlineStr">
        <is>
          <t>Q0202</t>
        </is>
      </c>
      <c r="F8" s="89">
        <f>SUMIFS('1月数据源'!I:I,'1月数据源'!D:D,E8,'1月数据源'!F:F,"杭州目标准科技有限公司")-SUMIFS('1月数据源'!J:J,'1月数据源'!D:D,E8,'1月数据源'!F:F,"杭州目标准科技有限公司")</f>
        <v/>
      </c>
      <c r="G8" s="89">
        <f>SUMIFS('2月数据源'!$I:$I,'2月数据源'!$D:$D,$E8,'2月数据源'!$F:$F,"杭州目标准科技有限公司")-SUMIFS('2月数据源'!$J:$J,'2月数据源'!$D:$D,$E8,'2月数据源'!$F:$F,"杭州目标准科技有限公司")</f>
        <v/>
      </c>
      <c r="H8" s="89">
        <f>SUMIFS('3月数据源'!$I:$I,'3月数据源'!$D:$D,$E8,'3月数据源'!$F:$F,"杭州目标准科技有限公司")-SUMIFS('3月数据源'!$J:$J,'3月数据源'!$D:$D,$E8,'3月数据源'!$F:$F,"杭州目标准科技有限公司")</f>
        <v/>
      </c>
      <c r="I8" s="89">
        <f>SUMIFS('4月数据源'!$I:$I,'4月数据源'!$D:$D,$E8,'4月数据源'!$F:$F,"杭州目标准科技有限公司")-SUMIFS('4月数据源'!$J:$J,'4月数据源'!$D:$D,$E8,'4月数据源'!$F:$F,"杭州目标准科技有限公司")</f>
        <v/>
      </c>
      <c r="J8" s="89">
        <f>SUMIFS('5月数据源'!$I:$I,'5月数据源'!$D:$D,$E8,'5月数据源'!$F:$F,"杭州目标准科技有限公司")-SUMIFS('5月数据源'!$J:$J,'5月数据源'!$D:$D,$E8,'5月数据源'!$F:$F,"杭州目标准科技有限公司")</f>
        <v/>
      </c>
      <c r="K8" s="89">
        <f>SUMIFS('6月数据源'!$I:$I,'6月数据源'!$D:$D,$E8,'6月数据源'!$F:$F,"杭州目标准科技有限公司")-SUMIFS('6月数据源'!$J:$J,'6月数据源'!$D:$D,$E8,'6月数据源'!$F:$F,"杭州目标准科技有限公司")</f>
        <v/>
      </c>
      <c r="L8" s="89">
        <f>SUMIFS('7月数据源'!$I:$I,'7月数据源'!$D:$D,$E8,'7月数据源'!$F:$F,"杭州目标准科技有限公司")-SUMIFS('7月数据源'!$J:$J,'7月数据源'!$D:$D,$E8,'7月数据源'!$F:$F,"杭州目标准科技有限公司")</f>
        <v/>
      </c>
      <c r="M8" s="89">
        <f>SUMIFS('8月数据源'!$I:$I,'8月数据源'!$D:$D,$E8,'8月数据源'!$F:$F,"杭州目标准科技有限公司")-SUMIFS('8月数据源'!$J:$J,'8月数据源'!$D:$D,$E8,'8月数据源'!$F:$F,"杭州目标准科技有限公司")</f>
        <v/>
      </c>
      <c r="N8" s="89">
        <f>SUMIFS('9月数据源'!$I:$I,'9月数据源'!$D:$D,$E8,'9月数据源'!$F:$F,"杭州目标准科技有限公司")-SUMIFS('9月数据源'!$J:$J,'9月数据源'!$D:$D,$E8,'9月数据源'!$F:$F,"杭州目标准科技有限公司")</f>
        <v/>
      </c>
      <c r="O8" s="89">
        <f>SUMIFS('10月数据源'!$I:$I,'10月数据源'!$D:$D,$E8,'10月数据源'!$F:$F,"杭州目标准科技有限公司")-SUMIFS('10月数据源'!$J:$J,'10月数据源'!$D:$D,$E8,'10月数据源'!$F:$F,"杭州目标准科技有限公司")</f>
        <v/>
      </c>
      <c r="P8" s="89">
        <f>SUMIFS('11月数据源'!$I:$I,'11月数据源'!$D:$D,$E8,'11月数据源'!$F:$F,"杭州目标准科技有限公司")-SUMIFS('11月数据源'!$J:$J,'11月数据源'!$D:$D,$E8,'11月数据源'!$F:$F,"杭州目标准科技有限公司")</f>
        <v/>
      </c>
      <c r="Q8" s="89">
        <f>SUMIFS('12月数据源'!$I:$I,'12月数据源'!$D:$D,$E8,'12月数据源'!$F:$F,"杭州目标准科技有限公司")-SUMIFS('12月数据源'!$J:$J,'12月数据源'!$D:$D,$E8,'12月数据源'!$F:$F,"杭州目标准科技有限公司")</f>
        <v/>
      </c>
    </row>
    <row r="9" s="83">
      <c r="A9" s="5" t="inlineStr">
        <is>
          <t>收入</t>
        </is>
      </c>
      <c r="B9" s="6" t="inlineStr">
        <is>
          <t>营业外收入</t>
        </is>
      </c>
      <c r="C9" s="6" t="inlineStr">
        <is>
          <t>营业外收入</t>
        </is>
      </c>
      <c r="D9" s="6" t="inlineStr">
        <is>
          <t>政府补贴收入</t>
        </is>
      </c>
      <c r="E9" s="6" t="inlineStr">
        <is>
          <t>Q0301</t>
        </is>
      </c>
      <c r="F9" s="89">
        <f>SUMIFS('1月数据源'!I:I,'1月数据源'!D:D,E9,'1月数据源'!F:F,"杭州目标准科技有限公司")-SUMIFS('1月数据源'!J:J,'1月数据源'!D:D,E9,'1月数据源'!F:F,"杭州目标准科技有限公司")</f>
        <v/>
      </c>
      <c r="G9" s="89">
        <f>SUMIFS('2月数据源'!$I:$I,'2月数据源'!$D:$D,$E9,'2月数据源'!$F:$F,"杭州目标准科技有限公司")-SUMIFS('2月数据源'!$J:$J,'2月数据源'!$D:$D,$E9,'2月数据源'!$F:$F,"杭州目标准科技有限公司")</f>
        <v/>
      </c>
      <c r="H9" s="89">
        <f>SUMIFS('3月数据源'!$I:$I,'3月数据源'!$D:$D,$E9,'3月数据源'!$F:$F,"杭州目标准科技有限公司")-SUMIFS('3月数据源'!$J:$J,'3月数据源'!$D:$D,$E9,'3月数据源'!$F:$F,"杭州目标准科技有限公司")</f>
        <v/>
      </c>
      <c r="I9" s="89">
        <f>SUMIFS('4月数据源'!$I:$I,'4月数据源'!$D:$D,$E9,'4月数据源'!$F:$F,"杭州目标准科技有限公司")-SUMIFS('4月数据源'!$J:$J,'4月数据源'!$D:$D,$E9,'4月数据源'!$F:$F,"杭州目标准科技有限公司")</f>
        <v/>
      </c>
      <c r="J9" s="89">
        <f>SUMIFS('5月数据源'!$I:$I,'5月数据源'!$D:$D,$E9,'5月数据源'!$F:$F,"杭州目标准科技有限公司")-SUMIFS('5月数据源'!$J:$J,'5月数据源'!$D:$D,$E9,'5月数据源'!$F:$F,"杭州目标准科技有限公司")</f>
        <v/>
      </c>
      <c r="K9" s="89">
        <f>SUMIFS('6月数据源'!$I:$I,'6月数据源'!$D:$D,$E9,'6月数据源'!$F:$F,"杭州目标准科技有限公司")-SUMIFS('6月数据源'!$J:$J,'6月数据源'!$D:$D,$E9,'6月数据源'!$F:$F,"杭州目标准科技有限公司")</f>
        <v/>
      </c>
      <c r="L9" s="89">
        <f>SUMIFS('7月数据源'!$I:$I,'7月数据源'!$D:$D,$E9,'7月数据源'!$F:$F,"杭州目标准科技有限公司")-SUMIFS('7月数据源'!$J:$J,'7月数据源'!$D:$D,$E9,'7月数据源'!$F:$F,"杭州目标准科技有限公司")</f>
        <v/>
      </c>
      <c r="M9" s="89">
        <f>SUMIFS('8月数据源'!$I:$I,'8月数据源'!$D:$D,$E9,'8月数据源'!$F:$F,"杭州目标准科技有限公司")-SUMIFS('8月数据源'!$J:$J,'8月数据源'!$D:$D,$E9,'8月数据源'!$F:$F,"杭州目标准科技有限公司")</f>
        <v/>
      </c>
      <c r="N9" s="89">
        <f>SUMIFS('9月数据源'!$I:$I,'9月数据源'!$D:$D,$E9,'9月数据源'!$F:$F,"杭州目标准科技有限公司")-SUMIFS('9月数据源'!$J:$J,'9月数据源'!$D:$D,$E9,'9月数据源'!$F:$F,"杭州目标准科技有限公司")</f>
        <v/>
      </c>
      <c r="O9" s="89">
        <f>SUMIFS('10月数据源'!$I:$I,'10月数据源'!$D:$D,$E9,'10月数据源'!$F:$F,"杭州目标准科技有限公司")-SUMIFS('10月数据源'!$J:$J,'10月数据源'!$D:$D,$E9,'10月数据源'!$F:$F,"杭州目标准科技有限公司")</f>
        <v/>
      </c>
      <c r="P9" s="89">
        <f>SUMIFS('11月数据源'!$I:$I,'11月数据源'!$D:$D,$E9,'11月数据源'!$F:$F,"杭州目标准科技有限公司")-SUMIFS('11月数据源'!$J:$J,'11月数据源'!$D:$D,$E9,'11月数据源'!$F:$F,"杭州目标准科技有限公司")</f>
        <v/>
      </c>
      <c r="Q9" s="89">
        <f>SUMIFS('12月数据源'!$I:$I,'12月数据源'!$D:$D,$E9,'12月数据源'!$F:$F,"杭州目标准科技有限公司")-SUMIFS('12月数据源'!$J:$J,'12月数据源'!$D:$D,$E9,'12月数据源'!$F:$F,"杭州目标准科技有限公司")</f>
        <v/>
      </c>
    </row>
    <row r="10" s="83">
      <c r="A10" s="5" t="inlineStr">
        <is>
          <t>收入</t>
        </is>
      </c>
      <c r="B10" s="6" t="inlineStr">
        <is>
          <t>营业外收入</t>
        </is>
      </c>
      <c r="D10" s="6" t="inlineStr">
        <is>
          <t>利息收入</t>
        </is>
      </c>
      <c r="E10" s="6" t="inlineStr">
        <is>
          <t>Q0302</t>
        </is>
      </c>
      <c r="F10" s="89">
        <f>SUMIFS('1月数据源'!I:I,'1月数据源'!D:D,E10,'1月数据源'!F:F,"杭州目标准科技有限公司")-SUMIFS('1月数据源'!J:J,'1月数据源'!D:D,E10,'1月数据源'!F:F,"杭州目标准科技有限公司")</f>
        <v/>
      </c>
      <c r="G10" s="89">
        <f>SUMIFS('2月数据源'!$I:$I,'2月数据源'!$D:$D,$E10,'2月数据源'!$F:$F,"杭州目标准科技有限公司")-SUMIFS('2月数据源'!$J:$J,'2月数据源'!$D:$D,$E10,'2月数据源'!$F:$F,"杭州目标准科技有限公司")</f>
        <v/>
      </c>
      <c r="H10" s="89">
        <f>SUMIFS('3月数据源'!$I:$I,'3月数据源'!$D:$D,$E10,'3月数据源'!$F:$F,"杭州目标准科技有限公司")-SUMIFS('3月数据源'!$J:$J,'3月数据源'!$D:$D,$E10,'3月数据源'!$F:$F,"杭州目标准科技有限公司")</f>
        <v/>
      </c>
      <c r="I10" s="89">
        <f>SUMIFS('4月数据源'!$I:$I,'4月数据源'!$D:$D,$E10,'4月数据源'!$F:$F,"杭州目标准科技有限公司")-SUMIFS('4月数据源'!$J:$J,'4月数据源'!$D:$D,$E10,'4月数据源'!$F:$F,"杭州目标准科技有限公司")</f>
        <v/>
      </c>
      <c r="J10" s="89">
        <f>SUMIFS('5月数据源'!$I:$I,'5月数据源'!$D:$D,$E10,'5月数据源'!$F:$F,"杭州目标准科技有限公司")-SUMIFS('5月数据源'!$J:$J,'5月数据源'!$D:$D,$E10,'5月数据源'!$F:$F,"杭州目标准科技有限公司")</f>
        <v/>
      </c>
      <c r="K10" s="89">
        <f>SUMIFS('6月数据源'!$I:$I,'6月数据源'!$D:$D,$E10,'6月数据源'!$F:$F,"杭州目标准科技有限公司")-SUMIFS('6月数据源'!$J:$J,'6月数据源'!$D:$D,$E10,'6月数据源'!$F:$F,"杭州目标准科技有限公司")</f>
        <v/>
      </c>
      <c r="L10" s="89">
        <f>SUMIFS('7月数据源'!$I:$I,'7月数据源'!$D:$D,$E10,'7月数据源'!$F:$F,"杭州目标准科技有限公司")-SUMIFS('7月数据源'!$J:$J,'7月数据源'!$D:$D,$E10,'7月数据源'!$F:$F,"杭州目标准科技有限公司")</f>
        <v/>
      </c>
      <c r="M10" s="89">
        <f>SUMIFS('8月数据源'!$I:$I,'8月数据源'!$D:$D,$E10,'8月数据源'!$F:$F,"杭州目标准科技有限公司")-SUMIFS('8月数据源'!$J:$J,'8月数据源'!$D:$D,$E10,'8月数据源'!$F:$F,"杭州目标准科技有限公司")</f>
        <v/>
      </c>
      <c r="N10" s="89">
        <f>SUMIFS('9月数据源'!$I:$I,'9月数据源'!$D:$D,$E10,'9月数据源'!$F:$F,"杭州目标准科技有限公司")-SUMIFS('9月数据源'!$J:$J,'9月数据源'!$D:$D,$E10,'9月数据源'!$F:$F,"杭州目标准科技有限公司")</f>
        <v/>
      </c>
      <c r="O10" s="89">
        <f>SUMIFS('10月数据源'!$I:$I,'10月数据源'!$D:$D,$E10,'10月数据源'!$F:$F,"杭州目标准科技有限公司")-SUMIFS('10月数据源'!$J:$J,'10月数据源'!$D:$D,$E10,'10月数据源'!$F:$F,"杭州目标准科技有限公司")</f>
        <v/>
      </c>
      <c r="P10" s="89">
        <f>SUMIFS('11月数据源'!$I:$I,'11月数据源'!$D:$D,$E10,'11月数据源'!$F:$F,"杭州目标准科技有限公司")-SUMIFS('11月数据源'!$J:$J,'11月数据源'!$D:$D,$E10,'11月数据源'!$F:$F,"杭州目标准科技有限公司")</f>
        <v/>
      </c>
      <c r="Q10" s="89">
        <f>SUMIFS('12月数据源'!$I:$I,'12月数据源'!$D:$D,$E10,'12月数据源'!$F:$F,"杭州目标准科技有限公司")-SUMIFS('12月数据源'!$J:$J,'12月数据源'!$D:$D,$E10,'12月数据源'!$F:$F,"杭州目标准科技有限公司")</f>
        <v/>
      </c>
    </row>
    <row r="11" s="83">
      <c r="A11" s="5" t="inlineStr">
        <is>
          <t>收入</t>
        </is>
      </c>
      <c r="B11" s="6" t="inlineStr">
        <is>
          <t>营业外收入</t>
        </is>
      </c>
      <c r="D11" s="6" t="inlineStr">
        <is>
          <t>其他收入</t>
        </is>
      </c>
      <c r="E11" s="6" t="inlineStr">
        <is>
          <t>Q0303</t>
        </is>
      </c>
      <c r="F11" s="89">
        <f>SUMIFS('1月数据源'!I:I,'1月数据源'!D:D,E11,'1月数据源'!F:F,"杭州目标准科技有限公司")-SUMIFS('1月数据源'!J:J,'1月数据源'!D:D,E11,'1月数据源'!F:F,"杭州目标准科技有限公司")</f>
        <v/>
      </c>
      <c r="G11" s="89">
        <f>SUMIFS('2月数据源'!$I:$I,'2月数据源'!$D:$D,$E11,'2月数据源'!$F:$F,"杭州目标准科技有限公司")-SUMIFS('2月数据源'!$J:$J,'2月数据源'!$D:$D,$E11,'2月数据源'!$F:$F,"杭州目标准科技有限公司")</f>
        <v/>
      </c>
      <c r="H11" s="89">
        <f>SUMIFS('3月数据源'!$I:$I,'3月数据源'!$D:$D,$E11,'3月数据源'!$F:$F,"杭州目标准科技有限公司")-SUMIFS('3月数据源'!$J:$J,'3月数据源'!$D:$D,$E11,'3月数据源'!$F:$F,"杭州目标准科技有限公司")</f>
        <v/>
      </c>
      <c r="I11" s="89">
        <f>SUMIFS('4月数据源'!$I:$I,'4月数据源'!$D:$D,$E11,'4月数据源'!$F:$F,"杭州目标准科技有限公司")-SUMIFS('4月数据源'!$J:$J,'4月数据源'!$D:$D,$E11,'4月数据源'!$F:$F,"杭州目标准科技有限公司")</f>
        <v/>
      </c>
      <c r="J11" s="89">
        <f>SUMIFS('5月数据源'!$I:$I,'5月数据源'!$D:$D,$E11,'5月数据源'!$F:$F,"杭州目标准科技有限公司")-SUMIFS('5月数据源'!$J:$J,'5月数据源'!$D:$D,$E11,'5月数据源'!$F:$F,"杭州目标准科技有限公司")</f>
        <v/>
      </c>
      <c r="K11" s="89">
        <f>SUMIFS('6月数据源'!$I:$I,'6月数据源'!$D:$D,$E11,'6月数据源'!$F:$F,"杭州目标准科技有限公司")-SUMIFS('6月数据源'!$J:$J,'6月数据源'!$D:$D,$E11,'6月数据源'!$F:$F,"杭州目标准科技有限公司")</f>
        <v/>
      </c>
      <c r="L11" s="89">
        <f>SUMIFS('7月数据源'!$I:$I,'7月数据源'!$D:$D,$E11,'7月数据源'!$F:$F,"杭州目标准科技有限公司")-SUMIFS('7月数据源'!$J:$J,'7月数据源'!$D:$D,$E11,'7月数据源'!$F:$F,"杭州目标准科技有限公司")</f>
        <v/>
      </c>
      <c r="M11" s="89">
        <f>SUMIFS('8月数据源'!$I:$I,'8月数据源'!$D:$D,$E11,'8月数据源'!$F:$F,"杭州目标准科技有限公司")-SUMIFS('8月数据源'!$J:$J,'8月数据源'!$D:$D,$E11,'8月数据源'!$F:$F,"杭州目标准科技有限公司")</f>
        <v/>
      </c>
      <c r="N11" s="89">
        <f>SUMIFS('9月数据源'!$I:$I,'9月数据源'!$D:$D,$E11,'9月数据源'!$F:$F,"杭州目标准科技有限公司")-SUMIFS('9月数据源'!$J:$J,'9月数据源'!$D:$D,$E11,'9月数据源'!$F:$F,"杭州目标准科技有限公司")</f>
        <v/>
      </c>
      <c r="O11" s="89">
        <f>SUMIFS('10月数据源'!$I:$I,'10月数据源'!$D:$D,$E11,'10月数据源'!$F:$F,"杭州目标准科技有限公司")-SUMIFS('10月数据源'!$J:$J,'10月数据源'!$D:$D,$E11,'10月数据源'!$F:$F,"杭州目标准科技有限公司")</f>
        <v/>
      </c>
      <c r="P11" s="89">
        <f>SUMIFS('11月数据源'!$I:$I,'11月数据源'!$D:$D,$E11,'11月数据源'!$F:$F,"杭州目标准科技有限公司")-SUMIFS('11月数据源'!$J:$J,'11月数据源'!$D:$D,$E11,'11月数据源'!$F:$F,"杭州目标准科技有限公司")</f>
        <v/>
      </c>
      <c r="Q11" s="89">
        <f>SUMIFS('12月数据源'!$I:$I,'12月数据源'!$D:$D,$E11,'12月数据源'!$F:$F,"杭州目标准科技有限公司")-SUMIFS('12月数据源'!$J:$J,'12月数据源'!$D:$D,$E11,'12月数据源'!$F:$F,"杭州目标准科技有限公司")</f>
        <v/>
      </c>
    </row>
    <row r="12" s="83">
      <c r="A12" s="49" t="inlineStr">
        <is>
          <t>收入合计</t>
        </is>
      </c>
      <c r="B12" s="50" t="n"/>
      <c r="C12" s="50" t="n"/>
      <c r="D12" s="49" t="n"/>
      <c r="E12" s="49" t="n"/>
      <c r="F12" s="89">
        <f>SUM(F3:F11)</f>
        <v/>
      </c>
      <c r="G12" s="89">
        <f>SUM(G3:G11)</f>
        <v/>
      </c>
      <c r="H12" s="89">
        <f>SUM(H3:H11)</f>
        <v/>
      </c>
      <c r="I12" s="89">
        <f>SUM(I3:I11)</f>
        <v/>
      </c>
      <c r="J12" s="89">
        <f>SUM(J3:J11)</f>
        <v/>
      </c>
      <c r="K12" s="89">
        <f>SUM(K3:K11)</f>
        <v/>
      </c>
      <c r="L12" s="89">
        <f>SUM(L3:L11)</f>
        <v/>
      </c>
      <c r="M12" s="89">
        <f>SUM(M3:M11)</f>
        <v/>
      </c>
      <c r="N12" s="89">
        <f>SUM(N3:N11)</f>
        <v/>
      </c>
      <c r="O12" s="89">
        <f>SUM(O3:O11)</f>
        <v/>
      </c>
      <c r="P12" s="89">
        <f>SUM(P3:P11)</f>
        <v/>
      </c>
      <c r="Q12" s="89">
        <f>SUM(Q3:Q11)</f>
        <v/>
      </c>
    </row>
    <row r="13" s="83">
      <c r="A13" s="5" t="inlineStr">
        <is>
          <t>往来款项收入</t>
        </is>
      </c>
      <c r="B13" s="6" t="inlineStr">
        <is>
          <t>往来款项收入</t>
        </is>
      </c>
      <c r="C13" s="6" t="inlineStr">
        <is>
          <t>往来款项收入</t>
        </is>
      </c>
      <c r="D13" s="5" t="inlineStr">
        <is>
          <t>内部往来收入</t>
        </is>
      </c>
      <c r="E13" s="6" t="inlineStr">
        <is>
          <t>Q0401</t>
        </is>
      </c>
      <c r="F13" s="89">
        <f>SUMIFS('1月数据源'!I:I,'1月数据源'!D:D,E13,'1月数据源'!F:F,"杭州目标准科技有限公司")-SUMIFS('1月数据源'!J:J,'1月数据源'!D:D,E13,'1月数据源'!F:F,"杭州目标准科技有限公司")</f>
        <v/>
      </c>
      <c r="G13" s="89">
        <f>SUMIFS('2月数据源'!$I:$I,'2月数据源'!$D:$D,$E13,'2月数据源'!$F:$F,"杭州目标准科技有限公司")-SUMIFS('2月数据源'!$J:$J,'2月数据源'!$D:$D,$E13,'2月数据源'!$F:$F,"杭州目标准科技有限公司")</f>
        <v/>
      </c>
      <c r="H13" s="89">
        <f>SUMIFS('3月数据源'!$I:$I,'3月数据源'!$D:$D,$E13,'3月数据源'!$F:$F,"杭州目标准科技有限公司")-SUMIFS('3月数据源'!$J:$J,'3月数据源'!$D:$D,$E13,'3月数据源'!$F:$F,"杭州目标准科技有限公司")</f>
        <v/>
      </c>
      <c r="I13" s="89">
        <f>SUMIFS('4月数据源'!$I:$I,'4月数据源'!$D:$D,$E13,'4月数据源'!$F:$F,"杭州目标准科技有限公司")-SUMIFS('4月数据源'!$J:$J,'4月数据源'!$D:$D,$E13,'4月数据源'!$F:$F,"杭州目标准科技有限公司")</f>
        <v/>
      </c>
      <c r="J13" s="89">
        <f>SUMIFS('5月数据源'!$I:$I,'5月数据源'!$D:$D,$E13,'5月数据源'!$F:$F,"杭州目标准科技有限公司")-SUMIFS('5月数据源'!$J:$J,'5月数据源'!$D:$D,$E13,'5月数据源'!$F:$F,"杭州目标准科技有限公司")</f>
        <v/>
      </c>
      <c r="K13" s="89">
        <f>SUMIFS('6月数据源'!$I:$I,'6月数据源'!$D:$D,$E13,'6月数据源'!$F:$F,"杭州目标准科技有限公司")-SUMIFS('6月数据源'!$J:$J,'6月数据源'!$D:$D,$E13,'6月数据源'!$F:$F,"杭州目标准科技有限公司")</f>
        <v/>
      </c>
      <c r="L13" s="89">
        <f>SUMIFS('7月数据源'!$I:$I,'7月数据源'!$D:$D,$E13,'7月数据源'!$F:$F,"杭州目标准科技有限公司")-SUMIFS('7月数据源'!$J:$J,'7月数据源'!$D:$D,$E13,'7月数据源'!$F:$F,"杭州目标准科技有限公司")</f>
        <v/>
      </c>
      <c r="M13" s="89">
        <f>SUMIFS('8月数据源'!$I:$I,'8月数据源'!$D:$D,$E13,'8月数据源'!$F:$F,"杭州目标准科技有限公司")-SUMIFS('8月数据源'!$J:$J,'8月数据源'!$D:$D,$E13,'8月数据源'!$F:$F,"杭州目标准科技有限公司")</f>
        <v/>
      </c>
      <c r="N13" s="89">
        <f>SUMIFS('9月数据源'!$I:$I,'9月数据源'!$D:$D,$E13,'9月数据源'!$F:$F,"杭州目标准科技有限公司")-SUMIFS('9月数据源'!$J:$J,'9月数据源'!$D:$D,$E13,'9月数据源'!$F:$F,"杭州目标准科技有限公司")</f>
        <v/>
      </c>
      <c r="O13" s="89">
        <f>SUMIFS('10月数据源'!$I:$I,'10月数据源'!$D:$D,$E13,'10月数据源'!$F:$F,"杭州目标准科技有限公司")-SUMIFS('10月数据源'!$J:$J,'10月数据源'!$D:$D,$E13,'10月数据源'!$F:$F,"杭州目标准科技有限公司")</f>
        <v/>
      </c>
      <c r="P13" s="89">
        <f>SUMIFS('11月数据源'!$I:$I,'11月数据源'!$D:$D,$E13,'11月数据源'!$F:$F,"杭州目标准科技有限公司")-SUMIFS('11月数据源'!$J:$J,'11月数据源'!$D:$D,$E13,'11月数据源'!$F:$F,"杭州目标准科技有限公司")</f>
        <v/>
      </c>
      <c r="Q13" s="89">
        <f>SUMIFS('12月数据源'!$I:$I,'12月数据源'!$D:$D,$E13,'12月数据源'!$F:$F,"杭州目标准科技有限公司")-SUMIFS('12月数据源'!$J:$J,'12月数据源'!$D:$D,$E13,'12月数据源'!$F:$F,"杭州目标准科技有限公司")</f>
        <v/>
      </c>
    </row>
    <row r="14" s="83">
      <c r="A14" s="5" t="inlineStr">
        <is>
          <t>往来款项收入</t>
        </is>
      </c>
      <c r="B14" s="6" t="inlineStr">
        <is>
          <t>往来款项收入</t>
        </is>
      </c>
      <c r="D14" s="5" t="inlineStr">
        <is>
          <t>外部往来收入</t>
        </is>
      </c>
      <c r="E14" s="6" t="inlineStr">
        <is>
          <t>Q0402</t>
        </is>
      </c>
      <c r="F14" s="89">
        <f>SUMIFS('1月数据源'!I:I,'1月数据源'!D:D,E14,'1月数据源'!F:F,"杭州目标准科技有限公司")-SUMIFS('1月数据源'!J:J,'1月数据源'!D:D,E14,'1月数据源'!F:F,"杭州目标准科技有限公司")</f>
        <v/>
      </c>
      <c r="G14" s="89">
        <f>SUMIFS('2月数据源'!$I:$I,'2月数据源'!$D:$D,$E14,'2月数据源'!$F:$F,"杭州目标准科技有限公司")-SUMIFS('2月数据源'!$J:$J,'2月数据源'!$D:$D,$E14,'2月数据源'!$F:$F,"杭州目标准科技有限公司")</f>
        <v/>
      </c>
      <c r="H14" s="89">
        <f>SUMIFS('3月数据源'!$I:$I,'3月数据源'!$D:$D,$E14,'3月数据源'!$F:$F,"杭州目标准科技有限公司")-SUMIFS('3月数据源'!$J:$J,'3月数据源'!$D:$D,$E14,'3月数据源'!$F:$F,"杭州目标准科技有限公司")</f>
        <v/>
      </c>
      <c r="I14" s="89">
        <f>SUMIFS('4月数据源'!$I:$I,'4月数据源'!$D:$D,$E14,'4月数据源'!$F:$F,"杭州目标准科技有限公司")-SUMIFS('4月数据源'!$J:$J,'4月数据源'!$D:$D,$E14,'4月数据源'!$F:$F,"杭州目标准科技有限公司")</f>
        <v/>
      </c>
      <c r="J14" s="89">
        <f>SUMIFS('5月数据源'!$I:$I,'5月数据源'!$D:$D,$E14,'5月数据源'!$F:$F,"杭州目标准科技有限公司")-SUMIFS('5月数据源'!$J:$J,'5月数据源'!$D:$D,$E14,'5月数据源'!$F:$F,"杭州目标准科技有限公司")</f>
        <v/>
      </c>
      <c r="K14" s="89">
        <f>SUMIFS('6月数据源'!$I:$I,'6月数据源'!$D:$D,$E14,'6月数据源'!$F:$F,"杭州目标准科技有限公司")-SUMIFS('6月数据源'!$J:$J,'6月数据源'!$D:$D,$E14,'6月数据源'!$F:$F,"杭州目标准科技有限公司")</f>
        <v/>
      </c>
      <c r="L14" s="89">
        <f>SUMIFS('7月数据源'!$I:$I,'7月数据源'!$D:$D,$E14,'7月数据源'!$F:$F,"杭州目标准科技有限公司")-SUMIFS('7月数据源'!$J:$J,'7月数据源'!$D:$D,$E14,'7月数据源'!$F:$F,"杭州目标准科技有限公司")</f>
        <v/>
      </c>
      <c r="M14" s="89">
        <f>SUMIFS('8月数据源'!$I:$I,'8月数据源'!$D:$D,$E14,'8月数据源'!$F:$F,"杭州目标准科技有限公司")-SUMIFS('8月数据源'!$J:$J,'8月数据源'!$D:$D,$E14,'8月数据源'!$F:$F,"杭州目标准科技有限公司")</f>
        <v/>
      </c>
      <c r="N14" s="89">
        <f>SUMIFS('9月数据源'!$I:$I,'9月数据源'!$D:$D,$E14,'9月数据源'!$F:$F,"杭州目标准科技有限公司")-SUMIFS('9月数据源'!$J:$J,'9月数据源'!$D:$D,$E14,'9月数据源'!$F:$F,"杭州目标准科技有限公司")</f>
        <v/>
      </c>
      <c r="O14" s="89">
        <f>SUMIFS('10月数据源'!$I:$I,'10月数据源'!$D:$D,$E14,'10月数据源'!$F:$F,"杭州目标准科技有限公司")-SUMIFS('10月数据源'!$J:$J,'10月数据源'!$D:$D,$E14,'10月数据源'!$F:$F,"杭州目标准科技有限公司")</f>
        <v/>
      </c>
      <c r="P14" s="89">
        <f>SUMIFS('11月数据源'!$I:$I,'11月数据源'!$D:$D,$E14,'11月数据源'!$F:$F,"杭州目标准科技有限公司")-SUMIFS('11月数据源'!$J:$J,'11月数据源'!$D:$D,$E14,'11月数据源'!$F:$F,"杭州目标准科技有限公司")</f>
        <v/>
      </c>
      <c r="Q14" s="89">
        <f>SUMIFS('12月数据源'!$I:$I,'12月数据源'!$D:$D,$E14,'12月数据源'!$F:$F,"杭州目标准科技有限公司")-SUMIFS('12月数据源'!$J:$J,'12月数据源'!$D:$D,$E14,'12月数据源'!$F:$F,"杭州目标准科技有限公司")</f>
        <v/>
      </c>
    </row>
    <row r="15" s="83">
      <c r="A15" s="49" t="inlineStr">
        <is>
          <t>往来款项收入合计</t>
        </is>
      </c>
      <c r="B15" s="50" t="n"/>
      <c r="C15" s="50" t="n"/>
      <c r="D15" s="49" t="n"/>
      <c r="E15" s="49" t="n"/>
      <c r="F15" s="89">
        <f>SUM(F13:F14)</f>
        <v/>
      </c>
      <c r="G15" s="89">
        <f>SUM(G13:G14)</f>
        <v/>
      </c>
      <c r="H15" s="89">
        <f>SUM(H13:H14)</f>
        <v/>
      </c>
      <c r="I15" s="89">
        <f>SUM(I13:I14)</f>
        <v/>
      </c>
      <c r="J15" s="89">
        <f>SUM(J13:J14)</f>
        <v/>
      </c>
      <c r="K15" s="89">
        <f>SUM(K13:K14)</f>
        <v/>
      </c>
      <c r="L15" s="89">
        <f>SUM(L13:L14)</f>
        <v/>
      </c>
      <c r="M15" s="89">
        <f>SUM(M13:M14)</f>
        <v/>
      </c>
      <c r="N15" s="89">
        <f>SUM(N13:N14)</f>
        <v/>
      </c>
      <c r="O15" s="89">
        <f>SUM(O13:O14)</f>
        <v/>
      </c>
      <c r="P15" s="89">
        <f>SUM(P13:P14)</f>
        <v/>
      </c>
      <c r="Q15" s="89">
        <f>SUM(Q13:Q14)</f>
        <v/>
      </c>
    </row>
    <row r="16" s="83">
      <c r="A16" s="5" t="inlineStr">
        <is>
          <t>投资款收入</t>
        </is>
      </c>
      <c r="B16" s="6" t="inlineStr">
        <is>
          <t>投资款收入</t>
        </is>
      </c>
      <c r="C16" s="6" t="inlineStr">
        <is>
          <t>投资款收入</t>
        </is>
      </c>
      <c r="D16" s="5" t="inlineStr">
        <is>
          <t>内部投资款收入</t>
        </is>
      </c>
      <c r="E16" s="6" t="inlineStr">
        <is>
          <t>Q0501</t>
        </is>
      </c>
      <c r="F16" s="89">
        <f>SUMIFS('1月数据源'!I:I,'1月数据源'!D:D,E16,'1月数据源'!F:F,"杭州目标准科技有限公司")-SUMIFS('1月数据源'!J:J,'1月数据源'!D:D,E16,'1月数据源'!F:F,"杭州目标准科技有限公司")</f>
        <v/>
      </c>
      <c r="G16" s="89">
        <f>SUMIFS('2月数据源'!$I:$I,'2月数据源'!$D:$D,$E16,'2月数据源'!$F:$F,"杭州目标准科技有限公司")-SUMIFS('2月数据源'!$J:$J,'2月数据源'!$D:$D,$E16,'2月数据源'!$F:$F,"杭州目标准科技有限公司")</f>
        <v/>
      </c>
      <c r="H16" s="89">
        <f>SUMIFS('3月数据源'!$I:$I,'3月数据源'!$D:$D,$E16,'3月数据源'!$F:$F,"杭州目标准科技有限公司")-SUMIFS('3月数据源'!$J:$J,'3月数据源'!$D:$D,$E16,'3月数据源'!$F:$F,"杭州目标准科技有限公司")</f>
        <v/>
      </c>
      <c r="I16" s="89">
        <f>SUMIFS('4月数据源'!$I:$I,'4月数据源'!$D:$D,$E16,'4月数据源'!$F:$F,"杭州目标准科技有限公司")-SUMIFS('4月数据源'!$J:$J,'4月数据源'!$D:$D,$E16,'4月数据源'!$F:$F,"杭州目标准科技有限公司")</f>
        <v/>
      </c>
      <c r="J16" s="89">
        <f>SUMIFS('5月数据源'!$I:$I,'5月数据源'!$D:$D,$E16,'5月数据源'!$F:$F,"杭州目标准科技有限公司")-SUMIFS('5月数据源'!$J:$J,'5月数据源'!$D:$D,$E16,'5月数据源'!$F:$F,"杭州目标准科技有限公司")</f>
        <v/>
      </c>
      <c r="K16" s="89">
        <f>SUMIFS('6月数据源'!$I:$I,'6月数据源'!$D:$D,$E16,'6月数据源'!$F:$F,"杭州目标准科技有限公司")-SUMIFS('6月数据源'!$J:$J,'6月数据源'!$D:$D,$E16,'6月数据源'!$F:$F,"杭州目标准科技有限公司")</f>
        <v/>
      </c>
      <c r="L16" s="89">
        <f>SUMIFS('7月数据源'!$I:$I,'7月数据源'!$D:$D,$E16,'7月数据源'!$F:$F,"杭州目标准科技有限公司")-SUMIFS('7月数据源'!$J:$J,'7月数据源'!$D:$D,$E16,'7月数据源'!$F:$F,"杭州目标准科技有限公司")</f>
        <v/>
      </c>
      <c r="M16" s="89">
        <f>SUMIFS('8月数据源'!$I:$I,'8月数据源'!$D:$D,$E16,'8月数据源'!$F:$F,"杭州目标准科技有限公司")-SUMIFS('8月数据源'!$J:$J,'8月数据源'!$D:$D,$E16,'8月数据源'!$F:$F,"杭州目标准科技有限公司")</f>
        <v/>
      </c>
      <c r="N16" s="89">
        <f>SUMIFS('9月数据源'!$I:$I,'9月数据源'!$D:$D,$E16,'9月数据源'!$F:$F,"杭州目标准科技有限公司")-SUMIFS('9月数据源'!$J:$J,'9月数据源'!$D:$D,$E16,'9月数据源'!$F:$F,"杭州目标准科技有限公司")</f>
        <v/>
      </c>
      <c r="O16" s="89">
        <f>SUMIFS('10月数据源'!$I:$I,'10月数据源'!$D:$D,$E16,'10月数据源'!$F:$F,"杭州目标准科技有限公司")-SUMIFS('10月数据源'!$J:$J,'10月数据源'!$D:$D,$E16,'10月数据源'!$F:$F,"杭州目标准科技有限公司")</f>
        <v/>
      </c>
      <c r="P16" s="89">
        <f>SUMIFS('11月数据源'!$I:$I,'11月数据源'!$D:$D,$E16,'11月数据源'!$F:$F,"杭州目标准科技有限公司")-SUMIFS('11月数据源'!$J:$J,'11月数据源'!$D:$D,$E16,'11月数据源'!$F:$F,"杭州目标准科技有限公司")</f>
        <v/>
      </c>
      <c r="Q16" s="89">
        <f>SUMIFS('12月数据源'!$I:$I,'12月数据源'!$D:$D,$E16,'12月数据源'!$F:$F,"杭州目标准科技有限公司")-SUMIFS('12月数据源'!$J:$J,'12月数据源'!$D:$D,$E16,'12月数据源'!$F:$F,"杭州目标准科技有限公司")</f>
        <v/>
      </c>
    </row>
    <row r="17" s="83">
      <c r="A17" s="5" t="inlineStr">
        <is>
          <t>投资款收入</t>
        </is>
      </c>
      <c r="B17" s="6" t="inlineStr">
        <is>
          <t>投资款收入</t>
        </is>
      </c>
      <c r="D17" s="5" t="inlineStr">
        <is>
          <t>外部投资款收入</t>
        </is>
      </c>
      <c r="E17" s="6" t="inlineStr">
        <is>
          <t>Q0502</t>
        </is>
      </c>
      <c r="F17" s="89">
        <f>SUMIFS('1月数据源'!I:I,'1月数据源'!D:D,E17,'1月数据源'!F:F,"杭州目标准科技有限公司")-SUMIFS('1月数据源'!J:J,'1月数据源'!D:D,E17,'1月数据源'!F:F,"杭州目标准科技有限公司")</f>
        <v/>
      </c>
      <c r="G17" s="89">
        <f>SUMIFS('2月数据源'!$I:$I,'2月数据源'!$D:$D,$E17,'2月数据源'!$F:$F,"杭州目标准科技有限公司")-SUMIFS('2月数据源'!$J:$J,'2月数据源'!$D:$D,$E17,'2月数据源'!$F:$F,"杭州目标准科技有限公司")</f>
        <v/>
      </c>
      <c r="H17" s="89">
        <f>SUMIFS('3月数据源'!$I:$I,'3月数据源'!$D:$D,$E17,'3月数据源'!$F:$F,"杭州目标准科技有限公司")-SUMIFS('3月数据源'!$J:$J,'3月数据源'!$D:$D,$E17,'3月数据源'!$F:$F,"杭州目标准科技有限公司")</f>
        <v/>
      </c>
      <c r="I17" s="89">
        <f>SUMIFS('4月数据源'!$I:$I,'4月数据源'!$D:$D,$E17,'4月数据源'!$F:$F,"杭州目标准科技有限公司")-SUMIFS('4月数据源'!$J:$J,'4月数据源'!$D:$D,$E17,'4月数据源'!$F:$F,"杭州目标准科技有限公司")</f>
        <v/>
      </c>
      <c r="J17" s="89">
        <f>SUMIFS('5月数据源'!$I:$I,'5月数据源'!$D:$D,$E17,'5月数据源'!$F:$F,"杭州目标准科技有限公司")-SUMIFS('5月数据源'!$J:$J,'5月数据源'!$D:$D,$E17,'5月数据源'!$F:$F,"杭州目标准科技有限公司")</f>
        <v/>
      </c>
      <c r="K17" s="89">
        <f>SUMIFS('6月数据源'!$I:$I,'6月数据源'!$D:$D,$E17,'6月数据源'!$F:$F,"杭州目标准科技有限公司")-SUMIFS('6月数据源'!$J:$J,'6月数据源'!$D:$D,$E17,'6月数据源'!$F:$F,"杭州目标准科技有限公司")</f>
        <v/>
      </c>
      <c r="L17" s="89">
        <f>SUMIFS('7月数据源'!$I:$I,'7月数据源'!$D:$D,$E17,'7月数据源'!$F:$F,"杭州目标准科技有限公司")-SUMIFS('7月数据源'!$J:$J,'7月数据源'!$D:$D,$E17,'7月数据源'!$F:$F,"杭州目标准科技有限公司")</f>
        <v/>
      </c>
      <c r="M17" s="89">
        <f>SUMIFS('8月数据源'!$I:$I,'8月数据源'!$D:$D,$E17,'8月数据源'!$F:$F,"杭州目标准科技有限公司")-SUMIFS('8月数据源'!$J:$J,'8月数据源'!$D:$D,$E17,'8月数据源'!$F:$F,"杭州目标准科技有限公司")</f>
        <v/>
      </c>
      <c r="N17" s="89">
        <f>SUMIFS('9月数据源'!$I:$I,'9月数据源'!$D:$D,$E17,'9月数据源'!$F:$F,"杭州目标准科技有限公司")-SUMIFS('9月数据源'!$J:$J,'9月数据源'!$D:$D,$E17,'9月数据源'!$F:$F,"杭州目标准科技有限公司")</f>
        <v/>
      </c>
      <c r="O17" s="89">
        <f>SUMIFS('10月数据源'!$I:$I,'10月数据源'!$D:$D,$E17,'10月数据源'!$F:$F,"杭州目标准科技有限公司")-SUMIFS('10月数据源'!$J:$J,'10月数据源'!$D:$D,$E17,'10月数据源'!$F:$F,"杭州目标准科技有限公司")</f>
        <v/>
      </c>
      <c r="P17" s="89">
        <f>SUMIFS('11月数据源'!$I:$I,'11月数据源'!$D:$D,$E17,'11月数据源'!$F:$F,"杭州目标准科技有限公司")-SUMIFS('11月数据源'!$J:$J,'11月数据源'!$D:$D,$E17,'11月数据源'!$F:$F,"杭州目标准科技有限公司")</f>
        <v/>
      </c>
      <c r="Q17" s="89">
        <f>SUMIFS('12月数据源'!$I:$I,'12月数据源'!$D:$D,$E17,'12月数据源'!$F:$F,"杭州目标准科技有限公司")-SUMIFS('12月数据源'!$J:$J,'12月数据源'!$D:$D,$E17,'12月数据源'!$F:$F,"杭州目标准科技有限公司")</f>
        <v/>
      </c>
    </row>
    <row r="18" s="83">
      <c r="A18" s="49" t="inlineStr">
        <is>
          <t>投资款收入合计</t>
        </is>
      </c>
      <c r="B18" s="50" t="n"/>
      <c r="C18" s="50" t="n"/>
      <c r="D18" s="49" t="n"/>
      <c r="E18" s="49" t="n"/>
      <c r="F18" s="89">
        <f>SUM(F16:F17)</f>
        <v/>
      </c>
      <c r="G18" s="89">
        <f>SUM(G16:G17)</f>
        <v/>
      </c>
      <c r="H18" s="89">
        <f>SUM(H16:H17)</f>
        <v/>
      </c>
      <c r="I18" s="89">
        <f>SUM(I16:I17)</f>
        <v/>
      </c>
      <c r="J18" s="89">
        <f>SUM(J16:J17)</f>
        <v/>
      </c>
      <c r="K18" s="89">
        <f>SUM(K16:K17)</f>
        <v/>
      </c>
      <c r="L18" s="89">
        <f>SUM(L16:L17)</f>
        <v/>
      </c>
      <c r="M18" s="89">
        <f>SUM(M16:M17)</f>
        <v/>
      </c>
      <c r="N18" s="89">
        <f>SUM(N16:N17)</f>
        <v/>
      </c>
      <c r="O18" s="89">
        <f>SUM(O16:O17)</f>
        <v/>
      </c>
      <c r="P18" s="89">
        <f>SUM(P16:P17)</f>
        <v/>
      </c>
      <c r="Q18" s="89">
        <f>SUM(Q16:Q17)</f>
        <v/>
      </c>
    </row>
    <row r="19" s="83">
      <c r="A19" s="51" t="inlineStr">
        <is>
          <t>收款合计</t>
        </is>
      </c>
      <c r="B19" s="52" t="n"/>
      <c r="C19" s="52" t="n"/>
      <c r="D19" s="51" t="n"/>
      <c r="E19" s="51" t="n"/>
      <c r="F19" s="89">
        <f>F12+F15+F18</f>
        <v/>
      </c>
      <c r="G19" s="89">
        <f>G12+G15+G18</f>
        <v/>
      </c>
      <c r="H19" s="89">
        <f>H12+H15+H18</f>
        <v/>
      </c>
      <c r="I19" s="89">
        <f>I12+I15+I18</f>
        <v/>
      </c>
      <c r="J19" s="89">
        <f>J12+J15+J18</f>
        <v/>
      </c>
      <c r="K19" s="89">
        <f>K12+K15+K18</f>
        <v/>
      </c>
      <c r="L19" s="89">
        <f>L12+L15+L18</f>
        <v/>
      </c>
      <c r="M19" s="89">
        <f>M12+M15+M18</f>
        <v/>
      </c>
      <c r="N19" s="89">
        <f>N12+N15+N18</f>
        <v/>
      </c>
      <c r="O19" s="89">
        <f>O12+O15+O18</f>
        <v/>
      </c>
      <c r="P19" s="89">
        <f>P12+P15+P18</f>
        <v/>
      </c>
      <c r="Q19" s="89">
        <f>Q12+Q15+Q18</f>
        <v/>
      </c>
    </row>
    <row r="20" s="83">
      <c r="A20" s="5" t="inlineStr">
        <is>
          <t>往来款项支出</t>
        </is>
      </c>
      <c r="B20" s="6" t="inlineStr">
        <is>
          <t>往来款项支出</t>
        </is>
      </c>
      <c r="C20" s="6" t="inlineStr">
        <is>
          <t>往来款项支出</t>
        </is>
      </c>
      <c r="D20" s="5" t="inlineStr">
        <is>
          <t>内部往来支出</t>
        </is>
      </c>
      <c r="E20" s="6" t="inlineStr">
        <is>
          <t>Q0601</t>
        </is>
      </c>
      <c r="F20" s="89">
        <f>-SUMIFS('1月数据源'!$I:$I,'1月数据源'!$D:$D,$E20,'1月数据源'!$F:$F,"杭州目标准科技有限公司")+SUMIFS('1月数据源'!$J:$J,'1月数据源'!$D:$D,$E20,'1月数据源'!$F:$F,"杭州目标准科技有限公司")</f>
        <v/>
      </c>
      <c r="G20" s="89">
        <f>-SUMIFS('2月数据源'!$I:$I,'2月数据源'!$D:$D,$E20,'2月数据源'!$F:$F,"杭州目标准科技有限公司")+SUMIFS('2月数据源'!$J:$J,'2月数据源'!$D:$D,$E20,'2月数据源'!$F:$F,"杭州目标准科技有限公司")</f>
        <v/>
      </c>
      <c r="H20" s="89">
        <f>-SUMIFS('3月数据源'!$I:$I,'3月数据源'!$D:$D,$E20,'3月数据源'!$F:$F,"杭州目标准科技有限公司")+SUMIFS('3月数据源'!$J:$J,'3月数据源'!$D:$D,$E20,'3月数据源'!$F:$F,"杭州目标准科技有限公司")</f>
        <v/>
      </c>
      <c r="I20" s="89">
        <f>-SUMIFS('4月数据源'!$I:$I,'4月数据源'!$D:$D,$E20,'4月数据源'!$F:$F,"杭州目标准科技有限公司")+SUMIFS('4月数据源'!$J:$J,'4月数据源'!$D:$D,$E20,'4月数据源'!$F:$F,"杭州目标准科技有限公司")</f>
        <v/>
      </c>
      <c r="J20" s="89">
        <f>-SUMIFS('5月数据源'!$I:$I,'5月数据源'!$D:$D,$E20,'5月数据源'!$F:$F,"杭州目标准科技有限公司")+SUMIFS('5月数据源'!$J:$J,'5月数据源'!$D:$D,$E20,'5月数据源'!$F:$F,"杭州目标准科技有限公司")</f>
        <v/>
      </c>
      <c r="K20" s="89">
        <f>-SUMIFS('6月数据源'!$I:$I,'6月数据源'!$D:$D,$E20,'6月数据源'!$F:$F,"杭州目标准科技有限公司")+SUMIFS('6月数据源'!$J:$J,'6月数据源'!$D:$D,$E20,'6月数据源'!$F:$F,"杭州目标准科技有限公司")</f>
        <v/>
      </c>
      <c r="L20" s="89">
        <f>-SUMIFS('7月数据源'!$I:$I,'7月数据源'!$D:$D,$E20,'7月数据源'!$F:$F,"杭州目标准科技有限公司")+SUMIFS('7月数据源'!$J:$J,'7月数据源'!$D:$D,$E20,'7月数据源'!$F:$F,"杭州目标准科技有限公司")</f>
        <v/>
      </c>
      <c r="M20" s="89">
        <f>-SUMIFS('8月数据源'!$I:$I,'8月数据源'!$D:$D,$E20,'8月数据源'!$F:$F,"杭州目标准科技有限公司")+SUMIFS('8月数据源'!$J:$J,'8月数据源'!$D:$D,$E20,'8月数据源'!$F:$F,"杭州目标准科技有限公司")</f>
        <v/>
      </c>
      <c r="N20" s="89">
        <f>-SUMIFS('9月数据源'!$I:$I,'9月数据源'!$D:$D,$E20,'9月数据源'!$F:$F,"杭州目标准科技有限公司")+SUMIFS('9月数据源'!$J:$J,'9月数据源'!$D:$D,$E20,'9月数据源'!$F:$F,"杭州目标准科技有限公司")</f>
        <v/>
      </c>
      <c r="O20" s="89">
        <f>-SUMIFS('10月数据源'!$I:$I,'10月数据源'!$D:$D,$E20,'10月数据源'!$F:$F,"杭州目标准科技有限公司")+SUMIFS('10月数据源'!$J:$J,'10月数据源'!$D:$D,$E20,'10月数据源'!$F:$F,"杭州目标准科技有限公司")</f>
        <v/>
      </c>
      <c r="P20" s="89">
        <f>-SUMIFS('11月数据源'!$I:$I,'11月数据源'!$D:$D,$E20,'11月数据源'!$F:$F,"杭州目标准科技有限公司")+SUMIFS('11月数据源'!$J:$J,'11月数据源'!$D:$D,$E20,'11月数据源'!$F:$F,"杭州目标准科技有限公司")</f>
        <v/>
      </c>
      <c r="Q20" s="89">
        <f>-SUMIFS('12月数据源'!$I:$I,'12月数据源'!$D:$D,$E20,'12月数据源'!$F:$F,"杭州目标准科技有限公司")+SUMIFS('12月数据源'!$J:$J,'12月数据源'!$D:$D,$E20,'12月数据源'!$F:$F,"杭州目标准科技有限公司")</f>
        <v/>
      </c>
    </row>
    <row r="21" s="83">
      <c r="A21" s="5" t="inlineStr">
        <is>
          <t>往来款项支出</t>
        </is>
      </c>
      <c r="B21" s="6" t="inlineStr">
        <is>
          <t>往来款项支出</t>
        </is>
      </c>
      <c r="D21" s="5" t="inlineStr">
        <is>
          <t>外部往来支出</t>
        </is>
      </c>
      <c r="E21" s="6" t="inlineStr">
        <is>
          <t>Q0602</t>
        </is>
      </c>
      <c r="F21" s="89">
        <f>-SUMIFS('1月数据源'!I:I,'1月数据源'!D:D,E21,'1月数据源'!F:F,"杭州目标准科技有限公司")+SUMIFS('1月数据源'!J:J,'1月数据源'!D:D,E21,'1月数据源'!F:F,"杭州目标准科技有限公司")</f>
        <v/>
      </c>
      <c r="G21" s="89">
        <f>-SUMIFS('2月数据源'!$I:$I,'2月数据源'!$D:$D,$E21,'2月数据源'!$F:$F,"杭州目标准科技有限公司")+SUMIFS('2月数据源'!$J:$J,'2月数据源'!$D:$D,$E21,'2月数据源'!$F:$F,"杭州目标准科技有限公司")</f>
        <v/>
      </c>
      <c r="H21" s="89">
        <f>-SUMIFS('3月数据源'!$I:$I,'3月数据源'!$D:$D,$E21,'3月数据源'!$F:$F,"杭州目标准科技有限公司")+SUMIFS('3月数据源'!$J:$J,'3月数据源'!$D:$D,$E21,'3月数据源'!$F:$F,"杭州目标准科技有限公司")</f>
        <v/>
      </c>
      <c r="I21" s="89">
        <f>-SUMIFS('4月数据源'!$I:$I,'4月数据源'!$D:$D,$E21,'4月数据源'!$F:$F,"杭州目标准科技有限公司")+SUMIFS('4月数据源'!$J:$J,'4月数据源'!$D:$D,$E21,'4月数据源'!$F:$F,"杭州目标准科技有限公司")</f>
        <v/>
      </c>
      <c r="J21" s="89">
        <f>-SUMIFS('5月数据源'!$I:$I,'5月数据源'!$D:$D,$E21,'5月数据源'!$F:$F,"杭州目标准科技有限公司")+SUMIFS('5月数据源'!$J:$J,'5月数据源'!$D:$D,$E21,'5月数据源'!$F:$F,"杭州目标准科技有限公司")</f>
        <v/>
      </c>
      <c r="K21" s="89">
        <f>-SUMIFS('6月数据源'!$I:$I,'6月数据源'!$D:$D,$E21,'6月数据源'!$F:$F,"杭州目标准科技有限公司")+SUMIFS('6月数据源'!$J:$J,'6月数据源'!$D:$D,$E21,'6月数据源'!$F:$F,"杭州目标准科技有限公司")</f>
        <v/>
      </c>
      <c r="L21" s="89">
        <f>-SUMIFS('7月数据源'!$I:$I,'7月数据源'!$D:$D,$E21,'7月数据源'!$F:$F,"杭州目标准科技有限公司")+SUMIFS('7月数据源'!$J:$J,'7月数据源'!$D:$D,$E21,'7月数据源'!$F:$F,"杭州目标准科技有限公司")</f>
        <v/>
      </c>
      <c r="M21" s="89">
        <f>-SUMIFS('8月数据源'!$I:$I,'8月数据源'!$D:$D,$E21,'8月数据源'!$F:$F,"杭州目标准科技有限公司")+SUMIFS('8月数据源'!$J:$J,'8月数据源'!$D:$D,$E21,'8月数据源'!$F:$F,"杭州目标准科技有限公司")</f>
        <v/>
      </c>
      <c r="N21" s="89">
        <f>-SUMIFS('9月数据源'!$I:$I,'9月数据源'!$D:$D,$E21,'9月数据源'!$F:$F,"杭州目标准科技有限公司")+SUMIFS('9月数据源'!$J:$J,'9月数据源'!$D:$D,$E21,'9月数据源'!$F:$F,"杭州目标准科技有限公司")</f>
        <v/>
      </c>
      <c r="O21" s="89">
        <f>-SUMIFS('10月数据源'!$I:$I,'10月数据源'!$D:$D,$E21,'10月数据源'!$F:$F,"杭州目标准科技有限公司")+SUMIFS('10月数据源'!$J:$J,'10月数据源'!$D:$D,$E21,'10月数据源'!$F:$F,"杭州目标准科技有限公司")</f>
        <v/>
      </c>
      <c r="P21" s="89">
        <f>-SUMIFS('11月数据源'!$I:$I,'11月数据源'!$D:$D,$E21,'11月数据源'!$F:$F,"杭州目标准科技有限公司")+SUMIFS('11月数据源'!$J:$J,'11月数据源'!$D:$D,$E21,'11月数据源'!$F:$F,"杭州目标准科技有限公司")</f>
        <v/>
      </c>
      <c r="Q21" s="89">
        <f>-SUMIFS('12月数据源'!$I:$I,'12月数据源'!$D:$D,$E21,'12月数据源'!$F:$F,"杭州目标准科技有限公司")+SUMIFS('12月数据源'!$J:$J,'12月数据源'!$D:$D,$E21,'12月数据源'!$F:$F,"杭州目标准科技有限公司")</f>
        <v/>
      </c>
    </row>
    <row r="22" s="83">
      <c r="A22" s="49" t="inlineStr">
        <is>
          <t>往来款项支出合计</t>
        </is>
      </c>
      <c r="B22" s="50" t="n"/>
      <c r="C22" s="50" t="n"/>
      <c r="D22" s="49" t="n"/>
      <c r="E22" s="49" t="n"/>
      <c r="F22" s="89">
        <f>SUM(F20:F21)</f>
        <v/>
      </c>
      <c r="G22" s="89">
        <f>SUM(G20:G21)</f>
        <v/>
      </c>
      <c r="H22" s="89">
        <f>SUM(H20:H21)</f>
        <v/>
      </c>
      <c r="I22" s="89">
        <f>SUM(I20:I21)</f>
        <v/>
      </c>
      <c r="J22" s="89">
        <f>SUM(J20:J21)</f>
        <v/>
      </c>
      <c r="K22" s="89">
        <f>SUM(K20:K21)</f>
        <v/>
      </c>
      <c r="L22" s="89">
        <f>SUM(L20:L21)</f>
        <v/>
      </c>
      <c r="M22" s="89">
        <f>SUM(M20:M21)</f>
        <v/>
      </c>
      <c r="N22" s="89">
        <f>SUM(N20:N21)</f>
        <v/>
      </c>
      <c r="O22" s="89">
        <f>SUM(O20:O21)</f>
        <v/>
      </c>
      <c r="P22" s="89">
        <f>SUM(P20:P21)</f>
        <v/>
      </c>
      <c r="Q22" s="89">
        <f>SUM(Q20:Q21)</f>
        <v/>
      </c>
    </row>
    <row r="23" s="83">
      <c r="A23" s="5" t="inlineStr">
        <is>
          <t>投资款支出</t>
        </is>
      </c>
      <c r="B23" s="6" t="inlineStr">
        <is>
          <t>投资款支出</t>
        </is>
      </c>
      <c r="C23" s="6" t="inlineStr">
        <is>
          <t>投资款支出</t>
        </is>
      </c>
      <c r="D23" s="5" t="inlineStr">
        <is>
          <t>内部投资款支出</t>
        </is>
      </c>
      <c r="E23" s="6" t="inlineStr">
        <is>
          <t>Q0701</t>
        </is>
      </c>
      <c r="F23" s="89">
        <f>-SUMIFS('1月数据源'!I:I,'1月数据源'!D:D,E23,'1月数据源'!F:F,"杭州目标准科技有限公司")+SUMIFS('1月数据源'!J:J,'1月数据源'!D:D,E23,'1月数据源'!F:F,"杭州目标准科技有限公司")</f>
        <v/>
      </c>
      <c r="G23" s="89">
        <f>-SUMIFS('2月数据源'!$I:$I,'2月数据源'!$D:$D,$E23,'2月数据源'!$F:$F,"杭州目标准科技有限公司")+SUMIFS('2月数据源'!$J:$J,'2月数据源'!$D:$D,$E23,'2月数据源'!$F:$F,"杭州目标准科技有限公司")</f>
        <v/>
      </c>
      <c r="H23" s="89">
        <f>-SUMIFS('3月数据源'!$I:$I,'3月数据源'!$D:$D,$E23,'3月数据源'!$F:$F,"杭州目标准科技有限公司")+SUMIFS('3月数据源'!$J:$J,'3月数据源'!$D:$D,$E23,'3月数据源'!$F:$F,"杭州目标准科技有限公司")</f>
        <v/>
      </c>
      <c r="I23" s="89">
        <f>-SUMIFS('4月数据源'!$I:$I,'4月数据源'!$D:$D,$E23,'4月数据源'!$F:$F,"杭州目标准科技有限公司")+SUMIFS('4月数据源'!$J:$J,'4月数据源'!$D:$D,$E23,'4月数据源'!$F:$F,"杭州目标准科技有限公司")</f>
        <v/>
      </c>
      <c r="J23" s="89">
        <f>-SUMIFS('5月数据源'!$I:$I,'5月数据源'!$D:$D,$E23,'5月数据源'!$F:$F,"杭州目标准科技有限公司")+SUMIFS('5月数据源'!$J:$J,'5月数据源'!$D:$D,$E23,'5月数据源'!$F:$F,"杭州目标准科技有限公司")</f>
        <v/>
      </c>
      <c r="K23" s="89">
        <f>-SUMIFS('6月数据源'!$I:$I,'6月数据源'!$D:$D,$E23,'6月数据源'!$F:$F,"杭州目标准科技有限公司")+SUMIFS('6月数据源'!$J:$J,'6月数据源'!$D:$D,$E23,'6月数据源'!$F:$F,"杭州目标准科技有限公司")</f>
        <v/>
      </c>
      <c r="L23" s="89">
        <f>-SUMIFS('7月数据源'!$I:$I,'7月数据源'!$D:$D,$E23,'7月数据源'!$F:$F,"杭州目标准科技有限公司")+SUMIFS('7月数据源'!$J:$J,'7月数据源'!$D:$D,$E23,'7月数据源'!$F:$F,"杭州目标准科技有限公司")</f>
        <v/>
      </c>
      <c r="M23" s="89">
        <f>-SUMIFS('8月数据源'!$I:$I,'8月数据源'!$D:$D,$E23,'8月数据源'!$F:$F,"杭州目标准科技有限公司")+SUMIFS('8月数据源'!$J:$J,'8月数据源'!$D:$D,$E23,'8月数据源'!$F:$F,"杭州目标准科技有限公司")</f>
        <v/>
      </c>
      <c r="N23" s="89">
        <f>-SUMIFS('9月数据源'!$I:$I,'9月数据源'!$D:$D,$E23,'9月数据源'!$F:$F,"杭州目标准科技有限公司")+SUMIFS('9月数据源'!$J:$J,'9月数据源'!$D:$D,$E23,'9月数据源'!$F:$F,"杭州目标准科技有限公司")</f>
        <v/>
      </c>
      <c r="O23" s="89">
        <f>-SUMIFS('10月数据源'!$I:$I,'10月数据源'!$D:$D,$E23,'10月数据源'!$F:$F,"杭州目标准科技有限公司")+SUMIFS('10月数据源'!$J:$J,'10月数据源'!$D:$D,$E23,'10月数据源'!$F:$F,"杭州目标准科技有限公司")</f>
        <v/>
      </c>
      <c r="P23" s="89">
        <f>-SUMIFS('11月数据源'!$I:$I,'11月数据源'!$D:$D,$E23,'11月数据源'!$F:$F,"杭州目标准科技有限公司")+SUMIFS('11月数据源'!$J:$J,'11月数据源'!$D:$D,$E23,'11月数据源'!$F:$F,"杭州目标准科技有限公司")</f>
        <v/>
      </c>
      <c r="Q23" s="89">
        <f>-SUMIFS('12月数据源'!$I:$I,'12月数据源'!$D:$D,$E23,'12月数据源'!$F:$F,"杭州目标准科技有限公司")+SUMIFS('12月数据源'!$J:$J,'12月数据源'!$D:$D,$E23,'12月数据源'!$F:$F,"杭州目标准科技有限公司")</f>
        <v/>
      </c>
    </row>
    <row r="24" s="83">
      <c r="A24" s="49" t="inlineStr">
        <is>
          <t>投资款支出合计</t>
        </is>
      </c>
      <c r="B24" s="50" t="n"/>
      <c r="C24" s="50" t="n"/>
      <c r="D24" s="49" t="n"/>
      <c r="E24" s="49" t="n"/>
      <c r="F24" s="89">
        <f>SUM(F23:F23)</f>
        <v/>
      </c>
      <c r="G24" s="89">
        <f>SUM(G23:G23)</f>
        <v/>
      </c>
      <c r="H24" s="89">
        <f>SUM(H23:H23)</f>
        <v/>
      </c>
      <c r="I24" s="89">
        <f>SUM(I23:I23)</f>
        <v/>
      </c>
      <c r="J24" s="89">
        <f>SUM(J23:J23)</f>
        <v/>
      </c>
      <c r="K24" s="89">
        <f>SUM(K23:K23)</f>
        <v/>
      </c>
      <c r="L24" s="89">
        <f>SUM(L23:L23)</f>
        <v/>
      </c>
      <c r="M24" s="89">
        <f>SUM(M23:M23)</f>
        <v/>
      </c>
      <c r="N24" s="89">
        <f>SUM(N23:N23)</f>
        <v/>
      </c>
      <c r="O24" s="89">
        <f>SUM(O23:O23)</f>
        <v/>
      </c>
      <c r="P24" s="89">
        <f>SUM(P23:P23)</f>
        <v/>
      </c>
      <c r="Q24" s="89">
        <f>SUM(Q23:Q23)</f>
        <v/>
      </c>
    </row>
    <row r="25" s="83">
      <c r="A25" s="5" t="inlineStr">
        <is>
          <t>人工成本</t>
        </is>
      </c>
      <c r="B25" s="6" t="inlineStr">
        <is>
          <t>人工成本</t>
        </is>
      </c>
      <c r="C25" s="6" t="inlineStr">
        <is>
          <t>人工成本</t>
        </is>
      </c>
      <c r="D25" s="5" t="inlineStr">
        <is>
          <t>实发工资</t>
        </is>
      </c>
      <c r="E25" s="6" t="inlineStr">
        <is>
          <t>Q0801</t>
        </is>
      </c>
      <c r="F25" s="89">
        <f>-SUMIFS('1月数据源'!I:I,'1月数据源'!D:D,E25,'1月数据源'!F:F,"杭州目标准科技有限公司")+SUMIFS('1月数据源'!J:J,'1月数据源'!D:D,E25,'1月数据源'!F:F,"杭州目标准科技有限公司")</f>
        <v/>
      </c>
      <c r="G25" s="89">
        <f>-SUMIFS('2月数据源'!$I:$I,'2月数据源'!$D:$D,$E25,'2月数据源'!$F:$F,"杭州目标准科技有限公司")+SUMIFS('2月数据源'!$J:$J,'2月数据源'!$D:$D,$E25,'2月数据源'!$F:$F,"杭州目标准科技有限公司")</f>
        <v/>
      </c>
      <c r="H25" s="89">
        <f>-SUMIFS('3月数据源'!$I:$I,'3月数据源'!$D:$D,$E25,'3月数据源'!$F:$F,"杭州目标准科技有限公司")+SUMIFS('3月数据源'!$J:$J,'3月数据源'!$D:$D,$E25,'3月数据源'!$F:$F,"杭州目标准科技有限公司")</f>
        <v/>
      </c>
      <c r="I25" s="89">
        <f>-SUMIFS('4月数据源'!$I:$I,'4月数据源'!$D:$D,$E25,'4月数据源'!$F:$F,"杭州目标准科技有限公司")+SUMIFS('4月数据源'!$J:$J,'4月数据源'!$D:$D,$E25,'4月数据源'!$F:$F,"杭州目标准科技有限公司")</f>
        <v/>
      </c>
      <c r="J25" s="89">
        <f>-SUMIFS('5月数据源'!$I:$I,'5月数据源'!$D:$D,$E25,'5月数据源'!$F:$F,"杭州目标准科技有限公司")+SUMIFS('5月数据源'!$J:$J,'5月数据源'!$D:$D,$E25,'5月数据源'!$F:$F,"杭州目标准科技有限公司")</f>
        <v/>
      </c>
      <c r="K25" s="89">
        <f>-SUMIFS('6月数据源'!$I:$I,'6月数据源'!$D:$D,$E25,'6月数据源'!$F:$F,"杭州目标准科技有限公司")+SUMIFS('6月数据源'!$J:$J,'6月数据源'!$D:$D,$E25,'6月数据源'!$F:$F,"杭州目标准科技有限公司")</f>
        <v/>
      </c>
      <c r="L25" s="89">
        <f>-SUMIFS('7月数据源'!$I:$I,'7月数据源'!$D:$D,$E25,'7月数据源'!$F:$F,"杭州目标准科技有限公司")+SUMIFS('7月数据源'!$J:$J,'7月数据源'!$D:$D,$E25,'7月数据源'!$F:$F,"杭州目标准科技有限公司")</f>
        <v/>
      </c>
      <c r="M25" s="89">
        <f>-SUMIFS('8月数据源'!$I:$I,'8月数据源'!$D:$D,$E25,'8月数据源'!$F:$F,"杭州目标准科技有限公司")+SUMIFS('8月数据源'!$J:$J,'8月数据源'!$D:$D,$E25,'8月数据源'!$F:$F,"杭州目标准科技有限公司")</f>
        <v/>
      </c>
      <c r="N25" s="89">
        <f>-SUMIFS('9月数据源'!$I:$I,'9月数据源'!$D:$D,$E25,'9月数据源'!$F:$F,"杭州目标准科技有限公司")+SUMIFS('9月数据源'!$J:$J,'9月数据源'!$D:$D,$E25,'9月数据源'!$F:$F,"杭州目标准科技有限公司")</f>
        <v/>
      </c>
      <c r="O25" s="89">
        <f>-SUMIFS('10月数据源'!$I:$I,'10月数据源'!$D:$D,$E25,'10月数据源'!$F:$F,"杭州目标准科技有限公司")+SUMIFS('10月数据源'!$J:$J,'10月数据源'!$D:$D,$E25,'10月数据源'!$F:$F,"杭州目标准科技有限公司")</f>
        <v/>
      </c>
      <c r="P25" s="89">
        <f>-SUMIFS('11月数据源'!$I:$I,'11月数据源'!$D:$D,$E25,'11月数据源'!$F:$F,"杭州目标准科技有限公司")+SUMIFS('11月数据源'!$J:$J,'11月数据源'!$D:$D,$E25,'11月数据源'!$F:$F,"杭州目标准科技有限公司")</f>
        <v/>
      </c>
      <c r="Q25" s="89">
        <f>-SUMIFS('12月数据源'!$I:$I,'12月数据源'!$D:$D,$E25,'12月数据源'!$F:$F,"杭州目标准科技有限公司")+SUMIFS('12月数据源'!$J:$J,'12月数据源'!$D:$D,$E25,'12月数据源'!$F:$F,"杭州目标准科技有限公司")</f>
        <v/>
      </c>
    </row>
    <row r="26" s="83">
      <c r="A26" s="5" t="inlineStr">
        <is>
          <t>人工成本</t>
        </is>
      </c>
      <c r="B26" s="6" t="inlineStr">
        <is>
          <t>人工成本</t>
        </is>
      </c>
      <c r="D26" s="5" t="inlineStr">
        <is>
          <t>奖金</t>
        </is>
      </c>
      <c r="E26" s="6" t="inlineStr">
        <is>
          <t>Q0802</t>
        </is>
      </c>
      <c r="F26" s="89">
        <f>-SUMIFS('1月数据源'!I:I,'1月数据源'!D:D,E26,'1月数据源'!F:F,"杭州目标准科技有限公司")+SUMIFS('1月数据源'!J:J,'1月数据源'!D:D,E26,'1月数据源'!F:F,"杭州目标准科技有限公司")</f>
        <v/>
      </c>
      <c r="G26" s="89">
        <f>-SUMIFS('2月数据源'!$I:$I,'2月数据源'!$D:$D,$E26,'2月数据源'!$F:$F,"杭州目标准科技有限公司")+SUMIFS('2月数据源'!$J:$J,'2月数据源'!$D:$D,$E26,'2月数据源'!$F:$F,"杭州目标准科技有限公司")</f>
        <v/>
      </c>
      <c r="H26" s="89">
        <f>-SUMIFS('3月数据源'!$I:$I,'3月数据源'!$D:$D,$E26,'3月数据源'!$F:$F,"杭州目标准科技有限公司")+SUMIFS('3月数据源'!$J:$J,'3月数据源'!$D:$D,$E26,'3月数据源'!$F:$F,"杭州目标准科技有限公司")</f>
        <v/>
      </c>
      <c r="I26" s="89">
        <f>-SUMIFS('4月数据源'!$I:$I,'4月数据源'!$D:$D,$E26,'4月数据源'!$F:$F,"杭州目标准科技有限公司")+SUMIFS('4月数据源'!$J:$J,'4月数据源'!$D:$D,$E26,'4月数据源'!$F:$F,"杭州目标准科技有限公司")</f>
        <v/>
      </c>
      <c r="J26" s="89">
        <f>-SUMIFS('5月数据源'!$I:$I,'5月数据源'!$D:$D,$E26,'5月数据源'!$F:$F,"杭州目标准科技有限公司")+SUMIFS('5月数据源'!$J:$J,'5月数据源'!$D:$D,$E26,'5月数据源'!$F:$F,"杭州目标准科技有限公司")</f>
        <v/>
      </c>
      <c r="K26" s="89">
        <f>-SUMIFS('6月数据源'!$I:$I,'6月数据源'!$D:$D,$E26,'6月数据源'!$F:$F,"杭州目标准科技有限公司")+SUMIFS('6月数据源'!$J:$J,'6月数据源'!$D:$D,$E26,'6月数据源'!$F:$F,"杭州目标准科技有限公司")</f>
        <v/>
      </c>
      <c r="L26" s="89">
        <f>-SUMIFS('7月数据源'!$I:$I,'7月数据源'!$D:$D,$E26,'7月数据源'!$F:$F,"杭州目标准科技有限公司")+SUMIFS('7月数据源'!$J:$J,'7月数据源'!$D:$D,$E26,'7月数据源'!$F:$F,"杭州目标准科技有限公司")</f>
        <v/>
      </c>
      <c r="M26" s="89">
        <f>-SUMIFS('8月数据源'!$I:$I,'8月数据源'!$D:$D,$E26,'8月数据源'!$F:$F,"杭州目标准科技有限公司")+SUMIFS('8月数据源'!$J:$J,'8月数据源'!$D:$D,$E26,'8月数据源'!$F:$F,"杭州目标准科技有限公司")</f>
        <v/>
      </c>
      <c r="N26" s="89">
        <f>-SUMIFS('9月数据源'!$I:$I,'9月数据源'!$D:$D,$E26,'9月数据源'!$F:$F,"杭州目标准科技有限公司")+SUMIFS('9月数据源'!$J:$J,'9月数据源'!$D:$D,$E26,'9月数据源'!$F:$F,"杭州目标准科技有限公司")</f>
        <v/>
      </c>
      <c r="O26" s="89">
        <f>-SUMIFS('10月数据源'!$I:$I,'10月数据源'!$D:$D,$E26,'10月数据源'!$F:$F,"杭州目标准科技有限公司")+SUMIFS('10月数据源'!$J:$J,'10月数据源'!$D:$D,$E26,'10月数据源'!$F:$F,"杭州目标准科技有限公司")</f>
        <v/>
      </c>
      <c r="P26" s="89">
        <f>-SUMIFS('11月数据源'!$I:$I,'11月数据源'!$D:$D,$E26,'11月数据源'!$F:$F,"杭州目标准科技有限公司")+SUMIFS('11月数据源'!$J:$J,'11月数据源'!$D:$D,$E26,'11月数据源'!$F:$F,"杭州目标准科技有限公司")</f>
        <v/>
      </c>
      <c r="Q26" s="89">
        <f>-SUMIFS('12月数据源'!$I:$I,'12月数据源'!$D:$D,$E26,'12月数据源'!$F:$F,"杭州目标准科技有限公司")+SUMIFS('12月数据源'!$J:$J,'12月数据源'!$D:$D,$E26,'12月数据源'!$F:$F,"杭州目标准科技有限公司")</f>
        <v/>
      </c>
    </row>
    <row r="27" s="83">
      <c r="A27" s="5" t="inlineStr">
        <is>
          <t>人工成本</t>
        </is>
      </c>
      <c r="B27" s="6" t="inlineStr">
        <is>
          <t>人工成本</t>
        </is>
      </c>
      <c r="D27" s="5" t="inlineStr">
        <is>
          <t>社保（单位+个人）</t>
        </is>
      </c>
      <c r="E27" s="6" t="inlineStr">
        <is>
          <t>Q0803</t>
        </is>
      </c>
      <c r="F27" s="89">
        <f>-SUMIFS('1月数据源'!I:I,'1月数据源'!D:D,E27,'1月数据源'!F:F,"杭州目标准科技有限公司")+SUMIFS('1月数据源'!J:J,'1月数据源'!D:D,E27,'1月数据源'!F:F,"杭州目标准科技有限公司")</f>
        <v/>
      </c>
      <c r="G27" s="89">
        <f>-SUMIFS('2月数据源'!$I:$I,'2月数据源'!$D:$D,$E27,'2月数据源'!$F:$F,"杭州目标准科技有限公司")+SUMIFS('2月数据源'!$J:$J,'2月数据源'!$D:$D,$E27,'2月数据源'!$F:$F,"杭州目标准科技有限公司")</f>
        <v/>
      </c>
      <c r="H27" s="89">
        <f>-SUMIFS('3月数据源'!$I:$I,'3月数据源'!$D:$D,$E27,'3月数据源'!$F:$F,"杭州目标准科技有限公司")+SUMIFS('3月数据源'!$J:$J,'3月数据源'!$D:$D,$E27,'3月数据源'!$F:$F,"杭州目标准科技有限公司")</f>
        <v/>
      </c>
      <c r="I27" s="89">
        <f>-SUMIFS('4月数据源'!$I:$I,'4月数据源'!$D:$D,$E27,'4月数据源'!$F:$F,"杭州目标准科技有限公司")+SUMIFS('4月数据源'!$J:$J,'4月数据源'!$D:$D,$E27,'4月数据源'!$F:$F,"杭州目标准科技有限公司")</f>
        <v/>
      </c>
      <c r="J27" s="89">
        <f>-SUMIFS('5月数据源'!$I:$I,'5月数据源'!$D:$D,$E27,'5月数据源'!$F:$F,"杭州目标准科技有限公司")+SUMIFS('5月数据源'!$J:$J,'5月数据源'!$D:$D,$E27,'5月数据源'!$F:$F,"杭州目标准科技有限公司")</f>
        <v/>
      </c>
      <c r="K27" s="89">
        <f>-SUMIFS('6月数据源'!$I:$I,'6月数据源'!$D:$D,$E27,'6月数据源'!$F:$F,"杭州目标准科技有限公司")+SUMIFS('6月数据源'!$J:$J,'6月数据源'!$D:$D,$E27,'6月数据源'!$F:$F,"杭州目标准科技有限公司")</f>
        <v/>
      </c>
      <c r="L27" s="89">
        <f>-SUMIFS('7月数据源'!$I:$I,'7月数据源'!$D:$D,$E27,'7月数据源'!$F:$F,"杭州目标准科技有限公司")+SUMIFS('7月数据源'!$J:$J,'7月数据源'!$D:$D,$E27,'7月数据源'!$F:$F,"杭州目标准科技有限公司")</f>
        <v/>
      </c>
      <c r="M27" s="89">
        <f>-SUMIFS('8月数据源'!$I:$I,'8月数据源'!$D:$D,$E27,'8月数据源'!$F:$F,"杭州目标准科技有限公司")+SUMIFS('8月数据源'!$J:$J,'8月数据源'!$D:$D,$E27,'8月数据源'!$F:$F,"杭州目标准科技有限公司")</f>
        <v/>
      </c>
      <c r="N27" s="89">
        <f>-SUMIFS('9月数据源'!$I:$I,'9月数据源'!$D:$D,$E27,'9月数据源'!$F:$F,"杭州目标准科技有限公司")+SUMIFS('9月数据源'!$J:$J,'9月数据源'!$D:$D,$E27,'9月数据源'!$F:$F,"杭州目标准科技有限公司")</f>
        <v/>
      </c>
      <c r="O27" s="89">
        <f>-SUMIFS('10月数据源'!$I:$I,'10月数据源'!$D:$D,$E27,'10月数据源'!$F:$F,"杭州目标准科技有限公司")+SUMIFS('10月数据源'!$J:$J,'10月数据源'!$D:$D,$E27,'10月数据源'!$F:$F,"杭州目标准科技有限公司")</f>
        <v/>
      </c>
      <c r="P27" s="89">
        <f>-SUMIFS('11月数据源'!$I:$I,'11月数据源'!$D:$D,$E27,'11月数据源'!$F:$F,"杭州目标准科技有限公司")+SUMIFS('11月数据源'!$J:$J,'11月数据源'!$D:$D,$E27,'11月数据源'!$F:$F,"杭州目标准科技有限公司")</f>
        <v/>
      </c>
      <c r="Q27" s="89">
        <f>-SUMIFS('12月数据源'!$I:$I,'12月数据源'!$D:$D,$E27,'12月数据源'!$F:$F,"杭州目标准科技有限公司")+SUMIFS('12月数据源'!$J:$J,'12月数据源'!$D:$D,$E27,'12月数据源'!$F:$F,"杭州目标准科技有限公司")</f>
        <v/>
      </c>
    </row>
    <row r="28" s="83">
      <c r="A28" s="5" t="inlineStr">
        <is>
          <t>人工成本</t>
        </is>
      </c>
      <c r="B28" s="6" t="inlineStr">
        <is>
          <t>人工成本</t>
        </is>
      </c>
      <c r="D28" s="5" t="inlineStr">
        <is>
          <t>公积金（单位+个人）</t>
        </is>
      </c>
      <c r="E28" s="6" t="inlineStr">
        <is>
          <t>Q0804</t>
        </is>
      </c>
      <c r="F28" s="89">
        <f>-SUMIFS('1月数据源'!I:I,'1月数据源'!D:D,E28,'1月数据源'!F:F,"杭州目标准科技有限公司")+SUMIFS('1月数据源'!J:J,'1月数据源'!D:D,E28,'1月数据源'!F:F,"杭州目标准科技有限公司")</f>
        <v/>
      </c>
      <c r="G28" s="89">
        <f>-SUMIFS('2月数据源'!$I:$I,'2月数据源'!$D:$D,$E28,'2月数据源'!$F:$F,"杭州目标准科技有限公司")+SUMIFS('2月数据源'!$J:$J,'2月数据源'!$D:$D,$E28,'2月数据源'!$F:$F,"杭州目标准科技有限公司")</f>
        <v/>
      </c>
      <c r="H28" s="89">
        <f>-SUMIFS('3月数据源'!$I:$I,'3月数据源'!$D:$D,$E28,'3月数据源'!$F:$F,"杭州目标准科技有限公司")+SUMIFS('3月数据源'!$J:$J,'3月数据源'!$D:$D,$E28,'3月数据源'!$F:$F,"杭州目标准科技有限公司")</f>
        <v/>
      </c>
      <c r="I28" s="89">
        <f>-SUMIFS('4月数据源'!$I:$I,'4月数据源'!$D:$D,$E28,'4月数据源'!$F:$F,"杭州目标准科技有限公司")+SUMIFS('4月数据源'!$J:$J,'4月数据源'!$D:$D,$E28,'4月数据源'!$F:$F,"杭州目标准科技有限公司")</f>
        <v/>
      </c>
      <c r="J28" s="89">
        <f>-SUMIFS('5月数据源'!$I:$I,'5月数据源'!$D:$D,$E28,'5月数据源'!$F:$F,"杭州目标准科技有限公司")+SUMIFS('5月数据源'!$J:$J,'5月数据源'!$D:$D,$E28,'5月数据源'!$F:$F,"杭州目标准科技有限公司")</f>
        <v/>
      </c>
      <c r="K28" s="89">
        <f>-SUMIFS('6月数据源'!$I:$I,'6月数据源'!$D:$D,$E28,'6月数据源'!$F:$F,"杭州目标准科技有限公司")+SUMIFS('6月数据源'!$J:$J,'6月数据源'!$D:$D,$E28,'6月数据源'!$F:$F,"杭州目标准科技有限公司")</f>
        <v/>
      </c>
      <c r="L28" s="89">
        <f>-SUMIFS('7月数据源'!$I:$I,'7月数据源'!$D:$D,$E28,'7月数据源'!$F:$F,"杭州目标准科技有限公司")+SUMIFS('7月数据源'!$J:$J,'7月数据源'!$D:$D,$E28,'7月数据源'!$F:$F,"杭州目标准科技有限公司")</f>
        <v/>
      </c>
      <c r="M28" s="89">
        <f>-SUMIFS('8月数据源'!$I:$I,'8月数据源'!$D:$D,$E28,'8月数据源'!$F:$F,"杭州目标准科技有限公司")+SUMIFS('8月数据源'!$J:$J,'8月数据源'!$D:$D,$E28,'8月数据源'!$F:$F,"杭州目标准科技有限公司")</f>
        <v/>
      </c>
      <c r="N28" s="89">
        <f>-SUMIFS('9月数据源'!$I:$I,'9月数据源'!$D:$D,$E28,'9月数据源'!$F:$F,"杭州目标准科技有限公司")+SUMIFS('9月数据源'!$J:$J,'9月数据源'!$D:$D,$E28,'9月数据源'!$F:$F,"杭州目标准科技有限公司")</f>
        <v/>
      </c>
      <c r="O28" s="89">
        <f>-SUMIFS('10月数据源'!$I:$I,'10月数据源'!$D:$D,$E28,'10月数据源'!$F:$F,"杭州目标准科技有限公司")+SUMIFS('10月数据源'!$J:$J,'10月数据源'!$D:$D,$E28,'10月数据源'!$F:$F,"杭州目标准科技有限公司")</f>
        <v/>
      </c>
      <c r="P28" s="89">
        <f>-SUMIFS('11月数据源'!$I:$I,'11月数据源'!$D:$D,$E28,'11月数据源'!$F:$F,"杭州目标准科技有限公司")+SUMIFS('11月数据源'!$J:$J,'11月数据源'!$D:$D,$E28,'11月数据源'!$F:$F,"杭州目标准科技有限公司")</f>
        <v/>
      </c>
      <c r="Q28" s="89">
        <f>-SUMIFS('12月数据源'!$I:$I,'12月数据源'!$D:$D,$E28,'12月数据源'!$F:$F,"杭州目标准科技有限公司")+SUMIFS('12月数据源'!$J:$J,'12月数据源'!$D:$D,$E28,'12月数据源'!$F:$F,"杭州目标准科技有限公司")</f>
        <v/>
      </c>
    </row>
    <row r="29" s="83">
      <c r="A29" s="5" t="inlineStr">
        <is>
          <t>人工成本</t>
        </is>
      </c>
      <c r="B29" s="6" t="inlineStr">
        <is>
          <t>人工成本</t>
        </is>
      </c>
      <c r="D29" s="5" t="inlineStr">
        <is>
          <t>个税</t>
        </is>
      </c>
      <c r="E29" s="6" t="inlineStr">
        <is>
          <t>Q0805</t>
        </is>
      </c>
      <c r="F29" s="89">
        <f>-SUMIFS('1月数据源'!I:I,'1月数据源'!D:D,E29,'1月数据源'!F:F,"杭州目标准科技有限公司")+SUMIFS('1月数据源'!J:J,'1月数据源'!D:D,E29,'1月数据源'!F:F,"杭州目标准科技有限公司")</f>
        <v/>
      </c>
      <c r="G29" s="89">
        <f>-SUMIFS('2月数据源'!$I:$I,'2月数据源'!$D:$D,$E29,'2月数据源'!$F:$F,"杭州目标准科技有限公司")+SUMIFS('2月数据源'!$J:$J,'2月数据源'!$D:$D,$E29,'2月数据源'!$F:$F,"杭州目标准科技有限公司")</f>
        <v/>
      </c>
      <c r="H29" s="89">
        <f>-SUMIFS('3月数据源'!$I:$I,'3月数据源'!$D:$D,$E29,'3月数据源'!$F:$F,"杭州目标准科技有限公司")+SUMIFS('3月数据源'!$J:$J,'3月数据源'!$D:$D,$E29,'3月数据源'!$F:$F,"杭州目标准科技有限公司")</f>
        <v/>
      </c>
      <c r="I29" s="89">
        <f>-SUMIFS('4月数据源'!$I:$I,'4月数据源'!$D:$D,$E29,'4月数据源'!$F:$F,"杭州目标准科技有限公司")+SUMIFS('4月数据源'!$J:$J,'4月数据源'!$D:$D,$E29,'4月数据源'!$F:$F,"杭州目标准科技有限公司")</f>
        <v/>
      </c>
      <c r="J29" s="89">
        <f>-SUMIFS('5月数据源'!$I:$I,'5月数据源'!$D:$D,$E29,'5月数据源'!$F:$F,"杭州目标准科技有限公司")+SUMIFS('5月数据源'!$J:$J,'5月数据源'!$D:$D,$E29,'5月数据源'!$F:$F,"杭州目标准科技有限公司")</f>
        <v/>
      </c>
      <c r="K29" s="89">
        <f>-SUMIFS('6月数据源'!$I:$I,'6月数据源'!$D:$D,$E29,'6月数据源'!$F:$F,"杭州目标准科技有限公司")+SUMIFS('6月数据源'!$J:$J,'6月数据源'!$D:$D,$E29,'6月数据源'!$F:$F,"杭州目标准科技有限公司")</f>
        <v/>
      </c>
      <c r="L29" s="89">
        <f>-SUMIFS('7月数据源'!$I:$I,'7月数据源'!$D:$D,$E29,'7月数据源'!$F:$F,"杭州目标准科技有限公司")+SUMIFS('7月数据源'!$J:$J,'7月数据源'!$D:$D,$E29,'7月数据源'!$F:$F,"杭州目标准科技有限公司")</f>
        <v/>
      </c>
      <c r="M29" s="89">
        <f>-SUMIFS('8月数据源'!$I:$I,'8月数据源'!$D:$D,$E29,'8月数据源'!$F:$F,"杭州目标准科技有限公司")+SUMIFS('8月数据源'!$J:$J,'8月数据源'!$D:$D,$E29,'8月数据源'!$F:$F,"杭州目标准科技有限公司")</f>
        <v/>
      </c>
      <c r="N29" s="89">
        <f>-SUMIFS('9月数据源'!$I:$I,'9月数据源'!$D:$D,$E29,'9月数据源'!$F:$F,"杭州目标准科技有限公司")+SUMIFS('9月数据源'!$J:$J,'9月数据源'!$D:$D,$E29,'9月数据源'!$F:$F,"杭州目标准科技有限公司")</f>
        <v/>
      </c>
      <c r="O29" s="89">
        <f>-SUMIFS('10月数据源'!$I:$I,'10月数据源'!$D:$D,$E29,'10月数据源'!$F:$F,"杭州目标准科技有限公司")+SUMIFS('10月数据源'!$J:$J,'10月数据源'!$D:$D,$E29,'10月数据源'!$F:$F,"杭州目标准科技有限公司")</f>
        <v/>
      </c>
      <c r="P29" s="89">
        <f>-SUMIFS('11月数据源'!$I:$I,'11月数据源'!$D:$D,$E29,'11月数据源'!$F:$F,"杭州目标准科技有限公司")+SUMIFS('11月数据源'!$J:$J,'11月数据源'!$D:$D,$E29,'11月数据源'!$F:$F,"杭州目标准科技有限公司")</f>
        <v/>
      </c>
      <c r="Q29" s="89">
        <f>-SUMIFS('12月数据源'!$I:$I,'12月数据源'!$D:$D,$E29,'12月数据源'!$F:$F,"杭州目标准科技有限公司")+SUMIFS('12月数据源'!$J:$J,'12月数据源'!$D:$D,$E29,'12月数据源'!$F:$F,"杭州目标准科技有限公司")</f>
        <v/>
      </c>
    </row>
    <row r="30" s="83">
      <c r="A30" s="5" t="inlineStr">
        <is>
          <t>人工成本</t>
        </is>
      </c>
      <c r="B30" s="6" t="inlineStr">
        <is>
          <t>人工成本</t>
        </is>
      </c>
      <c r="D30" s="5" t="inlineStr">
        <is>
          <t>福利费</t>
        </is>
      </c>
      <c r="E30" s="6" t="inlineStr">
        <is>
          <t>Q0806</t>
        </is>
      </c>
      <c r="F30" s="89">
        <f>-SUMIFS('1月数据源'!I:I,'1月数据源'!D:D,E30,'1月数据源'!F:F,"杭州目标准科技有限公司")+SUMIFS('1月数据源'!J:J,'1月数据源'!D:D,E30,'1月数据源'!F:F,"杭州目标准科技有限公司")</f>
        <v/>
      </c>
      <c r="G30" s="89">
        <f>-SUMIFS('2月数据源'!$I:$I,'2月数据源'!$D:$D,$E30,'2月数据源'!$F:$F,"杭州目标准科技有限公司")+SUMIFS('2月数据源'!$J:$J,'2月数据源'!$D:$D,$E30,'2月数据源'!$F:$F,"杭州目标准科技有限公司")</f>
        <v/>
      </c>
      <c r="H30" s="89">
        <f>-SUMIFS('3月数据源'!$I:$I,'3月数据源'!$D:$D,$E30,'3月数据源'!$F:$F,"杭州目标准科技有限公司")+SUMIFS('3月数据源'!$J:$J,'3月数据源'!$D:$D,$E30,'3月数据源'!$F:$F,"杭州目标准科技有限公司")</f>
        <v/>
      </c>
      <c r="I30" s="89">
        <f>-SUMIFS('4月数据源'!$I:$I,'4月数据源'!$D:$D,$E30,'4月数据源'!$F:$F,"杭州目标准科技有限公司")+SUMIFS('4月数据源'!$J:$J,'4月数据源'!$D:$D,$E30,'4月数据源'!$F:$F,"杭州目标准科技有限公司")</f>
        <v/>
      </c>
      <c r="J30" s="89">
        <f>-SUMIFS('5月数据源'!$I:$I,'5月数据源'!$D:$D,$E30,'5月数据源'!$F:$F,"杭州目标准科技有限公司")+SUMIFS('5月数据源'!$J:$J,'5月数据源'!$D:$D,$E30,'5月数据源'!$F:$F,"杭州目标准科技有限公司")</f>
        <v/>
      </c>
      <c r="K30" s="89">
        <f>-SUMIFS('6月数据源'!$I:$I,'6月数据源'!$D:$D,$E30,'6月数据源'!$F:$F,"杭州目标准科技有限公司")+SUMIFS('6月数据源'!$J:$J,'6月数据源'!$D:$D,$E30,'6月数据源'!$F:$F,"杭州目标准科技有限公司")</f>
        <v/>
      </c>
      <c r="L30" s="89">
        <f>-SUMIFS('7月数据源'!$I:$I,'7月数据源'!$D:$D,$E30,'7月数据源'!$F:$F,"杭州目标准科技有限公司")+SUMIFS('7月数据源'!$J:$J,'7月数据源'!$D:$D,$E30,'7月数据源'!$F:$F,"杭州目标准科技有限公司")</f>
        <v/>
      </c>
      <c r="M30" s="89">
        <f>-SUMIFS('8月数据源'!$I:$I,'8月数据源'!$D:$D,$E30,'8月数据源'!$F:$F,"杭州目标准科技有限公司")+SUMIFS('8月数据源'!$J:$J,'8月数据源'!$D:$D,$E30,'8月数据源'!$F:$F,"杭州目标准科技有限公司")</f>
        <v/>
      </c>
      <c r="N30" s="89">
        <f>-SUMIFS('9月数据源'!$I:$I,'9月数据源'!$D:$D,$E30,'9月数据源'!$F:$F,"杭州目标准科技有限公司")+SUMIFS('9月数据源'!$J:$J,'9月数据源'!$D:$D,$E30,'9月数据源'!$F:$F,"杭州目标准科技有限公司")</f>
        <v/>
      </c>
      <c r="O30" s="89">
        <f>-SUMIFS('10月数据源'!$I:$I,'10月数据源'!$D:$D,$E30,'10月数据源'!$F:$F,"杭州目标准科技有限公司")+SUMIFS('10月数据源'!$J:$J,'10月数据源'!$D:$D,$E30,'10月数据源'!$F:$F,"杭州目标准科技有限公司")</f>
        <v/>
      </c>
      <c r="P30" s="89">
        <f>-SUMIFS('11月数据源'!$I:$I,'11月数据源'!$D:$D,$E30,'11月数据源'!$F:$F,"杭州目标准科技有限公司")+SUMIFS('11月数据源'!$J:$J,'11月数据源'!$D:$D,$E30,'11月数据源'!$F:$F,"杭州目标准科技有限公司")</f>
        <v/>
      </c>
      <c r="Q30" s="89">
        <f>-SUMIFS('12月数据源'!$I:$I,'12月数据源'!$D:$D,$E30,'12月数据源'!$F:$F,"杭州目标准科技有限公司")+SUMIFS('12月数据源'!$J:$J,'12月数据源'!$D:$D,$E30,'12月数据源'!$F:$F,"杭州目标准科技有限公司")</f>
        <v/>
      </c>
    </row>
    <row r="31" s="83">
      <c r="A31" s="5" t="inlineStr">
        <is>
          <t>人工成本</t>
        </is>
      </c>
      <c r="B31" s="6" t="inlineStr">
        <is>
          <t>人工成本</t>
        </is>
      </c>
      <c r="D31" s="5" t="inlineStr">
        <is>
          <t>补偿金</t>
        </is>
      </c>
      <c r="E31" s="6" t="inlineStr">
        <is>
          <t>Q0807</t>
        </is>
      </c>
      <c r="F31" s="89">
        <f>-SUMIFS('1月数据源'!I:I,'1月数据源'!D:D,E31,'1月数据源'!F:F,"杭州目标准科技有限公司")+SUMIFS('1月数据源'!J:J,'1月数据源'!D:D,E31,'1月数据源'!F:F,"杭州目标准科技有限公司")</f>
        <v/>
      </c>
      <c r="G31" s="89">
        <f>-SUMIFS('2月数据源'!$I:$I,'2月数据源'!$D:$D,$E31,'2月数据源'!$F:$F,"杭州目标准科技有限公司")+SUMIFS('2月数据源'!$J:$J,'2月数据源'!$D:$D,$E31,'2月数据源'!$F:$F,"杭州目标准科技有限公司")</f>
        <v/>
      </c>
      <c r="H31" s="89">
        <f>-SUMIFS('3月数据源'!$I:$I,'3月数据源'!$D:$D,$E31,'3月数据源'!$F:$F,"杭州目标准科技有限公司")+SUMIFS('3月数据源'!$J:$J,'3月数据源'!$D:$D,$E31,'3月数据源'!$F:$F,"杭州目标准科技有限公司")</f>
        <v/>
      </c>
      <c r="I31" s="89">
        <f>-SUMIFS('4月数据源'!$I:$I,'4月数据源'!$D:$D,$E31,'4月数据源'!$F:$F,"杭州目标准科技有限公司")+SUMIFS('4月数据源'!$J:$J,'4月数据源'!$D:$D,$E31,'4月数据源'!$F:$F,"杭州目标准科技有限公司")</f>
        <v/>
      </c>
      <c r="J31" s="89">
        <f>-SUMIFS('5月数据源'!$I:$I,'5月数据源'!$D:$D,$E31,'5月数据源'!$F:$F,"杭州目标准科技有限公司")+SUMIFS('5月数据源'!$J:$J,'5月数据源'!$D:$D,$E31,'5月数据源'!$F:$F,"杭州目标准科技有限公司")</f>
        <v/>
      </c>
      <c r="K31" s="89">
        <f>-SUMIFS('6月数据源'!$I:$I,'6月数据源'!$D:$D,$E31,'6月数据源'!$F:$F,"杭州目标准科技有限公司")+SUMIFS('6月数据源'!$J:$J,'6月数据源'!$D:$D,$E31,'6月数据源'!$F:$F,"杭州目标准科技有限公司")</f>
        <v/>
      </c>
      <c r="L31" s="89">
        <f>-SUMIFS('7月数据源'!$I:$I,'7月数据源'!$D:$D,$E31,'7月数据源'!$F:$F,"杭州目标准科技有限公司")+SUMIFS('7月数据源'!$J:$J,'7月数据源'!$D:$D,$E31,'7月数据源'!$F:$F,"杭州目标准科技有限公司")</f>
        <v/>
      </c>
      <c r="M31" s="89">
        <f>-SUMIFS('8月数据源'!$I:$I,'8月数据源'!$D:$D,$E31,'8月数据源'!$F:$F,"杭州目标准科技有限公司")+SUMIFS('8月数据源'!$J:$J,'8月数据源'!$D:$D,$E31,'8月数据源'!$F:$F,"杭州目标准科技有限公司")</f>
        <v/>
      </c>
      <c r="N31" s="89">
        <f>-SUMIFS('9月数据源'!$I:$I,'9月数据源'!$D:$D,$E31,'9月数据源'!$F:$F,"杭州目标准科技有限公司")+SUMIFS('9月数据源'!$J:$J,'9月数据源'!$D:$D,$E31,'9月数据源'!$F:$F,"杭州目标准科技有限公司")</f>
        <v/>
      </c>
      <c r="O31" s="89">
        <f>-SUMIFS('10月数据源'!$I:$I,'10月数据源'!$D:$D,$E31,'10月数据源'!$F:$F,"杭州目标准科技有限公司")+SUMIFS('10月数据源'!$J:$J,'10月数据源'!$D:$D,$E31,'10月数据源'!$F:$F,"杭州目标准科技有限公司")</f>
        <v/>
      </c>
      <c r="P31" s="89">
        <f>-SUMIFS('11月数据源'!$I:$I,'11月数据源'!$D:$D,$E31,'11月数据源'!$F:$F,"杭州目标准科技有限公司")+SUMIFS('11月数据源'!$J:$J,'11月数据源'!$D:$D,$E31,'11月数据源'!$F:$F,"杭州目标准科技有限公司")</f>
        <v/>
      </c>
      <c r="Q31" s="89">
        <f>-SUMIFS('12月数据源'!$I:$I,'12月数据源'!$D:$D,$E31,'12月数据源'!$F:$F,"杭州目标准科技有限公司")+SUMIFS('12月数据源'!$J:$J,'12月数据源'!$D:$D,$E31,'12月数据源'!$F:$F,"杭州目标准科技有限公司")</f>
        <v/>
      </c>
    </row>
    <row r="32" s="83">
      <c r="A32" s="5" t="inlineStr">
        <is>
          <t>人工成本</t>
        </is>
      </c>
      <c r="B32" s="6" t="inlineStr">
        <is>
          <t>人工成本</t>
        </is>
      </c>
      <c r="D32" s="5" t="inlineStr">
        <is>
          <t>派遣费用</t>
        </is>
      </c>
      <c r="E32" s="6" t="inlineStr">
        <is>
          <t>Q0808</t>
        </is>
      </c>
      <c r="F32" s="89">
        <f>-SUMIFS('1月数据源'!I:I,'1月数据源'!D:D,E32,'1月数据源'!F:F,"杭州目标准科技有限公司")+SUMIFS('1月数据源'!J:J,'1月数据源'!D:D,E32,'1月数据源'!F:F,"杭州目标准科技有限公司")</f>
        <v/>
      </c>
      <c r="G32" s="89">
        <f>-SUMIFS('2月数据源'!$I:$I,'2月数据源'!$D:$D,$E32,'2月数据源'!$F:$F,"杭州目标准科技有限公司")+SUMIFS('2月数据源'!$J:$J,'2月数据源'!$D:$D,$E32,'2月数据源'!$F:$F,"杭州目标准科技有限公司")</f>
        <v/>
      </c>
      <c r="H32" s="89">
        <f>-SUMIFS('3月数据源'!$I:$I,'3月数据源'!$D:$D,$E32,'3月数据源'!$F:$F,"杭州目标准科技有限公司")+SUMIFS('3月数据源'!$J:$J,'3月数据源'!$D:$D,$E32,'3月数据源'!$F:$F,"杭州目标准科技有限公司")</f>
        <v/>
      </c>
      <c r="I32" s="89">
        <f>-SUMIFS('4月数据源'!$I:$I,'4月数据源'!$D:$D,$E32,'4月数据源'!$F:$F,"杭州目标准科技有限公司")+SUMIFS('4月数据源'!$J:$J,'4月数据源'!$D:$D,$E32,'4月数据源'!$F:$F,"杭州目标准科技有限公司")</f>
        <v/>
      </c>
      <c r="J32" s="89">
        <f>-SUMIFS('5月数据源'!$I:$I,'5月数据源'!$D:$D,$E32,'5月数据源'!$F:$F,"杭州目标准科技有限公司")+SUMIFS('5月数据源'!$J:$J,'5月数据源'!$D:$D,$E32,'5月数据源'!$F:$F,"杭州目标准科技有限公司")</f>
        <v/>
      </c>
      <c r="K32" s="89">
        <f>-SUMIFS('6月数据源'!$I:$I,'6月数据源'!$D:$D,$E32,'6月数据源'!$F:$F,"杭州目标准科技有限公司")+SUMIFS('6月数据源'!$J:$J,'6月数据源'!$D:$D,$E32,'6月数据源'!$F:$F,"杭州目标准科技有限公司")</f>
        <v/>
      </c>
      <c r="L32" s="89">
        <f>-SUMIFS('7月数据源'!$I:$I,'7月数据源'!$D:$D,$E32,'7月数据源'!$F:$F,"杭州目标准科技有限公司")+SUMIFS('7月数据源'!$J:$J,'7月数据源'!$D:$D,$E32,'7月数据源'!$F:$F,"杭州目标准科技有限公司")</f>
        <v/>
      </c>
      <c r="M32" s="89">
        <f>-SUMIFS('8月数据源'!$I:$I,'8月数据源'!$D:$D,$E32,'8月数据源'!$F:$F,"杭州目标准科技有限公司")+SUMIFS('8月数据源'!$J:$J,'8月数据源'!$D:$D,$E32,'8月数据源'!$F:$F,"杭州目标准科技有限公司")</f>
        <v/>
      </c>
      <c r="N32" s="89">
        <f>-SUMIFS('9月数据源'!$I:$I,'9月数据源'!$D:$D,$E32,'9月数据源'!$F:$F,"杭州目标准科技有限公司")+SUMIFS('9月数据源'!$J:$J,'9月数据源'!$D:$D,$E32,'9月数据源'!$F:$F,"杭州目标准科技有限公司")</f>
        <v/>
      </c>
      <c r="O32" s="89">
        <f>-SUMIFS('10月数据源'!$I:$I,'10月数据源'!$D:$D,$E32,'10月数据源'!$F:$F,"杭州目标准科技有限公司")+SUMIFS('10月数据源'!$J:$J,'10月数据源'!$D:$D,$E32,'10月数据源'!$F:$F,"杭州目标准科技有限公司")</f>
        <v/>
      </c>
      <c r="P32" s="89">
        <f>-SUMIFS('11月数据源'!$I:$I,'11月数据源'!$D:$D,$E32,'11月数据源'!$F:$F,"杭州目标准科技有限公司")+SUMIFS('11月数据源'!$J:$J,'11月数据源'!$D:$D,$E32,'11月数据源'!$F:$F,"杭州目标准科技有限公司")</f>
        <v/>
      </c>
      <c r="Q32" s="89">
        <f>-SUMIFS('12月数据源'!$I:$I,'12月数据源'!$D:$D,$E32,'12月数据源'!$F:$F,"杭州目标准科技有限公司")+SUMIFS('12月数据源'!$J:$J,'12月数据源'!$D:$D,$E32,'12月数据源'!$F:$F,"杭州目标准科技有限公司")</f>
        <v/>
      </c>
    </row>
    <row r="33" s="83">
      <c r="A33" s="5" t="inlineStr">
        <is>
          <t>人工成本</t>
        </is>
      </c>
      <c r="B33" s="6" t="inlineStr">
        <is>
          <t>人工成本</t>
        </is>
      </c>
      <c r="D33" s="5" t="inlineStr">
        <is>
          <t>顾问费</t>
        </is>
      </c>
      <c r="E33" s="6" t="inlineStr">
        <is>
          <t>Q0809</t>
        </is>
      </c>
      <c r="F33" s="89">
        <f>-SUMIFS('1月数据源'!I:I,'1月数据源'!D:D,E33,'1月数据源'!F:F,"杭州目标准科技有限公司")+SUMIFS('1月数据源'!J:J,'1月数据源'!D:D,E33,'1月数据源'!F:F,"杭州目标准科技有限公司")</f>
        <v/>
      </c>
      <c r="G33" s="89">
        <f>-SUMIFS('2月数据源'!$I:$I,'2月数据源'!$D:$D,$E33,'2月数据源'!$F:$F,"杭州目标准科技有限公司")+SUMIFS('2月数据源'!$J:$J,'2月数据源'!$D:$D,$E33,'2月数据源'!$F:$F,"杭州目标准科技有限公司")</f>
        <v/>
      </c>
      <c r="H33" s="89">
        <f>-SUMIFS('3月数据源'!$I:$I,'3月数据源'!$D:$D,$E33,'3月数据源'!$F:$F,"杭州目标准科技有限公司")+SUMIFS('3月数据源'!$J:$J,'3月数据源'!$D:$D,$E33,'3月数据源'!$F:$F,"杭州目标准科技有限公司")</f>
        <v/>
      </c>
      <c r="I33" s="89">
        <f>-SUMIFS('4月数据源'!$I:$I,'4月数据源'!$D:$D,$E33,'4月数据源'!$F:$F,"杭州目标准科技有限公司")+SUMIFS('4月数据源'!$J:$J,'4月数据源'!$D:$D,$E33,'4月数据源'!$F:$F,"杭州目标准科技有限公司")</f>
        <v/>
      </c>
      <c r="J33" s="89">
        <f>-SUMIFS('5月数据源'!$I:$I,'5月数据源'!$D:$D,$E33,'5月数据源'!$F:$F,"杭州目标准科技有限公司")+SUMIFS('5月数据源'!$J:$J,'5月数据源'!$D:$D,$E33,'5月数据源'!$F:$F,"杭州目标准科技有限公司")</f>
        <v/>
      </c>
      <c r="K33" s="89">
        <f>-SUMIFS('6月数据源'!$I:$I,'6月数据源'!$D:$D,$E33,'6月数据源'!$F:$F,"杭州目标准科技有限公司")+SUMIFS('6月数据源'!$J:$J,'6月数据源'!$D:$D,$E33,'6月数据源'!$F:$F,"杭州目标准科技有限公司")</f>
        <v/>
      </c>
      <c r="L33" s="89">
        <f>-SUMIFS('7月数据源'!$I:$I,'7月数据源'!$D:$D,$E33,'7月数据源'!$F:$F,"杭州目标准科技有限公司")+SUMIFS('7月数据源'!$J:$J,'7月数据源'!$D:$D,$E33,'7月数据源'!$F:$F,"杭州目标准科技有限公司")</f>
        <v/>
      </c>
      <c r="M33" s="89">
        <f>-SUMIFS('8月数据源'!$I:$I,'8月数据源'!$D:$D,$E33,'8月数据源'!$F:$F,"杭州目标准科技有限公司")+SUMIFS('8月数据源'!$J:$J,'8月数据源'!$D:$D,$E33,'8月数据源'!$F:$F,"杭州目标准科技有限公司")</f>
        <v/>
      </c>
      <c r="N33" s="89">
        <f>-SUMIFS('9月数据源'!$I:$I,'9月数据源'!$D:$D,$E33,'9月数据源'!$F:$F,"杭州目标准科技有限公司")+SUMIFS('9月数据源'!$J:$J,'9月数据源'!$D:$D,$E33,'9月数据源'!$F:$F,"杭州目标准科技有限公司")</f>
        <v/>
      </c>
      <c r="O33" s="89">
        <f>-SUMIFS('10月数据源'!$I:$I,'10月数据源'!$D:$D,$E33,'10月数据源'!$F:$F,"杭州目标准科技有限公司")+SUMIFS('10月数据源'!$J:$J,'10月数据源'!$D:$D,$E33,'10月数据源'!$F:$F,"杭州目标准科技有限公司")</f>
        <v/>
      </c>
      <c r="P33" s="89">
        <f>-SUMIFS('11月数据源'!$I:$I,'11月数据源'!$D:$D,$E33,'11月数据源'!$F:$F,"杭州目标准科技有限公司")+SUMIFS('11月数据源'!$J:$J,'11月数据源'!$D:$D,$E33,'11月数据源'!$F:$F,"杭州目标准科技有限公司")</f>
        <v/>
      </c>
      <c r="Q33" s="89">
        <f>-SUMIFS('12月数据源'!$I:$I,'12月数据源'!$D:$D,$E33,'12月数据源'!$F:$F,"杭州目标准科技有限公司")+SUMIFS('12月数据源'!$J:$J,'12月数据源'!$D:$D,$E33,'12月数据源'!$F:$F,"杭州目标准科技有限公司")</f>
        <v/>
      </c>
    </row>
    <row r="34" s="83">
      <c r="A34" s="5" t="inlineStr">
        <is>
          <t>人工成本</t>
        </is>
      </c>
      <c r="B34" s="6" t="inlineStr">
        <is>
          <t>人工成本</t>
        </is>
      </c>
      <c r="D34" s="5" t="inlineStr">
        <is>
          <t>其他人工成本</t>
        </is>
      </c>
      <c r="E34" s="6" t="inlineStr">
        <is>
          <t>Q08010</t>
        </is>
      </c>
      <c r="F34" s="89">
        <f>-SUMIFS('1月数据源'!I:I,'1月数据源'!D:D,E34,'1月数据源'!F:F,"杭州目标准科技有限公司")+SUMIFS('1月数据源'!J:J,'1月数据源'!D:D,E34,'1月数据源'!F:F,"杭州目标准科技有限公司")</f>
        <v/>
      </c>
      <c r="G34" s="89">
        <f>-SUMIFS('2月数据源'!$I:$I,'2月数据源'!$D:$D,$E34,'2月数据源'!$F:$F,"杭州目标准科技有限公司")+SUMIFS('2月数据源'!$J:$J,'2月数据源'!$D:$D,$E34,'2月数据源'!$F:$F,"杭州目标准科技有限公司")</f>
        <v/>
      </c>
      <c r="H34" s="89">
        <f>-SUMIFS('3月数据源'!$I:$I,'3月数据源'!$D:$D,$E34,'3月数据源'!$F:$F,"杭州目标准科技有限公司")+SUMIFS('3月数据源'!$J:$J,'3月数据源'!$D:$D,$E34,'3月数据源'!$F:$F,"杭州目标准科技有限公司")</f>
        <v/>
      </c>
      <c r="I34" s="89">
        <f>-SUMIFS('4月数据源'!$I:$I,'4月数据源'!$D:$D,$E34,'4月数据源'!$F:$F,"杭州目标准科技有限公司")+SUMIFS('4月数据源'!$J:$J,'4月数据源'!$D:$D,$E34,'4月数据源'!$F:$F,"杭州目标准科技有限公司")</f>
        <v/>
      </c>
      <c r="J34" s="89">
        <f>-SUMIFS('5月数据源'!$I:$I,'5月数据源'!$D:$D,$E34,'5月数据源'!$F:$F,"杭州目标准科技有限公司")+SUMIFS('5月数据源'!$J:$J,'5月数据源'!$D:$D,$E34,'5月数据源'!$F:$F,"杭州目标准科技有限公司")</f>
        <v/>
      </c>
      <c r="K34" s="89">
        <f>-SUMIFS('6月数据源'!$I:$I,'6月数据源'!$D:$D,$E34,'6月数据源'!$F:$F,"杭州目标准科技有限公司")+SUMIFS('6月数据源'!$J:$J,'6月数据源'!$D:$D,$E34,'6月数据源'!$F:$F,"杭州目标准科技有限公司")</f>
        <v/>
      </c>
      <c r="L34" s="89">
        <f>-SUMIFS('7月数据源'!$I:$I,'7月数据源'!$D:$D,$E34,'7月数据源'!$F:$F,"杭州目标准科技有限公司")+SUMIFS('7月数据源'!$J:$J,'7月数据源'!$D:$D,$E34,'7月数据源'!$F:$F,"杭州目标准科技有限公司")</f>
        <v/>
      </c>
      <c r="M34" s="89">
        <f>-SUMIFS('8月数据源'!$I:$I,'8月数据源'!$D:$D,$E34,'8月数据源'!$F:$F,"杭州目标准科技有限公司")+SUMIFS('8月数据源'!$J:$J,'8月数据源'!$D:$D,$E34,'8月数据源'!$F:$F,"杭州目标准科技有限公司")</f>
        <v/>
      </c>
      <c r="N34" s="89">
        <f>-SUMIFS('9月数据源'!$I:$I,'9月数据源'!$D:$D,$E34,'9月数据源'!$F:$F,"杭州目标准科技有限公司")+SUMIFS('9月数据源'!$J:$J,'9月数据源'!$D:$D,$E34,'9月数据源'!$F:$F,"杭州目标准科技有限公司")</f>
        <v/>
      </c>
      <c r="O34" s="89">
        <f>-SUMIFS('10月数据源'!$I:$I,'10月数据源'!$D:$D,$E34,'10月数据源'!$F:$F,"杭州目标准科技有限公司")+SUMIFS('10月数据源'!$J:$J,'10月数据源'!$D:$D,$E34,'10月数据源'!$F:$F,"杭州目标准科技有限公司")</f>
        <v/>
      </c>
      <c r="P34" s="89">
        <f>-SUMIFS('11月数据源'!$I:$I,'11月数据源'!$D:$D,$E34,'11月数据源'!$F:$F,"杭州目标准科技有限公司")+SUMIFS('11月数据源'!$J:$J,'11月数据源'!$D:$D,$E34,'11月数据源'!$F:$F,"杭州目标准科技有限公司")</f>
        <v/>
      </c>
      <c r="Q34" s="89">
        <f>-SUMIFS('12月数据源'!$I:$I,'12月数据源'!$D:$D,$E34,'12月数据源'!$F:$F,"杭州目标准科技有限公司")+SUMIFS('12月数据源'!$J:$J,'12月数据源'!$D:$D,$E34,'12月数据源'!$F:$F,"杭州目标准科技有限公司")</f>
        <v/>
      </c>
    </row>
    <row r="35" s="83">
      <c r="A35" s="49" t="inlineStr">
        <is>
          <t>人工成本合计</t>
        </is>
      </c>
      <c r="B35" s="50" t="n"/>
      <c r="C35" s="50" t="n"/>
      <c r="D35" s="49" t="n"/>
      <c r="E35" s="49" t="n"/>
      <c r="F35" s="89">
        <f>SUM(F25:F34)</f>
        <v/>
      </c>
      <c r="G35" s="89">
        <f>SUM(G25:G34)</f>
        <v/>
      </c>
      <c r="H35" s="89">
        <f>SUM(H25:H34)</f>
        <v/>
      </c>
      <c r="I35" s="89">
        <f>SUM(I25:I34)</f>
        <v/>
      </c>
      <c r="J35" s="89">
        <f>SUM(J25:J34)</f>
        <v/>
      </c>
      <c r="K35" s="89">
        <f>SUM(K25:K34)</f>
        <v/>
      </c>
      <c r="L35" s="89">
        <f>SUM(L25:L34)</f>
        <v/>
      </c>
      <c r="M35" s="89">
        <f>SUM(M25:M34)</f>
        <v/>
      </c>
      <c r="N35" s="89">
        <f>SUM(N25:N34)</f>
        <v/>
      </c>
      <c r="O35" s="89">
        <f>SUM(O25:O34)</f>
        <v/>
      </c>
      <c r="P35" s="89">
        <f>SUM(P25:P34)</f>
        <v/>
      </c>
      <c r="Q35" s="89">
        <f>SUM(Q25:Q34)</f>
        <v/>
      </c>
    </row>
    <row r="36" s="83">
      <c r="A36" s="5" t="inlineStr">
        <is>
          <t>硬件支出</t>
        </is>
      </c>
      <c r="B36" s="6" t="inlineStr">
        <is>
          <t>BONG MAX</t>
        </is>
      </c>
      <c r="C36" s="6" t="inlineStr">
        <is>
          <t>BONG MAX</t>
        </is>
      </c>
      <c r="D36" s="5" t="inlineStr">
        <is>
          <t>TCL平板电脑款项</t>
        </is>
      </c>
      <c r="E36" s="6" t="inlineStr">
        <is>
          <t>Q0901</t>
        </is>
      </c>
      <c r="F36" s="89">
        <f>-SUMIFS('1月数据源'!I:I,'1月数据源'!D:D,E36,'1月数据源'!F:F,"杭州目标准科技有限公司")+SUMIFS('1月数据源'!J:J,'1月数据源'!D:D,E36,'1月数据源'!F:F,"杭州目标准科技有限公司")</f>
        <v/>
      </c>
      <c r="G36" s="89">
        <f>-SUMIFS('2月数据源'!$I:$I,'2月数据源'!$D:$D,$E36,'2月数据源'!$F:$F,"杭州目标准科技有限公司")+SUMIFS('2月数据源'!$J:$J,'2月数据源'!$D:$D,$E36,'2月数据源'!$F:$F,"杭州目标准科技有限公司")</f>
        <v/>
      </c>
      <c r="H36" s="89">
        <f>-SUMIFS('3月数据源'!$I:$I,'3月数据源'!$D:$D,$E36,'3月数据源'!$F:$F,"杭州目标准科技有限公司")+SUMIFS('3月数据源'!$J:$J,'3月数据源'!$D:$D,$E36,'3月数据源'!$F:$F,"杭州目标准科技有限公司")</f>
        <v/>
      </c>
      <c r="I36" s="89">
        <f>-SUMIFS('4月数据源'!$I:$I,'4月数据源'!$D:$D,$E36,'4月数据源'!$F:$F,"杭州目标准科技有限公司")+SUMIFS('4月数据源'!$J:$J,'4月数据源'!$D:$D,$E36,'4月数据源'!$F:$F,"杭州目标准科技有限公司")</f>
        <v/>
      </c>
      <c r="J36" s="89">
        <f>-SUMIFS('5月数据源'!$I:$I,'5月数据源'!$D:$D,$E36,'5月数据源'!$F:$F,"杭州目标准科技有限公司")+SUMIFS('5月数据源'!$J:$J,'5月数据源'!$D:$D,$E36,'5月数据源'!$F:$F,"杭州目标准科技有限公司")</f>
        <v/>
      </c>
      <c r="K36" s="89">
        <f>-SUMIFS('6月数据源'!$I:$I,'6月数据源'!$D:$D,$E36,'6月数据源'!$F:$F,"杭州目标准科技有限公司")+SUMIFS('6月数据源'!$J:$J,'6月数据源'!$D:$D,$E36,'6月数据源'!$F:$F,"杭州目标准科技有限公司")</f>
        <v/>
      </c>
      <c r="L36" s="89">
        <f>-SUMIFS('7月数据源'!$I:$I,'7月数据源'!$D:$D,$E36,'7月数据源'!$F:$F,"杭州目标准科技有限公司")+SUMIFS('7月数据源'!$J:$J,'7月数据源'!$D:$D,$E36,'7月数据源'!$F:$F,"杭州目标准科技有限公司")</f>
        <v/>
      </c>
      <c r="M36" s="89">
        <f>-SUMIFS('8月数据源'!$I:$I,'8月数据源'!$D:$D,$E36,'8月数据源'!$F:$F,"杭州目标准科技有限公司")+SUMIFS('8月数据源'!$J:$J,'8月数据源'!$D:$D,$E36,'8月数据源'!$F:$F,"杭州目标准科技有限公司")</f>
        <v/>
      </c>
      <c r="N36" s="89">
        <f>-SUMIFS('9月数据源'!$I:$I,'9月数据源'!$D:$D,$E36,'9月数据源'!$F:$F,"杭州目标准科技有限公司")+SUMIFS('9月数据源'!$J:$J,'9月数据源'!$D:$D,$E36,'9月数据源'!$F:$F,"杭州目标准科技有限公司")</f>
        <v/>
      </c>
      <c r="O36" s="89">
        <f>-SUMIFS('10月数据源'!$I:$I,'10月数据源'!$D:$D,$E36,'10月数据源'!$F:$F,"杭州目标准科技有限公司")+SUMIFS('10月数据源'!$J:$J,'10月数据源'!$D:$D,$E36,'10月数据源'!$F:$F,"杭州目标准科技有限公司")</f>
        <v/>
      </c>
      <c r="P36" s="89">
        <f>-SUMIFS('11月数据源'!$I:$I,'11月数据源'!$D:$D,$E36,'11月数据源'!$F:$F,"杭州目标准科技有限公司")+SUMIFS('11月数据源'!$J:$J,'11月数据源'!$D:$D,$E36,'11月数据源'!$F:$F,"杭州目标准科技有限公司")</f>
        <v/>
      </c>
      <c r="Q36" s="89">
        <f>-SUMIFS('12月数据源'!$I:$I,'12月数据源'!$D:$D,$E36,'12月数据源'!$F:$F,"杭州目标准科技有限公司")+SUMIFS('12月数据源'!$J:$J,'12月数据源'!$D:$D,$E36,'12月数据源'!$F:$F,"杭州目标准科技有限公司")</f>
        <v/>
      </c>
    </row>
    <row r="37" s="83">
      <c r="A37" s="5" t="inlineStr">
        <is>
          <t>硬件支出</t>
        </is>
      </c>
      <c r="B37" s="6" t="inlineStr">
        <is>
          <t>BONG MAX</t>
        </is>
      </c>
      <c r="D37" s="5" t="inlineStr">
        <is>
          <t>保护套</t>
        </is>
      </c>
      <c r="E37" s="6" t="inlineStr">
        <is>
          <t>Q0902</t>
        </is>
      </c>
      <c r="F37" s="89">
        <f>-SUMIFS('1月数据源'!I:I,'1月数据源'!D:D,E37,'1月数据源'!F:F,"杭州目标准科技有限公司")+SUMIFS('1月数据源'!J:J,'1月数据源'!D:D,E37,'1月数据源'!F:F,"杭州目标准科技有限公司")</f>
        <v/>
      </c>
      <c r="G37" s="89">
        <f>-SUMIFS('2月数据源'!$I:$I,'2月数据源'!$D:$D,$E37,'2月数据源'!$F:$F,"杭州目标准科技有限公司")+SUMIFS('2月数据源'!$J:$J,'2月数据源'!$D:$D,$E37,'2月数据源'!$F:$F,"杭州目标准科技有限公司")</f>
        <v/>
      </c>
      <c r="H37" s="89">
        <f>-SUMIFS('3月数据源'!$I:$I,'3月数据源'!$D:$D,$E37,'3月数据源'!$F:$F,"杭州目标准科技有限公司")+SUMIFS('3月数据源'!$J:$J,'3月数据源'!$D:$D,$E37,'3月数据源'!$F:$F,"杭州目标准科技有限公司")</f>
        <v/>
      </c>
      <c r="I37" s="89">
        <f>-SUMIFS('4月数据源'!$I:$I,'4月数据源'!$D:$D,$E37,'4月数据源'!$F:$F,"杭州目标准科技有限公司")+SUMIFS('4月数据源'!$J:$J,'4月数据源'!$D:$D,$E37,'4月数据源'!$F:$F,"杭州目标准科技有限公司")</f>
        <v/>
      </c>
      <c r="J37" s="89">
        <f>-SUMIFS('5月数据源'!$I:$I,'5月数据源'!$D:$D,$E37,'5月数据源'!$F:$F,"杭州目标准科技有限公司")+SUMIFS('5月数据源'!$J:$J,'5月数据源'!$D:$D,$E37,'5月数据源'!$F:$F,"杭州目标准科技有限公司")</f>
        <v/>
      </c>
      <c r="K37" s="89">
        <f>-SUMIFS('6月数据源'!$I:$I,'6月数据源'!$D:$D,$E37,'6月数据源'!$F:$F,"杭州目标准科技有限公司")+SUMIFS('6月数据源'!$J:$J,'6月数据源'!$D:$D,$E37,'6月数据源'!$F:$F,"杭州目标准科技有限公司")</f>
        <v/>
      </c>
      <c r="L37" s="89">
        <f>-SUMIFS('7月数据源'!$I:$I,'7月数据源'!$D:$D,$E37,'7月数据源'!$F:$F,"杭州目标准科技有限公司")+SUMIFS('7月数据源'!$J:$J,'7月数据源'!$D:$D,$E37,'7月数据源'!$F:$F,"杭州目标准科技有限公司")</f>
        <v/>
      </c>
      <c r="M37" s="89">
        <f>-SUMIFS('8月数据源'!$I:$I,'8月数据源'!$D:$D,$E37,'8月数据源'!$F:$F,"杭州目标准科技有限公司")+SUMIFS('8月数据源'!$J:$J,'8月数据源'!$D:$D,$E37,'8月数据源'!$F:$F,"杭州目标准科技有限公司")</f>
        <v/>
      </c>
      <c r="N37" s="89">
        <f>-SUMIFS('9月数据源'!$I:$I,'9月数据源'!$D:$D,$E37,'9月数据源'!$F:$F,"杭州目标准科技有限公司")+SUMIFS('9月数据源'!$J:$J,'9月数据源'!$D:$D,$E37,'9月数据源'!$F:$F,"杭州目标准科技有限公司")</f>
        <v/>
      </c>
      <c r="O37" s="89">
        <f>-SUMIFS('10月数据源'!$I:$I,'10月数据源'!$D:$D,$E37,'10月数据源'!$F:$F,"杭州目标准科技有限公司")+SUMIFS('10月数据源'!$J:$J,'10月数据源'!$D:$D,$E37,'10月数据源'!$F:$F,"杭州目标准科技有限公司")</f>
        <v/>
      </c>
      <c r="P37" s="89">
        <f>-SUMIFS('11月数据源'!$I:$I,'11月数据源'!$D:$D,$E37,'11月数据源'!$F:$F,"杭州目标准科技有限公司")+SUMIFS('11月数据源'!$J:$J,'11月数据源'!$D:$D,$E37,'11月数据源'!$F:$F,"杭州目标准科技有限公司")</f>
        <v/>
      </c>
      <c r="Q37" s="89">
        <f>-SUMIFS('12月数据源'!$I:$I,'12月数据源'!$D:$D,$E37,'12月数据源'!$F:$F,"杭州目标准科技有限公司")+SUMIFS('12月数据源'!$J:$J,'12月数据源'!$D:$D,$E37,'12月数据源'!$F:$F,"杭州目标准科技有限公司")</f>
        <v/>
      </c>
    </row>
    <row r="38" s="83">
      <c r="A38" s="5" t="inlineStr">
        <is>
          <t>硬件支出</t>
        </is>
      </c>
      <c r="B38" s="6" t="inlineStr">
        <is>
          <t>BONG MAX</t>
        </is>
      </c>
      <c r="D38" s="5" t="inlineStr">
        <is>
          <t>包装盒</t>
        </is>
      </c>
      <c r="E38" s="6" t="inlineStr">
        <is>
          <t>Q0903</t>
        </is>
      </c>
      <c r="F38" s="89">
        <f>-SUMIFS('1月数据源'!I:I,'1月数据源'!D:D,E38,'1月数据源'!F:F,"杭州目标准科技有限公司")+SUMIFS('1月数据源'!J:J,'1月数据源'!D:D,E38,'1月数据源'!F:F,"杭州目标准科技有限公司")</f>
        <v/>
      </c>
      <c r="G38" s="89">
        <f>-SUMIFS('2月数据源'!$I:$I,'2月数据源'!$D:$D,$E38,'2月数据源'!$F:$F,"杭州目标准科技有限公司")+SUMIFS('2月数据源'!$J:$J,'2月数据源'!$D:$D,$E38,'2月数据源'!$F:$F,"杭州目标准科技有限公司")</f>
        <v/>
      </c>
      <c r="H38" s="89">
        <f>-SUMIFS('3月数据源'!$I:$I,'3月数据源'!$D:$D,$E38,'3月数据源'!$F:$F,"杭州目标准科技有限公司")+SUMIFS('3月数据源'!$J:$J,'3月数据源'!$D:$D,$E38,'3月数据源'!$F:$F,"杭州目标准科技有限公司")</f>
        <v/>
      </c>
      <c r="I38" s="89">
        <f>-SUMIFS('4月数据源'!$I:$I,'4月数据源'!$D:$D,$E38,'4月数据源'!$F:$F,"杭州目标准科技有限公司")+SUMIFS('4月数据源'!$J:$J,'4月数据源'!$D:$D,$E38,'4月数据源'!$F:$F,"杭州目标准科技有限公司")</f>
        <v/>
      </c>
      <c r="J38" s="89">
        <f>-SUMIFS('5月数据源'!$I:$I,'5月数据源'!$D:$D,$E38,'5月数据源'!$F:$F,"杭州目标准科技有限公司")+SUMIFS('5月数据源'!$J:$J,'5月数据源'!$D:$D,$E38,'5月数据源'!$F:$F,"杭州目标准科技有限公司")</f>
        <v/>
      </c>
      <c r="K38" s="89">
        <f>-SUMIFS('6月数据源'!$I:$I,'6月数据源'!$D:$D,$E38,'6月数据源'!$F:$F,"杭州目标准科技有限公司")+SUMIFS('6月数据源'!$J:$J,'6月数据源'!$D:$D,$E38,'6月数据源'!$F:$F,"杭州目标准科技有限公司")</f>
        <v/>
      </c>
      <c r="L38" s="89">
        <f>-SUMIFS('7月数据源'!$I:$I,'7月数据源'!$D:$D,$E38,'7月数据源'!$F:$F,"杭州目标准科技有限公司")+SUMIFS('7月数据源'!$J:$J,'7月数据源'!$D:$D,$E38,'7月数据源'!$F:$F,"杭州目标准科技有限公司")</f>
        <v/>
      </c>
      <c r="M38" s="89">
        <f>-SUMIFS('8月数据源'!$I:$I,'8月数据源'!$D:$D,$E38,'8月数据源'!$F:$F,"杭州目标准科技有限公司")+SUMIFS('8月数据源'!$J:$J,'8月数据源'!$D:$D,$E38,'8月数据源'!$F:$F,"杭州目标准科技有限公司")</f>
        <v/>
      </c>
      <c r="N38" s="89">
        <f>-SUMIFS('9月数据源'!$I:$I,'9月数据源'!$D:$D,$E38,'9月数据源'!$F:$F,"杭州目标准科技有限公司")+SUMIFS('9月数据源'!$J:$J,'9月数据源'!$D:$D,$E38,'9月数据源'!$F:$F,"杭州目标准科技有限公司")</f>
        <v/>
      </c>
      <c r="O38" s="89">
        <f>-SUMIFS('10月数据源'!$I:$I,'10月数据源'!$D:$D,$E38,'10月数据源'!$F:$F,"杭州目标准科技有限公司")+SUMIFS('10月数据源'!$J:$J,'10月数据源'!$D:$D,$E38,'10月数据源'!$F:$F,"杭州目标准科技有限公司")</f>
        <v/>
      </c>
      <c r="P38" s="89">
        <f>-SUMIFS('11月数据源'!$I:$I,'11月数据源'!$D:$D,$E38,'11月数据源'!$F:$F,"杭州目标准科技有限公司")+SUMIFS('11月数据源'!$J:$J,'11月数据源'!$D:$D,$E38,'11月数据源'!$F:$F,"杭州目标准科技有限公司")</f>
        <v/>
      </c>
      <c r="Q38" s="89">
        <f>-SUMIFS('12月数据源'!$I:$I,'12月数据源'!$D:$D,$E38,'12月数据源'!$F:$F,"杭州目标准科技有限公司")+SUMIFS('12月数据源'!$J:$J,'12月数据源'!$D:$D,$E38,'12月数据源'!$F:$F,"杭州目标准科技有限公司")</f>
        <v/>
      </c>
    </row>
    <row r="39" s="83">
      <c r="A39" s="5" t="inlineStr">
        <is>
          <t>硬件支出</t>
        </is>
      </c>
      <c r="B39" s="6" t="inlineStr">
        <is>
          <t>BONG MAX</t>
        </is>
      </c>
      <c r="D39" s="5" t="inlineStr">
        <is>
          <t>充电器</t>
        </is>
      </c>
      <c r="E39" s="6" t="inlineStr">
        <is>
          <t>Q0904</t>
        </is>
      </c>
      <c r="F39" s="89">
        <f>-SUMIFS('1月数据源'!I:I,'1月数据源'!D:D,E39,'1月数据源'!F:F,"杭州目标准科技有限公司")+SUMIFS('1月数据源'!J:J,'1月数据源'!D:D,E39,'1月数据源'!F:F,"杭州目标准科技有限公司")</f>
        <v/>
      </c>
      <c r="G39" s="89">
        <f>-SUMIFS('2月数据源'!$I:$I,'2月数据源'!$D:$D,$E39,'2月数据源'!$F:$F,"杭州目标准科技有限公司")+SUMIFS('2月数据源'!$J:$J,'2月数据源'!$D:$D,$E39,'2月数据源'!$F:$F,"杭州目标准科技有限公司")</f>
        <v/>
      </c>
      <c r="H39" s="89">
        <f>-SUMIFS('3月数据源'!$I:$I,'3月数据源'!$D:$D,$E39,'3月数据源'!$F:$F,"杭州目标准科技有限公司")+SUMIFS('3月数据源'!$J:$J,'3月数据源'!$D:$D,$E39,'3月数据源'!$F:$F,"杭州目标准科技有限公司")</f>
        <v/>
      </c>
      <c r="I39" s="89">
        <f>-SUMIFS('4月数据源'!$I:$I,'4月数据源'!$D:$D,$E39,'4月数据源'!$F:$F,"杭州目标准科技有限公司")+SUMIFS('4月数据源'!$J:$J,'4月数据源'!$D:$D,$E39,'4月数据源'!$F:$F,"杭州目标准科技有限公司")</f>
        <v/>
      </c>
      <c r="J39" s="89">
        <f>-SUMIFS('5月数据源'!$I:$I,'5月数据源'!$D:$D,$E39,'5月数据源'!$F:$F,"杭州目标准科技有限公司")+SUMIFS('5月数据源'!$J:$J,'5月数据源'!$D:$D,$E39,'5月数据源'!$F:$F,"杭州目标准科技有限公司")</f>
        <v/>
      </c>
      <c r="K39" s="89">
        <f>-SUMIFS('6月数据源'!$I:$I,'6月数据源'!$D:$D,$E39,'6月数据源'!$F:$F,"杭州目标准科技有限公司")+SUMIFS('6月数据源'!$J:$J,'6月数据源'!$D:$D,$E39,'6月数据源'!$F:$F,"杭州目标准科技有限公司")</f>
        <v/>
      </c>
      <c r="L39" s="89">
        <f>-SUMIFS('7月数据源'!$I:$I,'7月数据源'!$D:$D,$E39,'7月数据源'!$F:$F,"杭州目标准科技有限公司")+SUMIFS('7月数据源'!$J:$J,'7月数据源'!$D:$D,$E39,'7月数据源'!$F:$F,"杭州目标准科技有限公司")</f>
        <v/>
      </c>
      <c r="M39" s="89">
        <f>-SUMIFS('8月数据源'!$I:$I,'8月数据源'!$D:$D,$E39,'8月数据源'!$F:$F,"杭州目标准科技有限公司")+SUMIFS('8月数据源'!$J:$J,'8月数据源'!$D:$D,$E39,'8月数据源'!$F:$F,"杭州目标准科技有限公司")</f>
        <v/>
      </c>
      <c r="N39" s="89">
        <f>-SUMIFS('9月数据源'!$I:$I,'9月数据源'!$D:$D,$E39,'9月数据源'!$F:$F,"杭州目标准科技有限公司")+SUMIFS('9月数据源'!$J:$J,'9月数据源'!$D:$D,$E39,'9月数据源'!$F:$F,"杭州目标准科技有限公司")</f>
        <v/>
      </c>
      <c r="O39" s="89">
        <f>-SUMIFS('10月数据源'!$I:$I,'10月数据源'!$D:$D,$E39,'10月数据源'!$F:$F,"杭州目标准科技有限公司")+SUMIFS('10月数据源'!$J:$J,'10月数据源'!$D:$D,$E39,'10月数据源'!$F:$F,"杭州目标准科技有限公司")</f>
        <v/>
      </c>
      <c r="P39" s="89">
        <f>-SUMIFS('11月数据源'!$I:$I,'11月数据源'!$D:$D,$E39,'11月数据源'!$F:$F,"杭州目标准科技有限公司")+SUMIFS('11月数据源'!$J:$J,'11月数据源'!$D:$D,$E39,'11月数据源'!$F:$F,"杭州目标准科技有限公司")</f>
        <v/>
      </c>
      <c r="Q39" s="89">
        <f>-SUMIFS('12月数据源'!$I:$I,'12月数据源'!$D:$D,$E39,'12月数据源'!$F:$F,"杭州目标准科技有限公司")+SUMIFS('12月数据源'!$J:$J,'12月数据源'!$D:$D,$E39,'12月数据源'!$F:$F,"杭州目标准科技有限公司")</f>
        <v/>
      </c>
    </row>
    <row r="40" s="83">
      <c r="A40" s="5" t="inlineStr">
        <is>
          <t>硬件支出</t>
        </is>
      </c>
      <c r="B40" s="6" t="inlineStr">
        <is>
          <t>BONG MAX</t>
        </is>
      </c>
      <c r="D40" s="5" t="inlineStr">
        <is>
          <t>指学镜</t>
        </is>
      </c>
      <c r="E40" s="6" t="inlineStr">
        <is>
          <t>Q0905</t>
        </is>
      </c>
      <c r="F40" s="89">
        <f>-SUMIFS('1月数据源'!I:I,'1月数据源'!D:D,E40,'1月数据源'!F:F,"杭州目标准科技有限公司")+SUMIFS('1月数据源'!J:J,'1月数据源'!D:D,E40,'1月数据源'!F:F,"杭州目标准科技有限公司")</f>
        <v/>
      </c>
      <c r="G40" s="89">
        <f>-SUMIFS('2月数据源'!$I:$I,'2月数据源'!$D:$D,$E40,'2月数据源'!$F:$F,"杭州目标准科技有限公司")+SUMIFS('2月数据源'!$J:$J,'2月数据源'!$D:$D,$E40,'2月数据源'!$F:$F,"杭州目标准科技有限公司")</f>
        <v/>
      </c>
      <c r="H40" s="89">
        <f>-SUMIFS('3月数据源'!$I:$I,'3月数据源'!$D:$D,$E40,'3月数据源'!$F:$F,"杭州目标准科技有限公司")+SUMIFS('3月数据源'!$J:$J,'3月数据源'!$D:$D,$E40,'3月数据源'!$F:$F,"杭州目标准科技有限公司")</f>
        <v/>
      </c>
      <c r="I40" s="89">
        <f>-SUMIFS('4月数据源'!$I:$I,'4月数据源'!$D:$D,$E40,'4月数据源'!$F:$F,"杭州目标准科技有限公司")+SUMIFS('4月数据源'!$J:$J,'4月数据源'!$D:$D,$E40,'4月数据源'!$F:$F,"杭州目标准科技有限公司")</f>
        <v/>
      </c>
      <c r="J40" s="89">
        <f>-SUMIFS('5月数据源'!$I:$I,'5月数据源'!$D:$D,$E40,'5月数据源'!$F:$F,"杭州目标准科技有限公司")+SUMIFS('5月数据源'!$J:$J,'5月数据源'!$D:$D,$E40,'5月数据源'!$F:$F,"杭州目标准科技有限公司")</f>
        <v/>
      </c>
      <c r="K40" s="89">
        <f>-SUMIFS('6月数据源'!$I:$I,'6月数据源'!$D:$D,$E40,'6月数据源'!$F:$F,"杭州目标准科技有限公司")+SUMIFS('6月数据源'!$J:$J,'6月数据源'!$D:$D,$E40,'6月数据源'!$F:$F,"杭州目标准科技有限公司")</f>
        <v/>
      </c>
      <c r="L40" s="89">
        <f>-SUMIFS('7月数据源'!$I:$I,'7月数据源'!$D:$D,$E40,'7月数据源'!$F:$F,"杭州目标准科技有限公司")+SUMIFS('7月数据源'!$J:$J,'7月数据源'!$D:$D,$E40,'7月数据源'!$F:$F,"杭州目标准科技有限公司")</f>
        <v/>
      </c>
      <c r="M40" s="89">
        <f>-SUMIFS('8月数据源'!$I:$I,'8月数据源'!$D:$D,$E40,'8月数据源'!$F:$F,"杭州目标准科技有限公司")+SUMIFS('8月数据源'!$J:$J,'8月数据源'!$D:$D,$E40,'8月数据源'!$F:$F,"杭州目标准科技有限公司")</f>
        <v/>
      </c>
      <c r="N40" s="89">
        <f>-SUMIFS('9月数据源'!$I:$I,'9月数据源'!$D:$D,$E40,'9月数据源'!$F:$F,"杭州目标准科技有限公司")+SUMIFS('9月数据源'!$J:$J,'9月数据源'!$D:$D,$E40,'9月数据源'!$F:$F,"杭州目标准科技有限公司")</f>
        <v/>
      </c>
      <c r="O40" s="89">
        <f>-SUMIFS('10月数据源'!$I:$I,'10月数据源'!$D:$D,$E40,'10月数据源'!$F:$F,"杭州目标准科技有限公司")+SUMIFS('10月数据源'!$J:$J,'10月数据源'!$D:$D,$E40,'10月数据源'!$F:$F,"杭州目标准科技有限公司")</f>
        <v/>
      </c>
      <c r="P40" s="89">
        <f>-SUMIFS('11月数据源'!$I:$I,'11月数据源'!$D:$D,$E40,'11月数据源'!$F:$F,"杭州目标准科技有限公司")+SUMIFS('11月数据源'!$J:$J,'11月数据源'!$D:$D,$E40,'11月数据源'!$F:$F,"杭州目标准科技有限公司")</f>
        <v/>
      </c>
      <c r="Q40" s="89">
        <f>-SUMIFS('12月数据源'!$I:$I,'12月数据源'!$D:$D,$E40,'12月数据源'!$F:$F,"杭州目标准科技有限公司")+SUMIFS('12月数据源'!$J:$J,'12月数据源'!$D:$D,$E40,'12月数据源'!$F:$F,"杭州目标准科技有限公司")</f>
        <v/>
      </c>
    </row>
    <row r="41" s="83">
      <c r="A41" s="5" t="inlineStr">
        <is>
          <t>硬件支出</t>
        </is>
      </c>
      <c r="B41" s="6" t="inlineStr">
        <is>
          <t>BONG MAX</t>
        </is>
      </c>
      <c r="D41" s="5" t="inlineStr">
        <is>
          <t>学习机系统授权费</t>
        </is>
      </c>
      <c r="E41" s="6" t="inlineStr">
        <is>
          <t>Q0906</t>
        </is>
      </c>
      <c r="F41" s="89">
        <f>-SUMIFS('1月数据源'!I:I,'1月数据源'!D:D,E41,'1月数据源'!F:F,"杭州目标准科技有限公司")+SUMIFS('1月数据源'!J:J,'1月数据源'!D:D,E41,'1月数据源'!F:F,"杭州目标准科技有限公司")</f>
        <v/>
      </c>
      <c r="G41" s="89">
        <f>-SUMIFS('2月数据源'!$I:$I,'2月数据源'!$D:$D,$E41,'2月数据源'!$F:$F,"杭州目标准科技有限公司")+SUMIFS('2月数据源'!$J:$J,'2月数据源'!$D:$D,$E41,'2月数据源'!$F:$F,"杭州目标准科技有限公司")</f>
        <v/>
      </c>
      <c r="H41" s="89">
        <f>-SUMIFS('3月数据源'!$I:$I,'3月数据源'!$D:$D,$E41,'3月数据源'!$F:$F,"杭州目标准科技有限公司")+SUMIFS('3月数据源'!$J:$J,'3月数据源'!$D:$D,$E41,'3月数据源'!$F:$F,"杭州目标准科技有限公司")</f>
        <v/>
      </c>
      <c r="I41" s="89">
        <f>-SUMIFS('4月数据源'!$I:$I,'4月数据源'!$D:$D,$E41,'4月数据源'!$F:$F,"杭州目标准科技有限公司")+SUMIFS('4月数据源'!$J:$J,'4月数据源'!$D:$D,$E41,'4月数据源'!$F:$F,"杭州目标准科技有限公司")</f>
        <v/>
      </c>
      <c r="J41" s="89">
        <f>-SUMIFS('5月数据源'!$I:$I,'5月数据源'!$D:$D,$E41,'5月数据源'!$F:$F,"杭州目标准科技有限公司")+SUMIFS('5月数据源'!$J:$J,'5月数据源'!$D:$D,$E41,'5月数据源'!$F:$F,"杭州目标准科技有限公司")</f>
        <v/>
      </c>
      <c r="K41" s="89">
        <f>-SUMIFS('6月数据源'!$I:$I,'6月数据源'!$D:$D,$E41,'6月数据源'!$F:$F,"杭州目标准科技有限公司")+SUMIFS('6月数据源'!$J:$J,'6月数据源'!$D:$D,$E41,'6月数据源'!$F:$F,"杭州目标准科技有限公司")</f>
        <v/>
      </c>
      <c r="L41" s="89">
        <f>-SUMIFS('7月数据源'!$I:$I,'7月数据源'!$D:$D,$E41,'7月数据源'!$F:$F,"杭州目标准科技有限公司")+SUMIFS('7月数据源'!$J:$J,'7月数据源'!$D:$D,$E41,'7月数据源'!$F:$F,"杭州目标准科技有限公司")</f>
        <v/>
      </c>
      <c r="M41" s="89">
        <f>-SUMIFS('8月数据源'!$I:$I,'8月数据源'!$D:$D,$E41,'8月数据源'!$F:$F,"杭州目标准科技有限公司")+SUMIFS('8月数据源'!$J:$J,'8月数据源'!$D:$D,$E41,'8月数据源'!$F:$F,"杭州目标准科技有限公司")</f>
        <v/>
      </c>
      <c r="N41" s="89">
        <f>-SUMIFS('9月数据源'!$I:$I,'9月数据源'!$D:$D,$E41,'9月数据源'!$F:$F,"杭州目标准科技有限公司")+SUMIFS('9月数据源'!$J:$J,'9月数据源'!$D:$D,$E41,'9月数据源'!$F:$F,"杭州目标准科技有限公司")</f>
        <v/>
      </c>
      <c r="O41" s="89">
        <f>-SUMIFS('10月数据源'!$I:$I,'10月数据源'!$D:$D,$E41,'10月数据源'!$F:$F,"杭州目标准科技有限公司")+SUMIFS('10月数据源'!$J:$J,'10月数据源'!$D:$D,$E41,'10月数据源'!$F:$F,"杭州目标准科技有限公司")</f>
        <v/>
      </c>
      <c r="P41" s="89">
        <f>-SUMIFS('11月数据源'!$I:$I,'11月数据源'!$D:$D,$E41,'11月数据源'!$F:$F,"杭州目标准科技有限公司")+SUMIFS('11月数据源'!$J:$J,'11月数据源'!$D:$D,$E41,'11月数据源'!$F:$F,"杭州目标准科技有限公司")</f>
        <v/>
      </c>
      <c r="Q41" s="89">
        <f>-SUMIFS('12月数据源'!$I:$I,'12月数据源'!$D:$D,$E41,'12月数据源'!$F:$F,"杭州目标准科技有限公司")+SUMIFS('12月数据源'!$J:$J,'12月数据源'!$D:$D,$E41,'12月数据源'!$F:$F,"杭州目标准科技有限公司")</f>
        <v/>
      </c>
    </row>
    <row r="42" s="83">
      <c r="A42" s="5" t="inlineStr">
        <is>
          <t>硬件支出</t>
        </is>
      </c>
      <c r="B42" s="6" t="inlineStr">
        <is>
          <t>BONG PRO</t>
        </is>
      </c>
      <c r="C42" s="6" t="inlineStr">
        <is>
          <t>BONG PRO</t>
        </is>
      </c>
      <c r="D42" s="5" t="inlineStr">
        <is>
          <t>BOE平板电脑款项</t>
        </is>
      </c>
      <c r="E42" s="6" t="inlineStr">
        <is>
          <t>Q1001</t>
        </is>
      </c>
      <c r="F42" s="89">
        <f>-SUMIFS('1月数据源'!I:I,'1月数据源'!D:D,E42,'1月数据源'!F:F,"杭州目标准科技有限公司")+SUMIFS('1月数据源'!J:J,'1月数据源'!D:D,E42,'1月数据源'!F:F,"杭州目标准科技有限公司")</f>
        <v/>
      </c>
      <c r="G42" s="89">
        <f>-SUMIFS('2月数据源'!$I:$I,'2月数据源'!$D:$D,$E42,'2月数据源'!$F:$F,"杭州目标准科技有限公司")+SUMIFS('2月数据源'!$J:$J,'2月数据源'!$D:$D,$E42,'2月数据源'!$F:$F,"杭州目标准科技有限公司")</f>
        <v/>
      </c>
      <c r="H42" s="89">
        <f>-SUMIFS('3月数据源'!$I:$I,'3月数据源'!$D:$D,$E42,'3月数据源'!$F:$F,"杭州目标准科技有限公司")+SUMIFS('3月数据源'!$J:$J,'3月数据源'!$D:$D,$E42,'3月数据源'!$F:$F,"杭州目标准科技有限公司")</f>
        <v/>
      </c>
      <c r="I42" s="89">
        <f>-SUMIFS('4月数据源'!$I:$I,'4月数据源'!$D:$D,$E42,'4月数据源'!$F:$F,"杭州目标准科技有限公司")+SUMIFS('4月数据源'!$J:$J,'4月数据源'!$D:$D,$E42,'4月数据源'!$F:$F,"杭州目标准科技有限公司")</f>
        <v/>
      </c>
      <c r="J42" s="89">
        <f>-SUMIFS('5月数据源'!$I:$I,'5月数据源'!$D:$D,$E42,'5月数据源'!$F:$F,"杭州目标准科技有限公司")+SUMIFS('5月数据源'!$J:$J,'5月数据源'!$D:$D,$E42,'5月数据源'!$F:$F,"杭州目标准科技有限公司")</f>
        <v/>
      </c>
      <c r="K42" s="89">
        <f>-SUMIFS('6月数据源'!$I:$I,'6月数据源'!$D:$D,$E42,'6月数据源'!$F:$F,"杭州目标准科技有限公司")+SUMIFS('6月数据源'!$J:$J,'6月数据源'!$D:$D,$E42,'6月数据源'!$F:$F,"杭州目标准科技有限公司")</f>
        <v/>
      </c>
      <c r="L42" s="89">
        <f>-SUMIFS('7月数据源'!$I:$I,'7月数据源'!$D:$D,$E42,'7月数据源'!$F:$F,"杭州目标准科技有限公司")+SUMIFS('7月数据源'!$J:$J,'7月数据源'!$D:$D,$E42,'7月数据源'!$F:$F,"杭州目标准科技有限公司")</f>
        <v/>
      </c>
      <c r="M42" s="89">
        <f>-SUMIFS('8月数据源'!$I:$I,'8月数据源'!$D:$D,$E42,'8月数据源'!$F:$F,"杭州目标准科技有限公司")+SUMIFS('8月数据源'!$J:$J,'8月数据源'!$D:$D,$E42,'8月数据源'!$F:$F,"杭州目标准科技有限公司")</f>
        <v/>
      </c>
      <c r="N42" s="89">
        <f>-SUMIFS('9月数据源'!$I:$I,'9月数据源'!$D:$D,$E42,'9月数据源'!$F:$F,"杭州目标准科技有限公司")+SUMIFS('9月数据源'!$J:$J,'9月数据源'!$D:$D,$E42,'9月数据源'!$F:$F,"杭州目标准科技有限公司")</f>
        <v/>
      </c>
      <c r="O42" s="89">
        <f>-SUMIFS('10月数据源'!$I:$I,'10月数据源'!$D:$D,$E42,'10月数据源'!$F:$F,"杭州目标准科技有限公司")+SUMIFS('10月数据源'!$J:$J,'10月数据源'!$D:$D,$E42,'10月数据源'!$F:$F,"杭州目标准科技有限公司")</f>
        <v/>
      </c>
      <c r="P42" s="89">
        <f>-SUMIFS('11月数据源'!$I:$I,'11月数据源'!$D:$D,$E42,'11月数据源'!$F:$F,"杭州目标准科技有限公司")+SUMIFS('11月数据源'!$J:$J,'11月数据源'!$D:$D,$E42,'11月数据源'!$F:$F,"杭州目标准科技有限公司")</f>
        <v/>
      </c>
      <c r="Q42" s="89">
        <f>-SUMIFS('12月数据源'!$I:$I,'12月数据源'!$D:$D,$E42,'12月数据源'!$F:$F,"杭州目标准科技有限公司")+SUMIFS('12月数据源'!$J:$J,'12月数据源'!$D:$D,$E42,'12月数据源'!$F:$F,"杭州目标准科技有限公司")</f>
        <v/>
      </c>
    </row>
    <row r="43" s="83">
      <c r="A43" s="5" t="inlineStr">
        <is>
          <t>硬件支出</t>
        </is>
      </c>
      <c r="B43" s="6" t="inlineStr">
        <is>
          <t>BONG PRO</t>
        </is>
      </c>
      <c r="D43" s="5" t="inlineStr">
        <is>
          <t>保护套</t>
        </is>
      </c>
      <c r="E43" s="6" t="inlineStr">
        <is>
          <t>Q1002</t>
        </is>
      </c>
      <c r="F43" s="89">
        <f>-SUMIFS('1月数据源'!I:I,'1月数据源'!D:D,E43,'1月数据源'!F:F,"杭州目标准科技有限公司")+SUMIFS('1月数据源'!J:J,'1月数据源'!D:D,E43,'1月数据源'!F:F,"杭州目标准科技有限公司")</f>
        <v/>
      </c>
      <c r="G43" s="89">
        <f>-SUMIFS('2月数据源'!$I:$I,'2月数据源'!$D:$D,$E43,'2月数据源'!$F:$F,"杭州目标准科技有限公司")+SUMIFS('2月数据源'!$J:$J,'2月数据源'!$D:$D,$E43,'2月数据源'!$F:$F,"杭州目标准科技有限公司")</f>
        <v/>
      </c>
      <c r="H43" s="89">
        <f>-SUMIFS('3月数据源'!$I:$I,'3月数据源'!$D:$D,$E43,'3月数据源'!$F:$F,"杭州目标准科技有限公司")+SUMIFS('3月数据源'!$J:$J,'3月数据源'!$D:$D,$E43,'3月数据源'!$F:$F,"杭州目标准科技有限公司")</f>
        <v/>
      </c>
      <c r="I43" s="89">
        <f>-SUMIFS('4月数据源'!$I:$I,'4月数据源'!$D:$D,$E43,'4月数据源'!$F:$F,"杭州目标准科技有限公司")+SUMIFS('4月数据源'!$J:$J,'4月数据源'!$D:$D,$E43,'4月数据源'!$F:$F,"杭州目标准科技有限公司")</f>
        <v/>
      </c>
      <c r="J43" s="89">
        <f>-SUMIFS('5月数据源'!$I:$I,'5月数据源'!$D:$D,$E43,'5月数据源'!$F:$F,"杭州目标准科技有限公司")+SUMIFS('5月数据源'!$J:$J,'5月数据源'!$D:$D,$E43,'5月数据源'!$F:$F,"杭州目标准科技有限公司")</f>
        <v/>
      </c>
      <c r="K43" s="89">
        <f>-SUMIFS('6月数据源'!$I:$I,'6月数据源'!$D:$D,$E43,'6月数据源'!$F:$F,"杭州目标准科技有限公司")+SUMIFS('6月数据源'!$J:$J,'6月数据源'!$D:$D,$E43,'6月数据源'!$F:$F,"杭州目标准科技有限公司")</f>
        <v/>
      </c>
      <c r="L43" s="89">
        <f>-SUMIFS('7月数据源'!$I:$I,'7月数据源'!$D:$D,$E43,'7月数据源'!$F:$F,"杭州目标准科技有限公司")+SUMIFS('7月数据源'!$J:$J,'7月数据源'!$D:$D,$E43,'7月数据源'!$F:$F,"杭州目标准科技有限公司")</f>
        <v/>
      </c>
      <c r="M43" s="89">
        <f>-SUMIFS('8月数据源'!$I:$I,'8月数据源'!$D:$D,$E43,'8月数据源'!$F:$F,"杭州目标准科技有限公司")+SUMIFS('8月数据源'!$J:$J,'8月数据源'!$D:$D,$E43,'8月数据源'!$F:$F,"杭州目标准科技有限公司")</f>
        <v/>
      </c>
      <c r="N43" s="89">
        <f>-SUMIFS('9月数据源'!$I:$I,'9月数据源'!$D:$D,$E43,'9月数据源'!$F:$F,"杭州目标准科技有限公司")+SUMIFS('9月数据源'!$J:$J,'9月数据源'!$D:$D,$E43,'9月数据源'!$F:$F,"杭州目标准科技有限公司")</f>
        <v/>
      </c>
      <c r="O43" s="89">
        <f>-SUMIFS('10月数据源'!$I:$I,'10月数据源'!$D:$D,$E43,'10月数据源'!$F:$F,"杭州目标准科技有限公司")+SUMIFS('10月数据源'!$J:$J,'10月数据源'!$D:$D,$E43,'10月数据源'!$F:$F,"杭州目标准科技有限公司")</f>
        <v/>
      </c>
      <c r="P43" s="89">
        <f>-SUMIFS('11月数据源'!$I:$I,'11月数据源'!$D:$D,$E43,'11月数据源'!$F:$F,"杭州目标准科技有限公司")+SUMIFS('11月数据源'!$J:$J,'11月数据源'!$D:$D,$E43,'11月数据源'!$F:$F,"杭州目标准科技有限公司")</f>
        <v/>
      </c>
      <c r="Q43" s="89">
        <f>-SUMIFS('12月数据源'!$I:$I,'12月数据源'!$D:$D,$E43,'12月数据源'!$F:$F,"杭州目标准科技有限公司")+SUMIFS('12月数据源'!$J:$J,'12月数据源'!$D:$D,$E43,'12月数据源'!$F:$F,"杭州目标准科技有限公司")</f>
        <v/>
      </c>
    </row>
    <row r="44" s="83">
      <c r="A44" s="5" t="inlineStr">
        <is>
          <t>硬件支出</t>
        </is>
      </c>
      <c r="B44" s="6" t="inlineStr">
        <is>
          <t>BONG PRO</t>
        </is>
      </c>
      <c r="D44" s="5" t="inlineStr">
        <is>
          <t>包装盒</t>
        </is>
      </c>
      <c r="E44" s="6" t="inlineStr">
        <is>
          <t>Q1003</t>
        </is>
      </c>
      <c r="F44" s="89">
        <f>-SUMIFS('1月数据源'!I:I,'1月数据源'!D:D,E44,'1月数据源'!F:F,"杭州目标准科技有限公司")+SUMIFS('1月数据源'!J:J,'1月数据源'!D:D,E44,'1月数据源'!F:F,"杭州目标准科技有限公司")</f>
        <v/>
      </c>
      <c r="G44" s="89">
        <f>-SUMIFS('2月数据源'!$I:$I,'2月数据源'!$D:$D,$E44,'2月数据源'!$F:$F,"杭州目标准科技有限公司")+SUMIFS('2月数据源'!$J:$J,'2月数据源'!$D:$D,$E44,'2月数据源'!$F:$F,"杭州目标准科技有限公司")</f>
        <v/>
      </c>
      <c r="H44" s="89">
        <f>-SUMIFS('3月数据源'!$I:$I,'3月数据源'!$D:$D,$E44,'3月数据源'!$F:$F,"杭州目标准科技有限公司")+SUMIFS('3月数据源'!$J:$J,'3月数据源'!$D:$D,$E44,'3月数据源'!$F:$F,"杭州目标准科技有限公司")</f>
        <v/>
      </c>
      <c r="I44" s="89">
        <f>-SUMIFS('4月数据源'!$I:$I,'4月数据源'!$D:$D,$E44,'4月数据源'!$F:$F,"杭州目标准科技有限公司")+SUMIFS('4月数据源'!$J:$J,'4月数据源'!$D:$D,$E44,'4月数据源'!$F:$F,"杭州目标准科技有限公司")</f>
        <v/>
      </c>
      <c r="J44" s="89">
        <f>-SUMIFS('5月数据源'!$I:$I,'5月数据源'!$D:$D,$E44,'5月数据源'!$F:$F,"杭州目标准科技有限公司")+SUMIFS('5月数据源'!$J:$J,'5月数据源'!$D:$D,$E44,'5月数据源'!$F:$F,"杭州目标准科技有限公司")</f>
        <v/>
      </c>
      <c r="K44" s="89">
        <f>-SUMIFS('6月数据源'!$I:$I,'6月数据源'!$D:$D,$E44,'6月数据源'!$F:$F,"杭州目标准科技有限公司")+SUMIFS('6月数据源'!$J:$J,'6月数据源'!$D:$D,$E44,'6月数据源'!$F:$F,"杭州目标准科技有限公司")</f>
        <v/>
      </c>
      <c r="L44" s="89">
        <f>-SUMIFS('7月数据源'!$I:$I,'7月数据源'!$D:$D,$E44,'7月数据源'!$F:$F,"杭州目标准科技有限公司")+SUMIFS('7月数据源'!$J:$J,'7月数据源'!$D:$D,$E44,'7月数据源'!$F:$F,"杭州目标准科技有限公司")</f>
        <v/>
      </c>
      <c r="M44" s="89">
        <f>-SUMIFS('8月数据源'!$I:$I,'8月数据源'!$D:$D,$E44,'8月数据源'!$F:$F,"杭州目标准科技有限公司")+SUMIFS('8月数据源'!$J:$J,'8月数据源'!$D:$D,$E44,'8月数据源'!$F:$F,"杭州目标准科技有限公司")</f>
        <v/>
      </c>
      <c r="N44" s="89">
        <f>-SUMIFS('9月数据源'!$I:$I,'9月数据源'!$D:$D,$E44,'9月数据源'!$F:$F,"杭州目标准科技有限公司")+SUMIFS('9月数据源'!$J:$J,'9月数据源'!$D:$D,$E44,'9月数据源'!$F:$F,"杭州目标准科技有限公司")</f>
        <v/>
      </c>
      <c r="O44" s="89">
        <f>-SUMIFS('10月数据源'!$I:$I,'10月数据源'!$D:$D,$E44,'10月数据源'!$F:$F,"杭州目标准科技有限公司")+SUMIFS('10月数据源'!$J:$J,'10月数据源'!$D:$D,$E44,'10月数据源'!$F:$F,"杭州目标准科技有限公司")</f>
        <v/>
      </c>
      <c r="P44" s="89">
        <f>-SUMIFS('11月数据源'!$I:$I,'11月数据源'!$D:$D,$E44,'11月数据源'!$F:$F,"杭州目标准科技有限公司")+SUMIFS('11月数据源'!$J:$J,'11月数据源'!$D:$D,$E44,'11月数据源'!$F:$F,"杭州目标准科技有限公司")</f>
        <v/>
      </c>
      <c r="Q44" s="89">
        <f>-SUMIFS('12月数据源'!$I:$I,'12月数据源'!$D:$D,$E44,'12月数据源'!$F:$F,"杭州目标准科技有限公司")+SUMIFS('12月数据源'!$J:$J,'12月数据源'!$D:$D,$E44,'12月数据源'!$F:$F,"杭州目标准科技有限公司")</f>
        <v/>
      </c>
    </row>
    <row r="45" s="83">
      <c r="A45" s="5" t="inlineStr">
        <is>
          <t>硬件支出</t>
        </is>
      </c>
      <c r="B45" s="6" t="inlineStr">
        <is>
          <t>BONG PRO</t>
        </is>
      </c>
      <c r="D45" s="5" t="inlineStr">
        <is>
          <t>充电器</t>
        </is>
      </c>
      <c r="E45" s="6" t="inlineStr">
        <is>
          <t>Q1004</t>
        </is>
      </c>
      <c r="F45" s="89">
        <f>-SUMIFS('1月数据源'!I:I,'1月数据源'!D:D,E45,'1月数据源'!F:F,"杭州目标准科技有限公司")+SUMIFS('1月数据源'!J:J,'1月数据源'!D:D,E45,'1月数据源'!F:F,"杭州目标准科技有限公司")</f>
        <v/>
      </c>
      <c r="G45" s="89">
        <f>-SUMIFS('2月数据源'!$I:$I,'2月数据源'!$D:$D,$E45,'2月数据源'!$F:$F,"杭州目标准科技有限公司")+SUMIFS('2月数据源'!$J:$J,'2月数据源'!$D:$D,$E45,'2月数据源'!$F:$F,"杭州目标准科技有限公司")</f>
        <v/>
      </c>
      <c r="H45" s="89">
        <f>-SUMIFS('3月数据源'!$I:$I,'3月数据源'!$D:$D,$E45,'3月数据源'!$F:$F,"杭州目标准科技有限公司")+SUMIFS('3月数据源'!$J:$J,'3月数据源'!$D:$D,$E45,'3月数据源'!$F:$F,"杭州目标准科技有限公司")</f>
        <v/>
      </c>
      <c r="I45" s="89">
        <f>-SUMIFS('4月数据源'!$I:$I,'4月数据源'!$D:$D,$E45,'4月数据源'!$F:$F,"杭州目标准科技有限公司")+SUMIFS('4月数据源'!$J:$J,'4月数据源'!$D:$D,$E45,'4月数据源'!$F:$F,"杭州目标准科技有限公司")</f>
        <v/>
      </c>
      <c r="J45" s="89">
        <f>-SUMIFS('5月数据源'!$I:$I,'5月数据源'!$D:$D,$E45,'5月数据源'!$F:$F,"杭州目标准科技有限公司")+SUMIFS('5月数据源'!$J:$J,'5月数据源'!$D:$D,$E45,'5月数据源'!$F:$F,"杭州目标准科技有限公司")</f>
        <v/>
      </c>
      <c r="K45" s="89">
        <f>-SUMIFS('6月数据源'!$I:$I,'6月数据源'!$D:$D,$E45,'6月数据源'!$F:$F,"杭州目标准科技有限公司")+SUMIFS('6月数据源'!$J:$J,'6月数据源'!$D:$D,$E45,'6月数据源'!$F:$F,"杭州目标准科技有限公司")</f>
        <v/>
      </c>
      <c r="L45" s="89">
        <f>-SUMIFS('7月数据源'!$I:$I,'7月数据源'!$D:$D,$E45,'7月数据源'!$F:$F,"杭州目标准科技有限公司")+SUMIFS('7月数据源'!$J:$J,'7月数据源'!$D:$D,$E45,'7月数据源'!$F:$F,"杭州目标准科技有限公司")</f>
        <v/>
      </c>
      <c r="M45" s="89">
        <f>-SUMIFS('8月数据源'!$I:$I,'8月数据源'!$D:$D,$E45,'8月数据源'!$F:$F,"杭州目标准科技有限公司")+SUMIFS('8月数据源'!$J:$J,'8月数据源'!$D:$D,$E45,'8月数据源'!$F:$F,"杭州目标准科技有限公司")</f>
        <v/>
      </c>
      <c r="N45" s="89">
        <f>-SUMIFS('9月数据源'!$I:$I,'9月数据源'!$D:$D,$E45,'9月数据源'!$F:$F,"杭州目标准科技有限公司")+SUMIFS('9月数据源'!$J:$J,'9月数据源'!$D:$D,$E45,'9月数据源'!$F:$F,"杭州目标准科技有限公司")</f>
        <v/>
      </c>
      <c r="O45" s="89">
        <f>-SUMIFS('10月数据源'!$I:$I,'10月数据源'!$D:$D,$E45,'10月数据源'!$F:$F,"杭州目标准科技有限公司")+SUMIFS('10月数据源'!$J:$J,'10月数据源'!$D:$D,$E45,'10月数据源'!$F:$F,"杭州目标准科技有限公司")</f>
        <v/>
      </c>
      <c r="P45" s="89">
        <f>-SUMIFS('11月数据源'!$I:$I,'11月数据源'!$D:$D,$E45,'11月数据源'!$F:$F,"杭州目标准科技有限公司")+SUMIFS('11月数据源'!$J:$J,'11月数据源'!$D:$D,$E45,'11月数据源'!$F:$F,"杭州目标准科技有限公司")</f>
        <v/>
      </c>
      <c r="Q45" s="89">
        <f>-SUMIFS('12月数据源'!$I:$I,'12月数据源'!$D:$D,$E45,'12月数据源'!$F:$F,"杭州目标准科技有限公司")+SUMIFS('12月数据源'!$J:$J,'12月数据源'!$D:$D,$E45,'12月数据源'!$F:$F,"杭州目标准科技有限公司")</f>
        <v/>
      </c>
    </row>
    <row r="46" s="83">
      <c r="A46" s="5" t="inlineStr">
        <is>
          <t>硬件支出</t>
        </is>
      </c>
      <c r="B46" s="6" t="inlineStr">
        <is>
          <t>BONG PRO</t>
        </is>
      </c>
      <c r="D46" s="5" t="inlineStr">
        <is>
          <t>指学镜</t>
        </is>
      </c>
      <c r="E46" s="6" t="inlineStr">
        <is>
          <t>Q1005</t>
        </is>
      </c>
      <c r="F46" s="89">
        <f>-SUMIFS('1月数据源'!I:I,'1月数据源'!D:D,E46,'1月数据源'!F:F,"杭州目标准科技有限公司")+SUMIFS('1月数据源'!J:J,'1月数据源'!D:D,E46,'1月数据源'!F:F,"杭州目标准科技有限公司")</f>
        <v/>
      </c>
      <c r="G46" s="89">
        <f>-SUMIFS('2月数据源'!$I:$I,'2月数据源'!$D:$D,$E46,'2月数据源'!$F:$F,"杭州目标准科技有限公司")+SUMIFS('2月数据源'!$J:$J,'2月数据源'!$D:$D,$E46,'2月数据源'!$F:$F,"杭州目标准科技有限公司")</f>
        <v/>
      </c>
      <c r="H46" s="89">
        <f>-SUMIFS('3月数据源'!$I:$I,'3月数据源'!$D:$D,$E46,'3月数据源'!$F:$F,"杭州目标准科技有限公司")+SUMIFS('3月数据源'!$J:$J,'3月数据源'!$D:$D,$E46,'3月数据源'!$F:$F,"杭州目标准科技有限公司")</f>
        <v/>
      </c>
      <c r="I46" s="89">
        <f>-SUMIFS('4月数据源'!$I:$I,'4月数据源'!$D:$D,$E46,'4月数据源'!$F:$F,"杭州目标准科技有限公司")+SUMIFS('4月数据源'!$J:$J,'4月数据源'!$D:$D,$E46,'4月数据源'!$F:$F,"杭州目标准科技有限公司")</f>
        <v/>
      </c>
      <c r="J46" s="89">
        <f>-SUMIFS('5月数据源'!$I:$I,'5月数据源'!$D:$D,$E46,'5月数据源'!$F:$F,"杭州目标准科技有限公司")+SUMIFS('5月数据源'!$J:$J,'5月数据源'!$D:$D,$E46,'5月数据源'!$F:$F,"杭州目标准科技有限公司")</f>
        <v/>
      </c>
      <c r="K46" s="89">
        <f>-SUMIFS('6月数据源'!$I:$I,'6月数据源'!$D:$D,$E46,'6月数据源'!$F:$F,"杭州目标准科技有限公司")+SUMIFS('6月数据源'!$J:$J,'6月数据源'!$D:$D,$E46,'6月数据源'!$F:$F,"杭州目标准科技有限公司")</f>
        <v/>
      </c>
      <c r="L46" s="89">
        <f>-SUMIFS('7月数据源'!$I:$I,'7月数据源'!$D:$D,$E46,'7月数据源'!$F:$F,"杭州目标准科技有限公司")+SUMIFS('7月数据源'!$J:$J,'7月数据源'!$D:$D,$E46,'7月数据源'!$F:$F,"杭州目标准科技有限公司")</f>
        <v/>
      </c>
      <c r="M46" s="89">
        <f>-SUMIFS('8月数据源'!$I:$I,'8月数据源'!$D:$D,$E46,'8月数据源'!$F:$F,"杭州目标准科技有限公司")+SUMIFS('8月数据源'!$J:$J,'8月数据源'!$D:$D,$E46,'8月数据源'!$F:$F,"杭州目标准科技有限公司")</f>
        <v/>
      </c>
      <c r="N46" s="89">
        <f>-SUMIFS('9月数据源'!$I:$I,'9月数据源'!$D:$D,$E46,'9月数据源'!$F:$F,"杭州目标准科技有限公司")+SUMIFS('9月数据源'!$J:$J,'9月数据源'!$D:$D,$E46,'9月数据源'!$F:$F,"杭州目标准科技有限公司")</f>
        <v/>
      </c>
      <c r="O46" s="89">
        <f>-SUMIFS('10月数据源'!$I:$I,'10月数据源'!$D:$D,$E46,'10月数据源'!$F:$F,"杭州目标准科技有限公司")+SUMIFS('10月数据源'!$J:$J,'10月数据源'!$D:$D,$E46,'10月数据源'!$F:$F,"杭州目标准科技有限公司")</f>
        <v/>
      </c>
      <c r="P46" s="89">
        <f>-SUMIFS('11月数据源'!$I:$I,'11月数据源'!$D:$D,$E46,'11月数据源'!$F:$F,"杭州目标准科技有限公司")+SUMIFS('11月数据源'!$J:$J,'11月数据源'!$D:$D,$E46,'11月数据源'!$F:$F,"杭州目标准科技有限公司")</f>
        <v/>
      </c>
      <c r="Q46" s="89">
        <f>-SUMIFS('12月数据源'!$I:$I,'12月数据源'!$D:$D,$E46,'12月数据源'!$F:$F,"杭州目标准科技有限公司")+SUMIFS('12月数据源'!$J:$J,'12月数据源'!$D:$D,$E46,'12月数据源'!$F:$F,"杭州目标准科技有限公司")</f>
        <v/>
      </c>
    </row>
    <row r="47" s="83">
      <c r="A47" s="5" t="inlineStr">
        <is>
          <t>硬件支出</t>
        </is>
      </c>
      <c r="B47" s="6" t="inlineStr">
        <is>
          <t>BONG PRO</t>
        </is>
      </c>
      <c r="D47" s="5" t="inlineStr">
        <is>
          <t>学习机系统授权费</t>
        </is>
      </c>
      <c r="E47" s="6" t="inlineStr">
        <is>
          <t>Q1006</t>
        </is>
      </c>
      <c r="F47" s="89">
        <f>-SUMIFS('1月数据源'!I:I,'1月数据源'!D:D,E47,'1月数据源'!F:F,"杭州目标准科技有限公司")+SUMIFS('1月数据源'!J:J,'1月数据源'!D:D,E47,'1月数据源'!F:F,"杭州目标准科技有限公司")</f>
        <v/>
      </c>
      <c r="G47" s="89">
        <f>-SUMIFS('2月数据源'!$I:$I,'2月数据源'!$D:$D,$E47,'2月数据源'!$F:$F,"杭州目标准科技有限公司")+SUMIFS('2月数据源'!$J:$J,'2月数据源'!$D:$D,$E47,'2月数据源'!$F:$F,"杭州目标准科技有限公司")</f>
        <v/>
      </c>
      <c r="H47" s="89">
        <f>-SUMIFS('3月数据源'!$I:$I,'3月数据源'!$D:$D,$E47,'3月数据源'!$F:$F,"杭州目标准科技有限公司")+SUMIFS('3月数据源'!$J:$J,'3月数据源'!$D:$D,$E47,'3月数据源'!$F:$F,"杭州目标准科技有限公司")</f>
        <v/>
      </c>
      <c r="I47" s="89">
        <f>-SUMIFS('4月数据源'!$I:$I,'4月数据源'!$D:$D,$E47,'4月数据源'!$F:$F,"杭州目标准科技有限公司")+SUMIFS('4月数据源'!$J:$J,'4月数据源'!$D:$D,$E47,'4月数据源'!$F:$F,"杭州目标准科技有限公司")</f>
        <v/>
      </c>
      <c r="J47" s="89">
        <f>-SUMIFS('5月数据源'!$I:$I,'5月数据源'!$D:$D,$E47,'5月数据源'!$F:$F,"杭州目标准科技有限公司")+SUMIFS('5月数据源'!$J:$J,'5月数据源'!$D:$D,$E47,'5月数据源'!$F:$F,"杭州目标准科技有限公司")</f>
        <v/>
      </c>
      <c r="K47" s="89">
        <f>-SUMIFS('6月数据源'!$I:$I,'6月数据源'!$D:$D,$E47,'6月数据源'!$F:$F,"杭州目标准科技有限公司")+SUMIFS('6月数据源'!$J:$J,'6月数据源'!$D:$D,$E47,'6月数据源'!$F:$F,"杭州目标准科技有限公司")</f>
        <v/>
      </c>
      <c r="L47" s="89">
        <f>-SUMIFS('7月数据源'!$I:$I,'7月数据源'!$D:$D,$E47,'7月数据源'!$F:$F,"杭州目标准科技有限公司")+SUMIFS('7月数据源'!$J:$J,'7月数据源'!$D:$D,$E47,'7月数据源'!$F:$F,"杭州目标准科技有限公司")</f>
        <v/>
      </c>
      <c r="M47" s="89">
        <f>-SUMIFS('8月数据源'!$I:$I,'8月数据源'!$D:$D,$E47,'8月数据源'!$F:$F,"杭州目标准科技有限公司")+SUMIFS('8月数据源'!$J:$J,'8月数据源'!$D:$D,$E47,'8月数据源'!$F:$F,"杭州目标准科技有限公司")</f>
        <v/>
      </c>
      <c r="N47" s="89">
        <f>-SUMIFS('9月数据源'!$I:$I,'9月数据源'!$D:$D,$E47,'9月数据源'!$F:$F,"杭州目标准科技有限公司")+SUMIFS('9月数据源'!$J:$J,'9月数据源'!$D:$D,$E47,'9月数据源'!$F:$F,"杭州目标准科技有限公司")</f>
        <v/>
      </c>
      <c r="O47" s="89">
        <f>-SUMIFS('10月数据源'!$I:$I,'10月数据源'!$D:$D,$E47,'10月数据源'!$F:$F,"杭州目标准科技有限公司")+SUMIFS('10月数据源'!$J:$J,'10月数据源'!$D:$D,$E47,'10月数据源'!$F:$F,"杭州目标准科技有限公司")</f>
        <v/>
      </c>
      <c r="P47" s="89">
        <f>-SUMIFS('11月数据源'!$I:$I,'11月数据源'!$D:$D,$E47,'11月数据源'!$F:$F,"杭州目标准科技有限公司")+SUMIFS('11月数据源'!$J:$J,'11月数据源'!$D:$D,$E47,'11月数据源'!$F:$F,"杭州目标准科技有限公司")</f>
        <v/>
      </c>
      <c r="Q47" s="89">
        <f>-SUMIFS('12月数据源'!$I:$I,'12月数据源'!$D:$D,$E47,'12月数据源'!$F:$F,"杭州目标准科技有限公司")+SUMIFS('12月数据源'!$J:$J,'12月数据源'!$D:$D,$E47,'12月数据源'!$F:$F,"杭州目标准科技有限公司")</f>
        <v/>
      </c>
    </row>
    <row r="48" s="83">
      <c r="A48" s="5" t="inlineStr">
        <is>
          <t>硬件支出</t>
        </is>
      </c>
      <c r="B48" s="6" t="inlineStr">
        <is>
          <t>其他硬件成本</t>
        </is>
      </c>
      <c r="C48" s="6" t="inlineStr">
        <is>
          <t>其他硬件成本</t>
        </is>
      </c>
      <c r="D48" s="5" t="inlineStr">
        <is>
          <t>电容笔</t>
        </is>
      </c>
      <c r="E48" s="6" t="inlineStr">
        <is>
          <t>Q1101</t>
        </is>
      </c>
      <c r="F48" s="89">
        <f>-SUMIFS('1月数据源'!I:I,'1月数据源'!D:D,E48,'1月数据源'!F:F,"杭州目标准科技有限公司")+SUMIFS('1月数据源'!J:J,'1月数据源'!D:D,E48,'1月数据源'!F:F,"杭州目标准科技有限公司")</f>
        <v/>
      </c>
      <c r="G48" s="89">
        <f>-SUMIFS('2月数据源'!$I:$I,'2月数据源'!$D:$D,$E48,'2月数据源'!$F:$F,"杭州目标准科技有限公司")+SUMIFS('2月数据源'!$J:$J,'2月数据源'!$D:$D,$E48,'2月数据源'!$F:$F,"杭州目标准科技有限公司")</f>
        <v/>
      </c>
      <c r="H48" s="89">
        <f>-SUMIFS('3月数据源'!$I:$I,'3月数据源'!$D:$D,$E48,'3月数据源'!$F:$F,"杭州目标准科技有限公司")+SUMIFS('3月数据源'!$J:$J,'3月数据源'!$D:$D,$E48,'3月数据源'!$F:$F,"杭州目标准科技有限公司")</f>
        <v/>
      </c>
      <c r="I48" s="89">
        <f>-SUMIFS('4月数据源'!$I:$I,'4月数据源'!$D:$D,$E48,'4月数据源'!$F:$F,"杭州目标准科技有限公司")+SUMIFS('4月数据源'!$J:$J,'4月数据源'!$D:$D,$E48,'4月数据源'!$F:$F,"杭州目标准科技有限公司")</f>
        <v/>
      </c>
      <c r="J48" s="89">
        <f>-SUMIFS('5月数据源'!$I:$I,'5月数据源'!$D:$D,$E48,'5月数据源'!$F:$F,"杭州目标准科技有限公司")+SUMIFS('5月数据源'!$J:$J,'5月数据源'!$D:$D,$E48,'5月数据源'!$F:$F,"杭州目标准科技有限公司")</f>
        <v/>
      </c>
      <c r="K48" s="89">
        <f>-SUMIFS('6月数据源'!$I:$I,'6月数据源'!$D:$D,$E48,'6月数据源'!$F:$F,"杭州目标准科技有限公司")+SUMIFS('6月数据源'!$J:$J,'6月数据源'!$D:$D,$E48,'6月数据源'!$F:$F,"杭州目标准科技有限公司")</f>
        <v/>
      </c>
      <c r="L48" s="89">
        <f>-SUMIFS('7月数据源'!$I:$I,'7月数据源'!$D:$D,$E48,'7月数据源'!$F:$F,"杭州目标准科技有限公司")+SUMIFS('7月数据源'!$J:$J,'7月数据源'!$D:$D,$E48,'7月数据源'!$F:$F,"杭州目标准科技有限公司")</f>
        <v/>
      </c>
      <c r="M48" s="89">
        <f>-SUMIFS('8月数据源'!$I:$I,'8月数据源'!$D:$D,$E48,'8月数据源'!$F:$F,"杭州目标准科技有限公司")+SUMIFS('8月数据源'!$J:$J,'8月数据源'!$D:$D,$E48,'8月数据源'!$F:$F,"杭州目标准科技有限公司")</f>
        <v/>
      </c>
      <c r="N48" s="89">
        <f>-SUMIFS('9月数据源'!$I:$I,'9月数据源'!$D:$D,$E48,'9月数据源'!$F:$F,"杭州目标准科技有限公司")+SUMIFS('9月数据源'!$J:$J,'9月数据源'!$D:$D,$E48,'9月数据源'!$F:$F,"杭州目标准科技有限公司")</f>
        <v/>
      </c>
      <c r="O48" s="89">
        <f>-SUMIFS('10月数据源'!$I:$I,'10月数据源'!$D:$D,$E48,'10月数据源'!$F:$F,"杭州目标准科技有限公司")+SUMIFS('10月数据源'!$J:$J,'10月数据源'!$D:$D,$E48,'10月数据源'!$F:$F,"杭州目标准科技有限公司")</f>
        <v/>
      </c>
      <c r="P48" s="89">
        <f>-SUMIFS('11月数据源'!$I:$I,'11月数据源'!$D:$D,$E48,'11月数据源'!$F:$F,"杭州目标准科技有限公司")+SUMIFS('11月数据源'!$J:$J,'11月数据源'!$D:$D,$E48,'11月数据源'!$F:$F,"杭州目标准科技有限公司")</f>
        <v/>
      </c>
      <c r="Q48" s="89">
        <f>-SUMIFS('12月数据源'!$I:$I,'12月数据源'!$D:$D,$E48,'12月数据源'!$F:$F,"杭州目标准科技有限公司")+SUMIFS('12月数据源'!$J:$J,'12月数据源'!$D:$D,$E48,'12月数据源'!$F:$F,"杭州目标准科技有限公司")</f>
        <v/>
      </c>
    </row>
    <row r="49" s="83">
      <c r="A49" s="5" t="inlineStr">
        <is>
          <t>硬件支出</t>
        </is>
      </c>
      <c r="B49" s="6" t="inlineStr">
        <is>
          <t>其他硬件成本</t>
        </is>
      </c>
      <c r="D49" s="5" t="inlineStr">
        <is>
          <t>支架</t>
        </is>
      </c>
      <c r="E49" s="6" t="inlineStr">
        <is>
          <t>Q1102</t>
        </is>
      </c>
      <c r="F49" s="89">
        <f>-SUMIFS('1月数据源'!I:I,'1月数据源'!D:D,E49,'1月数据源'!F:F,"杭州目标准科技有限公司")+SUMIFS('1月数据源'!J:J,'1月数据源'!D:D,E49,'1月数据源'!F:F,"杭州目标准科技有限公司")</f>
        <v/>
      </c>
      <c r="G49" s="89">
        <f>-SUMIFS('2月数据源'!$I:$I,'2月数据源'!$D:$D,$E49,'2月数据源'!$F:$F,"杭州目标准科技有限公司")+SUMIFS('2月数据源'!$J:$J,'2月数据源'!$D:$D,$E49,'2月数据源'!$F:$F,"杭州目标准科技有限公司")</f>
        <v/>
      </c>
      <c r="H49" s="89">
        <f>-SUMIFS('3月数据源'!$I:$I,'3月数据源'!$D:$D,$E49,'3月数据源'!$F:$F,"杭州目标准科技有限公司")+SUMIFS('3月数据源'!$J:$J,'3月数据源'!$D:$D,$E49,'3月数据源'!$F:$F,"杭州目标准科技有限公司")</f>
        <v/>
      </c>
      <c r="I49" s="89">
        <f>-SUMIFS('4月数据源'!$I:$I,'4月数据源'!$D:$D,$E49,'4月数据源'!$F:$F,"杭州目标准科技有限公司")+SUMIFS('4月数据源'!$J:$J,'4月数据源'!$D:$D,$E49,'4月数据源'!$F:$F,"杭州目标准科技有限公司")</f>
        <v/>
      </c>
      <c r="J49" s="89">
        <f>-SUMIFS('5月数据源'!$I:$I,'5月数据源'!$D:$D,$E49,'5月数据源'!$F:$F,"杭州目标准科技有限公司")+SUMIFS('5月数据源'!$J:$J,'5月数据源'!$D:$D,$E49,'5月数据源'!$F:$F,"杭州目标准科技有限公司")</f>
        <v/>
      </c>
      <c r="K49" s="89">
        <f>-SUMIFS('6月数据源'!$I:$I,'6月数据源'!$D:$D,$E49,'6月数据源'!$F:$F,"杭州目标准科技有限公司")+SUMIFS('6月数据源'!$J:$J,'6月数据源'!$D:$D,$E49,'6月数据源'!$F:$F,"杭州目标准科技有限公司")</f>
        <v/>
      </c>
      <c r="L49" s="89">
        <f>-SUMIFS('7月数据源'!$I:$I,'7月数据源'!$D:$D,$E49,'7月数据源'!$F:$F,"杭州目标准科技有限公司")+SUMIFS('7月数据源'!$J:$J,'7月数据源'!$D:$D,$E49,'7月数据源'!$F:$F,"杭州目标准科技有限公司")</f>
        <v/>
      </c>
      <c r="M49" s="89">
        <f>-SUMIFS('8月数据源'!$I:$I,'8月数据源'!$D:$D,$E49,'8月数据源'!$F:$F,"杭州目标准科技有限公司")+SUMIFS('8月数据源'!$J:$J,'8月数据源'!$D:$D,$E49,'8月数据源'!$F:$F,"杭州目标准科技有限公司")</f>
        <v/>
      </c>
      <c r="N49" s="89">
        <f>-SUMIFS('9月数据源'!$I:$I,'9月数据源'!$D:$D,$E49,'9月数据源'!$F:$F,"杭州目标准科技有限公司")+SUMIFS('9月数据源'!$J:$J,'9月数据源'!$D:$D,$E49,'9月数据源'!$F:$F,"杭州目标准科技有限公司")</f>
        <v/>
      </c>
      <c r="O49" s="89">
        <f>-SUMIFS('10月数据源'!$I:$I,'10月数据源'!$D:$D,$E49,'10月数据源'!$F:$F,"杭州目标准科技有限公司")+SUMIFS('10月数据源'!$J:$J,'10月数据源'!$D:$D,$E49,'10月数据源'!$F:$F,"杭州目标准科技有限公司")</f>
        <v/>
      </c>
      <c r="P49" s="89">
        <f>-SUMIFS('11月数据源'!$I:$I,'11月数据源'!$D:$D,$E49,'11月数据源'!$F:$F,"杭州目标准科技有限公司")+SUMIFS('11月数据源'!$J:$J,'11月数据源'!$D:$D,$E49,'11月数据源'!$F:$F,"杭州目标准科技有限公司")</f>
        <v/>
      </c>
      <c r="Q49" s="89">
        <f>-SUMIFS('12月数据源'!$I:$I,'12月数据源'!$D:$D,$E49,'12月数据源'!$F:$F,"杭州目标准科技有限公司")+SUMIFS('12月数据源'!$J:$J,'12月数据源'!$D:$D,$E49,'12月数据源'!$F:$F,"杭州目标准科技有限公司")</f>
        <v/>
      </c>
    </row>
    <row r="50" s="83">
      <c r="A50" s="49" t="inlineStr">
        <is>
          <t>硬件支出合计</t>
        </is>
      </c>
      <c r="B50" s="50" t="n"/>
      <c r="C50" s="50" t="n"/>
      <c r="D50" s="49" t="n"/>
      <c r="E50" s="49" t="n"/>
      <c r="F50" s="89">
        <f>SUM(F36:F49)</f>
        <v/>
      </c>
      <c r="G50" s="89">
        <f>SUM(G36:G49)</f>
        <v/>
      </c>
      <c r="H50" s="89">
        <f>SUM(H36:H49)</f>
        <v/>
      </c>
      <c r="I50" s="89">
        <f>SUM(I36:I49)</f>
        <v/>
      </c>
      <c r="J50" s="89">
        <f>SUM(J36:J49)</f>
        <v/>
      </c>
      <c r="K50" s="89">
        <f>SUM(K36:K49)</f>
        <v/>
      </c>
      <c r="L50" s="89">
        <f>SUM(L36:L49)</f>
        <v/>
      </c>
      <c r="M50" s="89">
        <f>SUM(M36:M49)</f>
        <v/>
      </c>
      <c r="N50" s="89">
        <f>SUM(N36:N49)</f>
        <v/>
      </c>
      <c r="O50" s="89">
        <f>SUM(O36:O49)</f>
        <v/>
      </c>
      <c r="P50" s="89">
        <f>SUM(P36:P49)</f>
        <v/>
      </c>
      <c r="Q50" s="89">
        <f>SUM(Q36:Q49)</f>
        <v/>
      </c>
    </row>
    <row r="51" s="83">
      <c r="A51" s="5" t="inlineStr">
        <is>
          <t>制造费用</t>
        </is>
      </c>
      <c r="B51" s="5" t="inlineStr">
        <is>
          <t>制造费用</t>
        </is>
      </c>
      <c r="C51" s="6" t="inlineStr">
        <is>
          <t>制造费用</t>
        </is>
      </c>
      <c r="D51" s="5" t="inlineStr">
        <is>
          <t>西溪首座仓库租金</t>
        </is>
      </c>
      <c r="E51" s="6" t="inlineStr">
        <is>
          <t>Q3201</t>
        </is>
      </c>
      <c r="F51" s="89">
        <f>-SUMIFS('1月数据源'!I:I,'1月数据源'!D:D,E51,'1月数据源'!F:F,"杭州目标准科技有限公司")+SUMIFS('1月数据源'!J:J,'1月数据源'!D:D,E51,'1月数据源'!F:F,"杭州目标准科技有限公司")</f>
        <v/>
      </c>
      <c r="G51" s="89">
        <f>-SUMIFS('2月数据源'!$I:$I,'2月数据源'!$D:$D,$E51,'2月数据源'!$F:$F,"杭州目标准科技有限公司")+SUMIFS('2月数据源'!$J:$J,'2月数据源'!$D:$D,$E51,'2月数据源'!$F:$F,"杭州目标准科技有限公司")</f>
        <v/>
      </c>
      <c r="H51" s="89">
        <f>-SUMIFS('3月数据源'!$I:$I,'3月数据源'!$D:$D,$E51,'3月数据源'!$F:$F,"杭州目标准科技有限公司")+SUMIFS('3月数据源'!$J:$J,'3月数据源'!$D:$D,$E51,'3月数据源'!$F:$F,"杭州目标准科技有限公司")</f>
        <v/>
      </c>
      <c r="I51" s="89">
        <f>-SUMIFS('4月数据源'!$I:$I,'4月数据源'!$D:$D,$E51,'4月数据源'!$F:$F,"杭州目标准科技有限公司")+SUMIFS('4月数据源'!$J:$J,'4月数据源'!$D:$D,$E51,'4月数据源'!$F:$F,"杭州目标准科技有限公司")</f>
        <v/>
      </c>
      <c r="J51" s="89">
        <f>-SUMIFS('5月数据源'!$I:$I,'5月数据源'!$D:$D,$E51,'5月数据源'!$F:$F,"杭州目标准科技有限公司")+SUMIFS('5月数据源'!$J:$J,'5月数据源'!$D:$D,$E51,'5月数据源'!$F:$F,"杭州目标准科技有限公司")</f>
        <v/>
      </c>
      <c r="K51" s="89">
        <f>-SUMIFS('6月数据源'!$I:$I,'6月数据源'!$D:$D,$E51,'6月数据源'!$F:$F,"杭州目标准科技有限公司")+SUMIFS('6月数据源'!$J:$J,'6月数据源'!$D:$D,$E51,'6月数据源'!$F:$F,"杭州目标准科技有限公司")</f>
        <v/>
      </c>
      <c r="L51" s="89">
        <f>-SUMIFS('7月数据源'!$I:$I,'7月数据源'!$D:$D,$E51,'7月数据源'!$F:$F,"杭州目标准科技有限公司")+SUMIFS('7月数据源'!$J:$J,'7月数据源'!$D:$D,$E51,'7月数据源'!$F:$F,"杭州目标准科技有限公司")</f>
        <v/>
      </c>
      <c r="M51" s="89">
        <f>-SUMIFS('8月数据源'!$I:$I,'8月数据源'!$D:$D,$E51,'8月数据源'!$F:$F,"杭州目标准科技有限公司")+SUMIFS('8月数据源'!$J:$J,'8月数据源'!$D:$D,$E51,'8月数据源'!$F:$F,"杭州目标准科技有限公司")</f>
        <v/>
      </c>
      <c r="N51" s="89">
        <f>-SUMIFS('9月数据源'!$I:$I,'9月数据源'!$D:$D,$E51,'9月数据源'!$F:$F,"杭州目标准科技有限公司")+SUMIFS('9月数据源'!$J:$J,'9月数据源'!$D:$D,$E51,'9月数据源'!$F:$F,"杭州目标准科技有限公司")</f>
        <v/>
      </c>
      <c r="O51" s="89">
        <f>-SUMIFS('10月数据源'!$I:$I,'10月数据源'!$D:$D,$E51,'10月数据源'!$F:$F,"杭州目标准科技有限公司")+SUMIFS('10月数据源'!$J:$J,'10月数据源'!$D:$D,$E51,'10月数据源'!$F:$F,"杭州目标准科技有限公司")</f>
        <v/>
      </c>
      <c r="P51" s="89">
        <f>-SUMIFS('11月数据源'!$I:$I,'11月数据源'!$D:$D,$E51,'11月数据源'!$F:$F,"杭州目标准科技有限公司")+SUMIFS('11月数据源'!$J:$J,'11月数据源'!$D:$D,$E51,'11月数据源'!$F:$F,"杭州目标准科技有限公司")</f>
        <v/>
      </c>
      <c r="Q51" s="89">
        <f>-SUMIFS('12月数据源'!$I:$I,'12月数据源'!$D:$D,$E51,'12月数据源'!$F:$F,"杭州目标准科技有限公司")+SUMIFS('12月数据源'!$J:$J,'12月数据源'!$D:$D,$E51,'12月数据源'!$F:$F,"杭州目标准科技有限公司")</f>
        <v/>
      </c>
    </row>
    <row r="52" s="83">
      <c r="A52" s="5" t="inlineStr">
        <is>
          <t>制造费用</t>
        </is>
      </c>
      <c r="B52" s="5" t="inlineStr">
        <is>
          <t>制造费用</t>
        </is>
      </c>
      <c r="D52" s="5" t="inlineStr">
        <is>
          <t>西溪首座仓库物业水电费</t>
        </is>
      </c>
      <c r="E52" s="6" t="inlineStr">
        <is>
          <t>Q3202</t>
        </is>
      </c>
      <c r="F52" s="89">
        <f>-SUMIFS('1月数据源'!I:I,'1月数据源'!D:D,E52,'1月数据源'!F:F,"杭州目标准科技有限公司")+SUMIFS('1月数据源'!J:J,'1月数据源'!D:D,E52,'1月数据源'!F:F,"杭州目标准科技有限公司")</f>
        <v/>
      </c>
      <c r="G52" s="89">
        <f>-SUMIFS('2月数据源'!$I:$I,'2月数据源'!$D:$D,$E52,'2月数据源'!$F:$F,"杭州目标准科技有限公司")+SUMIFS('2月数据源'!$J:$J,'2月数据源'!$D:$D,$E52,'2月数据源'!$F:$F,"杭州目标准科技有限公司")</f>
        <v/>
      </c>
      <c r="H52" s="89">
        <f>-SUMIFS('3月数据源'!$I:$I,'3月数据源'!$D:$D,$E52,'3月数据源'!$F:$F,"杭州目标准科技有限公司")+SUMIFS('3月数据源'!$J:$J,'3月数据源'!$D:$D,$E52,'3月数据源'!$F:$F,"杭州目标准科技有限公司")</f>
        <v/>
      </c>
      <c r="I52" s="89">
        <f>-SUMIFS('4月数据源'!$I:$I,'4月数据源'!$D:$D,$E52,'4月数据源'!$F:$F,"杭州目标准科技有限公司")+SUMIFS('4月数据源'!$J:$J,'4月数据源'!$D:$D,$E52,'4月数据源'!$F:$F,"杭州目标准科技有限公司")</f>
        <v/>
      </c>
      <c r="J52" s="89">
        <f>-SUMIFS('5月数据源'!$I:$I,'5月数据源'!$D:$D,$E52,'5月数据源'!$F:$F,"杭州目标准科技有限公司")+SUMIFS('5月数据源'!$J:$J,'5月数据源'!$D:$D,$E52,'5月数据源'!$F:$F,"杭州目标准科技有限公司")</f>
        <v/>
      </c>
      <c r="K52" s="89">
        <f>-SUMIFS('6月数据源'!$I:$I,'6月数据源'!$D:$D,$E52,'6月数据源'!$F:$F,"杭州目标准科技有限公司")+SUMIFS('6月数据源'!$J:$J,'6月数据源'!$D:$D,$E52,'6月数据源'!$F:$F,"杭州目标准科技有限公司")</f>
        <v/>
      </c>
      <c r="L52" s="89">
        <f>-SUMIFS('7月数据源'!$I:$I,'7月数据源'!$D:$D,$E52,'7月数据源'!$F:$F,"杭州目标准科技有限公司")+SUMIFS('7月数据源'!$J:$J,'7月数据源'!$D:$D,$E52,'7月数据源'!$F:$F,"杭州目标准科技有限公司")</f>
        <v/>
      </c>
      <c r="M52" s="89">
        <f>-SUMIFS('8月数据源'!$I:$I,'8月数据源'!$D:$D,$E52,'8月数据源'!$F:$F,"杭州目标准科技有限公司")+SUMIFS('8月数据源'!$J:$J,'8月数据源'!$D:$D,$E52,'8月数据源'!$F:$F,"杭州目标准科技有限公司")</f>
        <v/>
      </c>
      <c r="N52" s="89">
        <f>-SUMIFS('9月数据源'!$I:$I,'9月数据源'!$D:$D,$E52,'9月数据源'!$F:$F,"杭州目标准科技有限公司")+SUMIFS('9月数据源'!$J:$J,'9月数据源'!$D:$D,$E52,'9月数据源'!$F:$F,"杭州目标准科技有限公司")</f>
        <v/>
      </c>
      <c r="O52" s="89">
        <f>-SUMIFS('10月数据源'!$I:$I,'10月数据源'!$D:$D,$E52,'10月数据源'!$F:$F,"杭州目标准科技有限公司")+SUMIFS('10月数据源'!$J:$J,'10月数据源'!$D:$D,$E52,'10月数据源'!$F:$F,"杭州目标准科技有限公司")</f>
        <v/>
      </c>
      <c r="P52" s="89">
        <f>-SUMIFS('11月数据源'!$I:$I,'11月数据源'!$D:$D,$E52,'11月数据源'!$F:$F,"杭州目标准科技有限公司")+SUMIFS('11月数据源'!$J:$J,'11月数据源'!$D:$D,$E52,'11月数据源'!$F:$F,"杭州目标准科技有限公司")</f>
        <v/>
      </c>
      <c r="Q52" s="89">
        <f>-SUMIFS('12月数据源'!$I:$I,'12月数据源'!$D:$D,$E52,'12月数据源'!$F:$F,"杭州目标准科技有限公司")+SUMIFS('12月数据源'!$J:$J,'12月数据源'!$D:$D,$E52,'12月数据源'!$F:$F,"杭州目标准科技有限公司")</f>
        <v/>
      </c>
    </row>
    <row r="53" s="83">
      <c r="A53" s="5" t="inlineStr">
        <is>
          <t>制造费用</t>
        </is>
      </c>
      <c r="B53" s="5" t="inlineStr">
        <is>
          <t>制造费用</t>
        </is>
      </c>
      <c r="D53" s="5" t="inlineStr">
        <is>
          <t>西溪首座仓库装修费</t>
        </is>
      </c>
      <c r="E53" s="6" t="inlineStr">
        <is>
          <t>Q3203</t>
        </is>
      </c>
      <c r="F53" s="89">
        <f>-SUMIFS('1月数据源'!I:I,'1月数据源'!D:D,E53,'1月数据源'!F:F,"杭州目标准科技有限公司")+SUMIFS('1月数据源'!J:J,'1月数据源'!D:D,E53,'1月数据源'!F:F,"杭州目标准科技有限公司")</f>
        <v/>
      </c>
      <c r="G53" s="89">
        <f>-SUMIFS('2月数据源'!$I:$I,'2月数据源'!$D:$D,$E53,'2月数据源'!$F:$F,"杭州目标准科技有限公司")+SUMIFS('2月数据源'!$J:$J,'2月数据源'!$D:$D,$E53,'2月数据源'!$F:$F,"杭州目标准科技有限公司")</f>
        <v/>
      </c>
      <c r="H53" s="89">
        <f>-SUMIFS('3月数据源'!$I:$I,'3月数据源'!$D:$D,$E53,'3月数据源'!$F:$F,"杭州目标准科技有限公司")+SUMIFS('3月数据源'!$J:$J,'3月数据源'!$D:$D,$E53,'3月数据源'!$F:$F,"杭州目标准科技有限公司")</f>
        <v/>
      </c>
      <c r="I53" s="89">
        <f>-SUMIFS('4月数据源'!$I:$I,'4月数据源'!$D:$D,$E53,'4月数据源'!$F:$F,"杭州目标准科技有限公司")+SUMIFS('4月数据源'!$J:$J,'4月数据源'!$D:$D,$E53,'4月数据源'!$F:$F,"杭州目标准科技有限公司")</f>
        <v/>
      </c>
      <c r="J53" s="89">
        <f>-SUMIFS('5月数据源'!$I:$I,'5月数据源'!$D:$D,$E53,'5月数据源'!$F:$F,"杭州目标准科技有限公司")+SUMIFS('5月数据源'!$J:$J,'5月数据源'!$D:$D,$E53,'5月数据源'!$F:$F,"杭州目标准科技有限公司")</f>
        <v/>
      </c>
      <c r="K53" s="89">
        <f>-SUMIFS('6月数据源'!$I:$I,'6月数据源'!$D:$D,$E53,'6月数据源'!$F:$F,"杭州目标准科技有限公司")+SUMIFS('6月数据源'!$J:$J,'6月数据源'!$D:$D,$E53,'6月数据源'!$F:$F,"杭州目标准科技有限公司")</f>
        <v/>
      </c>
      <c r="L53" s="89">
        <f>-SUMIFS('7月数据源'!$I:$I,'7月数据源'!$D:$D,$E53,'7月数据源'!$F:$F,"杭州目标准科技有限公司")+SUMIFS('7月数据源'!$J:$J,'7月数据源'!$D:$D,$E53,'7月数据源'!$F:$F,"杭州目标准科技有限公司")</f>
        <v/>
      </c>
      <c r="M53" s="89">
        <f>-SUMIFS('8月数据源'!$I:$I,'8月数据源'!$D:$D,$E53,'8月数据源'!$F:$F,"杭州目标准科技有限公司")+SUMIFS('8月数据源'!$J:$J,'8月数据源'!$D:$D,$E53,'8月数据源'!$F:$F,"杭州目标准科技有限公司")</f>
        <v/>
      </c>
      <c r="N53" s="89">
        <f>-SUMIFS('9月数据源'!$I:$I,'9月数据源'!$D:$D,$E53,'9月数据源'!$F:$F,"杭州目标准科技有限公司")+SUMIFS('9月数据源'!$J:$J,'9月数据源'!$D:$D,$E53,'9月数据源'!$F:$F,"杭州目标准科技有限公司")</f>
        <v/>
      </c>
      <c r="O53" s="89">
        <f>-SUMIFS('10月数据源'!$I:$I,'10月数据源'!$D:$D,$E53,'10月数据源'!$F:$F,"杭州目标准科技有限公司")+SUMIFS('10月数据源'!$J:$J,'10月数据源'!$D:$D,$E53,'10月数据源'!$F:$F,"杭州目标准科技有限公司")</f>
        <v/>
      </c>
      <c r="P53" s="89">
        <f>-SUMIFS('11月数据源'!$I:$I,'11月数据源'!$D:$D,$E53,'11月数据源'!$F:$F,"杭州目标准科技有限公司")+SUMIFS('11月数据源'!$J:$J,'11月数据源'!$D:$D,$E53,'11月数据源'!$F:$F,"杭州目标准科技有限公司")</f>
        <v/>
      </c>
      <c r="Q53" s="89">
        <f>-SUMIFS('12月数据源'!$I:$I,'12月数据源'!$D:$D,$E53,'12月数据源'!$F:$F,"杭州目标准科技有限公司")+SUMIFS('12月数据源'!$J:$J,'12月数据源'!$D:$D,$E53,'12月数据源'!$F:$F,"杭州目标准科技有限公司")</f>
        <v/>
      </c>
    </row>
    <row r="54" s="83">
      <c r="A54" s="5" t="inlineStr">
        <is>
          <t>制造费用</t>
        </is>
      </c>
      <c r="B54" s="5" t="inlineStr">
        <is>
          <t>制造费用</t>
        </is>
      </c>
      <c r="D54" s="5" t="inlineStr">
        <is>
          <t>运输费</t>
        </is>
      </c>
      <c r="E54" s="6" t="inlineStr">
        <is>
          <t>Q3204</t>
        </is>
      </c>
      <c r="F54" s="89">
        <f>-SUMIFS('1月数据源'!I:I,'1月数据源'!D:D,E54,'1月数据源'!F:F,"杭州目标准科技有限公司")+SUMIFS('1月数据源'!J:J,'1月数据源'!D:D,E54,'1月数据源'!F:F,"杭州目标准科技有限公司")</f>
        <v/>
      </c>
      <c r="G54" s="89">
        <f>-SUMIFS('2月数据源'!$I:$I,'2月数据源'!$D:$D,$E54,'2月数据源'!$F:$F,"杭州目标准科技有限公司")+SUMIFS('2月数据源'!$J:$J,'2月数据源'!$D:$D,$E54,'2月数据源'!$F:$F,"杭州目标准科技有限公司")</f>
        <v/>
      </c>
      <c r="H54" s="89">
        <f>-SUMIFS('3月数据源'!$I:$I,'3月数据源'!$D:$D,$E54,'3月数据源'!$F:$F,"杭州目标准科技有限公司")+SUMIFS('3月数据源'!$J:$J,'3月数据源'!$D:$D,$E54,'3月数据源'!$F:$F,"杭州目标准科技有限公司")</f>
        <v/>
      </c>
      <c r="I54" s="89">
        <f>-SUMIFS('4月数据源'!$I:$I,'4月数据源'!$D:$D,$E54,'4月数据源'!$F:$F,"杭州目标准科技有限公司")+SUMIFS('4月数据源'!$J:$J,'4月数据源'!$D:$D,$E54,'4月数据源'!$F:$F,"杭州目标准科技有限公司")</f>
        <v/>
      </c>
      <c r="J54" s="89">
        <f>-SUMIFS('5月数据源'!$I:$I,'5月数据源'!$D:$D,$E54,'5月数据源'!$F:$F,"杭州目标准科技有限公司")+SUMIFS('5月数据源'!$J:$J,'5月数据源'!$D:$D,$E54,'5月数据源'!$F:$F,"杭州目标准科技有限公司")</f>
        <v/>
      </c>
      <c r="K54" s="89">
        <f>-SUMIFS('6月数据源'!$I:$I,'6月数据源'!$D:$D,$E54,'6月数据源'!$F:$F,"杭州目标准科技有限公司")+SUMIFS('6月数据源'!$J:$J,'6月数据源'!$D:$D,$E54,'6月数据源'!$F:$F,"杭州目标准科技有限公司")</f>
        <v/>
      </c>
      <c r="L54" s="89">
        <f>-SUMIFS('7月数据源'!$I:$I,'7月数据源'!$D:$D,$E54,'7月数据源'!$F:$F,"杭州目标准科技有限公司")+SUMIFS('7月数据源'!$J:$J,'7月数据源'!$D:$D,$E54,'7月数据源'!$F:$F,"杭州目标准科技有限公司")</f>
        <v/>
      </c>
      <c r="M54" s="89">
        <f>-SUMIFS('8月数据源'!$I:$I,'8月数据源'!$D:$D,$E54,'8月数据源'!$F:$F,"杭州目标准科技有限公司")+SUMIFS('8月数据源'!$J:$J,'8月数据源'!$D:$D,$E54,'8月数据源'!$F:$F,"杭州目标准科技有限公司")</f>
        <v/>
      </c>
      <c r="N54" s="89">
        <f>-SUMIFS('9月数据源'!$I:$I,'9月数据源'!$D:$D,$E54,'9月数据源'!$F:$F,"杭州目标准科技有限公司")+SUMIFS('9月数据源'!$J:$J,'9月数据源'!$D:$D,$E54,'9月数据源'!$F:$F,"杭州目标准科技有限公司")</f>
        <v/>
      </c>
      <c r="O54" s="89">
        <f>-SUMIFS('10月数据源'!$I:$I,'10月数据源'!$D:$D,$E54,'10月数据源'!$F:$F,"杭州目标准科技有限公司")+SUMIFS('10月数据源'!$J:$J,'10月数据源'!$D:$D,$E54,'10月数据源'!$F:$F,"杭州目标准科技有限公司")</f>
        <v/>
      </c>
      <c r="P54" s="89">
        <f>-SUMIFS('11月数据源'!$I:$I,'11月数据源'!$D:$D,$E54,'11月数据源'!$F:$F,"杭州目标准科技有限公司")+SUMIFS('11月数据源'!$J:$J,'11月数据源'!$D:$D,$E54,'11月数据源'!$F:$F,"杭州目标准科技有限公司")</f>
        <v/>
      </c>
      <c r="Q54" s="89">
        <f>-SUMIFS('12月数据源'!$I:$I,'12月数据源'!$D:$D,$E54,'12月数据源'!$F:$F,"杭州目标准科技有限公司")+SUMIFS('12月数据源'!$J:$J,'12月数据源'!$D:$D,$E54,'12月数据源'!$F:$F,"杭州目标准科技有限公司")</f>
        <v/>
      </c>
    </row>
    <row r="55" s="83">
      <c r="A55" s="5" t="inlineStr">
        <is>
          <t>制造费用</t>
        </is>
      </c>
      <c r="B55" s="5" t="inlineStr">
        <is>
          <t>制造费用</t>
        </is>
      </c>
      <c r="D55" s="5" t="inlineStr">
        <is>
          <t>低值易耗品采购</t>
        </is>
      </c>
      <c r="E55" s="6" t="inlineStr">
        <is>
          <t>Q3205</t>
        </is>
      </c>
      <c r="F55" s="89">
        <f>-SUMIFS('1月数据源'!I:I,'1月数据源'!D:D,E55,'1月数据源'!F:F,"杭州目标准科技有限公司")+SUMIFS('1月数据源'!J:J,'1月数据源'!D:D,E55,'1月数据源'!F:F,"杭州目标准科技有限公司")</f>
        <v/>
      </c>
      <c r="G55" s="89">
        <f>-SUMIFS('2月数据源'!$I:$I,'2月数据源'!$D:$D,$E55,'2月数据源'!$F:$F,"杭州目标准科技有限公司")+SUMIFS('2月数据源'!$J:$J,'2月数据源'!$D:$D,$E55,'2月数据源'!$F:$F,"杭州目标准科技有限公司")</f>
        <v/>
      </c>
      <c r="H55" s="89">
        <f>-SUMIFS('3月数据源'!$I:$I,'3月数据源'!$D:$D,$E55,'3月数据源'!$F:$F,"杭州目标准科技有限公司")+SUMIFS('3月数据源'!$J:$J,'3月数据源'!$D:$D,$E55,'3月数据源'!$F:$F,"杭州目标准科技有限公司")</f>
        <v/>
      </c>
      <c r="I55" s="89">
        <f>-SUMIFS('4月数据源'!$I:$I,'4月数据源'!$D:$D,$E55,'4月数据源'!$F:$F,"杭州目标准科技有限公司")+SUMIFS('4月数据源'!$J:$J,'4月数据源'!$D:$D,$E55,'4月数据源'!$F:$F,"杭州目标准科技有限公司")</f>
        <v/>
      </c>
      <c r="J55" s="89">
        <f>-SUMIFS('5月数据源'!$I:$I,'5月数据源'!$D:$D,$E55,'5月数据源'!$F:$F,"杭州目标准科技有限公司")+SUMIFS('5月数据源'!$J:$J,'5月数据源'!$D:$D,$E55,'5月数据源'!$F:$F,"杭州目标准科技有限公司")</f>
        <v/>
      </c>
      <c r="K55" s="89">
        <f>-SUMIFS('6月数据源'!$I:$I,'6月数据源'!$D:$D,$E55,'6月数据源'!$F:$F,"杭州目标准科技有限公司")+SUMIFS('6月数据源'!$J:$J,'6月数据源'!$D:$D,$E55,'6月数据源'!$F:$F,"杭州目标准科技有限公司")</f>
        <v/>
      </c>
      <c r="L55" s="89">
        <f>-SUMIFS('7月数据源'!$I:$I,'7月数据源'!$D:$D,$E55,'7月数据源'!$F:$F,"杭州目标准科技有限公司")+SUMIFS('7月数据源'!$J:$J,'7月数据源'!$D:$D,$E55,'7月数据源'!$F:$F,"杭州目标准科技有限公司")</f>
        <v/>
      </c>
      <c r="M55" s="89">
        <f>-SUMIFS('8月数据源'!$I:$I,'8月数据源'!$D:$D,$E55,'8月数据源'!$F:$F,"杭州目标准科技有限公司")+SUMIFS('8月数据源'!$J:$J,'8月数据源'!$D:$D,$E55,'8月数据源'!$F:$F,"杭州目标准科技有限公司")</f>
        <v/>
      </c>
      <c r="N55" s="89">
        <f>-SUMIFS('9月数据源'!$I:$I,'9月数据源'!$D:$D,$E55,'9月数据源'!$F:$F,"杭州目标准科技有限公司")+SUMIFS('9月数据源'!$J:$J,'9月数据源'!$D:$D,$E55,'9月数据源'!$F:$F,"杭州目标准科技有限公司")</f>
        <v/>
      </c>
      <c r="O55" s="89">
        <f>-SUMIFS('10月数据源'!$I:$I,'10月数据源'!$D:$D,$E55,'10月数据源'!$F:$F,"杭州目标准科技有限公司")+SUMIFS('10月数据源'!$J:$J,'10月数据源'!$D:$D,$E55,'10月数据源'!$F:$F,"杭州目标准科技有限公司")</f>
        <v/>
      </c>
      <c r="P55" s="89">
        <f>-SUMIFS('11月数据源'!$I:$I,'11月数据源'!$D:$D,$E55,'11月数据源'!$F:$F,"杭州目标准科技有限公司")+SUMIFS('11月数据源'!$J:$J,'11月数据源'!$D:$D,$E55,'11月数据源'!$F:$F,"杭州目标准科技有限公司")</f>
        <v/>
      </c>
      <c r="Q55" s="89">
        <f>-SUMIFS('12月数据源'!$I:$I,'12月数据源'!$D:$D,$E55,'12月数据源'!$F:$F,"杭州目标准科技有限公司")+SUMIFS('12月数据源'!$J:$J,'12月数据源'!$D:$D,$E55,'12月数据源'!$F:$F,"杭州目标准科技有限公司")</f>
        <v/>
      </c>
    </row>
    <row r="56" s="83">
      <c r="A56" s="5" t="inlineStr">
        <is>
          <t>制造费用</t>
        </is>
      </c>
      <c r="B56" s="5" t="inlineStr">
        <is>
          <t>制造费用</t>
        </is>
      </c>
      <c r="D56" s="5" t="inlineStr">
        <is>
          <t>生产成本-员工报销</t>
        </is>
      </c>
      <c r="E56" s="6" t="inlineStr">
        <is>
          <t>Q3206</t>
        </is>
      </c>
      <c r="F56" s="89">
        <f>-SUMIFS('1月数据源'!I:I,'1月数据源'!D:D,E56,'1月数据源'!F:F,"杭州目标准科技有限公司")+SUMIFS('1月数据源'!J:J,'1月数据源'!D:D,E56,'1月数据源'!F:F,"杭州目标准科技有限公司")</f>
        <v/>
      </c>
      <c r="G56" s="89">
        <f>-SUMIFS('2月数据源'!$I:$I,'2月数据源'!$D:$D,$E56,'2月数据源'!$F:$F,"杭州目标准科技有限公司")+SUMIFS('2月数据源'!$J:$J,'2月数据源'!$D:$D,$E56,'2月数据源'!$F:$F,"杭州目标准科技有限公司")</f>
        <v/>
      </c>
      <c r="H56" s="89">
        <f>-SUMIFS('3月数据源'!$I:$I,'3月数据源'!$D:$D,$E56,'3月数据源'!$F:$F,"杭州目标准科技有限公司")+SUMIFS('3月数据源'!$J:$J,'3月数据源'!$D:$D,$E56,'3月数据源'!$F:$F,"杭州目标准科技有限公司")</f>
        <v/>
      </c>
      <c r="I56" s="89">
        <f>-SUMIFS('4月数据源'!$I:$I,'4月数据源'!$D:$D,$E56,'4月数据源'!$F:$F,"杭州目标准科技有限公司")+SUMIFS('4月数据源'!$J:$J,'4月数据源'!$D:$D,$E56,'4月数据源'!$F:$F,"杭州目标准科技有限公司")</f>
        <v/>
      </c>
      <c r="J56" s="89">
        <f>-SUMIFS('5月数据源'!$I:$I,'5月数据源'!$D:$D,$E56,'5月数据源'!$F:$F,"杭州目标准科技有限公司")+SUMIFS('5月数据源'!$J:$J,'5月数据源'!$D:$D,$E56,'5月数据源'!$F:$F,"杭州目标准科技有限公司")</f>
        <v/>
      </c>
      <c r="K56" s="89">
        <f>-SUMIFS('6月数据源'!$I:$I,'6月数据源'!$D:$D,$E56,'6月数据源'!$F:$F,"杭州目标准科技有限公司")+SUMIFS('6月数据源'!$J:$J,'6月数据源'!$D:$D,$E56,'6月数据源'!$F:$F,"杭州目标准科技有限公司")</f>
        <v/>
      </c>
      <c r="L56" s="89">
        <f>-SUMIFS('7月数据源'!$I:$I,'7月数据源'!$D:$D,$E56,'7月数据源'!$F:$F,"杭州目标准科技有限公司")+SUMIFS('7月数据源'!$J:$J,'7月数据源'!$D:$D,$E56,'7月数据源'!$F:$F,"杭州目标准科技有限公司")</f>
        <v/>
      </c>
      <c r="M56" s="89">
        <f>-SUMIFS('8月数据源'!$I:$I,'8月数据源'!$D:$D,$E56,'8月数据源'!$F:$F,"杭州目标准科技有限公司")+SUMIFS('8月数据源'!$J:$J,'8月数据源'!$D:$D,$E56,'8月数据源'!$F:$F,"杭州目标准科技有限公司")</f>
        <v/>
      </c>
      <c r="N56" s="89">
        <f>-SUMIFS('9月数据源'!$I:$I,'9月数据源'!$D:$D,$E56,'9月数据源'!$F:$F,"杭州目标准科技有限公司")+SUMIFS('9月数据源'!$J:$J,'9月数据源'!$D:$D,$E56,'9月数据源'!$F:$F,"杭州目标准科技有限公司")</f>
        <v/>
      </c>
      <c r="O56" s="89">
        <f>-SUMIFS('10月数据源'!$I:$I,'10月数据源'!$D:$D,$E56,'10月数据源'!$F:$F,"杭州目标准科技有限公司")+SUMIFS('10月数据源'!$J:$J,'10月数据源'!$D:$D,$E56,'10月数据源'!$F:$F,"杭州目标准科技有限公司")</f>
        <v/>
      </c>
      <c r="P56" s="89">
        <f>-SUMIFS('11月数据源'!$I:$I,'11月数据源'!$D:$D,$E56,'11月数据源'!$F:$F,"杭州目标准科技有限公司")+SUMIFS('11月数据源'!$J:$J,'11月数据源'!$D:$D,$E56,'11月数据源'!$F:$F,"杭州目标准科技有限公司")</f>
        <v/>
      </c>
      <c r="Q56" s="89">
        <f>-SUMIFS('12月数据源'!$I:$I,'12月数据源'!$D:$D,$E56,'12月数据源'!$F:$F,"杭州目标准科技有限公司")+SUMIFS('12月数据源'!$J:$J,'12月数据源'!$D:$D,$E56,'12月数据源'!$F:$F,"杭州目标准科技有限公司")</f>
        <v/>
      </c>
    </row>
    <row r="57" s="83">
      <c r="A57" s="5" t="inlineStr">
        <is>
          <t>制造费用</t>
        </is>
      </c>
      <c r="B57" s="5" t="inlineStr">
        <is>
          <t>制造费用</t>
        </is>
      </c>
      <c r="D57" s="5" t="inlineStr">
        <is>
          <t>包机膜</t>
        </is>
      </c>
      <c r="E57" s="6" t="inlineStr">
        <is>
          <t>Q3207</t>
        </is>
      </c>
      <c r="F57" s="89">
        <f>-SUMIFS('1月数据源'!I:I,'1月数据源'!D:D,E57,'1月数据源'!F:F,"杭州目标准科技有限公司")+SUMIFS('1月数据源'!J:J,'1月数据源'!D:D,E57,'1月数据源'!F:F,"杭州目标准科技有限公司")</f>
        <v/>
      </c>
      <c r="G57" s="89">
        <f>-SUMIFS('2月数据源'!$I:$I,'2月数据源'!$D:$D,$E57,'2月数据源'!$F:$F,"杭州目标准科技有限公司")+SUMIFS('2月数据源'!$J:$J,'2月数据源'!$D:$D,$E57,'2月数据源'!$F:$F,"杭州目标准科技有限公司")</f>
        <v/>
      </c>
      <c r="H57" s="89">
        <f>-SUMIFS('3月数据源'!$I:$I,'3月数据源'!$D:$D,$E57,'3月数据源'!$F:$F,"杭州目标准科技有限公司")+SUMIFS('3月数据源'!$J:$J,'3月数据源'!$D:$D,$E57,'3月数据源'!$F:$F,"杭州目标准科技有限公司")</f>
        <v/>
      </c>
      <c r="I57" s="89">
        <f>-SUMIFS('4月数据源'!$I:$I,'4月数据源'!$D:$D,$E57,'4月数据源'!$F:$F,"杭州目标准科技有限公司")+SUMIFS('4月数据源'!$J:$J,'4月数据源'!$D:$D,$E57,'4月数据源'!$F:$F,"杭州目标准科技有限公司")</f>
        <v/>
      </c>
      <c r="J57" s="89">
        <f>-SUMIFS('5月数据源'!$I:$I,'5月数据源'!$D:$D,$E57,'5月数据源'!$F:$F,"杭州目标准科技有限公司")+SUMIFS('5月数据源'!$J:$J,'5月数据源'!$D:$D,$E57,'5月数据源'!$F:$F,"杭州目标准科技有限公司")</f>
        <v/>
      </c>
      <c r="K57" s="89">
        <f>-SUMIFS('6月数据源'!$I:$I,'6月数据源'!$D:$D,$E57,'6月数据源'!$F:$F,"杭州目标准科技有限公司")+SUMIFS('6月数据源'!$J:$J,'6月数据源'!$D:$D,$E57,'6月数据源'!$F:$F,"杭州目标准科技有限公司")</f>
        <v/>
      </c>
      <c r="L57" s="89">
        <f>-SUMIFS('7月数据源'!$I:$I,'7月数据源'!$D:$D,$E57,'7月数据源'!$F:$F,"杭州目标准科技有限公司")+SUMIFS('7月数据源'!$J:$J,'7月数据源'!$D:$D,$E57,'7月数据源'!$F:$F,"杭州目标准科技有限公司")</f>
        <v/>
      </c>
      <c r="M57" s="89">
        <f>-SUMIFS('8月数据源'!$I:$I,'8月数据源'!$D:$D,$E57,'8月数据源'!$F:$F,"杭州目标准科技有限公司")+SUMIFS('8月数据源'!$J:$J,'8月数据源'!$D:$D,$E57,'8月数据源'!$F:$F,"杭州目标准科技有限公司")</f>
        <v/>
      </c>
      <c r="N57" s="89">
        <f>-SUMIFS('9月数据源'!$I:$I,'9月数据源'!$D:$D,$E57,'9月数据源'!$F:$F,"杭州目标准科技有限公司")+SUMIFS('9月数据源'!$J:$J,'9月数据源'!$D:$D,$E57,'9月数据源'!$F:$F,"杭州目标准科技有限公司")</f>
        <v/>
      </c>
      <c r="O57" s="89">
        <f>-SUMIFS('10月数据源'!$I:$I,'10月数据源'!$D:$D,$E57,'10月数据源'!$F:$F,"杭州目标准科技有限公司")+SUMIFS('10月数据源'!$J:$J,'10月数据源'!$D:$D,$E57,'10月数据源'!$F:$F,"杭州目标准科技有限公司")</f>
        <v/>
      </c>
      <c r="P57" s="89">
        <f>-SUMIFS('11月数据源'!$I:$I,'11月数据源'!$D:$D,$E57,'11月数据源'!$F:$F,"杭州目标准科技有限公司")+SUMIFS('11月数据源'!$J:$J,'11月数据源'!$D:$D,$E57,'11月数据源'!$F:$F,"杭州目标准科技有限公司")</f>
        <v/>
      </c>
      <c r="Q57" s="89">
        <f>-SUMIFS('12月数据源'!$I:$I,'12月数据源'!$D:$D,$E57,'12月数据源'!$F:$F,"杭州目标准科技有限公司")+SUMIFS('12月数据源'!$J:$J,'12月数据源'!$D:$D,$E57,'12月数据源'!$F:$F,"杭州目标准科技有限公司")</f>
        <v/>
      </c>
    </row>
    <row r="58" s="83">
      <c r="A58" s="5" t="inlineStr">
        <is>
          <t>制造费用</t>
        </is>
      </c>
      <c r="B58" s="5" t="inlineStr">
        <is>
          <t>制造费用</t>
        </is>
      </c>
      <c r="D58" s="5" t="inlineStr">
        <is>
          <t>贴纸/说明书</t>
        </is>
      </c>
      <c r="E58" s="6" t="inlineStr">
        <is>
          <t>Q3208</t>
        </is>
      </c>
      <c r="F58" s="89">
        <f>-SUMIFS('1月数据源'!I:I,'1月数据源'!D:D,E58,'1月数据源'!F:F,"杭州目标准科技有限公司")+SUMIFS('1月数据源'!J:J,'1月数据源'!D:D,E58,'1月数据源'!F:F,"杭州目标准科技有限公司")</f>
        <v/>
      </c>
      <c r="G58" s="89">
        <f>-SUMIFS('2月数据源'!$I:$I,'2月数据源'!$D:$D,$E58,'2月数据源'!$F:$F,"杭州目标准科技有限公司")+SUMIFS('2月数据源'!$J:$J,'2月数据源'!$D:$D,$E58,'2月数据源'!$F:$F,"杭州目标准科技有限公司")</f>
        <v/>
      </c>
      <c r="H58" s="89">
        <f>-SUMIFS('3月数据源'!$I:$I,'3月数据源'!$D:$D,$E58,'3月数据源'!$F:$F,"杭州目标准科技有限公司")+SUMIFS('3月数据源'!$J:$J,'3月数据源'!$D:$D,$E58,'3月数据源'!$F:$F,"杭州目标准科技有限公司")</f>
        <v/>
      </c>
      <c r="I58" s="89">
        <f>-SUMIFS('4月数据源'!$I:$I,'4月数据源'!$D:$D,$E58,'4月数据源'!$F:$F,"杭州目标准科技有限公司")+SUMIFS('4月数据源'!$J:$J,'4月数据源'!$D:$D,$E58,'4月数据源'!$F:$F,"杭州目标准科技有限公司")</f>
        <v/>
      </c>
      <c r="J58" s="89">
        <f>-SUMIFS('5月数据源'!$I:$I,'5月数据源'!$D:$D,$E58,'5月数据源'!$F:$F,"杭州目标准科技有限公司")+SUMIFS('5月数据源'!$J:$J,'5月数据源'!$D:$D,$E58,'5月数据源'!$F:$F,"杭州目标准科技有限公司")</f>
        <v/>
      </c>
      <c r="K58" s="89">
        <f>-SUMIFS('6月数据源'!$I:$I,'6月数据源'!$D:$D,$E58,'6月数据源'!$F:$F,"杭州目标准科技有限公司")+SUMIFS('6月数据源'!$J:$J,'6月数据源'!$D:$D,$E58,'6月数据源'!$F:$F,"杭州目标准科技有限公司")</f>
        <v/>
      </c>
      <c r="L58" s="89">
        <f>-SUMIFS('7月数据源'!$I:$I,'7月数据源'!$D:$D,$E58,'7月数据源'!$F:$F,"杭州目标准科技有限公司")+SUMIFS('7月数据源'!$J:$J,'7月数据源'!$D:$D,$E58,'7月数据源'!$F:$F,"杭州目标准科技有限公司")</f>
        <v/>
      </c>
      <c r="M58" s="89">
        <f>-SUMIFS('8月数据源'!$I:$I,'8月数据源'!$D:$D,$E58,'8月数据源'!$F:$F,"杭州目标准科技有限公司")+SUMIFS('8月数据源'!$J:$J,'8月数据源'!$D:$D,$E58,'8月数据源'!$F:$F,"杭州目标准科技有限公司")</f>
        <v/>
      </c>
      <c r="N58" s="89">
        <f>-SUMIFS('9月数据源'!$I:$I,'9月数据源'!$D:$D,$E58,'9月数据源'!$F:$F,"杭州目标准科技有限公司")+SUMIFS('9月数据源'!$J:$J,'9月数据源'!$D:$D,$E58,'9月数据源'!$F:$F,"杭州目标准科技有限公司")</f>
        <v/>
      </c>
      <c r="O58" s="89">
        <f>-SUMIFS('10月数据源'!$I:$I,'10月数据源'!$D:$D,$E58,'10月数据源'!$F:$F,"杭州目标准科技有限公司")+SUMIFS('10月数据源'!$J:$J,'10月数据源'!$D:$D,$E58,'10月数据源'!$F:$F,"杭州目标准科技有限公司")</f>
        <v/>
      </c>
      <c r="P58" s="89">
        <f>-SUMIFS('11月数据源'!$I:$I,'11月数据源'!$D:$D,$E58,'11月数据源'!$F:$F,"杭州目标准科技有限公司")+SUMIFS('11月数据源'!$J:$J,'11月数据源'!$D:$D,$E58,'11月数据源'!$F:$F,"杭州目标准科技有限公司")</f>
        <v/>
      </c>
      <c r="Q58" s="89">
        <f>-SUMIFS('12月数据源'!$I:$I,'12月数据源'!$D:$D,$E58,'12月数据源'!$F:$F,"杭州目标准科技有限公司")+SUMIFS('12月数据源'!$J:$J,'12月数据源'!$D:$D,$E58,'12月数据源'!$F:$F,"杭州目标准科技有限公司")</f>
        <v/>
      </c>
    </row>
    <row r="59" s="83">
      <c r="A59" s="5" t="inlineStr">
        <is>
          <t>制造费用</t>
        </is>
      </c>
      <c r="B59" s="5" t="inlineStr">
        <is>
          <t>制造费用</t>
        </is>
      </c>
      <c r="D59" s="5" t="inlineStr">
        <is>
          <t>笔尖</t>
        </is>
      </c>
      <c r="E59" s="6" t="inlineStr">
        <is>
          <t>Q3209</t>
        </is>
      </c>
      <c r="F59" s="89">
        <f>-SUMIFS('1月数据源'!I:I,'1月数据源'!D:D,E59,'1月数据源'!F:F,"杭州目标准科技有限公司")+SUMIFS('1月数据源'!J:J,'1月数据源'!D:D,E59,'1月数据源'!F:F,"杭州目标准科技有限公司")</f>
        <v/>
      </c>
      <c r="G59" s="89">
        <f>-SUMIFS('2月数据源'!$I:$I,'2月数据源'!$D:$D,$E59,'2月数据源'!$F:$F,"杭州目标准科技有限公司")+SUMIFS('2月数据源'!$J:$J,'2月数据源'!$D:$D,$E59,'2月数据源'!$F:$F,"杭州目标准科技有限公司")</f>
        <v/>
      </c>
      <c r="H59" s="89">
        <f>-SUMIFS('3月数据源'!$I:$I,'3月数据源'!$D:$D,$E59,'3月数据源'!$F:$F,"杭州目标准科技有限公司")+SUMIFS('3月数据源'!$J:$J,'3月数据源'!$D:$D,$E59,'3月数据源'!$F:$F,"杭州目标准科技有限公司")</f>
        <v/>
      </c>
      <c r="I59" s="89">
        <f>-SUMIFS('4月数据源'!$I:$I,'4月数据源'!$D:$D,$E59,'4月数据源'!$F:$F,"杭州目标准科技有限公司")+SUMIFS('4月数据源'!$J:$J,'4月数据源'!$D:$D,$E59,'4月数据源'!$F:$F,"杭州目标准科技有限公司")</f>
        <v/>
      </c>
      <c r="J59" s="89">
        <f>-SUMIFS('5月数据源'!$I:$I,'5月数据源'!$D:$D,$E59,'5月数据源'!$F:$F,"杭州目标准科技有限公司")+SUMIFS('5月数据源'!$J:$J,'5月数据源'!$D:$D,$E59,'5月数据源'!$F:$F,"杭州目标准科技有限公司")</f>
        <v/>
      </c>
      <c r="K59" s="89">
        <f>-SUMIFS('6月数据源'!$I:$I,'6月数据源'!$D:$D,$E59,'6月数据源'!$F:$F,"杭州目标准科技有限公司")+SUMIFS('6月数据源'!$J:$J,'6月数据源'!$D:$D,$E59,'6月数据源'!$F:$F,"杭州目标准科技有限公司")</f>
        <v/>
      </c>
      <c r="L59" s="89">
        <f>-SUMIFS('7月数据源'!$I:$I,'7月数据源'!$D:$D,$E59,'7月数据源'!$F:$F,"杭州目标准科技有限公司")+SUMIFS('7月数据源'!$J:$J,'7月数据源'!$D:$D,$E59,'7月数据源'!$F:$F,"杭州目标准科技有限公司")</f>
        <v/>
      </c>
      <c r="M59" s="89">
        <f>-SUMIFS('8月数据源'!$I:$I,'8月数据源'!$D:$D,$E59,'8月数据源'!$F:$F,"杭州目标准科技有限公司")+SUMIFS('8月数据源'!$J:$J,'8月数据源'!$D:$D,$E59,'8月数据源'!$F:$F,"杭州目标准科技有限公司")</f>
        <v/>
      </c>
      <c r="N59" s="89">
        <f>-SUMIFS('9月数据源'!$I:$I,'9月数据源'!$D:$D,$E59,'9月数据源'!$F:$F,"杭州目标准科技有限公司")+SUMIFS('9月数据源'!$J:$J,'9月数据源'!$D:$D,$E59,'9月数据源'!$F:$F,"杭州目标准科技有限公司")</f>
        <v/>
      </c>
      <c r="O59" s="89">
        <f>-SUMIFS('10月数据源'!$I:$I,'10月数据源'!$D:$D,$E59,'10月数据源'!$F:$F,"杭州目标准科技有限公司")+SUMIFS('10月数据源'!$J:$J,'10月数据源'!$D:$D,$E59,'10月数据源'!$F:$F,"杭州目标准科技有限公司")</f>
        <v/>
      </c>
      <c r="P59" s="89">
        <f>-SUMIFS('11月数据源'!$I:$I,'11月数据源'!$D:$D,$E59,'11月数据源'!$F:$F,"杭州目标准科技有限公司")+SUMIFS('11月数据源'!$J:$J,'11月数据源'!$D:$D,$E59,'11月数据源'!$F:$F,"杭州目标准科技有限公司")</f>
        <v/>
      </c>
      <c r="Q59" s="89">
        <f>-SUMIFS('12月数据源'!$I:$I,'12月数据源'!$D:$D,$E59,'12月数据源'!$F:$F,"杭州目标准科技有限公司")+SUMIFS('12月数据源'!$J:$J,'12月数据源'!$D:$D,$E59,'12月数据源'!$F:$F,"杭州目标准科技有限公司")</f>
        <v/>
      </c>
    </row>
    <row r="60" s="83">
      <c r="A60" s="5" t="inlineStr">
        <is>
          <t>制造费用</t>
        </is>
      </c>
      <c r="B60" s="5" t="inlineStr">
        <is>
          <t>制造费用</t>
        </is>
      </c>
      <c r="D60" s="5" t="inlineStr">
        <is>
          <t>华泰租金</t>
        </is>
      </c>
      <c r="E60" s="6" t="inlineStr">
        <is>
          <t>Q3210</t>
        </is>
      </c>
      <c r="F60" s="89">
        <f>-SUMIFS('1月数据源'!I:I,'1月数据源'!D:D,E60,'1月数据源'!F:F,"杭州目标准科技有限公司")+SUMIFS('1月数据源'!J:J,'1月数据源'!D:D,E60,'1月数据源'!F:F,"杭州目标准科技有限公司")</f>
        <v/>
      </c>
      <c r="G60" s="89">
        <f>-SUMIFS('2月数据源'!$I:$I,'2月数据源'!$D:$D,$E60,'2月数据源'!$F:$F,"杭州目标准科技有限公司")+SUMIFS('2月数据源'!$J:$J,'2月数据源'!$D:$D,$E60,'2月数据源'!$F:$F,"杭州目标准科技有限公司")</f>
        <v/>
      </c>
      <c r="H60" s="89">
        <f>-SUMIFS('3月数据源'!$I:$I,'3月数据源'!$D:$D,$E60,'3月数据源'!$F:$F,"杭州目标准科技有限公司")+SUMIFS('3月数据源'!$J:$J,'3月数据源'!$D:$D,$E60,'3月数据源'!$F:$F,"杭州目标准科技有限公司")</f>
        <v/>
      </c>
      <c r="I60" s="89">
        <f>-SUMIFS('4月数据源'!$I:$I,'4月数据源'!$D:$D,$E60,'4月数据源'!$F:$F,"杭州目标准科技有限公司")+SUMIFS('4月数据源'!$J:$J,'4月数据源'!$D:$D,$E60,'4月数据源'!$F:$F,"杭州目标准科技有限公司")</f>
        <v/>
      </c>
      <c r="J60" s="89">
        <f>-SUMIFS('5月数据源'!$I:$I,'5月数据源'!$D:$D,$E60,'5月数据源'!$F:$F,"杭州目标准科技有限公司")+SUMIFS('5月数据源'!$J:$J,'5月数据源'!$D:$D,$E60,'5月数据源'!$F:$F,"杭州目标准科技有限公司")</f>
        <v/>
      </c>
      <c r="K60" s="89">
        <f>-SUMIFS('6月数据源'!$I:$I,'6月数据源'!$D:$D,$E60,'6月数据源'!$F:$F,"杭州目标准科技有限公司")+SUMIFS('6月数据源'!$J:$J,'6月数据源'!$D:$D,$E60,'6月数据源'!$F:$F,"杭州目标准科技有限公司")</f>
        <v/>
      </c>
      <c r="L60" s="89">
        <f>-SUMIFS('7月数据源'!$I:$I,'7月数据源'!$D:$D,$E60,'7月数据源'!$F:$F,"杭州目标准科技有限公司")+SUMIFS('7月数据源'!$J:$J,'7月数据源'!$D:$D,$E60,'7月数据源'!$F:$F,"杭州目标准科技有限公司")</f>
        <v/>
      </c>
      <c r="M60" s="89">
        <f>-SUMIFS('8月数据源'!$I:$I,'8月数据源'!$D:$D,$E60,'8月数据源'!$F:$F,"杭州目标准科技有限公司")+SUMIFS('8月数据源'!$J:$J,'8月数据源'!$D:$D,$E60,'8月数据源'!$F:$F,"杭州目标准科技有限公司")</f>
        <v/>
      </c>
      <c r="N60" s="89">
        <f>-SUMIFS('9月数据源'!$I:$I,'9月数据源'!$D:$D,$E60,'9月数据源'!$F:$F,"杭州目标准科技有限公司")+SUMIFS('9月数据源'!$J:$J,'9月数据源'!$D:$D,$E60,'9月数据源'!$F:$F,"杭州目标准科技有限公司")</f>
        <v/>
      </c>
      <c r="O60" s="89">
        <f>-SUMIFS('10月数据源'!$I:$I,'10月数据源'!$D:$D,$E60,'10月数据源'!$F:$F,"杭州目标准科技有限公司")+SUMIFS('10月数据源'!$J:$J,'10月数据源'!$D:$D,$E60,'10月数据源'!$F:$F,"杭州目标准科技有限公司")</f>
        <v/>
      </c>
      <c r="P60" s="89">
        <f>-SUMIFS('11月数据源'!$I:$I,'11月数据源'!$D:$D,$E60,'11月数据源'!$F:$F,"杭州目标准科技有限公司")+SUMIFS('11月数据源'!$J:$J,'11月数据源'!$D:$D,$E60,'11月数据源'!$F:$F,"杭州目标准科技有限公司")</f>
        <v/>
      </c>
      <c r="Q60" s="89">
        <f>-SUMIFS('12月数据源'!$I:$I,'12月数据源'!$D:$D,$E60,'12月数据源'!$F:$F,"杭州目标准科技有限公司")+SUMIFS('12月数据源'!$J:$J,'12月数据源'!$D:$D,$E60,'12月数据源'!$F:$F,"杭州目标准科技有限公司")</f>
        <v/>
      </c>
    </row>
    <row r="61" s="83">
      <c r="A61" s="5" t="inlineStr">
        <is>
          <t>制造费用</t>
        </is>
      </c>
      <c r="B61" s="5" t="inlineStr">
        <is>
          <t>制造费用</t>
        </is>
      </c>
      <c r="D61" s="5" t="inlineStr">
        <is>
          <t>华泰水电费</t>
        </is>
      </c>
      <c r="E61" s="6" t="inlineStr">
        <is>
          <t>Q3211</t>
        </is>
      </c>
      <c r="F61" s="89">
        <f>-SUMIFS('1月数据源'!I:I,'1月数据源'!D:D,E61,'1月数据源'!F:F,"杭州目标准科技有限公司")+SUMIFS('1月数据源'!J:J,'1月数据源'!D:D,E61,'1月数据源'!F:F,"杭州目标准科技有限公司")</f>
        <v/>
      </c>
      <c r="G61" s="89">
        <f>-SUMIFS('2月数据源'!$I:$I,'2月数据源'!$D:$D,$E61,'2月数据源'!$F:$F,"杭州目标准科技有限公司")+SUMIFS('2月数据源'!$J:$J,'2月数据源'!$D:$D,$E61,'2月数据源'!$F:$F,"杭州目标准科技有限公司")</f>
        <v/>
      </c>
      <c r="H61" s="89">
        <f>-SUMIFS('3月数据源'!$I:$I,'3月数据源'!$D:$D,$E61,'3月数据源'!$F:$F,"杭州目标准科技有限公司")+SUMIFS('3月数据源'!$J:$J,'3月数据源'!$D:$D,$E61,'3月数据源'!$F:$F,"杭州目标准科技有限公司")</f>
        <v/>
      </c>
      <c r="I61" s="89">
        <f>-SUMIFS('4月数据源'!$I:$I,'4月数据源'!$D:$D,$E61,'4月数据源'!$F:$F,"杭州目标准科技有限公司")+SUMIFS('4月数据源'!$J:$J,'4月数据源'!$D:$D,$E61,'4月数据源'!$F:$F,"杭州目标准科技有限公司")</f>
        <v/>
      </c>
      <c r="J61" s="89">
        <f>-SUMIFS('5月数据源'!$I:$I,'5月数据源'!$D:$D,$E61,'5月数据源'!$F:$F,"杭州目标准科技有限公司")+SUMIFS('5月数据源'!$J:$J,'5月数据源'!$D:$D,$E61,'5月数据源'!$F:$F,"杭州目标准科技有限公司")</f>
        <v/>
      </c>
      <c r="K61" s="89">
        <f>-SUMIFS('6月数据源'!$I:$I,'6月数据源'!$D:$D,$E61,'6月数据源'!$F:$F,"杭州目标准科技有限公司")+SUMIFS('6月数据源'!$J:$J,'6月数据源'!$D:$D,$E61,'6月数据源'!$F:$F,"杭州目标准科技有限公司")</f>
        <v/>
      </c>
      <c r="L61" s="89">
        <f>-SUMIFS('7月数据源'!$I:$I,'7月数据源'!$D:$D,$E61,'7月数据源'!$F:$F,"杭州目标准科技有限公司")+SUMIFS('7月数据源'!$J:$J,'7月数据源'!$D:$D,$E61,'7月数据源'!$F:$F,"杭州目标准科技有限公司")</f>
        <v/>
      </c>
      <c r="M61" s="89">
        <f>-SUMIFS('8月数据源'!$I:$I,'8月数据源'!$D:$D,$E61,'8月数据源'!$F:$F,"杭州目标准科技有限公司")+SUMIFS('8月数据源'!$J:$J,'8月数据源'!$D:$D,$E61,'8月数据源'!$F:$F,"杭州目标准科技有限公司")</f>
        <v/>
      </c>
      <c r="N61" s="89">
        <f>-SUMIFS('9月数据源'!$I:$I,'9月数据源'!$D:$D,$E61,'9月数据源'!$F:$F,"杭州目标准科技有限公司")+SUMIFS('9月数据源'!$J:$J,'9月数据源'!$D:$D,$E61,'9月数据源'!$F:$F,"杭州目标准科技有限公司")</f>
        <v/>
      </c>
      <c r="O61" s="89">
        <f>-SUMIFS('10月数据源'!$I:$I,'10月数据源'!$D:$D,$E61,'10月数据源'!$F:$F,"杭州目标准科技有限公司")+SUMIFS('10月数据源'!$J:$J,'10月数据源'!$D:$D,$E61,'10月数据源'!$F:$F,"杭州目标准科技有限公司")</f>
        <v/>
      </c>
      <c r="P61" s="89">
        <f>-SUMIFS('11月数据源'!$I:$I,'11月数据源'!$D:$D,$E61,'11月数据源'!$F:$F,"杭州目标准科技有限公司")+SUMIFS('11月数据源'!$J:$J,'11月数据源'!$D:$D,$E61,'11月数据源'!$F:$F,"杭州目标准科技有限公司")</f>
        <v/>
      </c>
      <c r="Q61" s="89">
        <f>-SUMIFS('12月数据源'!$I:$I,'12月数据源'!$D:$D,$E61,'12月数据源'!$F:$F,"杭州目标准科技有限公司")+SUMIFS('12月数据源'!$J:$J,'12月数据源'!$D:$D,$E61,'12月数据源'!$F:$F,"杭州目标准科技有限公司")</f>
        <v/>
      </c>
    </row>
    <row r="62" s="83">
      <c r="A62" s="5" t="inlineStr">
        <is>
          <t>制造费用</t>
        </is>
      </c>
      <c r="B62" s="5" t="inlineStr">
        <is>
          <t>制造费用</t>
        </is>
      </c>
      <c r="D62" s="5" t="inlineStr">
        <is>
          <t>华泰装修费</t>
        </is>
      </c>
      <c r="E62" s="6" t="inlineStr">
        <is>
          <t>Q3212</t>
        </is>
      </c>
      <c r="F62" s="89">
        <f>-SUMIFS('1月数据源'!I:I,'1月数据源'!D:D,E62,'1月数据源'!F:F,"杭州目标准科技有限公司")+SUMIFS('1月数据源'!J:J,'1月数据源'!D:D,E62,'1月数据源'!F:F,"杭州目标准科技有限公司")</f>
        <v/>
      </c>
      <c r="G62" s="89">
        <f>-SUMIFS('2月数据源'!$I:$I,'2月数据源'!$D:$D,$E62,'2月数据源'!$F:$F,"杭州目标准科技有限公司")+SUMIFS('2月数据源'!$J:$J,'2月数据源'!$D:$D,$E62,'2月数据源'!$F:$F,"杭州目标准科技有限公司")</f>
        <v/>
      </c>
      <c r="H62" s="89">
        <f>-SUMIFS('3月数据源'!$I:$I,'3月数据源'!$D:$D,$E62,'3月数据源'!$F:$F,"杭州目标准科技有限公司")+SUMIFS('3月数据源'!$J:$J,'3月数据源'!$D:$D,$E62,'3月数据源'!$F:$F,"杭州目标准科技有限公司")</f>
        <v/>
      </c>
      <c r="I62" s="89">
        <f>-SUMIFS('4月数据源'!$I:$I,'4月数据源'!$D:$D,$E62,'4月数据源'!$F:$F,"杭州目标准科技有限公司")+SUMIFS('4月数据源'!$J:$J,'4月数据源'!$D:$D,$E62,'4月数据源'!$F:$F,"杭州目标准科技有限公司")</f>
        <v/>
      </c>
      <c r="J62" s="89">
        <f>-SUMIFS('5月数据源'!$I:$I,'5月数据源'!$D:$D,$E62,'5月数据源'!$F:$F,"杭州目标准科技有限公司")+SUMIFS('5月数据源'!$J:$J,'5月数据源'!$D:$D,$E62,'5月数据源'!$F:$F,"杭州目标准科技有限公司")</f>
        <v/>
      </c>
      <c r="K62" s="89">
        <f>-SUMIFS('6月数据源'!$I:$I,'6月数据源'!$D:$D,$E62,'6月数据源'!$F:$F,"杭州目标准科技有限公司")+SUMIFS('6月数据源'!$J:$J,'6月数据源'!$D:$D,$E62,'6月数据源'!$F:$F,"杭州目标准科技有限公司")</f>
        <v/>
      </c>
      <c r="L62" s="89">
        <f>-SUMIFS('7月数据源'!$I:$I,'7月数据源'!$D:$D,$E62,'7月数据源'!$F:$F,"杭州目标准科技有限公司")+SUMIFS('7月数据源'!$J:$J,'7月数据源'!$D:$D,$E62,'7月数据源'!$F:$F,"杭州目标准科技有限公司")</f>
        <v/>
      </c>
      <c r="M62" s="89">
        <f>-SUMIFS('8月数据源'!$I:$I,'8月数据源'!$D:$D,$E62,'8月数据源'!$F:$F,"杭州目标准科技有限公司")+SUMIFS('8月数据源'!$J:$J,'8月数据源'!$D:$D,$E62,'8月数据源'!$F:$F,"杭州目标准科技有限公司")</f>
        <v/>
      </c>
      <c r="N62" s="89">
        <f>-SUMIFS('9月数据源'!$I:$I,'9月数据源'!$D:$D,$E62,'9月数据源'!$F:$F,"杭州目标准科技有限公司")+SUMIFS('9月数据源'!$J:$J,'9月数据源'!$D:$D,$E62,'9月数据源'!$F:$F,"杭州目标准科技有限公司")</f>
        <v/>
      </c>
      <c r="O62" s="89">
        <f>-SUMIFS('10月数据源'!$I:$I,'10月数据源'!$D:$D,$E62,'10月数据源'!$F:$F,"杭州目标准科技有限公司")+SUMIFS('10月数据源'!$J:$J,'10月数据源'!$D:$D,$E62,'10月数据源'!$F:$F,"杭州目标准科技有限公司")</f>
        <v/>
      </c>
      <c r="P62" s="89">
        <f>-SUMIFS('11月数据源'!$I:$I,'11月数据源'!$D:$D,$E62,'11月数据源'!$F:$F,"杭州目标准科技有限公司")+SUMIFS('11月数据源'!$J:$J,'11月数据源'!$D:$D,$E62,'11月数据源'!$F:$F,"杭州目标准科技有限公司")</f>
        <v/>
      </c>
      <c r="Q62" s="89">
        <f>-SUMIFS('12月数据源'!$I:$I,'12月数据源'!$D:$D,$E62,'12月数据源'!$F:$F,"杭州目标准科技有限公司")+SUMIFS('12月数据源'!$J:$J,'12月数据源'!$D:$D,$E62,'12月数据源'!$F:$F,"杭州目标准科技有限公司")</f>
        <v/>
      </c>
    </row>
    <row r="63" s="83">
      <c r="A63" s="49" t="inlineStr">
        <is>
          <t>制造费用合计</t>
        </is>
      </c>
      <c r="B63" s="50" t="n"/>
      <c r="C63" s="50" t="n"/>
      <c r="D63" s="49" t="n"/>
      <c r="E63" s="49" t="n"/>
      <c r="F63" s="89">
        <f>SUM(F51:F62)</f>
        <v/>
      </c>
      <c r="G63" s="89">
        <f>SUM(G51:G62)</f>
        <v/>
      </c>
      <c r="H63" s="89">
        <f>SUM(H51:H62)</f>
        <v/>
      </c>
      <c r="I63" s="89">
        <f>SUM(I51:I62)</f>
        <v/>
      </c>
      <c r="J63" s="89">
        <f>SUM(J51:J62)</f>
        <v/>
      </c>
      <c r="K63" s="89">
        <f>SUM(K51:K62)</f>
        <v/>
      </c>
      <c r="L63" s="89">
        <f>SUM(L51:L62)</f>
        <v/>
      </c>
      <c r="M63" s="89">
        <f>SUM(M51:M62)</f>
        <v/>
      </c>
      <c r="N63" s="89">
        <f>SUM(N51:N62)</f>
        <v/>
      </c>
      <c r="O63" s="89">
        <f>SUM(O51:O62)</f>
        <v/>
      </c>
      <c r="P63" s="89">
        <f>SUM(P51:P62)</f>
        <v/>
      </c>
      <c r="Q63" s="89">
        <f>SUM(Q51:Q62)</f>
        <v/>
      </c>
    </row>
    <row r="64" s="83">
      <c r="A64" s="5" t="inlineStr">
        <is>
          <t>自习室支出</t>
        </is>
      </c>
      <c r="B64" s="5" t="inlineStr">
        <is>
          <t>自习室支出</t>
        </is>
      </c>
      <c r="C64" s="6" t="inlineStr">
        <is>
          <t>自习室支出</t>
        </is>
      </c>
      <c r="D64" s="5" t="inlineStr">
        <is>
          <t>人力成本</t>
        </is>
      </c>
      <c r="E64" s="53" t="n"/>
      <c r="G64" s="89" t="n"/>
      <c r="H64" s="89" t="n"/>
      <c r="I64" s="89" t="n"/>
      <c r="J64" s="89" t="n"/>
      <c r="K64" s="89" t="n"/>
      <c r="L64" s="89" t="n"/>
      <c r="M64" s="89" t="n"/>
      <c r="N64" s="89" t="n"/>
      <c r="O64" s="89" t="n"/>
      <c r="P64" s="89" t="n"/>
      <c r="Q64" s="89" t="n"/>
    </row>
    <row r="65" s="83">
      <c r="A65" s="5" t="inlineStr">
        <is>
          <t>自习室支出</t>
        </is>
      </c>
      <c r="B65" s="5" t="inlineStr">
        <is>
          <t>自习室支出</t>
        </is>
      </c>
      <c r="D65" s="5" t="inlineStr">
        <is>
          <t>装修支出</t>
        </is>
      </c>
      <c r="E65" s="53" t="n"/>
      <c r="G65" s="89" t="n"/>
      <c r="H65" s="89" t="n"/>
      <c r="I65" s="89" t="n"/>
      <c r="J65" s="89" t="n"/>
      <c r="K65" s="89" t="n"/>
      <c r="L65" s="89" t="n"/>
      <c r="M65" s="89" t="n"/>
      <c r="N65" s="89" t="n"/>
      <c r="O65" s="89" t="n"/>
      <c r="P65" s="89" t="n"/>
      <c r="Q65" s="89" t="n"/>
    </row>
    <row r="66" s="83">
      <c r="A66" s="5" t="inlineStr">
        <is>
          <t>自习室支出</t>
        </is>
      </c>
      <c r="B66" s="5" t="inlineStr">
        <is>
          <t>自习室支出</t>
        </is>
      </c>
      <c r="D66" s="5" t="inlineStr">
        <is>
          <t>推广费用</t>
        </is>
      </c>
      <c r="E66" s="53" t="n"/>
      <c r="G66" s="89" t="n"/>
      <c r="H66" s="89" t="n"/>
      <c r="I66" s="89" t="n"/>
      <c r="J66" s="89" t="n"/>
      <c r="K66" s="89" t="n"/>
      <c r="L66" s="89" t="n"/>
      <c r="M66" s="89" t="n"/>
      <c r="N66" s="89" t="n"/>
      <c r="O66" s="89" t="n"/>
      <c r="P66" s="89" t="n"/>
      <c r="Q66" s="89" t="n"/>
    </row>
    <row r="67" s="83">
      <c r="A67" s="5" t="inlineStr">
        <is>
          <t>自习室支出</t>
        </is>
      </c>
      <c r="B67" s="5" t="inlineStr">
        <is>
          <t>自习室支出</t>
        </is>
      </c>
      <c r="D67" s="5" t="inlineStr">
        <is>
          <t>管理系统</t>
        </is>
      </c>
      <c r="E67" s="53" t="n"/>
      <c r="G67" s="89" t="n"/>
      <c r="H67" s="89" t="n"/>
      <c r="I67" s="89" t="n"/>
      <c r="J67" s="89" t="n"/>
      <c r="K67" s="89" t="n"/>
      <c r="L67" s="89" t="n"/>
      <c r="M67" s="89" t="n"/>
      <c r="N67" s="89" t="n"/>
      <c r="O67" s="89" t="n"/>
      <c r="P67" s="89" t="n"/>
      <c r="Q67" s="89" t="n"/>
    </row>
    <row r="68" s="83">
      <c r="A68" s="5" t="inlineStr">
        <is>
          <t>自习室支出</t>
        </is>
      </c>
      <c r="B68" s="5" t="inlineStr">
        <is>
          <t>自习室支出</t>
        </is>
      </c>
      <c r="D68" s="5" t="inlineStr">
        <is>
          <t>其他经营支出</t>
        </is>
      </c>
      <c r="E68" s="53" t="n"/>
      <c r="G68" s="89" t="n"/>
      <c r="H68" s="89" t="n"/>
      <c r="I68" s="89" t="n"/>
      <c r="J68" s="89" t="n"/>
      <c r="K68" s="89" t="n"/>
      <c r="L68" s="89" t="n"/>
      <c r="M68" s="89" t="n"/>
      <c r="N68" s="89" t="n"/>
      <c r="O68" s="89" t="n"/>
      <c r="P68" s="89" t="n"/>
      <c r="Q68" s="89" t="n"/>
    </row>
    <row r="69" s="83">
      <c r="A69" s="49" t="inlineStr">
        <is>
          <t>自习室支出合计</t>
        </is>
      </c>
      <c r="B69" s="50" t="n"/>
      <c r="C69" s="50" t="n"/>
      <c r="D69" s="49" t="n"/>
      <c r="E69" s="49" t="n"/>
      <c r="F69" s="89">
        <f>SUM('SMART AI LIMITED:HK01'!F64:F68)</f>
        <v/>
      </c>
      <c r="G69" s="89">
        <f>SUM('SMART AI LIMITED:HK01'!G64:G68)</f>
        <v/>
      </c>
      <c r="H69" s="89">
        <f>SUM('SMART AI LIMITED:HK01'!H64:H68)</f>
        <v/>
      </c>
      <c r="I69" s="89">
        <f>SUM('SMART AI LIMITED:HK01'!I64:I68)</f>
        <v/>
      </c>
      <c r="J69" s="89">
        <f>SUM('SMART AI LIMITED:HK01'!J64:J68)</f>
        <v/>
      </c>
      <c r="K69" s="89">
        <f>SUM('SMART AI LIMITED:HK01'!K64:K68)</f>
        <v/>
      </c>
      <c r="L69" s="89">
        <f>SUM('SMART AI LIMITED:HK01'!L64:L68)</f>
        <v/>
      </c>
      <c r="M69" s="89">
        <f>SUM('SMART AI LIMITED:HK01'!M64:M68)</f>
        <v/>
      </c>
      <c r="N69" s="89">
        <f>SUM('SMART AI LIMITED:HK01'!N64:N68)</f>
        <v/>
      </c>
      <c r="O69" s="89">
        <f>SUM('SMART AI LIMITED:HK01'!O64:O68)</f>
        <v/>
      </c>
      <c r="P69" s="89">
        <f>SUM('SMART AI LIMITED:HK01'!P64:P68)</f>
        <v/>
      </c>
      <c r="Q69" s="89">
        <f>SUM('SMART AI LIMITED:HK01'!Q64:Q68)</f>
        <v/>
      </c>
    </row>
    <row r="70" s="83">
      <c r="A70" s="5" t="inlineStr">
        <is>
          <t>研发支出</t>
        </is>
      </c>
      <c r="B70" s="6" t="inlineStr">
        <is>
          <t>产品开发-MAX</t>
        </is>
      </c>
      <c r="C70" s="6" t="inlineStr">
        <is>
          <t>产品开发-MAX</t>
        </is>
      </c>
      <c r="D70" s="5" t="inlineStr">
        <is>
          <t>检测费</t>
        </is>
      </c>
      <c r="E70" s="6" t="inlineStr">
        <is>
          <t>Q1201</t>
        </is>
      </c>
      <c r="F70" s="89">
        <f>-SUMIFS('1月数据源'!I:I,'1月数据源'!D:D,E70,'1月数据源'!F:F,"杭州目标准科技有限公司")+SUMIFS('1月数据源'!J:J,'1月数据源'!D:D,E70,'1月数据源'!F:F,"杭州目标准科技有限公司")</f>
        <v/>
      </c>
      <c r="G70" s="89">
        <f>-SUMIFS('2月数据源'!$I:$I,'2月数据源'!$D:$D,$E70,'2月数据源'!$F:$F,"杭州目标准科技有限公司")+SUMIFS('2月数据源'!$J:$J,'2月数据源'!$D:$D,$E70,'2月数据源'!$F:$F,"杭州目标准科技有限公司")</f>
        <v/>
      </c>
      <c r="H70" s="89">
        <f>-SUMIFS('3月数据源'!$I:$I,'3月数据源'!$D:$D,$E70,'3月数据源'!$F:$F,"杭州目标准科技有限公司")+SUMIFS('3月数据源'!$J:$J,'3月数据源'!$D:$D,$E70,'3月数据源'!$F:$F,"杭州目标准科技有限公司")</f>
        <v/>
      </c>
      <c r="I70" s="89">
        <f>-SUMIFS('4月数据源'!$I:$I,'4月数据源'!$D:$D,$E70,'4月数据源'!$F:$F,"杭州目标准科技有限公司")+SUMIFS('4月数据源'!$J:$J,'4月数据源'!$D:$D,$E70,'4月数据源'!$F:$F,"杭州目标准科技有限公司")</f>
        <v/>
      </c>
      <c r="J70" s="89">
        <f>-SUMIFS('5月数据源'!$I:$I,'5月数据源'!$D:$D,$E70,'5月数据源'!$F:$F,"杭州目标准科技有限公司")+SUMIFS('5月数据源'!$J:$J,'5月数据源'!$D:$D,$E70,'5月数据源'!$F:$F,"杭州目标准科技有限公司")</f>
        <v/>
      </c>
      <c r="K70" s="89">
        <f>-SUMIFS('6月数据源'!$I:$I,'6月数据源'!$D:$D,$E70,'6月数据源'!$F:$F,"杭州目标准科技有限公司")+SUMIFS('6月数据源'!$J:$J,'6月数据源'!$D:$D,$E70,'6月数据源'!$F:$F,"杭州目标准科技有限公司")</f>
        <v/>
      </c>
      <c r="L70" s="89">
        <f>-SUMIFS('7月数据源'!$I:$I,'7月数据源'!$D:$D,$E70,'7月数据源'!$F:$F,"杭州目标准科技有限公司")+SUMIFS('7月数据源'!$J:$J,'7月数据源'!$D:$D,$E70,'7月数据源'!$F:$F,"杭州目标准科技有限公司")</f>
        <v/>
      </c>
      <c r="M70" s="89">
        <f>-SUMIFS('8月数据源'!$I:$I,'8月数据源'!$D:$D,$E70,'8月数据源'!$F:$F,"杭州目标准科技有限公司")+SUMIFS('8月数据源'!$J:$J,'8月数据源'!$D:$D,$E70,'8月数据源'!$F:$F,"杭州目标准科技有限公司")</f>
        <v/>
      </c>
      <c r="N70" s="89">
        <f>-SUMIFS('9月数据源'!$I:$I,'9月数据源'!$D:$D,$E70,'9月数据源'!$F:$F,"杭州目标准科技有限公司")+SUMIFS('9月数据源'!$J:$J,'9月数据源'!$D:$D,$E70,'9月数据源'!$F:$F,"杭州目标准科技有限公司")</f>
        <v/>
      </c>
      <c r="O70" s="89">
        <f>-SUMIFS('10月数据源'!$I:$I,'10月数据源'!$D:$D,$E70,'10月数据源'!$F:$F,"杭州目标准科技有限公司")+SUMIFS('10月数据源'!$J:$J,'10月数据源'!$D:$D,$E70,'10月数据源'!$F:$F,"杭州目标准科技有限公司")</f>
        <v/>
      </c>
      <c r="P70" s="89">
        <f>-SUMIFS('11月数据源'!$I:$I,'11月数据源'!$D:$D,$E70,'11月数据源'!$F:$F,"杭州目标准科技有限公司")+SUMIFS('11月数据源'!$J:$J,'11月数据源'!$D:$D,$E70,'11月数据源'!$F:$F,"杭州目标准科技有限公司")</f>
        <v/>
      </c>
      <c r="Q70" s="89">
        <f>-SUMIFS('12月数据源'!$I:$I,'12月数据源'!$D:$D,$E70,'12月数据源'!$F:$F,"杭州目标准科技有限公司")+SUMIFS('12月数据源'!$J:$J,'12月数据源'!$D:$D,$E70,'12月数据源'!$F:$F,"杭州目标准科技有限公司")</f>
        <v/>
      </c>
    </row>
    <row r="71" s="83">
      <c r="A71" s="5" t="inlineStr">
        <is>
          <t>研发支出</t>
        </is>
      </c>
      <c r="B71" s="6" t="inlineStr">
        <is>
          <t>产品开发-MAX</t>
        </is>
      </c>
      <c r="D71" s="5" t="inlineStr">
        <is>
          <t>认证费</t>
        </is>
      </c>
      <c r="E71" s="6" t="inlineStr">
        <is>
          <t>Q1202</t>
        </is>
      </c>
      <c r="F71" s="89">
        <f>-SUMIFS('1月数据源'!I:I,'1月数据源'!D:D,E71,'1月数据源'!F:F,"杭州目标准科技有限公司")+SUMIFS('1月数据源'!J:J,'1月数据源'!D:D,E71,'1月数据源'!F:F,"杭州目标准科技有限公司")</f>
        <v/>
      </c>
      <c r="G71" s="89">
        <f>-SUMIFS('2月数据源'!$I:$I,'2月数据源'!$D:$D,$E71,'2月数据源'!$F:$F,"杭州目标准科技有限公司")+SUMIFS('2月数据源'!$J:$J,'2月数据源'!$D:$D,$E71,'2月数据源'!$F:$F,"杭州目标准科技有限公司")</f>
        <v/>
      </c>
      <c r="H71" s="89">
        <f>-SUMIFS('3月数据源'!$I:$I,'3月数据源'!$D:$D,$E71,'3月数据源'!$F:$F,"杭州目标准科技有限公司")+SUMIFS('3月数据源'!$J:$J,'3月数据源'!$D:$D,$E71,'3月数据源'!$F:$F,"杭州目标准科技有限公司")</f>
        <v/>
      </c>
      <c r="I71" s="89">
        <f>-SUMIFS('4月数据源'!$I:$I,'4月数据源'!$D:$D,$E71,'4月数据源'!$F:$F,"杭州目标准科技有限公司")+SUMIFS('4月数据源'!$J:$J,'4月数据源'!$D:$D,$E71,'4月数据源'!$F:$F,"杭州目标准科技有限公司")</f>
        <v/>
      </c>
      <c r="J71" s="89">
        <f>-SUMIFS('5月数据源'!$I:$I,'5月数据源'!$D:$D,$E71,'5月数据源'!$F:$F,"杭州目标准科技有限公司")+SUMIFS('5月数据源'!$J:$J,'5月数据源'!$D:$D,$E71,'5月数据源'!$F:$F,"杭州目标准科技有限公司")</f>
        <v/>
      </c>
      <c r="K71" s="89">
        <f>-SUMIFS('6月数据源'!$I:$I,'6月数据源'!$D:$D,$E71,'6月数据源'!$F:$F,"杭州目标准科技有限公司")+SUMIFS('6月数据源'!$J:$J,'6月数据源'!$D:$D,$E71,'6月数据源'!$F:$F,"杭州目标准科技有限公司")</f>
        <v/>
      </c>
      <c r="L71" s="89">
        <f>-SUMIFS('7月数据源'!$I:$I,'7月数据源'!$D:$D,$E71,'7月数据源'!$F:$F,"杭州目标准科技有限公司")+SUMIFS('7月数据源'!$J:$J,'7月数据源'!$D:$D,$E71,'7月数据源'!$F:$F,"杭州目标准科技有限公司")</f>
        <v/>
      </c>
      <c r="M71" s="89">
        <f>-SUMIFS('8月数据源'!$I:$I,'8月数据源'!$D:$D,$E71,'8月数据源'!$F:$F,"杭州目标准科技有限公司")+SUMIFS('8月数据源'!$J:$J,'8月数据源'!$D:$D,$E71,'8月数据源'!$F:$F,"杭州目标准科技有限公司")</f>
        <v/>
      </c>
      <c r="N71" s="89">
        <f>-SUMIFS('9月数据源'!$I:$I,'9月数据源'!$D:$D,$E71,'9月数据源'!$F:$F,"杭州目标准科技有限公司")+SUMIFS('9月数据源'!$J:$J,'9月数据源'!$D:$D,$E71,'9月数据源'!$F:$F,"杭州目标准科技有限公司")</f>
        <v/>
      </c>
      <c r="O71" s="89">
        <f>-SUMIFS('10月数据源'!$I:$I,'10月数据源'!$D:$D,$E71,'10月数据源'!$F:$F,"杭州目标准科技有限公司")+SUMIFS('10月数据源'!$J:$J,'10月数据源'!$D:$D,$E71,'10月数据源'!$F:$F,"杭州目标准科技有限公司")</f>
        <v/>
      </c>
      <c r="P71" s="89">
        <f>-SUMIFS('11月数据源'!$I:$I,'11月数据源'!$D:$D,$E71,'11月数据源'!$F:$F,"杭州目标准科技有限公司")+SUMIFS('11月数据源'!$J:$J,'11月数据源'!$D:$D,$E71,'11月数据源'!$F:$F,"杭州目标准科技有限公司")</f>
        <v/>
      </c>
      <c r="Q71" s="89">
        <f>-SUMIFS('12月数据源'!$I:$I,'12月数据源'!$D:$D,$E71,'12月数据源'!$F:$F,"杭州目标准科技有限公司")+SUMIFS('12月数据源'!$J:$J,'12月数据源'!$D:$D,$E71,'12月数据源'!$F:$F,"杭州目标准科技有限公司")</f>
        <v/>
      </c>
    </row>
    <row r="72" s="83">
      <c r="A72" s="5" t="inlineStr">
        <is>
          <t>研发支出</t>
        </is>
      </c>
      <c r="B72" s="6" t="inlineStr">
        <is>
          <t>产品开发-MAX</t>
        </is>
      </c>
      <c r="D72" s="5" t="inlineStr">
        <is>
          <t>设计费</t>
        </is>
      </c>
      <c r="E72" s="6" t="inlineStr">
        <is>
          <t>Q1203</t>
        </is>
      </c>
      <c r="F72" s="89">
        <f>-SUMIFS('1月数据源'!I:I,'1月数据源'!D:D,E72,'1月数据源'!F:F,"杭州目标准科技有限公司")+SUMIFS('1月数据源'!J:J,'1月数据源'!D:D,E72,'1月数据源'!F:F,"杭州目标准科技有限公司")</f>
        <v/>
      </c>
      <c r="G72" s="89">
        <f>-SUMIFS('2月数据源'!$I:$I,'2月数据源'!$D:$D,$E72,'2月数据源'!$F:$F,"杭州目标准科技有限公司")+SUMIFS('2月数据源'!$J:$J,'2月数据源'!$D:$D,$E72,'2月数据源'!$F:$F,"杭州目标准科技有限公司")</f>
        <v/>
      </c>
      <c r="H72" s="89">
        <f>-SUMIFS('3月数据源'!$I:$I,'3月数据源'!$D:$D,$E72,'3月数据源'!$F:$F,"杭州目标准科技有限公司")+SUMIFS('3月数据源'!$J:$J,'3月数据源'!$D:$D,$E72,'3月数据源'!$F:$F,"杭州目标准科技有限公司")</f>
        <v/>
      </c>
      <c r="I72" s="89">
        <f>-SUMIFS('4月数据源'!$I:$I,'4月数据源'!$D:$D,$E72,'4月数据源'!$F:$F,"杭州目标准科技有限公司")+SUMIFS('4月数据源'!$J:$J,'4月数据源'!$D:$D,$E72,'4月数据源'!$F:$F,"杭州目标准科技有限公司")</f>
        <v/>
      </c>
      <c r="J72" s="89">
        <f>-SUMIFS('5月数据源'!$I:$I,'5月数据源'!$D:$D,$E72,'5月数据源'!$F:$F,"杭州目标准科技有限公司")+SUMIFS('5月数据源'!$J:$J,'5月数据源'!$D:$D,$E72,'5月数据源'!$F:$F,"杭州目标准科技有限公司")</f>
        <v/>
      </c>
      <c r="K72" s="89">
        <f>-SUMIFS('6月数据源'!$I:$I,'6月数据源'!$D:$D,$E72,'6月数据源'!$F:$F,"杭州目标准科技有限公司")+SUMIFS('6月数据源'!$J:$J,'6月数据源'!$D:$D,$E72,'6月数据源'!$F:$F,"杭州目标准科技有限公司")</f>
        <v/>
      </c>
      <c r="L72" s="89">
        <f>-SUMIFS('7月数据源'!$I:$I,'7月数据源'!$D:$D,$E72,'7月数据源'!$F:$F,"杭州目标准科技有限公司")+SUMIFS('7月数据源'!$J:$J,'7月数据源'!$D:$D,$E72,'7月数据源'!$F:$F,"杭州目标准科技有限公司")</f>
        <v/>
      </c>
      <c r="M72" s="89">
        <f>-SUMIFS('8月数据源'!$I:$I,'8月数据源'!$D:$D,$E72,'8月数据源'!$F:$F,"杭州目标准科技有限公司")+SUMIFS('8月数据源'!$J:$J,'8月数据源'!$D:$D,$E72,'8月数据源'!$F:$F,"杭州目标准科技有限公司")</f>
        <v/>
      </c>
      <c r="N72" s="89">
        <f>-SUMIFS('9月数据源'!$I:$I,'9月数据源'!$D:$D,$E72,'9月数据源'!$F:$F,"杭州目标准科技有限公司")+SUMIFS('9月数据源'!$J:$J,'9月数据源'!$D:$D,$E72,'9月数据源'!$F:$F,"杭州目标准科技有限公司")</f>
        <v/>
      </c>
      <c r="O72" s="89">
        <f>-SUMIFS('10月数据源'!$I:$I,'10月数据源'!$D:$D,$E72,'10月数据源'!$F:$F,"杭州目标准科技有限公司")+SUMIFS('10月数据源'!$J:$J,'10月数据源'!$D:$D,$E72,'10月数据源'!$F:$F,"杭州目标准科技有限公司")</f>
        <v/>
      </c>
      <c r="P72" s="89">
        <f>-SUMIFS('11月数据源'!$I:$I,'11月数据源'!$D:$D,$E72,'11月数据源'!$F:$F,"杭州目标准科技有限公司")+SUMIFS('11月数据源'!$J:$J,'11月数据源'!$D:$D,$E72,'11月数据源'!$F:$F,"杭州目标准科技有限公司")</f>
        <v/>
      </c>
      <c r="Q72" s="89">
        <f>-SUMIFS('12月数据源'!$I:$I,'12月数据源'!$D:$D,$E72,'12月数据源'!$F:$F,"杭州目标准科技有限公司")+SUMIFS('12月数据源'!$J:$J,'12月数据源'!$D:$D,$E72,'12月数据源'!$F:$F,"杭州目标准科技有限公司")</f>
        <v/>
      </c>
    </row>
    <row r="73" s="83">
      <c r="A73" s="5" t="inlineStr">
        <is>
          <t>研发支出</t>
        </is>
      </c>
      <c r="B73" s="6" t="inlineStr">
        <is>
          <t>产品开发-MAX</t>
        </is>
      </c>
      <c r="D73" s="5" t="inlineStr">
        <is>
          <t>OTA费用</t>
        </is>
      </c>
      <c r="E73" s="6" t="inlineStr">
        <is>
          <t>Q1204</t>
        </is>
      </c>
      <c r="F73" s="89">
        <f>-SUMIFS('1月数据源'!I:I,'1月数据源'!D:D,E73,'1月数据源'!F:F,"杭州目标准科技有限公司")+SUMIFS('1月数据源'!J:J,'1月数据源'!D:D,E73,'1月数据源'!F:F,"杭州目标准科技有限公司")</f>
        <v/>
      </c>
      <c r="G73" s="89">
        <f>-SUMIFS('2月数据源'!$I:$I,'2月数据源'!$D:$D,$E73,'2月数据源'!$F:$F,"杭州目标准科技有限公司")+SUMIFS('2月数据源'!$J:$J,'2月数据源'!$D:$D,$E73,'2月数据源'!$F:$F,"杭州目标准科技有限公司")</f>
        <v/>
      </c>
      <c r="H73" s="89">
        <f>-SUMIFS('3月数据源'!$I:$I,'3月数据源'!$D:$D,$E73,'3月数据源'!$F:$F,"杭州目标准科技有限公司")+SUMIFS('3月数据源'!$J:$J,'3月数据源'!$D:$D,$E73,'3月数据源'!$F:$F,"杭州目标准科技有限公司")</f>
        <v/>
      </c>
      <c r="I73" s="89">
        <f>-SUMIFS('4月数据源'!$I:$I,'4月数据源'!$D:$D,$E73,'4月数据源'!$F:$F,"杭州目标准科技有限公司")+SUMIFS('4月数据源'!$J:$J,'4月数据源'!$D:$D,$E73,'4月数据源'!$F:$F,"杭州目标准科技有限公司")</f>
        <v/>
      </c>
      <c r="J73" s="89">
        <f>-SUMIFS('5月数据源'!$I:$I,'5月数据源'!$D:$D,$E73,'5月数据源'!$F:$F,"杭州目标准科技有限公司")+SUMIFS('5月数据源'!$J:$J,'5月数据源'!$D:$D,$E73,'5月数据源'!$F:$F,"杭州目标准科技有限公司")</f>
        <v/>
      </c>
      <c r="K73" s="89">
        <f>-SUMIFS('6月数据源'!$I:$I,'6月数据源'!$D:$D,$E73,'6月数据源'!$F:$F,"杭州目标准科技有限公司")+SUMIFS('6月数据源'!$J:$J,'6月数据源'!$D:$D,$E73,'6月数据源'!$F:$F,"杭州目标准科技有限公司")</f>
        <v/>
      </c>
      <c r="L73" s="89">
        <f>-SUMIFS('7月数据源'!$I:$I,'7月数据源'!$D:$D,$E73,'7月数据源'!$F:$F,"杭州目标准科技有限公司")+SUMIFS('7月数据源'!$J:$J,'7月数据源'!$D:$D,$E73,'7月数据源'!$F:$F,"杭州目标准科技有限公司")</f>
        <v/>
      </c>
      <c r="M73" s="89">
        <f>-SUMIFS('8月数据源'!$I:$I,'8月数据源'!$D:$D,$E73,'8月数据源'!$F:$F,"杭州目标准科技有限公司")+SUMIFS('8月数据源'!$J:$J,'8月数据源'!$D:$D,$E73,'8月数据源'!$F:$F,"杭州目标准科技有限公司")</f>
        <v/>
      </c>
      <c r="N73" s="89">
        <f>-SUMIFS('9月数据源'!$I:$I,'9月数据源'!$D:$D,$E73,'9月数据源'!$F:$F,"杭州目标准科技有限公司")+SUMIFS('9月数据源'!$J:$J,'9月数据源'!$D:$D,$E73,'9月数据源'!$F:$F,"杭州目标准科技有限公司")</f>
        <v/>
      </c>
      <c r="O73" s="89">
        <f>-SUMIFS('10月数据源'!$I:$I,'10月数据源'!$D:$D,$E73,'10月数据源'!$F:$F,"杭州目标准科技有限公司")+SUMIFS('10月数据源'!$J:$J,'10月数据源'!$D:$D,$E73,'10月数据源'!$F:$F,"杭州目标准科技有限公司")</f>
        <v/>
      </c>
      <c r="P73" s="89">
        <f>-SUMIFS('11月数据源'!$I:$I,'11月数据源'!$D:$D,$E73,'11月数据源'!$F:$F,"杭州目标准科技有限公司")+SUMIFS('11月数据源'!$J:$J,'11月数据源'!$D:$D,$E73,'11月数据源'!$F:$F,"杭州目标准科技有限公司")</f>
        <v/>
      </c>
      <c r="Q73" s="89">
        <f>-SUMIFS('12月数据源'!$I:$I,'12月数据源'!$D:$D,$E73,'12月数据源'!$F:$F,"杭州目标准科技有限公司")+SUMIFS('12月数据源'!$J:$J,'12月数据源'!$D:$D,$E73,'12月数据源'!$F:$F,"杭州目标准科技有限公司")</f>
        <v/>
      </c>
    </row>
    <row r="74" s="83">
      <c r="A74" s="5" t="inlineStr">
        <is>
          <t>研发支出</t>
        </is>
      </c>
      <c r="B74" s="6" t="inlineStr">
        <is>
          <t>产品开发-MAX</t>
        </is>
      </c>
      <c r="D74" s="5" t="inlineStr">
        <is>
          <t>模具费用</t>
        </is>
      </c>
      <c r="E74" s="6" t="inlineStr">
        <is>
          <t>Q1205</t>
        </is>
      </c>
      <c r="F74" s="89">
        <f>-SUMIFS('1月数据源'!I:I,'1月数据源'!D:D,E74,'1月数据源'!F:F,"杭州目标准科技有限公司")+SUMIFS('1月数据源'!J:J,'1月数据源'!D:D,E74,'1月数据源'!F:F,"杭州目标准科技有限公司")</f>
        <v/>
      </c>
      <c r="G74" s="89">
        <f>-SUMIFS('2月数据源'!$I:$I,'2月数据源'!$D:$D,$E74,'2月数据源'!$F:$F,"杭州目标准科技有限公司")+SUMIFS('2月数据源'!$J:$J,'2月数据源'!$D:$D,$E74,'2月数据源'!$F:$F,"杭州目标准科技有限公司")</f>
        <v/>
      </c>
      <c r="H74" s="89">
        <f>-SUMIFS('3月数据源'!$I:$I,'3月数据源'!$D:$D,$E74,'3月数据源'!$F:$F,"杭州目标准科技有限公司")+SUMIFS('3月数据源'!$J:$J,'3月数据源'!$D:$D,$E74,'3月数据源'!$F:$F,"杭州目标准科技有限公司")</f>
        <v/>
      </c>
      <c r="I74" s="89">
        <f>-SUMIFS('4月数据源'!$I:$I,'4月数据源'!$D:$D,$E74,'4月数据源'!$F:$F,"杭州目标准科技有限公司")+SUMIFS('4月数据源'!$J:$J,'4月数据源'!$D:$D,$E74,'4月数据源'!$F:$F,"杭州目标准科技有限公司")</f>
        <v/>
      </c>
      <c r="J74" s="89">
        <f>-SUMIFS('5月数据源'!$I:$I,'5月数据源'!$D:$D,$E74,'5月数据源'!$F:$F,"杭州目标准科技有限公司")+SUMIFS('5月数据源'!$J:$J,'5月数据源'!$D:$D,$E74,'5月数据源'!$F:$F,"杭州目标准科技有限公司")</f>
        <v/>
      </c>
      <c r="K74" s="89">
        <f>-SUMIFS('6月数据源'!$I:$I,'6月数据源'!$D:$D,$E74,'6月数据源'!$F:$F,"杭州目标准科技有限公司")+SUMIFS('6月数据源'!$J:$J,'6月数据源'!$D:$D,$E74,'6月数据源'!$F:$F,"杭州目标准科技有限公司")</f>
        <v/>
      </c>
      <c r="L74" s="89">
        <f>-SUMIFS('7月数据源'!$I:$I,'7月数据源'!$D:$D,$E74,'7月数据源'!$F:$F,"杭州目标准科技有限公司")+SUMIFS('7月数据源'!$J:$J,'7月数据源'!$D:$D,$E74,'7月数据源'!$F:$F,"杭州目标准科技有限公司")</f>
        <v/>
      </c>
      <c r="M74" s="89">
        <f>-SUMIFS('8月数据源'!$I:$I,'8月数据源'!$D:$D,$E74,'8月数据源'!$F:$F,"杭州目标准科技有限公司")+SUMIFS('8月数据源'!$J:$J,'8月数据源'!$D:$D,$E74,'8月数据源'!$F:$F,"杭州目标准科技有限公司")</f>
        <v/>
      </c>
      <c r="N74" s="89">
        <f>-SUMIFS('9月数据源'!$I:$I,'9月数据源'!$D:$D,$E74,'9月数据源'!$F:$F,"杭州目标准科技有限公司")+SUMIFS('9月数据源'!$J:$J,'9月数据源'!$D:$D,$E74,'9月数据源'!$F:$F,"杭州目标准科技有限公司")</f>
        <v/>
      </c>
      <c r="O74" s="89">
        <f>-SUMIFS('10月数据源'!$I:$I,'10月数据源'!$D:$D,$E74,'10月数据源'!$F:$F,"杭州目标准科技有限公司")+SUMIFS('10月数据源'!$J:$J,'10月数据源'!$D:$D,$E74,'10月数据源'!$F:$F,"杭州目标准科技有限公司")</f>
        <v/>
      </c>
      <c r="P74" s="89">
        <f>-SUMIFS('11月数据源'!$I:$I,'11月数据源'!$D:$D,$E74,'11月数据源'!$F:$F,"杭州目标准科技有限公司")+SUMIFS('11月数据源'!$J:$J,'11月数据源'!$D:$D,$E74,'11月数据源'!$F:$F,"杭州目标准科技有限公司")</f>
        <v/>
      </c>
      <c r="Q74" s="89">
        <f>-SUMIFS('12月数据源'!$I:$I,'12月数据源'!$D:$D,$E74,'12月数据源'!$F:$F,"杭州目标准科技有限公司")+SUMIFS('12月数据源'!$J:$J,'12月数据源'!$D:$D,$E74,'12月数据源'!$F:$F,"杭州目标准科技有限公司")</f>
        <v/>
      </c>
    </row>
    <row r="75" s="83">
      <c r="A75" s="5" t="inlineStr">
        <is>
          <t>研发支出</t>
        </is>
      </c>
      <c r="B75" s="6" t="inlineStr">
        <is>
          <t>产品开发-MAX</t>
        </is>
      </c>
      <c r="D75" s="5" t="inlineStr">
        <is>
          <t>TCL研发费</t>
        </is>
      </c>
      <c r="E75" s="6" t="inlineStr">
        <is>
          <t>Q1206</t>
        </is>
      </c>
      <c r="F75" s="89">
        <f>-SUMIFS('1月数据源'!I:I,'1月数据源'!D:D,E75,'1月数据源'!F:F,"杭州目标准科技有限公司")+SUMIFS('1月数据源'!J:J,'1月数据源'!D:D,E75,'1月数据源'!F:F,"杭州目标准科技有限公司")</f>
        <v/>
      </c>
      <c r="G75" s="89">
        <f>-SUMIFS('2月数据源'!$I:$I,'2月数据源'!$D:$D,$E75,'2月数据源'!$F:$F,"杭州目标准科技有限公司")+SUMIFS('2月数据源'!$J:$J,'2月数据源'!$D:$D,$E75,'2月数据源'!$F:$F,"杭州目标准科技有限公司")</f>
        <v/>
      </c>
      <c r="H75" s="89">
        <f>-SUMIFS('3月数据源'!$I:$I,'3月数据源'!$D:$D,$E75,'3月数据源'!$F:$F,"杭州目标准科技有限公司")+SUMIFS('3月数据源'!$J:$J,'3月数据源'!$D:$D,$E75,'3月数据源'!$F:$F,"杭州目标准科技有限公司")</f>
        <v/>
      </c>
      <c r="I75" s="89">
        <f>-SUMIFS('4月数据源'!$I:$I,'4月数据源'!$D:$D,$E75,'4月数据源'!$F:$F,"杭州目标准科技有限公司")+SUMIFS('4月数据源'!$J:$J,'4月数据源'!$D:$D,$E75,'4月数据源'!$F:$F,"杭州目标准科技有限公司")</f>
        <v/>
      </c>
      <c r="J75" s="89">
        <f>-SUMIFS('5月数据源'!$I:$I,'5月数据源'!$D:$D,$E75,'5月数据源'!$F:$F,"杭州目标准科技有限公司")+SUMIFS('5月数据源'!$J:$J,'5月数据源'!$D:$D,$E75,'5月数据源'!$F:$F,"杭州目标准科技有限公司")</f>
        <v/>
      </c>
      <c r="K75" s="89">
        <f>-SUMIFS('6月数据源'!$I:$I,'6月数据源'!$D:$D,$E75,'6月数据源'!$F:$F,"杭州目标准科技有限公司")+SUMIFS('6月数据源'!$J:$J,'6月数据源'!$D:$D,$E75,'6月数据源'!$F:$F,"杭州目标准科技有限公司")</f>
        <v/>
      </c>
      <c r="L75" s="89">
        <f>-SUMIFS('7月数据源'!$I:$I,'7月数据源'!$D:$D,$E75,'7月数据源'!$F:$F,"杭州目标准科技有限公司")+SUMIFS('7月数据源'!$J:$J,'7月数据源'!$D:$D,$E75,'7月数据源'!$F:$F,"杭州目标准科技有限公司")</f>
        <v/>
      </c>
      <c r="M75" s="89">
        <f>-SUMIFS('8月数据源'!$I:$I,'8月数据源'!$D:$D,$E75,'8月数据源'!$F:$F,"杭州目标准科技有限公司")+SUMIFS('8月数据源'!$J:$J,'8月数据源'!$D:$D,$E75,'8月数据源'!$F:$F,"杭州目标准科技有限公司")</f>
        <v/>
      </c>
      <c r="N75" s="89">
        <f>-SUMIFS('9月数据源'!$I:$I,'9月数据源'!$D:$D,$E75,'9月数据源'!$F:$F,"杭州目标准科技有限公司")+SUMIFS('9月数据源'!$J:$J,'9月数据源'!$D:$D,$E75,'9月数据源'!$F:$F,"杭州目标准科技有限公司")</f>
        <v/>
      </c>
      <c r="O75" s="89">
        <f>-SUMIFS('10月数据源'!$I:$I,'10月数据源'!$D:$D,$E75,'10月数据源'!$F:$F,"杭州目标准科技有限公司")+SUMIFS('10月数据源'!$J:$J,'10月数据源'!$D:$D,$E75,'10月数据源'!$F:$F,"杭州目标准科技有限公司")</f>
        <v/>
      </c>
      <c r="P75" s="89">
        <f>-SUMIFS('11月数据源'!$I:$I,'11月数据源'!$D:$D,$E75,'11月数据源'!$F:$F,"杭州目标准科技有限公司")+SUMIFS('11月数据源'!$J:$J,'11月数据源'!$D:$D,$E75,'11月数据源'!$F:$F,"杭州目标准科技有限公司")</f>
        <v/>
      </c>
      <c r="Q75" s="89">
        <f>-SUMIFS('12月数据源'!$I:$I,'12月数据源'!$D:$D,$E75,'12月数据源'!$F:$F,"杭州目标准科技有限公司")+SUMIFS('12月数据源'!$J:$J,'12月数据源'!$D:$D,$E75,'12月数据源'!$F:$F,"杭州目标准科技有限公司")</f>
        <v/>
      </c>
    </row>
    <row r="76" s="83">
      <c r="A76" s="5" t="inlineStr">
        <is>
          <t>研发支出</t>
        </is>
      </c>
      <c r="B76" s="6" t="inlineStr">
        <is>
          <t>产品开发-MAX</t>
        </is>
      </c>
      <c r="D76" s="5" t="inlineStr">
        <is>
          <t>唤醒功能开发</t>
        </is>
      </c>
      <c r="E76" s="6" t="inlineStr">
        <is>
          <t>Q1207</t>
        </is>
      </c>
      <c r="F76" s="89">
        <f>-SUMIFS('1月数据源'!I:I,'1月数据源'!D:D,E76,'1月数据源'!F:F,"杭州目标准科技有限公司")+SUMIFS('1月数据源'!J:J,'1月数据源'!D:D,E76,'1月数据源'!F:F,"杭州目标准科技有限公司")</f>
        <v/>
      </c>
      <c r="G76" s="89">
        <f>-SUMIFS('2月数据源'!$I:$I,'2月数据源'!$D:$D,$E76,'2月数据源'!$F:$F,"杭州目标准科技有限公司")+SUMIFS('2月数据源'!$J:$J,'2月数据源'!$D:$D,$E76,'2月数据源'!$F:$F,"杭州目标准科技有限公司")</f>
        <v/>
      </c>
      <c r="H76" s="89">
        <f>-SUMIFS('3月数据源'!$I:$I,'3月数据源'!$D:$D,$E76,'3月数据源'!$F:$F,"杭州目标准科技有限公司")+SUMIFS('3月数据源'!$J:$J,'3月数据源'!$D:$D,$E76,'3月数据源'!$F:$F,"杭州目标准科技有限公司")</f>
        <v/>
      </c>
      <c r="I76" s="89">
        <f>-SUMIFS('4月数据源'!$I:$I,'4月数据源'!$D:$D,$E76,'4月数据源'!$F:$F,"杭州目标准科技有限公司")+SUMIFS('4月数据源'!$J:$J,'4月数据源'!$D:$D,$E76,'4月数据源'!$F:$F,"杭州目标准科技有限公司")</f>
        <v/>
      </c>
      <c r="J76" s="89">
        <f>-SUMIFS('5月数据源'!$I:$I,'5月数据源'!$D:$D,$E76,'5月数据源'!$F:$F,"杭州目标准科技有限公司")+SUMIFS('5月数据源'!$J:$J,'5月数据源'!$D:$D,$E76,'5月数据源'!$F:$F,"杭州目标准科技有限公司")</f>
        <v/>
      </c>
      <c r="K76" s="89">
        <f>-SUMIFS('6月数据源'!$I:$I,'6月数据源'!$D:$D,$E76,'6月数据源'!$F:$F,"杭州目标准科技有限公司")+SUMIFS('6月数据源'!$J:$J,'6月数据源'!$D:$D,$E76,'6月数据源'!$F:$F,"杭州目标准科技有限公司")</f>
        <v/>
      </c>
      <c r="L76" s="89">
        <f>-SUMIFS('7月数据源'!$I:$I,'7月数据源'!$D:$D,$E76,'7月数据源'!$F:$F,"杭州目标准科技有限公司")+SUMIFS('7月数据源'!$J:$J,'7月数据源'!$D:$D,$E76,'7月数据源'!$F:$F,"杭州目标准科技有限公司")</f>
        <v/>
      </c>
      <c r="M76" s="89">
        <f>-SUMIFS('8月数据源'!$I:$I,'8月数据源'!$D:$D,$E76,'8月数据源'!$F:$F,"杭州目标准科技有限公司")+SUMIFS('8月数据源'!$J:$J,'8月数据源'!$D:$D,$E76,'8月数据源'!$F:$F,"杭州目标准科技有限公司")</f>
        <v/>
      </c>
      <c r="N76" s="89">
        <f>-SUMIFS('9月数据源'!$I:$I,'9月数据源'!$D:$D,$E76,'9月数据源'!$F:$F,"杭州目标准科技有限公司")+SUMIFS('9月数据源'!$J:$J,'9月数据源'!$D:$D,$E76,'9月数据源'!$F:$F,"杭州目标准科技有限公司")</f>
        <v/>
      </c>
      <c r="O76" s="89">
        <f>-SUMIFS('10月数据源'!$I:$I,'10月数据源'!$D:$D,$E76,'10月数据源'!$F:$F,"杭州目标准科技有限公司")+SUMIFS('10月数据源'!$J:$J,'10月数据源'!$D:$D,$E76,'10月数据源'!$F:$F,"杭州目标准科技有限公司")</f>
        <v/>
      </c>
      <c r="P76" s="89">
        <f>-SUMIFS('11月数据源'!$I:$I,'11月数据源'!$D:$D,$E76,'11月数据源'!$F:$F,"杭州目标准科技有限公司")+SUMIFS('11月数据源'!$J:$J,'11月数据源'!$D:$D,$E76,'11月数据源'!$F:$F,"杭州目标准科技有限公司")</f>
        <v/>
      </c>
      <c r="Q76" s="89">
        <f>-SUMIFS('12月数据源'!$I:$I,'12月数据源'!$D:$D,$E76,'12月数据源'!$F:$F,"杭州目标准科技有限公司")+SUMIFS('12月数据源'!$J:$J,'12月数据源'!$D:$D,$E76,'12月数据源'!$F:$F,"杭州目标准科技有限公司")</f>
        <v/>
      </c>
    </row>
    <row r="77" s="83">
      <c r="A77" s="5" t="inlineStr">
        <is>
          <t>研发支出</t>
        </is>
      </c>
      <c r="B77" s="6" t="inlineStr">
        <is>
          <t>产品开发-MAX</t>
        </is>
      </c>
      <c r="D77" s="5" t="inlineStr">
        <is>
          <t>题库费</t>
        </is>
      </c>
      <c r="E77" s="6" t="inlineStr">
        <is>
          <t>Q1208</t>
        </is>
      </c>
      <c r="F77" s="89">
        <f>-SUMIFS('1月数据源'!I:I,'1月数据源'!D:D,E77,'1月数据源'!F:F,"杭州目标准科技有限公司")+SUMIFS('1月数据源'!J:J,'1月数据源'!D:D,E77,'1月数据源'!F:F,"杭州目标准科技有限公司")</f>
        <v/>
      </c>
      <c r="G77" s="89">
        <f>-SUMIFS('2月数据源'!$I:$I,'2月数据源'!$D:$D,$E77,'2月数据源'!$F:$F,"杭州目标准科技有限公司")+SUMIFS('2月数据源'!$J:$J,'2月数据源'!$D:$D,$E77,'2月数据源'!$F:$F,"杭州目标准科技有限公司")</f>
        <v/>
      </c>
      <c r="H77" s="89">
        <f>-SUMIFS('3月数据源'!$I:$I,'3月数据源'!$D:$D,$E77,'3月数据源'!$F:$F,"杭州目标准科技有限公司")+SUMIFS('3月数据源'!$J:$J,'3月数据源'!$D:$D,$E77,'3月数据源'!$F:$F,"杭州目标准科技有限公司")</f>
        <v/>
      </c>
      <c r="I77" s="89">
        <f>-SUMIFS('4月数据源'!$I:$I,'4月数据源'!$D:$D,$E77,'4月数据源'!$F:$F,"杭州目标准科技有限公司")+SUMIFS('4月数据源'!$J:$J,'4月数据源'!$D:$D,$E77,'4月数据源'!$F:$F,"杭州目标准科技有限公司")</f>
        <v/>
      </c>
      <c r="J77" s="89">
        <f>-SUMIFS('5月数据源'!$I:$I,'5月数据源'!$D:$D,$E77,'5月数据源'!$F:$F,"杭州目标准科技有限公司")+SUMIFS('5月数据源'!$J:$J,'5月数据源'!$D:$D,$E77,'5月数据源'!$F:$F,"杭州目标准科技有限公司")</f>
        <v/>
      </c>
      <c r="K77" s="89">
        <f>-SUMIFS('6月数据源'!$I:$I,'6月数据源'!$D:$D,$E77,'6月数据源'!$F:$F,"杭州目标准科技有限公司")+SUMIFS('6月数据源'!$J:$J,'6月数据源'!$D:$D,$E77,'6月数据源'!$F:$F,"杭州目标准科技有限公司")</f>
        <v/>
      </c>
      <c r="L77" s="89">
        <f>-SUMIFS('7月数据源'!$I:$I,'7月数据源'!$D:$D,$E77,'7月数据源'!$F:$F,"杭州目标准科技有限公司")+SUMIFS('7月数据源'!$J:$J,'7月数据源'!$D:$D,$E77,'7月数据源'!$F:$F,"杭州目标准科技有限公司")</f>
        <v/>
      </c>
      <c r="M77" s="89">
        <f>-SUMIFS('8月数据源'!$I:$I,'8月数据源'!$D:$D,$E77,'8月数据源'!$F:$F,"杭州目标准科技有限公司")+SUMIFS('8月数据源'!$J:$J,'8月数据源'!$D:$D,$E77,'8月数据源'!$F:$F,"杭州目标准科技有限公司")</f>
        <v/>
      </c>
      <c r="N77" s="89">
        <f>-SUMIFS('9月数据源'!$I:$I,'9月数据源'!$D:$D,$E77,'9月数据源'!$F:$F,"杭州目标准科技有限公司")+SUMIFS('9月数据源'!$J:$J,'9月数据源'!$D:$D,$E77,'9月数据源'!$F:$F,"杭州目标准科技有限公司")</f>
        <v/>
      </c>
      <c r="O77" s="89">
        <f>-SUMIFS('10月数据源'!$I:$I,'10月数据源'!$D:$D,$E77,'10月数据源'!$F:$F,"杭州目标准科技有限公司")+SUMIFS('10月数据源'!$J:$J,'10月数据源'!$D:$D,$E77,'10月数据源'!$F:$F,"杭州目标准科技有限公司")</f>
        <v/>
      </c>
      <c r="P77" s="89">
        <f>-SUMIFS('11月数据源'!$I:$I,'11月数据源'!$D:$D,$E77,'11月数据源'!$F:$F,"杭州目标准科技有限公司")+SUMIFS('11月数据源'!$J:$J,'11月数据源'!$D:$D,$E77,'11月数据源'!$F:$F,"杭州目标准科技有限公司")</f>
        <v/>
      </c>
      <c r="Q77" s="89">
        <f>-SUMIFS('12月数据源'!$I:$I,'12月数据源'!$D:$D,$E77,'12月数据源'!$F:$F,"杭州目标准科技有限公司")+SUMIFS('12月数据源'!$J:$J,'12月数据源'!$D:$D,$E77,'12月数据源'!$F:$F,"杭州目标准科技有限公司")</f>
        <v/>
      </c>
    </row>
    <row r="78" s="83">
      <c r="A78" s="5" t="inlineStr">
        <is>
          <t>研发支出</t>
        </is>
      </c>
      <c r="B78" s="6" t="inlineStr">
        <is>
          <t>产品开发-PRO</t>
        </is>
      </c>
      <c r="C78" s="6" t="inlineStr">
        <is>
          <t>产品开发-PRO</t>
        </is>
      </c>
      <c r="D78" s="5" t="inlineStr">
        <is>
          <t>检测费</t>
        </is>
      </c>
      <c r="E78" s="6" t="inlineStr">
        <is>
          <t>Q1301</t>
        </is>
      </c>
      <c r="F78" s="89">
        <f>-SUMIFS('1月数据源'!I:I,'1月数据源'!D:D,E78,'1月数据源'!F:F,"杭州目标准科技有限公司")+SUMIFS('1月数据源'!J:J,'1月数据源'!D:D,E78,'1月数据源'!F:F,"杭州目标准科技有限公司")</f>
        <v/>
      </c>
      <c r="G78" s="89">
        <f>-SUMIFS('2月数据源'!$I:$I,'2月数据源'!$D:$D,$E78,'2月数据源'!$F:$F,"杭州目标准科技有限公司")+SUMIFS('2月数据源'!$J:$J,'2月数据源'!$D:$D,$E78,'2月数据源'!$F:$F,"杭州目标准科技有限公司")</f>
        <v/>
      </c>
      <c r="H78" s="89">
        <f>-SUMIFS('3月数据源'!$I:$I,'3月数据源'!$D:$D,$E78,'3月数据源'!$F:$F,"杭州目标准科技有限公司")+SUMIFS('3月数据源'!$J:$J,'3月数据源'!$D:$D,$E78,'3月数据源'!$F:$F,"杭州目标准科技有限公司")</f>
        <v/>
      </c>
      <c r="I78" s="89">
        <f>-SUMIFS('4月数据源'!$I:$I,'4月数据源'!$D:$D,$E78,'4月数据源'!$F:$F,"杭州目标准科技有限公司")+SUMIFS('4月数据源'!$J:$J,'4月数据源'!$D:$D,$E78,'4月数据源'!$F:$F,"杭州目标准科技有限公司")</f>
        <v/>
      </c>
      <c r="J78" s="89">
        <f>-SUMIFS('5月数据源'!$I:$I,'5月数据源'!$D:$D,$E78,'5月数据源'!$F:$F,"杭州目标准科技有限公司")+SUMIFS('5月数据源'!$J:$J,'5月数据源'!$D:$D,$E78,'5月数据源'!$F:$F,"杭州目标准科技有限公司")</f>
        <v/>
      </c>
      <c r="K78" s="89">
        <f>-SUMIFS('6月数据源'!$I:$I,'6月数据源'!$D:$D,$E78,'6月数据源'!$F:$F,"杭州目标准科技有限公司")+SUMIFS('6月数据源'!$J:$J,'6月数据源'!$D:$D,$E78,'6月数据源'!$F:$F,"杭州目标准科技有限公司")</f>
        <v/>
      </c>
      <c r="L78" s="89">
        <f>-SUMIFS('7月数据源'!$I:$I,'7月数据源'!$D:$D,$E78,'7月数据源'!$F:$F,"杭州目标准科技有限公司")+SUMIFS('7月数据源'!$J:$J,'7月数据源'!$D:$D,$E78,'7月数据源'!$F:$F,"杭州目标准科技有限公司")</f>
        <v/>
      </c>
      <c r="M78" s="89">
        <f>-SUMIFS('8月数据源'!$I:$I,'8月数据源'!$D:$D,$E78,'8月数据源'!$F:$F,"杭州目标准科技有限公司")+SUMIFS('8月数据源'!$J:$J,'8月数据源'!$D:$D,$E78,'8月数据源'!$F:$F,"杭州目标准科技有限公司")</f>
        <v/>
      </c>
      <c r="N78" s="89">
        <f>-SUMIFS('9月数据源'!$I:$I,'9月数据源'!$D:$D,$E78,'9月数据源'!$F:$F,"杭州目标准科技有限公司")+SUMIFS('9月数据源'!$J:$J,'9月数据源'!$D:$D,$E78,'9月数据源'!$F:$F,"杭州目标准科技有限公司")</f>
        <v/>
      </c>
      <c r="O78" s="89">
        <f>-SUMIFS('10月数据源'!$I:$I,'10月数据源'!$D:$D,$E78,'10月数据源'!$F:$F,"杭州目标准科技有限公司")+SUMIFS('10月数据源'!$J:$J,'10月数据源'!$D:$D,$E78,'10月数据源'!$F:$F,"杭州目标准科技有限公司")</f>
        <v/>
      </c>
      <c r="P78" s="89">
        <f>-SUMIFS('11月数据源'!$I:$I,'11月数据源'!$D:$D,$E78,'11月数据源'!$F:$F,"杭州目标准科技有限公司")+SUMIFS('11月数据源'!$J:$J,'11月数据源'!$D:$D,$E78,'11月数据源'!$F:$F,"杭州目标准科技有限公司")</f>
        <v/>
      </c>
      <c r="Q78" s="89">
        <f>-SUMIFS('12月数据源'!$I:$I,'12月数据源'!$D:$D,$E78,'12月数据源'!$F:$F,"杭州目标准科技有限公司")+SUMIFS('12月数据源'!$J:$J,'12月数据源'!$D:$D,$E78,'12月数据源'!$F:$F,"杭州目标准科技有限公司")</f>
        <v/>
      </c>
    </row>
    <row r="79" s="83">
      <c r="A79" s="5" t="inlineStr">
        <is>
          <t>研发支出</t>
        </is>
      </c>
      <c r="B79" s="6" t="inlineStr">
        <is>
          <t>产品开发-PRO</t>
        </is>
      </c>
      <c r="D79" s="5" t="inlineStr">
        <is>
          <t>认证费</t>
        </is>
      </c>
      <c r="E79" s="6" t="inlineStr">
        <is>
          <t>Q1302</t>
        </is>
      </c>
      <c r="F79" s="89">
        <f>-SUMIFS('1月数据源'!I:I,'1月数据源'!D:D,E79,'1月数据源'!F:F,"杭州目标准科技有限公司")+SUMIFS('1月数据源'!J:J,'1月数据源'!D:D,E79,'1月数据源'!F:F,"杭州目标准科技有限公司")</f>
        <v/>
      </c>
      <c r="G79" s="89">
        <f>-SUMIFS('2月数据源'!$I:$I,'2月数据源'!$D:$D,$E79,'2月数据源'!$F:$F,"杭州目标准科技有限公司")+SUMIFS('2月数据源'!$J:$J,'2月数据源'!$D:$D,$E79,'2月数据源'!$F:$F,"杭州目标准科技有限公司")</f>
        <v/>
      </c>
      <c r="H79" s="89">
        <f>-SUMIFS('3月数据源'!$I:$I,'3月数据源'!$D:$D,$E79,'3月数据源'!$F:$F,"杭州目标准科技有限公司")+SUMIFS('3月数据源'!$J:$J,'3月数据源'!$D:$D,$E79,'3月数据源'!$F:$F,"杭州目标准科技有限公司")</f>
        <v/>
      </c>
      <c r="I79" s="89">
        <f>-SUMIFS('4月数据源'!$I:$I,'4月数据源'!$D:$D,$E79,'4月数据源'!$F:$F,"杭州目标准科技有限公司")+SUMIFS('4月数据源'!$J:$J,'4月数据源'!$D:$D,$E79,'4月数据源'!$F:$F,"杭州目标准科技有限公司")</f>
        <v/>
      </c>
      <c r="J79" s="89">
        <f>-SUMIFS('5月数据源'!$I:$I,'5月数据源'!$D:$D,$E79,'5月数据源'!$F:$F,"杭州目标准科技有限公司")+SUMIFS('5月数据源'!$J:$J,'5月数据源'!$D:$D,$E79,'5月数据源'!$F:$F,"杭州目标准科技有限公司")</f>
        <v/>
      </c>
      <c r="K79" s="89">
        <f>-SUMIFS('6月数据源'!$I:$I,'6月数据源'!$D:$D,$E79,'6月数据源'!$F:$F,"杭州目标准科技有限公司")+SUMIFS('6月数据源'!$J:$J,'6月数据源'!$D:$D,$E79,'6月数据源'!$F:$F,"杭州目标准科技有限公司")</f>
        <v/>
      </c>
      <c r="L79" s="89">
        <f>-SUMIFS('7月数据源'!$I:$I,'7月数据源'!$D:$D,$E79,'7月数据源'!$F:$F,"杭州目标准科技有限公司")+SUMIFS('7月数据源'!$J:$J,'7月数据源'!$D:$D,$E79,'7月数据源'!$F:$F,"杭州目标准科技有限公司")</f>
        <v/>
      </c>
      <c r="M79" s="89">
        <f>-SUMIFS('8月数据源'!$I:$I,'8月数据源'!$D:$D,$E79,'8月数据源'!$F:$F,"杭州目标准科技有限公司")+SUMIFS('8月数据源'!$J:$J,'8月数据源'!$D:$D,$E79,'8月数据源'!$F:$F,"杭州目标准科技有限公司")</f>
        <v/>
      </c>
      <c r="N79" s="89">
        <f>-SUMIFS('9月数据源'!$I:$I,'9月数据源'!$D:$D,$E79,'9月数据源'!$F:$F,"杭州目标准科技有限公司")+SUMIFS('9月数据源'!$J:$J,'9月数据源'!$D:$D,$E79,'9月数据源'!$F:$F,"杭州目标准科技有限公司")</f>
        <v/>
      </c>
      <c r="O79" s="89">
        <f>-SUMIFS('10月数据源'!$I:$I,'10月数据源'!$D:$D,$E79,'10月数据源'!$F:$F,"杭州目标准科技有限公司")+SUMIFS('10月数据源'!$J:$J,'10月数据源'!$D:$D,$E79,'10月数据源'!$F:$F,"杭州目标准科技有限公司")</f>
        <v/>
      </c>
      <c r="P79" s="89">
        <f>-SUMIFS('11月数据源'!$I:$I,'11月数据源'!$D:$D,$E79,'11月数据源'!$F:$F,"杭州目标准科技有限公司")+SUMIFS('11月数据源'!$J:$J,'11月数据源'!$D:$D,$E79,'11月数据源'!$F:$F,"杭州目标准科技有限公司")</f>
        <v/>
      </c>
      <c r="Q79" s="89">
        <f>-SUMIFS('12月数据源'!$I:$I,'12月数据源'!$D:$D,$E79,'12月数据源'!$F:$F,"杭州目标准科技有限公司")+SUMIFS('12月数据源'!$J:$J,'12月数据源'!$D:$D,$E79,'12月数据源'!$F:$F,"杭州目标准科技有限公司")</f>
        <v/>
      </c>
    </row>
    <row r="80" s="83">
      <c r="A80" s="5" t="inlineStr">
        <is>
          <t>研发支出</t>
        </is>
      </c>
      <c r="B80" s="6" t="inlineStr">
        <is>
          <t>产品开发-PRO</t>
        </is>
      </c>
      <c r="D80" s="5" t="inlineStr">
        <is>
          <t>设计费</t>
        </is>
      </c>
      <c r="E80" s="6" t="inlineStr">
        <is>
          <t>Q1303</t>
        </is>
      </c>
      <c r="F80" s="89">
        <f>-SUMIFS('1月数据源'!I:I,'1月数据源'!D:D,E80,'1月数据源'!F:F,"杭州目标准科技有限公司")+SUMIFS('1月数据源'!J:J,'1月数据源'!D:D,E80,'1月数据源'!F:F,"杭州目标准科技有限公司")</f>
        <v/>
      </c>
      <c r="G80" s="89">
        <f>-SUMIFS('2月数据源'!$I:$I,'2月数据源'!$D:$D,$E80,'2月数据源'!$F:$F,"杭州目标准科技有限公司")+SUMIFS('2月数据源'!$J:$J,'2月数据源'!$D:$D,$E80,'2月数据源'!$F:$F,"杭州目标准科技有限公司")</f>
        <v/>
      </c>
      <c r="H80" s="89">
        <f>-SUMIFS('3月数据源'!$I:$I,'3月数据源'!$D:$D,$E80,'3月数据源'!$F:$F,"杭州目标准科技有限公司")+SUMIFS('3月数据源'!$J:$J,'3月数据源'!$D:$D,$E80,'3月数据源'!$F:$F,"杭州目标准科技有限公司")</f>
        <v/>
      </c>
      <c r="I80" s="89">
        <f>-SUMIFS('4月数据源'!$I:$I,'4月数据源'!$D:$D,$E80,'4月数据源'!$F:$F,"杭州目标准科技有限公司")+SUMIFS('4月数据源'!$J:$J,'4月数据源'!$D:$D,$E80,'4月数据源'!$F:$F,"杭州目标准科技有限公司")</f>
        <v/>
      </c>
      <c r="J80" s="89">
        <f>-SUMIFS('5月数据源'!$I:$I,'5月数据源'!$D:$D,$E80,'5月数据源'!$F:$F,"杭州目标准科技有限公司")+SUMIFS('5月数据源'!$J:$J,'5月数据源'!$D:$D,$E80,'5月数据源'!$F:$F,"杭州目标准科技有限公司")</f>
        <v/>
      </c>
      <c r="K80" s="89">
        <f>-SUMIFS('6月数据源'!$I:$I,'6月数据源'!$D:$D,$E80,'6月数据源'!$F:$F,"杭州目标准科技有限公司")+SUMIFS('6月数据源'!$J:$J,'6月数据源'!$D:$D,$E80,'6月数据源'!$F:$F,"杭州目标准科技有限公司")</f>
        <v/>
      </c>
      <c r="L80" s="89">
        <f>-SUMIFS('7月数据源'!$I:$I,'7月数据源'!$D:$D,$E80,'7月数据源'!$F:$F,"杭州目标准科技有限公司")+SUMIFS('7月数据源'!$J:$J,'7月数据源'!$D:$D,$E80,'7月数据源'!$F:$F,"杭州目标准科技有限公司")</f>
        <v/>
      </c>
      <c r="M80" s="89">
        <f>-SUMIFS('8月数据源'!$I:$I,'8月数据源'!$D:$D,$E80,'8月数据源'!$F:$F,"杭州目标准科技有限公司")+SUMIFS('8月数据源'!$J:$J,'8月数据源'!$D:$D,$E80,'8月数据源'!$F:$F,"杭州目标准科技有限公司")</f>
        <v/>
      </c>
      <c r="N80" s="89">
        <f>-SUMIFS('9月数据源'!$I:$I,'9月数据源'!$D:$D,$E80,'9月数据源'!$F:$F,"杭州目标准科技有限公司")+SUMIFS('9月数据源'!$J:$J,'9月数据源'!$D:$D,$E80,'9月数据源'!$F:$F,"杭州目标准科技有限公司")</f>
        <v/>
      </c>
      <c r="O80" s="89">
        <f>-SUMIFS('10月数据源'!$I:$I,'10月数据源'!$D:$D,$E80,'10月数据源'!$F:$F,"杭州目标准科技有限公司")+SUMIFS('10月数据源'!$J:$J,'10月数据源'!$D:$D,$E80,'10月数据源'!$F:$F,"杭州目标准科技有限公司")</f>
        <v/>
      </c>
      <c r="P80" s="89">
        <f>-SUMIFS('11月数据源'!$I:$I,'11月数据源'!$D:$D,$E80,'11月数据源'!$F:$F,"杭州目标准科技有限公司")+SUMIFS('11月数据源'!$J:$J,'11月数据源'!$D:$D,$E80,'11月数据源'!$F:$F,"杭州目标准科技有限公司")</f>
        <v/>
      </c>
      <c r="Q80" s="89">
        <f>-SUMIFS('12月数据源'!$I:$I,'12月数据源'!$D:$D,$E80,'12月数据源'!$F:$F,"杭州目标准科技有限公司")+SUMIFS('12月数据源'!$J:$J,'12月数据源'!$D:$D,$E80,'12月数据源'!$F:$F,"杭州目标准科技有限公司")</f>
        <v/>
      </c>
    </row>
    <row r="81" s="83">
      <c r="A81" s="5" t="inlineStr">
        <is>
          <t>研发支出</t>
        </is>
      </c>
      <c r="B81" s="6" t="inlineStr">
        <is>
          <t>产品开发-PRO</t>
        </is>
      </c>
      <c r="D81" s="5" t="inlineStr">
        <is>
          <t>OTA费用</t>
        </is>
      </c>
      <c r="E81" s="6" t="inlineStr">
        <is>
          <t>Q1304</t>
        </is>
      </c>
      <c r="F81" s="89">
        <f>-SUMIFS('1月数据源'!I:I,'1月数据源'!D:D,E81,'1月数据源'!F:F,"杭州目标准科技有限公司")+SUMIFS('1月数据源'!J:J,'1月数据源'!D:D,E81,'1月数据源'!F:F,"杭州目标准科技有限公司")</f>
        <v/>
      </c>
      <c r="G81" s="89">
        <f>-SUMIFS('2月数据源'!$I:$I,'2月数据源'!$D:$D,$E81,'2月数据源'!$F:$F,"杭州目标准科技有限公司")+SUMIFS('2月数据源'!$J:$J,'2月数据源'!$D:$D,$E81,'2月数据源'!$F:$F,"杭州目标准科技有限公司")</f>
        <v/>
      </c>
      <c r="H81" s="89">
        <f>-SUMIFS('3月数据源'!$I:$I,'3月数据源'!$D:$D,$E81,'3月数据源'!$F:$F,"杭州目标准科技有限公司")+SUMIFS('3月数据源'!$J:$J,'3月数据源'!$D:$D,$E81,'3月数据源'!$F:$F,"杭州目标准科技有限公司")</f>
        <v/>
      </c>
      <c r="I81" s="89">
        <f>-SUMIFS('4月数据源'!$I:$I,'4月数据源'!$D:$D,$E81,'4月数据源'!$F:$F,"杭州目标准科技有限公司")+SUMIFS('4月数据源'!$J:$J,'4月数据源'!$D:$D,$E81,'4月数据源'!$F:$F,"杭州目标准科技有限公司")</f>
        <v/>
      </c>
      <c r="J81" s="89">
        <f>-SUMIFS('5月数据源'!$I:$I,'5月数据源'!$D:$D,$E81,'5月数据源'!$F:$F,"杭州目标准科技有限公司")+SUMIFS('5月数据源'!$J:$J,'5月数据源'!$D:$D,$E81,'5月数据源'!$F:$F,"杭州目标准科技有限公司")</f>
        <v/>
      </c>
      <c r="K81" s="89">
        <f>-SUMIFS('6月数据源'!$I:$I,'6月数据源'!$D:$D,$E81,'6月数据源'!$F:$F,"杭州目标准科技有限公司")+SUMIFS('6月数据源'!$J:$J,'6月数据源'!$D:$D,$E81,'6月数据源'!$F:$F,"杭州目标准科技有限公司")</f>
        <v/>
      </c>
      <c r="L81" s="89">
        <f>-SUMIFS('7月数据源'!$I:$I,'7月数据源'!$D:$D,$E81,'7月数据源'!$F:$F,"杭州目标准科技有限公司")+SUMIFS('7月数据源'!$J:$J,'7月数据源'!$D:$D,$E81,'7月数据源'!$F:$F,"杭州目标准科技有限公司")</f>
        <v/>
      </c>
      <c r="M81" s="89">
        <f>-SUMIFS('8月数据源'!$I:$I,'8月数据源'!$D:$D,$E81,'8月数据源'!$F:$F,"杭州目标准科技有限公司")+SUMIFS('8月数据源'!$J:$J,'8月数据源'!$D:$D,$E81,'8月数据源'!$F:$F,"杭州目标准科技有限公司")</f>
        <v/>
      </c>
      <c r="N81" s="89">
        <f>-SUMIFS('9月数据源'!$I:$I,'9月数据源'!$D:$D,$E81,'9月数据源'!$F:$F,"杭州目标准科技有限公司")+SUMIFS('9月数据源'!$J:$J,'9月数据源'!$D:$D,$E81,'9月数据源'!$F:$F,"杭州目标准科技有限公司")</f>
        <v/>
      </c>
      <c r="O81" s="89">
        <f>-SUMIFS('10月数据源'!$I:$I,'10月数据源'!$D:$D,$E81,'10月数据源'!$F:$F,"杭州目标准科技有限公司")+SUMIFS('10月数据源'!$J:$J,'10月数据源'!$D:$D,$E81,'10月数据源'!$F:$F,"杭州目标准科技有限公司")</f>
        <v/>
      </c>
      <c r="P81" s="89">
        <f>-SUMIFS('11月数据源'!$I:$I,'11月数据源'!$D:$D,$E81,'11月数据源'!$F:$F,"杭州目标准科技有限公司")+SUMIFS('11月数据源'!$J:$J,'11月数据源'!$D:$D,$E81,'11月数据源'!$F:$F,"杭州目标准科技有限公司")</f>
        <v/>
      </c>
      <c r="Q81" s="89">
        <f>-SUMIFS('12月数据源'!$I:$I,'12月数据源'!$D:$D,$E81,'12月数据源'!$F:$F,"杭州目标准科技有限公司")+SUMIFS('12月数据源'!$J:$J,'12月数据源'!$D:$D,$E81,'12月数据源'!$F:$F,"杭州目标准科技有限公司")</f>
        <v/>
      </c>
    </row>
    <row r="82" s="83">
      <c r="A82" s="5" t="inlineStr">
        <is>
          <t>研发支出</t>
        </is>
      </c>
      <c r="B82" s="6" t="inlineStr">
        <is>
          <t>产品开发-PRO</t>
        </is>
      </c>
      <c r="D82" s="5" t="inlineStr">
        <is>
          <t>模具费用</t>
        </is>
      </c>
      <c r="E82" s="6" t="inlineStr">
        <is>
          <t>Q1305</t>
        </is>
      </c>
      <c r="F82" s="89">
        <f>-SUMIFS('1月数据源'!I:I,'1月数据源'!D:D,E82,'1月数据源'!F:F,"杭州目标准科技有限公司")+SUMIFS('1月数据源'!J:J,'1月数据源'!D:D,E82,'1月数据源'!F:F,"杭州目标准科技有限公司")</f>
        <v/>
      </c>
      <c r="G82" s="89">
        <f>-SUMIFS('2月数据源'!$I:$I,'2月数据源'!$D:$D,$E82,'2月数据源'!$F:$F,"杭州目标准科技有限公司")+SUMIFS('2月数据源'!$J:$J,'2月数据源'!$D:$D,$E82,'2月数据源'!$F:$F,"杭州目标准科技有限公司")</f>
        <v/>
      </c>
      <c r="H82" s="89">
        <f>-SUMIFS('3月数据源'!$I:$I,'3月数据源'!$D:$D,$E82,'3月数据源'!$F:$F,"杭州目标准科技有限公司")+SUMIFS('3月数据源'!$J:$J,'3月数据源'!$D:$D,$E82,'3月数据源'!$F:$F,"杭州目标准科技有限公司")</f>
        <v/>
      </c>
      <c r="I82" s="89">
        <f>-SUMIFS('4月数据源'!$I:$I,'4月数据源'!$D:$D,$E82,'4月数据源'!$F:$F,"杭州目标准科技有限公司")+SUMIFS('4月数据源'!$J:$J,'4月数据源'!$D:$D,$E82,'4月数据源'!$F:$F,"杭州目标准科技有限公司")</f>
        <v/>
      </c>
      <c r="J82" s="89">
        <f>-SUMIFS('5月数据源'!$I:$I,'5月数据源'!$D:$D,$E82,'5月数据源'!$F:$F,"杭州目标准科技有限公司")+SUMIFS('5月数据源'!$J:$J,'5月数据源'!$D:$D,$E82,'5月数据源'!$F:$F,"杭州目标准科技有限公司")</f>
        <v/>
      </c>
      <c r="K82" s="89">
        <f>-SUMIFS('6月数据源'!$I:$I,'6月数据源'!$D:$D,$E82,'6月数据源'!$F:$F,"杭州目标准科技有限公司")+SUMIFS('6月数据源'!$J:$J,'6月数据源'!$D:$D,$E82,'6月数据源'!$F:$F,"杭州目标准科技有限公司")</f>
        <v/>
      </c>
      <c r="L82" s="89">
        <f>-SUMIFS('7月数据源'!$I:$I,'7月数据源'!$D:$D,$E82,'7月数据源'!$F:$F,"杭州目标准科技有限公司")+SUMIFS('7月数据源'!$J:$J,'7月数据源'!$D:$D,$E82,'7月数据源'!$F:$F,"杭州目标准科技有限公司")</f>
        <v/>
      </c>
      <c r="M82" s="89">
        <f>-SUMIFS('8月数据源'!$I:$I,'8月数据源'!$D:$D,$E82,'8月数据源'!$F:$F,"杭州目标准科技有限公司")+SUMIFS('8月数据源'!$J:$J,'8月数据源'!$D:$D,$E82,'8月数据源'!$F:$F,"杭州目标准科技有限公司")</f>
        <v/>
      </c>
      <c r="N82" s="89">
        <f>-SUMIFS('9月数据源'!$I:$I,'9月数据源'!$D:$D,$E82,'9月数据源'!$F:$F,"杭州目标准科技有限公司")+SUMIFS('9月数据源'!$J:$J,'9月数据源'!$D:$D,$E82,'9月数据源'!$F:$F,"杭州目标准科技有限公司")</f>
        <v/>
      </c>
      <c r="O82" s="89">
        <f>-SUMIFS('10月数据源'!$I:$I,'10月数据源'!$D:$D,$E82,'10月数据源'!$F:$F,"杭州目标准科技有限公司")+SUMIFS('10月数据源'!$J:$J,'10月数据源'!$D:$D,$E82,'10月数据源'!$F:$F,"杭州目标准科技有限公司")</f>
        <v/>
      </c>
      <c r="P82" s="89">
        <f>-SUMIFS('11月数据源'!$I:$I,'11月数据源'!$D:$D,$E82,'11月数据源'!$F:$F,"杭州目标准科技有限公司")+SUMIFS('11月数据源'!$J:$J,'11月数据源'!$D:$D,$E82,'11月数据源'!$F:$F,"杭州目标准科技有限公司")</f>
        <v/>
      </c>
      <c r="Q82" s="89">
        <f>-SUMIFS('12月数据源'!$I:$I,'12月数据源'!$D:$D,$E82,'12月数据源'!$F:$F,"杭州目标准科技有限公司")+SUMIFS('12月数据源'!$J:$J,'12月数据源'!$D:$D,$E82,'12月数据源'!$F:$F,"杭州目标准科技有限公司")</f>
        <v/>
      </c>
    </row>
    <row r="83" s="83">
      <c r="A83" s="5" t="inlineStr">
        <is>
          <t>研发支出</t>
        </is>
      </c>
      <c r="B83" s="6" t="inlineStr">
        <is>
          <t>产品开发-PRO</t>
        </is>
      </c>
      <c r="D83" s="5" t="inlineStr">
        <is>
          <t>BOE研发费</t>
        </is>
      </c>
      <c r="E83" s="6" t="inlineStr">
        <is>
          <t>Q1306</t>
        </is>
      </c>
      <c r="F83" s="89">
        <f>-SUMIFS('1月数据源'!I:I,'1月数据源'!D:D,E83,'1月数据源'!F:F,"杭州目标准科技有限公司")+SUMIFS('1月数据源'!J:J,'1月数据源'!D:D,E83,'1月数据源'!F:F,"杭州目标准科技有限公司")</f>
        <v/>
      </c>
      <c r="G83" s="89">
        <f>-SUMIFS('2月数据源'!$I:$I,'2月数据源'!$D:$D,$E83,'2月数据源'!$F:$F,"杭州目标准科技有限公司")+SUMIFS('2月数据源'!$J:$J,'2月数据源'!$D:$D,$E83,'2月数据源'!$F:$F,"杭州目标准科技有限公司")</f>
        <v/>
      </c>
      <c r="H83" s="89">
        <f>-SUMIFS('3月数据源'!$I:$I,'3月数据源'!$D:$D,$E83,'3月数据源'!$F:$F,"杭州目标准科技有限公司")+SUMIFS('3月数据源'!$J:$J,'3月数据源'!$D:$D,$E83,'3月数据源'!$F:$F,"杭州目标准科技有限公司")</f>
        <v/>
      </c>
      <c r="I83" s="89">
        <f>-SUMIFS('4月数据源'!$I:$I,'4月数据源'!$D:$D,$E83,'4月数据源'!$F:$F,"杭州目标准科技有限公司")+SUMIFS('4月数据源'!$J:$J,'4月数据源'!$D:$D,$E83,'4月数据源'!$F:$F,"杭州目标准科技有限公司")</f>
        <v/>
      </c>
      <c r="J83" s="89">
        <f>-SUMIFS('5月数据源'!$I:$I,'5月数据源'!$D:$D,$E83,'5月数据源'!$F:$F,"杭州目标准科技有限公司")+SUMIFS('5月数据源'!$J:$J,'5月数据源'!$D:$D,$E83,'5月数据源'!$F:$F,"杭州目标准科技有限公司")</f>
        <v/>
      </c>
      <c r="K83" s="89">
        <f>-SUMIFS('6月数据源'!$I:$I,'6月数据源'!$D:$D,$E83,'6月数据源'!$F:$F,"杭州目标准科技有限公司")+SUMIFS('6月数据源'!$J:$J,'6月数据源'!$D:$D,$E83,'6月数据源'!$F:$F,"杭州目标准科技有限公司")</f>
        <v/>
      </c>
      <c r="L83" s="89">
        <f>-SUMIFS('7月数据源'!$I:$I,'7月数据源'!$D:$D,$E83,'7月数据源'!$F:$F,"杭州目标准科技有限公司")+SUMIFS('7月数据源'!$J:$J,'7月数据源'!$D:$D,$E83,'7月数据源'!$F:$F,"杭州目标准科技有限公司")</f>
        <v/>
      </c>
      <c r="M83" s="89">
        <f>-SUMIFS('8月数据源'!$I:$I,'8月数据源'!$D:$D,$E83,'8月数据源'!$F:$F,"杭州目标准科技有限公司")+SUMIFS('8月数据源'!$J:$J,'8月数据源'!$D:$D,$E83,'8月数据源'!$F:$F,"杭州目标准科技有限公司")</f>
        <v/>
      </c>
      <c r="N83" s="89">
        <f>-SUMIFS('9月数据源'!$I:$I,'9月数据源'!$D:$D,$E83,'9月数据源'!$F:$F,"杭州目标准科技有限公司")+SUMIFS('9月数据源'!$J:$J,'9月数据源'!$D:$D,$E83,'9月数据源'!$F:$F,"杭州目标准科技有限公司")</f>
        <v/>
      </c>
      <c r="O83" s="89">
        <f>-SUMIFS('10月数据源'!$I:$I,'10月数据源'!$D:$D,$E83,'10月数据源'!$F:$F,"杭州目标准科技有限公司")+SUMIFS('10月数据源'!$J:$J,'10月数据源'!$D:$D,$E83,'10月数据源'!$F:$F,"杭州目标准科技有限公司")</f>
        <v/>
      </c>
      <c r="P83" s="89">
        <f>-SUMIFS('11月数据源'!$I:$I,'11月数据源'!$D:$D,$E83,'11月数据源'!$F:$F,"杭州目标准科技有限公司")+SUMIFS('11月数据源'!$J:$J,'11月数据源'!$D:$D,$E83,'11月数据源'!$F:$F,"杭州目标准科技有限公司")</f>
        <v/>
      </c>
      <c r="Q83" s="89">
        <f>-SUMIFS('12月数据源'!$I:$I,'12月数据源'!$D:$D,$E83,'12月数据源'!$F:$F,"杭州目标准科技有限公司")+SUMIFS('12月数据源'!$J:$J,'12月数据源'!$D:$D,$E83,'12月数据源'!$F:$F,"杭州目标准科技有限公司")</f>
        <v/>
      </c>
    </row>
    <row r="84" s="83">
      <c r="A84" s="5" t="inlineStr">
        <is>
          <t>研发支出</t>
        </is>
      </c>
      <c r="B84" s="6" t="inlineStr">
        <is>
          <t>产品开发-PRO</t>
        </is>
      </c>
      <c r="D84" s="5" t="inlineStr">
        <is>
          <t>题库费</t>
        </is>
      </c>
      <c r="E84" s="6" t="inlineStr">
        <is>
          <t>Q1307</t>
        </is>
      </c>
      <c r="F84" s="89">
        <f>-SUMIFS('1月数据源'!I:I,'1月数据源'!D:D,E84,'1月数据源'!F:F,"杭州目标准科技有限公司")+SUMIFS('1月数据源'!J:J,'1月数据源'!D:D,E84,'1月数据源'!F:F,"杭州目标准科技有限公司")</f>
        <v/>
      </c>
      <c r="G84" s="89">
        <f>-SUMIFS('2月数据源'!$I:$I,'2月数据源'!$D:$D,$E84,'2月数据源'!$F:$F,"杭州目标准科技有限公司")+SUMIFS('2月数据源'!$J:$J,'2月数据源'!$D:$D,$E84,'2月数据源'!$F:$F,"杭州目标准科技有限公司")</f>
        <v/>
      </c>
      <c r="H84" s="89">
        <f>-SUMIFS('3月数据源'!$I:$I,'3月数据源'!$D:$D,$E84,'3月数据源'!$F:$F,"杭州目标准科技有限公司")+SUMIFS('3月数据源'!$J:$J,'3月数据源'!$D:$D,$E84,'3月数据源'!$F:$F,"杭州目标准科技有限公司")</f>
        <v/>
      </c>
      <c r="I84" s="89">
        <f>-SUMIFS('4月数据源'!$I:$I,'4月数据源'!$D:$D,$E84,'4月数据源'!$F:$F,"杭州目标准科技有限公司")+SUMIFS('4月数据源'!$J:$J,'4月数据源'!$D:$D,$E84,'4月数据源'!$F:$F,"杭州目标准科技有限公司")</f>
        <v/>
      </c>
      <c r="J84" s="89">
        <f>-SUMIFS('5月数据源'!$I:$I,'5月数据源'!$D:$D,$E84,'5月数据源'!$F:$F,"杭州目标准科技有限公司")+SUMIFS('5月数据源'!$J:$J,'5月数据源'!$D:$D,$E84,'5月数据源'!$F:$F,"杭州目标准科技有限公司")</f>
        <v/>
      </c>
      <c r="K84" s="89">
        <f>-SUMIFS('6月数据源'!$I:$I,'6月数据源'!$D:$D,$E84,'6月数据源'!$F:$F,"杭州目标准科技有限公司")+SUMIFS('6月数据源'!$J:$J,'6月数据源'!$D:$D,$E84,'6月数据源'!$F:$F,"杭州目标准科技有限公司")</f>
        <v/>
      </c>
      <c r="L84" s="89">
        <f>-SUMIFS('7月数据源'!$I:$I,'7月数据源'!$D:$D,$E84,'7月数据源'!$F:$F,"杭州目标准科技有限公司")+SUMIFS('7月数据源'!$J:$J,'7月数据源'!$D:$D,$E84,'7月数据源'!$F:$F,"杭州目标准科技有限公司")</f>
        <v/>
      </c>
      <c r="M84" s="89">
        <f>-SUMIFS('8月数据源'!$I:$I,'8月数据源'!$D:$D,$E84,'8月数据源'!$F:$F,"杭州目标准科技有限公司")+SUMIFS('8月数据源'!$J:$J,'8月数据源'!$D:$D,$E84,'8月数据源'!$F:$F,"杭州目标准科技有限公司")</f>
        <v/>
      </c>
      <c r="N84" s="89">
        <f>-SUMIFS('9月数据源'!$I:$I,'9月数据源'!$D:$D,$E84,'9月数据源'!$F:$F,"杭州目标准科技有限公司")+SUMIFS('9月数据源'!$J:$J,'9月数据源'!$D:$D,$E84,'9月数据源'!$F:$F,"杭州目标准科技有限公司")</f>
        <v/>
      </c>
      <c r="O84" s="89">
        <f>-SUMIFS('10月数据源'!$I:$I,'10月数据源'!$D:$D,$E84,'10月数据源'!$F:$F,"杭州目标准科技有限公司")+SUMIFS('10月数据源'!$J:$J,'10月数据源'!$D:$D,$E84,'10月数据源'!$F:$F,"杭州目标准科技有限公司")</f>
        <v/>
      </c>
      <c r="P84" s="89">
        <f>-SUMIFS('11月数据源'!$I:$I,'11月数据源'!$D:$D,$E84,'11月数据源'!$F:$F,"杭州目标准科技有限公司")+SUMIFS('11月数据源'!$J:$J,'11月数据源'!$D:$D,$E84,'11月数据源'!$F:$F,"杭州目标准科技有限公司")</f>
        <v/>
      </c>
      <c r="Q84" s="89">
        <f>-SUMIFS('12月数据源'!$I:$I,'12月数据源'!$D:$D,$E84,'12月数据源'!$F:$F,"杭州目标准科技有限公司")+SUMIFS('12月数据源'!$J:$J,'12月数据源'!$D:$D,$E84,'12月数据源'!$F:$F,"杭州目标准科技有限公司")</f>
        <v/>
      </c>
    </row>
    <row r="85" s="83">
      <c r="A85" s="5" t="inlineStr">
        <is>
          <t>研发支出</t>
        </is>
      </c>
      <c r="B85" s="6" t="inlineStr">
        <is>
          <t>其他产品开发</t>
        </is>
      </c>
      <c r="C85" s="6" t="inlineStr">
        <is>
          <t>其他产品开发</t>
        </is>
      </c>
      <c r="D85" s="5" t="inlineStr">
        <is>
          <t>产品开发-员工报销</t>
        </is>
      </c>
      <c r="E85" s="6" t="inlineStr">
        <is>
          <t>Q1402</t>
        </is>
      </c>
      <c r="F85" s="89">
        <f>-SUMIFS('1月数据源'!I:I,'1月数据源'!D:D,E85,'1月数据源'!F:F,"杭州目标准科技有限公司")+SUMIFS('1月数据源'!J:J,'1月数据源'!D:D,E85,'1月数据源'!F:F,"杭州目标准科技有限公司")</f>
        <v/>
      </c>
      <c r="G85" s="89">
        <f>-SUMIFS('2月数据源'!$I:$I,'2月数据源'!$D:$D,$E85,'2月数据源'!$F:$F,"杭州目标准科技有限公司")+SUMIFS('2月数据源'!$J:$J,'2月数据源'!$D:$D,$E85,'2月数据源'!$F:$F,"杭州目标准科技有限公司")</f>
        <v/>
      </c>
      <c r="H85" s="89">
        <f>-SUMIFS('3月数据源'!$I:$I,'3月数据源'!$D:$D,$E85,'3月数据源'!$F:$F,"杭州目标准科技有限公司")+SUMIFS('3月数据源'!$J:$J,'3月数据源'!$D:$D,$E85,'3月数据源'!$F:$F,"杭州目标准科技有限公司")</f>
        <v/>
      </c>
      <c r="I85" s="89">
        <f>-SUMIFS('4月数据源'!$I:$I,'4月数据源'!$D:$D,$E85,'4月数据源'!$F:$F,"杭州目标准科技有限公司")+SUMIFS('4月数据源'!$J:$J,'4月数据源'!$D:$D,$E85,'4月数据源'!$F:$F,"杭州目标准科技有限公司")</f>
        <v/>
      </c>
      <c r="J85" s="89">
        <f>-SUMIFS('5月数据源'!$I:$I,'5月数据源'!$D:$D,$E85,'5月数据源'!$F:$F,"杭州目标准科技有限公司")+SUMIFS('5月数据源'!$J:$J,'5月数据源'!$D:$D,$E85,'5月数据源'!$F:$F,"杭州目标准科技有限公司")</f>
        <v/>
      </c>
      <c r="K85" s="89">
        <f>-SUMIFS('6月数据源'!$I:$I,'6月数据源'!$D:$D,$E85,'6月数据源'!$F:$F,"杭州目标准科技有限公司")+SUMIFS('6月数据源'!$J:$J,'6月数据源'!$D:$D,$E85,'6月数据源'!$F:$F,"杭州目标准科技有限公司")</f>
        <v/>
      </c>
      <c r="L85" s="89">
        <f>-SUMIFS('7月数据源'!$I:$I,'7月数据源'!$D:$D,$E85,'7月数据源'!$F:$F,"杭州目标准科技有限公司")+SUMIFS('7月数据源'!$J:$J,'7月数据源'!$D:$D,$E85,'7月数据源'!$F:$F,"杭州目标准科技有限公司")</f>
        <v/>
      </c>
      <c r="M85" s="89">
        <f>-SUMIFS('8月数据源'!$I:$I,'8月数据源'!$D:$D,$E85,'8月数据源'!$F:$F,"杭州目标准科技有限公司")+SUMIFS('8月数据源'!$J:$J,'8月数据源'!$D:$D,$E85,'8月数据源'!$F:$F,"杭州目标准科技有限公司")</f>
        <v/>
      </c>
      <c r="N85" s="89">
        <f>-SUMIFS('9月数据源'!$I:$I,'9月数据源'!$D:$D,$E85,'9月数据源'!$F:$F,"杭州目标准科技有限公司")+SUMIFS('9月数据源'!$J:$J,'9月数据源'!$D:$D,$E85,'9月数据源'!$F:$F,"杭州目标准科技有限公司")</f>
        <v/>
      </c>
      <c r="O85" s="89">
        <f>-SUMIFS('10月数据源'!$I:$I,'10月数据源'!$D:$D,$E85,'10月数据源'!$F:$F,"杭州目标准科技有限公司")+SUMIFS('10月数据源'!$J:$J,'10月数据源'!$D:$D,$E85,'10月数据源'!$F:$F,"杭州目标准科技有限公司")</f>
        <v/>
      </c>
      <c r="P85" s="89">
        <f>-SUMIFS('11月数据源'!$I:$I,'11月数据源'!$D:$D,$E85,'11月数据源'!$F:$F,"杭州目标准科技有限公司")+SUMIFS('11月数据源'!$J:$J,'11月数据源'!$D:$D,$E85,'11月数据源'!$F:$F,"杭州目标准科技有限公司")</f>
        <v/>
      </c>
      <c r="Q85" s="89">
        <f>-SUMIFS('12月数据源'!$I:$I,'12月数据源'!$D:$D,$E85,'12月数据源'!$F:$F,"杭州目标准科技有限公司")+SUMIFS('12月数据源'!$J:$J,'12月数据源'!$D:$D,$E85,'12月数据源'!$F:$F,"杭州目标准科技有限公司")</f>
        <v/>
      </c>
    </row>
    <row r="86" s="83">
      <c r="A86" s="5" t="inlineStr">
        <is>
          <t>研发支出</t>
        </is>
      </c>
      <c r="B86" s="6" t="inlineStr">
        <is>
          <t>其他产品开发</t>
        </is>
      </c>
      <c r="D86" s="5" t="inlineStr">
        <is>
          <t>软件使用费</t>
        </is>
      </c>
      <c r="E86" s="6" t="inlineStr">
        <is>
          <t>Q1401</t>
        </is>
      </c>
      <c r="F86" s="89">
        <f>-SUMIFS('1月数据源'!I:I,'1月数据源'!D:D,E86,'1月数据源'!F:F,"杭州目标准科技有限公司")+SUMIFS('1月数据源'!J:J,'1月数据源'!D:D,E86,'1月数据源'!F:F,"杭州目标准科技有限公司")</f>
        <v/>
      </c>
      <c r="G86" s="89">
        <f>-SUMIFS('2月数据源'!$I:$I,'2月数据源'!$D:$D,$E86,'2月数据源'!$F:$F,"杭州目标准科技有限公司")+SUMIFS('2月数据源'!$J:$J,'2月数据源'!$D:$D,$E86,'2月数据源'!$F:$F,"杭州目标准科技有限公司")</f>
        <v/>
      </c>
      <c r="H86" s="89">
        <f>-SUMIFS('3月数据源'!$I:$I,'3月数据源'!$D:$D,$E86,'3月数据源'!$F:$F,"杭州目标准科技有限公司")+SUMIFS('3月数据源'!$J:$J,'3月数据源'!$D:$D,$E86,'3月数据源'!$F:$F,"杭州目标准科技有限公司")</f>
        <v/>
      </c>
      <c r="I86" s="89">
        <f>-SUMIFS('4月数据源'!$I:$I,'4月数据源'!$D:$D,$E86,'4月数据源'!$F:$F,"杭州目标准科技有限公司")+SUMIFS('4月数据源'!$J:$J,'4月数据源'!$D:$D,$E86,'4月数据源'!$F:$F,"杭州目标准科技有限公司")</f>
        <v/>
      </c>
      <c r="J86" s="89">
        <f>-SUMIFS('5月数据源'!$I:$I,'5月数据源'!$D:$D,$E86,'5月数据源'!$F:$F,"杭州目标准科技有限公司")+SUMIFS('5月数据源'!$J:$J,'5月数据源'!$D:$D,$E86,'5月数据源'!$F:$F,"杭州目标准科技有限公司")</f>
        <v/>
      </c>
      <c r="K86" s="89">
        <f>-SUMIFS('6月数据源'!$I:$I,'6月数据源'!$D:$D,$E86,'6月数据源'!$F:$F,"杭州目标准科技有限公司")+SUMIFS('6月数据源'!$J:$J,'6月数据源'!$D:$D,$E86,'6月数据源'!$F:$F,"杭州目标准科技有限公司")</f>
        <v/>
      </c>
      <c r="L86" s="89">
        <f>-SUMIFS('7月数据源'!$I:$I,'7月数据源'!$D:$D,$E86,'7月数据源'!$F:$F,"杭州目标准科技有限公司")+SUMIFS('7月数据源'!$J:$J,'7月数据源'!$D:$D,$E86,'7月数据源'!$F:$F,"杭州目标准科技有限公司")</f>
        <v/>
      </c>
      <c r="M86" s="89">
        <f>-SUMIFS('8月数据源'!$I:$I,'8月数据源'!$D:$D,$E86,'8月数据源'!$F:$F,"杭州目标准科技有限公司")+SUMIFS('8月数据源'!$J:$J,'8月数据源'!$D:$D,$E86,'8月数据源'!$F:$F,"杭州目标准科技有限公司")</f>
        <v/>
      </c>
      <c r="N86" s="89">
        <f>-SUMIFS('9月数据源'!$I:$I,'9月数据源'!$D:$D,$E86,'9月数据源'!$F:$F,"杭州目标准科技有限公司")+SUMIFS('9月数据源'!$J:$J,'9月数据源'!$D:$D,$E86,'9月数据源'!$F:$F,"杭州目标准科技有限公司")</f>
        <v/>
      </c>
      <c r="O86" s="89">
        <f>-SUMIFS('10月数据源'!$I:$I,'10月数据源'!$D:$D,$E86,'10月数据源'!$F:$F,"杭州目标准科技有限公司")+SUMIFS('10月数据源'!$J:$J,'10月数据源'!$D:$D,$E86,'10月数据源'!$F:$F,"杭州目标准科技有限公司")</f>
        <v/>
      </c>
      <c r="P86" s="89">
        <f>-SUMIFS('11月数据源'!$I:$I,'11月数据源'!$D:$D,$E86,'11月数据源'!$F:$F,"杭州目标准科技有限公司")+SUMIFS('11月数据源'!$J:$J,'11月数据源'!$D:$D,$E86,'11月数据源'!$F:$F,"杭州目标准科技有限公司")</f>
        <v/>
      </c>
      <c r="Q86" s="89">
        <f>-SUMIFS('12月数据源'!$I:$I,'12月数据源'!$D:$D,$E86,'12月数据源'!$F:$F,"杭州目标准科技有限公司")+SUMIFS('12月数据源'!$J:$J,'12月数据源'!$D:$D,$E86,'12月数据源'!$F:$F,"杭州目标准科技有限公司")</f>
        <v/>
      </c>
    </row>
    <row r="87" s="83">
      <c r="A87" s="5" t="inlineStr">
        <is>
          <t>研发支出</t>
        </is>
      </c>
      <c r="B87" s="6" t="inlineStr">
        <is>
          <t>服务器算法充值</t>
        </is>
      </c>
      <c r="C87" s="6" t="inlineStr">
        <is>
          <t>服务器算法充值</t>
        </is>
      </c>
      <c r="D87" s="5" t="inlineStr">
        <is>
          <t>阿里云充值费用</t>
        </is>
      </c>
      <c r="E87" s="6" t="inlineStr">
        <is>
          <t>Q1501</t>
        </is>
      </c>
      <c r="F87" s="89">
        <f>-SUMIFS('1月数据源'!I:I,'1月数据源'!D:D,E87,'1月数据源'!F:F,"杭州目标准科技有限公司")+SUMIFS('1月数据源'!J:J,'1月数据源'!D:D,E87,'1月数据源'!F:F,"杭州目标准科技有限公司")</f>
        <v/>
      </c>
      <c r="G87" s="89">
        <f>-SUMIFS('2月数据源'!$I:$I,'2月数据源'!$D:$D,$E87,'2月数据源'!$F:$F,"杭州目标准科技有限公司")+SUMIFS('2月数据源'!$J:$J,'2月数据源'!$D:$D,$E87,'2月数据源'!$F:$F,"杭州目标准科技有限公司")</f>
        <v/>
      </c>
      <c r="H87" s="89">
        <f>-SUMIFS('3月数据源'!$I:$I,'3月数据源'!$D:$D,$E87,'3月数据源'!$F:$F,"杭州目标准科技有限公司")+SUMIFS('3月数据源'!$J:$J,'3月数据源'!$D:$D,$E87,'3月数据源'!$F:$F,"杭州目标准科技有限公司")</f>
        <v/>
      </c>
      <c r="I87" s="89">
        <f>-SUMIFS('4月数据源'!$I:$I,'4月数据源'!$D:$D,$E87,'4月数据源'!$F:$F,"杭州目标准科技有限公司")+SUMIFS('4月数据源'!$J:$J,'4月数据源'!$D:$D,$E87,'4月数据源'!$F:$F,"杭州目标准科技有限公司")</f>
        <v/>
      </c>
      <c r="J87" s="89">
        <f>-SUMIFS('5月数据源'!$I:$I,'5月数据源'!$D:$D,$E87,'5月数据源'!$F:$F,"杭州目标准科技有限公司")+SUMIFS('5月数据源'!$J:$J,'5月数据源'!$D:$D,$E87,'5月数据源'!$F:$F,"杭州目标准科技有限公司")</f>
        <v/>
      </c>
      <c r="K87" s="89">
        <f>-SUMIFS('6月数据源'!$I:$I,'6月数据源'!$D:$D,$E87,'6月数据源'!$F:$F,"杭州目标准科技有限公司")+SUMIFS('6月数据源'!$J:$J,'6月数据源'!$D:$D,$E87,'6月数据源'!$F:$F,"杭州目标准科技有限公司")</f>
        <v/>
      </c>
      <c r="L87" s="89">
        <f>-SUMIFS('7月数据源'!$I:$I,'7月数据源'!$D:$D,$E87,'7月数据源'!$F:$F,"杭州目标准科技有限公司")+SUMIFS('7月数据源'!$J:$J,'7月数据源'!$D:$D,$E87,'7月数据源'!$F:$F,"杭州目标准科技有限公司")</f>
        <v/>
      </c>
      <c r="M87" s="89">
        <f>-SUMIFS('8月数据源'!$I:$I,'8月数据源'!$D:$D,$E87,'8月数据源'!$F:$F,"杭州目标准科技有限公司")+SUMIFS('8月数据源'!$J:$J,'8月数据源'!$D:$D,$E87,'8月数据源'!$F:$F,"杭州目标准科技有限公司")</f>
        <v/>
      </c>
      <c r="N87" s="89">
        <f>-SUMIFS('9月数据源'!$I:$I,'9月数据源'!$D:$D,$E87,'9月数据源'!$F:$F,"杭州目标准科技有限公司")+SUMIFS('9月数据源'!$J:$J,'9月数据源'!$D:$D,$E87,'9月数据源'!$F:$F,"杭州目标准科技有限公司")</f>
        <v/>
      </c>
      <c r="O87" s="89">
        <f>-SUMIFS('10月数据源'!$I:$I,'10月数据源'!$D:$D,$E87,'10月数据源'!$F:$F,"杭州目标准科技有限公司")+SUMIFS('10月数据源'!$J:$J,'10月数据源'!$D:$D,$E87,'10月数据源'!$F:$F,"杭州目标准科技有限公司")</f>
        <v/>
      </c>
      <c r="P87" s="89">
        <f>-SUMIFS('11月数据源'!$I:$I,'11月数据源'!$D:$D,$E87,'11月数据源'!$F:$F,"杭州目标准科技有限公司")+SUMIFS('11月数据源'!$J:$J,'11月数据源'!$D:$D,$E87,'11月数据源'!$F:$F,"杭州目标准科技有限公司")</f>
        <v/>
      </c>
      <c r="Q87" s="89">
        <f>-SUMIFS('12月数据源'!$I:$I,'12月数据源'!$D:$D,$E87,'12月数据源'!$F:$F,"杭州目标准科技有限公司")+SUMIFS('12月数据源'!$J:$J,'12月数据源'!$D:$D,$E87,'12月数据源'!$F:$F,"杭州目标准科技有限公司")</f>
        <v/>
      </c>
    </row>
    <row r="88" s="83">
      <c r="A88" s="5" t="inlineStr">
        <is>
          <t>研发支出</t>
        </is>
      </c>
      <c r="B88" s="6" t="inlineStr">
        <is>
          <t>服务器算法充值</t>
        </is>
      </c>
      <c r="D88" s="5" t="inlineStr">
        <is>
          <t>微软充值费用</t>
        </is>
      </c>
      <c r="E88" s="6" t="inlineStr">
        <is>
          <t>Q1502</t>
        </is>
      </c>
      <c r="F88" s="89">
        <f>-SUMIFS('1月数据源'!I:I,'1月数据源'!D:D,E88,'1月数据源'!F:F,"杭州目标准科技有限公司")+SUMIFS('1月数据源'!J:J,'1月数据源'!D:D,E88,'1月数据源'!F:F,"杭州目标准科技有限公司")</f>
        <v/>
      </c>
      <c r="G88" s="89">
        <f>-SUMIFS('2月数据源'!$I:$I,'2月数据源'!$D:$D,$E88,'2月数据源'!$F:$F,"杭州目标准科技有限公司")+SUMIFS('2月数据源'!$J:$J,'2月数据源'!$D:$D,$E88,'2月数据源'!$F:$F,"杭州目标准科技有限公司")</f>
        <v/>
      </c>
      <c r="H88" s="89">
        <f>-SUMIFS('3月数据源'!$I:$I,'3月数据源'!$D:$D,$E88,'3月数据源'!$F:$F,"杭州目标准科技有限公司")+SUMIFS('3月数据源'!$J:$J,'3月数据源'!$D:$D,$E88,'3月数据源'!$F:$F,"杭州目标准科技有限公司")</f>
        <v/>
      </c>
      <c r="I88" s="89">
        <f>-SUMIFS('4月数据源'!$I:$I,'4月数据源'!$D:$D,$E88,'4月数据源'!$F:$F,"杭州目标准科技有限公司")+SUMIFS('4月数据源'!$J:$J,'4月数据源'!$D:$D,$E88,'4月数据源'!$F:$F,"杭州目标准科技有限公司")</f>
        <v/>
      </c>
      <c r="J88" s="89">
        <f>-SUMIFS('5月数据源'!$I:$I,'5月数据源'!$D:$D,$E88,'5月数据源'!$F:$F,"杭州目标准科技有限公司")+SUMIFS('5月数据源'!$J:$J,'5月数据源'!$D:$D,$E88,'5月数据源'!$F:$F,"杭州目标准科技有限公司")</f>
        <v/>
      </c>
      <c r="K88" s="89">
        <f>-SUMIFS('6月数据源'!$I:$I,'6月数据源'!$D:$D,$E88,'6月数据源'!$F:$F,"杭州目标准科技有限公司")+SUMIFS('6月数据源'!$J:$J,'6月数据源'!$D:$D,$E88,'6月数据源'!$F:$F,"杭州目标准科技有限公司")</f>
        <v/>
      </c>
      <c r="L88" s="89">
        <f>-SUMIFS('7月数据源'!$I:$I,'7月数据源'!$D:$D,$E88,'7月数据源'!$F:$F,"杭州目标准科技有限公司")+SUMIFS('7月数据源'!$J:$J,'7月数据源'!$D:$D,$E88,'7月数据源'!$F:$F,"杭州目标准科技有限公司")</f>
        <v/>
      </c>
      <c r="M88" s="89">
        <f>-SUMIFS('8月数据源'!$I:$I,'8月数据源'!$D:$D,$E88,'8月数据源'!$F:$F,"杭州目标准科技有限公司")+SUMIFS('8月数据源'!$J:$J,'8月数据源'!$D:$D,$E88,'8月数据源'!$F:$F,"杭州目标准科技有限公司")</f>
        <v/>
      </c>
      <c r="N88" s="89">
        <f>-SUMIFS('9月数据源'!$I:$I,'9月数据源'!$D:$D,$E88,'9月数据源'!$F:$F,"杭州目标准科技有限公司")+SUMIFS('9月数据源'!$J:$J,'9月数据源'!$D:$D,$E88,'9月数据源'!$F:$F,"杭州目标准科技有限公司")</f>
        <v/>
      </c>
      <c r="O88" s="89">
        <f>-SUMIFS('10月数据源'!$I:$I,'10月数据源'!$D:$D,$E88,'10月数据源'!$F:$F,"杭州目标准科技有限公司")+SUMIFS('10月数据源'!$J:$J,'10月数据源'!$D:$D,$E88,'10月数据源'!$F:$F,"杭州目标准科技有限公司")</f>
        <v/>
      </c>
      <c r="P88" s="89">
        <f>-SUMIFS('11月数据源'!$I:$I,'11月数据源'!$D:$D,$E88,'11月数据源'!$F:$F,"杭州目标准科技有限公司")+SUMIFS('11月数据源'!$J:$J,'11月数据源'!$D:$D,$E88,'11月数据源'!$F:$F,"杭州目标准科技有限公司")</f>
        <v/>
      </c>
      <c r="Q88" s="89">
        <f>-SUMIFS('12月数据源'!$I:$I,'12月数据源'!$D:$D,$E88,'12月数据源'!$F:$F,"杭州目标准科技有限公司")+SUMIFS('12月数据源'!$J:$J,'12月数据源'!$D:$D,$E88,'12月数据源'!$F:$F,"杭州目标准科技有限公司")</f>
        <v/>
      </c>
    </row>
    <row r="89" s="83">
      <c r="A89" s="5" t="inlineStr">
        <is>
          <t>研发支出</t>
        </is>
      </c>
      <c r="B89" s="6" t="inlineStr">
        <is>
          <t>服务器算法充值</t>
        </is>
      </c>
      <c r="D89" s="5" t="inlineStr">
        <is>
          <t>kimi充值费用</t>
        </is>
      </c>
      <c r="E89" s="6" t="inlineStr">
        <is>
          <t>Q1503</t>
        </is>
      </c>
      <c r="F89" s="89">
        <f>-SUMIFS('1月数据源'!I:I,'1月数据源'!D:D,E89,'1月数据源'!F:F,"杭州目标准科技有限公司")+SUMIFS('1月数据源'!J:J,'1月数据源'!D:D,E89,'1月数据源'!F:F,"杭州目标准科技有限公司")</f>
        <v/>
      </c>
      <c r="G89" s="89">
        <f>-SUMIFS('2月数据源'!$I:$I,'2月数据源'!$D:$D,$E89,'2月数据源'!$F:$F,"杭州目标准科技有限公司")+SUMIFS('2月数据源'!$J:$J,'2月数据源'!$D:$D,$E89,'2月数据源'!$F:$F,"杭州目标准科技有限公司")</f>
        <v/>
      </c>
      <c r="H89" s="89">
        <f>-SUMIFS('3月数据源'!$I:$I,'3月数据源'!$D:$D,$E89,'3月数据源'!$F:$F,"杭州目标准科技有限公司")+SUMIFS('3月数据源'!$J:$J,'3月数据源'!$D:$D,$E89,'3月数据源'!$F:$F,"杭州目标准科技有限公司")</f>
        <v/>
      </c>
      <c r="I89" s="89">
        <f>-SUMIFS('4月数据源'!$I:$I,'4月数据源'!$D:$D,$E89,'4月数据源'!$F:$F,"杭州目标准科技有限公司")+SUMIFS('4月数据源'!$J:$J,'4月数据源'!$D:$D,$E89,'4月数据源'!$F:$F,"杭州目标准科技有限公司")</f>
        <v/>
      </c>
      <c r="J89" s="89">
        <f>-SUMIFS('5月数据源'!$I:$I,'5月数据源'!$D:$D,$E89,'5月数据源'!$F:$F,"杭州目标准科技有限公司")+SUMIFS('5月数据源'!$J:$J,'5月数据源'!$D:$D,$E89,'5月数据源'!$F:$F,"杭州目标准科技有限公司")</f>
        <v/>
      </c>
      <c r="K89" s="89">
        <f>-SUMIFS('6月数据源'!$I:$I,'6月数据源'!$D:$D,$E89,'6月数据源'!$F:$F,"杭州目标准科技有限公司")+SUMIFS('6月数据源'!$J:$J,'6月数据源'!$D:$D,$E89,'6月数据源'!$F:$F,"杭州目标准科技有限公司")</f>
        <v/>
      </c>
      <c r="L89" s="89">
        <f>-SUMIFS('7月数据源'!$I:$I,'7月数据源'!$D:$D,$E89,'7月数据源'!$F:$F,"杭州目标准科技有限公司")+SUMIFS('7月数据源'!$J:$J,'7月数据源'!$D:$D,$E89,'7月数据源'!$F:$F,"杭州目标准科技有限公司")</f>
        <v/>
      </c>
      <c r="M89" s="89">
        <f>-SUMIFS('8月数据源'!$I:$I,'8月数据源'!$D:$D,$E89,'8月数据源'!$F:$F,"杭州目标准科技有限公司")+SUMIFS('8月数据源'!$J:$J,'8月数据源'!$D:$D,$E89,'8月数据源'!$F:$F,"杭州目标准科技有限公司")</f>
        <v/>
      </c>
      <c r="N89" s="89">
        <f>-SUMIFS('9月数据源'!$I:$I,'9月数据源'!$D:$D,$E89,'9月数据源'!$F:$F,"杭州目标准科技有限公司")+SUMIFS('9月数据源'!$J:$J,'9月数据源'!$D:$D,$E89,'9月数据源'!$F:$F,"杭州目标准科技有限公司")</f>
        <v/>
      </c>
      <c r="O89" s="89">
        <f>-SUMIFS('10月数据源'!$I:$I,'10月数据源'!$D:$D,$E89,'10月数据源'!$F:$F,"杭州目标准科技有限公司")+SUMIFS('10月数据源'!$J:$J,'10月数据源'!$D:$D,$E89,'10月数据源'!$F:$F,"杭州目标准科技有限公司")</f>
        <v/>
      </c>
      <c r="P89" s="89">
        <f>-SUMIFS('11月数据源'!$I:$I,'11月数据源'!$D:$D,$E89,'11月数据源'!$F:$F,"杭州目标准科技有限公司")+SUMIFS('11月数据源'!$J:$J,'11月数据源'!$D:$D,$E89,'11月数据源'!$F:$F,"杭州目标准科技有限公司")</f>
        <v/>
      </c>
      <c r="Q89" s="89">
        <f>-SUMIFS('12月数据源'!$I:$I,'12月数据源'!$D:$D,$E89,'12月数据源'!$F:$F,"杭州目标准科技有限公司")+SUMIFS('12月数据源'!$J:$J,'12月数据源'!$D:$D,$E89,'12月数据源'!$F:$F,"杭州目标准科技有限公司")</f>
        <v/>
      </c>
    </row>
    <row r="90" s="83">
      <c r="A90" s="5" t="inlineStr">
        <is>
          <t>研发支出</t>
        </is>
      </c>
      <c r="B90" s="6" t="inlineStr">
        <is>
          <t>服务器算法充值</t>
        </is>
      </c>
      <c r="D90" s="5" t="inlineStr">
        <is>
          <t>智普AI充值费用</t>
        </is>
      </c>
      <c r="E90" s="6" t="inlineStr">
        <is>
          <t>Q1504</t>
        </is>
      </c>
      <c r="F90" s="89">
        <f>-SUMIFS('1月数据源'!I:I,'1月数据源'!D:D,E90,'1月数据源'!F:F,"杭州目标准科技有限公司")+SUMIFS('1月数据源'!J:J,'1月数据源'!D:D,E90,'1月数据源'!F:F,"杭州目标准科技有限公司")</f>
        <v/>
      </c>
      <c r="G90" s="89">
        <f>-SUMIFS('2月数据源'!$I:$I,'2月数据源'!$D:$D,$E90,'2月数据源'!$F:$F,"杭州目标准科技有限公司")+SUMIFS('2月数据源'!$J:$J,'2月数据源'!$D:$D,$E90,'2月数据源'!$F:$F,"杭州目标准科技有限公司")</f>
        <v/>
      </c>
      <c r="H90" s="89">
        <f>-SUMIFS('3月数据源'!$I:$I,'3月数据源'!$D:$D,$E90,'3月数据源'!$F:$F,"杭州目标准科技有限公司")+SUMIFS('3月数据源'!$J:$J,'3月数据源'!$D:$D,$E90,'3月数据源'!$F:$F,"杭州目标准科技有限公司")</f>
        <v/>
      </c>
      <c r="I90" s="89">
        <f>-SUMIFS('4月数据源'!$I:$I,'4月数据源'!$D:$D,$E90,'4月数据源'!$F:$F,"杭州目标准科技有限公司")+SUMIFS('4月数据源'!$J:$J,'4月数据源'!$D:$D,$E90,'4月数据源'!$F:$F,"杭州目标准科技有限公司")</f>
        <v/>
      </c>
      <c r="J90" s="89">
        <f>-SUMIFS('5月数据源'!$I:$I,'5月数据源'!$D:$D,$E90,'5月数据源'!$F:$F,"杭州目标准科技有限公司")+SUMIFS('5月数据源'!$J:$J,'5月数据源'!$D:$D,$E90,'5月数据源'!$F:$F,"杭州目标准科技有限公司")</f>
        <v/>
      </c>
      <c r="K90" s="89">
        <f>-SUMIFS('6月数据源'!$I:$I,'6月数据源'!$D:$D,$E90,'6月数据源'!$F:$F,"杭州目标准科技有限公司")+SUMIFS('6月数据源'!$J:$J,'6月数据源'!$D:$D,$E90,'6月数据源'!$F:$F,"杭州目标准科技有限公司")</f>
        <v/>
      </c>
      <c r="L90" s="89">
        <f>-SUMIFS('7月数据源'!$I:$I,'7月数据源'!$D:$D,$E90,'7月数据源'!$F:$F,"杭州目标准科技有限公司")+SUMIFS('7月数据源'!$J:$J,'7月数据源'!$D:$D,$E90,'7月数据源'!$F:$F,"杭州目标准科技有限公司")</f>
        <v/>
      </c>
      <c r="M90" s="89">
        <f>-SUMIFS('8月数据源'!$I:$I,'8月数据源'!$D:$D,$E90,'8月数据源'!$F:$F,"杭州目标准科技有限公司")+SUMIFS('8月数据源'!$J:$J,'8月数据源'!$D:$D,$E90,'8月数据源'!$F:$F,"杭州目标准科技有限公司")</f>
        <v/>
      </c>
      <c r="N90" s="89">
        <f>-SUMIFS('9月数据源'!$I:$I,'9月数据源'!$D:$D,$E90,'9月数据源'!$F:$F,"杭州目标准科技有限公司")+SUMIFS('9月数据源'!$J:$J,'9月数据源'!$D:$D,$E90,'9月数据源'!$F:$F,"杭州目标准科技有限公司")</f>
        <v/>
      </c>
      <c r="O90" s="89">
        <f>-SUMIFS('10月数据源'!$I:$I,'10月数据源'!$D:$D,$E90,'10月数据源'!$F:$F,"杭州目标准科技有限公司")+SUMIFS('10月数据源'!$J:$J,'10月数据源'!$D:$D,$E90,'10月数据源'!$F:$F,"杭州目标准科技有限公司")</f>
        <v/>
      </c>
      <c r="P90" s="89">
        <f>-SUMIFS('11月数据源'!$I:$I,'11月数据源'!$D:$D,$E90,'11月数据源'!$F:$F,"杭州目标准科技有限公司")+SUMIFS('11月数据源'!$J:$J,'11月数据源'!$D:$D,$E90,'11月数据源'!$F:$F,"杭州目标准科技有限公司")</f>
        <v/>
      </c>
      <c r="Q90" s="89">
        <f>-SUMIFS('12月数据源'!$I:$I,'12月数据源'!$D:$D,$E90,'12月数据源'!$F:$F,"杭州目标准科技有限公司")+SUMIFS('12月数据源'!$J:$J,'12月数据源'!$D:$D,$E90,'12月数据源'!$F:$F,"杭州目标准科技有限公司")</f>
        <v/>
      </c>
    </row>
    <row r="91" s="83">
      <c r="A91" s="5" t="inlineStr">
        <is>
          <t>研发支出</t>
        </is>
      </c>
      <c r="B91" s="6" t="inlineStr">
        <is>
          <t>服务器算法充值</t>
        </is>
      </c>
      <c r="D91" s="5" t="inlineStr">
        <is>
          <t>硅基流动充值费用</t>
        </is>
      </c>
      <c r="E91" s="6" t="inlineStr">
        <is>
          <t>Q1506</t>
        </is>
      </c>
      <c r="F91" s="89">
        <f>-SUMIFS('1月数据源'!I:I,'1月数据源'!D:D,E91,'1月数据源'!F:F,"杭州目标准科技有限公司")+SUMIFS('1月数据源'!J:J,'1月数据源'!D:D,E91,'1月数据源'!F:F,"杭州目标准科技有限公司")</f>
        <v/>
      </c>
      <c r="G91" s="89">
        <f>-SUMIFS('2月数据源'!$I:$I,'2月数据源'!$D:$D,$E91,'2月数据源'!$F:$F,"杭州目标准科技有限公司")+SUMIFS('2月数据源'!$J:$J,'2月数据源'!$D:$D,$E91,'2月数据源'!$F:$F,"杭州目标准科技有限公司")</f>
        <v/>
      </c>
      <c r="H91" s="89">
        <f>-SUMIFS('3月数据源'!$I:$I,'3月数据源'!$D:$D,$E91,'3月数据源'!$F:$F,"杭州目标准科技有限公司")+SUMIFS('3月数据源'!$J:$J,'3月数据源'!$D:$D,$E91,'3月数据源'!$F:$F,"杭州目标准科技有限公司")</f>
        <v/>
      </c>
      <c r="I91" s="89">
        <f>-SUMIFS('4月数据源'!$I:$I,'4月数据源'!$D:$D,$E91,'4月数据源'!$F:$F,"杭州目标准科技有限公司")+SUMIFS('4月数据源'!$J:$J,'4月数据源'!$D:$D,$E91,'4月数据源'!$F:$F,"杭州目标准科技有限公司")</f>
        <v/>
      </c>
      <c r="J91" s="89">
        <f>-SUMIFS('5月数据源'!$I:$I,'5月数据源'!$D:$D,$E91,'5月数据源'!$F:$F,"杭州目标准科技有限公司")+SUMIFS('5月数据源'!$J:$J,'5月数据源'!$D:$D,$E91,'5月数据源'!$F:$F,"杭州目标准科技有限公司")</f>
        <v/>
      </c>
      <c r="K91" s="89">
        <f>-SUMIFS('6月数据源'!$I:$I,'6月数据源'!$D:$D,$E91,'6月数据源'!$F:$F,"杭州目标准科技有限公司")+SUMIFS('6月数据源'!$J:$J,'6月数据源'!$D:$D,$E91,'6月数据源'!$F:$F,"杭州目标准科技有限公司")</f>
        <v/>
      </c>
      <c r="L91" s="89">
        <f>-SUMIFS('7月数据源'!$I:$I,'7月数据源'!$D:$D,$E91,'7月数据源'!$F:$F,"杭州目标准科技有限公司")+SUMIFS('7月数据源'!$J:$J,'7月数据源'!$D:$D,$E91,'7月数据源'!$F:$F,"杭州目标准科技有限公司")</f>
        <v/>
      </c>
      <c r="M91" s="89">
        <f>-SUMIFS('8月数据源'!$I:$I,'8月数据源'!$D:$D,$E91,'8月数据源'!$F:$F,"杭州目标准科技有限公司")+SUMIFS('8月数据源'!$J:$J,'8月数据源'!$D:$D,$E91,'8月数据源'!$F:$F,"杭州目标准科技有限公司")</f>
        <v/>
      </c>
      <c r="N91" s="89">
        <f>-SUMIFS('9月数据源'!$I:$I,'9月数据源'!$D:$D,$E91,'9月数据源'!$F:$F,"杭州目标准科技有限公司")+SUMIFS('9月数据源'!$J:$J,'9月数据源'!$D:$D,$E91,'9月数据源'!$F:$F,"杭州目标准科技有限公司")</f>
        <v/>
      </c>
      <c r="O91" s="89">
        <f>-SUMIFS('10月数据源'!$I:$I,'10月数据源'!$D:$D,$E91,'10月数据源'!$F:$F,"杭州目标准科技有限公司")+SUMIFS('10月数据源'!$J:$J,'10月数据源'!$D:$D,$E91,'10月数据源'!$F:$F,"杭州目标准科技有限公司")</f>
        <v/>
      </c>
      <c r="P91" s="89">
        <f>-SUMIFS('11月数据源'!$I:$I,'11月数据源'!$D:$D,$E91,'11月数据源'!$F:$F,"杭州目标准科技有限公司")+SUMIFS('11月数据源'!$J:$J,'11月数据源'!$D:$D,$E91,'11月数据源'!$F:$F,"杭州目标准科技有限公司")</f>
        <v/>
      </c>
      <c r="Q91" s="89">
        <f>-SUMIFS('12月数据源'!$I:$I,'12月数据源'!$D:$D,$E91,'12月数据源'!$F:$F,"杭州目标准科技有限公司")+SUMIFS('12月数据源'!$J:$J,'12月数据源'!$D:$D,$E91,'12月数据源'!$F:$F,"杭州目标准科技有限公司")</f>
        <v/>
      </c>
    </row>
    <row r="92" s="83">
      <c r="A92" s="5" t="inlineStr">
        <is>
          <t>研发支出</t>
        </is>
      </c>
      <c r="B92" s="6" t="inlineStr">
        <is>
          <t>服务器算法充值</t>
        </is>
      </c>
      <c r="D92" s="5" t="inlineStr">
        <is>
          <t>无问芯穹充值费用</t>
        </is>
      </c>
      <c r="E92" s="6" t="inlineStr">
        <is>
          <t>Q1507</t>
        </is>
      </c>
      <c r="F92" s="89">
        <f>-SUMIFS('1月数据源'!I:I,'1月数据源'!D:D,E92,'1月数据源'!F:F,"杭州目标准科技有限公司")+SUMIFS('1月数据源'!J:J,'1月数据源'!D:D,E92,'1月数据源'!F:F,"杭州目标准科技有限公司")</f>
        <v/>
      </c>
      <c r="G92" s="89">
        <f>-SUMIFS('2月数据源'!$I:$I,'2月数据源'!$D:$D,$E92,'2月数据源'!$F:$F,"杭州目标准科技有限公司")+SUMIFS('2月数据源'!$J:$J,'2月数据源'!$D:$D,$E92,'2月数据源'!$F:$F,"杭州目标准科技有限公司")</f>
        <v/>
      </c>
      <c r="H92" s="89">
        <f>-SUMIFS('3月数据源'!$I:$I,'3月数据源'!$D:$D,$E92,'3月数据源'!$F:$F,"杭州目标准科技有限公司")+SUMIFS('3月数据源'!$J:$J,'3月数据源'!$D:$D,$E92,'3月数据源'!$F:$F,"杭州目标准科技有限公司")</f>
        <v/>
      </c>
      <c r="I92" s="89">
        <f>-SUMIFS('4月数据源'!$I:$I,'4月数据源'!$D:$D,$E92,'4月数据源'!$F:$F,"杭州目标准科技有限公司")+SUMIFS('4月数据源'!$J:$J,'4月数据源'!$D:$D,$E92,'4月数据源'!$F:$F,"杭州目标准科技有限公司")</f>
        <v/>
      </c>
      <c r="J92" s="89">
        <f>-SUMIFS('5月数据源'!$I:$I,'5月数据源'!$D:$D,$E92,'5月数据源'!$F:$F,"杭州目标准科技有限公司")+SUMIFS('5月数据源'!$J:$J,'5月数据源'!$D:$D,$E92,'5月数据源'!$F:$F,"杭州目标准科技有限公司")</f>
        <v/>
      </c>
      <c r="K92" s="89">
        <f>-SUMIFS('6月数据源'!$I:$I,'6月数据源'!$D:$D,$E92,'6月数据源'!$F:$F,"杭州目标准科技有限公司")+SUMIFS('6月数据源'!$J:$J,'6月数据源'!$D:$D,$E92,'6月数据源'!$F:$F,"杭州目标准科技有限公司")</f>
        <v/>
      </c>
      <c r="L92" s="89">
        <f>-SUMIFS('7月数据源'!$I:$I,'7月数据源'!$D:$D,$E92,'7月数据源'!$F:$F,"杭州目标准科技有限公司")+SUMIFS('7月数据源'!$J:$J,'7月数据源'!$D:$D,$E92,'7月数据源'!$F:$F,"杭州目标准科技有限公司")</f>
        <v/>
      </c>
      <c r="M92" s="89">
        <f>-SUMIFS('8月数据源'!$I:$I,'8月数据源'!$D:$D,$E92,'8月数据源'!$F:$F,"杭州目标准科技有限公司")+SUMIFS('8月数据源'!$J:$J,'8月数据源'!$D:$D,$E92,'8月数据源'!$F:$F,"杭州目标准科技有限公司")</f>
        <v/>
      </c>
      <c r="N92" s="89">
        <f>-SUMIFS('9月数据源'!$I:$I,'9月数据源'!$D:$D,$E92,'9月数据源'!$F:$F,"杭州目标准科技有限公司")+SUMIFS('9月数据源'!$J:$J,'9月数据源'!$D:$D,$E92,'9月数据源'!$F:$F,"杭州目标准科技有限公司")</f>
        <v/>
      </c>
      <c r="O92" s="89">
        <f>-SUMIFS('10月数据源'!$I:$I,'10月数据源'!$D:$D,$E92,'10月数据源'!$F:$F,"杭州目标准科技有限公司")+SUMIFS('10月数据源'!$J:$J,'10月数据源'!$D:$D,$E92,'10月数据源'!$F:$F,"杭州目标准科技有限公司")</f>
        <v/>
      </c>
      <c r="P92" s="89">
        <f>-SUMIFS('11月数据源'!$I:$I,'11月数据源'!$D:$D,$E92,'11月数据源'!$F:$F,"杭州目标准科技有限公司")+SUMIFS('11月数据源'!$J:$J,'11月数据源'!$D:$D,$E92,'11月数据源'!$F:$F,"杭州目标准科技有限公司")</f>
        <v/>
      </c>
      <c r="Q92" s="89">
        <f>-SUMIFS('12月数据源'!$I:$I,'12月数据源'!$D:$D,$E92,'12月数据源'!$F:$F,"杭州目标准科技有限公司")+SUMIFS('12月数据源'!$J:$J,'12月数据源'!$D:$D,$E92,'12月数据源'!$F:$F,"杭州目标准科技有限公司")</f>
        <v/>
      </c>
    </row>
    <row r="93" s="83">
      <c r="A93" s="5" t="inlineStr">
        <is>
          <t>研发支出</t>
        </is>
      </c>
      <c r="B93" s="6" t="inlineStr">
        <is>
          <t>服务器算法充值</t>
        </is>
      </c>
      <c r="D93" s="5" t="inlineStr">
        <is>
          <t>其他服务器算法充值</t>
        </is>
      </c>
      <c r="E93" s="6" t="inlineStr">
        <is>
          <t>Q1505</t>
        </is>
      </c>
      <c r="F93" s="89">
        <f>-SUMIFS('1月数据源'!I:I,'1月数据源'!D:D,E93,'1月数据源'!F:F,"杭州目标准科技有限公司")+SUMIFS('1月数据源'!J:J,'1月数据源'!D:D,E93,'1月数据源'!F:F,"杭州目标准科技有限公司")</f>
        <v/>
      </c>
      <c r="G93" s="89">
        <f>-SUMIFS('2月数据源'!$I:$I,'2月数据源'!$D:$D,$E93,'2月数据源'!$F:$F,"杭州目标准科技有限公司")+SUMIFS('2月数据源'!$J:$J,'2月数据源'!$D:$D,$E93,'2月数据源'!$F:$F,"杭州目标准科技有限公司")</f>
        <v/>
      </c>
      <c r="H93" s="89">
        <f>-SUMIFS('3月数据源'!$I:$I,'3月数据源'!$D:$D,$E93,'3月数据源'!$F:$F,"杭州目标准科技有限公司")+SUMIFS('3月数据源'!$J:$J,'3月数据源'!$D:$D,$E93,'3月数据源'!$F:$F,"杭州目标准科技有限公司")</f>
        <v/>
      </c>
      <c r="I93" s="89">
        <f>-SUMIFS('4月数据源'!$I:$I,'4月数据源'!$D:$D,$E93,'4月数据源'!$F:$F,"杭州目标准科技有限公司")+SUMIFS('4月数据源'!$J:$J,'4月数据源'!$D:$D,$E93,'4月数据源'!$F:$F,"杭州目标准科技有限公司")</f>
        <v/>
      </c>
      <c r="J93" s="89">
        <f>-SUMIFS('5月数据源'!$I:$I,'5月数据源'!$D:$D,$E93,'5月数据源'!$F:$F,"杭州目标准科技有限公司")+SUMIFS('5月数据源'!$J:$J,'5月数据源'!$D:$D,$E93,'5月数据源'!$F:$F,"杭州目标准科技有限公司")</f>
        <v/>
      </c>
      <c r="K93" s="89">
        <f>-SUMIFS('6月数据源'!$I:$I,'6月数据源'!$D:$D,$E93,'6月数据源'!$F:$F,"杭州目标准科技有限公司")+SUMIFS('6月数据源'!$J:$J,'6月数据源'!$D:$D,$E93,'6月数据源'!$F:$F,"杭州目标准科技有限公司")</f>
        <v/>
      </c>
      <c r="L93" s="89">
        <f>-SUMIFS('7月数据源'!$I:$I,'7月数据源'!$D:$D,$E93,'7月数据源'!$F:$F,"杭州目标准科技有限公司")+SUMIFS('7月数据源'!$J:$J,'7月数据源'!$D:$D,$E93,'7月数据源'!$F:$F,"杭州目标准科技有限公司")</f>
        <v/>
      </c>
      <c r="M93" s="89">
        <f>-SUMIFS('8月数据源'!$I:$I,'8月数据源'!$D:$D,$E93,'8月数据源'!$F:$F,"杭州目标准科技有限公司")+SUMIFS('8月数据源'!$J:$J,'8月数据源'!$D:$D,$E93,'8月数据源'!$F:$F,"杭州目标准科技有限公司")</f>
        <v/>
      </c>
      <c r="N93" s="89">
        <f>-SUMIFS('9月数据源'!$I:$I,'9月数据源'!$D:$D,$E93,'9月数据源'!$F:$F,"杭州目标准科技有限公司")+SUMIFS('9月数据源'!$J:$J,'9月数据源'!$D:$D,$E93,'9月数据源'!$F:$F,"杭州目标准科技有限公司")</f>
        <v/>
      </c>
      <c r="O93" s="89">
        <f>-SUMIFS('10月数据源'!$I:$I,'10月数据源'!$D:$D,$E93,'10月数据源'!$F:$F,"杭州目标准科技有限公司")+SUMIFS('10月数据源'!$J:$J,'10月数据源'!$D:$D,$E93,'10月数据源'!$F:$F,"杭州目标准科技有限公司")</f>
        <v/>
      </c>
      <c r="P93" s="89">
        <f>-SUMIFS('11月数据源'!$I:$I,'11月数据源'!$D:$D,$E93,'11月数据源'!$F:$F,"杭州目标准科技有限公司")+SUMIFS('11月数据源'!$J:$J,'11月数据源'!$D:$D,$E93,'11月数据源'!$F:$F,"杭州目标准科技有限公司")</f>
        <v/>
      </c>
      <c r="Q93" s="89">
        <f>-SUMIFS('12月数据源'!$I:$I,'12月数据源'!$D:$D,$E93,'12月数据源'!$F:$F,"杭州目标准科技有限公司")+SUMIFS('12月数据源'!$J:$J,'12月数据源'!$D:$D,$E93,'12月数据源'!$F:$F,"杭州目标准科技有限公司")</f>
        <v/>
      </c>
    </row>
    <row r="94" s="83">
      <c r="A94" s="5" t="inlineStr">
        <is>
          <t>研发支出</t>
        </is>
      </c>
      <c r="B94" s="6" t="inlineStr">
        <is>
          <t>研发-服务费</t>
        </is>
      </c>
      <c r="C94" s="6" t="inlineStr">
        <is>
          <t>研发-服务费</t>
        </is>
      </c>
      <c r="D94" s="5" t="inlineStr">
        <is>
          <t>设计外包服务费</t>
        </is>
      </c>
      <c r="E94" s="6" t="inlineStr">
        <is>
          <t>Q1601</t>
        </is>
      </c>
      <c r="F94" s="89">
        <f>-SUMIFS('1月数据源'!I:I,'1月数据源'!D:D,E94,'1月数据源'!F:F,"杭州目标准科技有限公司")+SUMIFS('1月数据源'!J:J,'1月数据源'!D:D,E94,'1月数据源'!F:F,"杭州目标准科技有限公司")</f>
        <v/>
      </c>
      <c r="G94" s="89">
        <f>-SUMIFS('2月数据源'!$I:$I,'2月数据源'!$D:$D,$E94,'2月数据源'!$F:$F,"杭州目标准科技有限公司")+SUMIFS('2月数据源'!$J:$J,'2月数据源'!$D:$D,$E94,'2月数据源'!$F:$F,"杭州目标准科技有限公司")</f>
        <v/>
      </c>
      <c r="H94" s="89">
        <f>-SUMIFS('3月数据源'!$I:$I,'3月数据源'!$D:$D,$E94,'3月数据源'!$F:$F,"杭州目标准科技有限公司")+SUMIFS('3月数据源'!$J:$J,'3月数据源'!$D:$D,$E94,'3月数据源'!$F:$F,"杭州目标准科技有限公司")</f>
        <v/>
      </c>
      <c r="I94" s="89">
        <f>-SUMIFS('4月数据源'!$I:$I,'4月数据源'!$D:$D,$E94,'4月数据源'!$F:$F,"杭州目标准科技有限公司")+SUMIFS('4月数据源'!$J:$J,'4月数据源'!$D:$D,$E94,'4月数据源'!$F:$F,"杭州目标准科技有限公司")</f>
        <v/>
      </c>
      <c r="J94" s="89">
        <f>-SUMIFS('5月数据源'!$I:$I,'5月数据源'!$D:$D,$E94,'5月数据源'!$F:$F,"杭州目标准科技有限公司")+SUMIFS('5月数据源'!$J:$J,'5月数据源'!$D:$D,$E94,'5月数据源'!$F:$F,"杭州目标准科技有限公司")</f>
        <v/>
      </c>
      <c r="K94" s="89">
        <f>-SUMIFS('6月数据源'!$I:$I,'6月数据源'!$D:$D,$E94,'6月数据源'!$F:$F,"杭州目标准科技有限公司")+SUMIFS('6月数据源'!$J:$J,'6月数据源'!$D:$D,$E94,'6月数据源'!$F:$F,"杭州目标准科技有限公司")</f>
        <v/>
      </c>
      <c r="L94" s="89">
        <f>-SUMIFS('7月数据源'!$I:$I,'7月数据源'!$D:$D,$E94,'7月数据源'!$F:$F,"杭州目标准科技有限公司")+SUMIFS('7月数据源'!$J:$J,'7月数据源'!$D:$D,$E94,'7月数据源'!$F:$F,"杭州目标准科技有限公司")</f>
        <v/>
      </c>
      <c r="M94" s="89">
        <f>-SUMIFS('8月数据源'!$I:$I,'8月数据源'!$D:$D,$E94,'8月数据源'!$F:$F,"杭州目标准科技有限公司")+SUMIFS('8月数据源'!$J:$J,'8月数据源'!$D:$D,$E94,'8月数据源'!$F:$F,"杭州目标准科技有限公司")</f>
        <v/>
      </c>
      <c r="N94" s="89">
        <f>-SUMIFS('9月数据源'!$I:$I,'9月数据源'!$D:$D,$E94,'9月数据源'!$F:$F,"杭州目标准科技有限公司")+SUMIFS('9月数据源'!$J:$J,'9月数据源'!$D:$D,$E94,'9月数据源'!$F:$F,"杭州目标准科技有限公司")</f>
        <v/>
      </c>
      <c r="O94" s="89">
        <f>-SUMIFS('10月数据源'!$I:$I,'10月数据源'!$D:$D,$E94,'10月数据源'!$F:$F,"杭州目标准科技有限公司")+SUMIFS('10月数据源'!$J:$J,'10月数据源'!$D:$D,$E94,'10月数据源'!$F:$F,"杭州目标准科技有限公司")</f>
        <v/>
      </c>
      <c r="P94" s="89">
        <f>-SUMIFS('11月数据源'!$I:$I,'11月数据源'!$D:$D,$E94,'11月数据源'!$F:$F,"杭州目标准科技有限公司")+SUMIFS('11月数据源'!$J:$J,'11月数据源'!$D:$D,$E94,'11月数据源'!$F:$F,"杭州目标准科技有限公司")</f>
        <v/>
      </c>
      <c r="Q94" s="89">
        <f>-SUMIFS('12月数据源'!$I:$I,'12月数据源'!$D:$D,$E94,'12月数据源'!$F:$F,"杭州目标准科技有限公司")+SUMIFS('12月数据源'!$J:$J,'12月数据源'!$D:$D,$E94,'12月数据源'!$F:$F,"杭州目标准科技有限公司")</f>
        <v/>
      </c>
    </row>
    <row r="95" s="83">
      <c r="A95" s="5" t="inlineStr">
        <is>
          <t>研发支出</t>
        </is>
      </c>
      <c r="B95" s="6" t="inlineStr">
        <is>
          <t>研发-服务费</t>
        </is>
      </c>
      <c r="D95" s="5" t="inlineStr">
        <is>
          <t>AI技术外包服务费</t>
        </is>
      </c>
      <c r="E95" s="6" t="inlineStr">
        <is>
          <t>Q1602</t>
        </is>
      </c>
      <c r="F95" s="89">
        <f>-SUMIFS('1月数据源'!I:I,'1月数据源'!D:D,E95,'1月数据源'!F:F,"杭州目标准科技有限公司")+SUMIFS('1月数据源'!J:J,'1月数据源'!D:D,E95,'1月数据源'!F:F,"杭州目标准科技有限公司")</f>
        <v/>
      </c>
      <c r="G95" s="89">
        <f>-SUMIFS('2月数据源'!$I:$I,'2月数据源'!$D:$D,$E95,'2月数据源'!$F:$F,"杭州目标准科技有限公司")+SUMIFS('2月数据源'!$J:$J,'2月数据源'!$D:$D,$E95,'2月数据源'!$F:$F,"杭州目标准科技有限公司")</f>
        <v/>
      </c>
      <c r="H95" s="89">
        <f>-SUMIFS('3月数据源'!$I:$I,'3月数据源'!$D:$D,$E95,'3月数据源'!$F:$F,"杭州目标准科技有限公司")+SUMIFS('3月数据源'!$J:$J,'3月数据源'!$D:$D,$E95,'3月数据源'!$F:$F,"杭州目标准科技有限公司")</f>
        <v/>
      </c>
      <c r="I95" s="89">
        <f>-SUMIFS('4月数据源'!$I:$I,'4月数据源'!$D:$D,$E95,'4月数据源'!$F:$F,"杭州目标准科技有限公司")+SUMIFS('4月数据源'!$J:$J,'4月数据源'!$D:$D,$E95,'4月数据源'!$F:$F,"杭州目标准科技有限公司")</f>
        <v/>
      </c>
      <c r="J95" s="89">
        <f>-SUMIFS('5月数据源'!$I:$I,'5月数据源'!$D:$D,$E95,'5月数据源'!$F:$F,"杭州目标准科技有限公司")+SUMIFS('5月数据源'!$J:$J,'5月数据源'!$D:$D,$E95,'5月数据源'!$F:$F,"杭州目标准科技有限公司")</f>
        <v/>
      </c>
      <c r="K95" s="89">
        <f>-SUMIFS('6月数据源'!$I:$I,'6月数据源'!$D:$D,$E95,'6月数据源'!$F:$F,"杭州目标准科技有限公司")+SUMIFS('6月数据源'!$J:$J,'6月数据源'!$D:$D,$E95,'6月数据源'!$F:$F,"杭州目标准科技有限公司")</f>
        <v/>
      </c>
      <c r="L95" s="89">
        <f>-SUMIFS('7月数据源'!$I:$I,'7月数据源'!$D:$D,$E95,'7月数据源'!$F:$F,"杭州目标准科技有限公司")+SUMIFS('7月数据源'!$J:$J,'7月数据源'!$D:$D,$E95,'7月数据源'!$F:$F,"杭州目标准科技有限公司")</f>
        <v/>
      </c>
      <c r="M95" s="89">
        <f>-SUMIFS('8月数据源'!$I:$I,'8月数据源'!$D:$D,$E95,'8月数据源'!$F:$F,"杭州目标准科技有限公司")+SUMIFS('8月数据源'!$J:$J,'8月数据源'!$D:$D,$E95,'8月数据源'!$F:$F,"杭州目标准科技有限公司")</f>
        <v/>
      </c>
      <c r="N95" s="89">
        <f>-SUMIFS('9月数据源'!$I:$I,'9月数据源'!$D:$D,$E95,'9月数据源'!$F:$F,"杭州目标准科技有限公司")+SUMIFS('9月数据源'!$J:$J,'9月数据源'!$D:$D,$E95,'9月数据源'!$F:$F,"杭州目标准科技有限公司")</f>
        <v/>
      </c>
      <c r="O95" s="89">
        <f>-SUMIFS('10月数据源'!$I:$I,'10月数据源'!$D:$D,$E95,'10月数据源'!$F:$F,"杭州目标准科技有限公司")+SUMIFS('10月数据源'!$J:$J,'10月数据源'!$D:$D,$E95,'10月数据源'!$F:$F,"杭州目标准科技有限公司")</f>
        <v/>
      </c>
      <c r="P95" s="89">
        <f>-SUMIFS('11月数据源'!$I:$I,'11月数据源'!$D:$D,$E95,'11月数据源'!$F:$F,"杭州目标准科技有限公司")+SUMIFS('11月数据源'!$J:$J,'11月数据源'!$D:$D,$E95,'11月数据源'!$F:$F,"杭州目标准科技有限公司")</f>
        <v/>
      </c>
      <c r="Q95" s="89">
        <f>-SUMIFS('12月数据源'!$I:$I,'12月数据源'!$D:$D,$E95,'12月数据源'!$F:$F,"杭州目标准科技有限公司")+SUMIFS('12月数据源'!$J:$J,'12月数据源'!$D:$D,$E95,'12月数据源'!$F:$F,"杭州目标准科技有限公司")</f>
        <v/>
      </c>
    </row>
    <row r="96" s="83">
      <c r="A96" s="5" t="inlineStr">
        <is>
          <t>研发支出</t>
        </is>
      </c>
      <c r="B96" s="6" t="inlineStr">
        <is>
          <t>研发-服务费</t>
        </is>
      </c>
      <c r="D96" s="5" t="inlineStr">
        <is>
          <t>知识产权服务费</t>
        </is>
      </c>
      <c r="E96" s="6" t="inlineStr">
        <is>
          <t>Q1603</t>
        </is>
      </c>
      <c r="F96" s="89">
        <f>-SUMIFS('1月数据源'!I:I,'1月数据源'!D:D,E96,'1月数据源'!F:F,"杭州目标准科技有限公司")+SUMIFS('1月数据源'!J:J,'1月数据源'!D:D,E96,'1月数据源'!F:F,"杭州目标准科技有限公司")</f>
        <v/>
      </c>
      <c r="G96" s="89">
        <f>-SUMIFS('2月数据源'!$I:$I,'2月数据源'!$D:$D,$E96,'2月数据源'!$F:$F,"杭州目标准科技有限公司")+SUMIFS('2月数据源'!$J:$J,'2月数据源'!$D:$D,$E96,'2月数据源'!$F:$F,"杭州目标准科技有限公司")</f>
        <v/>
      </c>
      <c r="H96" s="89">
        <f>-SUMIFS('3月数据源'!$I:$I,'3月数据源'!$D:$D,$E96,'3月数据源'!$F:$F,"杭州目标准科技有限公司")+SUMIFS('3月数据源'!$J:$J,'3月数据源'!$D:$D,$E96,'3月数据源'!$F:$F,"杭州目标准科技有限公司")</f>
        <v/>
      </c>
      <c r="I96" s="89">
        <f>-SUMIFS('4月数据源'!$I:$I,'4月数据源'!$D:$D,$E96,'4月数据源'!$F:$F,"杭州目标准科技有限公司")+SUMIFS('4月数据源'!$J:$J,'4月数据源'!$D:$D,$E96,'4月数据源'!$F:$F,"杭州目标准科技有限公司")</f>
        <v/>
      </c>
      <c r="J96" s="89">
        <f>-SUMIFS('5月数据源'!$I:$I,'5月数据源'!$D:$D,$E96,'5月数据源'!$F:$F,"杭州目标准科技有限公司")+SUMIFS('5月数据源'!$J:$J,'5月数据源'!$D:$D,$E96,'5月数据源'!$F:$F,"杭州目标准科技有限公司")</f>
        <v/>
      </c>
      <c r="K96" s="89">
        <f>-SUMIFS('6月数据源'!$I:$I,'6月数据源'!$D:$D,$E96,'6月数据源'!$F:$F,"杭州目标准科技有限公司")+SUMIFS('6月数据源'!$J:$J,'6月数据源'!$D:$D,$E96,'6月数据源'!$F:$F,"杭州目标准科技有限公司")</f>
        <v/>
      </c>
      <c r="L96" s="89">
        <f>-SUMIFS('7月数据源'!$I:$I,'7月数据源'!$D:$D,$E96,'7月数据源'!$F:$F,"杭州目标准科技有限公司")+SUMIFS('7月数据源'!$J:$J,'7月数据源'!$D:$D,$E96,'7月数据源'!$F:$F,"杭州目标准科技有限公司")</f>
        <v/>
      </c>
      <c r="M96" s="89">
        <f>-SUMIFS('8月数据源'!$I:$I,'8月数据源'!$D:$D,$E96,'8月数据源'!$F:$F,"杭州目标准科技有限公司")+SUMIFS('8月数据源'!$J:$J,'8月数据源'!$D:$D,$E96,'8月数据源'!$F:$F,"杭州目标准科技有限公司")</f>
        <v/>
      </c>
      <c r="N96" s="89">
        <f>-SUMIFS('9月数据源'!$I:$I,'9月数据源'!$D:$D,$E96,'9月数据源'!$F:$F,"杭州目标准科技有限公司")+SUMIFS('9月数据源'!$J:$J,'9月数据源'!$D:$D,$E96,'9月数据源'!$F:$F,"杭州目标准科技有限公司")</f>
        <v/>
      </c>
      <c r="O96" s="89">
        <f>-SUMIFS('10月数据源'!$I:$I,'10月数据源'!$D:$D,$E96,'10月数据源'!$F:$F,"杭州目标准科技有限公司")+SUMIFS('10月数据源'!$J:$J,'10月数据源'!$D:$D,$E96,'10月数据源'!$F:$F,"杭州目标准科技有限公司")</f>
        <v/>
      </c>
      <c r="P96" s="89">
        <f>-SUMIFS('11月数据源'!$I:$I,'11月数据源'!$D:$D,$E96,'11月数据源'!$F:$F,"杭州目标准科技有限公司")+SUMIFS('11月数据源'!$J:$J,'11月数据源'!$D:$D,$E96,'11月数据源'!$F:$F,"杭州目标准科技有限公司")</f>
        <v/>
      </c>
      <c r="Q96" s="89">
        <f>-SUMIFS('12月数据源'!$I:$I,'12月数据源'!$D:$D,$E96,'12月数据源'!$F:$F,"杭州目标准科技有限公司")+SUMIFS('12月数据源'!$J:$J,'12月数据源'!$D:$D,$E96,'12月数据源'!$F:$F,"杭州目标准科技有限公司")</f>
        <v/>
      </c>
    </row>
    <row r="97" s="83">
      <c r="A97" s="5" t="inlineStr">
        <is>
          <t>研发支出</t>
        </is>
      </c>
      <c r="B97" s="6" t="inlineStr">
        <is>
          <t>研发-费用报销</t>
        </is>
      </c>
      <c r="C97" s="6" t="inlineStr">
        <is>
          <t>研发-费用报销</t>
        </is>
      </c>
      <c r="D97" s="5" t="inlineStr">
        <is>
          <t>研发员工报销</t>
        </is>
      </c>
      <c r="E97" s="6" t="inlineStr">
        <is>
          <t>Q1701</t>
        </is>
      </c>
      <c r="F97" s="89">
        <f>-SUMIFS('1月数据源'!I:I,'1月数据源'!D:D,E97,'1月数据源'!F:F,"杭州目标准科技有限公司")+SUMIFS('1月数据源'!J:J,'1月数据源'!D:D,E97,'1月数据源'!F:F,"杭州目标准科技有限公司")</f>
        <v/>
      </c>
      <c r="G97" s="89">
        <f>-SUMIFS('2月数据源'!$I:$I,'2月数据源'!$D:$D,$E97,'2月数据源'!$F:$F,"杭州目标准科技有限公司")+SUMIFS('2月数据源'!$J:$J,'2月数据源'!$D:$D,$E97,'2月数据源'!$F:$F,"杭州目标准科技有限公司")</f>
        <v/>
      </c>
      <c r="H97" s="89">
        <f>-SUMIFS('3月数据源'!$I:$I,'3月数据源'!$D:$D,$E97,'3月数据源'!$F:$F,"杭州目标准科技有限公司")+SUMIFS('3月数据源'!$J:$J,'3月数据源'!$D:$D,$E97,'3月数据源'!$F:$F,"杭州目标准科技有限公司")</f>
        <v/>
      </c>
      <c r="I97" s="89">
        <f>-SUMIFS('4月数据源'!$I:$I,'4月数据源'!$D:$D,$E97,'4月数据源'!$F:$F,"杭州目标准科技有限公司")+SUMIFS('4月数据源'!$J:$J,'4月数据源'!$D:$D,$E97,'4月数据源'!$F:$F,"杭州目标准科技有限公司")</f>
        <v/>
      </c>
      <c r="J97" s="89">
        <f>-SUMIFS('5月数据源'!$I:$I,'5月数据源'!$D:$D,$E97,'5月数据源'!$F:$F,"杭州目标准科技有限公司")+SUMIFS('5月数据源'!$J:$J,'5月数据源'!$D:$D,$E97,'5月数据源'!$F:$F,"杭州目标准科技有限公司")</f>
        <v/>
      </c>
      <c r="K97" s="89">
        <f>-SUMIFS('6月数据源'!$I:$I,'6月数据源'!$D:$D,$E97,'6月数据源'!$F:$F,"杭州目标准科技有限公司")+SUMIFS('6月数据源'!$J:$J,'6月数据源'!$D:$D,$E97,'6月数据源'!$F:$F,"杭州目标准科技有限公司")</f>
        <v/>
      </c>
      <c r="L97" s="89">
        <f>-SUMIFS('7月数据源'!$I:$I,'7月数据源'!$D:$D,$E97,'7月数据源'!$F:$F,"杭州目标准科技有限公司")+SUMIFS('7月数据源'!$J:$J,'7月数据源'!$D:$D,$E97,'7月数据源'!$F:$F,"杭州目标准科技有限公司")</f>
        <v/>
      </c>
      <c r="M97" s="89">
        <f>-SUMIFS('8月数据源'!$I:$I,'8月数据源'!$D:$D,$E97,'8月数据源'!$F:$F,"杭州目标准科技有限公司")+SUMIFS('8月数据源'!$J:$J,'8月数据源'!$D:$D,$E97,'8月数据源'!$F:$F,"杭州目标准科技有限公司")</f>
        <v/>
      </c>
      <c r="N97" s="89">
        <f>-SUMIFS('9月数据源'!$I:$I,'9月数据源'!$D:$D,$E97,'9月数据源'!$F:$F,"杭州目标准科技有限公司")+SUMIFS('9月数据源'!$J:$J,'9月数据源'!$D:$D,$E97,'9月数据源'!$F:$F,"杭州目标准科技有限公司")</f>
        <v/>
      </c>
      <c r="O97" s="89">
        <f>-SUMIFS('10月数据源'!$I:$I,'10月数据源'!$D:$D,$E97,'10月数据源'!$F:$F,"杭州目标准科技有限公司")+SUMIFS('10月数据源'!$J:$J,'10月数据源'!$D:$D,$E97,'10月数据源'!$F:$F,"杭州目标准科技有限公司")</f>
        <v/>
      </c>
      <c r="P97" s="89">
        <f>-SUMIFS('11月数据源'!$I:$I,'11月数据源'!$D:$D,$E97,'11月数据源'!$F:$F,"杭州目标准科技有限公司")+SUMIFS('11月数据源'!$J:$J,'11月数据源'!$D:$D,$E97,'11月数据源'!$F:$F,"杭州目标准科技有限公司")</f>
        <v/>
      </c>
      <c r="Q97" s="89">
        <f>-SUMIFS('12月数据源'!$I:$I,'12月数据源'!$D:$D,$E97,'12月数据源'!$F:$F,"杭州目标准科技有限公司")+SUMIFS('12月数据源'!$J:$J,'12月数据源'!$D:$D,$E97,'12月数据源'!$F:$F,"杭州目标准科技有限公司")</f>
        <v/>
      </c>
    </row>
    <row r="98" s="83">
      <c r="A98" s="49" t="inlineStr">
        <is>
          <t>研发支出合计</t>
        </is>
      </c>
      <c r="B98" s="50" t="n"/>
      <c r="C98" s="50" t="n"/>
      <c r="D98" s="49" t="n"/>
      <c r="E98" s="49" t="n"/>
      <c r="F98" s="89">
        <f>SUM(F70:F97)</f>
        <v/>
      </c>
      <c r="G98" s="89">
        <f>SUM(G70:G97)</f>
        <v/>
      </c>
      <c r="H98" s="89">
        <f>SUM(H70:H97)</f>
        <v/>
      </c>
      <c r="I98" s="89">
        <f>SUM(I70:I97)</f>
        <v/>
      </c>
      <c r="J98" s="89">
        <f>SUM(J70:J97)</f>
        <v/>
      </c>
      <c r="K98" s="89">
        <f>SUM(K70:K97)</f>
        <v/>
      </c>
      <c r="L98" s="89">
        <f>SUM(L70:L97)</f>
        <v/>
      </c>
      <c r="M98" s="89">
        <f>SUM(M70:M97)</f>
        <v/>
      </c>
      <c r="N98" s="89">
        <f>SUM(N70:N97)</f>
        <v/>
      </c>
      <c r="O98" s="89">
        <f>SUM(O70:O97)</f>
        <v/>
      </c>
      <c r="P98" s="89">
        <f>SUM(P70:P97)</f>
        <v/>
      </c>
      <c r="Q98" s="89">
        <f>SUM(Q70:Q97)</f>
        <v/>
      </c>
    </row>
    <row r="99" s="83">
      <c r="A99" s="5" t="inlineStr">
        <is>
          <t>销售费用</t>
        </is>
      </c>
      <c r="B99" s="6" t="inlineStr">
        <is>
          <t>品牌建设</t>
        </is>
      </c>
      <c r="C99" s="6" t="inlineStr">
        <is>
          <t>品牌建设</t>
        </is>
      </c>
      <c r="D99" s="5" t="inlineStr">
        <is>
          <t>媒体采购</t>
        </is>
      </c>
      <c r="E99" s="6" t="inlineStr">
        <is>
          <t>Q1801</t>
        </is>
      </c>
      <c r="F99" s="89">
        <f>-SUMIFS('1月数据源'!I:I,'1月数据源'!D:D,E99,'1月数据源'!F:F,"杭州目标准科技有限公司")+SUMIFS('1月数据源'!J:J,'1月数据源'!D:D,E99,'1月数据源'!F:F,"杭州目标准科技有限公司")</f>
        <v/>
      </c>
      <c r="G99" s="89">
        <f>-SUMIFS('2月数据源'!$I:$I,'2月数据源'!$D:$D,$E99,'2月数据源'!$F:$F,"杭州目标准科技有限公司")+SUMIFS('2月数据源'!$J:$J,'2月数据源'!$D:$D,$E99,'2月数据源'!$F:$F,"杭州目标准科技有限公司")</f>
        <v/>
      </c>
      <c r="H99" s="89">
        <f>-SUMIFS('3月数据源'!$I:$I,'3月数据源'!$D:$D,$E99,'3月数据源'!$F:$F,"杭州目标准科技有限公司")+SUMIFS('3月数据源'!$J:$J,'3月数据源'!$D:$D,$E99,'3月数据源'!$F:$F,"杭州目标准科技有限公司")</f>
        <v/>
      </c>
      <c r="I99" s="89">
        <f>-SUMIFS('4月数据源'!$I:$I,'4月数据源'!$D:$D,$E99,'4月数据源'!$F:$F,"杭州目标准科技有限公司")+SUMIFS('4月数据源'!$J:$J,'4月数据源'!$D:$D,$E99,'4月数据源'!$F:$F,"杭州目标准科技有限公司")</f>
        <v/>
      </c>
      <c r="J99" s="89">
        <f>-SUMIFS('5月数据源'!$I:$I,'5月数据源'!$D:$D,$E99,'5月数据源'!$F:$F,"杭州目标准科技有限公司")+SUMIFS('5月数据源'!$J:$J,'5月数据源'!$D:$D,$E99,'5月数据源'!$F:$F,"杭州目标准科技有限公司")</f>
        <v/>
      </c>
      <c r="K99" s="89">
        <f>-SUMIFS('6月数据源'!$I:$I,'6月数据源'!$D:$D,$E99,'6月数据源'!$F:$F,"杭州目标准科技有限公司")+SUMIFS('6月数据源'!$J:$J,'6月数据源'!$D:$D,$E99,'6月数据源'!$F:$F,"杭州目标准科技有限公司")</f>
        <v/>
      </c>
      <c r="L99" s="89">
        <f>-SUMIFS('7月数据源'!$I:$I,'7月数据源'!$D:$D,$E99,'7月数据源'!$F:$F,"杭州目标准科技有限公司")+SUMIFS('7月数据源'!$J:$J,'7月数据源'!$D:$D,$E99,'7月数据源'!$F:$F,"杭州目标准科技有限公司")</f>
        <v/>
      </c>
      <c r="M99" s="89">
        <f>-SUMIFS('8月数据源'!$I:$I,'8月数据源'!$D:$D,$E99,'8月数据源'!$F:$F,"杭州目标准科技有限公司")+SUMIFS('8月数据源'!$J:$J,'8月数据源'!$D:$D,$E99,'8月数据源'!$F:$F,"杭州目标准科技有限公司")</f>
        <v/>
      </c>
      <c r="N99" s="89">
        <f>-SUMIFS('9月数据源'!$I:$I,'9月数据源'!$D:$D,$E99,'9月数据源'!$F:$F,"杭州目标准科技有限公司")+SUMIFS('9月数据源'!$J:$J,'9月数据源'!$D:$D,$E99,'9月数据源'!$F:$F,"杭州目标准科技有限公司")</f>
        <v/>
      </c>
      <c r="O99" s="89">
        <f>-SUMIFS('10月数据源'!$I:$I,'10月数据源'!$D:$D,$E99,'10月数据源'!$F:$F,"杭州目标准科技有限公司")+SUMIFS('10月数据源'!$J:$J,'10月数据源'!$D:$D,$E99,'10月数据源'!$F:$F,"杭州目标准科技有限公司")</f>
        <v/>
      </c>
      <c r="P99" s="89">
        <f>-SUMIFS('11月数据源'!$I:$I,'11月数据源'!$D:$D,$E99,'11月数据源'!$F:$F,"杭州目标准科技有限公司")+SUMIFS('11月数据源'!$J:$J,'11月数据源'!$D:$D,$E99,'11月数据源'!$F:$F,"杭州目标准科技有限公司")</f>
        <v/>
      </c>
      <c r="Q99" s="89">
        <f>-SUMIFS('12月数据源'!$I:$I,'12月数据源'!$D:$D,$E99,'12月数据源'!$F:$F,"杭州目标准科技有限公司")+SUMIFS('12月数据源'!$J:$J,'12月数据源'!$D:$D,$E99,'12月数据源'!$F:$F,"杭州目标准科技有限公司")</f>
        <v/>
      </c>
    </row>
    <row r="100" s="83">
      <c r="A100" s="5" t="inlineStr">
        <is>
          <t>销售费用</t>
        </is>
      </c>
      <c r="B100" s="6" t="inlineStr">
        <is>
          <t>品牌建设</t>
        </is>
      </c>
      <c r="D100" s="5" t="inlineStr">
        <is>
          <t>舆情服务</t>
        </is>
      </c>
      <c r="E100" s="6" t="inlineStr">
        <is>
          <t>Q1802</t>
        </is>
      </c>
      <c r="F100" s="89">
        <f>-SUMIFS('1月数据源'!I:I,'1月数据源'!D:D,E100,'1月数据源'!F:F,"杭州目标准科技有限公司")+SUMIFS('1月数据源'!J:J,'1月数据源'!D:D,E100,'1月数据源'!F:F,"杭州目标准科技有限公司")</f>
        <v/>
      </c>
      <c r="G100" s="89">
        <f>-SUMIFS('2月数据源'!$I:$I,'2月数据源'!$D:$D,$E100,'2月数据源'!$F:$F,"杭州目标准科技有限公司")+SUMIFS('2月数据源'!$J:$J,'2月数据源'!$D:$D,$E100,'2月数据源'!$F:$F,"杭州目标准科技有限公司")</f>
        <v/>
      </c>
      <c r="H100" s="89">
        <f>-SUMIFS('3月数据源'!$I:$I,'3月数据源'!$D:$D,$E100,'3月数据源'!$F:$F,"杭州目标准科技有限公司")+SUMIFS('3月数据源'!$J:$J,'3月数据源'!$D:$D,$E100,'3月数据源'!$F:$F,"杭州目标准科技有限公司")</f>
        <v/>
      </c>
      <c r="I100" s="89">
        <f>-SUMIFS('4月数据源'!$I:$I,'4月数据源'!$D:$D,$E100,'4月数据源'!$F:$F,"杭州目标准科技有限公司")+SUMIFS('4月数据源'!$J:$J,'4月数据源'!$D:$D,$E100,'4月数据源'!$F:$F,"杭州目标准科技有限公司")</f>
        <v/>
      </c>
      <c r="J100" s="89">
        <f>-SUMIFS('5月数据源'!$I:$I,'5月数据源'!$D:$D,$E100,'5月数据源'!$F:$F,"杭州目标准科技有限公司")+SUMIFS('5月数据源'!$J:$J,'5月数据源'!$D:$D,$E100,'5月数据源'!$F:$F,"杭州目标准科技有限公司")</f>
        <v/>
      </c>
      <c r="K100" s="89">
        <f>-SUMIFS('6月数据源'!$I:$I,'6月数据源'!$D:$D,$E100,'6月数据源'!$F:$F,"杭州目标准科技有限公司")+SUMIFS('6月数据源'!$J:$J,'6月数据源'!$D:$D,$E100,'6月数据源'!$F:$F,"杭州目标准科技有限公司")</f>
        <v/>
      </c>
      <c r="L100" s="89">
        <f>-SUMIFS('7月数据源'!$I:$I,'7月数据源'!$D:$D,$E100,'7月数据源'!$F:$F,"杭州目标准科技有限公司")+SUMIFS('7月数据源'!$J:$J,'7月数据源'!$D:$D,$E100,'7月数据源'!$F:$F,"杭州目标准科技有限公司")</f>
        <v/>
      </c>
      <c r="M100" s="89">
        <f>-SUMIFS('8月数据源'!$I:$I,'8月数据源'!$D:$D,$E100,'8月数据源'!$F:$F,"杭州目标准科技有限公司")+SUMIFS('8月数据源'!$J:$J,'8月数据源'!$D:$D,$E100,'8月数据源'!$F:$F,"杭州目标准科技有限公司")</f>
        <v/>
      </c>
      <c r="N100" s="89">
        <f>-SUMIFS('9月数据源'!$I:$I,'9月数据源'!$D:$D,$E100,'9月数据源'!$F:$F,"杭州目标准科技有限公司")+SUMIFS('9月数据源'!$J:$J,'9月数据源'!$D:$D,$E100,'9月数据源'!$F:$F,"杭州目标准科技有限公司")</f>
        <v/>
      </c>
      <c r="O100" s="89">
        <f>-SUMIFS('10月数据源'!$I:$I,'10月数据源'!$D:$D,$E100,'10月数据源'!$F:$F,"杭州目标准科技有限公司")+SUMIFS('10月数据源'!$J:$J,'10月数据源'!$D:$D,$E100,'10月数据源'!$F:$F,"杭州目标准科技有限公司")</f>
        <v/>
      </c>
      <c r="P100" s="89">
        <f>-SUMIFS('11月数据源'!$I:$I,'11月数据源'!$D:$D,$E100,'11月数据源'!$F:$F,"杭州目标准科技有限公司")+SUMIFS('11月数据源'!$J:$J,'11月数据源'!$D:$D,$E100,'11月数据源'!$F:$F,"杭州目标准科技有限公司")</f>
        <v/>
      </c>
      <c r="Q100" s="89">
        <f>-SUMIFS('12月数据源'!$I:$I,'12月数据源'!$D:$D,$E100,'12月数据源'!$F:$F,"杭州目标准科技有限公司")+SUMIFS('12月数据源'!$J:$J,'12月数据源'!$D:$D,$E100,'12月数据源'!$F:$F,"杭州目标准科技有限公司")</f>
        <v/>
      </c>
    </row>
    <row r="101" s="83">
      <c r="A101" s="5" t="inlineStr">
        <is>
          <t>销售费用</t>
        </is>
      </c>
      <c r="B101" s="6" t="inlineStr">
        <is>
          <t>品牌建设</t>
        </is>
      </c>
      <c r="D101" s="5" t="inlineStr">
        <is>
          <t>会务服务</t>
        </is>
      </c>
      <c r="E101" s="6" t="inlineStr">
        <is>
          <t>Q1803</t>
        </is>
      </c>
      <c r="F101" s="89">
        <f>-SUMIFS('1月数据源'!I:I,'1月数据源'!D:D,E101,'1月数据源'!F:F,"杭州目标准科技有限公司")+SUMIFS('1月数据源'!J:J,'1月数据源'!D:D,E101,'1月数据源'!F:F,"杭州目标准科技有限公司")</f>
        <v/>
      </c>
      <c r="G101" s="89">
        <f>-SUMIFS('2月数据源'!$I:$I,'2月数据源'!$D:$D,$E101,'2月数据源'!$F:$F,"杭州目标准科技有限公司")+SUMIFS('2月数据源'!$J:$J,'2月数据源'!$D:$D,$E101,'2月数据源'!$F:$F,"杭州目标准科技有限公司")</f>
        <v/>
      </c>
      <c r="H101" s="89">
        <f>-SUMIFS('3月数据源'!$I:$I,'3月数据源'!$D:$D,$E101,'3月数据源'!$F:$F,"杭州目标准科技有限公司")+SUMIFS('3月数据源'!$J:$J,'3月数据源'!$D:$D,$E101,'3月数据源'!$F:$F,"杭州目标准科技有限公司")</f>
        <v/>
      </c>
      <c r="I101" s="89">
        <f>-SUMIFS('4月数据源'!$I:$I,'4月数据源'!$D:$D,$E101,'4月数据源'!$F:$F,"杭州目标准科技有限公司")+SUMIFS('4月数据源'!$J:$J,'4月数据源'!$D:$D,$E101,'4月数据源'!$F:$F,"杭州目标准科技有限公司")</f>
        <v/>
      </c>
      <c r="J101" s="89">
        <f>-SUMIFS('5月数据源'!$I:$I,'5月数据源'!$D:$D,$E101,'5月数据源'!$F:$F,"杭州目标准科技有限公司")+SUMIFS('5月数据源'!$J:$J,'5月数据源'!$D:$D,$E101,'5月数据源'!$F:$F,"杭州目标准科技有限公司")</f>
        <v/>
      </c>
      <c r="K101" s="89">
        <f>-SUMIFS('6月数据源'!$I:$I,'6月数据源'!$D:$D,$E101,'6月数据源'!$F:$F,"杭州目标准科技有限公司")+SUMIFS('6月数据源'!$J:$J,'6月数据源'!$D:$D,$E101,'6月数据源'!$F:$F,"杭州目标准科技有限公司")</f>
        <v/>
      </c>
      <c r="L101" s="89">
        <f>-SUMIFS('7月数据源'!$I:$I,'7月数据源'!$D:$D,$E101,'7月数据源'!$F:$F,"杭州目标准科技有限公司")+SUMIFS('7月数据源'!$J:$J,'7月数据源'!$D:$D,$E101,'7月数据源'!$F:$F,"杭州目标准科技有限公司")</f>
        <v/>
      </c>
      <c r="M101" s="89">
        <f>-SUMIFS('8月数据源'!$I:$I,'8月数据源'!$D:$D,$E101,'8月数据源'!$F:$F,"杭州目标准科技有限公司")+SUMIFS('8月数据源'!$J:$J,'8月数据源'!$D:$D,$E101,'8月数据源'!$F:$F,"杭州目标准科技有限公司")</f>
        <v/>
      </c>
      <c r="N101" s="89">
        <f>-SUMIFS('9月数据源'!$I:$I,'9月数据源'!$D:$D,$E101,'9月数据源'!$F:$F,"杭州目标准科技有限公司")+SUMIFS('9月数据源'!$J:$J,'9月数据源'!$D:$D,$E101,'9月数据源'!$F:$F,"杭州目标准科技有限公司")</f>
        <v/>
      </c>
      <c r="O101" s="89">
        <f>-SUMIFS('10月数据源'!$I:$I,'10月数据源'!$D:$D,$E101,'10月数据源'!$F:$F,"杭州目标准科技有限公司")+SUMIFS('10月数据源'!$J:$J,'10月数据源'!$D:$D,$E101,'10月数据源'!$F:$F,"杭州目标准科技有限公司")</f>
        <v/>
      </c>
      <c r="P101" s="89">
        <f>-SUMIFS('11月数据源'!$I:$I,'11月数据源'!$D:$D,$E101,'11月数据源'!$F:$F,"杭州目标准科技有限公司")+SUMIFS('11月数据源'!$J:$J,'11月数据源'!$D:$D,$E101,'11月数据源'!$F:$F,"杭州目标准科技有限公司")</f>
        <v/>
      </c>
      <c r="Q101" s="89">
        <f>-SUMIFS('12月数据源'!$I:$I,'12月数据源'!$D:$D,$E101,'12月数据源'!$F:$F,"杭州目标准科技有限公司")+SUMIFS('12月数据源'!$J:$J,'12月数据源'!$D:$D,$E101,'12月数据源'!$F:$F,"杭州目标准科技有限公司")</f>
        <v/>
      </c>
    </row>
    <row r="102" s="83">
      <c r="A102" s="5" t="inlineStr">
        <is>
          <t>销售费用</t>
        </is>
      </c>
      <c r="B102" s="6" t="inlineStr">
        <is>
          <t>品牌建设</t>
        </is>
      </c>
      <c r="D102" s="5" t="inlineStr">
        <is>
          <t>场地搭建</t>
        </is>
      </c>
      <c r="E102" s="6" t="inlineStr">
        <is>
          <t>Q1804</t>
        </is>
      </c>
      <c r="F102" s="89">
        <f>-SUMIFS('1月数据源'!I:I,'1月数据源'!D:D,E102,'1月数据源'!F:F,"杭州目标准科技有限公司")+SUMIFS('1月数据源'!J:J,'1月数据源'!D:D,E102,'1月数据源'!F:F,"杭州目标准科技有限公司")</f>
        <v/>
      </c>
      <c r="G102" s="89">
        <f>-SUMIFS('2月数据源'!$I:$I,'2月数据源'!$D:$D,$E102,'2月数据源'!$F:$F,"杭州目标准科技有限公司")+SUMIFS('2月数据源'!$J:$J,'2月数据源'!$D:$D,$E102,'2月数据源'!$F:$F,"杭州目标准科技有限公司")</f>
        <v/>
      </c>
      <c r="H102" s="89">
        <f>-SUMIFS('3月数据源'!$I:$I,'3月数据源'!$D:$D,$E102,'3月数据源'!$F:$F,"杭州目标准科技有限公司")+SUMIFS('3月数据源'!$J:$J,'3月数据源'!$D:$D,$E102,'3月数据源'!$F:$F,"杭州目标准科技有限公司")</f>
        <v/>
      </c>
      <c r="I102" s="89">
        <f>-SUMIFS('4月数据源'!$I:$I,'4月数据源'!$D:$D,$E102,'4月数据源'!$F:$F,"杭州目标准科技有限公司")+SUMIFS('4月数据源'!$J:$J,'4月数据源'!$D:$D,$E102,'4月数据源'!$F:$F,"杭州目标准科技有限公司")</f>
        <v/>
      </c>
      <c r="J102" s="89">
        <f>-SUMIFS('5月数据源'!$I:$I,'5月数据源'!$D:$D,$E102,'5月数据源'!$F:$F,"杭州目标准科技有限公司")+SUMIFS('5月数据源'!$J:$J,'5月数据源'!$D:$D,$E102,'5月数据源'!$F:$F,"杭州目标准科技有限公司")</f>
        <v/>
      </c>
      <c r="K102" s="89">
        <f>-SUMIFS('6月数据源'!$I:$I,'6月数据源'!$D:$D,$E102,'6月数据源'!$F:$F,"杭州目标准科技有限公司")+SUMIFS('6月数据源'!$J:$J,'6月数据源'!$D:$D,$E102,'6月数据源'!$F:$F,"杭州目标准科技有限公司")</f>
        <v/>
      </c>
      <c r="L102" s="89">
        <f>-SUMIFS('7月数据源'!$I:$I,'7月数据源'!$D:$D,$E102,'7月数据源'!$F:$F,"杭州目标准科技有限公司")+SUMIFS('7月数据源'!$J:$J,'7月数据源'!$D:$D,$E102,'7月数据源'!$F:$F,"杭州目标准科技有限公司")</f>
        <v/>
      </c>
      <c r="M102" s="89">
        <f>-SUMIFS('8月数据源'!$I:$I,'8月数据源'!$D:$D,$E102,'8月数据源'!$F:$F,"杭州目标准科技有限公司")+SUMIFS('8月数据源'!$J:$J,'8月数据源'!$D:$D,$E102,'8月数据源'!$F:$F,"杭州目标准科技有限公司")</f>
        <v/>
      </c>
      <c r="N102" s="89">
        <f>-SUMIFS('9月数据源'!$I:$I,'9月数据源'!$D:$D,$E102,'9月数据源'!$F:$F,"杭州目标准科技有限公司")+SUMIFS('9月数据源'!$J:$J,'9月数据源'!$D:$D,$E102,'9月数据源'!$F:$F,"杭州目标准科技有限公司")</f>
        <v/>
      </c>
      <c r="O102" s="89">
        <f>-SUMIFS('10月数据源'!$I:$I,'10月数据源'!$D:$D,$E102,'10月数据源'!$F:$F,"杭州目标准科技有限公司")+SUMIFS('10月数据源'!$J:$J,'10月数据源'!$D:$D,$E102,'10月数据源'!$F:$F,"杭州目标准科技有限公司")</f>
        <v/>
      </c>
      <c r="P102" s="89">
        <f>-SUMIFS('11月数据源'!$I:$I,'11月数据源'!$D:$D,$E102,'11月数据源'!$F:$F,"杭州目标准科技有限公司")+SUMIFS('11月数据源'!$J:$J,'11月数据源'!$D:$D,$E102,'11月数据源'!$F:$F,"杭州目标准科技有限公司")</f>
        <v/>
      </c>
      <c r="Q102" s="89">
        <f>-SUMIFS('12月数据源'!$I:$I,'12月数据源'!$D:$D,$E102,'12月数据源'!$F:$F,"杭州目标准科技有限公司")+SUMIFS('12月数据源'!$J:$J,'12月数据源'!$D:$D,$E102,'12月数据源'!$F:$F,"杭州目标准科技有限公司")</f>
        <v/>
      </c>
    </row>
    <row r="103" s="83">
      <c r="A103" s="5" t="inlineStr">
        <is>
          <t>销售费用</t>
        </is>
      </c>
      <c r="B103" s="6" t="inlineStr">
        <is>
          <t>品牌建设</t>
        </is>
      </c>
      <c r="D103" s="5" t="inlineStr">
        <is>
          <t>素材拍摄</t>
        </is>
      </c>
      <c r="E103" s="6" t="inlineStr">
        <is>
          <t>Q1805</t>
        </is>
      </c>
      <c r="F103" s="89">
        <f>-SUMIFS('1月数据源'!I:I,'1月数据源'!D:D,E103,'1月数据源'!F:F,"杭州目标准科技有限公司")+SUMIFS('1月数据源'!J:J,'1月数据源'!D:D,E103,'1月数据源'!F:F,"杭州目标准科技有限公司")</f>
        <v/>
      </c>
      <c r="G103" s="89">
        <f>-SUMIFS('2月数据源'!$I:$I,'2月数据源'!$D:$D,$E103,'2月数据源'!$F:$F,"杭州目标准科技有限公司")+SUMIFS('2月数据源'!$J:$J,'2月数据源'!$D:$D,$E103,'2月数据源'!$F:$F,"杭州目标准科技有限公司")</f>
        <v/>
      </c>
      <c r="H103" s="89">
        <f>-SUMIFS('3月数据源'!$I:$I,'3月数据源'!$D:$D,$E103,'3月数据源'!$F:$F,"杭州目标准科技有限公司")+SUMIFS('3月数据源'!$J:$J,'3月数据源'!$D:$D,$E103,'3月数据源'!$F:$F,"杭州目标准科技有限公司")</f>
        <v/>
      </c>
      <c r="I103" s="89">
        <f>-SUMIFS('4月数据源'!$I:$I,'4月数据源'!$D:$D,$E103,'4月数据源'!$F:$F,"杭州目标准科技有限公司")+SUMIFS('4月数据源'!$J:$J,'4月数据源'!$D:$D,$E103,'4月数据源'!$F:$F,"杭州目标准科技有限公司")</f>
        <v/>
      </c>
      <c r="J103" s="89">
        <f>-SUMIFS('5月数据源'!$I:$I,'5月数据源'!$D:$D,$E103,'5月数据源'!$F:$F,"杭州目标准科技有限公司")+SUMIFS('5月数据源'!$J:$J,'5月数据源'!$D:$D,$E103,'5月数据源'!$F:$F,"杭州目标准科技有限公司")</f>
        <v/>
      </c>
      <c r="K103" s="89">
        <f>-SUMIFS('6月数据源'!$I:$I,'6月数据源'!$D:$D,$E103,'6月数据源'!$F:$F,"杭州目标准科技有限公司")+SUMIFS('6月数据源'!$J:$J,'6月数据源'!$D:$D,$E103,'6月数据源'!$F:$F,"杭州目标准科技有限公司")</f>
        <v/>
      </c>
      <c r="L103" s="89">
        <f>-SUMIFS('7月数据源'!$I:$I,'7月数据源'!$D:$D,$E103,'7月数据源'!$F:$F,"杭州目标准科技有限公司")+SUMIFS('7月数据源'!$J:$J,'7月数据源'!$D:$D,$E103,'7月数据源'!$F:$F,"杭州目标准科技有限公司")</f>
        <v/>
      </c>
      <c r="M103" s="89">
        <f>-SUMIFS('8月数据源'!$I:$I,'8月数据源'!$D:$D,$E103,'8月数据源'!$F:$F,"杭州目标准科技有限公司")+SUMIFS('8月数据源'!$J:$J,'8月数据源'!$D:$D,$E103,'8月数据源'!$F:$F,"杭州目标准科技有限公司")</f>
        <v/>
      </c>
      <c r="N103" s="89">
        <f>-SUMIFS('9月数据源'!$I:$I,'9月数据源'!$D:$D,$E103,'9月数据源'!$F:$F,"杭州目标准科技有限公司")+SUMIFS('9月数据源'!$J:$J,'9月数据源'!$D:$D,$E103,'9月数据源'!$F:$F,"杭州目标准科技有限公司")</f>
        <v/>
      </c>
      <c r="O103" s="89">
        <f>-SUMIFS('10月数据源'!$I:$I,'10月数据源'!$D:$D,$E103,'10月数据源'!$F:$F,"杭州目标准科技有限公司")+SUMIFS('10月数据源'!$J:$J,'10月数据源'!$D:$D,$E103,'10月数据源'!$F:$F,"杭州目标准科技有限公司")</f>
        <v/>
      </c>
      <c r="P103" s="89">
        <f>-SUMIFS('11月数据源'!$I:$I,'11月数据源'!$D:$D,$E103,'11月数据源'!$F:$F,"杭州目标准科技有限公司")+SUMIFS('11月数据源'!$J:$J,'11月数据源'!$D:$D,$E103,'11月数据源'!$F:$F,"杭州目标准科技有限公司")</f>
        <v/>
      </c>
      <c r="Q103" s="89">
        <f>-SUMIFS('12月数据源'!$I:$I,'12月数据源'!$D:$D,$E103,'12月数据源'!$F:$F,"杭州目标准科技有限公司")+SUMIFS('12月数据源'!$J:$J,'12月数据源'!$D:$D,$E103,'12月数据源'!$F:$F,"杭州目标准科技有限公司")</f>
        <v/>
      </c>
    </row>
    <row r="104" s="83">
      <c r="A104" s="5" t="inlineStr">
        <is>
          <t>销售费用</t>
        </is>
      </c>
      <c r="B104" s="6" t="inlineStr">
        <is>
          <t>品牌建设</t>
        </is>
      </c>
      <c r="D104" s="5" t="inlineStr">
        <is>
          <t>背书合作费用</t>
        </is>
      </c>
      <c r="E104" s="6" t="inlineStr">
        <is>
          <t>Q1806</t>
        </is>
      </c>
      <c r="F104" s="89">
        <f>-SUMIFS('1月数据源'!I:I,'1月数据源'!D:D,E104,'1月数据源'!F:F,"杭州目标准科技有限公司")+SUMIFS('1月数据源'!J:J,'1月数据源'!D:D,E104,'1月数据源'!F:F,"杭州目标准科技有限公司")</f>
        <v/>
      </c>
      <c r="G104" s="89">
        <f>-SUMIFS('2月数据源'!$I:$I,'2月数据源'!$D:$D,$E104,'2月数据源'!$F:$F,"杭州目标准科技有限公司")+SUMIFS('2月数据源'!$J:$J,'2月数据源'!$D:$D,$E104,'2月数据源'!$F:$F,"杭州目标准科技有限公司")</f>
        <v/>
      </c>
      <c r="H104" s="89">
        <f>-SUMIFS('3月数据源'!$I:$I,'3月数据源'!$D:$D,$E104,'3月数据源'!$F:$F,"杭州目标准科技有限公司")+SUMIFS('3月数据源'!$J:$J,'3月数据源'!$D:$D,$E104,'3月数据源'!$F:$F,"杭州目标准科技有限公司")</f>
        <v/>
      </c>
      <c r="I104" s="89">
        <f>-SUMIFS('4月数据源'!$I:$I,'4月数据源'!$D:$D,$E104,'4月数据源'!$F:$F,"杭州目标准科技有限公司")+SUMIFS('4月数据源'!$J:$J,'4月数据源'!$D:$D,$E104,'4月数据源'!$F:$F,"杭州目标准科技有限公司")</f>
        <v/>
      </c>
      <c r="J104" s="89">
        <f>-SUMIFS('5月数据源'!$I:$I,'5月数据源'!$D:$D,$E104,'5月数据源'!$F:$F,"杭州目标准科技有限公司")+SUMIFS('5月数据源'!$J:$J,'5月数据源'!$D:$D,$E104,'5月数据源'!$F:$F,"杭州目标准科技有限公司")</f>
        <v/>
      </c>
      <c r="K104" s="89">
        <f>-SUMIFS('6月数据源'!$I:$I,'6月数据源'!$D:$D,$E104,'6月数据源'!$F:$F,"杭州目标准科技有限公司")+SUMIFS('6月数据源'!$J:$J,'6月数据源'!$D:$D,$E104,'6月数据源'!$F:$F,"杭州目标准科技有限公司")</f>
        <v/>
      </c>
      <c r="L104" s="89">
        <f>-SUMIFS('7月数据源'!$I:$I,'7月数据源'!$D:$D,$E104,'7月数据源'!$F:$F,"杭州目标准科技有限公司")+SUMIFS('7月数据源'!$J:$J,'7月数据源'!$D:$D,$E104,'7月数据源'!$F:$F,"杭州目标准科技有限公司")</f>
        <v/>
      </c>
      <c r="M104" s="89">
        <f>-SUMIFS('8月数据源'!$I:$I,'8月数据源'!$D:$D,$E104,'8月数据源'!$F:$F,"杭州目标准科技有限公司")+SUMIFS('8月数据源'!$J:$J,'8月数据源'!$D:$D,$E104,'8月数据源'!$F:$F,"杭州目标准科技有限公司")</f>
        <v/>
      </c>
      <c r="N104" s="89">
        <f>-SUMIFS('9月数据源'!$I:$I,'9月数据源'!$D:$D,$E104,'9月数据源'!$F:$F,"杭州目标准科技有限公司")+SUMIFS('9月数据源'!$J:$J,'9月数据源'!$D:$D,$E104,'9月数据源'!$F:$F,"杭州目标准科技有限公司")</f>
        <v/>
      </c>
      <c r="O104" s="89">
        <f>-SUMIFS('10月数据源'!$I:$I,'10月数据源'!$D:$D,$E104,'10月数据源'!$F:$F,"杭州目标准科技有限公司")+SUMIFS('10月数据源'!$J:$J,'10月数据源'!$D:$D,$E104,'10月数据源'!$F:$F,"杭州目标准科技有限公司")</f>
        <v/>
      </c>
      <c r="P104" s="89">
        <f>-SUMIFS('11月数据源'!$I:$I,'11月数据源'!$D:$D,$E104,'11月数据源'!$F:$F,"杭州目标准科技有限公司")+SUMIFS('11月数据源'!$J:$J,'11月数据源'!$D:$D,$E104,'11月数据源'!$F:$F,"杭州目标准科技有限公司")</f>
        <v/>
      </c>
      <c r="Q104" s="89">
        <f>-SUMIFS('12月数据源'!$I:$I,'12月数据源'!$D:$D,$E104,'12月数据源'!$F:$F,"杭州目标准科技有限公司")+SUMIFS('12月数据源'!$J:$J,'12月数据源'!$D:$D,$E104,'12月数据源'!$F:$F,"杭州目标准科技有限公司")</f>
        <v/>
      </c>
    </row>
    <row r="105" s="83">
      <c r="A105" s="5" t="inlineStr">
        <is>
          <t>销售费用</t>
        </is>
      </c>
      <c r="B105" s="6" t="inlineStr">
        <is>
          <t>内容种草</t>
        </is>
      </c>
      <c r="C105" s="6" t="inlineStr">
        <is>
          <t>内容种草</t>
        </is>
      </c>
      <c r="D105" s="5" t="inlineStr">
        <is>
          <t>抖音平台种草-GD广告</t>
        </is>
      </c>
      <c r="E105" s="6" t="inlineStr">
        <is>
          <t>Q1901</t>
        </is>
      </c>
      <c r="F105" s="89">
        <f>-SUMIFS('1月数据源'!I:I,'1月数据源'!D:D,E105,'1月数据源'!F:F,"杭州目标准科技有限公司")+SUMIFS('1月数据源'!J:J,'1月数据源'!D:D,E105,'1月数据源'!F:F,"杭州目标准科技有限公司")</f>
        <v/>
      </c>
      <c r="G105" s="89">
        <f>-SUMIFS('2月数据源'!$I:$I,'2月数据源'!$D:$D,$E105,'2月数据源'!$F:$F,"杭州目标准科技有限公司")+SUMIFS('2月数据源'!$J:$J,'2月数据源'!$D:$D,$E105,'2月数据源'!$F:$F,"杭州目标准科技有限公司")</f>
        <v/>
      </c>
      <c r="H105" s="89">
        <f>-SUMIFS('3月数据源'!$I:$I,'3月数据源'!$D:$D,$E105,'3月数据源'!$F:$F,"杭州目标准科技有限公司")+SUMIFS('3月数据源'!$J:$J,'3月数据源'!$D:$D,$E105,'3月数据源'!$F:$F,"杭州目标准科技有限公司")</f>
        <v/>
      </c>
      <c r="I105" s="89">
        <f>-SUMIFS('4月数据源'!$I:$I,'4月数据源'!$D:$D,$E105,'4月数据源'!$F:$F,"杭州目标准科技有限公司")+SUMIFS('4月数据源'!$J:$J,'4月数据源'!$D:$D,$E105,'4月数据源'!$F:$F,"杭州目标准科技有限公司")</f>
        <v/>
      </c>
      <c r="J105" s="89">
        <f>-SUMIFS('5月数据源'!$I:$I,'5月数据源'!$D:$D,$E105,'5月数据源'!$F:$F,"杭州目标准科技有限公司")+SUMIFS('5月数据源'!$J:$J,'5月数据源'!$D:$D,$E105,'5月数据源'!$F:$F,"杭州目标准科技有限公司")</f>
        <v/>
      </c>
      <c r="K105" s="89">
        <f>-SUMIFS('6月数据源'!$I:$I,'6月数据源'!$D:$D,$E105,'6月数据源'!$F:$F,"杭州目标准科技有限公司")+SUMIFS('6月数据源'!$J:$J,'6月数据源'!$D:$D,$E105,'6月数据源'!$F:$F,"杭州目标准科技有限公司")</f>
        <v/>
      </c>
      <c r="L105" s="89">
        <f>-SUMIFS('7月数据源'!$I:$I,'7月数据源'!$D:$D,$E105,'7月数据源'!$F:$F,"杭州目标准科技有限公司")+SUMIFS('7月数据源'!$J:$J,'7月数据源'!$D:$D,$E105,'7月数据源'!$F:$F,"杭州目标准科技有限公司")</f>
        <v/>
      </c>
      <c r="M105" s="89">
        <f>-SUMIFS('8月数据源'!$I:$I,'8月数据源'!$D:$D,$E105,'8月数据源'!$F:$F,"杭州目标准科技有限公司")+SUMIFS('8月数据源'!$J:$J,'8月数据源'!$D:$D,$E105,'8月数据源'!$F:$F,"杭州目标准科技有限公司")</f>
        <v/>
      </c>
      <c r="N105" s="89">
        <f>-SUMIFS('9月数据源'!$I:$I,'9月数据源'!$D:$D,$E105,'9月数据源'!$F:$F,"杭州目标准科技有限公司")+SUMIFS('9月数据源'!$J:$J,'9月数据源'!$D:$D,$E105,'9月数据源'!$F:$F,"杭州目标准科技有限公司")</f>
        <v/>
      </c>
      <c r="O105" s="89">
        <f>-SUMIFS('10月数据源'!$I:$I,'10月数据源'!$D:$D,$E105,'10月数据源'!$F:$F,"杭州目标准科技有限公司")+SUMIFS('10月数据源'!$J:$J,'10月数据源'!$D:$D,$E105,'10月数据源'!$F:$F,"杭州目标准科技有限公司")</f>
        <v/>
      </c>
      <c r="P105" s="89">
        <f>-SUMIFS('11月数据源'!$I:$I,'11月数据源'!$D:$D,$E105,'11月数据源'!$F:$F,"杭州目标准科技有限公司")+SUMIFS('11月数据源'!$J:$J,'11月数据源'!$D:$D,$E105,'11月数据源'!$F:$F,"杭州目标准科技有限公司")</f>
        <v/>
      </c>
      <c r="Q105" s="89">
        <f>-SUMIFS('12月数据源'!$I:$I,'12月数据源'!$D:$D,$E105,'12月数据源'!$F:$F,"杭州目标准科技有限公司")+SUMIFS('12月数据源'!$J:$J,'12月数据源'!$D:$D,$E105,'12月数据源'!$F:$F,"杭州目标准科技有限公司")</f>
        <v/>
      </c>
    </row>
    <row r="106" s="83">
      <c r="A106" s="5" t="inlineStr">
        <is>
          <t>销售费用</t>
        </is>
      </c>
      <c r="B106" s="6" t="inlineStr">
        <is>
          <t>内容种草</t>
        </is>
      </c>
      <c r="D106" s="5" t="inlineStr">
        <is>
          <t>抖音平台种草-种草通</t>
        </is>
      </c>
      <c r="E106" s="6" t="inlineStr">
        <is>
          <t>Q1902</t>
        </is>
      </c>
      <c r="F106" s="89">
        <f>-SUMIFS('1月数据源'!I:I,'1月数据源'!D:D,E106,'1月数据源'!F:F,"杭州目标准科技有限公司")+SUMIFS('1月数据源'!J:J,'1月数据源'!D:D,E106,'1月数据源'!F:F,"杭州目标准科技有限公司")</f>
        <v/>
      </c>
      <c r="G106" s="89">
        <f>-SUMIFS('2月数据源'!$I:$I,'2月数据源'!$D:$D,$E106,'2月数据源'!$F:$F,"杭州目标准科技有限公司")+SUMIFS('2月数据源'!$J:$J,'2月数据源'!$D:$D,$E106,'2月数据源'!$F:$F,"杭州目标准科技有限公司")</f>
        <v/>
      </c>
      <c r="H106" s="89">
        <f>-SUMIFS('3月数据源'!$I:$I,'3月数据源'!$D:$D,$E106,'3月数据源'!$F:$F,"杭州目标准科技有限公司")+SUMIFS('3月数据源'!$J:$J,'3月数据源'!$D:$D,$E106,'3月数据源'!$F:$F,"杭州目标准科技有限公司")</f>
        <v/>
      </c>
      <c r="I106" s="89">
        <f>-SUMIFS('4月数据源'!$I:$I,'4月数据源'!$D:$D,$E106,'4月数据源'!$F:$F,"杭州目标准科技有限公司")+SUMIFS('4月数据源'!$J:$J,'4月数据源'!$D:$D,$E106,'4月数据源'!$F:$F,"杭州目标准科技有限公司")</f>
        <v/>
      </c>
      <c r="J106" s="89">
        <f>-SUMIFS('5月数据源'!$I:$I,'5月数据源'!$D:$D,$E106,'5月数据源'!$F:$F,"杭州目标准科技有限公司")+SUMIFS('5月数据源'!$J:$J,'5月数据源'!$D:$D,$E106,'5月数据源'!$F:$F,"杭州目标准科技有限公司")</f>
        <v/>
      </c>
      <c r="K106" s="89">
        <f>-SUMIFS('6月数据源'!$I:$I,'6月数据源'!$D:$D,$E106,'6月数据源'!$F:$F,"杭州目标准科技有限公司")+SUMIFS('6月数据源'!$J:$J,'6月数据源'!$D:$D,$E106,'6月数据源'!$F:$F,"杭州目标准科技有限公司")</f>
        <v/>
      </c>
      <c r="L106" s="89">
        <f>-SUMIFS('7月数据源'!$I:$I,'7月数据源'!$D:$D,$E106,'7月数据源'!$F:$F,"杭州目标准科技有限公司")+SUMIFS('7月数据源'!$J:$J,'7月数据源'!$D:$D,$E106,'7月数据源'!$F:$F,"杭州目标准科技有限公司")</f>
        <v/>
      </c>
      <c r="M106" s="89">
        <f>-SUMIFS('8月数据源'!$I:$I,'8月数据源'!$D:$D,$E106,'8月数据源'!$F:$F,"杭州目标准科技有限公司")+SUMIFS('8月数据源'!$J:$J,'8月数据源'!$D:$D,$E106,'8月数据源'!$F:$F,"杭州目标准科技有限公司")</f>
        <v/>
      </c>
      <c r="N106" s="89">
        <f>-SUMIFS('9月数据源'!$I:$I,'9月数据源'!$D:$D,$E106,'9月数据源'!$F:$F,"杭州目标准科技有限公司")+SUMIFS('9月数据源'!$J:$J,'9月数据源'!$D:$D,$E106,'9月数据源'!$F:$F,"杭州目标准科技有限公司")</f>
        <v/>
      </c>
      <c r="O106" s="89">
        <f>-SUMIFS('10月数据源'!$I:$I,'10月数据源'!$D:$D,$E106,'10月数据源'!$F:$F,"杭州目标准科技有限公司")+SUMIFS('10月数据源'!$J:$J,'10月数据源'!$D:$D,$E106,'10月数据源'!$F:$F,"杭州目标准科技有限公司")</f>
        <v/>
      </c>
      <c r="P106" s="89">
        <f>-SUMIFS('11月数据源'!$I:$I,'11月数据源'!$D:$D,$E106,'11月数据源'!$F:$F,"杭州目标准科技有限公司")+SUMIFS('11月数据源'!$J:$J,'11月数据源'!$D:$D,$E106,'11月数据源'!$F:$F,"杭州目标准科技有限公司")</f>
        <v/>
      </c>
      <c r="Q106" s="89">
        <f>-SUMIFS('12月数据源'!$I:$I,'12月数据源'!$D:$D,$E106,'12月数据源'!$F:$F,"杭州目标准科技有限公司")+SUMIFS('12月数据源'!$J:$J,'12月数据源'!$D:$D,$E106,'12月数据源'!$F:$F,"杭州目标准科技有限公司")</f>
        <v/>
      </c>
    </row>
    <row r="107" s="83">
      <c r="A107" s="5" t="inlineStr">
        <is>
          <t>销售费用</t>
        </is>
      </c>
      <c r="B107" s="6" t="inlineStr">
        <is>
          <t>内容种草</t>
        </is>
      </c>
      <c r="D107" s="5" t="inlineStr">
        <is>
          <t>抖音平台种草-达人合作</t>
        </is>
      </c>
      <c r="E107" s="6" t="inlineStr">
        <is>
          <t>Q1903</t>
        </is>
      </c>
      <c r="F107" s="89">
        <f>-SUMIFS('1月数据源'!I:I,'1月数据源'!D:D,E107,'1月数据源'!F:F,"杭州目标准科技有限公司")+SUMIFS('1月数据源'!J:J,'1月数据源'!D:D,E107,'1月数据源'!F:F,"杭州目标准科技有限公司")</f>
        <v/>
      </c>
      <c r="G107" s="89">
        <f>-SUMIFS('2月数据源'!$I:$I,'2月数据源'!$D:$D,$E107,'2月数据源'!$F:$F,"杭州目标准科技有限公司")+SUMIFS('2月数据源'!$J:$J,'2月数据源'!$D:$D,$E107,'2月数据源'!$F:$F,"杭州目标准科技有限公司")</f>
        <v/>
      </c>
      <c r="H107" s="89">
        <f>-SUMIFS('3月数据源'!$I:$I,'3月数据源'!$D:$D,$E107,'3月数据源'!$F:$F,"杭州目标准科技有限公司")+SUMIFS('3月数据源'!$J:$J,'3月数据源'!$D:$D,$E107,'3月数据源'!$F:$F,"杭州目标准科技有限公司")</f>
        <v/>
      </c>
      <c r="I107" s="89">
        <f>-SUMIFS('4月数据源'!$I:$I,'4月数据源'!$D:$D,$E107,'4月数据源'!$F:$F,"杭州目标准科技有限公司")+SUMIFS('4月数据源'!$J:$J,'4月数据源'!$D:$D,$E107,'4月数据源'!$F:$F,"杭州目标准科技有限公司")</f>
        <v/>
      </c>
      <c r="J107" s="89">
        <f>-SUMIFS('5月数据源'!$I:$I,'5月数据源'!$D:$D,$E107,'5月数据源'!$F:$F,"杭州目标准科技有限公司")+SUMIFS('5月数据源'!$J:$J,'5月数据源'!$D:$D,$E107,'5月数据源'!$F:$F,"杭州目标准科技有限公司")</f>
        <v/>
      </c>
      <c r="K107" s="89">
        <f>-SUMIFS('6月数据源'!$I:$I,'6月数据源'!$D:$D,$E107,'6月数据源'!$F:$F,"杭州目标准科技有限公司")+SUMIFS('6月数据源'!$J:$J,'6月数据源'!$D:$D,$E107,'6月数据源'!$F:$F,"杭州目标准科技有限公司")</f>
        <v/>
      </c>
      <c r="L107" s="89">
        <f>-SUMIFS('7月数据源'!$I:$I,'7月数据源'!$D:$D,$E107,'7月数据源'!$F:$F,"杭州目标准科技有限公司")+SUMIFS('7月数据源'!$J:$J,'7月数据源'!$D:$D,$E107,'7月数据源'!$F:$F,"杭州目标准科技有限公司")</f>
        <v/>
      </c>
      <c r="M107" s="89">
        <f>-SUMIFS('8月数据源'!$I:$I,'8月数据源'!$D:$D,$E107,'8月数据源'!$F:$F,"杭州目标准科技有限公司")+SUMIFS('8月数据源'!$J:$J,'8月数据源'!$D:$D,$E107,'8月数据源'!$F:$F,"杭州目标准科技有限公司")</f>
        <v/>
      </c>
      <c r="N107" s="89">
        <f>-SUMIFS('9月数据源'!$I:$I,'9月数据源'!$D:$D,$E107,'9月数据源'!$F:$F,"杭州目标准科技有限公司")+SUMIFS('9月数据源'!$J:$J,'9月数据源'!$D:$D,$E107,'9月数据源'!$F:$F,"杭州目标准科技有限公司")</f>
        <v/>
      </c>
      <c r="O107" s="89">
        <f>-SUMIFS('10月数据源'!$I:$I,'10月数据源'!$D:$D,$E107,'10月数据源'!$F:$F,"杭州目标准科技有限公司")+SUMIFS('10月数据源'!$J:$J,'10月数据源'!$D:$D,$E107,'10月数据源'!$F:$F,"杭州目标准科技有限公司")</f>
        <v/>
      </c>
      <c r="P107" s="89">
        <f>-SUMIFS('11月数据源'!$I:$I,'11月数据源'!$D:$D,$E107,'11月数据源'!$F:$F,"杭州目标准科技有限公司")+SUMIFS('11月数据源'!$J:$J,'11月数据源'!$D:$D,$E107,'11月数据源'!$F:$F,"杭州目标准科技有限公司")</f>
        <v/>
      </c>
      <c r="Q107" s="89">
        <f>-SUMIFS('12月数据源'!$I:$I,'12月数据源'!$D:$D,$E107,'12月数据源'!$F:$F,"杭州目标准科技有限公司")+SUMIFS('12月数据源'!$J:$J,'12月数据源'!$D:$D,$E107,'12月数据源'!$F:$F,"杭州目标准科技有限公司")</f>
        <v/>
      </c>
    </row>
    <row r="108" s="83">
      <c r="A108" s="5" t="inlineStr">
        <is>
          <t>销售费用</t>
        </is>
      </c>
      <c r="B108" s="6" t="inlineStr">
        <is>
          <t>内容种草</t>
        </is>
      </c>
      <c r="D108" s="5" t="inlineStr">
        <is>
          <t>小红书平台种草-达人合作</t>
        </is>
      </c>
      <c r="E108" s="6" t="inlineStr">
        <is>
          <t>Q1904</t>
        </is>
      </c>
      <c r="F108" s="89">
        <f>-SUMIFS('1月数据源'!I:I,'1月数据源'!D:D,E108,'1月数据源'!F:F,"杭州目标准科技有限公司")+SUMIFS('1月数据源'!J:J,'1月数据源'!D:D,E108,'1月数据源'!F:F,"杭州目标准科技有限公司")</f>
        <v/>
      </c>
      <c r="G108" s="89">
        <f>-SUMIFS('2月数据源'!$I:$I,'2月数据源'!$D:$D,$E108,'2月数据源'!$F:$F,"杭州目标准科技有限公司")+SUMIFS('2月数据源'!$J:$J,'2月数据源'!$D:$D,$E108,'2月数据源'!$F:$F,"杭州目标准科技有限公司")</f>
        <v/>
      </c>
      <c r="H108" s="89">
        <f>-SUMIFS('3月数据源'!$I:$I,'3月数据源'!$D:$D,$E108,'3月数据源'!$F:$F,"杭州目标准科技有限公司")+SUMIFS('3月数据源'!$J:$J,'3月数据源'!$D:$D,$E108,'3月数据源'!$F:$F,"杭州目标准科技有限公司")</f>
        <v/>
      </c>
      <c r="I108" s="89">
        <f>-SUMIFS('4月数据源'!$I:$I,'4月数据源'!$D:$D,$E108,'4月数据源'!$F:$F,"杭州目标准科技有限公司")+SUMIFS('4月数据源'!$J:$J,'4月数据源'!$D:$D,$E108,'4月数据源'!$F:$F,"杭州目标准科技有限公司")</f>
        <v/>
      </c>
      <c r="J108" s="89">
        <f>-SUMIFS('5月数据源'!$I:$I,'5月数据源'!$D:$D,$E108,'5月数据源'!$F:$F,"杭州目标准科技有限公司")+SUMIFS('5月数据源'!$J:$J,'5月数据源'!$D:$D,$E108,'5月数据源'!$F:$F,"杭州目标准科技有限公司")</f>
        <v/>
      </c>
      <c r="K108" s="89">
        <f>-SUMIFS('6月数据源'!$I:$I,'6月数据源'!$D:$D,$E108,'6月数据源'!$F:$F,"杭州目标准科技有限公司")+SUMIFS('6月数据源'!$J:$J,'6月数据源'!$D:$D,$E108,'6月数据源'!$F:$F,"杭州目标准科技有限公司")</f>
        <v/>
      </c>
      <c r="L108" s="89">
        <f>-SUMIFS('7月数据源'!$I:$I,'7月数据源'!$D:$D,$E108,'7月数据源'!$F:$F,"杭州目标准科技有限公司")+SUMIFS('7月数据源'!$J:$J,'7月数据源'!$D:$D,$E108,'7月数据源'!$F:$F,"杭州目标准科技有限公司")</f>
        <v/>
      </c>
      <c r="M108" s="89">
        <f>-SUMIFS('8月数据源'!$I:$I,'8月数据源'!$D:$D,$E108,'8月数据源'!$F:$F,"杭州目标准科技有限公司")+SUMIFS('8月数据源'!$J:$J,'8月数据源'!$D:$D,$E108,'8月数据源'!$F:$F,"杭州目标准科技有限公司")</f>
        <v/>
      </c>
      <c r="N108" s="89">
        <f>-SUMIFS('9月数据源'!$I:$I,'9月数据源'!$D:$D,$E108,'9月数据源'!$F:$F,"杭州目标准科技有限公司")+SUMIFS('9月数据源'!$J:$J,'9月数据源'!$D:$D,$E108,'9月数据源'!$F:$F,"杭州目标准科技有限公司")</f>
        <v/>
      </c>
      <c r="O108" s="89">
        <f>-SUMIFS('10月数据源'!$I:$I,'10月数据源'!$D:$D,$E108,'10月数据源'!$F:$F,"杭州目标准科技有限公司")+SUMIFS('10月数据源'!$J:$J,'10月数据源'!$D:$D,$E108,'10月数据源'!$F:$F,"杭州目标准科技有限公司")</f>
        <v/>
      </c>
      <c r="P108" s="89">
        <f>-SUMIFS('11月数据源'!$I:$I,'11月数据源'!$D:$D,$E108,'11月数据源'!$F:$F,"杭州目标准科技有限公司")+SUMIFS('11月数据源'!$J:$J,'11月数据源'!$D:$D,$E108,'11月数据源'!$F:$F,"杭州目标准科技有限公司")</f>
        <v/>
      </c>
      <c r="Q108" s="89">
        <f>-SUMIFS('12月数据源'!$I:$I,'12月数据源'!$D:$D,$E108,'12月数据源'!$F:$F,"杭州目标准科技有限公司")+SUMIFS('12月数据源'!$J:$J,'12月数据源'!$D:$D,$E108,'12月数据源'!$F:$F,"杭州目标准科技有限公司")</f>
        <v/>
      </c>
    </row>
    <row r="109" s="83">
      <c r="A109" s="5" t="inlineStr">
        <is>
          <t>销售费用</t>
        </is>
      </c>
      <c r="B109" s="6" t="inlineStr">
        <is>
          <t>内容种草</t>
        </is>
      </c>
      <c r="D109" s="5" t="inlineStr">
        <is>
          <t>全平台种草-达人合作</t>
        </is>
      </c>
      <c r="E109" s="6" t="inlineStr">
        <is>
          <t>Q1905</t>
        </is>
      </c>
      <c r="F109" s="89">
        <f>-SUMIFS('1月数据源'!I:I,'1月数据源'!D:D,E109,'1月数据源'!F:F,"杭州目标准科技有限公司")+SUMIFS('1月数据源'!J:J,'1月数据源'!D:D,E109,'1月数据源'!F:F,"杭州目标准科技有限公司")</f>
        <v/>
      </c>
      <c r="G109" s="89">
        <f>-SUMIFS('2月数据源'!$I:$I,'2月数据源'!$D:$D,$E109,'2月数据源'!$F:$F,"杭州目标准科技有限公司")+SUMIFS('2月数据源'!$J:$J,'2月数据源'!$D:$D,$E109,'2月数据源'!$F:$F,"杭州目标准科技有限公司")</f>
        <v/>
      </c>
      <c r="H109" s="89">
        <f>-SUMIFS('3月数据源'!$I:$I,'3月数据源'!$D:$D,$E109,'3月数据源'!$F:$F,"杭州目标准科技有限公司")+SUMIFS('3月数据源'!$J:$J,'3月数据源'!$D:$D,$E109,'3月数据源'!$F:$F,"杭州目标准科技有限公司")</f>
        <v/>
      </c>
      <c r="I109" s="89">
        <f>-SUMIFS('4月数据源'!$I:$I,'4月数据源'!$D:$D,$E109,'4月数据源'!$F:$F,"杭州目标准科技有限公司")+SUMIFS('4月数据源'!$J:$J,'4月数据源'!$D:$D,$E109,'4月数据源'!$F:$F,"杭州目标准科技有限公司")</f>
        <v/>
      </c>
      <c r="J109" s="89">
        <f>-SUMIFS('5月数据源'!$I:$I,'5月数据源'!$D:$D,$E109,'5月数据源'!$F:$F,"杭州目标准科技有限公司")+SUMIFS('5月数据源'!$J:$J,'5月数据源'!$D:$D,$E109,'5月数据源'!$F:$F,"杭州目标准科技有限公司")</f>
        <v/>
      </c>
      <c r="K109" s="89">
        <f>-SUMIFS('6月数据源'!$I:$I,'6月数据源'!$D:$D,$E109,'6月数据源'!$F:$F,"杭州目标准科技有限公司")+SUMIFS('6月数据源'!$J:$J,'6月数据源'!$D:$D,$E109,'6月数据源'!$F:$F,"杭州目标准科技有限公司")</f>
        <v/>
      </c>
      <c r="L109" s="89">
        <f>-SUMIFS('7月数据源'!$I:$I,'7月数据源'!$D:$D,$E109,'7月数据源'!$F:$F,"杭州目标准科技有限公司")+SUMIFS('7月数据源'!$J:$J,'7月数据源'!$D:$D,$E109,'7月数据源'!$F:$F,"杭州目标准科技有限公司")</f>
        <v/>
      </c>
      <c r="M109" s="89">
        <f>-SUMIFS('8月数据源'!$I:$I,'8月数据源'!$D:$D,$E109,'8月数据源'!$F:$F,"杭州目标准科技有限公司")+SUMIFS('8月数据源'!$J:$J,'8月数据源'!$D:$D,$E109,'8月数据源'!$F:$F,"杭州目标准科技有限公司")</f>
        <v/>
      </c>
      <c r="N109" s="89">
        <f>-SUMIFS('9月数据源'!$I:$I,'9月数据源'!$D:$D,$E109,'9月数据源'!$F:$F,"杭州目标准科技有限公司")+SUMIFS('9月数据源'!$J:$J,'9月数据源'!$D:$D,$E109,'9月数据源'!$F:$F,"杭州目标准科技有限公司")</f>
        <v/>
      </c>
      <c r="O109" s="89">
        <f>-SUMIFS('10月数据源'!$I:$I,'10月数据源'!$D:$D,$E109,'10月数据源'!$F:$F,"杭州目标准科技有限公司")+SUMIFS('10月数据源'!$J:$J,'10月数据源'!$D:$D,$E109,'10月数据源'!$F:$F,"杭州目标准科技有限公司")</f>
        <v/>
      </c>
      <c r="P109" s="89">
        <f>-SUMIFS('11月数据源'!$I:$I,'11月数据源'!$D:$D,$E109,'11月数据源'!$F:$F,"杭州目标准科技有限公司")+SUMIFS('11月数据源'!$J:$J,'11月数据源'!$D:$D,$E109,'11月数据源'!$F:$F,"杭州目标准科技有限公司")</f>
        <v/>
      </c>
      <c r="Q109" s="89">
        <f>-SUMIFS('12月数据源'!$I:$I,'12月数据源'!$D:$D,$E109,'12月数据源'!$F:$F,"杭州目标准科技有限公司")+SUMIFS('12月数据源'!$J:$J,'12月数据源'!$D:$D,$E109,'12月数据源'!$F:$F,"杭州目标准科技有限公司")</f>
        <v/>
      </c>
    </row>
    <row r="110" s="83">
      <c r="A110" s="5" t="inlineStr">
        <is>
          <t>销售费用</t>
        </is>
      </c>
      <c r="B110" s="6" t="inlineStr">
        <is>
          <t>内容种草</t>
        </is>
      </c>
      <c r="D110" s="5" t="inlineStr">
        <is>
          <t>小红书种草充值</t>
        </is>
      </c>
      <c r="E110" s="6" t="inlineStr">
        <is>
          <t>Q1906</t>
        </is>
      </c>
      <c r="F110" s="89">
        <f>-SUMIFS('1月数据源'!I:I,'1月数据源'!D:D,E110,'1月数据源'!F:F,"杭州目标准科技有限公司")+SUMIFS('1月数据源'!J:J,'1月数据源'!D:D,E110,'1月数据源'!F:F,"杭州目标准科技有限公司")</f>
        <v/>
      </c>
      <c r="G110" s="89">
        <f>-SUMIFS('2月数据源'!$I:$I,'2月数据源'!$D:$D,$E110,'2月数据源'!$F:$F,"杭州目标准科技有限公司")+SUMIFS('2月数据源'!$J:$J,'2月数据源'!$D:$D,$E110,'2月数据源'!$F:$F,"杭州目标准科技有限公司")</f>
        <v/>
      </c>
      <c r="H110" s="89">
        <f>-SUMIFS('3月数据源'!$I:$I,'3月数据源'!$D:$D,$E110,'3月数据源'!$F:$F,"杭州目标准科技有限公司")+SUMIFS('3月数据源'!$J:$J,'3月数据源'!$D:$D,$E110,'3月数据源'!$F:$F,"杭州目标准科技有限公司")</f>
        <v/>
      </c>
      <c r="I110" s="89">
        <f>-SUMIFS('4月数据源'!$I:$I,'4月数据源'!$D:$D,$E110,'4月数据源'!$F:$F,"杭州目标准科技有限公司")+SUMIFS('4月数据源'!$J:$J,'4月数据源'!$D:$D,$E110,'4月数据源'!$F:$F,"杭州目标准科技有限公司")</f>
        <v/>
      </c>
      <c r="J110" s="89">
        <f>-SUMIFS('5月数据源'!$I:$I,'5月数据源'!$D:$D,$E110,'5月数据源'!$F:$F,"杭州目标准科技有限公司")+SUMIFS('5月数据源'!$J:$J,'5月数据源'!$D:$D,$E110,'5月数据源'!$F:$F,"杭州目标准科技有限公司")</f>
        <v/>
      </c>
      <c r="K110" s="89">
        <f>-SUMIFS('6月数据源'!$I:$I,'6月数据源'!$D:$D,$E110,'6月数据源'!$F:$F,"杭州目标准科技有限公司")+SUMIFS('6月数据源'!$J:$J,'6月数据源'!$D:$D,$E110,'6月数据源'!$F:$F,"杭州目标准科技有限公司")</f>
        <v/>
      </c>
      <c r="L110" s="89">
        <f>-SUMIFS('7月数据源'!$I:$I,'7月数据源'!$D:$D,$E110,'7月数据源'!$F:$F,"杭州目标准科技有限公司")+SUMIFS('7月数据源'!$J:$J,'7月数据源'!$D:$D,$E110,'7月数据源'!$F:$F,"杭州目标准科技有限公司")</f>
        <v/>
      </c>
      <c r="M110" s="89">
        <f>-SUMIFS('8月数据源'!$I:$I,'8月数据源'!$D:$D,$E110,'8月数据源'!$F:$F,"杭州目标准科技有限公司")+SUMIFS('8月数据源'!$J:$J,'8月数据源'!$D:$D,$E110,'8月数据源'!$F:$F,"杭州目标准科技有限公司")</f>
        <v/>
      </c>
      <c r="N110" s="89">
        <f>-SUMIFS('9月数据源'!$I:$I,'9月数据源'!$D:$D,$E110,'9月数据源'!$F:$F,"杭州目标准科技有限公司")+SUMIFS('9月数据源'!$J:$J,'9月数据源'!$D:$D,$E110,'9月数据源'!$F:$F,"杭州目标准科技有限公司")</f>
        <v/>
      </c>
      <c r="O110" s="89">
        <f>-SUMIFS('10月数据源'!$I:$I,'10月数据源'!$D:$D,$E110,'10月数据源'!$F:$F,"杭州目标准科技有限公司")+SUMIFS('10月数据源'!$J:$J,'10月数据源'!$D:$D,$E110,'10月数据源'!$F:$F,"杭州目标准科技有限公司")</f>
        <v/>
      </c>
      <c r="P110" s="89">
        <f>-SUMIFS('11月数据源'!$I:$I,'11月数据源'!$D:$D,$E110,'11月数据源'!$F:$F,"杭州目标准科技有限公司")+SUMIFS('11月数据源'!$J:$J,'11月数据源'!$D:$D,$E110,'11月数据源'!$F:$F,"杭州目标准科技有限公司")</f>
        <v/>
      </c>
      <c r="Q110" s="89">
        <f>-SUMIFS('12月数据源'!$I:$I,'12月数据源'!$D:$D,$E110,'12月数据源'!$F:$F,"杭州目标准科技有限公司")+SUMIFS('12月数据源'!$J:$J,'12月数据源'!$D:$D,$E110,'12月数据源'!$F:$F,"杭州目标准科技有限公司")</f>
        <v/>
      </c>
    </row>
    <row r="111" s="83">
      <c r="A111" s="5" t="inlineStr">
        <is>
          <t>销售费用</t>
        </is>
      </c>
      <c r="B111" s="6" t="inlineStr">
        <is>
          <t>投放转化</t>
        </is>
      </c>
      <c r="C111" s="6" t="inlineStr">
        <is>
          <t>投放转化</t>
        </is>
      </c>
      <c r="D111" s="5" t="inlineStr">
        <is>
          <t>信息流视频制作</t>
        </is>
      </c>
      <c r="E111" s="6" t="inlineStr">
        <is>
          <t>Q2001</t>
        </is>
      </c>
      <c r="F111" s="89">
        <f>-SUMIFS('1月数据源'!I:I,'1月数据源'!D:D,E111,'1月数据源'!F:F,"杭州目标准科技有限公司")+SUMIFS('1月数据源'!J:J,'1月数据源'!D:D,E111,'1月数据源'!F:F,"杭州目标准科技有限公司")</f>
        <v/>
      </c>
      <c r="G111" s="89">
        <f>-SUMIFS('2月数据源'!$I:$I,'2月数据源'!$D:$D,$E111,'2月数据源'!$F:$F,"杭州目标准科技有限公司")+SUMIFS('2月数据源'!$J:$J,'2月数据源'!$D:$D,$E111,'2月数据源'!$F:$F,"杭州目标准科技有限公司")</f>
        <v/>
      </c>
      <c r="H111" s="89">
        <f>-SUMIFS('3月数据源'!$I:$I,'3月数据源'!$D:$D,$E111,'3月数据源'!$F:$F,"杭州目标准科技有限公司")+SUMIFS('3月数据源'!$J:$J,'3月数据源'!$D:$D,$E111,'3月数据源'!$F:$F,"杭州目标准科技有限公司")</f>
        <v/>
      </c>
      <c r="I111" s="89">
        <f>-SUMIFS('4月数据源'!$I:$I,'4月数据源'!$D:$D,$E111,'4月数据源'!$F:$F,"杭州目标准科技有限公司")+SUMIFS('4月数据源'!$J:$J,'4月数据源'!$D:$D,$E111,'4月数据源'!$F:$F,"杭州目标准科技有限公司")</f>
        <v/>
      </c>
      <c r="J111" s="89">
        <f>-SUMIFS('5月数据源'!$I:$I,'5月数据源'!$D:$D,$E111,'5月数据源'!$F:$F,"杭州目标准科技有限公司")+SUMIFS('5月数据源'!$J:$J,'5月数据源'!$D:$D,$E111,'5月数据源'!$F:$F,"杭州目标准科技有限公司")</f>
        <v/>
      </c>
      <c r="K111" s="89">
        <f>-SUMIFS('6月数据源'!$I:$I,'6月数据源'!$D:$D,$E111,'6月数据源'!$F:$F,"杭州目标准科技有限公司")+SUMIFS('6月数据源'!$J:$J,'6月数据源'!$D:$D,$E111,'6月数据源'!$F:$F,"杭州目标准科技有限公司")</f>
        <v/>
      </c>
      <c r="L111" s="89">
        <f>-SUMIFS('7月数据源'!$I:$I,'7月数据源'!$D:$D,$E111,'7月数据源'!$F:$F,"杭州目标准科技有限公司")+SUMIFS('7月数据源'!$J:$J,'7月数据源'!$D:$D,$E111,'7月数据源'!$F:$F,"杭州目标准科技有限公司")</f>
        <v/>
      </c>
      <c r="M111" s="89">
        <f>-SUMIFS('8月数据源'!$I:$I,'8月数据源'!$D:$D,$E111,'8月数据源'!$F:$F,"杭州目标准科技有限公司")+SUMIFS('8月数据源'!$J:$J,'8月数据源'!$D:$D,$E111,'8月数据源'!$F:$F,"杭州目标准科技有限公司")</f>
        <v/>
      </c>
      <c r="N111" s="89">
        <f>-SUMIFS('9月数据源'!$I:$I,'9月数据源'!$D:$D,$E111,'9月数据源'!$F:$F,"杭州目标准科技有限公司")+SUMIFS('9月数据源'!$J:$J,'9月数据源'!$D:$D,$E111,'9月数据源'!$F:$F,"杭州目标准科技有限公司")</f>
        <v/>
      </c>
      <c r="O111" s="89">
        <f>-SUMIFS('10月数据源'!$I:$I,'10月数据源'!$D:$D,$E111,'10月数据源'!$F:$F,"杭州目标准科技有限公司")+SUMIFS('10月数据源'!$J:$J,'10月数据源'!$D:$D,$E111,'10月数据源'!$F:$F,"杭州目标准科技有限公司")</f>
        <v/>
      </c>
      <c r="P111" s="89">
        <f>-SUMIFS('11月数据源'!$I:$I,'11月数据源'!$D:$D,$E111,'11月数据源'!$F:$F,"杭州目标准科技有限公司")+SUMIFS('11月数据源'!$J:$J,'11月数据源'!$D:$D,$E111,'11月数据源'!$F:$F,"杭州目标准科技有限公司")</f>
        <v/>
      </c>
      <c r="Q111" s="89">
        <f>-SUMIFS('12月数据源'!$I:$I,'12月数据源'!$D:$D,$E111,'12月数据源'!$F:$F,"杭州目标准科技有限公司")+SUMIFS('12月数据源'!$J:$J,'12月数据源'!$D:$D,$E111,'12月数据源'!$F:$F,"杭州目标准科技有限公司")</f>
        <v/>
      </c>
    </row>
    <row r="112" s="83">
      <c r="A112" s="5" t="inlineStr">
        <is>
          <t>销售费用</t>
        </is>
      </c>
      <c r="B112" s="6" t="inlineStr">
        <is>
          <t>投放转化</t>
        </is>
      </c>
      <c r="D112" s="5" t="inlineStr">
        <is>
          <t>抖音投放充值</t>
        </is>
      </c>
      <c r="E112" s="6" t="inlineStr">
        <is>
          <t>Q2002</t>
        </is>
      </c>
      <c r="F112" s="89">
        <f>-SUMIFS('1月数据源'!I:I,'1月数据源'!D:D,E112,'1月数据源'!F:F,"杭州目标准科技有限公司")+SUMIFS('1月数据源'!J:J,'1月数据源'!D:D,E112,'1月数据源'!F:F,"杭州目标准科技有限公司")</f>
        <v/>
      </c>
      <c r="G112" s="89">
        <f>-SUMIFS('2月数据源'!$I:$I,'2月数据源'!$D:$D,$E112,'2月数据源'!$F:$F,"杭州目标准科技有限公司")+SUMIFS('2月数据源'!$J:$J,'2月数据源'!$D:$D,$E112,'2月数据源'!$F:$F,"杭州目标准科技有限公司")</f>
        <v/>
      </c>
      <c r="H112" s="89">
        <f>-SUMIFS('3月数据源'!$I:$I,'3月数据源'!$D:$D,$E112,'3月数据源'!$F:$F,"杭州目标准科技有限公司")+SUMIFS('3月数据源'!$J:$J,'3月数据源'!$D:$D,$E112,'3月数据源'!$F:$F,"杭州目标准科技有限公司")</f>
        <v/>
      </c>
      <c r="I112" s="89">
        <f>-SUMIFS('4月数据源'!$I:$I,'4月数据源'!$D:$D,$E112,'4月数据源'!$F:$F,"杭州目标准科技有限公司")+SUMIFS('4月数据源'!$J:$J,'4月数据源'!$D:$D,$E112,'4月数据源'!$F:$F,"杭州目标准科技有限公司")</f>
        <v/>
      </c>
      <c r="J112" s="89">
        <f>-SUMIFS('5月数据源'!$I:$I,'5月数据源'!$D:$D,$E112,'5月数据源'!$F:$F,"杭州目标准科技有限公司")+SUMIFS('5月数据源'!$J:$J,'5月数据源'!$D:$D,$E112,'5月数据源'!$F:$F,"杭州目标准科技有限公司")</f>
        <v/>
      </c>
      <c r="K112" s="89">
        <f>-SUMIFS('6月数据源'!$I:$I,'6月数据源'!$D:$D,$E112,'6月数据源'!$F:$F,"杭州目标准科技有限公司")+SUMIFS('6月数据源'!$J:$J,'6月数据源'!$D:$D,$E112,'6月数据源'!$F:$F,"杭州目标准科技有限公司")</f>
        <v/>
      </c>
      <c r="L112" s="89">
        <f>-SUMIFS('7月数据源'!$I:$I,'7月数据源'!$D:$D,$E112,'7月数据源'!$F:$F,"杭州目标准科技有限公司")+SUMIFS('7月数据源'!$J:$J,'7月数据源'!$D:$D,$E112,'7月数据源'!$F:$F,"杭州目标准科技有限公司")</f>
        <v/>
      </c>
      <c r="M112" s="89">
        <f>-SUMIFS('8月数据源'!$I:$I,'8月数据源'!$D:$D,$E112,'8月数据源'!$F:$F,"杭州目标准科技有限公司")+SUMIFS('8月数据源'!$J:$J,'8月数据源'!$D:$D,$E112,'8月数据源'!$F:$F,"杭州目标准科技有限公司")</f>
        <v/>
      </c>
      <c r="N112" s="89">
        <f>-SUMIFS('9月数据源'!$I:$I,'9月数据源'!$D:$D,$E112,'9月数据源'!$F:$F,"杭州目标准科技有限公司")+SUMIFS('9月数据源'!$J:$J,'9月数据源'!$D:$D,$E112,'9月数据源'!$F:$F,"杭州目标准科技有限公司")</f>
        <v/>
      </c>
      <c r="O112" s="89">
        <f>-SUMIFS('10月数据源'!$I:$I,'10月数据源'!$D:$D,$E112,'10月数据源'!$F:$F,"杭州目标准科技有限公司")+SUMIFS('10月数据源'!$J:$J,'10月数据源'!$D:$D,$E112,'10月数据源'!$F:$F,"杭州目标准科技有限公司")</f>
        <v/>
      </c>
      <c r="P112" s="89">
        <f>-SUMIFS('11月数据源'!$I:$I,'11月数据源'!$D:$D,$E112,'11月数据源'!$F:$F,"杭州目标准科技有限公司")+SUMIFS('11月数据源'!$J:$J,'11月数据源'!$D:$D,$E112,'11月数据源'!$F:$F,"杭州目标准科技有限公司")</f>
        <v/>
      </c>
      <c r="Q112" s="89">
        <f>-SUMIFS('12月数据源'!$I:$I,'12月数据源'!$D:$D,$E112,'12月数据源'!$F:$F,"杭州目标准科技有限公司")+SUMIFS('12月数据源'!$J:$J,'12月数据源'!$D:$D,$E112,'12月数据源'!$F:$F,"杭州目标准科技有限公司")</f>
        <v/>
      </c>
    </row>
    <row r="113" s="83">
      <c r="A113" s="5" t="inlineStr">
        <is>
          <t>销售费用</t>
        </is>
      </c>
      <c r="B113" s="6" t="inlineStr">
        <is>
          <t>投放转化</t>
        </is>
      </c>
      <c r="D113" s="5" t="inlineStr">
        <is>
          <t>京东平台投放充值</t>
        </is>
      </c>
      <c r="E113" s="6" t="inlineStr">
        <is>
          <t>Q2003</t>
        </is>
      </c>
      <c r="F113" s="89">
        <f>-SUMIFS('1月数据源'!I:I,'1月数据源'!D:D,E113,'1月数据源'!F:F,"杭州目标准科技有限公司")+SUMIFS('1月数据源'!J:J,'1月数据源'!D:D,E113,'1月数据源'!F:F,"杭州目标准科技有限公司")</f>
        <v/>
      </c>
      <c r="G113" s="89">
        <f>-SUMIFS('2月数据源'!$I:$I,'2月数据源'!$D:$D,$E113,'2月数据源'!$F:$F,"杭州目标准科技有限公司")+SUMIFS('2月数据源'!$J:$J,'2月数据源'!$D:$D,$E113,'2月数据源'!$F:$F,"杭州目标准科技有限公司")</f>
        <v/>
      </c>
      <c r="H113" s="89">
        <f>-SUMIFS('3月数据源'!$I:$I,'3月数据源'!$D:$D,$E113,'3月数据源'!$F:$F,"杭州目标准科技有限公司")+SUMIFS('3月数据源'!$J:$J,'3月数据源'!$D:$D,$E113,'3月数据源'!$F:$F,"杭州目标准科技有限公司")</f>
        <v/>
      </c>
      <c r="I113" s="89">
        <f>-SUMIFS('4月数据源'!$I:$I,'4月数据源'!$D:$D,$E113,'4月数据源'!$F:$F,"杭州目标准科技有限公司")+SUMIFS('4月数据源'!$J:$J,'4月数据源'!$D:$D,$E113,'4月数据源'!$F:$F,"杭州目标准科技有限公司")</f>
        <v/>
      </c>
      <c r="J113" s="89">
        <f>-SUMIFS('5月数据源'!$I:$I,'5月数据源'!$D:$D,$E113,'5月数据源'!$F:$F,"杭州目标准科技有限公司")+SUMIFS('5月数据源'!$J:$J,'5月数据源'!$D:$D,$E113,'5月数据源'!$F:$F,"杭州目标准科技有限公司")</f>
        <v/>
      </c>
      <c r="K113" s="89">
        <f>-SUMIFS('6月数据源'!$I:$I,'6月数据源'!$D:$D,$E113,'6月数据源'!$F:$F,"杭州目标准科技有限公司")+SUMIFS('6月数据源'!$J:$J,'6月数据源'!$D:$D,$E113,'6月数据源'!$F:$F,"杭州目标准科技有限公司")</f>
        <v/>
      </c>
      <c r="L113" s="89">
        <f>-SUMIFS('7月数据源'!$I:$I,'7月数据源'!$D:$D,$E113,'7月数据源'!$F:$F,"杭州目标准科技有限公司")+SUMIFS('7月数据源'!$J:$J,'7月数据源'!$D:$D,$E113,'7月数据源'!$F:$F,"杭州目标准科技有限公司")</f>
        <v/>
      </c>
      <c r="M113" s="89">
        <f>-SUMIFS('8月数据源'!$I:$I,'8月数据源'!$D:$D,$E113,'8月数据源'!$F:$F,"杭州目标准科技有限公司")+SUMIFS('8月数据源'!$J:$J,'8月数据源'!$D:$D,$E113,'8月数据源'!$F:$F,"杭州目标准科技有限公司")</f>
        <v/>
      </c>
      <c r="N113" s="89">
        <f>-SUMIFS('9月数据源'!$I:$I,'9月数据源'!$D:$D,$E113,'9月数据源'!$F:$F,"杭州目标准科技有限公司")+SUMIFS('9月数据源'!$J:$J,'9月数据源'!$D:$D,$E113,'9月数据源'!$F:$F,"杭州目标准科技有限公司")</f>
        <v/>
      </c>
      <c r="O113" s="89">
        <f>-SUMIFS('10月数据源'!$I:$I,'10月数据源'!$D:$D,$E113,'10月数据源'!$F:$F,"杭州目标准科技有限公司")+SUMIFS('10月数据源'!$J:$J,'10月数据源'!$D:$D,$E113,'10月数据源'!$F:$F,"杭州目标准科技有限公司")</f>
        <v/>
      </c>
      <c r="P113" s="89">
        <f>-SUMIFS('11月数据源'!$I:$I,'11月数据源'!$D:$D,$E113,'11月数据源'!$F:$F,"杭州目标准科技有限公司")+SUMIFS('11月数据源'!$J:$J,'11月数据源'!$D:$D,$E113,'11月数据源'!$F:$F,"杭州目标准科技有限公司")</f>
        <v/>
      </c>
      <c r="Q113" s="89">
        <f>-SUMIFS('12月数据源'!$I:$I,'12月数据源'!$D:$D,$E113,'12月数据源'!$F:$F,"杭州目标准科技有限公司")+SUMIFS('12月数据源'!$J:$J,'12月数据源'!$D:$D,$E113,'12月数据源'!$F:$F,"杭州目标准科技有限公司")</f>
        <v/>
      </c>
    </row>
    <row r="114" s="83">
      <c r="A114" s="5" t="inlineStr">
        <is>
          <t>销售费用</t>
        </is>
      </c>
      <c r="B114" s="6" t="inlineStr">
        <is>
          <t>投放转化</t>
        </is>
      </c>
      <c r="D114" s="5" t="inlineStr">
        <is>
          <t>视频号投放充值</t>
        </is>
      </c>
      <c r="E114" s="6" t="inlineStr">
        <is>
          <t>Q2004</t>
        </is>
      </c>
      <c r="F114" s="89">
        <f>-SUMIFS('1月数据源'!I:I,'1月数据源'!D:D,E114,'1月数据源'!F:F,"杭州目标准科技有限公司")+SUMIFS('1月数据源'!J:J,'1月数据源'!D:D,E114,'1月数据源'!F:F,"杭州目标准科技有限公司")</f>
        <v/>
      </c>
      <c r="G114" s="89">
        <f>-SUMIFS('2月数据源'!$I:$I,'2月数据源'!$D:$D,$E114,'2月数据源'!$F:$F,"杭州目标准科技有限公司")+SUMIFS('2月数据源'!$J:$J,'2月数据源'!$D:$D,$E114,'2月数据源'!$F:$F,"杭州目标准科技有限公司")</f>
        <v/>
      </c>
      <c r="H114" s="89">
        <f>-SUMIFS('3月数据源'!$I:$I,'3月数据源'!$D:$D,$E114,'3月数据源'!$F:$F,"杭州目标准科技有限公司")+SUMIFS('3月数据源'!$J:$J,'3月数据源'!$D:$D,$E114,'3月数据源'!$F:$F,"杭州目标准科技有限公司")</f>
        <v/>
      </c>
      <c r="I114" s="89">
        <f>-SUMIFS('4月数据源'!$I:$I,'4月数据源'!$D:$D,$E114,'4月数据源'!$F:$F,"杭州目标准科技有限公司")+SUMIFS('4月数据源'!$J:$J,'4月数据源'!$D:$D,$E114,'4月数据源'!$F:$F,"杭州目标准科技有限公司")</f>
        <v/>
      </c>
      <c r="J114" s="89">
        <f>-SUMIFS('5月数据源'!$I:$I,'5月数据源'!$D:$D,$E114,'5月数据源'!$F:$F,"杭州目标准科技有限公司")+SUMIFS('5月数据源'!$J:$J,'5月数据源'!$D:$D,$E114,'5月数据源'!$F:$F,"杭州目标准科技有限公司")</f>
        <v/>
      </c>
      <c r="K114" s="89">
        <f>-SUMIFS('6月数据源'!$I:$I,'6月数据源'!$D:$D,$E114,'6月数据源'!$F:$F,"杭州目标准科技有限公司")+SUMIFS('6月数据源'!$J:$J,'6月数据源'!$D:$D,$E114,'6月数据源'!$F:$F,"杭州目标准科技有限公司")</f>
        <v/>
      </c>
      <c r="L114" s="89">
        <f>-SUMIFS('7月数据源'!$I:$I,'7月数据源'!$D:$D,$E114,'7月数据源'!$F:$F,"杭州目标准科技有限公司")+SUMIFS('7月数据源'!$J:$J,'7月数据源'!$D:$D,$E114,'7月数据源'!$F:$F,"杭州目标准科技有限公司")</f>
        <v/>
      </c>
      <c r="M114" s="89">
        <f>-SUMIFS('8月数据源'!$I:$I,'8月数据源'!$D:$D,$E114,'8月数据源'!$F:$F,"杭州目标准科技有限公司")+SUMIFS('8月数据源'!$J:$J,'8月数据源'!$D:$D,$E114,'8月数据源'!$F:$F,"杭州目标准科技有限公司")</f>
        <v/>
      </c>
      <c r="N114" s="89">
        <f>-SUMIFS('9月数据源'!$I:$I,'9月数据源'!$D:$D,$E114,'9月数据源'!$F:$F,"杭州目标准科技有限公司")+SUMIFS('9月数据源'!$J:$J,'9月数据源'!$D:$D,$E114,'9月数据源'!$F:$F,"杭州目标准科技有限公司")</f>
        <v/>
      </c>
      <c r="O114" s="89">
        <f>-SUMIFS('10月数据源'!$I:$I,'10月数据源'!$D:$D,$E114,'10月数据源'!$F:$F,"杭州目标准科技有限公司")+SUMIFS('10月数据源'!$J:$J,'10月数据源'!$D:$D,$E114,'10月数据源'!$F:$F,"杭州目标准科技有限公司")</f>
        <v/>
      </c>
      <c r="P114" s="89">
        <f>-SUMIFS('11月数据源'!$I:$I,'11月数据源'!$D:$D,$E114,'11月数据源'!$F:$F,"杭州目标准科技有限公司")+SUMIFS('11月数据源'!$J:$J,'11月数据源'!$D:$D,$E114,'11月数据源'!$F:$F,"杭州目标准科技有限公司")</f>
        <v/>
      </c>
      <c r="Q114" s="89">
        <f>-SUMIFS('12月数据源'!$I:$I,'12月数据源'!$D:$D,$E114,'12月数据源'!$F:$F,"杭州目标准科技有限公司")+SUMIFS('12月数据源'!$J:$J,'12月数据源'!$D:$D,$E114,'12月数据源'!$F:$F,"杭州目标准科技有限公司")</f>
        <v/>
      </c>
    </row>
    <row r="115" s="83">
      <c r="A115" s="5" t="inlineStr">
        <is>
          <t>销售费用</t>
        </is>
      </c>
      <c r="B115" s="6" t="inlineStr">
        <is>
          <t>投放转化</t>
        </is>
      </c>
      <c r="D115" s="5" t="inlineStr">
        <is>
          <t>天猫平台投放充值</t>
        </is>
      </c>
      <c r="E115" s="6" t="inlineStr">
        <is>
          <t>Q2005</t>
        </is>
      </c>
      <c r="F115" s="89">
        <f>-SUMIFS('1月数据源'!I:I,'1月数据源'!D:D,E115,'1月数据源'!F:F,"杭州目标准科技有限公司")+SUMIFS('1月数据源'!J:J,'1月数据源'!D:D,E115,'1月数据源'!F:F,"杭州目标准科技有限公司")</f>
        <v/>
      </c>
      <c r="G115" s="89">
        <f>-SUMIFS('2月数据源'!$I:$I,'2月数据源'!$D:$D,$E115,'2月数据源'!$F:$F,"杭州目标准科技有限公司")+SUMIFS('2月数据源'!$J:$J,'2月数据源'!$D:$D,$E115,'2月数据源'!$F:$F,"杭州目标准科技有限公司")</f>
        <v/>
      </c>
      <c r="H115" s="89">
        <f>-SUMIFS('3月数据源'!$I:$I,'3月数据源'!$D:$D,$E115,'3月数据源'!$F:$F,"杭州目标准科技有限公司")+SUMIFS('3月数据源'!$J:$J,'3月数据源'!$D:$D,$E115,'3月数据源'!$F:$F,"杭州目标准科技有限公司")</f>
        <v/>
      </c>
      <c r="I115" s="89">
        <f>-SUMIFS('4月数据源'!$I:$I,'4月数据源'!$D:$D,$E115,'4月数据源'!$F:$F,"杭州目标准科技有限公司")+SUMIFS('4月数据源'!$J:$J,'4月数据源'!$D:$D,$E115,'4月数据源'!$F:$F,"杭州目标准科技有限公司")</f>
        <v/>
      </c>
      <c r="J115" s="89">
        <f>-SUMIFS('5月数据源'!$I:$I,'5月数据源'!$D:$D,$E115,'5月数据源'!$F:$F,"杭州目标准科技有限公司")+SUMIFS('5月数据源'!$J:$J,'5月数据源'!$D:$D,$E115,'5月数据源'!$F:$F,"杭州目标准科技有限公司")</f>
        <v/>
      </c>
      <c r="K115" s="89">
        <f>-SUMIFS('6月数据源'!$I:$I,'6月数据源'!$D:$D,$E115,'6月数据源'!$F:$F,"杭州目标准科技有限公司")+SUMIFS('6月数据源'!$J:$J,'6月数据源'!$D:$D,$E115,'6月数据源'!$F:$F,"杭州目标准科技有限公司")</f>
        <v/>
      </c>
      <c r="L115" s="89">
        <f>-SUMIFS('7月数据源'!$I:$I,'7月数据源'!$D:$D,$E115,'7月数据源'!$F:$F,"杭州目标准科技有限公司")+SUMIFS('7月数据源'!$J:$J,'7月数据源'!$D:$D,$E115,'7月数据源'!$F:$F,"杭州目标准科技有限公司")</f>
        <v/>
      </c>
      <c r="M115" s="89">
        <f>-SUMIFS('8月数据源'!$I:$I,'8月数据源'!$D:$D,$E115,'8月数据源'!$F:$F,"杭州目标准科技有限公司")+SUMIFS('8月数据源'!$J:$J,'8月数据源'!$D:$D,$E115,'8月数据源'!$F:$F,"杭州目标准科技有限公司")</f>
        <v/>
      </c>
      <c r="N115" s="89">
        <f>-SUMIFS('9月数据源'!$I:$I,'9月数据源'!$D:$D,$E115,'9月数据源'!$F:$F,"杭州目标准科技有限公司")+SUMIFS('9月数据源'!$J:$J,'9月数据源'!$D:$D,$E115,'9月数据源'!$F:$F,"杭州目标准科技有限公司")</f>
        <v/>
      </c>
      <c r="O115" s="89">
        <f>-SUMIFS('10月数据源'!$I:$I,'10月数据源'!$D:$D,$E115,'10月数据源'!$F:$F,"杭州目标准科技有限公司")+SUMIFS('10月数据源'!$J:$J,'10月数据源'!$D:$D,$E115,'10月数据源'!$F:$F,"杭州目标准科技有限公司")</f>
        <v/>
      </c>
      <c r="P115" s="89">
        <f>-SUMIFS('11月数据源'!$I:$I,'11月数据源'!$D:$D,$E115,'11月数据源'!$F:$F,"杭州目标准科技有限公司")+SUMIFS('11月数据源'!$J:$J,'11月数据源'!$D:$D,$E115,'11月数据源'!$F:$F,"杭州目标准科技有限公司")</f>
        <v/>
      </c>
      <c r="Q115" s="89">
        <f>-SUMIFS('12月数据源'!$I:$I,'12月数据源'!$D:$D,$E115,'12月数据源'!$F:$F,"杭州目标准科技有限公司")+SUMIFS('12月数据源'!$J:$J,'12月数据源'!$D:$D,$E115,'12月数据源'!$F:$F,"杭州目标准科技有限公司")</f>
        <v/>
      </c>
    </row>
    <row r="116" s="83">
      <c r="A116" s="5" t="inlineStr">
        <is>
          <t>销售费用</t>
        </is>
      </c>
      <c r="B116" s="6" t="inlineStr">
        <is>
          <t>直播间运营</t>
        </is>
      </c>
      <c r="C116" s="6" t="inlineStr">
        <is>
          <t>直播间运营</t>
        </is>
      </c>
      <c r="D116" s="5" t="inlineStr">
        <is>
          <t>DP-有熊团队服务费</t>
        </is>
      </c>
      <c r="E116" s="6" t="inlineStr">
        <is>
          <t>Q2101</t>
        </is>
      </c>
      <c r="F116" s="89">
        <f>-SUMIFS('1月数据源'!I:I,'1月数据源'!D:D,E116,'1月数据源'!F:F,"杭州目标准科技有限公司")+SUMIFS('1月数据源'!J:J,'1月数据源'!D:D,E116,'1月数据源'!F:F,"杭州目标准科技有限公司")</f>
        <v/>
      </c>
      <c r="G116" s="89">
        <f>-SUMIFS('2月数据源'!$I:$I,'2月数据源'!$D:$D,$E116,'2月数据源'!$F:$F,"杭州目标准科技有限公司")+SUMIFS('2月数据源'!$J:$J,'2月数据源'!$D:$D,$E116,'2月数据源'!$F:$F,"杭州目标准科技有限公司")</f>
        <v/>
      </c>
      <c r="H116" s="89">
        <f>-SUMIFS('3月数据源'!$I:$I,'3月数据源'!$D:$D,$E116,'3月数据源'!$F:$F,"杭州目标准科技有限公司")+SUMIFS('3月数据源'!$J:$J,'3月数据源'!$D:$D,$E116,'3月数据源'!$F:$F,"杭州目标准科技有限公司")</f>
        <v/>
      </c>
      <c r="I116" s="89">
        <f>-SUMIFS('4月数据源'!$I:$I,'4月数据源'!$D:$D,$E116,'4月数据源'!$F:$F,"杭州目标准科技有限公司")+SUMIFS('4月数据源'!$J:$J,'4月数据源'!$D:$D,$E116,'4月数据源'!$F:$F,"杭州目标准科技有限公司")</f>
        <v/>
      </c>
      <c r="J116" s="89">
        <f>-SUMIFS('5月数据源'!$I:$I,'5月数据源'!$D:$D,$E116,'5月数据源'!$F:$F,"杭州目标准科技有限公司")+SUMIFS('5月数据源'!$J:$J,'5月数据源'!$D:$D,$E116,'5月数据源'!$F:$F,"杭州目标准科技有限公司")</f>
        <v/>
      </c>
      <c r="K116" s="89">
        <f>-SUMIFS('6月数据源'!$I:$I,'6月数据源'!$D:$D,$E116,'6月数据源'!$F:$F,"杭州目标准科技有限公司")+SUMIFS('6月数据源'!$J:$J,'6月数据源'!$D:$D,$E116,'6月数据源'!$F:$F,"杭州目标准科技有限公司")</f>
        <v/>
      </c>
      <c r="L116" s="89">
        <f>-SUMIFS('7月数据源'!$I:$I,'7月数据源'!$D:$D,$E116,'7月数据源'!$F:$F,"杭州目标准科技有限公司")+SUMIFS('7月数据源'!$J:$J,'7月数据源'!$D:$D,$E116,'7月数据源'!$F:$F,"杭州目标准科技有限公司")</f>
        <v/>
      </c>
      <c r="M116" s="89">
        <f>-SUMIFS('8月数据源'!$I:$I,'8月数据源'!$D:$D,$E116,'8月数据源'!$F:$F,"杭州目标准科技有限公司")+SUMIFS('8月数据源'!$J:$J,'8月数据源'!$D:$D,$E116,'8月数据源'!$F:$F,"杭州目标准科技有限公司")</f>
        <v/>
      </c>
      <c r="N116" s="89">
        <f>-SUMIFS('9月数据源'!$I:$I,'9月数据源'!$D:$D,$E116,'9月数据源'!$F:$F,"杭州目标准科技有限公司")+SUMIFS('9月数据源'!$J:$J,'9月数据源'!$D:$D,$E116,'9月数据源'!$F:$F,"杭州目标准科技有限公司")</f>
        <v/>
      </c>
      <c r="O116" s="89">
        <f>-SUMIFS('10月数据源'!$I:$I,'10月数据源'!$D:$D,$E116,'10月数据源'!$F:$F,"杭州目标准科技有限公司")+SUMIFS('10月数据源'!$J:$J,'10月数据源'!$D:$D,$E116,'10月数据源'!$F:$F,"杭州目标准科技有限公司")</f>
        <v/>
      </c>
      <c r="P116" s="89">
        <f>-SUMIFS('11月数据源'!$I:$I,'11月数据源'!$D:$D,$E116,'11月数据源'!$F:$F,"杭州目标准科技有限公司")+SUMIFS('11月数据源'!$J:$J,'11月数据源'!$D:$D,$E116,'11月数据源'!$F:$F,"杭州目标准科技有限公司")</f>
        <v/>
      </c>
      <c r="Q116" s="89">
        <f>-SUMIFS('12月数据源'!$I:$I,'12月数据源'!$D:$D,$E116,'12月数据源'!$F:$F,"杭州目标准科技有限公司")+SUMIFS('12月数据源'!$J:$J,'12月数据源'!$D:$D,$E116,'12月数据源'!$F:$F,"杭州目标准科技有限公司")</f>
        <v/>
      </c>
    </row>
    <row r="117" s="83">
      <c r="A117" s="5" t="inlineStr">
        <is>
          <t>销售费用</t>
        </is>
      </c>
      <c r="B117" s="6" t="inlineStr">
        <is>
          <t>直播间运营</t>
        </is>
      </c>
      <c r="D117" s="5" t="inlineStr">
        <is>
          <t>DP-黑哥团队服务费</t>
        </is>
      </c>
      <c r="E117" s="6" t="inlineStr">
        <is>
          <t>Q2102</t>
        </is>
      </c>
      <c r="F117" s="89">
        <f>-SUMIFS('1月数据源'!I:I,'1月数据源'!D:D,E117,'1月数据源'!F:F,"杭州目标准科技有限公司")+SUMIFS('1月数据源'!J:J,'1月数据源'!D:D,E117,'1月数据源'!F:F,"杭州目标准科技有限公司")</f>
        <v/>
      </c>
      <c r="G117" s="89">
        <f>-SUMIFS('2月数据源'!$I:$I,'2月数据源'!$D:$D,$E117,'2月数据源'!$F:$F,"杭州目标准科技有限公司")+SUMIFS('2月数据源'!$J:$J,'2月数据源'!$D:$D,$E117,'2月数据源'!$F:$F,"杭州目标准科技有限公司")</f>
        <v/>
      </c>
      <c r="H117" s="89">
        <f>-SUMIFS('3月数据源'!$I:$I,'3月数据源'!$D:$D,$E117,'3月数据源'!$F:$F,"杭州目标准科技有限公司")+SUMIFS('3月数据源'!$J:$J,'3月数据源'!$D:$D,$E117,'3月数据源'!$F:$F,"杭州目标准科技有限公司")</f>
        <v/>
      </c>
      <c r="I117" s="89">
        <f>-SUMIFS('4月数据源'!$I:$I,'4月数据源'!$D:$D,$E117,'4月数据源'!$F:$F,"杭州目标准科技有限公司")+SUMIFS('4月数据源'!$J:$J,'4月数据源'!$D:$D,$E117,'4月数据源'!$F:$F,"杭州目标准科技有限公司")</f>
        <v/>
      </c>
      <c r="J117" s="89">
        <f>-SUMIFS('5月数据源'!$I:$I,'5月数据源'!$D:$D,$E117,'5月数据源'!$F:$F,"杭州目标准科技有限公司")+SUMIFS('5月数据源'!$J:$J,'5月数据源'!$D:$D,$E117,'5月数据源'!$F:$F,"杭州目标准科技有限公司")</f>
        <v/>
      </c>
      <c r="K117" s="89">
        <f>-SUMIFS('6月数据源'!$I:$I,'6月数据源'!$D:$D,$E117,'6月数据源'!$F:$F,"杭州目标准科技有限公司")+SUMIFS('6月数据源'!$J:$J,'6月数据源'!$D:$D,$E117,'6月数据源'!$F:$F,"杭州目标准科技有限公司")</f>
        <v/>
      </c>
      <c r="L117" s="89">
        <f>-SUMIFS('7月数据源'!$I:$I,'7月数据源'!$D:$D,$E117,'7月数据源'!$F:$F,"杭州目标准科技有限公司")+SUMIFS('7月数据源'!$J:$J,'7月数据源'!$D:$D,$E117,'7月数据源'!$F:$F,"杭州目标准科技有限公司")</f>
        <v/>
      </c>
      <c r="M117" s="89">
        <f>-SUMIFS('8月数据源'!$I:$I,'8月数据源'!$D:$D,$E117,'8月数据源'!$F:$F,"杭州目标准科技有限公司")+SUMIFS('8月数据源'!$J:$J,'8月数据源'!$D:$D,$E117,'8月数据源'!$F:$F,"杭州目标准科技有限公司")</f>
        <v/>
      </c>
      <c r="N117" s="89">
        <f>-SUMIFS('9月数据源'!$I:$I,'9月数据源'!$D:$D,$E117,'9月数据源'!$F:$F,"杭州目标准科技有限公司")+SUMIFS('9月数据源'!$J:$J,'9月数据源'!$D:$D,$E117,'9月数据源'!$F:$F,"杭州目标准科技有限公司")</f>
        <v/>
      </c>
      <c r="O117" s="89">
        <f>-SUMIFS('10月数据源'!$I:$I,'10月数据源'!$D:$D,$E117,'10月数据源'!$F:$F,"杭州目标准科技有限公司")+SUMIFS('10月数据源'!$J:$J,'10月数据源'!$D:$D,$E117,'10月数据源'!$F:$F,"杭州目标准科技有限公司")</f>
        <v/>
      </c>
      <c r="P117" s="89">
        <f>-SUMIFS('11月数据源'!$I:$I,'11月数据源'!$D:$D,$E117,'11月数据源'!$F:$F,"杭州目标准科技有限公司")+SUMIFS('11月数据源'!$J:$J,'11月数据源'!$D:$D,$E117,'11月数据源'!$F:$F,"杭州目标准科技有限公司")</f>
        <v/>
      </c>
      <c r="Q117" s="89">
        <f>-SUMIFS('12月数据源'!$I:$I,'12月数据源'!$D:$D,$E117,'12月数据源'!$F:$F,"杭州目标准科技有限公司")+SUMIFS('12月数据源'!$J:$J,'12月数据源'!$D:$D,$E117,'12月数据源'!$F:$F,"杭州目标准科技有限公司")</f>
        <v/>
      </c>
    </row>
    <row r="118" s="83">
      <c r="A118" s="5" t="inlineStr">
        <is>
          <t>销售费用</t>
        </is>
      </c>
      <c r="B118" s="6" t="inlineStr">
        <is>
          <t>直播间运营</t>
        </is>
      </c>
      <c r="D118" s="5" t="inlineStr">
        <is>
          <t>DP-小太阳团队服务费</t>
        </is>
      </c>
      <c r="E118" s="6" t="inlineStr">
        <is>
          <t>Q2103</t>
        </is>
      </c>
      <c r="F118" s="89">
        <f>-SUMIFS('1月数据源'!I:I,'1月数据源'!D:D,E118,'1月数据源'!F:F,"杭州目标准科技有限公司")+SUMIFS('1月数据源'!J:J,'1月数据源'!D:D,E118,'1月数据源'!F:F,"杭州目标准科技有限公司")</f>
        <v/>
      </c>
      <c r="G118" s="89">
        <f>-SUMIFS('2月数据源'!$I:$I,'2月数据源'!$D:$D,$E118,'2月数据源'!$F:$F,"杭州目标准科技有限公司")+SUMIFS('2月数据源'!$J:$J,'2月数据源'!$D:$D,$E118,'2月数据源'!$F:$F,"杭州目标准科技有限公司")</f>
        <v/>
      </c>
      <c r="H118" s="89">
        <f>-SUMIFS('3月数据源'!$I:$I,'3月数据源'!$D:$D,$E118,'3月数据源'!$F:$F,"杭州目标准科技有限公司")+SUMIFS('3月数据源'!$J:$J,'3月数据源'!$D:$D,$E118,'3月数据源'!$F:$F,"杭州目标准科技有限公司")</f>
        <v/>
      </c>
      <c r="I118" s="89">
        <f>-SUMIFS('4月数据源'!$I:$I,'4月数据源'!$D:$D,$E118,'4月数据源'!$F:$F,"杭州目标准科技有限公司")+SUMIFS('4月数据源'!$J:$J,'4月数据源'!$D:$D,$E118,'4月数据源'!$F:$F,"杭州目标准科技有限公司")</f>
        <v/>
      </c>
      <c r="J118" s="89">
        <f>-SUMIFS('5月数据源'!$I:$I,'5月数据源'!$D:$D,$E118,'5月数据源'!$F:$F,"杭州目标准科技有限公司")+SUMIFS('5月数据源'!$J:$J,'5月数据源'!$D:$D,$E118,'5月数据源'!$F:$F,"杭州目标准科技有限公司")</f>
        <v/>
      </c>
      <c r="K118" s="89">
        <f>-SUMIFS('6月数据源'!$I:$I,'6月数据源'!$D:$D,$E118,'6月数据源'!$F:$F,"杭州目标准科技有限公司")+SUMIFS('6月数据源'!$J:$J,'6月数据源'!$D:$D,$E118,'6月数据源'!$F:$F,"杭州目标准科技有限公司")</f>
        <v/>
      </c>
      <c r="L118" s="89">
        <f>-SUMIFS('7月数据源'!$I:$I,'7月数据源'!$D:$D,$E118,'7月数据源'!$F:$F,"杭州目标准科技有限公司")+SUMIFS('7月数据源'!$J:$J,'7月数据源'!$D:$D,$E118,'7月数据源'!$F:$F,"杭州目标准科技有限公司")</f>
        <v/>
      </c>
      <c r="M118" s="89">
        <f>-SUMIFS('8月数据源'!$I:$I,'8月数据源'!$D:$D,$E118,'8月数据源'!$F:$F,"杭州目标准科技有限公司")+SUMIFS('8月数据源'!$J:$J,'8月数据源'!$D:$D,$E118,'8月数据源'!$F:$F,"杭州目标准科技有限公司")</f>
        <v/>
      </c>
      <c r="N118" s="89">
        <f>-SUMIFS('9月数据源'!$I:$I,'9月数据源'!$D:$D,$E118,'9月数据源'!$F:$F,"杭州目标准科技有限公司")+SUMIFS('9月数据源'!$J:$J,'9月数据源'!$D:$D,$E118,'9月数据源'!$F:$F,"杭州目标准科技有限公司")</f>
        <v/>
      </c>
      <c r="O118" s="89">
        <f>-SUMIFS('10月数据源'!$I:$I,'10月数据源'!$D:$D,$E118,'10月数据源'!$F:$F,"杭州目标准科技有限公司")+SUMIFS('10月数据源'!$J:$J,'10月数据源'!$D:$D,$E118,'10月数据源'!$F:$F,"杭州目标准科技有限公司")</f>
        <v/>
      </c>
      <c r="P118" s="89">
        <f>-SUMIFS('11月数据源'!$I:$I,'11月数据源'!$D:$D,$E118,'11月数据源'!$F:$F,"杭州目标准科技有限公司")+SUMIFS('11月数据源'!$J:$J,'11月数据源'!$D:$D,$E118,'11月数据源'!$F:$F,"杭州目标准科技有限公司")</f>
        <v/>
      </c>
      <c r="Q118" s="89">
        <f>-SUMIFS('12月数据源'!$I:$I,'12月数据源'!$D:$D,$E118,'12月数据源'!$F:$F,"杭州目标准科技有限公司")+SUMIFS('12月数据源'!$J:$J,'12月数据源'!$D:$D,$E118,'12月数据源'!$F:$F,"杭州目标准科技有限公司")</f>
        <v/>
      </c>
    </row>
    <row r="119" s="83">
      <c r="A119" s="5" t="inlineStr">
        <is>
          <t>销售费用</t>
        </is>
      </c>
      <c r="B119" s="6" t="inlineStr">
        <is>
          <t>直播间运营</t>
        </is>
      </c>
      <c r="D119" s="5" t="inlineStr">
        <is>
          <t>直播间搭建费用</t>
        </is>
      </c>
      <c r="E119" s="6" t="inlineStr">
        <is>
          <t>Q2104</t>
        </is>
      </c>
      <c r="F119" s="89">
        <f>-SUMIFS('1月数据源'!I:I,'1月数据源'!D:D,E119,'1月数据源'!F:F,"杭州目标准科技有限公司")+SUMIFS('1月数据源'!J:J,'1月数据源'!D:D,E119,'1月数据源'!F:F,"杭州目标准科技有限公司")</f>
        <v/>
      </c>
      <c r="G119" s="89">
        <f>-SUMIFS('2月数据源'!$I:$I,'2月数据源'!$D:$D,$E119,'2月数据源'!$F:$F,"杭州目标准科技有限公司")+SUMIFS('2月数据源'!$J:$J,'2月数据源'!$D:$D,$E119,'2月数据源'!$F:$F,"杭州目标准科技有限公司")</f>
        <v/>
      </c>
      <c r="H119" s="89">
        <f>-SUMIFS('3月数据源'!$I:$I,'3月数据源'!$D:$D,$E119,'3月数据源'!$F:$F,"杭州目标准科技有限公司")+SUMIFS('3月数据源'!$J:$J,'3月数据源'!$D:$D,$E119,'3月数据源'!$F:$F,"杭州目标准科技有限公司")</f>
        <v/>
      </c>
      <c r="I119" s="89">
        <f>-SUMIFS('4月数据源'!$I:$I,'4月数据源'!$D:$D,$E119,'4月数据源'!$F:$F,"杭州目标准科技有限公司")+SUMIFS('4月数据源'!$J:$J,'4月数据源'!$D:$D,$E119,'4月数据源'!$F:$F,"杭州目标准科技有限公司")</f>
        <v/>
      </c>
      <c r="J119" s="89">
        <f>-SUMIFS('5月数据源'!$I:$I,'5月数据源'!$D:$D,$E119,'5月数据源'!$F:$F,"杭州目标准科技有限公司")+SUMIFS('5月数据源'!$J:$J,'5月数据源'!$D:$D,$E119,'5月数据源'!$F:$F,"杭州目标准科技有限公司")</f>
        <v/>
      </c>
      <c r="K119" s="89">
        <f>-SUMIFS('6月数据源'!$I:$I,'6月数据源'!$D:$D,$E119,'6月数据源'!$F:$F,"杭州目标准科技有限公司")+SUMIFS('6月数据源'!$J:$J,'6月数据源'!$D:$D,$E119,'6月数据源'!$F:$F,"杭州目标准科技有限公司")</f>
        <v/>
      </c>
      <c r="L119" s="89">
        <f>-SUMIFS('7月数据源'!$I:$I,'7月数据源'!$D:$D,$E119,'7月数据源'!$F:$F,"杭州目标准科技有限公司")+SUMIFS('7月数据源'!$J:$J,'7月数据源'!$D:$D,$E119,'7月数据源'!$F:$F,"杭州目标准科技有限公司")</f>
        <v/>
      </c>
      <c r="M119" s="89">
        <f>-SUMIFS('8月数据源'!$I:$I,'8月数据源'!$D:$D,$E119,'8月数据源'!$F:$F,"杭州目标准科技有限公司")+SUMIFS('8月数据源'!$J:$J,'8月数据源'!$D:$D,$E119,'8月数据源'!$F:$F,"杭州目标准科技有限公司")</f>
        <v/>
      </c>
      <c r="N119" s="89">
        <f>-SUMIFS('9月数据源'!$I:$I,'9月数据源'!$D:$D,$E119,'9月数据源'!$F:$F,"杭州目标准科技有限公司")+SUMIFS('9月数据源'!$J:$J,'9月数据源'!$D:$D,$E119,'9月数据源'!$F:$F,"杭州目标准科技有限公司")</f>
        <v/>
      </c>
      <c r="O119" s="89">
        <f>-SUMIFS('10月数据源'!$I:$I,'10月数据源'!$D:$D,$E119,'10月数据源'!$F:$F,"杭州目标准科技有限公司")+SUMIFS('10月数据源'!$J:$J,'10月数据源'!$D:$D,$E119,'10月数据源'!$F:$F,"杭州目标准科技有限公司")</f>
        <v/>
      </c>
      <c r="P119" s="89">
        <f>-SUMIFS('11月数据源'!$I:$I,'11月数据源'!$D:$D,$E119,'11月数据源'!$F:$F,"杭州目标准科技有限公司")+SUMIFS('11月数据源'!$J:$J,'11月数据源'!$D:$D,$E119,'11月数据源'!$F:$F,"杭州目标准科技有限公司")</f>
        <v/>
      </c>
      <c r="Q119" s="89">
        <f>-SUMIFS('12月数据源'!$I:$I,'12月数据源'!$D:$D,$E119,'12月数据源'!$F:$F,"杭州目标准科技有限公司")+SUMIFS('12月数据源'!$J:$J,'12月数据源'!$D:$D,$E119,'12月数据源'!$F:$F,"杭州目标准科技有限公司")</f>
        <v/>
      </c>
    </row>
    <row r="120" s="83">
      <c r="A120" s="5" t="inlineStr">
        <is>
          <t>销售费用</t>
        </is>
      </c>
      <c r="B120" s="6" t="inlineStr">
        <is>
          <t>平台运营</t>
        </is>
      </c>
      <c r="C120" s="6" t="inlineStr">
        <is>
          <t>平台运营</t>
        </is>
      </c>
      <c r="D120" s="5" t="inlineStr">
        <is>
          <t>分期服务费</t>
        </is>
      </c>
      <c r="E120" s="6" t="inlineStr">
        <is>
          <t>Q2204</t>
        </is>
      </c>
      <c r="F120" s="89">
        <f>-SUMIFS('1月数据源'!I:I,'1月数据源'!D:D,E120,'1月数据源'!F:F,"杭州目标准科技有限公司")+SUMIFS('1月数据源'!J:J,'1月数据源'!D:D,E120,'1月数据源'!F:F,"杭州目标准科技有限公司")</f>
        <v/>
      </c>
      <c r="G120" s="89">
        <f>-SUMIFS('2月数据源'!$I:$I,'2月数据源'!$D:$D,$E120,'2月数据源'!$F:$F,"杭州目标准科技有限公司")+SUMIFS('2月数据源'!$J:$J,'2月数据源'!$D:$D,$E120,'2月数据源'!$F:$F,"杭州目标准科技有限公司")</f>
        <v/>
      </c>
      <c r="H120" s="89">
        <f>-SUMIFS('3月数据源'!$I:$I,'3月数据源'!$D:$D,$E120,'3月数据源'!$F:$F,"杭州目标准科技有限公司")+SUMIFS('3月数据源'!$J:$J,'3月数据源'!$D:$D,$E120,'3月数据源'!$F:$F,"杭州目标准科技有限公司")</f>
        <v/>
      </c>
      <c r="I120" s="89">
        <f>-SUMIFS('4月数据源'!$I:$I,'4月数据源'!$D:$D,$E120,'4月数据源'!$F:$F,"杭州目标准科技有限公司")+SUMIFS('4月数据源'!$J:$J,'4月数据源'!$D:$D,$E120,'4月数据源'!$F:$F,"杭州目标准科技有限公司")</f>
        <v/>
      </c>
      <c r="J120" s="89">
        <f>-SUMIFS('5月数据源'!$I:$I,'5月数据源'!$D:$D,$E120,'5月数据源'!$F:$F,"杭州目标准科技有限公司")+SUMIFS('5月数据源'!$J:$J,'5月数据源'!$D:$D,$E120,'5月数据源'!$F:$F,"杭州目标准科技有限公司")</f>
        <v/>
      </c>
      <c r="K120" s="89">
        <f>-SUMIFS('6月数据源'!$I:$I,'6月数据源'!$D:$D,$E120,'6月数据源'!$F:$F,"杭州目标准科技有限公司")+SUMIFS('6月数据源'!$J:$J,'6月数据源'!$D:$D,$E120,'6月数据源'!$F:$F,"杭州目标准科技有限公司")</f>
        <v/>
      </c>
      <c r="L120" s="89">
        <f>-SUMIFS('7月数据源'!$I:$I,'7月数据源'!$D:$D,$E120,'7月数据源'!$F:$F,"杭州目标准科技有限公司")+SUMIFS('7月数据源'!$J:$J,'7月数据源'!$D:$D,$E120,'7月数据源'!$F:$F,"杭州目标准科技有限公司")</f>
        <v/>
      </c>
      <c r="M120" s="89">
        <f>-SUMIFS('8月数据源'!$I:$I,'8月数据源'!$D:$D,$E120,'8月数据源'!$F:$F,"杭州目标准科技有限公司")+SUMIFS('8月数据源'!$J:$J,'8月数据源'!$D:$D,$E120,'8月数据源'!$F:$F,"杭州目标准科技有限公司")</f>
        <v/>
      </c>
      <c r="N120" s="89">
        <f>-SUMIFS('9月数据源'!$I:$I,'9月数据源'!$D:$D,$E120,'9月数据源'!$F:$F,"杭州目标准科技有限公司")+SUMIFS('9月数据源'!$J:$J,'9月数据源'!$D:$D,$E120,'9月数据源'!$F:$F,"杭州目标准科技有限公司")</f>
        <v/>
      </c>
      <c r="O120" s="89">
        <f>-SUMIFS('10月数据源'!$I:$I,'10月数据源'!$D:$D,$E120,'10月数据源'!$F:$F,"杭州目标准科技有限公司")+SUMIFS('10月数据源'!$J:$J,'10月数据源'!$D:$D,$E120,'10月数据源'!$F:$F,"杭州目标准科技有限公司")</f>
        <v/>
      </c>
      <c r="P120" s="89">
        <f>-SUMIFS('11月数据源'!$I:$I,'11月数据源'!$D:$D,$E120,'11月数据源'!$F:$F,"杭州目标准科技有限公司")+SUMIFS('11月数据源'!$J:$J,'11月数据源'!$D:$D,$E120,'11月数据源'!$F:$F,"杭州目标准科技有限公司")</f>
        <v/>
      </c>
      <c r="Q120" s="89">
        <f>-SUMIFS('12月数据源'!$I:$I,'12月数据源'!$D:$D,$E120,'12月数据源'!$F:$F,"杭州目标准科技有限公司")+SUMIFS('12月数据源'!$J:$J,'12月数据源'!$D:$D,$E120,'12月数据源'!$F:$F,"杭州目标准科技有限公司")</f>
        <v/>
      </c>
    </row>
    <row r="121" s="83">
      <c r="A121" s="5" t="inlineStr">
        <is>
          <t>销售费用</t>
        </is>
      </c>
      <c r="B121" s="6" t="inlineStr">
        <is>
          <t>平台运营</t>
        </is>
      </c>
      <c r="D121" s="5" t="inlineStr">
        <is>
          <t>平台服务费</t>
        </is>
      </c>
      <c r="E121" s="6" t="inlineStr">
        <is>
          <t>Q2201</t>
        </is>
      </c>
      <c r="F121" s="89">
        <f>-SUMIFS('1月数据源'!I:I,'1月数据源'!D:D,E121,'1月数据源'!F:F,"杭州目标准科技有限公司")+SUMIFS('1月数据源'!J:J,'1月数据源'!D:D,E121,'1月数据源'!F:F,"杭州目标准科技有限公司")</f>
        <v/>
      </c>
      <c r="G121" s="89">
        <f>-SUMIFS('2月数据源'!$I:$I,'2月数据源'!$D:$D,$E121,'2月数据源'!$F:$F,"杭州目标准科技有限公司")+SUMIFS('2月数据源'!$J:$J,'2月数据源'!$D:$D,$E121,'2月数据源'!$F:$F,"杭州目标准科技有限公司")</f>
        <v/>
      </c>
      <c r="H121" s="89">
        <f>-SUMIFS('3月数据源'!$I:$I,'3月数据源'!$D:$D,$E121,'3月数据源'!$F:$F,"杭州目标准科技有限公司")+SUMIFS('3月数据源'!$J:$J,'3月数据源'!$D:$D,$E121,'3月数据源'!$F:$F,"杭州目标准科技有限公司")</f>
        <v/>
      </c>
      <c r="I121" s="89">
        <f>-SUMIFS('4月数据源'!$I:$I,'4月数据源'!$D:$D,$E121,'4月数据源'!$F:$F,"杭州目标准科技有限公司")+SUMIFS('4月数据源'!$J:$J,'4月数据源'!$D:$D,$E121,'4月数据源'!$F:$F,"杭州目标准科技有限公司")</f>
        <v/>
      </c>
      <c r="J121" s="89">
        <f>-SUMIFS('5月数据源'!$I:$I,'5月数据源'!$D:$D,$E121,'5月数据源'!$F:$F,"杭州目标准科技有限公司")+SUMIFS('5月数据源'!$J:$J,'5月数据源'!$D:$D,$E121,'5月数据源'!$F:$F,"杭州目标准科技有限公司")</f>
        <v/>
      </c>
      <c r="K121" s="89">
        <f>-SUMIFS('6月数据源'!$I:$I,'6月数据源'!$D:$D,$E121,'6月数据源'!$F:$F,"杭州目标准科技有限公司")+SUMIFS('6月数据源'!$J:$J,'6月数据源'!$D:$D,$E121,'6月数据源'!$F:$F,"杭州目标准科技有限公司")</f>
        <v/>
      </c>
      <c r="L121" s="89">
        <f>-SUMIFS('7月数据源'!$I:$I,'7月数据源'!$D:$D,$E121,'7月数据源'!$F:$F,"杭州目标准科技有限公司")+SUMIFS('7月数据源'!$J:$J,'7月数据源'!$D:$D,$E121,'7月数据源'!$F:$F,"杭州目标准科技有限公司")</f>
        <v/>
      </c>
      <c r="M121" s="89">
        <f>-SUMIFS('8月数据源'!$I:$I,'8月数据源'!$D:$D,$E121,'8月数据源'!$F:$F,"杭州目标准科技有限公司")+SUMIFS('8月数据源'!$J:$J,'8月数据源'!$D:$D,$E121,'8月数据源'!$F:$F,"杭州目标准科技有限公司")</f>
        <v/>
      </c>
      <c r="N121" s="89">
        <f>-SUMIFS('9月数据源'!$I:$I,'9月数据源'!$D:$D,$E121,'9月数据源'!$F:$F,"杭州目标准科技有限公司")+SUMIFS('9月数据源'!$J:$J,'9月数据源'!$D:$D,$E121,'9月数据源'!$F:$F,"杭州目标准科技有限公司")</f>
        <v/>
      </c>
      <c r="O121" s="89">
        <f>-SUMIFS('10月数据源'!$I:$I,'10月数据源'!$D:$D,$E121,'10月数据源'!$F:$F,"杭州目标准科技有限公司")+SUMIFS('10月数据源'!$J:$J,'10月数据源'!$D:$D,$E121,'10月数据源'!$F:$F,"杭州目标准科技有限公司")</f>
        <v/>
      </c>
      <c r="P121" s="89">
        <f>-SUMIFS('11月数据源'!$I:$I,'11月数据源'!$D:$D,$E121,'11月数据源'!$F:$F,"杭州目标准科技有限公司")+SUMIFS('11月数据源'!$J:$J,'11月数据源'!$D:$D,$E121,'11月数据源'!$F:$F,"杭州目标准科技有限公司")</f>
        <v/>
      </c>
      <c r="Q121" s="89">
        <f>-SUMIFS('12月数据源'!$I:$I,'12月数据源'!$D:$D,$E121,'12月数据源'!$F:$F,"杭州目标准科技有限公司")+SUMIFS('12月数据源'!$J:$J,'12月数据源'!$D:$D,$E121,'12月数据源'!$F:$F,"杭州目标准科技有限公司")</f>
        <v/>
      </c>
    </row>
    <row r="122" s="83">
      <c r="A122" s="5" t="inlineStr">
        <is>
          <t>销售费用</t>
        </is>
      </c>
      <c r="B122" s="6" t="inlineStr">
        <is>
          <t>平台运营</t>
        </is>
      </c>
      <c r="D122" s="5" t="inlineStr">
        <is>
          <t>权益保险</t>
        </is>
      </c>
      <c r="E122" s="6" t="inlineStr">
        <is>
          <t>Q2205</t>
        </is>
      </c>
      <c r="F122" s="89">
        <f>-SUMIFS('1月数据源'!I:I,'1月数据源'!D:D,E122,'1月数据源'!F:F,"杭州目标准科技有限公司")+SUMIFS('1月数据源'!J:J,'1月数据源'!D:D,E122,'1月数据源'!F:F,"杭州目标准科技有限公司")</f>
        <v/>
      </c>
      <c r="G122" s="89">
        <f>-SUMIFS('2月数据源'!$I:$I,'2月数据源'!$D:$D,$E122,'2月数据源'!$F:$F,"杭州目标准科技有限公司")+SUMIFS('2月数据源'!$J:$J,'2月数据源'!$D:$D,$E122,'2月数据源'!$F:$F,"杭州目标准科技有限公司")</f>
        <v/>
      </c>
      <c r="H122" s="89">
        <f>-SUMIFS('3月数据源'!$I:$I,'3月数据源'!$D:$D,$E122,'3月数据源'!$F:$F,"杭州目标准科技有限公司")+SUMIFS('3月数据源'!$J:$J,'3月数据源'!$D:$D,$E122,'3月数据源'!$F:$F,"杭州目标准科技有限公司")</f>
        <v/>
      </c>
      <c r="I122" s="89">
        <f>-SUMIFS('4月数据源'!$I:$I,'4月数据源'!$D:$D,$E122,'4月数据源'!$F:$F,"杭州目标准科技有限公司")+SUMIFS('4月数据源'!$J:$J,'4月数据源'!$D:$D,$E122,'4月数据源'!$F:$F,"杭州目标准科技有限公司")</f>
        <v/>
      </c>
      <c r="J122" s="89">
        <f>-SUMIFS('5月数据源'!$I:$I,'5月数据源'!$D:$D,$E122,'5月数据源'!$F:$F,"杭州目标准科技有限公司")+SUMIFS('5月数据源'!$J:$J,'5月数据源'!$D:$D,$E122,'5月数据源'!$F:$F,"杭州目标准科技有限公司")</f>
        <v/>
      </c>
      <c r="K122" s="89">
        <f>-SUMIFS('6月数据源'!$I:$I,'6月数据源'!$D:$D,$E122,'6月数据源'!$F:$F,"杭州目标准科技有限公司")+SUMIFS('6月数据源'!$J:$J,'6月数据源'!$D:$D,$E122,'6月数据源'!$F:$F,"杭州目标准科技有限公司")</f>
        <v/>
      </c>
      <c r="L122" s="89">
        <f>-SUMIFS('7月数据源'!$I:$I,'7月数据源'!$D:$D,$E122,'7月数据源'!$F:$F,"杭州目标准科技有限公司")+SUMIFS('7月数据源'!$J:$J,'7月数据源'!$D:$D,$E122,'7月数据源'!$F:$F,"杭州目标准科技有限公司")</f>
        <v/>
      </c>
      <c r="M122" s="89">
        <f>-SUMIFS('8月数据源'!$I:$I,'8月数据源'!$D:$D,$E122,'8月数据源'!$F:$F,"杭州目标准科技有限公司")+SUMIFS('8月数据源'!$J:$J,'8月数据源'!$D:$D,$E122,'8月数据源'!$F:$F,"杭州目标准科技有限公司")</f>
        <v/>
      </c>
      <c r="N122" s="89">
        <f>-SUMIFS('9月数据源'!$I:$I,'9月数据源'!$D:$D,$E122,'9月数据源'!$F:$F,"杭州目标准科技有限公司")+SUMIFS('9月数据源'!$J:$J,'9月数据源'!$D:$D,$E122,'9月数据源'!$F:$F,"杭州目标准科技有限公司")</f>
        <v/>
      </c>
      <c r="O122" s="89">
        <f>-SUMIFS('10月数据源'!$I:$I,'10月数据源'!$D:$D,$E122,'10月数据源'!$F:$F,"杭州目标准科技有限公司")+SUMIFS('10月数据源'!$J:$J,'10月数据源'!$D:$D,$E122,'10月数据源'!$F:$F,"杭州目标准科技有限公司")</f>
        <v/>
      </c>
      <c r="P122" s="89">
        <f>-SUMIFS('11月数据源'!$I:$I,'11月数据源'!$D:$D,$E122,'11月数据源'!$F:$F,"杭州目标准科技有限公司")+SUMIFS('11月数据源'!$J:$J,'11月数据源'!$D:$D,$E122,'11月数据源'!$F:$F,"杭州目标准科技有限公司")</f>
        <v/>
      </c>
      <c r="Q122" s="89">
        <f>-SUMIFS('12月数据源'!$I:$I,'12月数据源'!$D:$D,$E122,'12月数据源'!$F:$F,"杭州目标准科技有限公司")+SUMIFS('12月数据源'!$J:$J,'12月数据源'!$D:$D,$E122,'12月数据源'!$F:$F,"杭州目标准科技有限公司")</f>
        <v/>
      </c>
    </row>
    <row r="123" s="83">
      <c r="A123" s="5" t="inlineStr">
        <is>
          <t>销售费用</t>
        </is>
      </c>
      <c r="B123" s="6" t="inlineStr">
        <is>
          <t>平台运营</t>
        </is>
      </c>
      <c r="D123" s="5" t="inlineStr">
        <is>
          <t>消费者赔付</t>
        </is>
      </c>
      <c r="E123" s="6" t="inlineStr">
        <is>
          <t>Q2206</t>
        </is>
      </c>
      <c r="F123" s="89">
        <f>-SUMIFS('1月数据源'!I:I,'1月数据源'!D:D,E123,'1月数据源'!F:F,"杭州目标准科技有限公司")+SUMIFS('1月数据源'!J:J,'1月数据源'!D:D,E123,'1月数据源'!F:F,"杭州目标准科技有限公司")</f>
        <v/>
      </c>
      <c r="G123" s="89">
        <f>-SUMIFS('2月数据源'!$I:$I,'2月数据源'!$D:$D,$E123,'2月数据源'!$F:$F,"杭州目标准科技有限公司")+SUMIFS('2月数据源'!$J:$J,'2月数据源'!$D:$D,$E123,'2月数据源'!$F:$F,"杭州目标准科技有限公司")</f>
        <v/>
      </c>
      <c r="H123" s="89">
        <f>-SUMIFS('3月数据源'!$I:$I,'3月数据源'!$D:$D,$E123,'3月数据源'!$F:$F,"杭州目标准科技有限公司")+SUMIFS('3月数据源'!$J:$J,'3月数据源'!$D:$D,$E123,'3月数据源'!$F:$F,"杭州目标准科技有限公司")</f>
        <v/>
      </c>
      <c r="I123" s="89">
        <f>-SUMIFS('4月数据源'!$I:$I,'4月数据源'!$D:$D,$E123,'4月数据源'!$F:$F,"杭州目标准科技有限公司")+SUMIFS('4月数据源'!$J:$J,'4月数据源'!$D:$D,$E123,'4月数据源'!$F:$F,"杭州目标准科技有限公司")</f>
        <v/>
      </c>
      <c r="J123" s="89">
        <f>-SUMIFS('5月数据源'!$I:$I,'5月数据源'!$D:$D,$E123,'5月数据源'!$F:$F,"杭州目标准科技有限公司")+SUMIFS('5月数据源'!$J:$J,'5月数据源'!$D:$D,$E123,'5月数据源'!$F:$F,"杭州目标准科技有限公司")</f>
        <v/>
      </c>
      <c r="K123" s="89">
        <f>-SUMIFS('6月数据源'!$I:$I,'6月数据源'!$D:$D,$E123,'6月数据源'!$F:$F,"杭州目标准科技有限公司")+SUMIFS('6月数据源'!$J:$J,'6月数据源'!$D:$D,$E123,'6月数据源'!$F:$F,"杭州目标准科技有限公司")</f>
        <v/>
      </c>
      <c r="L123" s="89">
        <f>-SUMIFS('7月数据源'!$I:$I,'7月数据源'!$D:$D,$E123,'7月数据源'!$F:$F,"杭州目标准科技有限公司")+SUMIFS('7月数据源'!$J:$J,'7月数据源'!$D:$D,$E123,'7月数据源'!$F:$F,"杭州目标准科技有限公司")</f>
        <v/>
      </c>
      <c r="M123" s="89">
        <f>-SUMIFS('8月数据源'!$I:$I,'8月数据源'!$D:$D,$E123,'8月数据源'!$F:$F,"杭州目标准科技有限公司")+SUMIFS('8月数据源'!$J:$J,'8月数据源'!$D:$D,$E123,'8月数据源'!$F:$F,"杭州目标准科技有限公司")</f>
        <v/>
      </c>
      <c r="N123" s="89">
        <f>-SUMIFS('9月数据源'!$I:$I,'9月数据源'!$D:$D,$E123,'9月数据源'!$F:$F,"杭州目标准科技有限公司")+SUMIFS('9月数据源'!$J:$J,'9月数据源'!$D:$D,$E123,'9月数据源'!$F:$F,"杭州目标准科技有限公司")</f>
        <v/>
      </c>
      <c r="O123" s="89">
        <f>-SUMIFS('10月数据源'!$I:$I,'10月数据源'!$D:$D,$E123,'10月数据源'!$F:$F,"杭州目标准科技有限公司")+SUMIFS('10月数据源'!$J:$J,'10月数据源'!$D:$D,$E123,'10月数据源'!$F:$F,"杭州目标准科技有限公司")</f>
        <v/>
      </c>
      <c r="P123" s="89">
        <f>-SUMIFS('11月数据源'!$I:$I,'11月数据源'!$D:$D,$E123,'11月数据源'!$F:$F,"杭州目标准科技有限公司")+SUMIFS('11月数据源'!$J:$J,'11月数据源'!$D:$D,$E123,'11月数据源'!$F:$F,"杭州目标准科技有限公司")</f>
        <v/>
      </c>
      <c r="Q123" s="89">
        <f>-SUMIFS('12月数据源'!$I:$I,'12月数据源'!$D:$D,$E123,'12月数据源'!$F:$F,"杭州目标准科技有限公司")+SUMIFS('12月数据源'!$J:$J,'12月数据源'!$D:$D,$E123,'12月数据源'!$F:$F,"杭州目标准科技有限公司")</f>
        <v/>
      </c>
    </row>
    <row r="124" s="83">
      <c r="A124" s="5" t="inlineStr">
        <is>
          <t>销售费用</t>
        </is>
      </c>
      <c r="B124" s="6" t="inlineStr">
        <is>
          <t>平台运营</t>
        </is>
      </c>
      <c r="D124" s="5" t="inlineStr">
        <is>
          <t>平台积分扣款</t>
        </is>
      </c>
      <c r="E124" s="6" t="inlineStr">
        <is>
          <t>Q2207</t>
        </is>
      </c>
      <c r="F124" s="89">
        <f>-SUMIFS('1月数据源'!I:I,'1月数据源'!D:D,E124,'1月数据源'!F:F,"杭州目标准科技有限公司")+SUMIFS('1月数据源'!J:J,'1月数据源'!D:D,E124,'1月数据源'!F:F,"杭州目标准科技有限公司")</f>
        <v/>
      </c>
      <c r="G124" s="89">
        <f>-SUMIFS('2月数据源'!$I:$I,'2月数据源'!$D:$D,$E124,'2月数据源'!$F:$F,"杭州目标准科技有限公司")+SUMIFS('2月数据源'!$J:$J,'2月数据源'!$D:$D,$E124,'2月数据源'!$F:$F,"杭州目标准科技有限公司")</f>
        <v/>
      </c>
      <c r="H124" s="89">
        <f>-SUMIFS('3月数据源'!$I:$I,'3月数据源'!$D:$D,$E124,'3月数据源'!$F:$F,"杭州目标准科技有限公司")+SUMIFS('3月数据源'!$J:$J,'3月数据源'!$D:$D,$E124,'3月数据源'!$F:$F,"杭州目标准科技有限公司")</f>
        <v/>
      </c>
      <c r="I124" s="89">
        <f>-SUMIFS('4月数据源'!$I:$I,'4月数据源'!$D:$D,$E124,'4月数据源'!$F:$F,"杭州目标准科技有限公司")+SUMIFS('4月数据源'!$J:$J,'4月数据源'!$D:$D,$E124,'4月数据源'!$F:$F,"杭州目标准科技有限公司")</f>
        <v/>
      </c>
      <c r="J124" s="89">
        <f>-SUMIFS('5月数据源'!$I:$I,'5月数据源'!$D:$D,$E124,'5月数据源'!$F:$F,"杭州目标准科技有限公司")+SUMIFS('5月数据源'!$J:$J,'5月数据源'!$D:$D,$E124,'5月数据源'!$F:$F,"杭州目标准科技有限公司")</f>
        <v/>
      </c>
      <c r="K124" s="89">
        <f>-SUMIFS('6月数据源'!$I:$I,'6月数据源'!$D:$D,$E124,'6月数据源'!$F:$F,"杭州目标准科技有限公司")+SUMIFS('6月数据源'!$J:$J,'6月数据源'!$D:$D,$E124,'6月数据源'!$F:$F,"杭州目标准科技有限公司")</f>
        <v/>
      </c>
      <c r="L124" s="89">
        <f>-SUMIFS('7月数据源'!$I:$I,'7月数据源'!$D:$D,$E124,'7月数据源'!$F:$F,"杭州目标准科技有限公司")+SUMIFS('7月数据源'!$J:$J,'7月数据源'!$D:$D,$E124,'7月数据源'!$F:$F,"杭州目标准科技有限公司")</f>
        <v/>
      </c>
      <c r="M124" s="89">
        <f>-SUMIFS('8月数据源'!$I:$I,'8月数据源'!$D:$D,$E124,'8月数据源'!$F:$F,"杭州目标准科技有限公司")+SUMIFS('8月数据源'!$J:$J,'8月数据源'!$D:$D,$E124,'8月数据源'!$F:$F,"杭州目标准科技有限公司")</f>
        <v/>
      </c>
      <c r="N124" s="89">
        <f>-SUMIFS('9月数据源'!$I:$I,'9月数据源'!$D:$D,$E124,'9月数据源'!$F:$F,"杭州目标准科技有限公司")+SUMIFS('9月数据源'!$J:$J,'9月数据源'!$D:$D,$E124,'9月数据源'!$F:$F,"杭州目标准科技有限公司")</f>
        <v/>
      </c>
      <c r="O124" s="89">
        <f>-SUMIFS('10月数据源'!$I:$I,'10月数据源'!$D:$D,$E124,'10月数据源'!$F:$F,"杭州目标准科技有限公司")+SUMIFS('10月数据源'!$J:$J,'10月数据源'!$D:$D,$E124,'10月数据源'!$F:$F,"杭州目标准科技有限公司")</f>
        <v/>
      </c>
      <c r="P124" s="89">
        <f>-SUMIFS('11月数据源'!$I:$I,'11月数据源'!$D:$D,$E124,'11月数据源'!$F:$F,"杭州目标准科技有限公司")+SUMIFS('11月数据源'!$J:$J,'11月数据源'!$D:$D,$E124,'11月数据源'!$F:$F,"杭州目标准科技有限公司")</f>
        <v/>
      </c>
      <c r="Q124" s="89">
        <f>-SUMIFS('12月数据源'!$I:$I,'12月数据源'!$D:$D,$E124,'12月数据源'!$F:$F,"杭州目标准科技有限公司")+SUMIFS('12月数据源'!$J:$J,'12月数据源'!$D:$D,$E124,'12月数据源'!$F:$F,"杭州目标准科技有限公司")</f>
        <v/>
      </c>
    </row>
    <row r="125" s="83">
      <c r="A125" s="5" t="inlineStr">
        <is>
          <t>销售费用</t>
        </is>
      </c>
      <c r="B125" s="6" t="inlineStr">
        <is>
          <t>平台运营</t>
        </is>
      </c>
      <c r="D125" s="5" t="inlineStr">
        <is>
          <t>平台推荐佣金</t>
        </is>
      </c>
      <c r="E125" s="6" t="inlineStr">
        <is>
          <t>Q2208</t>
        </is>
      </c>
      <c r="F125" s="89">
        <f>-SUMIFS('1月数据源'!I:I,'1月数据源'!D:D,E125,'1月数据源'!F:F,"杭州目标准科技有限公司")+SUMIFS('1月数据源'!J:J,'1月数据源'!D:D,E125,'1月数据源'!F:F,"杭州目标准科技有限公司")</f>
        <v/>
      </c>
      <c r="G125" s="89">
        <f>-SUMIFS('2月数据源'!$I:$I,'2月数据源'!$D:$D,$E125,'2月数据源'!$F:$F,"杭州目标准科技有限公司")+SUMIFS('2月数据源'!$J:$J,'2月数据源'!$D:$D,$E125,'2月数据源'!$F:$F,"杭州目标准科技有限公司")</f>
        <v/>
      </c>
      <c r="H125" s="89">
        <f>-SUMIFS('3月数据源'!$I:$I,'3月数据源'!$D:$D,$E125,'3月数据源'!$F:$F,"杭州目标准科技有限公司")+SUMIFS('3月数据源'!$J:$J,'3月数据源'!$D:$D,$E125,'3月数据源'!$F:$F,"杭州目标准科技有限公司")</f>
        <v/>
      </c>
      <c r="I125" s="89">
        <f>-SUMIFS('4月数据源'!$I:$I,'4月数据源'!$D:$D,$E125,'4月数据源'!$F:$F,"杭州目标准科技有限公司")+SUMIFS('4月数据源'!$J:$J,'4月数据源'!$D:$D,$E125,'4月数据源'!$F:$F,"杭州目标准科技有限公司")</f>
        <v/>
      </c>
      <c r="J125" s="89">
        <f>-SUMIFS('5月数据源'!$I:$I,'5月数据源'!$D:$D,$E125,'5月数据源'!$F:$F,"杭州目标准科技有限公司")+SUMIFS('5月数据源'!$J:$J,'5月数据源'!$D:$D,$E125,'5月数据源'!$F:$F,"杭州目标准科技有限公司")</f>
        <v/>
      </c>
      <c r="K125" s="89">
        <f>-SUMIFS('6月数据源'!$I:$I,'6月数据源'!$D:$D,$E125,'6月数据源'!$F:$F,"杭州目标准科技有限公司")+SUMIFS('6月数据源'!$J:$J,'6月数据源'!$D:$D,$E125,'6月数据源'!$F:$F,"杭州目标准科技有限公司")</f>
        <v/>
      </c>
      <c r="L125" s="89">
        <f>-SUMIFS('7月数据源'!$I:$I,'7月数据源'!$D:$D,$E125,'7月数据源'!$F:$F,"杭州目标准科技有限公司")+SUMIFS('7月数据源'!$J:$J,'7月数据源'!$D:$D,$E125,'7月数据源'!$F:$F,"杭州目标准科技有限公司")</f>
        <v/>
      </c>
      <c r="M125" s="89">
        <f>-SUMIFS('8月数据源'!$I:$I,'8月数据源'!$D:$D,$E125,'8月数据源'!$F:$F,"杭州目标准科技有限公司")+SUMIFS('8月数据源'!$J:$J,'8月数据源'!$D:$D,$E125,'8月数据源'!$F:$F,"杭州目标准科技有限公司")</f>
        <v/>
      </c>
      <c r="N125" s="89">
        <f>-SUMIFS('9月数据源'!$I:$I,'9月数据源'!$D:$D,$E125,'9月数据源'!$F:$F,"杭州目标准科技有限公司")+SUMIFS('9月数据源'!$J:$J,'9月数据源'!$D:$D,$E125,'9月数据源'!$F:$F,"杭州目标准科技有限公司")</f>
        <v/>
      </c>
      <c r="O125" s="89">
        <f>-SUMIFS('10月数据源'!$I:$I,'10月数据源'!$D:$D,$E125,'10月数据源'!$F:$F,"杭州目标准科技有限公司")+SUMIFS('10月数据源'!$J:$J,'10月数据源'!$D:$D,$E125,'10月数据源'!$F:$F,"杭州目标准科技有限公司")</f>
        <v/>
      </c>
      <c r="P125" s="89">
        <f>-SUMIFS('11月数据源'!$I:$I,'11月数据源'!$D:$D,$E125,'11月数据源'!$F:$F,"杭州目标准科技有限公司")+SUMIFS('11月数据源'!$J:$J,'11月数据源'!$D:$D,$E125,'11月数据源'!$F:$F,"杭州目标准科技有限公司")</f>
        <v/>
      </c>
      <c r="Q125" s="89">
        <f>-SUMIFS('12月数据源'!$I:$I,'12月数据源'!$D:$D,$E125,'12月数据源'!$F:$F,"杭州目标准科技有限公司")+SUMIFS('12月数据源'!$J:$J,'12月数据源'!$D:$D,$E125,'12月数据源'!$F:$F,"杭州目标准科技有限公司")</f>
        <v/>
      </c>
    </row>
    <row r="126" s="83">
      <c r="A126" s="5" t="inlineStr">
        <is>
          <t>销售费用</t>
        </is>
      </c>
      <c r="B126" s="6" t="inlineStr">
        <is>
          <t>平台运营</t>
        </is>
      </c>
      <c r="D126" s="5" t="inlineStr">
        <is>
          <t>保证金及认证费用</t>
        </is>
      </c>
      <c r="E126" s="6" t="inlineStr">
        <is>
          <t>Q2202</t>
        </is>
      </c>
      <c r="F126" s="89">
        <f>-SUMIFS('1月数据源'!I:I,'1月数据源'!D:D,E126,'1月数据源'!F:F,"杭州目标准科技有限公司")+SUMIFS('1月数据源'!J:J,'1月数据源'!D:D,E126,'1月数据源'!F:F,"杭州目标准科技有限公司")</f>
        <v/>
      </c>
      <c r="G126" s="89">
        <f>-SUMIFS('2月数据源'!$I:$I,'2月数据源'!$D:$D,$E126,'2月数据源'!$F:$F,"杭州目标准科技有限公司")+SUMIFS('2月数据源'!$J:$J,'2月数据源'!$D:$D,$E126,'2月数据源'!$F:$F,"杭州目标准科技有限公司")</f>
        <v/>
      </c>
      <c r="H126" s="89">
        <f>-SUMIFS('3月数据源'!$I:$I,'3月数据源'!$D:$D,$E126,'3月数据源'!$F:$F,"杭州目标准科技有限公司")+SUMIFS('3月数据源'!$J:$J,'3月数据源'!$D:$D,$E126,'3月数据源'!$F:$F,"杭州目标准科技有限公司")</f>
        <v/>
      </c>
      <c r="I126" s="89">
        <f>-SUMIFS('4月数据源'!$I:$I,'4月数据源'!$D:$D,$E126,'4月数据源'!$F:$F,"杭州目标准科技有限公司")+SUMIFS('4月数据源'!$J:$J,'4月数据源'!$D:$D,$E126,'4月数据源'!$F:$F,"杭州目标准科技有限公司")</f>
        <v/>
      </c>
      <c r="J126" s="89">
        <f>-SUMIFS('5月数据源'!$I:$I,'5月数据源'!$D:$D,$E126,'5月数据源'!$F:$F,"杭州目标准科技有限公司")+SUMIFS('5月数据源'!$J:$J,'5月数据源'!$D:$D,$E126,'5月数据源'!$F:$F,"杭州目标准科技有限公司")</f>
        <v/>
      </c>
      <c r="K126" s="89">
        <f>-SUMIFS('6月数据源'!$I:$I,'6月数据源'!$D:$D,$E126,'6月数据源'!$F:$F,"杭州目标准科技有限公司")+SUMIFS('6月数据源'!$J:$J,'6月数据源'!$D:$D,$E126,'6月数据源'!$F:$F,"杭州目标准科技有限公司")</f>
        <v/>
      </c>
      <c r="L126" s="89">
        <f>-SUMIFS('7月数据源'!$I:$I,'7月数据源'!$D:$D,$E126,'7月数据源'!$F:$F,"杭州目标准科技有限公司")+SUMIFS('7月数据源'!$J:$J,'7月数据源'!$D:$D,$E126,'7月数据源'!$F:$F,"杭州目标准科技有限公司")</f>
        <v/>
      </c>
      <c r="M126" s="89">
        <f>-SUMIFS('8月数据源'!$I:$I,'8月数据源'!$D:$D,$E126,'8月数据源'!$F:$F,"杭州目标准科技有限公司")+SUMIFS('8月数据源'!$J:$J,'8月数据源'!$D:$D,$E126,'8月数据源'!$F:$F,"杭州目标准科技有限公司")</f>
        <v/>
      </c>
      <c r="N126" s="89">
        <f>-SUMIFS('9月数据源'!$I:$I,'9月数据源'!$D:$D,$E126,'9月数据源'!$F:$F,"杭州目标准科技有限公司")+SUMIFS('9月数据源'!$J:$J,'9月数据源'!$D:$D,$E126,'9月数据源'!$F:$F,"杭州目标准科技有限公司")</f>
        <v/>
      </c>
      <c r="O126" s="89">
        <f>-SUMIFS('10月数据源'!$I:$I,'10月数据源'!$D:$D,$E126,'10月数据源'!$F:$F,"杭州目标准科技有限公司")+SUMIFS('10月数据源'!$J:$J,'10月数据源'!$D:$D,$E126,'10月数据源'!$F:$F,"杭州目标准科技有限公司")</f>
        <v/>
      </c>
      <c r="P126" s="89">
        <f>-SUMIFS('11月数据源'!$I:$I,'11月数据源'!$D:$D,$E126,'11月数据源'!$F:$F,"杭州目标准科技有限公司")+SUMIFS('11月数据源'!$J:$J,'11月数据源'!$D:$D,$E126,'11月数据源'!$F:$F,"杭州目标准科技有限公司")</f>
        <v/>
      </c>
      <c r="Q126" s="89">
        <f>-SUMIFS('12月数据源'!$I:$I,'12月数据源'!$D:$D,$E126,'12月数据源'!$F:$F,"杭州目标准科技有限公司")+SUMIFS('12月数据源'!$J:$J,'12月数据源'!$D:$D,$E126,'12月数据源'!$F:$F,"杭州目标准科技有限公司")</f>
        <v/>
      </c>
    </row>
    <row r="127" s="83">
      <c r="A127" s="5" t="inlineStr">
        <is>
          <t>销售费用</t>
        </is>
      </c>
      <c r="B127" s="6" t="inlineStr">
        <is>
          <t>平台运营</t>
        </is>
      </c>
      <c r="D127" s="5" t="inlineStr">
        <is>
          <t>品专支出</t>
        </is>
      </c>
      <c r="E127" s="6" t="inlineStr">
        <is>
          <t>Q2203</t>
        </is>
      </c>
      <c r="F127" s="89">
        <f>-SUMIFS('1月数据源'!I:I,'1月数据源'!D:D,E127,'1月数据源'!F:F,"杭州目标准科技有限公司")+SUMIFS('1月数据源'!J:J,'1月数据源'!D:D,E127,'1月数据源'!F:F,"杭州目标准科技有限公司")</f>
        <v/>
      </c>
      <c r="G127" s="89">
        <f>-SUMIFS('2月数据源'!$I:$I,'2月数据源'!$D:$D,$E127,'2月数据源'!$F:$F,"杭州目标准科技有限公司")+SUMIFS('2月数据源'!$J:$J,'2月数据源'!$D:$D,$E127,'2月数据源'!$F:$F,"杭州目标准科技有限公司")</f>
        <v/>
      </c>
      <c r="H127" s="89">
        <f>-SUMIFS('3月数据源'!$I:$I,'3月数据源'!$D:$D,$E127,'3月数据源'!$F:$F,"杭州目标准科技有限公司")+SUMIFS('3月数据源'!$J:$J,'3月数据源'!$D:$D,$E127,'3月数据源'!$F:$F,"杭州目标准科技有限公司")</f>
        <v/>
      </c>
      <c r="I127" s="89">
        <f>-SUMIFS('4月数据源'!$I:$I,'4月数据源'!$D:$D,$E127,'4月数据源'!$F:$F,"杭州目标准科技有限公司")+SUMIFS('4月数据源'!$J:$J,'4月数据源'!$D:$D,$E127,'4月数据源'!$F:$F,"杭州目标准科技有限公司")</f>
        <v/>
      </c>
      <c r="J127" s="89">
        <f>-SUMIFS('5月数据源'!$I:$I,'5月数据源'!$D:$D,$E127,'5月数据源'!$F:$F,"杭州目标准科技有限公司")+SUMIFS('5月数据源'!$J:$J,'5月数据源'!$D:$D,$E127,'5月数据源'!$F:$F,"杭州目标准科技有限公司")</f>
        <v/>
      </c>
      <c r="K127" s="89">
        <f>-SUMIFS('6月数据源'!$I:$I,'6月数据源'!$D:$D,$E127,'6月数据源'!$F:$F,"杭州目标准科技有限公司")+SUMIFS('6月数据源'!$J:$J,'6月数据源'!$D:$D,$E127,'6月数据源'!$F:$F,"杭州目标准科技有限公司")</f>
        <v/>
      </c>
      <c r="L127" s="89">
        <f>-SUMIFS('7月数据源'!$I:$I,'7月数据源'!$D:$D,$E127,'7月数据源'!$F:$F,"杭州目标准科技有限公司")+SUMIFS('7月数据源'!$J:$J,'7月数据源'!$D:$D,$E127,'7月数据源'!$F:$F,"杭州目标准科技有限公司")</f>
        <v/>
      </c>
      <c r="M127" s="89">
        <f>-SUMIFS('8月数据源'!$I:$I,'8月数据源'!$D:$D,$E127,'8月数据源'!$F:$F,"杭州目标准科技有限公司")+SUMIFS('8月数据源'!$J:$J,'8月数据源'!$D:$D,$E127,'8月数据源'!$F:$F,"杭州目标准科技有限公司")</f>
        <v/>
      </c>
      <c r="N127" s="89">
        <f>-SUMIFS('9月数据源'!$I:$I,'9月数据源'!$D:$D,$E127,'9月数据源'!$F:$F,"杭州目标准科技有限公司")+SUMIFS('9月数据源'!$J:$J,'9月数据源'!$D:$D,$E127,'9月数据源'!$F:$F,"杭州目标准科技有限公司")</f>
        <v/>
      </c>
      <c r="O127" s="89">
        <f>-SUMIFS('10月数据源'!$I:$I,'10月数据源'!$D:$D,$E127,'10月数据源'!$F:$F,"杭州目标准科技有限公司")+SUMIFS('10月数据源'!$J:$J,'10月数据源'!$D:$D,$E127,'10月数据源'!$F:$F,"杭州目标准科技有限公司")</f>
        <v/>
      </c>
      <c r="P127" s="89">
        <f>-SUMIFS('11月数据源'!$I:$I,'11月数据源'!$D:$D,$E127,'11月数据源'!$F:$F,"杭州目标准科技有限公司")+SUMIFS('11月数据源'!$J:$J,'11月数据源'!$D:$D,$E127,'11月数据源'!$F:$F,"杭州目标准科技有限公司")</f>
        <v/>
      </c>
      <c r="Q127" s="89">
        <f>-SUMIFS('12月数据源'!$I:$I,'12月数据源'!$D:$D,$E127,'12月数据源'!$F:$F,"杭州目标准科技有限公司")+SUMIFS('12月数据源'!$J:$J,'12月数据源'!$D:$D,$E127,'12月数据源'!$F:$F,"杭州目标准科技有限公司")</f>
        <v/>
      </c>
    </row>
    <row r="128" s="83">
      <c r="A128" s="5" t="inlineStr">
        <is>
          <t>销售费用</t>
        </is>
      </c>
      <c r="B128" s="6" t="inlineStr">
        <is>
          <t>平台运营</t>
        </is>
      </c>
      <c r="D128" s="5" t="inlineStr">
        <is>
          <t>其他平台扣款</t>
        </is>
      </c>
      <c r="E128" s="6" t="inlineStr">
        <is>
          <t>Q2209</t>
        </is>
      </c>
      <c r="F128" s="89">
        <f>-SUMIFS('1月数据源'!I:I,'1月数据源'!D:D,E128,'1月数据源'!F:F,"杭州目标准科技有限公司")+SUMIFS('1月数据源'!J:J,'1月数据源'!D:D,E128,'1月数据源'!F:F,"杭州目标准科技有限公司")</f>
        <v/>
      </c>
      <c r="G128" s="89">
        <f>-SUMIFS('2月数据源'!$I:$I,'2月数据源'!$D:$D,$E128,'2月数据源'!$F:$F,"杭州目标准科技有限公司")+SUMIFS('2月数据源'!$J:$J,'2月数据源'!$D:$D,$E128,'2月数据源'!$F:$F,"杭州目标准科技有限公司")</f>
        <v/>
      </c>
      <c r="H128" s="89">
        <f>-SUMIFS('3月数据源'!$I:$I,'3月数据源'!$D:$D,$E128,'3月数据源'!$F:$F,"杭州目标准科技有限公司")+SUMIFS('3月数据源'!$J:$J,'3月数据源'!$D:$D,$E128,'3月数据源'!$F:$F,"杭州目标准科技有限公司")</f>
        <v/>
      </c>
      <c r="I128" s="89">
        <f>-SUMIFS('4月数据源'!$I:$I,'4月数据源'!$D:$D,$E128,'4月数据源'!$F:$F,"杭州目标准科技有限公司")+SUMIFS('4月数据源'!$J:$J,'4月数据源'!$D:$D,$E128,'4月数据源'!$F:$F,"杭州目标准科技有限公司")</f>
        <v/>
      </c>
      <c r="J128" s="89">
        <f>-SUMIFS('5月数据源'!$I:$I,'5月数据源'!$D:$D,$E128,'5月数据源'!$F:$F,"杭州目标准科技有限公司")+SUMIFS('5月数据源'!$J:$J,'5月数据源'!$D:$D,$E128,'5月数据源'!$F:$F,"杭州目标准科技有限公司")</f>
        <v/>
      </c>
      <c r="K128" s="89">
        <f>-SUMIFS('6月数据源'!$I:$I,'6月数据源'!$D:$D,$E128,'6月数据源'!$F:$F,"杭州目标准科技有限公司")+SUMIFS('6月数据源'!$J:$J,'6月数据源'!$D:$D,$E128,'6月数据源'!$F:$F,"杭州目标准科技有限公司")</f>
        <v/>
      </c>
      <c r="L128" s="89">
        <f>-SUMIFS('7月数据源'!$I:$I,'7月数据源'!$D:$D,$E128,'7月数据源'!$F:$F,"杭州目标准科技有限公司")+SUMIFS('7月数据源'!$J:$J,'7月数据源'!$D:$D,$E128,'7月数据源'!$F:$F,"杭州目标准科技有限公司")</f>
        <v/>
      </c>
      <c r="M128" s="89">
        <f>-SUMIFS('8月数据源'!$I:$I,'8月数据源'!$D:$D,$E128,'8月数据源'!$F:$F,"杭州目标准科技有限公司")+SUMIFS('8月数据源'!$J:$J,'8月数据源'!$D:$D,$E128,'8月数据源'!$F:$F,"杭州目标准科技有限公司")</f>
        <v/>
      </c>
      <c r="N128" s="89">
        <f>-SUMIFS('9月数据源'!$I:$I,'9月数据源'!$D:$D,$E128,'9月数据源'!$F:$F,"杭州目标准科技有限公司")+SUMIFS('9月数据源'!$J:$J,'9月数据源'!$D:$D,$E128,'9月数据源'!$F:$F,"杭州目标准科技有限公司")</f>
        <v/>
      </c>
      <c r="O128" s="89">
        <f>-SUMIFS('10月数据源'!$I:$I,'10月数据源'!$D:$D,$E128,'10月数据源'!$F:$F,"杭州目标准科技有限公司")+SUMIFS('10月数据源'!$J:$J,'10月数据源'!$D:$D,$E128,'10月数据源'!$F:$F,"杭州目标准科技有限公司")</f>
        <v/>
      </c>
      <c r="P128" s="89">
        <f>-SUMIFS('11月数据源'!$I:$I,'11月数据源'!$D:$D,$E128,'11月数据源'!$F:$F,"杭州目标准科技有限公司")+SUMIFS('11月数据源'!$J:$J,'11月数据源'!$D:$D,$E128,'11月数据源'!$F:$F,"杭州目标准科技有限公司")</f>
        <v/>
      </c>
      <c r="Q128" s="89">
        <f>-SUMIFS('12月数据源'!$I:$I,'12月数据源'!$D:$D,$E128,'12月数据源'!$F:$F,"杭州目标准科技有限公司")+SUMIFS('12月数据源'!$J:$J,'12月数据源'!$D:$D,$E128,'12月数据源'!$F:$F,"杭州目标准科技有限公司")</f>
        <v/>
      </c>
    </row>
    <row r="129" s="83">
      <c r="A129" s="5" t="inlineStr">
        <is>
          <t>销售费用</t>
        </is>
      </c>
      <c r="B129" s="6" t="inlineStr">
        <is>
          <t>私域运营</t>
        </is>
      </c>
      <c r="C129" s="6" t="inlineStr">
        <is>
          <t>私域运营</t>
        </is>
      </c>
      <c r="D129" s="5" t="inlineStr">
        <is>
          <t>返现活动</t>
        </is>
      </c>
      <c r="E129" s="6" t="inlineStr">
        <is>
          <t>Q2301</t>
        </is>
      </c>
      <c r="F129" s="89">
        <f>-SUMIFS('1月数据源'!I:I,'1月数据源'!D:D,E129,'1月数据源'!F:F,"杭州目标准科技有限公司")+SUMIFS('1月数据源'!J:J,'1月数据源'!D:D,E129,'1月数据源'!F:F,"杭州目标准科技有限公司")</f>
        <v/>
      </c>
      <c r="G129" s="89">
        <f>-SUMIFS('2月数据源'!$I:$I,'2月数据源'!$D:$D,$E129,'2月数据源'!$F:$F,"杭州目标准科技有限公司")+SUMIFS('2月数据源'!$J:$J,'2月数据源'!$D:$D,$E129,'2月数据源'!$F:$F,"杭州目标准科技有限公司")</f>
        <v/>
      </c>
      <c r="H129" s="89">
        <f>-SUMIFS('3月数据源'!$I:$I,'3月数据源'!$D:$D,$E129,'3月数据源'!$F:$F,"杭州目标准科技有限公司")+SUMIFS('3月数据源'!$J:$J,'3月数据源'!$D:$D,$E129,'3月数据源'!$F:$F,"杭州目标准科技有限公司")</f>
        <v/>
      </c>
      <c r="I129" s="89">
        <f>-SUMIFS('4月数据源'!$I:$I,'4月数据源'!$D:$D,$E129,'4月数据源'!$F:$F,"杭州目标准科技有限公司")+SUMIFS('4月数据源'!$J:$J,'4月数据源'!$D:$D,$E129,'4月数据源'!$F:$F,"杭州目标准科技有限公司")</f>
        <v/>
      </c>
      <c r="J129" s="89">
        <f>-SUMIFS('5月数据源'!$I:$I,'5月数据源'!$D:$D,$E129,'5月数据源'!$F:$F,"杭州目标准科技有限公司")+SUMIFS('5月数据源'!$J:$J,'5月数据源'!$D:$D,$E129,'5月数据源'!$F:$F,"杭州目标准科技有限公司")</f>
        <v/>
      </c>
      <c r="K129" s="89">
        <f>-SUMIFS('6月数据源'!$I:$I,'6月数据源'!$D:$D,$E129,'6月数据源'!$F:$F,"杭州目标准科技有限公司")+SUMIFS('6月数据源'!$J:$J,'6月数据源'!$D:$D,$E129,'6月数据源'!$F:$F,"杭州目标准科技有限公司")</f>
        <v/>
      </c>
      <c r="L129" s="89">
        <f>-SUMIFS('7月数据源'!$I:$I,'7月数据源'!$D:$D,$E129,'7月数据源'!$F:$F,"杭州目标准科技有限公司")+SUMIFS('7月数据源'!$J:$J,'7月数据源'!$D:$D,$E129,'7月数据源'!$F:$F,"杭州目标准科技有限公司")</f>
        <v/>
      </c>
      <c r="M129" s="89">
        <f>-SUMIFS('8月数据源'!$I:$I,'8月数据源'!$D:$D,$E129,'8月数据源'!$F:$F,"杭州目标准科技有限公司")+SUMIFS('8月数据源'!$J:$J,'8月数据源'!$D:$D,$E129,'8月数据源'!$F:$F,"杭州目标准科技有限公司")</f>
        <v/>
      </c>
      <c r="N129" s="89">
        <f>-SUMIFS('9月数据源'!$I:$I,'9月数据源'!$D:$D,$E129,'9月数据源'!$F:$F,"杭州目标准科技有限公司")+SUMIFS('9月数据源'!$J:$J,'9月数据源'!$D:$D,$E129,'9月数据源'!$F:$F,"杭州目标准科技有限公司")</f>
        <v/>
      </c>
      <c r="O129" s="89">
        <f>-SUMIFS('10月数据源'!$I:$I,'10月数据源'!$D:$D,$E129,'10月数据源'!$F:$F,"杭州目标准科技有限公司")+SUMIFS('10月数据源'!$J:$J,'10月数据源'!$D:$D,$E129,'10月数据源'!$F:$F,"杭州目标准科技有限公司")</f>
        <v/>
      </c>
      <c r="P129" s="89">
        <f>-SUMIFS('11月数据源'!$I:$I,'11月数据源'!$D:$D,$E129,'11月数据源'!$F:$F,"杭州目标准科技有限公司")+SUMIFS('11月数据源'!$J:$J,'11月数据源'!$D:$D,$E129,'11月数据源'!$F:$F,"杭州目标准科技有限公司")</f>
        <v/>
      </c>
      <c r="Q129" s="89">
        <f>-SUMIFS('12月数据源'!$I:$I,'12月数据源'!$D:$D,$E129,'12月数据源'!$F:$F,"杭州目标准科技有限公司")+SUMIFS('12月数据源'!$J:$J,'12月数据源'!$D:$D,$E129,'12月数据源'!$F:$F,"杭州目标准科技有限公司")</f>
        <v/>
      </c>
    </row>
    <row r="130" s="83">
      <c r="A130" s="5" t="inlineStr">
        <is>
          <t>销售费用</t>
        </is>
      </c>
      <c r="B130" s="6" t="inlineStr">
        <is>
          <t>私域运营</t>
        </is>
      </c>
      <c r="D130" s="5" t="inlineStr">
        <is>
          <t>转介绍佣金</t>
        </is>
      </c>
      <c r="E130" s="6" t="inlineStr">
        <is>
          <t>Q2302</t>
        </is>
      </c>
      <c r="F130" s="89">
        <f>-SUMIFS('1月数据源'!I:I,'1月数据源'!D:D,E130,'1月数据源'!F:F,"杭州目标准科技有限公司")+SUMIFS('1月数据源'!J:J,'1月数据源'!D:D,E130,'1月数据源'!F:F,"杭州目标准科技有限公司")</f>
        <v/>
      </c>
      <c r="G130" s="89">
        <f>-SUMIFS('2月数据源'!$I:$I,'2月数据源'!$D:$D,$E130,'2月数据源'!$F:$F,"杭州目标准科技有限公司")+SUMIFS('2月数据源'!$J:$J,'2月数据源'!$D:$D,$E130,'2月数据源'!$F:$F,"杭州目标准科技有限公司")</f>
        <v/>
      </c>
      <c r="H130" s="89">
        <f>-SUMIFS('3月数据源'!$I:$I,'3月数据源'!$D:$D,$E130,'3月数据源'!$F:$F,"杭州目标准科技有限公司")+SUMIFS('3月数据源'!$J:$J,'3月数据源'!$D:$D,$E130,'3月数据源'!$F:$F,"杭州目标准科技有限公司")</f>
        <v/>
      </c>
      <c r="I130" s="89">
        <f>-SUMIFS('4月数据源'!$I:$I,'4月数据源'!$D:$D,$E130,'4月数据源'!$F:$F,"杭州目标准科技有限公司")+SUMIFS('4月数据源'!$J:$J,'4月数据源'!$D:$D,$E130,'4月数据源'!$F:$F,"杭州目标准科技有限公司")</f>
        <v/>
      </c>
      <c r="J130" s="89">
        <f>-SUMIFS('5月数据源'!$I:$I,'5月数据源'!$D:$D,$E130,'5月数据源'!$F:$F,"杭州目标准科技有限公司")+SUMIFS('5月数据源'!$J:$J,'5月数据源'!$D:$D,$E130,'5月数据源'!$F:$F,"杭州目标准科技有限公司")</f>
        <v/>
      </c>
      <c r="K130" s="89">
        <f>-SUMIFS('6月数据源'!$I:$I,'6月数据源'!$D:$D,$E130,'6月数据源'!$F:$F,"杭州目标准科技有限公司")+SUMIFS('6月数据源'!$J:$J,'6月数据源'!$D:$D,$E130,'6月数据源'!$F:$F,"杭州目标准科技有限公司")</f>
        <v/>
      </c>
      <c r="L130" s="89">
        <f>-SUMIFS('7月数据源'!$I:$I,'7月数据源'!$D:$D,$E130,'7月数据源'!$F:$F,"杭州目标准科技有限公司")+SUMIFS('7月数据源'!$J:$J,'7月数据源'!$D:$D,$E130,'7月数据源'!$F:$F,"杭州目标准科技有限公司")</f>
        <v/>
      </c>
      <c r="M130" s="89">
        <f>-SUMIFS('8月数据源'!$I:$I,'8月数据源'!$D:$D,$E130,'8月数据源'!$F:$F,"杭州目标准科技有限公司")+SUMIFS('8月数据源'!$J:$J,'8月数据源'!$D:$D,$E130,'8月数据源'!$F:$F,"杭州目标准科技有限公司")</f>
        <v/>
      </c>
      <c r="N130" s="89">
        <f>-SUMIFS('9月数据源'!$I:$I,'9月数据源'!$D:$D,$E130,'9月数据源'!$F:$F,"杭州目标准科技有限公司")+SUMIFS('9月数据源'!$J:$J,'9月数据源'!$D:$D,$E130,'9月数据源'!$F:$F,"杭州目标准科技有限公司")</f>
        <v/>
      </c>
      <c r="O130" s="89">
        <f>-SUMIFS('10月数据源'!$I:$I,'10月数据源'!$D:$D,$E130,'10月数据源'!$F:$F,"杭州目标准科技有限公司")+SUMIFS('10月数据源'!$J:$J,'10月数据源'!$D:$D,$E130,'10月数据源'!$F:$F,"杭州目标准科技有限公司")</f>
        <v/>
      </c>
      <c r="P130" s="89">
        <f>-SUMIFS('11月数据源'!$I:$I,'11月数据源'!$D:$D,$E130,'11月数据源'!$F:$F,"杭州目标准科技有限公司")+SUMIFS('11月数据源'!$J:$J,'11月数据源'!$D:$D,$E130,'11月数据源'!$F:$F,"杭州目标准科技有限公司")</f>
        <v/>
      </c>
      <c r="Q130" s="89">
        <f>-SUMIFS('12月数据源'!$I:$I,'12月数据源'!$D:$D,$E130,'12月数据源'!$F:$F,"杭州目标准科技有限公司")+SUMIFS('12月数据源'!$J:$J,'12月数据源'!$D:$D,$E130,'12月数据源'!$F:$F,"杭州目标准科技有限公司")</f>
        <v/>
      </c>
    </row>
    <row r="131" s="83">
      <c r="A131" s="5" t="inlineStr">
        <is>
          <t>销售费用</t>
        </is>
      </c>
      <c r="B131" s="6" t="inlineStr">
        <is>
          <t>达人带货</t>
        </is>
      </c>
      <c r="C131" s="6" t="inlineStr">
        <is>
          <t>达人带货</t>
        </is>
      </c>
      <c r="D131" s="5" t="inlineStr">
        <is>
          <t>坑位费</t>
        </is>
      </c>
      <c r="E131" s="6" t="inlineStr">
        <is>
          <t>Q2401</t>
        </is>
      </c>
      <c r="F131" s="89">
        <f>-SUMIFS('1月数据源'!I:I,'1月数据源'!D:D,E131,'1月数据源'!F:F,"杭州目标准科技有限公司")+SUMIFS('1月数据源'!J:J,'1月数据源'!D:D,E131,'1月数据源'!F:F,"杭州目标准科技有限公司")</f>
        <v/>
      </c>
      <c r="G131" s="89">
        <f>-SUMIFS('2月数据源'!$I:$I,'2月数据源'!$D:$D,$E131,'2月数据源'!$F:$F,"杭州目标准科技有限公司")+SUMIFS('2月数据源'!$J:$J,'2月数据源'!$D:$D,$E131,'2月数据源'!$F:$F,"杭州目标准科技有限公司")</f>
        <v/>
      </c>
      <c r="H131" s="89">
        <f>-SUMIFS('3月数据源'!$I:$I,'3月数据源'!$D:$D,$E131,'3月数据源'!$F:$F,"杭州目标准科技有限公司")+SUMIFS('3月数据源'!$J:$J,'3月数据源'!$D:$D,$E131,'3月数据源'!$F:$F,"杭州目标准科技有限公司")</f>
        <v/>
      </c>
      <c r="I131" s="89">
        <f>-SUMIFS('4月数据源'!$I:$I,'4月数据源'!$D:$D,$E131,'4月数据源'!$F:$F,"杭州目标准科技有限公司")+SUMIFS('4月数据源'!$J:$J,'4月数据源'!$D:$D,$E131,'4月数据源'!$F:$F,"杭州目标准科技有限公司")</f>
        <v/>
      </c>
      <c r="J131" s="89">
        <f>-SUMIFS('5月数据源'!$I:$I,'5月数据源'!$D:$D,$E131,'5月数据源'!$F:$F,"杭州目标准科技有限公司")+SUMIFS('5月数据源'!$J:$J,'5月数据源'!$D:$D,$E131,'5月数据源'!$F:$F,"杭州目标准科技有限公司")</f>
        <v/>
      </c>
      <c r="K131" s="89">
        <f>-SUMIFS('6月数据源'!$I:$I,'6月数据源'!$D:$D,$E131,'6月数据源'!$F:$F,"杭州目标准科技有限公司")+SUMIFS('6月数据源'!$J:$J,'6月数据源'!$D:$D,$E131,'6月数据源'!$F:$F,"杭州目标准科技有限公司")</f>
        <v/>
      </c>
      <c r="L131" s="89">
        <f>-SUMIFS('7月数据源'!$I:$I,'7月数据源'!$D:$D,$E131,'7月数据源'!$F:$F,"杭州目标准科技有限公司")+SUMIFS('7月数据源'!$J:$J,'7月数据源'!$D:$D,$E131,'7月数据源'!$F:$F,"杭州目标准科技有限公司")</f>
        <v/>
      </c>
      <c r="M131" s="89">
        <f>-SUMIFS('8月数据源'!$I:$I,'8月数据源'!$D:$D,$E131,'8月数据源'!$F:$F,"杭州目标准科技有限公司")+SUMIFS('8月数据源'!$J:$J,'8月数据源'!$D:$D,$E131,'8月数据源'!$F:$F,"杭州目标准科技有限公司")</f>
        <v/>
      </c>
      <c r="N131" s="89">
        <f>-SUMIFS('9月数据源'!$I:$I,'9月数据源'!$D:$D,$E131,'9月数据源'!$F:$F,"杭州目标准科技有限公司")+SUMIFS('9月数据源'!$J:$J,'9月数据源'!$D:$D,$E131,'9月数据源'!$F:$F,"杭州目标准科技有限公司")</f>
        <v/>
      </c>
      <c r="O131" s="89">
        <f>-SUMIFS('10月数据源'!$I:$I,'10月数据源'!$D:$D,$E131,'10月数据源'!$F:$F,"杭州目标准科技有限公司")+SUMIFS('10月数据源'!$J:$J,'10月数据源'!$D:$D,$E131,'10月数据源'!$F:$F,"杭州目标准科技有限公司")</f>
        <v/>
      </c>
      <c r="P131" s="89">
        <f>-SUMIFS('11月数据源'!$I:$I,'11月数据源'!$D:$D,$E131,'11月数据源'!$F:$F,"杭州目标准科技有限公司")+SUMIFS('11月数据源'!$J:$J,'11月数据源'!$D:$D,$E131,'11月数据源'!$F:$F,"杭州目标准科技有限公司")</f>
        <v/>
      </c>
      <c r="Q131" s="89">
        <f>-SUMIFS('12月数据源'!$I:$I,'12月数据源'!$D:$D,$E131,'12月数据源'!$F:$F,"杭州目标准科技有限公司")+SUMIFS('12月数据源'!$J:$J,'12月数据源'!$D:$D,$E131,'12月数据源'!$F:$F,"杭州目标准科技有限公司")</f>
        <v/>
      </c>
    </row>
    <row r="132" s="83">
      <c r="A132" s="5" t="inlineStr">
        <is>
          <t>销售费用</t>
        </is>
      </c>
      <c r="B132" s="6" t="inlineStr">
        <is>
          <t>达人带货</t>
        </is>
      </c>
      <c r="D132" s="5" t="inlineStr">
        <is>
          <t>佣金</t>
        </is>
      </c>
      <c r="E132" s="6" t="inlineStr">
        <is>
          <t>Q2402</t>
        </is>
      </c>
      <c r="F132" s="89">
        <f>-SUMIFS('1月数据源'!I:I,'1月数据源'!D:D,E132,'1月数据源'!F:F,"杭州目标准科技有限公司")+SUMIFS('1月数据源'!J:J,'1月数据源'!D:D,E132,'1月数据源'!F:F,"杭州目标准科技有限公司")</f>
        <v/>
      </c>
      <c r="G132" s="89">
        <f>-SUMIFS('2月数据源'!$I:$I,'2月数据源'!$D:$D,$E132,'2月数据源'!$F:$F,"杭州目标准科技有限公司")+SUMIFS('2月数据源'!$J:$J,'2月数据源'!$D:$D,$E132,'2月数据源'!$F:$F,"杭州目标准科技有限公司")</f>
        <v/>
      </c>
      <c r="H132" s="89">
        <f>-SUMIFS('3月数据源'!$I:$I,'3月数据源'!$D:$D,$E132,'3月数据源'!$F:$F,"杭州目标准科技有限公司")+SUMIFS('3月数据源'!$J:$J,'3月数据源'!$D:$D,$E132,'3月数据源'!$F:$F,"杭州目标准科技有限公司")</f>
        <v/>
      </c>
      <c r="I132" s="89">
        <f>-SUMIFS('4月数据源'!$I:$I,'4月数据源'!$D:$D,$E132,'4月数据源'!$F:$F,"杭州目标准科技有限公司")+SUMIFS('4月数据源'!$J:$J,'4月数据源'!$D:$D,$E132,'4月数据源'!$F:$F,"杭州目标准科技有限公司")</f>
        <v/>
      </c>
      <c r="J132" s="89">
        <f>-SUMIFS('5月数据源'!$I:$I,'5月数据源'!$D:$D,$E132,'5月数据源'!$F:$F,"杭州目标准科技有限公司")+SUMIFS('5月数据源'!$J:$J,'5月数据源'!$D:$D,$E132,'5月数据源'!$F:$F,"杭州目标准科技有限公司")</f>
        <v/>
      </c>
      <c r="K132" s="89">
        <f>-SUMIFS('6月数据源'!$I:$I,'6月数据源'!$D:$D,$E132,'6月数据源'!$F:$F,"杭州目标准科技有限公司")+SUMIFS('6月数据源'!$J:$J,'6月数据源'!$D:$D,$E132,'6月数据源'!$F:$F,"杭州目标准科技有限公司")</f>
        <v/>
      </c>
      <c r="L132" s="89">
        <f>-SUMIFS('7月数据源'!$I:$I,'7月数据源'!$D:$D,$E132,'7月数据源'!$F:$F,"杭州目标准科技有限公司")+SUMIFS('7月数据源'!$J:$J,'7月数据源'!$D:$D,$E132,'7月数据源'!$F:$F,"杭州目标准科技有限公司")</f>
        <v/>
      </c>
      <c r="M132" s="89">
        <f>-SUMIFS('8月数据源'!$I:$I,'8月数据源'!$D:$D,$E132,'8月数据源'!$F:$F,"杭州目标准科技有限公司")+SUMIFS('8月数据源'!$J:$J,'8月数据源'!$D:$D,$E132,'8月数据源'!$F:$F,"杭州目标准科技有限公司")</f>
        <v/>
      </c>
      <c r="N132" s="89">
        <f>-SUMIFS('9月数据源'!$I:$I,'9月数据源'!$D:$D,$E132,'9月数据源'!$F:$F,"杭州目标准科技有限公司")+SUMIFS('9月数据源'!$J:$J,'9月数据源'!$D:$D,$E132,'9月数据源'!$F:$F,"杭州目标准科技有限公司")</f>
        <v/>
      </c>
      <c r="O132" s="89">
        <f>-SUMIFS('10月数据源'!$I:$I,'10月数据源'!$D:$D,$E132,'10月数据源'!$F:$F,"杭州目标准科技有限公司")+SUMIFS('10月数据源'!$J:$J,'10月数据源'!$D:$D,$E132,'10月数据源'!$F:$F,"杭州目标准科技有限公司")</f>
        <v/>
      </c>
      <c r="P132" s="89">
        <f>-SUMIFS('11月数据源'!$I:$I,'11月数据源'!$D:$D,$E132,'11月数据源'!$F:$F,"杭州目标准科技有限公司")+SUMIFS('11月数据源'!$J:$J,'11月数据源'!$D:$D,$E132,'11月数据源'!$F:$F,"杭州目标准科技有限公司")</f>
        <v/>
      </c>
      <c r="Q132" s="89">
        <f>-SUMIFS('12月数据源'!$I:$I,'12月数据源'!$D:$D,$E132,'12月数据源'!$F:$F,"杭州目标准科技有限公司")+SUMIFS('12月数据源'!$J:$J,'12月数据源'!$D:$D,$E132,'12月数据源'!$F:$F,"杭州目标准科技有限公司")</f>
        <v/>
      </c>
    </row>
    <row r="133" s="83">
      <c r="A133" s="5" t="inlineStr">
        <is>
          <t>销售费用</t>
        </is>
      </c>
      <c r="B133" s="6" t="inlineStr">
        <is>
          <t>达人带货</t>
        </is>
      </c>
      <c r="D133" s="5" t="inlineStr">
        <is>
          <t>助播费用</t>
        </is>
      </c>
      <c r="E133" s="6" t="inlineStr">
        <is>
          <t>Q2403</t>
        </is>
      </c>
      <c r="F133" s="89">
        <f>-SUMIFS('1月数据源'!I:I,'1月数据源'!D:D,E133,'1月数据源'!F:F,"杭州目标准科技有限公司")+SUMIFS('1月数据源'!J:J,'1月数据源'!D:D,E133,'1月数据源'!F:F,"杭州目标准科技有限公司")</f>
        <v/>
      </c>
      <c r="G133" s="89">
        <f>-SUMIFS('2月数据源'!$I:$I,'2月数据源'!$D:$D,$E133,'2月数据源'!$F:$F,"杭州目标准科技有限公司")+SUMIFS('2月数据源'!$J:$J,'2月数据源'!$D:$D,$E133,'2月数据源'!$F:$F,"杭州目标准科技有限公司")</f>
        <v/>
      </c>
      <c r="H133" s="89">
        <f>-SUMIFS('3月数据源'!$I:$I,'3月数据源'!$D:$D,$E133,'3月数据源'!$F:$F,"杭州目标准科技有限公司")+SUMIFS('3月数据源'!$J:$J,'3月数据源'!$D:$D,$E133,'3月数据源'!$F:$F,"杭州目标准科技有限公司")</f>
        <v/>
      </c>
      <c r="I133" s="89">
        <f>-SUMIFS('4月数据源'!$I:$I,'4月数据源'!$D:$D,$E133,'4月数据源'!$F:$F,"杭州目标准科技有限公司")+SUMIFS('4月数据源'!$J:$J,'4月数据源'!$D:$D,$E133,'4月数据源'!$F:$F,"杭州目标准科技有限公司")</f>
        <v/>
      </c>
      <c r="J133" s="89">
        <f>-SUMIFS('5月数据源'!$I:$I,'5月数据源'!$D:$D,$E133,'5月数据源'!$F:$F,"杭州目标准科技有限公司")+SUMIFS('5月数据源'!$J:$J,'5月数据源'!$D:$D,$E133,'5月数据源'!$F:$F,"杭州目标准科技有限公司")</f>
        <v/>
      </c>
      <c r="K133" s="89">
        <f>-SUMIFS('6月数据源'!$I:$I,'6月数据源'!$D:$D,$E133,'6月数据源'!$F:$F,"杭州目标准科技有限公司")+SUMIFS('6月数据源'!$J:$J,'6月数据源'!$D:$D,$E133,'6月数据源'!$F:$F,"杭州目标准科技有限公司")</f>
        <v/>
      </c>
      <c r="L133" s="89">
        <f>-SUMIFS('7月数据源'!$I:$I,'7月数据源'!$D:$D,$E133,'7月数据源'!$F:$F,"杭州目标准科技有限公司")+SUMIFS('7月数据源'!$J:$J,'7月数据源'!$D:$D,$E133,'7月数据源'!$F:$F,"杭州目标准科技有限公司")</f>
        <v/>
      </c>
      <c r="M133" s="89">
        <f>-SUMIFS('8月数据源'!$I:$I,'8月数据源'!$D:$D,$E133,'8月数据源'!$F:$F,"杭州目标准科技有限公司")+SUMIFS('8月数据源'!$J:$J,'8月数据源'!$D:$D,$E133,'8月数据源'!$F:$F,"杭州目标准科技有限公司")</f>
        <v/>
      </c>
      <c r="N133" s="89">
        <f>-SUMIFS('9月数据源'!$I:$I,'9月数据源'!$D:$D,$E133,'9月数据源'!$F:$F,"杭州目标准科技有限公司")+SUMIFS('9月数据源'!$J:$J,'9月数据源'!$D:$D,$E133,'9月数据源'!$F:$F,"杭州目标准科技有限公司")</f>
        <v/>
      </c>
      <c r="O133" s="89">
        <f>-SUMIFS('10月数据源'!$I:$I,'10月数据源'!$D:$D,$E133,'10月数据源'!$F:$F,"杭州目标准科技有限公司")+SUMIFS('10月数据源'!$J:$J,'10月数据源'!$D:$D,$E133,'10月数据源'!$F:$F,"杭州目标准科技有限公司")</f>
        <v/>
      </c>
      <c r="P133" s="89">
        <f>-SUMIFS('11月数据源'!$I:$I,'11月数据源'!$D:$D,$E133,'11月数据源'!$F:$F,"杭州目标准科技有限公司")+SUMIFS('11月数据源'!$J:$J,'11月数据源'!$D:$D,$E133,'11月数据源'!$F:$F,"杭州目标准科技有限公司")</f>
        <v/>
      </c>
      <c r="Q133" s="89">
        <f>-SUMIFS('12月数据源'!$I:$I,'12月数据源'!$D:$D,$E133,'12月数据源'!$F:$F,"杭州目标准科技有限公司")+SUMIFS('12月数据源'!$J:$J,'12月数据源'!$D:$D,$E133,'12月数据源'!$F:$F,"杭州目标准科技有限公司")</f>
        <v/>
      </c>
    </row>
    <row r="134" s="83">
      <c r="A134" s="5" t="inlineStr">
        <is>
          <t>销售费用</t>
        </is>
      </c>
      <c r="B134" s="6" t="inlineStr">
        <is>
          <t>发货成本</t>
        </is>
      </c>
      <c r="C134" s="6" t="inlineStr">
        <is>
          <t>发货成本</t>
        </is>
      </c>
      <c r="D134" s="5" t="inlineStr">
        <is>
          <t>快递费</t>
        </is>
      </c>
      <c r="E134" s="6" t="inlineStr">
        <is>
          <t>Q2501</t>
        </is>
      </c>
      <c r="F134" s="89">
        <f>-SUMIFS('1月数据源'!I:I,'1月数据源'!D:D,E134,'1月数据源'!F:F,"杭州目标准科技有限公司")+SUMIFS('1月数据源'!J:J,'1月数据源'!D:D,E134,'1月数据源'!F:F,"杭州目标准科技有限公司")</f>
        <v/>
      </c>
      <c r="G134" s="89">
        <f>-SUMIFS('2月数据源'!$I:$I,'2月数据源'!$D:$D,$E134,'2月数据源'!$F:$F,"杭州目标准科技有限公司")+SUMIFS('2月数据源'!$J:$J,'2月数据源'!$D:$D,$E134,'2月数据源'!$F:$F,"杭州目标准科技有限公司")</f>
        <v/>
      </c>
      <c r="H134" s="89">
        <f>-SUMIFS('3月数据源'!$I:$I,'3月数据源'!$D:$D,$E134,'3月数据源'!$F:$F,"杭州目标准科技有限公司")+SUMIFS('3月数据源'!$J:$J,'3月数据源'!$D:$D,$E134,'3月数据源'!$F:$F,"杭州目标准科技有限公司")</f>
        <v/>
      </c>
      <c r="I134" s="89">
        <f>-SUMIFS('4月数据源'!$I:$I,'4月数据源'!$D:$D,$E134,'4月数据源'!$F:$F,"杭州目标准科技有限公司")+SUMIFS('4月数据源'!$J:$J,'4月数据源'!$D:$D,$E134,'4月数据源'!$F:$F,"杭州目标准科技有限公司")</f>
        <v/>
      </c>
      <c r="J134" s="89">
        <f>-SUMIFS('5月数据源'!$I:$I,'5月数据源'!$D:$D,$E134,'5月数据源'!$F:$F,"杭州目标准科技有限公司")+SUMIFS('5月数据源'!$J:$J,'5月数据源'!$D:$D,$E134,'5月数据源'!$F:$F,"杭州目标准科技有限公司")</f>
        <v/>
      </c>
      <c r="K134" s="89">
        <f>-SUMIFS('6月数据源'!$I:$I,'6月数据源'!$D:$D,$E134,'6月数据源'!$F:$F,"杭州目标准科技有限公司")+SUMIFS('6月数据源'!$J:$J,'6月数据源'!$D:$D,$E134,'6月数据源'!$F:$F,"杭州目标准科技有限公司")</f>
        <v/>
      </c>
      <c r="L134" s="89">
        <f>-SUMIFS('7月数据源'!$I:$I,'7月数据源'!$D:$D,$E134,'7月数据源'!$F:$F,"杭州目标准科技有限公司")+SUMIFS('7月数据源'!$J:$J,'7月数据源'!$D:$D,$E134,'7月数据源'!$F:$F,"杭州目标准科技有限公司")</f>
        <v/>
      </c>
      <c r="M134" s="89">
        <f>-SUMIFS('8月数据源'!$I:$I,'8月数据源'!$D:$D,$E134,'8月数据源'!$F:$F,"杭州目标准科技有限公司")+SUMIFS('8月数据源'!$J:$J,'8月数据源'!$D:$D,$E134,'8月数据源'!$F:$F,"杭州目标准科技有限公司")</f>
        <v/>
      </c>
      <c r="N134" s="89">
        <f>-SUMIFS('9月数据源'!$I:$I,'9月数据源'!$D:$D,$E134,'9月数据源'!$F:$F,"杭州目标准科技有限公司")+SUMIFS('9月数据源'!$J:$J,'9月数据源'!$D:$D,$E134,'9月数据源'!$F:$F,"杭州目标准科技有限公司")</f>
        <v/>
      </c>
      <c r="O134" s="89">
        <f>-SUMIFS('10月数据源'!$I:$I,'10月数据源'!$D:$D,$E134,'10月数据源'!$F:$F,"杭州目标准科技有限公司")+SUMIFS('10月数据源'!$J:$J,'10月数据源'!$D:$D,$E134,'10月数据源'!$F:$F,"杭州目标准科技有限公司")</f>
        <v/>
      </c>
      <c r="P134" s="89">
        <f>-SUMIFS('11月数据源'!$I:$I,'11月数据源'!$D:$D,$E134,'11月数据源'!$F:$F,"杭州目标准科技有限公司")+SUMIFS('11月数据源'!$J:$J,'11月数据源'!$D:$D,$E134,'11月数据源'!$F:$F,"杭州目标准科技有限公司")</f>
        <v/>
      </c>
      <c r="Q134" s="89">
        <f>-SUMIFS('12月数据源'!$I:$I,'12月数据源'!$D:$D,$E134,'12月数据源'!$F:$F,"杭州目标准科技有限公司")+SUMIFS('12月数据源'!$J:$J,'12月数据源'!$D:$D,$E134,'12月数据源'!$F:$F,"杭州目标准科技有限公司")</f>
        <v/>
      </c>
    </row>
    <row r="135" s="83">
      <c r="A135" s="5" t="inlineStr">
        <is>
          <t>销售费用</t>
        </is>
      </c>
      <c r="B135" s="6" t="inlineStr">
        <is>
          <t>发货成本</t>
        </is>
      </c>
      <c r="D135" s="5" t="inlineStr">
        <is>
          <t>云仓租金</t>
        </is>
      </c>
      <c r="E135" s="6" t="inlineStr">
        <is>
          <t>Q2502</t>
        </is>
      </c>
      <c r="F135" s="89">
        <f>-SUMIFS('1月数据源'!I:I,'1月数据源'!D:D,E135,'1月数据源'!F:F,"杭州目标准科技有限公司")+SUMIFS('1月数据源'!J:J,'1月数据源'!D:D,E135,'1月数据源'!F:F,"杭州目标准科技有限公司")</f>
        <v/>
      </c>
      <c r="G135" s="89">
        <f>-SUMIFS('2月数据源'!$I:$I,'2月数据源'!$D:$D,$E135,'2月数据源'!$F:$F,"杭州目标准科技有限公司")+SUMIFS('2月数据源'!$J:$J,'2月数据源'!$D:$D,$E135,'2月数据源'!$F:$F,"杭州目标准科技有限公司")</f>
        <v/>
      </c>
      <c r="H135" s="89">
        <f>-SUMIFS('3月数据源'!$I:$I,'3月数据源'!$D:$D,$E135,'3月数据源'!$F:$F,"杭州目标准科技有限公司")+SUMIFS('3月数据源'!$J:$J,'3月数据源'!$D:$D,$E135,'3月数据源'!$F:$F,"杭州目标准科技有限公司")</f>
        <v/>
      </c>
      <c r="I135" s="89">
        <f>-SUMIFS('4月数据源'!$I:$I,'4月数据源'!$D:$D,$E135,'4月数据源'!$F:$F,"杭州目标准科技有限公司")+SUMIFS('4月数据源'!$J:$J,'4月数据源'!$D:$D,$E135,'4月数据源'!$F:$F,"杭州目标准科技有限公司")</f>
        <v/>
      </c>
      <c r="J135" s="89">
        <f>-SUMIFS('5月数据源'!$I:$I,'5月数据源'!$D:$D,$E135,'5月数据源'!$F:$F,"杭州目标准科技有限公司")+SUMIFS('5月数据源'!$J:$J,'5月数据源'!$D:$D,$E135,'5月数据源'!$F:$F,"杭州目标准科技有限公司")</f>
        <v/>
      </c>
      <c r="K135" s="89">
        <f>-SUMIFS('6月数据源'!$I:$I,'6月数据源'!$D:$D,$E135,'6月数据源'!$F:$F,"杭州目标准科技有限公司")+SUMIFS('6月数据源'!$J:$J,'6月数据源'!$D:$D,$E135,'6月数据源'!$F:$F,"杭州目标准科技有限公司")</f>
        <v/>
      </c>
      <c r="L135" s="89">
        <f>-SUMIFS('7月数据源'!$I:$I,'7月数据源'!$D:$D,$E135,'7月数据源'!$F:$F,"杭州目标准科技有限公司")+SUMIFS('7月数据源'!$J:$J,'7月数据源'!$D:$D,$E135,'7月数据源'!$F:$F,"杭州目标准科技有限公司")</f>
        <v/>
      </c>
      <c r="M135" s="89">
        <f>-SUMIFS('8月数据源'!$I:$I,'8月数据源'!$D:$D,$E135,'8月数据源'!$F:$F,"杭州目标准科技有限公司")+SUMIFS('8月数据源'!$J:$J,'8月数据源'!$D:$D,$E135,'8月数据源'!$F:$F,"杭州目标准科技有限公司")</f>
        <v/>
      </c>
      <c r="N135" s="89">
        <f>-SUMIFS('9月数据源'!$I:$I,'9月数据源'!$D:$D,$E135,'9月数据源'!$F:$F,"杭州目标准科技有限公司")+SUMIFS('9月数据源'!$J:$J,'9月数据源'!$D:$D,$E135,'9月数据源'!$F:$F,"杭州目标准科技有限公司")</f>
        <v/>
      </c>
      <c r="O135" s="89">
        <f>-SUMIFS('10月数据源'!$I:$I,'10月数据源'!$D:$D,$E135,'10月数据源'!$F:$F,"杭州目标准科技有限公司")+SUMIFS('10月数据源'!$J:$J,'10月数据源'!$D:$D,$E135,'10月数据源'!$F:$F,"杭州目标准科技有限公司")</f>
        <v/>
      </c>
      <c r="P135" s="89">
        <f>-SUMIFS('11月数据源'!$I:$I,'11月数据源'!$D:$D,$E135,'11月数据源'!$F:$F,"杭州目标准科技有限公司")+SUMIFS('11月数据源'!$J:$J,'11月数据源'!$D:$D,$E135,'11月数据源'!$F:$F,"杭州目标准科技有限公司")</f>
        <v/>
      </c>
      <c r="Q135" s="89">
        <f>-SUMIFS('12月数据源'!$I:$I,'12月数据源'!$D:$D,$E135,'12月数据源'!$F:$F,"杭州目标准科技有限公司")+SUMIFS('12月数据源'!$J:$J,'12月数据源'!$D:$D,$E135,'12月数据源'!$F:$F,"杭州目标准科技有限公司")</f>
        <v/>
      </c>
    </row>
    <row r="136" s="83">
      <c r="A136" s="5" t="inlineStr">
        <is>
          <t>销售费用</t>
        </is>
      </c>
      <c r="B136" s="6" t="inlineStr">
        <is>
          <t>品销-费用报销</t>
        </is>
      </c>
      <c r="C136" s="6" t="inlineStr">
        <is>
          <t>品销-费用报销</t>
        </is>
      </c>
      <c r="D136" s="5" t="inlineStr">
        <is>
          <t>品销员工报销</t>
        </is>
      </c>
      <c r="E136" s="6" t="inlineStr">
        <is>
          <t>Q2601</t>
        </is>
      </c>
      <c r="F136" s="89">
        <f>-SUMIFS('1月数据源'!I:I,'1月数据源'!D:D,E136,'1月数据源'!F:F,"杭州目标准科技有限公司")+SUMIFS('1月数据源'!J:J,'1月数据源'!D:D,E136,'1月数据源'!F:F,"杭州目标准科技有限公司")</f>
        <v/>
      </c>
      <c r="G136" s="89">
        <f>-SUMIFS('2月数据源'!$I:$I,'2月数据源'!$D:$D,$E136,'2月数据源'!$F:$F,"杭州目标准科技有限公司")+SUMIFS('2月数据源'!$J:$J,'2月数据源'!$D:$D,$E136,'2月数据源'!$F:$F,"杭州目标准科技有限公司")</f>
        <v/>
      </c>
      <c r="H136" s="89">
        <f>-SUMIFS('3月数据源'!$I:$I,'3月数据源'!$D:$D,$E136,'3月数据源'!$F:$F,"杭州目标准科技有限公司")+SUMIFS('3月数据源'!$J:$J,'3月数据源'!$D:$D,$E136,'3月数据源'!$F:$F,"杭州目标准科技有限公司")</f>
        <v/>
      </c>
      <c r="I136" s="89">
        <f>-SUMIFS('4月数据源'!$I:$I,'4月数据源'!$D:$D,$E136,'4月数据源'!$F:$F,"杭州目标准科技有限公司")+SUMIFS('4月数据源'!$J:$J,'4月数据源'!$D:$D,$E136,'4月数据源'!$F:$F,"杭州目标准科技有限公司")</f>
        <v/>
      </c>
      <c r="J136" s="89">
        <f>-SUMIFS('5月数据源'!$I:$I,'5月数据源'!$D:$D,$E136,'5月数据源'!$F:$F,"杭州目标准科技有限公司")+SUMIFS('5月数据源'!$J:$J,'5月数据源'!$D:$D,$E136,'5月数据源'!$F:$F,"杭州目标准科技有限公司")</f>
        <v/>
      </c>
      <c r="K136" s="89">
        <f>-SUMIFS('6月数据源'!$I:$I,'6月数据源'!$D:$D,$E136,'6月数据源'!$F:$F,"杭州目标准科技有限公司")+SUMIFS('6月数据源'!$J:$J,'6月数据源'!$D:$D,$E136,'6月数据源'!$F:$F,"杭州目标准科技有限公司")</f>
        <v/>
      </c>
      <c r="L136" s="89">
        <f>-SUMIFS('7月数据源'!$I:$I,'7月数据源'!$D:$D,$E136,'7月数据源'!$F:$F,"杭州目标准科技有限公司")+SUMIFS('7月数据源'!$J:$J,'7月数据源'!$D:$D,$E136,'7月数据源'!$F:$F,"杭州目标准科技有限公司")</f>
        <v/>
      </c>
      <c r="M136" s="89">
        <f>-SUMIFS('8月数据源'!$I:$I,'8月数据源'!$D:$D,$E136,'8月数据源'!$F:$F,"杭州目标准科技有限公司")+SUMIFS('8月数据源'!$J:$J,'8月数据源'!$D:$D,$E136,'8月数据源'!$F:$F,"杭州目标准科技有限公司")</f>
        <v/>
      </c>
      <c r="N136" s="89">
        <f>-SUMIFS('9月数据源'!$I:$I,'9月数据源'!$D:$D,$E136,'9月数据源'!$F:$F,"杭州目标准科技有限公司")+SUMIFS('9月数据源'!$J:$J,'9月数据源'!$D:$D,$E136,'9月数据源'!$F:$F,"杭州目标准科技有限公司")</f>
        <v/>
      </c>
      <c r="O136" s="89">
        <f>-SUMIFS('10月数据源'!$I:$I,'10月数据源'!$D:$D,$E136,'10月数据源'!$F:$F,"杭州目标准科技有限公司")+SUMIFS('10月数据源'!$J:$J,'10月数据源'!$D:$D,$E136,'10月数据源'!$F:$F,"杭州目标准科技有限公司")</f>
        <v/>
      </c>
      <c r="P136" s="89">
        <f>-SUMIFS('11月数据源'!$I:$I,'11月数据源'!$D:$D,$E136,'11月数据源'!$F:$F,"杭州目标准科技有限公司")+SUMIFS('11月数据源'!$J:$J,'11月数据源'!$D:$D,$E136,'11月数据源'!$F:$F,"杭州目标准科技有限公司")</f>
        <v/>
      </c>
      <c r="Q136" s="89">
        <f>-SUMIFS('12月数据源'!$I:$I,'12月数据源'!$D:$D,$E136,'12月数据源'!$F:$F,"杭州目标准科技有限公司")+SUMIFS('12月数据源'!$J:$J,'12月数据源'!$D:$D,$E136,'12月数据源'!$F:$F,"杭州目标准科技有限公司")</f>
        <v/>
      </c>
    </row>
    <row r="137" s="83">
      <c r="A137" s="49" t="inlineStr">
        <is>
          <t>销售费用合计</t>
        </is>
      </c>
      <c r="B137" s="50" t="n"/>
      <c r="C137" s="50" t="n"/>
      <c r="D137" s="49" t="n"/>
      <c r="E137" s="49" t="n"/>
      <c r="F137" s="89">
        <f>SUM(F99:F136)</f>
        <v/>
      </c>
      <c r="G137" s="89">
        <f>SUM(G99:G136)</f>
        <v/>
      </c>
      <c r="H137" s="89">
        <f>SUM(H99:H136)</f>
        <v/>
      </c>
      <c r="I137" s="89">
        <f>SUM(I99:I136)</f>
        <v/>
      </c>
      <c r="J137" s="89">
        <f>SUM(J99:J136)</f>
        <v/>
      </c>
      <c r="K137" s="89">
        <f>SUM(K99:K136)</f>
        <v/>
      </c>
      <c r="L137" s="89">
        <f>SUM(L99:L136)</f>
        <v/>
      </c>
      <c r="M137" s="89">
        <f>SUM(M99:M136)</f>
        <v/>
      </c>
      <c r="N137" s="89">
        <f>SUM(N99:N136)</f>
        <v/>
      </c>
      <c r="O137" s="89">
        <f>SUM(O99:O136)</f>
        <v/>
      </c>
      <c r="P137" s="89">
        <f>SUM(P99:P136)</f>
        <v/>
      </c>
      <c r="Q137" s="89">
        <f>SUM(Q99:Q136)</f>
        <v/>
      </c>
    </row>
    <row r="138" s="83">
      <c r="A138" s="5" t="inlineStr">
        <is>
          <t>管理费用</t>
        </is>
      </c>
      <c r="B138" s="6" t="inlineStr">
        <is>
          <t>办公场地使用费</t>
        </is>
      </c>
      <c r="C138" s="6" t="inlineStr">
        <is>
          <t>办公场地使用费</t>
        </is>
      </c>
      <c r="D138" s="5" t="inlineStr">
        <is>
          <t>西溪首座办公场地租金</t>
        </is>
      </c>
      <c r="E138" s="6" t="inlineStr">
        <is>
          <t>Q2702</t>
        </is>
      </c>
      <c r="F138" s="89">
        <f>-SUMIFS('1月数据源'!I:I,'1月数据源'!D:D,E138,'1月数据源'!F:F,"杭州目标准科技有限公司")+SUMIFS('1月数据源'!J:J,'1月数据源'!D:D,E138,'1月数据源'!F:F,"杭州目标准科技有限公司")</f>
        <v/>
      </c>
      <c r="G138" s="89">
        <f>-SUMIFS('2月数据源'!$I:$I,'2月数据源'!$D:$D,$E138,'2月数据源'!$F:$F,"杭州目标准科技有限公司")+SUMIFS('2月数据源'!$J:$J,'2月数据源'!$D:$D,$E138,'2月数据源'!$F:$F,"杭州目标准科技有限公司")</f>
        <v/>
      </c>
      <c r="H138" s="89">
        <f>-SUMIFS('3月数据源'!$I:$I,'3月数据源'!$D:$D,$E138,'3月数据源'!$F:$F,"杭州目标准科技有限公司")+SUMIFS('3月数据源'!$J:$J,'3月数据源'!$D:$D,$E138,'3月数据源'!$F:$F,"杭州目标准科技有限公司")</f>
        <v/>
      </c>
      <c r="I138" s="89">
        <f>-SUMIFS('4月数据源'!$I:$I,'4月数据源'!$D:$D,$E138,'4月数据源'!$F:$F,"杭州目标准科技有限公司")+SUMIFS('4月数据源'!$J:$J,'4月数据源'!$D:$D,$E138,'4月数据源'!$F:$F,"杭州目标准科技有限公司")</f>
        <v/>
      </c>
      <c r="J138" s="89">
        <f>-SUMIFS('5月数据源'!$I:$I,'5月数据源'!$D:$D,$E138,'5月数据源'!$F:$F,"杭州目标准科技有限公司")+SUMIFS('5月数据源'!$J:$J,'5月数据源'!$D:$D,$E138,'5月数据源'!$F:$F,"杭州目标准科技有限公司")</f>
        <v/>
      </c>
      <c r="K138" s="89">
        <f>-SUMIFS('6月数据源'!$I:$I,'6月数据源'!$D:$D,$E138,'6月数据源'!$F:$F,"杭州目标准科技有限公司")+SUMIFS('6月数据源'!$J:$J,'6月数据源'!$D:$D,$E138,'6月数据源'!$F:$F,"杭州目标准科技有限公司")</f>
        <v/>
      </c>
      <c r="L138" s="89">
        <f>-SUMIFS('7月数据源'!$I:$I,'7月数据源'!$D:$D,$E138,'7月数据源'!$F:$F,"杭州目标准科技有限公司")+SUMIFS('7月数据源'!$J:$J,'7月数据源'!$D:$D,$E138,'7月数据源'!$F:$F,"杭州目标准科技有限公司")</f>
        <v/>
      </c>
      <c r="M138" s="89">
        <f>-SUMIFS('8月数据源'!$I:$I,'8月数据源'!$D:$D,$E138,'8月数据源'!$F:$F,"杭州目标准科技有限公司")+SUMIFS('8月数据源'!$J:$J,'8月数据源'!$D:$D,$E138,'8月数据源'!$F:$F,"杭州目标准科技有限公司")</f>
        <v/>
      </c>
      <c r="N138" s="89">
        <f>-SUMIFS('9月数据源'!$I:$I,'9月数据源'!$D:$D,$E138,'9月数据源'!$F:$F,"杭州目标准科技有限公司")+SUMIFS('9月数据源'!$J:$J,'9月数据源'!$D:$D,$E138,'9月数据源'!$F:$F,"杭州目标准科技有限公司")</f>
        <v/>
      </c>
      <c r="O138" s="89">
        <f>-SUMIFS('10月数据源'!$I:$I,'10月数据源'!$D:$D,$E138,'10月数据源'!$F:$F,"杭州目标准科技有限公司")+SUMIFS('10月数据源'!$J:$J,'10月数据源'!$D:$D,$E138,'10月数据源'!$F:$F,"杭州目标准科技有限公司")</f>
        <v/>
      </c>
      <c r="P138" s="89">
        <f>-SUMIFS('11月数据源'!$I:$I,'11月数据源'!$D:$D,$E138,'11月数据源'!$F:$F,"杭州目标准科技有限公司")+SUMIFS('11月数据源'!$J:$J,'11月数据源'!$D:$D,$E138,'11月数据源'!$F:$F,"杭州目标准科技有限公司")</f>
        <v/>
      </c>
      <c r="Q138" s="89">
        <f>-SUMIFS('12月数据源'!$I:$I,'12月数据源'!$D:$D,$E138,'12月数据源'!$F:$F,"杭州目标准科技有限公司")+SUMIFS('12月数据源'!$J:$J,'12月数据源'!$D:$D,$E138,'12月数据源'!$F:$F,"杭州目标准科技有限公司")</f>
        <v/>
      </c>
    </row>
    <row r="139" s="83">
      <c r="A139" s="5" t="inlineStr">
        <is>
          <t>管理费用</t>
        </is>
      </c>
      <c r="B139" s="6" t="inlineStr">
        <is>
          <t>办公场地使用费</t>
        </is>
      </c>
      <c r="D139" s="5" t="inlineStr">
        <is>
          <t>西溪首座办公场地装修费</t>
        </is>
      </c>
      <c r="E139" s="6" t="inlineStr">
        <is>
          <t>Q2701</t>
        </is>
      </c>
      <c r="F139" s="89">
        <f>-SUMIFS('1月数据源'!I:I,'1月数据源'!D:D,E139,'1月数据源'!F:F,"杭州目标准科技有限公司")+SUMIFS('1月数据源'!J:J,'1月数据源'!D:D,E139,'1月数据源'!F:F,"杭州目标准科技有限公司")</f>
        <v/>
      </c>
      <c r="G139" s="89">
        <f>-SUMIFS('2月数据源'!$I:$I,'2月数据源'!$D:$D,$E139,'2月数据源'!$F:$F,"杭州目标准科技有限公司")+SUMIFS('2月数据源'!$J:$J,'2月数据源'!$D:$D,$E139,'2月数据源'!$F:$F,"杭州目标准科技有限公司")</f>
        <v/>
      </c>
      <c r="H139" s="89">
        <f>-SUMIFS('3月数据源'!$I:$I,'3月数据源'!$D:$D,$E139,'3月数据源'!$F:$F,"杭州目标准科技有限公司")+SUMIFS('3月数据源'!$J:$J,'3月数据源'!$D:$D,$E139,'3月数据源'!$F:$F,"杭州目标准科技有限公司")</f>
        <v/>
      </c>
      <c r="I139" s="89">
        <f>-SUMIFS('4月数据源'!$I:$I,'4月数据源'!$D:$D,$E139,'4月数据源'!$F:$F,"杭州目标准科技有限公司")+SUMIFS('4月数据源'!$J:$J,'4月数据源'!$D:$D,$E139,'4月数据源'!$F:$F,"杭州目标准科技有限公司")</f>
        <v/>
      </c>
      <c r="J139" s="89">
        <f>-SUMIFS('5月数据源'!$I:$I,'5月数据源'!$D:$D,$E139,'5月数据源'!$F:$F,"杭州目标准科技有限公司")+SUMIFS('5月数据源'!$J:$J,'5月数据源'!$D:$D,$E139,'5月数据源'!$F:$F,"杭州目标准科技有限公司")</f>
        <v/>
      </c>
      <c r="K139" s="89">
        <f>-SUMIFS('6月数据源'!$I:$I,'6月数据源'!$D:$D,$E139,'6月数据源'!$F:$F,"杭州目标准科技有限公司")+SUMIFS('6月数据源'!$J:$J,'6月数据源'!$D:$D,$E139,'6月数据源'!$F:$F,"杭州目标准科技有限公司")</f>
        <v/>
      </c>
      <c r="L139" s="89">
        <f>-SUMIFS('7月数据源'!$I:$I,'7月数据源'!$D:$D,$E139,'7月数据源'!$F:$F,"杭州目标准科技有限公司")+SUMIFS('7月数据源'!$J:$J,'7月数据源'!$D:$D,$E139,'7月数据源'!$F:$F,"杭州目标准科技有限公司")</f>
        <v/>
      </c>
      <c r="M139" s="89">
        <f>-SUMIFS('8月数据源'!$I:$I,'8月数据源'!$D:$D,$E139,'8月数据源'!$F:$F,"杭州目标准科技有限公司")+SUMIFS('8月数据源'!$J:$J,'8月数据源'!$D:$D,$E139,'8月数据源'!$F:$F,"杭州目标准科技有限公司")</f>
        <v/>
      </c>
      <c r="N139" s="89">
        <f>-SUMIFS('9月数据源'!$I:$I,'9月数据源'!$D:$D,$E139,'9月数据源'!$F:$F,"杭州目标准科技有限公司")+SUMIFS('9月数据源'!$J:$J,'9月数据源'!$D:$D,$E139,'9月数据源'!$F:$F,"杭州目标准科技有限公司")</f>
        <v/>
      </c>
      <c r="O139" s="89">
        <f>-SUMIFS('10月数据源'!$I:$I,'10月数据源'!$D:$D,$E139,'10月数据源'!$F:$F,"杭州目标准科技有限公司")+SUMIFS('10月数据源'!$J:$J,'10月数据源'!$D:$D,$E139,'10月数据源'!$F:$F,"杭州目标准科技有限公司")</f>
        <v/>
      </c>
      <c r="P139" s="89">
        <f>-SUMIFS('11月数据源'!$I:$I,'11月数据源'!$D:$D,$E139,'11月数据源'!$F:$F,"杭州目标准科技有限公司")+SUMIFS('11月数据源'!$J:$J,'11月数据源'!$D:$D,$E139,'11月数据源'!$F:$F,"杭州目标准科技有限公司")</f>
        <v/>
      </c>
      <c r="Q139" s="89">
        <f>-SUMIFS('12月数据源'!$I:$I,'12月数据源'!$D:$D,$E139,'12月数据源'!$F:$F,"杭州目标准科技有限公司")+SUMIFS('12月数据源'!$J:$J,'12月数据源'!$D:$D,$E139,'12月数据源'!$F:$F,"杭州目标准科技有限公司")</f>
        <v/>
      </c>
    </row>
    <row r="140" s="83">
      <c r="A140" s="5" t="inlineStr">
        <is>
          <t>管理费用</t>
        </is>
      </c>
      <c r="B140" s="6" t="inlineStr">
        <is>
          <t>办公场地使用费</t>
        </is>
      </c>
      <c r="D140" s="5" t="inlineStr">
        <is>
          <t>西溪首座办公室物业水电费</t>
        </is>
      </c>
      <c r="E140" s="6" t="inlineStr">
        <is>
          <t>Q2703</t>
        </is>
      </c>
      <c r="F140" s="89">
        <f>-SUMIFS('1月数据源'!I:I,'1月数据源'!D:D,E140,'1月数据源'!F:F,"杭州目标准科技有限公司")+SUMIFS('1月数据源'!J:J,'1月数据源'!D:D,E140,'1月数据源'!F:F,"杭州目标准科技有限公司")</f>
        <v/>
      </c>
      <c r="G140" s="89">
        <f>-SUMIFS('2月数据源'!$I:$I,'2月数据源'!$D:$D,$E140,'2月数据源'!$F:$F,"杭州目标准科技有限公司")+SUMIFS('2月数据源'!$J:$J,'2月数据源'!$D:$D,$E140,'2月数据源'!$F:$F,"杭州目标准科技有限公司")</f>
        <v/>
      </c>
      <c r="H140" s="89">
        <f>-SUMIFS('3月数据源'!$I:$I,'3月数据源'!$D:$D,$E140,'3月数据源'!$F:$F,"杭州目标准科技有限公司")+SUMIFS('3月数据源'!$J:$J,'3月数据源'!$D:$D,$E140,'3月数据源'!$F:$F,"杭州目标准科技有限公司")</f>
        <v/>
      </c>
      <c r="I140" s="89">
        <f>-SUMIFS('4月数据源'!$I:$I,'4月数据源'!$D:$D,$E140,'4月数据源'!$F:$F,"杭州目标准科技有限公司")+SUMIFS('4月数据源'!$J:$J,'4月数据源'!$D:$D,$E140,'4月数据源'!$F:$F,"杭州目标准科技有限公司")</f>
        <v/>
      </c>
      <c r="J140" s="89">
        <f>-SUMIFS('5月数据源'!$I:$I,'5月数据源'!$D:$D,$E140,'5月数据源'!$F:$F,"杭州目标准科技有限公司")+SUMIFS('5月数据源'!$J:$J,'5月数据源'!$D:$D,$E140,'5月数据源'!$F:$F,"杭州目标准科技有限公司")</f>
        <v/>
      </c>
      <c r="K140" s="89">
        <f>-SUMIFS('6月数据源'!$I:$I,'6月数据源'!$D:$D,$E140,'6月数据源'!$F:$F,"杭州目标准科技有限公司")+SUMIFS('6月数据源'!$J:$J,'6月数据源'!$D:$D,$E140,'6月数据源'!$F:$F,"杭州目标准科技有限公司")</f>
        <v/>
      </c>
      <c r="L140" s="89">
        <f>-SUMIFS('7月数据源'!$I:$I,'7月数据源'!$D:$D,$E140,'7月数据源'!$F:$F,"杭州目标准科技有限公司")+SUMIFS('7月数据源'!$J:$J,'7月数据源'!$D:$D,$E140,'7月数据源'!$F:$F,"杭州目标准科技有限公司")</f>
        <v/>
      </c>
      <c r="M140" s="89">
        <f>-SUMIFS('8月数据源'!$I:$I,'8月数据源'!$D:$D,$E140,'8月数据源'!$F:$F,"杭州目标准科技有限公司")+SUMIFS('8月数据源'!$J:$J,'8月数据源'!$D:$D,$E140,'8月数据源'!$F:$F,"杭州目标准科技有限公司")</f>
        <v/>
      </c>
      <c r="N140" s="89">
        <f>-SUMIFS('9月数据源'!$I:$I,'9月数据源'!$D:$D,$E140,'9月数据源'!$F:$F,"杭州目标准科技有限公司")+SUMIFS('9月数据源'!$J:$J,'9月数据源'!$D:$D,$E140,'9月数据源'!$F:$F,"杭州目标准科技有限公司")</f>
        <v/>
      </c>
      <c r="O140" s="89">
        <f>-SUMIFS('10月数据源'!$I:$I,'10月数据源'!$D:$D,$E140,'10月数据源'!$F:$F,"杭州目标准科技有限公司")+SUMIFS('10月数据源'!$J:$J,'10月数据源'!$D:$D,$E140,'10月数据源'!$F:$F,"杭州目标准科技有限公司")</f>
        <v/>
      </c>
      <c r="P140" s="89">
        <f>-SUMIFS('11月数据源'!$I:$I,'11月数据源'!$D:$D,$E140,'11月数据源'!$F:$F,"杭州目标准科技有限公司")+SUMIFS('11月数据源'!$J:$J,'11月数据源'!$D:$D,$E140,'11月数据源'!$F:$F,"杭州目标准科技有限公司")</f>
        <v/>
      </c>
      <c r="Q140" s="89">
        <f>-SUMIFS('12月数据源'!$I:$I,'12月数据源'!$D:$D,$E140,'12月数据源'!$F:$F,"杭州目标准科技有限公司")+SUMIFS('12月数据源'!$J:$J,'12月数据源'!$D:$D,$E140,'12月数据源'!$F:$F,"杭州目标准科技有限公司")</f>
        <v/>
      </c>
    </row>
    <row r="141" s="83">
      <c r="A141" s="5" t="inlineStr">
        <is>
          <t>管理费用</t>
        </is>
      </c>
      <c r="B141" s="6" t="inlineStr">
        <is>
          <t>办公场地使用费</t>
        </is>
      </c>
      <c r="D141" s="5" t="inlineStr">
        <is>
          <t>合肥办公室租金</t>
        </is>
      </c>
      <c r="E141" s="6" t="inlineStr">
        <is>
          <t>Q2704</t>
        </is>
      </c>
      <c r="F141" s="89">
        <f>-SUMIFS('1月数据源'!I:I,'1月数据源'!D:D,E141,'1月数据源'!F:F,"杭州目标准科技有限公司")+SUMIFS('1月数据源'!J:J,'1月数据源'!D:D,E141,'1月数据源'!F:F,"杭州目标准科技有限公司")</f>
        <v/>
      </c>
      <c r="G141" s="89">
        <f>-SUMIFS('2月数据源'!$I:$I,'2月数据源'!$D:$D,$E141,'2月数据源'!$F:$F,"杭州目标准科技有限公司")+SUMIFS('2月数据源'!$J:$J,'2月数据源'!$D:$D,$E141,'2月数据源'!$F:$F,"杭州目标准科技有限公司")</f>
        <v/>
      </c>
      <c r="H141" s="89">
        <f>-SUMIFS('3月数据源'!$I:$I,'3月数据源'!$D:$D,$E141,'3月数据源'!$F:$F,"杭州目标准科技有限公司")+SUMIFS('3月数据源'!$J:$J,'3月数据源'!$D:$D,$E141,'3月数据源'!$F:$F,"杭州目标准科技有限公司")</f>
        <v/>
      </c>
      <c r="I141" s="89">
        <f>-SUMIFS('4月数据源'!$I:$I,'4月数据源'!$D:$D,$E141,'4月数据源'!$F:$F,"杭州目标准科技有限公司")+SUMIFS('4月数据源'!$J:$J,'4月数据源'!$D:$D,$E141,'4月数据源'!$F:$F,"杭州目标准科技有限公司")</f>
        <v/>
      </c>
      <c r="J141" s="89">
        <f>-SUMIFS('5月数据源'!$I:$I,'5月数据源'!$D:$D,$E141,'5月数据源'!$F:$F,"杭州目标准科技有限公司")+SUMIFS('5月数据源'!$J:$J,'5月数据源'!$D:$D,$E141,'5月数据源'!$F:$F,"杭州目标准科技有限公司")</f>
        <v/>
      </c>
      <c r="K141" s="89">
        <f>-SUMIFS('6月数据源'!$I:$I,'6月数据源'!$D:$D,$E141,'6月数据源'!$F:$F,"杭州目标准科技有限公司")+SUMIFS('6月数据源'!$J:$J,'6月数据源'!$D:$D,$E141,'6月数据源'!$F:$F,"杭州目标准科技有限公司")</f>
        <v/>
      </c>
      <c r="L141" s="89">
        <f>-SUMIFS('7月数据源'!$I:$I,'7月数据源'!$D:$D,$E141,'7月数据源'!$F:$F,"杭州目标准科技有限公司")+SUMIFS('7月数据源'!$J:$J,'7月数据源'!$D:$D,$E141,'7月数据源'!$F:$F,"杭州目标准科技有限公司")</f>
        <v/>
      </c>
      <c r="M141" s="89">
        <f>-SUMIFS('8月数据源'!$I:$I,'8月数据源'!$D:$D,$E141,'8月数据源'!$F:$F,"杭州目标准科技有限公司")+SUMIFS('8月数据源'!$J:$J,'8月数据源'!$D:$D,$E141,'8月数据源'!$F:$F,"杭州目标准科技有限公司")</f>
        <v/>
      </c>
      <c r="N141" s="89">
        <f>-SUMIFS('9月数据源'!$I:$I,'9月数据源'!$D:$D,$E141,'9月数据源'!$F:$F,"杭州目标准科技有限公司")+SUMIFS('9月数据源'!$J:$J,'9月数据源'!$D:$D,$E141,'9月数据源'!$F:$F,"杭州目标准科技有限公司")</f>
        <v/>
      </c>
      <c r="O141" s="89">
        <f>-SUMIFS('10月数据源'!$I:$I,'10月数据源'!$D:$D,$E141,'10月数据源'!$F:$F,"杭州目标准科技有限公司")+SUMIFS('10月数据源'!$J:$J,'10月数据源'!$D:$D,$E141,'10月数据源'!$F:$F,"杭州目标准科技有限公司")</f>
        <v/>
      </c>
      <c r="P141" s="89">
        <f>-SUMIFS('11月数据源'!$I:$I,'11月数据源'!$D:$D,$E141,'11月数据源'!$F:$F,"杭州目标准科技有限公司")+SUMIFS('11月数据源'!$J:$J,'11月数据源'!$D:$D,$E141,'11月数据源'!$F:$F,"杭州目标准科技有限公司")</f>
        <v/>
      </c>
      <c r="Q141" s="89">
        <f>-SUMIFS('12月数据源'!$I:$I,'12月数据源'!$D:$D,$E141,'12月数据源'!$F:$F,"杭州目标准科技有限公司")+SUMIFS('12月数据源'!$J:$J,'12月数据源'!$D:$D,$E141,'12月数据源'!$F:$F,"杭州目标准科技有限公司")</f>
        <v/>
      </c>
    </row>
    <row r="142" s="83">
      <c r="A142" s="5" t="inlineStr">
        <is>
          <t>管理费用</t>
        </is>
      </c>
      <c r="B142" s="6" t="inlineStr">
        <is>
          <t>办公场地使用费</t>
        </is>
      </c>
      <c r="D142" s="5" t="inlineStr">
        <is>
          <t>合肥办公室物业水电费</t>
        </is>
      </c>
      <c r="E142" s="6" t="inlineStr">
        <is>
          <t>Q2705</t>
        </is>
      </c>
      <c r="F142" s="89">
        <f>-SUMIFS('1月数据源'!I:I,'1月数据源'!D:D,E142,'1月数据源'!F:F,"杭州目标准科技有限公司")+SUMIFS('1月数据源'!J:J,'1月数据源'!D:D,E142,'1月数据源'!F:F,"杭州目标准科技有限公司")</f>
        <v/>
      </c>
      <c r="G142" s="89">
        <f>-SUMIFS('2月数据源'!$I:$I,'2月数据源'!$D:$D,$E142,'2月数据源'!$F:$F,"杭州目标准科技有限公司")+SUMIFS('2月数据源'!$J:$J,'2月数据源'!$D:$D,$E142,'2月数据源'!$F:$F,"杭州目标准科技有限公司")</f>
        <v/>
      </c>
      <c r="H142" s="89">
        <f>-SUMIFS('3月数据源'!$I:$I,'3月数据源'!$D:$D,$E142,'3月数据源'!$F:$F,"杭州目标准科技有限公司")+SUMIFS('3月数据源'!$J:$J,'3月数据源'!$D:$D,$E142,'3月数据源'!$F:$F,"杭州目标准科技有限公司")</f>
        <v/>
      </c>
      <c r="I142" s="89">
        <f>-SUMIFS('4月数据源'!$I:$I,'4月数据源'!$D:$D,$E142,'4月数据源'!$F:$F,"杭州目标准科技有限公司")+SUMIFS('4月数据源'!$J:$J,'4月数据源'!$D:$D,$E142,'4月数据源'!$F:$F,"杭州目标准科技有限公司")</f>
        <v/>
      </c>
      <c r="J142" s="89">
        <f>-SUMIFS('5月数据源'!$I:$I,'5月数据源'!$D:$D,$E142,'5月数据源'!$F:$F,"杭州目标准科技有限公司")+SUMIFS('5月数据源'!$J:$J,'5月数据源'!$D:$D,$E142,'5月数据源'!$F:$F,"杭州目标准科技有限公司")</f>
        <v/>
      </c>
      <c r="K142" s="89">
        <f>-SUMIFS('6月数据源'!$I:$I,'6月数据源'!$D:$D,$E142,'6月数据源'!$F:$F,"杭州目标准科技有限公司")+SUMIFS('6月数据源'!$J:$J,'6月数据源'!$D:$D,$E142,'6月数据源'!$F:$F,"杭州目标准科技有限公司")</f>
        <v/>
      </c>
      <c r="L142" s="89">
        <f>-SUMIFS('7月数据源'!$I:$I,'7月数据源'!$D:$D,$E142,'7月数据源'!$F:$F,"杭州目标准科技有限公司")+SUMIFS('7月数据源'!$J:$J,'7月数据源'!$D:$D,$E142,'7月数据源'!$F:$F,"杭州目标准科技有限公司")</f>
        <v/>
      </c>
      <c r="M142" s="89">
        <f>-SUMIFS('8月数据源'!$I:$I,'8月数据源'!$D:$D,$E142,'8月数据源'!$F:$F,"杭州目标准科技有限公司")+SUMIFS('8月数据源'!$J:$J,'8月数据源'!$D:$D,$E142,'8月数据源'!$F:$F,"杭州目标准科技有限公司")</f>
        <v/>
      </c>
      <c r="N142" s="89">
        <f>-SUMIFS('9月数据源'!$I:$I,'9月数据源'!$D:$D,$E142,'9月数据源'!$F:$F,"杭州目标准科技有限公司")+SUMIFS('9月数据源'!$J:$J,'9月数据源'!$D:$D,$E142,'9月数据源'!$F:$F,"杭州目标准科技有限公司")</f>
        <v/>
      </c>
      <c r="O142" s="89">
        <f>-SUMIFS('10月数据源'!$I:$I,'10月数据源'!$D:$D,$E142,'10月数据源'!$F:$F,"杭州目标准科技有限公司")+SUMIFS('10月数据源'!$J:$J,'10月数据源'!$D:$D,$E142,'10月数据源'!$F:$F,"杭州目标准科技有限公司")</f>
        <v/>
      </c>
      <c r="P142" s="89">
        <f>-SUMIFS('11月数据源'!$I:$I,'11月数据源'!$D:$D,$E142,'11月数据源'!$F:$F,"杭州目标准科技有限公司")+SUMIFS('11月数据源'!$J:$J,'11月数据源'!$D:$D,$E142,'11月数据源'!$F:$F,"杭州目标准科技有限公司")</f>
        <v/>
      </c>
      <c r="Q142" s="89">
        <f>-SUMIFS('12月数据源'!$I:$I,'12月数据源'!$D:$D,$E142,'12月数据源'!$F:$F,"杭州目标准科技有限公司")+SUMIFS('12月数据源'!$J:$J,'12月数据源'!$D:$D,$E142,'12月数据源'!$F:$F,"杭州目标准科技有限公司")</f>
        <v/>
      </c>
    </row>
    <row r="143" s="83">
      <c r="A143" s="5" t="inlineStr">
        <is>
          <t>管理费用</t>
        </is>
      </c>
      <c r="B143" s="6" t="inlineStr">
        <is>
          <t>办公场地使用费</t>
        </is>
      </c>
      <c r="D143" s="5" t="inlineStr">
        <is>
          <t>其他办公场地使用费</t>
        </is>
      </c>
      <c r="E143" s="6" t="inlineStr">
        <is>
          <t>Q2706</t>
        </is>
      </c>
      <c r="F143" s="89">
        <f>-SUMIFS('1月数据源'!I:I,'1月数据源'!D:D,E143,'1月数据源'!F:F,"杭州目标准科技有限公司")+SUMIFS('1月数据源'!J:J,'1月数据源'!D:D,E143,'1月数据源'!F:F,"杭州目标准科技有限公司")</f>
        <v/>
      </c>
      <c r="G143" s="89">
        <f>-SUMIFS('2月数据源'!$I:$I,'2月数据源'!$D:$D,$E143,'2月数据源'!$F:$F,"杭州目标准科技有限公司")+SUMIFS('2月数据源'!$J:$J,'2月数据源'!$D:$D,$E143,'2月数据源'!$F:$F,"杭州目标准科技有限公司")</f>
        <v/>
      </c>
      <c r="H143" s="89">
        <f>-SUMIFS('3月数据源'!$I:$I,'3月数据源'!$D:$D,$E143,'3月数据源'!$F:$F,"杭州目标准科技有限公司")+SUMIFS('3月数据源'!$J:$J,'3月数据源'!$D:$D,$E143,'3月数据源'!$F:$F,"杭州目标准科技有限公司")</f>
        <v/>
      </c>
      <c r="I143" s="89">
        <f>-SUMIFS('4月数据源'!$I:$I,'4月数据源'!$D:$D,$E143,'4月数据源'!$F:$F,"杭州目标准科技有限公司")+SUMIFS('4月数据源'!$J:$J,'4月数据源'!$D:$D,$E143,'4月数据源'!$F:$F,"杭州目标准科技有限公司")</f>
        <v/>
      </c>
      <c r="J143" s="89">
        <f>-SUMIFS('5月数据源'!$I:$I,'5月数据源'!$D:$D,$E143,'5月数据源'!$F:$F,"杭州目标准科技有限公司")+SUMIFS('5月数据源'!$J:$J,'5月数据源'!$D:$D,$E143,'5月数据源'!$F:$F,"杭州目标准科技有限公司")</f>
        <v/>
      </c>
      <c r="K143" s="89">
        <f>-SUMIFS('6月数据源'!$I:$I,'6月数据源'!$D:$D,$E143,'6月数据源'!$F:$F,"杭州目标准科技有限公司")+SUMIFS('6月数据源'!$J:$J,'6月数据源'!$D:$D,$E143,'6月数据源'!$F:$F,"杭州目标准科技有限公司")</f>
        <v/>
      </c>
      <c r="L143" s="89">
        <f>-SUMIFS('7月数据源'!$I:$I,'7月数据源'!$D:$D,$E143,'7月数据源'!$F:$F,"杭州目标准科技有限公司")+SUMIFS('7月数据源'!$J:$J,'7月数据源'!$D:$D,$E143,'7月数据源'!$F:$F,"杭州目标准科技有限公司")</f>
        <v/>
      </c>
      <c r="M143" s="89">
        <f>-SUMIFS('8月数据源'!$I:$I,'8月数据源'!$D:$D,$E143,'8月数据源'!$F:$F,"杭州目标准科技有限公司")+SUMIFS('8月数据源'!$J:$J,'8月数据源'!$D:$D,$E143,'8月数据源'!$F:$F,"杭州目标准科技有限公司")</f>
        <v/>
      </c>
      <c r="N143" s="89">
        <f>-SUMIFS('9月数据源'!$I:$I,'9月数据源'!$D:$D,$E143,'9月数据源'!$F:$F,"杭州目标准科技有限公司")+SUMIFS('9月数据源'!$J:$J,'9月数据源'!$D:$D,$E143,'9月数据源'!$F:$F,"杭州目标准科技有限公司")</f>
        <v/>
      </c>
      <c r="O143" s="89">
        <f>-SUMIFS('10月数据源'!$I:$I,'10月数据源'!$D:$D,$E143,'10月数据源'!$F:$F,"杭州目标准科技有限公司")+SUMIFS('10月数据源'!$J:$J,'10月数据源'!$D:$D,$E143,'10月数据源'!$F:$F,"杭州目标准科技有限公司")</f>
        <v/>
      </c>
      <c r="P143" s="89">
        <f>-SUMIFS('11月数据源'!$I:$I,'11月数据源'!$D:$D,$E143,'11月数据源'!$F:$F,"杭州目标准科技有限公司")+SUMIFS('11月数据源'!$J:$J,'11月数据源'!$D:$D,$E143,'11月数据源'!$F:$F,"杭州目标准科技有限公司")</f>
        <v/>
      </c>
      <c r="Q143" s="89">
        <f>-SUMIFS('12月数据源'!$I:$I,'12月数据源'!$D:$D,$E143,'12月数据源'!$F:$F,"杭州目标准科技有限公司")+SUMIFS('12月数据源'!$J:$J,'12月数据源'!$D:$D,$E143,'12月数据源'!$F:$F,"杭州目标准科技有限公司")</f>
        <v/>
      </c>
    </row>
    <row r="144" s="83">
      <c r="A144" s="5" t="inlineStr">
        <is>
          <t>管理费用</t>
        </is>
      </c>
      <c r="B144" s="6" t="inlineStr">
        <is>
          <t>办公场地使用费</t>
        </is>
      </c>
      <c r="D144" s="5" t="inlineStr">
        <is>
          <t>其他办公场地物业水电费</t>
        </is>
      </c>
      <c r="E144" s="6" t="inlineStr">
        <is>
          <t>Q2708</t>
        </is>
      </c>
      <c r="F144" s="89">
        <f>-SUMIFS('1月数据源'!I:I,'1月数据源'!D:D,E144,'1月数据源'!F:F,"杭州目标准科技有限公司")+SUMIFS('1月数据源'!J:J,'1月数据源'!D:D,E144,'1月数据源'!F:F,"杭州目标准科技有限公司")</f>
        <v/>
      </c>
      <c r="G144" s="89">
        <f>-SUMIFS('2月数据源'!$I:$I,'2月数据源'!$D:$D,$E144,'2月数据源'!$F:$F,"杭州目标准科技有限公司")+SUMIFS('2月数据源'!$J:$J,'2月数据源'!$D:$D,$E144,'2月数据源'!$F:$F,"杭州目标准科技有限公司")</f>
        <v/>
      </c>
      <c r="H144" s="89">
        <f>-SUMIFS('3月数据源'!$I:$I,'3月数据源'!$D:$D,$E144,'3月数据源'!$F:$F,"杭州目标准科技有限公司")+SUMIFS('3月数据源'!$J:$J,'3月数据源'!$D:$D,$E144,'3月数据源'!$F:$F,"杭州目标准科技有限公司")</f>
        <v/>
      </c>
      <c r="I144" s="89">
        <f>-SUMIFS('4月数据源'!$I:$I,'4月数据源'!$D:$D,$E144,'4月数据源'!$F:$F,"杭州目标准科技有限公司")+SUMIFS('4月数据源'!$J:$J,'4月数据源'!$D:$D,$E144,'4月数据源'!$F:$F,"杭州目标准科技有限公司")</f>
        <v/>
      </c>
      <c r="J144" s="89">
        <f>-SUMIFS('5月数据源'!$I:$I,'5月数据源'!$D:$D,$E144,'5月数据源'!$F:$F,"杭州目标准科技有限公司")+SUMIFS('5月数据源'!$J:$J,'5月数据源'!$D:$D,$E144,'5月数据源'!$F:$F,"杭州目标准科技有限公司")</f>
        <v/>
      </c>
      <c r="K144" s="89">
        <f>-SUMIFS('6月数据源'!$I:$I,'6月数据源'!$D:$D,$E144,'6月数据源'!$F:$F,"杭州目标准科技有限公司")+SUMIFS('6月数据源'!$J:$J,'6月数据源'!$D:$D,$E144,'6月数据源'!$F:$F,"杭州目标准科技有限公司")</f>
        <v/>
      </c>
      <c r="L144" s="89">
        <f>-SUMIFS('7月数据源'!$I:$I,'7月数据源'!$D:$D,$E144,'7月数据源'!$F:$F,"杭州目标准科技有限公司")+SUMIFS('7月数据源'!$J:$J,'7月数据源'!$D:$D,$E144,'7月数据源'!$F:$F,"杭州目标准科技有限公司")</f>
        <v/>
      </c>
      <c r="M144" s="89">
        <f>-SUMIFS('8月数据源'!$I:$I,'8月数据源'!$D:$D,$E144,'8月数据源'!$F:$F,"杭州目标准科技有限公司")+SUMIFS('8月数据源'!$J:$J,'8月数据源'!$D:$D,$E144,'8月数据源'!$F:$F,"杭州目标准科技有限公司")</f>
        <v/>
      </c>
      <c r="N144" s="89">
        <f>-SUMIFS('9月数据源'!$I:$I,'9月数据源'!$D:$D,$E144,'9月数据源'!$F:$F,"杭州目标准科技有限公司")+SUMIFS('9月数据源'!$J:$J,'9月数据源'!$D:$D,$E144,'9月数据源'!$F:$F,"杭州目标准科技有限公司")</f>
        <v/>
      </c>
      <c r="O144" s="89">
        <f>-SUMIFS('10月数据源'!$I:$I,'10月数据源'!$D:$D,$E144,'10月数据源'!$F:$F,"杭州目标准科技有限公司")+SUMIFS('10月数据源'!$J:$J,'10月数据源'!$D:$D,$E144,'10月数据源'!$F:$F,"杭州目标准科技有限公司")</f>
        <v/>
      </c>
      <c r="P144" s="89">
        <f>-SUMIFS('11月数据源'!$I:$I,'11月数据源'!$D:$D,$E144,'11月数据源'!$F:$F,"杭州目标准科技有限公司")+SUMIFS('11月数据源'!$J:$J,'11月数据源'!$D:$D,$E144,'11月数据源'!$F:$F,"杭州目标准科技有限公司")</f>
        <v/>
      </c>
      <c r="Q144" s="89">
        <f>-SUMIFS('12月数据源'!$I:$I,'12月数据源'!$D:$D,$E144,'12月数据源'!$F:$F,"杭州目标准科技有限公司")+SUMIFS('12月数据源'!$J:$J,'12月数据源'!$D:$D,$E144,'12月数据源'!$F:$F,"杭州目标准科技有限公司")</f>
        <v/>
      </c>
    </row>
    <row r="145" s="83">
      <c r="A145" s="5" t="inlineStr">
        <is>
          <t>管理费用</t>
        </is>
      </c>
      <c r="B145" s="6" t="inlineStr">
        <is>
          <t>办公场地使用费</t>
        </is>
      </c>
      <c r="D145" s="5" t="inlineStr">
        <is>
          <t>押金</t>
        </is>
      </c>
      <c r="E145" s="6" t="inlineStr">
        <is>
          <t>Q2707</t>
        </is>
      </c>
      <c r="F145" s="89">
        <f>-SUMIFS('1月数据源'!I:I,'1月数据源'!D:D,E145,'1月数据源'!F:F,"杭州目标准科技有限公司")+SUMIFS('1月数据源'!J:J,'1月数据源'!D:D,E145,'1月数据源'!F:F,"杭州目标准科技有限公司")</f>
        <v/>
      </c>
      <c r="G145" s="89">
        <f>-SUMIFS('2月数据源'!$I:$I,'2月数据源'!$D:$D,$E145,'2月数据源'!$F:$F,"杭州目标准科技有限公司")+SUMIFS('2月数据源'!$J:$J,'2月数据源'!$D:$D,$E145,'2月数据源'!$F:$F,"杭州目标准科技有限公司")</f>
        <v/>
      </c>
      <c r="H145" s="89">
        <f>-SUMIFS('3月数据源'!$I:$I,'3月数据源'!$D:$D,$E145,'3月数据源'!$F:$F,"杭州目标准科技有限公司")+SUMIFS('3月数据源'!$J:$J,'3月数据源'!$D:$D,$E145,'3月数据源'!$F:$F,"杭州目标准科技有限公司")</f>
        <v/>
      </c>
      <c r="I145" s="89">
        <f>-SUMIFS('4月数据源'!$I:$I,'4月数据源'!$D:$D,$E145,'4月数据源'!$F:$F,"杭州目标准科技有限公司")+SUMIFS('4月数据源'!$J:$J,'4月数据源'!$D:$D,$E145,'4月数据源'!$F:$F,"杭州目标准科技有限公司")</f>
        <v/>
      </c>
      <c r="J145" s="89">
        <f>-SUMIFS('5月数据源'!$I:$I,'5月数据源'!$D:$D,$E145,'5月数据源'!$F:$F,"杭州目标准科技有限公司")+SUMIFS('5月数据源'!$J:$J,'5月数据源'!$D:$D,$E145,'5月数据源'!$F:$F,"杭州目标准科技有限公司")</f>
        <v/>
      </c>
      <c r="K145" s="89">
        <f>-SUMIFS('6月数据源'!$I:$I,'6月数据源'!$D:$D,$E145,'6月数据源'!$F:$F,"杭州目标准科技有限公司")+SUMIFS('6月数据源'!$J:$J,'6月数据源'!$D:$D,$E145,'6月数据源'!$F:$F,"杭州目标准科技有限公司")</f>
        <v/>
      </c>
      <c r="L145" s="89">
        <f>-SUMIFS('7月数据源'!$I:$I,'7月数据源'!$D:$D,$E145,'7月数据源'!$F:$F,"杭州目标准科技有限公司")+SUMIFS('7月数据源'!$J:$J,'7月数据源'!$D:$D,$E145,'7月数据源'!$F:$F,"杭州目标准科技有限公司")</f>
        <v/>
      </c>
      <c r="M145" s="89">
        <f>-SUMIFS('8月数据源'!$I:$I,'8月数据源'!$D:$D,$E145,'8月数据源'!$F:$F,"杭州目标准科技有限公司")+SUMIFS('8月数据源'!$J:$J,'8月数据源'!$D:$D,$E145,'8月数据源'!$F:$F,"杭州目标准科技有限公司")</f>
        <v/>
      </c>
      <c r="N145" s="89">
        <f>-SUMIFS('9月数据源'!$I:$I,'9月数据源'!$D:$D,$E145,'9月数据源'!$F:$F,"杭州目标准科技有限公司")+SUMIFS('9月数据源'!$J:$J,'9月数据源'!$D:$D,$E145,'9月数据源'!$F:$F,"杭州目标准科技有限公司")</f>
        <v/>
      </c>
      <c r="O145" s="89">
        <f>-SUMIFS('10月数据源'!$I:$I,'10月数据源'!$D:$D,$E145,'10月数据源'!$F:$F,"杭州目标准科技有限公司")+SUMIFS('10月数据源'!$J:$J,'10月数据源'!$D:$D,$E145,'10月数据源'!$F:$F,"杭州目标准科技有限公司")</f>
        <v/>
      </c>
      <c r="P145" s="89">
        <f>-SUMIFS('11月数据源'!$I:$I,'11月数据源'!$D:$D,$E145,'11月数据源'!$F:$F,"杭州目标准科技有限公司")+SUMIFS('11月数据源'!$J:$J,'11月数据源'!$D:$D,$E145,'11月数据源'!$F:$F,"杭州目标准科技有限公司")</f>
        <v/>
      </c>
      <c r="Q145" s="89">
        <f>-SUMIFS('12月数据源'!$I:$I,'12月数据源'!$D:$D,$E145,'12月数据源'!$F:$F,"杭州目标准科技有限公司")+SUMIFS('12月数据源'!$J:$J,'12月数据源'!$D:$D,$E145,'12月数据源'!$F:$F,"杭州目标准科技有限公司")</f>
        <v/>
      </c>
    </row>
    <row r="146" s="83">
      <c r="A146" s="5" t="inlineStr">
        <is>
          <t>管理费用</t>
        </is>
      </c>
      <c r="B146" s="6" t="inlineStr">
        <is>
          <t>服务费</t>
        </is>
      </c>
      <c r="C146" s="6" t="inlineStr">
        <is>
          <t>服务费</t>
        </is>
      </c>
      <c r="D146" s="5" t="inlineStr">
        <is>
          <t>律师费</t>
        </is>
      </c>
      <c r="E146" s="6" t="inlineStr">
        <is>
          <t>Q2801</t>
        </is>
      </c>
      <c r="F146" s="89">
        <f>-SUMIFS('1月数据源'!I:I,'1月数据源'!D:D,E146,'1月数据源'!F:F,"杭州目标准科技有限公司")+SUMIFS('1月数据源'!J:J,'1月数据源'!D:D,E146,'1月数据源'!F:F,"杭州目标准科技有限公司")</f>
        <v/>
      </c>
      <c r="G146" s="89">
        <f>-SUMIFS('2月数据源'!$I:$I,'2月数据源'!$D:$D,$E146,'2月数据源'!$F:$F,"杭州目标准科技有限公司")+SUMIFS('2月数据源'!$J:$J,'2月数据源'!$D:$D,$E146,'2月数据源'!$F:$F,"杭州目标准科技有限公司")</f>
        <v/>
      </c>
      <c r="H146" s="89">
        <f>-SUMIFS('3月数据源'!$I:$I,'3月数据源'!$D:$D,$E146,'3月数据源'!$F:$F,"杭州目标准科技有限公司")+SUMIFS('3月数据源'!$J:$J,'3月数据源'!$D:$D,$E146,'3月数据源'!$F:$F,"杭州目标准科技有限公司")</f>
        <v/>
      </c>
      <c r="I146" s="89">
        <f>-SUMIFS('4月数据源'!$I:$I,'4月数据源'!$D:$D,$E146,'4月数据源'!$F:$F,"杭州目标准科技有限公司")+SUMIFS('4月数据源'!$J:$J,'4月数据源'!$D:$D,$E146,'4月数据源'!$F:$F,"杭州目标准科技有限公司")</f>
        <v/>
      </c>
      <c r="J146" s="89">
        <f>-SUMIFS('5月数据源'!$I:$I,'5月数据源'!$D:$D,$E146,'5月数据源'!$F:$F,"杭州目标准科技有限公司")+SUMIFS('5月数据源'!$J:$J,'5月数据源'!$D:$D,$E146,'5月数据源'!$F:$F,"杭州目标准科技有限公司")</f>
        <v/>
      </c>
      <c r="K146" s="89">
        <f>-SUMIFS('6月数据源'!$I:$I,'6月数据源'!$D:$D,$E146,'6月数据源'!$F:$F,"杭州目标准科技有限公司")+SUMIFS('6月数据源'!$J:$J,'6月数据源'!$D:$D,$E146,'6月数据源'!$F:$F,"杭州目标准科技有限公司")</f>
        <v/>
      </c>
      <c r="L146" s="89">
        <f>-SUMIFS('7月数据源'!$I:$I,'7月数据源'!$D:$D,$E146,'7月数据源'!$F:$F,"杭州目标准科技有限公司")+SUMIFS('7月数据源'!$J:$J,'7月数据源'!$D:$D,$E146,'7月数据源'!$F:$F,"杭州目标准科技有限公司")</f>
        <v/>
      </c>
      <c r="M146" s="89">
        <f>-SUMIFS('8月数据源'!$I:$I,'8月数据源'!$D:$D,$E146,'8月数据源'!$F:$F,"杭州目标准科技有限公司")+SUMIFS('8月数据源'!$J:$J,'8月数据源'!$D:$D,$E146,'8月数据源'!$F:$F,"杭州目标准科技有限公司")</f>
        <v/>
      </c>
      <c r="N146" s="89">
        <f>-SUMIFS('9月数据源'!$I:$I,'9月数据源'!$D:$D,$E146,'9月数据源'!$F:$F,"杭州目标准科技有限公司")+SUMIFS('9月数据源'!$J:$J,'9月数据源'!$D:$D,$E146,'9月数据源'!$F:$F,"杭州目标准科技有限公司")</f>
        <v/>
      </c>
      <c r="O146" s="89">
        <f>-SUMIFS('10月数据源'!$I:$I,'10月数据源'!$D:$D,$E146,'10月数据源'!$F:$F,"杭州目标准科技有限公司")+SUMIFS('10月数据源'!$J:$J,'10月数据源'!$D:$D,$E146,'10月数据源'!$F:$F,"杭州目标准科技有限公司")</f>
        <v/>
      </c>
      <c r="P146" s="89">
        <f>-SUMIFS('11月数据源'!$I:$I,'11月数据源'!$D:$D,$E146,'11月数据源'!$F:$F,"杭州目标准科技有限公司")+SUMIFS('11月数据源'!$J:$J,'11月数据源'!$D:$D,$E146,'11月数据源'!$F:$F,"杭州目标准科技有限公司")</f>
        <v/>
      </c>
      <c r="Q146" s="89">
        <f>-SUMIFS('12月数据源'!$I:$I,'12月数据源'!$D:$D,$E146,'12月数据源'!$F:$F,"杭州目标准科技有限公司")+SUMIFS('12月数据源'!$J:$J,'12月数据源'!$D:$D,$E146,'12月数据源'!$F:$F,"杭州目标准科技有限公司")</f>
        <v/>
      </c>
    </row>
    <row r="147" s="83">
      <c r="A147" s="5" t="inlineStr">
        <is>
          <t>管理费用</t>
        </is>
      </c>
      <c r="B147" s="6" t="inlineStr">
        <is>
          <t>服务费</t>
        </is>
      </c>
      <c r="D147" s="5" t="inlineStr">
        <is>
          <t>中介代理费用</t>
        </is>
      </c>
      <c r="E147" s="6" t="inlineStr">
        <is>
          <t>Q2802</t>
        </is>
      </c>
      <c r="F147" s="89">
        <f>-SUMIFS('1月数据源'!I:I,'1月数据源'!D:D,E147,'1月数据源'!F:F,"杭州目标准科技有限公司")+SUMIFS('1月数据源'!J:J,'1月数据源'!D:D,E147,'1月数据源'!F:F,"杭州目标准科技有限公司")</f>
        <v/>
      </c>
      <c r="G147" s="89">
        <f>-SUMIFS('2月数据源'!$I:$I,'2月数据源'!$D:$D,$E147,'2月数据源'!$F:$F,"杭州目标准科技有限公司")+SUMIFS('2月数据源'!$J:$J,'2月数据源'!$D:$D,$E147,'2月数据源'!$F:$F,"杭州目标准科技有限公司")</f>
        <v/>
      </c>
      <c r="H147" s="89">
        <f>-SUMIFS('3月数据源'!$I:$I,'3月数据源'!$D:$D,$E147,'3月数据源'!$F:$F,"杭州目标准科技有限公司")+SUMIFS('3月数据源'!$J:$J,'3月数据源'!$D:$D,$E147,'3月数据源'!$F:$F,"杭州目标准科技有限公司")</f>
        <v/>
      </c>
      <c r="I147" s="89">
        <f>-SUMIFS('4月数据源'!$I:$I,'4月数据源'!$D:$D,$E147,'4月数据源'!$F:$F,"杭州目标准科技有限公司")+SUMIFS('4月数据源'!$J:$J,'4月数据源'!$D:$D,$E147,'4月数据源'!$F:$F,"杭州目标准科技有限公司")</f>
        <v/>
      </c>
      <c r="J147" s="89">
        <f>-SUMIFS('5月数据源'!$I:$I,'5月数据源'!$D:$D,$E147,'5月数据源'!$F:$F,"杭州目标准科技有限公司")+SUMIFS('5月数据源'!$J:$J,'5月数据源'!$D:$D,$E147,'5月数据源'!$F:$F,"杭州目标准科技有限公司")</f>
        <v/>
      </c>
      <c r="K147" s="89">
        <f>-SUMIFS('6月数据源'!$I:$I,'6月数据源'!$D:$D,$E147,'6月数据源'!$F:$F,"杭州目标准科技有限公司")+SUMIFS('6月数据源'!$J:$J,'6月数据源'!$D:$D,$E147,'6月数据源'!$F:$F,"杭州目标准科技有限公司")</f>
        <v/>
      </c>
      <c r="L147" s="89">
        <f>-SUMIFS('7月数据源'!$I:$I,'7月数据源'!$D:$D,$E147,'7月数据源'!$F:$F,"杭州目标准科技有限公司")+SUMIFS('7月数据源'!$J:$J,'7月数据源'!$D:$D,$E147,'7月数据源'!$F:$F,"杭州目标准科技有限公司")</f>
        <v/>
      </c>
      <c r="M147" s="89">
        <f>-SUMIFS('8月数据源'!$I:$I,'8月数据源'!$D:$D,$E147,'8月数据源'!$F:$F,"杭州目标准科技有限公司")+SUMIFS('8月数据源'!$J:$J,'8月数据源'!$D:$D,$E147,'8月数据源'!$F:$F,"杭州目标准科技有限公司")</f>
        <v/>
      </c>
      <c r="N147" s="89">
        <f>-SUMIFS('9月数据源'!$I:$I,'9月数据源'!$D:$D,$E147,'9月数据源'!$F:$F,"杭州目标准科技有限公司")+SUMIFS('9月数据源'!$J:$J,'9月数据源'!$D:$D,$E147,'9月数据源'!$F:$F,"杭州目标准科技有限公司")</f>
        <v/>
      </c>
      <c r="O147" s="89">
        <f>-SUMIFS('10月数据源'!$I:$I,'10月数据源'!$D:$D,$E147,'10月数据源'!$F:$F,"杭州目标准科技有限公司")+SUMIFS('10月数据源'!$J:$J,'10月数据源'!$D:$D,$E147,'10月数据源'!$F:$F,"杭州目标准科技有限公司")</f>
        <v/>
      </c>
      <c r="P147" s="89">
        <f>-SUMIFS('11月数据源'!$I:$I,'11月数据源'!$D:$D,$E147,'11月数据源'!$F:$F,"杭州目标准科技有限公司")+SUMIFS('11月数据源'!$J:$J,'11月数据源'!$D:$D,$E147,'11月数据源'!$F:$F,"杭州目标准科技有限公司")</f>
        <v/>
      </c>
      <c r="Q147" s="89">
        <f>-SUMIFS('12月数据源'!$I:$I,'12月数据源'!$D:$D,$E147,'12月数据源'!$F:$F,"杭州目标准科技有限公司")+SUMIFS('12月数据源'!$J:$J,'12月数据源'!$D:$D,$E147,'12月数据源'!$F:$F,"杭州目标准科技有限公司")</f>
        <v/>
      </c>
    </row>
    <row r="148" s="83">
      <c r="A148" s="5" t="inlineStr">
        <is>
          <t>管理费用</t>
        </is>
      </c>
      <c r="B148" s="6" t="inlineStr">
        <is>
          <t>服务费</t>
        </is>
      </c>
      <c r="D148" s="5" t="inlineStr">
        <is>
          <t>财务咨询费</t>
        </is>
      </c>
      <c r="E148" s="6" t="inlineStr">
        <is>
          <t>Q2803</t>
        </is>
      </c>
      <c r="F148" s="89">
        <f>-SUMIFS('1月数据源'!I:I,'1月数据源'!D:D,E148,'1月数据源'!F:F,"杭州目标准科技有限公司")+SUMIFS('1月数据源'!J:J,'1月数据源'!D:D,E148,'1月数据源'!F:F,"杭州目标准科技有限公司")</f>
        <v/>
      </c>
      <c r="G148" s="89">
        <f>-SUMIFS('2月数据源'!$I:$I,'2月数据源'!$D:$D,$E148,'2月数据源'!$F:$F,"杭州目标准科技有限公司")+SUMIFS('2月数据源'!$J:$J,'2月数据源'!$D:$D,$E148,'2月数据源'!$F:$F,"杭州目标准科技有限公司")</f>
        <v/>
      </c>
      <c r="H148" s="89">
        <f>-SUMIFS('3月数据源'!$I:$I,'3月数据源'!$D:$D,$E148,'3月数据源'!$F:$F,"杭州目标准科技有限公司")+SUMIFS('3月数据源'!$J:$J,'3月数据源'!$D:$D,$E148,'3月数据源'!$F:$F,"杭州目标准科技有限公司")</f>
        <v/>
      </c>
      <c r="I148" s="89">
        <f>-SUMIFS('4月数据源'!$I:$I,'4月数据源'!$D:$D,$E148,'4月数据源'!$F:$F,"杭州目标准科技有限公司")+SUMIFS('4月数据源'!$J:$J,'4月数据源'!$D:$D,$E148,'4月数据源'!$F:$F,"杭州目标准科技有限公司")</f>
        <v/>
      </c>
      <c r="J148" s="89">
        <f>-SUMIFS('5月数据源'!$I:$I,'5月数据源'!$D:$D,$E148,'5月数据源'!$F:$F,"杭州目标准科技有限公司")+SUMIFS('5月数据源'!$J:$J,'5月数据源'!$D:$D,$E148,'5月数据源'!$F:$F,"杭州目标准科技有限公司")</f>
        <v/>
      </c>
      <c r="K148" s="89">
        <f>-SUMIFS('6月数据源'!$I:$I,'6月数据源'!$D:$D,$E148,'6月数据源'!$F:$F,"杭州目标准科技有限公司")+SUMIFS('6月数据源'!$J:$J,'6月数据源'!$D:$D,$E148,'6月数据源'!$F:$F,"杭州目标准科技有限公司")</f>
        <v/>
      </c>
      <c r="L148" s="89">
        <f>-SUMIFS('7月数据源'!$I:$I,'7月数据源'!$D:$D,$E148,'7月数据源'!$F:$F,"杭州目标准科技有限公司")+SUMIFS('7月数据源'!$J:$J,'7月数据源'!$D:$D,$E148,'7月数据源'!$F:$F,"杭州目标准科技有限公司")</f>
        <v/>
      </c>
      <c r="M148" s="89">
        <f>-SUMIFS('8月数据源'!$I:$I,'8月数据源'!$D:$D,$E148,'8月数据源'!$F:$F,"杭州目标准科技有限公司")+SUMIFS('8月数据源'!$J:$J,'8月数据源'!$D:$D,$E148,'8月数据源'!$F:$F,"杭州目标准科技有限公司")</f>
        <v/>
      </c>
      <c r="N148" s="89">
        <f>-SUMIFS('9月数据源'!$I:$I,'9月数据源'!$D:$D,$E148,'9月数据源'!$F:$F,"杭州目标准科技有限公司")+SUMIFS('9月数据源'!$J:$J,'9月数据源'!$D:$D,$E148,'9月数据源'!$F:$F,"杭州目标准科技有限公司")</f>
        <v/>
      </c>
      <c r="O148" s="89">
        <f>-SUMIFS('10月数据源'!$I:$I,'10月数据源'!$D:$D,$E148,'10月数据源'!$F:$F,"杭州目标准科技有限公司")+SUMIFS('10月数据源'!$J:$J,'10月数据源'!$D:$D,$E148,'10月数据源'!$F:$F,"杭州目标准科技有限公司")</f>
        <v/>
      </c>
      <c r="P148" s="89">
        <f>-SUMIFS('11月数据源'!$I:$I,'11月数据源'!$D:$D,$E148,'11月数据源'!$F:$F,"杭州目标准科技有限公司")+SUMIFS('11月数据源'!$J:$J,'11月数据源'!$D:$D,$E148,'11月数据源'!$F:$F,"杭州目标准科技有限公司")</f>
        <v/>
      </c>
      <c r="Q148" s="89">
        <f>-SUMIFS('12月数据源'!$I:$I,'12月数据源'!$D:$D,$E148,'12月数据源'!$F:$F,"杭州目标准科技有限公司")+SUMIFS('12月数据源'!$J:$J,'12月数据源'!$D:$D,$E148,'12月数据源'!$F:$F,"杭州目标准科技有限公司")</f>
        <v/>
      </c>
    </row>
    <row r="149" s="83">
      <c r="A149" s="5" t="inlineStr">
        <is>
          <t>管理费用</t>
        </is>
      </c>
      <c r="B149" s="6" t="inlineStr">
        <is>
          <t>服务费</t>
        </is>
      </c>
      <c r="D149" s="5" t="inlineStr">
        <is>
          <t>审计费</t>
        </is>
      </c>
      <c r="E149" s="6" t="inlineStr">
        <is>
          <t>Q2804</t>
        </is>
      </c>
      <c r="F149" s="89">
        <f>-SUMIFS('1月数据源'!I:I,'1月数据源'!D:D,E149,'1月数据源'!F:F,"杭州目标准科技有限公司")+SUMIFS('1月数据源'!J:J,'1月数据源'!D:D,E149,'1月数据源'!F:F,"杭州目标准科技有限公司")</f>
        <v/>
      </c>
      <c r="G149" s="89">
        <f>-SUMIFS('2月数据源'!$I:$I,'2月数据源'!$D:$D,$E149,'2月数据源'!$F:$F,"杭州目标准科技有限公司")+SUMIFS('2月数据源'!$J:$J,'2月数据源'!$D:$D,$E149,'2月数据源'!$F:$F,"杭州目标准科技有限公司")</f>
        <v/>
      </c>
      <c r="H149" s="89">
        <f>-SUMIFS('3月数据源'!$I:$I,'3月数据源'!$D:$D,$E149,'3月数据源'!$F:$F,"杭州目标准科技有限公司")+SUMIFS('3月数据源'!$J:$J,'3月数据源'!$D:$D,$E149,'3月数据源'!$F:$F,"杭州目标准科技有限公司")</f>
        <v/>
      </c>
      <c r="I149" s="89">
        <f>-SUMIFS('4月数据源'!$I:$I,'4月数据源'!$D:$D,$E149,'4月数据源'!$F:$F,"杭州目标准科技有限公司")+SUMIFS('4月数据源'!$J:$J,'4月数据源'!$D:$D,$E149,'4月数据源'!$F:$F,"杭州目标准科技有限公司")</f>
        <v/>
      </c>
      <c r="J149" s="89">
        <f>-SUMIFS('5月数据源'!$I:$I,'5月数据源'!$D:$D,$E149,'5月数据源'!$F:$F,"杭州目标准科技有限公司")+SUMIFS('5月数据源'!$J:$J,'5月数据源'!$D:$D,$E149,'5月数据源'!$F:$F,"杭州目标准科技有限公司")</f>
        <v/>
      </c>
      <c r="K149" s="89">
        <f>-SUMIFS('6月数据源'!$I:$I,'6月数据源'!$D:$D,$E149,'6月数据源'!$F:$F,"杭州目标准科技有限公司")+SUMIFS('6月数据源'!$J:$J,'6月数据源'!$D:$D,$E149,'6月数据源'!$F:$F,"杭州目标准科技有限公司")</f>
        <v/>
      </c>
      <c r="L149" s="89">
        <f>-SUMIFS('7月数据源'!$I:$I,'7月数据源'!$D:$D,$E149,'7月数据源'!$F:$F,"杭州目标准科技有限公司")+SUMIFS('7月数据源'!$J:$J,'7月数据源'!$D:$D,$E149,'7月数据源'!$F:$F,"杭州目标准科技有限公司")</f>
        <v/>
      </c>
      <c r="M149" s="89">
        <f>-SUMIFS('8月数据源'!$I:$I,'8月数据源'!$D:$D,$E149,'8月数据源'!$F:$F,"杭州目标准科技有限公司")+SUMIFS('8月数据源'!$J:$J,'8月数据源'!$D:$D,$E149,'8月数据源'!$F:$F,"杭州目标准科技有限公司")</f>
        <v/>
      </c>
      <c r="N149" s="89">
        <f>-SUMIFS('9月数据源'!$I:$I,'9月数据源'!$D:$D,$E149,'9月数据源'!$F:$F,"杭州目标准科技有限公司")+SUMIFS('9月数据源'!$J:$J,'9月数据源'!$D:$D,$E149,'9月数据源'!$F:$F,"杭州目标准科技有限公司")</f>
        <v/>
      </c>
      <c r="O149" s="89">
        <f>-SUMIFS('10月数据源'!$I:$I,'10月数据源'!$D:$D,$E149,'10月数据源'!$F:$F,"杭州目标准科技有限公司")+SUMIFS('10月数据源'!$J:$J,'10月数据源'!$D:$D,$E149,'10月数据源'!$F:$F,"杭州目标准科技有限公司")</f>
        <v/>
      </c>
      <c r="P149" s="89">
        <f>-SUMIFS('11月数据源'!$I:$I,'11月数据源'!$D:$D,$E149,'11月数据源'!$F:$F,"杭州目标准科技有限公司")+SUMIFS('11月数据源'!$J:$J,'11月数据源'!$D:$D,$E149,'11月数据源'!$F:$F,"杭州目标准科技有限公司")</f>
        <v/>
      </c>
      <c r="Q149" s="89">
        <f>-SUMIFS('12月数据源'!$I:$I,'12月数据源'!$D:$D,$E149,'12月数据源'!$F:$F,"杭州目标准科技有限公司")+SUMIFS('12月数据源'!$J:$J,'12月数据源'!$D:$D,$E149,'12月数据源'!$F:$F,"杭州目标准科技有限公司")</f>
        <v/>
      </c>
    </row>
    <row r="150" s="83">
      <c r="A150" s="5" t="inlineStr">
        <is>
          <t>管理费用</t>
        </is>
      </c>
      <c r="B150" s="6" t="inlineStr">
        <is>
          <t>服务费</t>
        </is>
      </c>
      <c r="D150" s="5" t="inlineStr">
        <is>
          <t>招聘费用</t>
        </is>
      </c>
      <c r="E150" s="6" t="inlineStr">
        <is>
          <t>Q2805</t>
        </is>
      </c>
      <c r="F150" s="89">
        <f>-SUMIFS('1月数据源'!I:I,'1月数据源'!D:D,E150,'1月数据源'!F:F,"杭州目标准科技有限公司")+SUMIFS('1月数据源'!J:J,'1月数据源'!D:D,E150,'1月数据源'!F:F,"杭州目标准科技有限公司")</f>
        <v/>
      </c>
      <c r="G150" s="89">
        <f>-SUMIFS('2月数据源'!$I:$I,'2月数据源'!$D:$D,$E150,'2月数据源'!$F:$F,"杭州目标准科技有限公司")+SUMIFS('2月数据源'!$J:$J,'2月数据源'!$D:$D,$E150,'2月数据源'!$F:$F,"杭州目标准科技有限公司")</f>
        <v/>
      </c>
      <c r="H150" s="89">
        <f>-SUMIFS('3月数据源'!$I:$I,'3月数据源'!$D:$D,$E150,'3月数据源'!$F:$F,"杭州目标准科技有限公司")+SUMIFS('3月数据源'!$J:$J,'3月数据源'!$D:$D,$E150,'3月数据源'!$F:$F,"杭州目标准科技有限公司")</f>
        <v/>
      </c>
      <c r="I150" s="89">
        <f>-SUMIFS('4月数据源'!$I:$I,'4月数据源'!$D:$D,$E150,'4月数据源'!$F:$F,"杭州目标准科技有限公司")+SUMIFS('4月数据源'!$J:$J,'4月数据源'!$D:$D,$E150,'4月数据源'!$F:$F,"杭州目标准科技有限公司")</f>
        <v/>
      </c>
      <c r="J150" s="89">
        <f>-SUMIFS('5月数据源'!$I:$I,'5月数据源'!$D:$D,$E150,'5月数据源'!$F:$F,"杭州目标准科技有限公司")+SUMIFS('5月数据源'!$J:$J,'5月数据源'!$D:$D,$E150,'5月数据源'!$F:$F,"杭州目标准科技有限公司")</f>
        <v/>
      </c>
      <c r="K150" s="89">
        <f>-SUMIFS('6月数据源'!$I:$I,'6月数据源'!$D:$D,$E150,'6月数据源'!$F:$F,"杭州目标准科技有限公司")+SUMIFS('6月数据源'!$J:$J,'6月数据源'!$D:$D,$E150,'6月数据源'!$F:$F,"杭州目标准科技有限公司")</f>
        <v/>
      </c>
      <c r="L150" s="89">
        <f>-SUMIFS('7月数据源'!$I:$I,'7月数据源'!$D:$D,$E150,'7月数据源'!$F:$F,"杭州目标准科技有限公司")+SUMIFS('7月数据源'!$J:$J,'7月数据源'!$D:$D,$E150,'7月数据源'!$F:$F,"杭州目标准科技有限公司")</f>
        <v/>
      </c>
      <c r="M150" s="89">
        <f>-SUMIFS('8月数据源'!$I:$I,'8月数据源'!$D:$D,$E150,'8月数据源'!$F:$F,"杭州目标准科技有限公司")+SUMIFS('8月数据源'!$J:$J,'8月数据源'!$D:$D,$E150,'8月数据源'!$F:$F,"杭州目标准科技有限公司")</f>
        <v/>
      </c>
      <c r="N150" s="89">
        <f>-SUMIFS('9月数据源'!$I:$I,'9月数据源'!$D:$D,$E150,'9月数据源'!$F:$F,"杭州目标准科技有限公司")+SUMIFS('9月数据源'!$J:$J,'9月数据源'!$D:$D,$E150,'9月数据源'!$F:$F,"杭州目标准科技有限公司")</f>
        <v/>
      </c>
      <c r="O150" s="89">
        <f>-SUMIFS('10月数据源'!$I:$I,'10月数据源'!$D:$D,$E150,'10月数据源'!$F:$F,"杭州目标准科技有限公司")+SUMIFS('10月数据源'!$J:$J,'10月数据源'!$D:$D,$E150,'10月数据源'!$F:$F,"杭州目标准科技有限公司")</f>
        <v/>
      </c>
      <c r="P150" s="89">
        <f>-SUMIFS('11月数据源'!$I:$I,'11月数据源'!$D:$D,$E150,'11月数据源'!$F:$F,"杭州目标准科技有限公司")+SUMIFS('11月数据源'!$J:$J,'11月数据源'!$D:$D,$E150,'11月数据源'!$F:$F,"杭州目标准科技有限公司")</f>
        <v/>
      </c>
      <c r="Q150" s="89">
        <f>-SUMIFS('12月数据源'!$I:$I,'12月数据源'!$D:$D,$E150,'12月数据源'!$F:$F,"杭州目标准科技有限公司")+SUMIFS('12月数据源'!$J:$J,'12月数据源'!$D:$D,$E150,'12月数据源'!$F:$F,"杭州目标准科技有限公司")</f>
        <v/>
      </c>
    </row>
    <row r="151" s="83">
      <c r="A151" s="5" t="inlineStr">
        <is>
          <t>管理费用</t>
        </is>
      </c>
      <c r="B151" s="6" t="inlineStr">
        <is>
          <t>服务费</t>
        </is>
      </c>
      <c r="D151" s="5" t="inlineStr">
        <is>
          <t>软件服务费</t>
        </is>
      </c>
      <c r="E151" s="6" t="inlineStr">
        <is>
          <t>Q2807</t>
        </is>
      </c>
      <c r="F151" s="89">
        <f>-SUMIFS('1月数据源'!I:I,'1月数据源'!D:D,E151,'1月数据源'!F:F,"杭州目标准科技有限公司")+SUMIFS('1月数据源'!J:J,'1月数据源'!D:D,E151,'1月数据源'!F:F,"杭州目标准科技有限公司")</f>
        <v/>
      </c>
      <c r="G151" s="89">
        <f>-SUMIFS('2月数据源'!$I:$I,'2月数据源'!$D:$D,$E151,'2月数据源'!$F:$F,"杭州目标准科技有限公司")+SUMIFS('2月数据源'!$J:$J,'2月数据源'!$D:$D,$E151,'2月数据源'!$F:$F,"杭州目标准科技有限公司")</f>
        <v/>
      </c>
      <c r="H151" s="89">
        <f>-SUMIFS('3月数据源'!$I:$I,'3月数据源'!$D:$D,$E151,'3月数据源'!$F:$F,"杭州目标准科技有限公司")+SUMIFS('3月数据源'!$J:$J,'3月数据源'!$D:$D,$E151,'3月数据源'!$F:$F,"杭州目标准科技有限公司")</f>
        <v/>
      </c>
      <c r="I151" s="89">
        <f>-SUMIFS('4月数据源'!$I:$I,'4月数据源'!$D:$D,$E151,'4月数据源'!$F:$F,"杭州目标准科技有限公司")+SUMIFS('4月数据源'!$J:$J,'4月数据源'!$D:$D,$E151,'4月数据源'!$F:$F,"杭州目标准科技有限公司")</f>
        <v/>
      </c>
      <c r="J151" s="89">
        <f>-SUMIFS('5月数据源'!$I:$I,'5月数据源'!$D:$D,$E151,'5月数据源'!$F:$F,"杭州目标准科技有限公司")+SUMIFS('5月数据源'!$J:$J,'5月数据源'!$D:$D,$E151,'5月数据源'!$F:$F,"杭州目标准科技有限公司")</f>
        <v/>
      </c>
      <c r="K151" s="89">
        <f>-SUMIFS('6月数据源'!$I:$I,'6月数据源'!$D:$D,$E151,'6月数据源'!$F:$F,"杭州目标准科技有限公司")+SUMIFS('6月数据源'!$J:$J,'6月数据源'!$D:$D,$E151,'6月数据源'!$F:$F,"杭州目标准科技有限公司")</f>
        <v/>
      </c>
      <c r="L151" s="89">
        <f>-SUMIFS('7月数据源'!$I:$I,'7月数据源'!$D:$D,$E151,'7月数据源'!$F:$F,"杭州目标准科技有限公司")+SUMIFS('7月数据源'!$J:$J,'7月数据源'!$D:$D,$E151,'7月数据源'!$F:$F,"杭州目标准科技有限公司")</f>
        <v/>
      </c>
      <c r="M151" s="89">
        <f>-SUMIFS('8月数据源'!$I:$I,'8月数据源'!$D:$D,$E151,'8月数据源'!$F:$F,"杭州目标准科技有限公司")+SUMIFS('8月数据源'!$J:$J,'8月数据源'!$D:$D,$E151,'8月数据源'!$F:$F,"杭州目标准科技有限公司")</f>
        <v/>
      </c>
      <c r="N151" s="89">
        <f>-SUMIFS('9月数据源'!$I:$I,'9月数据源'!$D:$D,$E151,'9月数据源'!$F:$F,"杭州目标准科技有限公司")+SUMIFS('9月数据源'!$J:$J,'9月数据源'!$D:$D,$E151,'9月数据源'!$F:$F,"杭州目标准科技有限公司")</f>
        <v/>
      </c>
      <c r="O151" s="89">
        <f>-SUMIFS('10月数据源'!$I:$I,'10月数据源'!$D:$D,$E151,'10月数据源'!$F:$F,"杭州目标准科技有限公司")+SUMIFS('10月数据源'!$J:$J,'10月数据源'!$D:$D,$E151,'10月数据源'!$F:$F,"杭州目标准科技有限公司")</f>
        <v/>
      </c>
      <c r="P151" s="89">
        <f>-SUMIFS('11月数据源'!$I:$I,'11月数据源'!$D:$D,$E151,'11月数据源'!$F:$F,"杭州目标准科技有限公司")+SUMIFS('11月数据源'!$J:$J,'11月数据源'!$D:$D,$E151,'11月数据源'!$F:$F,"杭州目标准科技有限公司")</f>
        <v/>
      </c>
      <c r="Q151" s="89">
        <f>-SUMIFS('12月数据源'!$I:$I,'12月数据源'!$D:$D,$E151,'12月数据源'!$F:$F,"杭州目标准科技有限公司")+SUMIFS('12月数据源'!$J:$J,'12月数据源'!$D:$D,$E151,'12月数据源'!$F:$F,"杭州目标准科技有限公司")</f>
        <v/>
      </c>
    </row>
    <row r="152" s="83">
      <c r="A152" s="5" t="inlineStr">
        <is>
          <t>管理费用</t>
        </is>
      </c>
      <c r="B152" s="6" t="inlineStr">
        <is>
          <t>服务费</t>
        </is>
      </c>
      <c r="D152" s="5" t="inlineStr">
        <is>
          <t>其他服务费</t>
        </is>
      </c>
      <c r="E152" s="6" t="inlineStr">
        <is>
          <t>Q2806</t>
        </is>
      </c>
      <c r="F152" s="89">
        <f>-SUMIFS('1月数据源'!I:I,'1月数据源'!D:D,E152,'1月数据源'!F:F,"杭州目标准科技有限公司")+SUMIFS('1月数据源'!J:J,'1月数据源'!D:D,E152,'1月数据源'!F:F,"杭州目标准科技有限公司")</f>
        <v/>
      </c>
      <c r="G152" s="89">
        <f>-SUMIFS('2月数据源'!$I:$I,'2月数据源'!$D:$D,$E152,'2月数据源'!$F:$F,"杭州目标准科技有限公司")+SUMIFS('2月数据源'!$J:$J,'2月数据源'!$D:$D,$E152,'2月数据源'!$F:$F,"杭州目标准科技有限公司")</f>
        <v/>
      </c>
      <c r="H152" s="89">
        <f>-SUMIFS('3月数据源'!$I:$I,'3月数据源'!$D:$D,$E152,'3月数据源'!$F:$F,"杭州目标准科技有限公司")+SUMIFS('3月数据源'!$J:$J,'3月数据源'!$D:$D,$E152,'3月数据源'!$F:$F,"杭州目标准科技有限公司")</f>
        <v/>
      </c>
      <c r="I152" s="89">
        <f>-SUMIFS('4月数据源'!$I:$I,'4月数据源'!$D:$D,$E152,'4月数据源'!$F:$F,"杭州目标准科技有限公司")+SUMIFS('4月数据源'!$J:$J,'4月数据源'!$D:$D,$E152,'4月数据源'!$F:$F,"杭州目标准科技有限公司")</f>
        <v/>
      </c>
      <c r="J152" s="89">
        <f>-SUMIFS('5月数据源'!$I:$I,'5月数据源'!$D:$D,$E152,'5月数据源'!$F:$F,"杭州目标准科技有限公司")+SUMIFS('5月数据源'!$J:$J,'5月数据源'!$D:$D,$E152,'5月数据源'!$F:$F,"杭州目标准科技有限公司")</f>
        <v/>
      </c>
      <c r="K152" s="89">
        <f>-SUMIFS('6月数据源'!$I:$I,'6月数据源'!$D:$D,$E152,'6月数据源'!$F:$F,"杭州目标准科技有限公司")+SUMIFS('6月数据源'!$J:$J,'6月数据源'!$D:$D,$E152,'6月数据源'!$F:$F,"杭州目标准科技有限公司")</f>
        <v/>
      </c>
      <c r="L152" s="89">
        <f>-SUMIFS('7月数据源'!$I:$I,'7月数据源'!$D:$D,$E152,'7月数据源'!$F:$F,"杭州目标准科技有限公司")+SUMIFS('7月数据源'!$J:$J,'7月数据源'!$D:$D,$E152,'7月数据源'!$F:$F,"杭州目标准科技有限公司")</f>
        <v/>
      </c>
      <c r="M152" s="89">
        <f>-SUMIFS('8月数据源'!$I:$I,'8月数据源'!$D:$D,$E152,'8月数据源'!$F:$F,"杭州目标准科技有限公司")+SUMIFS('8月数据源'!$J:$J,'8月数据源'!$D:$D,$E152,'8月数据源'!$F:$F,"杭州目标准科技有限公司")</f>
        <v/>
      </c>
      <c r="N152" s="89">
        <f>-SUMIFS('9月数据源'!$I:$I,'9月数据源'!$D:$D,$E152,'9月数据源'!$F:$F,"杭州目标准科技有限公司")+SUMIFS('9月数据源'!$J:$J,'9月数据源'!$D:$D,$E152,'9月数据源'!$F:$F,"杭州目标准科技有限公司")</f>
        <v/>
      </c>
      <c r="O152" s="89">
        <f>-SUMIFS('10月数据源'!$I:$I,'10月数据源'!$D:$D,$E152,'10月数据源'!$F:$F,"杭州目标准科技有限公司")+SUMIFS('10月数据源'!$J:$J,'10月数据源'!$D:$D,$E152,'10月数据源'!$F:$F,"杭州目标准科技有限公司")</f>
        <v/>
      </c>
      <c r="P152" s="89">
        <f>-SUMIFS('11月数据源'!$I:$I,'11月数据源'!$D:$D,$E152,'11月数据源'!$F:$F,"杭州目标准科技有限公司")+SUMIFS('11月数据源'!$J:$J,'11月数据源'!$D:$D,$E152,'11月数据源'!$F:$F,"杭州目标准科技有限公司")</f>
        <v/>
      </c>
      <c r="Q152" s="89">
        <f>-SUMIFS('12月数据源'!$I:$I,'12月数据源'!$D:$D,$E152,'12月数据源'!$F:$F,"杭州目标准科技有限公司")+SUMIFS('12月数据源'!$J:$J,'12月数据源'!$D:$D,$E152,'12月数据源'!$F:$F,"杭州目标准科技有限公司")</f>
        <v/>
      </c>
    </row>
    <row r="153" s="83">
      <c r="A153" s="5" t="inlineStr">
        <is>
          <t>管理费用</t>
        </is>
      </c>
      <c r="B153" s="6" t="inlineStr">
        <is>
          <t>办公费用</t>
        </is>
      </c>
      <c r="C153" s="6" t="inlineStr">
        <is>
          <t>办公费用</t>
        </is>
      </c>
      <c r="D153" s="5" t="inlineStr">
        <is>
          <t>固定资产采购</t>
        </is>
      </c>
      <c r="E153" s="6" t="inlineStr">
        <is>
          <t>Q2901</t>
        </is>
      </c>
      <c r="F153" s="89">
        <f>-SUMIFS('1月数据源'!I:I,'1月数据源'!D:D,E153,'1月数据源'!F:F,"杭州目标准科技有限公司")+SUMIFS('1月数据源'!J:J,'1月数据源'!D:D,E153,'1月数据源'!F:F,"杭州目标准科技有限公司")</f>
        <v/>
      </c>
      <c r="G153" s="89">
        <f>-SUMIFS('2月数据源'!$I:$I,'2月数据源'!$D:$D,$E153,'2月数据源'!$F:$F,"杭州目标准科技有限公司")+SUMIFS('2月数据源'!$J:$J,'2月数据源'!$D:$D,$E153,'2月数据源'!$F:$F,"杭州目标准科技有限公司")</f>
        <v/>
      </c>
      <c r="H153" s="89">
        <f>-SUMIFS('3月数据源'!$I:$I,'3月数据源'!$D:$D,$E153,'3月数据源'!$F:$F,"杭州目标准科技有限公司")+SUMIFS('3月数据源'!$J:$J,'3月数据源'!$D:$D,$E153,'3月数据源'!$F:$F,"杭州目标准科技有限公司")</f>
        <v/>
      </c>
      <c r="I153" s="89">
        <f>-SUMIFS('4月数据源'!$I:$I,'4月数据源'!$D:$D,$E153,'4月数据源'!$F:$F,"杭州目标准科技有限公司")+SUMIFS('4月数据源'!$J:$J,'4月数据源'!$D:$D,$E153,'4月数据源'!$F:$F,"杭州目标准科技有限公司")</f>
        <v/>
      </c>
      <c r="J153" s="89">
        <f>-SUMIFS('5月数据源'!$I:$I,'5月数据源'!$D:$D,$E153,'5月数据源'!$F:$F,"杭州目标准科技有限公司")+SUMIFS('5月数据源'!$J:$J,'5月数据源'!$D:$D,$E153,'5月数据源'!$F:$F,"杭州目标准科技有限公司")</f>
        <v/>
      </c>
      <c r="K153" s="89">
        <f>-SUMIFS('6月数据源'!$I:$I,'6月数据源'!$D:$D,$E153,'6月数据源'!$F:$F,"杭州目标准科技有限公司")+SUMIFS('6月数据源'!$J:$J,'6月数据源'!$D:$D,$E153,'6月数据源'!$F:$F,"杭州目标准科技有限公司")</f>
        <v/>
      </c>
      <c r="L153" s="89">
        <f>-SUMIFS('7月数据源'!$I:$I,'7月数据源'!$D:$D,$E153,'7月数据源'!$F:$F,"杭州目标准科技有限公司")+SUMIFS('7月数据源'!$J:$J,'7月数据源'!$D:$D,$E153,'7月数据源'!$F:$F,"杭州目标准科技有限公司")</f>
        <v/>
      </c>
      <c r="M153" s="89">
        <f>-SUMIFS('8月数据源'!$I:$I,'8月数据源'!$D:$D,$E153,'8月数据源'!$F:$F,"杭州目标准科技有限公司")+SUMIFS('8月数据源'!$J:$J,'8月数据源'!$D:$D,$E153,'8月数据源'!$F:$F,"杭州目标准科技有限公司")</f>
        <v/>
      </c>
      <c r="N153" s="89">
        <f>-SUMIFS('9月数据源'!$I:$I,'9月数据源'!$D:$D,$E153,'9月数据源'!$F:$F,"杭州目标准科技有限公司")+SUMIFS('9月数据源'!$J:$J,'9月数据源'!$D:$D,$E153,'9月数据源'!$F:$F,"杭州目标准科技有限公司")</f>
        <v/>
      </c>
      <c r="O153" s="89">
        <f>-SUMIFS('10月数据源'!$I:$I,'10月数据源'!$D:$D,$E153,'10月数据源'!$F:$F,"杭州目标准科技有限公司")+SUMIFS('10月数据源'!$J:$J,'10月数据源'!$D:$D,$E153,'10月数据源'!$F:$F,"杭州目标准科技有限公司")</f>
        <v/>
      </c>
      <c r="P153" s="89">
        <f>-SUMIFS('11月数据源'!$I:$I,'11月数据源'!$D:$D,$E153,'11月数据源'!$F:$F,"杭州目标准科技有限公司")+SUMIFS('11月数据源'!$J:$J,'11月数据源'!$D:$D,$E153,'11月数据源'!$F:$F,"杭州目标准科技有限公司")</f>
        <v/>
      </c>
      <c r="Q153" s="89">
        <f>-SUMIFS('12月数据源'!$I:$I,'12月数据源'!$D:$D,$E153,'12月数据源'!$F:$F,"杭州目标准科技有限公司")+SUMIFS('12月数据源'!$J:$J,'12月数据源'!$D:$D,$E153,'12月数据源'!$F:$F,"杭州目标准科技有限公司")</f>
        <v/>
      </c>
    </row>
    <row r="154" s="83">
      <c r="A154" s="5" t="inlineStr">
        <is>
          <t>管理费用</t>
        </is>
      </c>
      <c r="B154" s="6" t="inlineStr">
        <is>
          <t>办公费用</t>
        </is>
      </c>
      <c r="D154" s="5" t="inlineStr">
        <is>
          <t>办公用品采购</t>
        </is>
      </c>
      <c r="E154" s="6" t="inlineStr">
        <is>
          <t>Q2902</t>
        </is>
      </c>
      <c r="F154" s="89">
        <f>-SUMIFS('1月数据源'!I:I,'1月数据源'!D:D,E154,'1月数据源'!F:F,"杭州目标准科技有限公司")+SUMIFS('1月数据源'!J:J,'1月数据源'!D:D,E154,'1月数据源'!F:F,"杭州目标准科技有限公司")</f>
        <v/>
      </c>
      <c r="G154" s="89">
        <f>-SUMIFS('2月数据源'!$I:$I,'2月数据源'!$D:$D,$E154,'2月数据源'!$F:$F,"杭州目标准科技有限公司")+SUMIFS('2月数据源'!$J:$J,'2月数据源'!$D:$D,$E154,'2月数据源'!$F:$F,"杭州目标准科技有限公司")</f>
        <v/>
      </c>
      <c r="H154" s="89">
        <f>-SUMIFS('3月数据源'!$I:$I,'3月数据源'!$D:$D,$E154,'3月数据源'!$F:$F,"杭州目标准科技有限公司")+SUMIFS('3月数据源'!$J:$J,'3月数据源'!$D:$D,$E154,'3月数据源'!$F:$F,"杭州目标准科技有限公司")</f>
        <v/>
      </c>
      <c r="I154" s="89">
        <f>-SUMIFS('4月数据源'!$I:$I,'4月数据源'!$D:$D,$E154,'4月数据源'!$F:$F,"杭州目标准科技有限公司")+SUMIFS('4月数据源'!$J:$J,'4月数据源'!$D:$D,$E154,'4月数据源'!$F:$F,"杭州目标准科技有限公司")</f>
        <v/>
      </c>
      <c r="J154" s="89">
        <f>-SUMIFS('5月数据源'!$I:$I,'5月数据源'!$D:$D,$E154,'5月数据源'!$F:$F,"杭州目标准科技有限公司")+SUMIFS('5月数据源'!$J:$J,'5月数据源'!$D:$D,$E154,'5月数据源'!$F:$F,"杭州目标准科技有限公司")</f>
        <v/>
      </c>
      <c r="K154" s="89">
        <f>-SUMIFS('6月数据源'!$I:$I,'6月数据源'!$D:$D,$E154,'6月数据源'!$F:$F,"杭州目标准科技有限公司")+SUMIFS('6月数据源'!$J:$J,'6月数据源'!$D:$D,$E154,'6月数据源'!$F:$F,"杭州目标准科技有限公司")</f>
        <v/>
      </c>
      <c r="L154" s="89">
        <f>-SUMIFS('7月数据源'!$I:$I,'7月数据源'!$D:$D,$E154,'7月数据源'!$F:$F,"杭州目标准科技有限公司")+SUMIFS('7月数据源'!$J:$J,'7月数据源'!$D:$D,$E154,'7月数据源'!$F:$F,"杭州目标准科技有限公司")</f>
        <v/>
      </c>
      <c r="M154" s="89">
        <f>-SUMIFS('8月数据源'!$I:$I,'8月数据源'!$D:$D,$E154,'8月数据源'!$F:$F,"杭州目标准科技有限公司")+SUMIFS('8月数据源'!$J:$J,'8月数据源'!$D:$D,$E154,'8月数据源'!$F:$F,"杭州目标准科技有限公司")</f>
        <v/>
      </c>
      <c r="N154" s="89">
        <f>-SUMIFS('9月数据源'!$I:$I,'9月数据源'!$D:$D,$E154,'9月数据源'!$F:$F,"杭州目标准科技有限公司")+SUMIFS('9月数据源'!$J:$J,'9月数据源'!$D:$D,$E154,'9月数据源'!$F:$F,"杭州目标准科技有限公司")</f>
        <v/>
      </c>
      <c r="O154" s="89">
        <f>-SUMIFS('10月数据源'!$I:$I,'10月数据源'!$D:$D,$E154,'10月数据源'!$F:$F,"杭州目标准科技有限公司")+SUMIFS('10月数据源'!$J:$J,'10月数据源'!$D:$D,$E154,'10月数据源'!$F:$F,"杭州目标准科技有限公司")</f>
        <v/>
      </c>
      <c r="P154" s="89">
        <f>-SUMIFS('11月数据源'!$I:$I,'11月数据源'!$D:$D,$E154,'11月数据源'!$F:$F,"杭州目标准科技有限公司")+SUMIFS('11月数据源'!$J:$J,'11月数据源'!$D:$D,$E154,'11月数据源'!$F:$F,"杭州目标准科技有限公司")</f>
        <v/>
      </c>
      <c r="Q154" s="89">
        <f>-SUMIFS('12月数据源'!$I:$I,'12月数据源'!$D:$D,$E154,'12月数据源'!$F:$F,"杭州目标准科技有限公司")+SUMIFS('12月数据源'!$J:$J,'12月数据源'!$D:$D,$E154,'12月数据源'!$F:$F,"杭州目标准科技有限公司")</f>
        <v/>
      </c>
    </row>
    <row r="155" s="83">
      <c r="A155" s="5" t="inlineStr">
        <is>
          <t>管理费用</t>
        </is>
      </c>
      <c r="B155" s="6" t="inlineStr">
        <is>
          <t>办公费用</t>
        </is>
      </c>
      <c r="D155" s="5" t="inlineStr">
        <is>
          <t>网络费</t>
        </is>
      </c>
      <c r="E155" s="6" t="inlineStr">
        <is>
          <t>Q2903</t>
        </is>
      </c>
      <c r="F155" s="89">
        <f>-SUMIFS('1月数据源'!I:I,'1月数据源'!D:D,E155,'1月数据源'!F:F,"杭州目标准科技有限公司")+SUMIFS('1月数据源'!J:J,'1月数据源'!D:D,E155,'1月数据源'!F:F,"杭州目标准科技有限公司")</f>
        <v/>
      </c>
      <c r="G155" s="89">
        <f>-SUMIFS('2月数据源'!$I:$I,'2月数据源'!$D:$D,$E155,'2月数据源'!$F:$F,"杭州目标准科技有限公司")+SUMIFS('2月数据源'!$J:$J,'2月数据源'!$D:$D,$E155,'2月数据源'!$F:$F,"杭州目标准科技有限公司")</f>
        <v/>
      </c>
      <c r="H155" s="89">
        <f>-SUMIFS('3月数据源'!$I:$I,'3月数据源'!$D:$D,$E155,'3月数据源'!$F:$F,"杭州目标准科技有限公司")+SUMIFS('3月数据源'!$J:$J,'3月数据源'!$D:$D,$E155,'3月数据源'!$F:$F,"杭州目标准科技有限公司")</f>
        <v/>
      </c>
      <c r="I155" s="89">
        <f>-SUMIFS('4月数据源'!$I:$I,'4月数据源'!$D:$D,$E155,'4月数据源'!$F:$F,"杭州目标准科技有限公司")+SUMIFS('4月数据源'!$J:$J,'4月数据源'!$D:$D,$E155,'4月数据源'!$F:$F,"杭州目标准科技有限公司")</f>
        <v/>
      </c>
      <c r="J155" s="89">
        <f>-SUMIFS('5月数据源'!$I:$I,'5月数据源'!$D:$D,$E155,'5月数据源'!$F:$F,"杭州目标准科技有限公司")+SUMIFS('5月数据源'!$J:$J,'5月数据源'!$D:$D,$E155,'5月数据源'!$F:$F,"杭州目标准科技有限公司")</f>
        <v/>
      </c>
      <c r="K155" s="89">
        <f>-SUMIFS('6月数据源'!$I:$I,'6月数据源'!$D:$D,$E155,'6月数据源'!$F:$F,"杭州目标准科技有限公司")+SUMIFS('6月数据源'!$J:$J,'6月数据源'!$D:$D,$E155,'6月数据源'!$F:$F,"杭州目标准科技有限公司")</f>
        <v/>
      </c>
      <c r="L155" s="89">
        <f>-SUMIFS('7月数据源'!$I:$I,'7月数据源'!$D:$D,$E155,'7月数据源'!$F:$F,"杭州目标准科技有限公司")+SUMIFS('7月数据源'!$J:$J,'7月数据源'!$D:$D,$E155,'7月数据源'!$F:$F,"杭州目标准科技有限公司")</f>
        <v/>
      </c>
      <c r="M155" s="89">
        <f>-SUMIFS('8月数据源'!$I:$I,'8月数据源'!$D:$D,$E155,'8月数据源'!$F:$F,"杭州目标准科技有限公司")+SUMIFS('8月数据源'!$J:$J,'8月数据源'!$D:$D,$E155,'8月数据源'!$F:$F,"杭州目标准科技有限公司")</f>
        <v/>
      </c>
      <c r="N155" s="89">
        <f>-SUMIFS('9月数据源'!$I:$I,'9月数据源'!$D:$D,$E155,'9月数据源'!$F:$F,"杭州目标准科技有限公司")+SUMIFS('9月数据源'!$J:$J,'9月数据源'!$D:$D,$E155,'9月数据源'!$F:$F,"杭州目标准科技有限公司")</f>
        <v/>
      </c>
      <c r="O155" s="89">
        <f>-SUMIFS('10月数据源'!$I:$I,'10月数据源'!$D:$D,$E155,'10月数据源'!$F:$F,"杭州目标准科技有限公司")+SUMIFS('10月数据源'!$J:$J,'10月数据源'!$D:$D,$E155,'10月数据源'!$F:$F,"杭州目标准科技有限公司")</f>
        <v/>
      </c>
      <c r="P155" s="89">
        <f>-SUMIFS('11月数据源'!$I:$I,'11月数据源'!$D:$D,$E155,'11月数据源'!$F:$F,"杭州目标准科技有限公司")+SUMIFS('11月数据源'!$J:$J,'11月数据源'!$D:$D,$E155,'11月数据源'!$F:$F,"杭州目标准科技有限公司")</f>
        <v/>
      </c>
      <c r="Q155" s="89">
        <f>-SUMIFS('12月数据源'!$I:$I,'12月数据源'!$D:$D,$E155,'12月数据源'!$F:$F,"杭州目标准科技有限公司")+SUMIFS('12月数据源'!$J:$J,'12月数据源'!$D:$D,$E155,'12月数据源'!$F:$F,"杭州目标准科技有限公司")</f>
        <v/>
      </c>
    </row>
    <row r="156" s="83">
      <c r="A156" s="5" t="inlineStr">
        <is>
          <t>管理费用</t>
        </is>
      </c>
      <c r="B156" s="6" t="inlineStr">
        <is>
          <t>办公费用</t>
        </is>
      </c>
      <c r="D156" s="5" t="inlineStr">
        <is>
          <t>通讯费</t>
        </is>
      </c>
      <c r="E156" s="6" t="inlineStr">
        <is>
          <t>Q2904</t>
        </is>
      </c>
      <c r="F156" s="89">
        <f>-SUMIFS('1月数据源'!I:I,'1月数据源'!D:D,E156,'1月数据源'!F:F,"杭州目标准科技有限公司")+SUMIFS('1月数据源'!J:J,'1月数据源'!D:D,E156,'1月数据源'!F:F,"杭州目标准科技有限公司")</f>
        <v/>
      </c>
      <c r="G156" s="89">
        <f>-SUMIFS('2月数据源'!$I:$I,'2月数据源'!$D:$D,$E156,'2月数据源'!$F:$F,"杭州目标准科技有限公司")+SUMIFS('2月数据源'!$J:$J,'2月数据源'!$D:$D,$E156,'2月数据源'!$F:$F,"杭州目标准科技有限公司")</f>
        <v/>
      </c>
      <c r="H156" s="89">
        <f>-SUMIFS('3月数据源'!$I:$I,'3月数据源'!$D:$D,$E156,'3月数据源'!$F:$F,"杭州目标准科技有限公司")+SUMIFS('3月数据源'!$J:$J,'3月数据源'!$D:$D,$E156,'3月数据源'!$F:$F,"杭州目标准科技有限公司")</f>
        <v/>
      </c>
      <c r="I156" s="89">
        <f>-SUMIFS('4月数据源'!$I:$I,'4月数据源'!$D:$D,$E156,'4月数据源'!$F:$F,"杭州目标准科技有限公司")+SUMIFS('4月数据源'!$J:$J,'4月数据源'!$D:$D,$E156,'4月数据源'!$F:$F,"杭州目标准科技有限公司")</f>
        <v/>
      </c>
      <c r="J156" s="89">
        <f>-SUMIFS('5月数据源'!$I:$I,'5月数据源'!$D:$D,$E156,'5月数据源'!$F:$F,"杭州目标准科技有限公司")+SUMIFS('5月数据源'!$J:$J,'5月数据源'!$D:$D,$E156,'5月数据源'!$F:$F,"杭州目标准科技有限公司")</f>
        <v/>
      </c>
      <c r="K156" s="89">
        <f>-SUMIFS('6月数据源'!$I:$I,'6月数据源'!$D:$D,$E156,'6月数据源'!$F:$F,"杭州目标准科技有限公司")+SUMIFS('6月数据源'!$J:$J,'6月数据源'!$D:$D,$E156,'6月数据源'!$F:$F,"杭州目标准科技有限公司")</f>
        <v/>
      </c>
      <c r="L156" s="89">
        <f>-SUMIFS('7月数据源'!$I:$I,'7月数据源'!$D:$D,$E156,'7月数据源'!$F:$F,"杭州目标准科技有限公司")+SUMIFS('7月数据源'!$J:$J,'7月数据源'!$D:$D,$E156,'7月数据源'!$F:$F,"杭州目标准科技有限公司")</f>
        <v/>
      </c>
      <c r="M156" s="89">
        <f>-SUMIFS('8月数据源'!$I:$I,'8月数据源'!$D:$D,$E156,'8月数据源'!$F:$F,"杭州目标准科技有限公司")+SUMIFS('8月数据源'!$J:$J,'8月数据源'!$D:$D,$E156,'8月数据源'!$F:$F,"杭州目标准科技有限公司")</f>
        <v/>
      </c>
      <c r="N156" s="89">
        <f>-SUMIFS('9月数据源'!$I:$I,'9月数据源'!$D:$D,$E156,'9月数据源'!$F:$F,"杭州目标准科技有限公司")+SUMIFS('9月数据源'!$J:$J,'9月数据源'!$D:$D,$E156,'9月数据源'!$F:$F,"杭州目标准科技有限公司")</f>
        <v/>
      </c>
      <c r="O156" s="89">
        <f>-SUMIFS('10月数据源'!$I:$I,'10月数据源'!$D:$D,$E156,'10月数据源'!$F:$F,"杭州目标准科技有限公司")+SUMIFS('10月数据源'!$J:$J,'10月数据源'!$D:$D,$E156,'10月数据源'!$F:$F,"杭州目标准科技有限公司")</f>
        <v/>
      </c>
      <c r="P156" s="89">
        <f>-SUMIFS('11月数据源'!$I:$I,'11月数据源'!$D:$D,$E156,'11月数据源'!$F:$F,"杭州目标准科技有限公司")+SUMIFS('11月数据源'!$J:$J,'11月数据源'!$D:$D,$E156,'11月数据源'!$F:$F,"杭州目标准科技有限公司")</f>
        <v/>
      </c>
      <c r="Q156" s="89">
        <f>-SUMIFS('12月数据源'!$I:$I,'12月数据源'!$D:$D,$E156,'12月数据源'!$F:$F,"杭州目标准科技有限公司")+SUMIFS('12月数据源'!$J:$J,'12月数据源'!$D:$D,$E156,'12月数据源'!$F:$F,"杭州目标准科技有限公司")</f>
        <v/>
      </c>
    </row>
    <row r="157" s="83">
      <c r="A157" s="5" t="inlineStr">
        <is>
          <t>管理费用</t>
        </is>
      </c>
      <c r="B157" s="6" t="inlineStr">
        <is>
          <t>办公费用</t>
        </is>
      </c>
      <c r="D157" s="5" t="inlineStr">
        <is>
          <t>快递费</t>
        </is>
      </c>
      <c r="E157" s="6" t="inlineStr">
        <is>
          <t>Q2905</t>
        </is>
      </c>
      <c r="F157" s="89">
        <f>-SUMIFS('1月数据源'!I:I,'1月数据源'!D:D,E157,'1月数据源'!F:F,"杭州目标准科技有限公司")+SUMIFS('1月数据源'!J:J,'1月数据源'!D:D,E157,'1月数据源'!F:F,"杭州目标准科技有限公司")</f>
        <v/>
      </c>
      <c r="G157" s="89">
        <f>-SUMIFS('2月数据源'!$I:$I,'2月数据源'!$D:$D,$E157,'2月数据源'!$F:$F,"杭州目标准科技有限公司")+SUMIFS('2月数据源'!$J:$J,'2月数据源'!$D:$D,$E157,'2月数据源'!$F:$F,"杭州目标准科技有限公司")</f>
        <v/>
      </c>
      <c r="H157" s="89">
        <f>-SUMIFS('3月数据源'!$I:$I,'3月数据源'!$D:$D,$E157,'3月数据源'!$F:$F,"杭州目标准科技有限公司")+SUMIFS('3月数据源'!$J:$J,'3月数据源'!$D:$D,$E157,'3月数据源'!$F:$F,"杭州目标准科技有限公司")</f>
        <v/>
      </c>
      <c r="I157" s="89">
        <f>-SUMIFS('4月数据源'!$I:$I,'4月数据源'!$D:$D,$E157,'4月数据源'!$F:$F,"杭州目标准科技有限公司")+SUMIFS('4月数据源'!$J:$J,'4月数据源'!$D:$D,$E157,'4月数据源'!$F:$F,"杭州目标准科技有限公司")</f>
        <v/>
      </c>
      <c r="J157" s="89">
        <f>-SUMIFS('5月数据源'!$I:$I,'5月数据源'!$D:$D,$E157,'5月数据源'!$F:$F,"杭州目标准科技有限公司")+SUMIFS('5月数据源'!$J:$J,'5月数据源'!$D:$D,$E157,'5月数据源'!$F:$F,"杭州目标准科技有限公司")</f>
        <v/>
      </c>
      <c r="K157" s="89">
        <f>-SUMIFS('6月数据源'!$I:$I,'6月数据源'!$D:$D,$E157,'6月数据源'!$F:$F,"杭州目标准科技有限公司")+SUMIFS('6月数据源'!$J:$J,'6月数据源'!$D:$D,$E157,'6月数据源'!$F:$F,"杭州目标准科技有限公司")</f>
        <v/>
      </c>
      <c r="L157" s="89">
        <f>-SUMIFS('7月数据源'!$I:$I,'7月数据源'!$D:$D,$E157,'7月数据源'!$F:$F,"杭州目标准科技有限公司")+SUMIFS('7月数据源'!$J:$J,'7月数据源'!$D:$D,$E157,'7月数据源'!$F:$F,"杭州目标准科技有限公司")</f>
        <v/>
      </c>
      <c r="M157" s="89">
        <f>-SUMIFS('8月数据源'!$I:$I,'8月数据源'!$D:$D,$E157,'8月数据源'!$F:$F,"杭州目标准科技有限公司")+SUMIFS('8月数据源'!$J:$J,'8月数据源'!$D:$D,$E157,'8月数据源'!$F:$F,"杭州目标准科技有限公司")</f>
        <v/>
      </c>
      <c r="N157" s="89">
        <f>-SUMIFS('9月数据源'!$I:$I,'9月数据源'!$D:$D,$E157,'9月数据源'!$F:$F,"杭州目标准科技有限公司")+SUMIFS('9月数据源'!$J:$J,'9月数据源'!$D:$D,$E157,'9月数据源'!$F:$F,"杭州目标准科技有限公司")</f>
        <v/>
      </c>
      <c r="O157" s="89">
        <f>-SUMIFS('10月数据源'!$I:$I,'10月数据源'!$D:$D,$E157,'10月数据源'!$F:$F,"杭州目标准科技有限公司")+SUMIFS('10月数据源'!$J:$J,'10月数据源'!$D:$D,$E157,'10月数据源'!$F:$F,"杭州目标准科技有限公司")</f>
        <v/>
      </c>
      <c r="P157" s="89">
        <f>-SUMIFS('11月数据源'!$I:$I,'11月数据源'!$D:$D,$E157,'11月数据源'!$F:$F,"杭州目标准科技有限公司")+SUMIFS('11月数据源'!$J:$J,'11月数据源'!$D:$D,$E157,'11月数据源'!$F:$F,"杭州目标准科技有限公司")</f>
        <v/>
      </c>
      <c r="Q157" s="89">
        <f>-SUMIFS('12月数据源'!$I:$I,'12月数据源'!$D:$D,$E157,'12月数据源'!$F:$F,"杭州目标准科技有限公司")+SUMIFS('12月数据源'!$J:$J,'12月数据源'!$D:$D,$E157,'12月数据源'!$F:$F,"杭州目标准科技有限公司")</f>
        <v/>
      </c>
    </row>
    <row r="158" s="83">
      <c r="A158" s="5" t="inlineStr">
        <is>
          <t>管理费用</t>
        </is>
      </c>
      <c r="B158" s="6" t="inlineStr">
        <is>
          <t>办公费用</t>
        </is>
      </c>
      <c r="D158" s="5" t="inlineStr">
        <is>
          <t>其他员工报销</t>
        </is>
      </c>
      <c r="E158" s="6" t="inlineStr">
        <is>
          <t>Q2907</t>
        </is>
      </c>
      <c r="F158" s="89">
        <f>-SUMIFS('1月数据源'!I:I,'1月数据源'!D:D,E158,'1月数据源'!F:F,"杭州目标准科技有限公司")+SUMIFS('1月数据源'!J:J,'1月数据源'!D:D,E158,'1月数据源'!F:F,"杭州目标准科技有限公司")</f>
        <v/>
      </c>
      <c r="G158" s="89">
        <f>-SUMIFS('2月数据源'!$I:$I,'2月数据源'!$D:$D,$E158,'2月数据源'!$F:$F,"杭州目标准科技有限公司")+SUMIFS('2月数据源'!$J:$J,'2月数据源'!$D:$D,$E158,'2月数据源'!$F:$F,"杭州目标准科技有限公司")</f>
        <v/>
      </c>
      <c r="H158" s="89">
        <f>-SUMIFS('3月数据源'!$I:$I,'3月数据源'!$D:$D,$E158,'3月数据源'!$F:$F,"杭州目标准科技有限公司")+SUMIFS('3月数据源'!$J:$J,'3月数据源'!$D:$D,$E158,'3月数据源'!$F:$F,"杭州目标准科技有限公司")</f>
        <v/>
      </c>
      <c r="I158" s="89">
        <f>-SUMIFS('4月数据源'!$I:$I,'4月数据源'!$D:$D,$E158,'4月数据源'!$F:$F,"杭州目标准科技有限公司")+SUMIFS('4月数据源'!$J:$J,'4月数据源'!$D:$D,$E158,'4月数据源'!$F:$F,"杭州目标准科技有限公司")</f>
        <v/>
      </c>
      <c r="J158" s="89">
        <f>-SUMIFS('5月数据源'!$I:$I,'5月数据源'!$D:$D,$E158,'5月数据源'!$F:$F,"杭州目标准科技有限公司")+SUMIFS('5月数据源'!$J:$J,'5月数据源'!$D:$D,$E158,'5月数据源'!$F:$F,"杭州目标准科技有限公司")</f>
        <v/>
      </c>
      <c r="K158" s="89">
        <f>-SUMIFS('6月数据源'!$I:$I,'6月数据源'!$D:$D,$E158,'6月数据源'!$F:$F,"杭州目标准科技有限公司")+SUMIFS('6月数据源'!$J:$J,'6月数据源'!$D:$D,$E158,'6月数据源'!$F:$F,"杭州目标准科技有限公司")</f>
        <v/>
      </c>
      <c r="L158" s="89">
        <f>-SUMIFS('7月数据源'!$I:$I,'7月数据源'!$D:$D,$E158,'7月数据源'!$F:$F,"杭州目标准科技有限公司")+SUMIFS('7月数据源'!$J:$J,'7月数据源'!$D:$D,$E158,'7月数据源'!$F:$F,"杭州目标准科技有限公司")</f>
        <v/>
      </c>
      <c r="M158" s="89">
        <f>-SUMIFS('8月数据源'!$I:$I,'8月数据源'!$D:$D,$E158,'8月数据源'!$F:$F,"杭州目标准科技有限公司")+SUMIFS('8月数据源'!$J:$J,'8月数据源'!$D:$D,$E158,'8月数据源'!$F:$F,"杭州目标准科技有限公司")</f>
        <v/>
      </c>
      <c r="N158" s="89">
        <f>-SUMIFS('9月数据源'!$I:$I,'9月数据源'!$D:$D,$E158,'9月数据源'!$F:$F,"杭州目标准科技有限公司")+SUMIFS('9月数据源'!$J:$J,'9月数据源'!$D:$D,$E158,'9月数据源'!$F:$F,"杭州目标准科技有限公司")</f>
        <v/>
      </c>
      <c r="O158" s="89">
        <f>-SUMIFS('10月数据源'!$I:$I,'10月数据源'!$D:$D,$E158,'10月数据源'!$F:$F,"杭州目标准科技有限公司")+SUMIFS('10月数据源'!$J:$J,'10月数据源'!$D:$D,$E158,'10月数据源'!$F:$F,"杭州目标准科技有限公司")</f>
        <v/>
      </c>
      <c r="P158" s="89">
        <f>-SUMIFS('11月数据源'!$I:$I,'11月数据源'!$D:$D,$E158,'11月数据源'!$F:$F,"杭州目标准科技有限公司")+SUMIFS('11月数据源'!$J:$J,'11月数据源'!$D:$D,$E158,'11月数据源'!$F:$F,"杭州目标准科技有限公司")</f>
        <v/>
      </c>
      <c r="Q158" s="89">
        <f>-SUMIFS('12月数据源'!$I:$I,'12月数据源'!$D:$D,$E158,'12月数据源'!$F:$F,"杭州目标准科技有限公司")+SUMIFS('12月数据源'!$J:$J,'12月数据源'!$D:$D,$E158,'12月数据源'!$F:$F,"杭州目标准科技有限公司")</f>
        <v/>
      </c>
    </row>
    <row r="159" s="83">
      <c r="A159" s="5" t="inlineStr">
        <is>
          <t>管理费用</t>
        </is>
      </c>
      <c r="B159" s="6" t="inlineStr">
        <is>
          <t>办公费用</t>
        </is>
      </c>
      <c r="D159" s="5" t="inlineStr">
        <is>
          <t>办公设备租赁费</t>
        </is>
      </c>
      <c r="E159" s="6" t="inlineStr">
        <is>
          <t>Q2908</t>
        </is>
      </c>
      <c r="F159" s="89">
        <f>-SUMIFS('1月数据源'!I:I,'1月数据源'!D:D,E159,'1月数据源'!F:F,"杭州目标准科技有限公司")+SUMIFS('1月数据源'!J:J,'1月数据源'!D:D,E159,'1月数据源'!F:F,"杭州目标准科技有限公司")</f>
        <v/>
      </c>
      <c r="G159" s="89">
        <f>-SUMIFS('2月数据源'!$I:$I,'2月数据源'!$D:$D,$E159,'2月数据源'!$F:$F,"杭州目标准科技有限公司")+SUMIFS('2月数据源'!$J:$J,'2月数据源'!$D:$D,$E159,'2月数据源'!$F:$F,"杭州目标准科技有限公司")</f>
        <v/>
      </c>
      <c r="H159" s="89">
        <f>-SUMIFS('3月数据源'!$I:$I,'3月数据源'!$D:$D,$E159,'3月数据源'!$F:$F,"杭州目标准科技有限公司")+SUMIFS('3月数据源'!$J:$J,'3月数据源'!$D:$D,$E159,'3月数据源'!$F:$F,"杭州目标准科技有限公司")</f>
        <v/>
      </c>
      <c r="I159" s="89">
        <f>-SUMIFS('4月数据源'!$I:$I,'4月数据源'!$D:$D,$E159,'4月数据源'!$F:$F,"杭州目标准科技有限公司")+SUMIFS('4月数据源'!$J:$J,'4月数据源'!$D:$D,$E159,'4月数据源'!$F:$F,"杭州目标准科技有限公司")</f>
        <v/>
      </c>
      <c r="J159" s="89">
        <f>-SUMIFS('5月数据源'!$I:$I,'5月数据源'!$D:$D,$E159,'5月数据源'!$F:$F,"杭州目标准科技有限公司")+SUMIFS('5月数据源'!$J:$J,'5月数据源'!$D:$D,$E159,'5月数据源'!$F:$F,"杭州目标准科技有限公司")</f>
        <v/>
      </c>
      <c r="K159" s="89">
        <f>-SUMIFS('6月数据源'!$I:$I,'6月数据源'!$D:$D,$E159,'6月数据源'!$F:$F,"杭州目标准科技有限公司")+SUMIFS('6月数据源'!$J:$J,'6月数据源'!$D:$D,$E159,'6月数据源'!$F:$F,"杭州目标准科技有限公司")</f>
        <v/>
      </c>
      <c r="L159" s="89">
        <f>-SUMIFS('7月数据源'!$I:$I,'7月数据源'!$D:$D,$E159,'7月数据源'!$F:$F,"杭州目标准科技有限公司")+SUMIFS('7月数据源'!$J:$J,'7月数据源'!$D:$D,$E159,'7月数据源'!$F:$F,"杭州目标准科技有限公司")</f>
        <v/>
      </c>
      <c r="M159" s="89">
        <f>-SUMIFS('8月数据源'!$I:$I,'8月数据源'!$D:$D,$E159,'8月数据源'!$F:$F,"杭州目标准科技有限公司")+SUMIFS('8月数据源'!$J:$J,'8月数据源'!$D:$D,$E159,'8月数据源'!$F:$F,"杭州目标准科技有限公司")</f>
        <v/>
      </c>
      <c r="N159" s="89">
        <f>-SUMIFS('9月数据源'!$I:$I,'9月数据源'!$D:$D,$E159,'9月数据源'!$F:$F,"杭州目标准科技有限公司")+SUMIFS('9月数据源'!$J:$J,'9月数据源'!$D:$D,$E159,'9月数据源'!$F:$F,"杭州目标准科技有限公司")</f>
        <v/>
      </c>
      <c r="O159" s="89">
        <f>-SUMIFS('10月数据源'!$I:$I,'10月数据源'!$D:$D,$E159,'10月数据源'!$F:$F,"杭州目标准科技有限公司")+SUMIFS('10月数据源'!$J:$J,'10月数据源'!$D:$D,$E159,'10月数据源'!$F:$F,"杭州目标准科技有限公司")</f>
        <v/>
      </c>
      <c r="P159" s="89">
        <f>-SUMIFS('11月数据源'!$I:$I,'11月数据源'!$D:$D,$E159,'11月数据源'!$F:$F,"杭州目标准科技有限公司")+SUMIFS('11月数据源'!$J:$J,'11月数据源'!$D:$D,$E159,'11月数据源'!$F:$F,"杭州目标准科技有限公司")</f>
        <v/>
      </c>
      <c r="Q159" s="89">
        <f>-SUMIFS('12月数据源'!$I:$I,'12月数据源'!$D:$D,$E159,'12月数据源'!$F:$F,"杭州目标准科技有限公司")+SUMIFS('12月数据源'!$J:$J,'12月数据源'!$D:$D,$E159,'12月数据源'!$F:$F,"杭州目标准科技有限公司")</f>
        <v/>
      </c>
    </row>
    <row r="160" s="83">
      <c r="A160" s="5" t="inlineStr">
        <is>
          <t>管理费用</t>
        </is>
      </c>
      <c r="B160" s="6" t="inlineStr">
        <is>
          <t>办公费用</t>
        </is>
      </c>
      <c r="D160" s="5" t="inlineStr">
        <is>
          <t>总经办报销费用</t>
        </is>
      </c>
      <c r="E160" s="6" t="inlineStr">
        <is>
          <t>Q2909</t>
        </is>
      </c>
      <c r="F160" s="89">
        <f>-SUMIFS('1月数据源'!I:I,'1月数据源'!D:D,E160,'1月数据源'!F:F,"杭州目标准科技有限公司")+SUMIFS('1月数据源'!J:J,'1月数据源'!D:D,E160,'1月数据源'!F:F,"杭州目标准科技有限公司")</f>
        <v/>
      </c>
      <c r="G160" s="89">
        <f>-SUMIFS('2月数据源'!$I:$I,'2月数据源'!$D:$D,$E160,'2月数据源'!$F:$F,"杭州目标准科技有限公司")+SUMIFS('2月数据源'!$J:$J,'2月数据源'!$D:$D,$E160,'2月数据源'!$F:$F,"杭州目标准科技有限公司")</f>
        <v/>
      </c>
      <c r="H160" s="89">
        <f>-SUMIFS('3月数据源'!$I:$I,'3月数据源'!$D:$D,$E160,'3月数据源'!$F:$F,"杭州目标准科技有限公司")+SUMIFS('3月数据源'!$J:$J,'3月数据源'!$D:$D,$E160,'3月数据源'!$F:$F,"杭州目标准科技有限公司")</f>
        <v/>
      </c>
      <c r="I160" s="89">
        <f>-SUMIFS('4月数据源'!$I:$I,'4月数据源'!$D:$D,$E160,'4月数据源'!$F:$F,"杭州目标准科技有限公司")+SUMIFS('4月数据源'!$J:$J,'4月数据源'!$D:$D,$E160,'4月数据源'!$F:$F,"杭州目标准科技有限公司")</f>
        <v/>
      </c>
      <c r="J160" s="89">
        <f>-SUMIFS('5月数据源'!$I:$I,'5月数据源'!$D:$D,$E160,'5月数据源'!$F:$F,"杭州目标准科技有限公司")+SUMIFS('5月数据源'!$J:$J,'5月数据源'!$D:$D,$E160,'5月数据源'!$F:$F,"杭州目标准科技有限公司")</f>
        <v/>
      </c>
      <c r="K160" s="89">
        <f>-SUMIFS('6月数据源'!$I:$I,'6月数据源'!$D:$D,$E160,'6月数据源'!$F:$F,"杭州目标准科技有限公司")+SUMIFS('6月数据源'!$J:$J,'6月数据源'!$D:$D,$E160,'6月数据源'!$F:$F,"杭州目标准科技有限公司")</f>
        <v/>
      </c>
      <c r="L160" s="89">
        <f>-SUMIFS('7月数据源'!$I:$I,'7月数据源'!$D:$D,$E160,'7月数据源'!$F:$F,"杭州目标准科技有限公司")+SUMIFS('7月数据源'!$J:$J,'7月数据源'!$D:$D,$E160,'7月数据源'!$F:$F,"杭州目标准科技有限公司")</f>
        <v/>
      </c>
      <c r="M160" s="89">
        <f>-SUMIFS('8月数据源'!$I:$I,'8月数据源'!$D:$D,$E160,'8月数据源'!$F:$F,"杭州目标准科技有限公司")+SUMIFS('8月数据源'!$J:$J,'8月数据源'!$D:$D,$E160,'8月数据源'!$F:$F,"杭州目标准科技有限公司")</f>
        <v/>
      </c>
      <c r="N160" s="89">
        <f>-SUMIFS('9月数据源'!$I:$I,'9月数据源'!$D:$D,$E160,'9月数据源'!$F:$F,"杭州目标准科技有限公司")+SUMIFS('9月数据源'!$J:$J,'9月数据源'!$D:$D,$E160,'9月数据源'!$F:$F,"杭州目标准科技有限公司")</f>
        <v/>
      </c>
      <c r="O160" s="89">
        <f>-SUMIFS('10月数据源'!$I:$I,'10月数据源'!$D:$D,$E160,'10月数据源'!$F:$F,"杭州目标准科技有限公司")+SUMIFS('10月数据源'!$J:$J,'10月数据源'!$D:$D,$E160,'10月数据源'!$F:$F,"杭州目标准科技有限公司")</f>
        <v/>
      </c>
      <c r="P160" s="89">
        <f>-SUMIFS('11月数据源'!$I:$I,'11月数据源'!$D:$D,$E160,'11月数据源'!$F:$F,"杭州目标准科技有限公司")+SUMIFS('11月数据源'!$J:$J,'11月数据源'!$D:$D,$E160,'11月数据源'!$F:$F,"杭州目标准科技有限公司")</f>
        <v/>
      </c>
      <c r="Q160" s="89">
        <f>-SUMIFS('12月数据源'!$I:$I,'12月数据源'!$D:$D,$E160,'12月数据源'!$F:$F,"杭州目标准科技有限公司")+SUMIFS('12月数据源'!$J:$J,'12月数据源'!$D:$D,$E160,'12月数据源'!$F:$F,"杭州目标准科技有限公司")</f>
        <v/>
      </c>
    </row>
    <row r="161" s="83">
      <c r="A161" s="5" t="inlineStr">
        <is>
          <t>管理费用</t>
        </is>
      </c>
      <c r="B161" s="6" t="inlineStr">
        <is>
          <t>办公费用</t>
        </is>
      </c>
      <c r="D161" s="5" t="inlineStr">
        <is>
          <t>其他办公费用</t>
        </is>
      </c>
      <c r="E161" s="6" t="inlineStr">
        <is>
          <t>Q29010</t>
        </is>
      </c>
      <c r="F161" s="89">
        <f>-SUMIFS('1月数据源'!I:I,'1月数据源'!D:D,E161,'1月数据源'!F:F,"杭州目标准科技有限公司")+SUMIFS('1月数据源'!J:J,'1月数据源'!D:D,E161,'1月数据源'!F:F,"杭州目标准科技有限公司")</f>
        <v/>
      </c>
      <c r="G161" s="89">
        <f>-SUMIFS('2月数据源'!$I:$I,'2月数据源'!$D:$D,$E161,'2月数据源'!$F:$F,"杭州目标准科技有限公司")+SUMIFS('2月数据源'!$J:$J,'2月数据源'!$D:$D,$E161,'2月数据源'!$F:$F,"杭州目标准科技有限公司")</f>
        <v/>
      </c>
      <c r="H161" s="89">
        <f>-SUMIFS('3月数据源'!$I:$I,'3月数据源'!$D:$D,$E161,'3月数据源'!$F:$F,"杭州目标准科技有限公司")+SUMIFS('3月数据源'!$J:$J,'3月数据源'!$D:$D,$E161,'3月数据源'!$F:$F,"杭州目标准科技有限公司")</f>
        <v/>
      </c>
      <c r="I161" s="89">
        <f>-SUMIFS('4月数据源'!$I:$I,'4月数据源'!$D:$D,$E161,'4月数据源'!$F:$F,"杭州目标准科技有限公司")+SUMIFS('4月数据源'!$J:$J,'4月数据源'!$D:$D,$E161,'4月数据源'!$F:$F,"杭州目标准科技有限公司")</f>
        <v/>
      </c>
      <c r="J161" s="89">
        <f>-SUMIFS('5月数据源'!$I:$I,'5月数据源'!$D:$D,$E161,'5月数据源'!$F:$F,"杭州目标准科技有限公司")+SUMIFS('5月数据源'!$J:$J,'5月数据源'!$D:$D,$E161,'5月数据源'!$F:$F,"杭州目标准科技有限公司")</f>
        <v/>
      </c>
      <c r="K161" s="89">
        <f>-SUMIFS('6月数据源'!$I:$I,'6月数据源'!$D:$D,$E161,'6月数据源'!$F:$F,"杭州目标准科技有限公司")+SUMIFS('6月数据源'!$J:$J,'6月数据源'!$D:$D,$E161,'6月数据源'!$F:$F,"杭州目标准科技有限公司")</f>
        <v/>
      </c>
      <c r="L161" s="89">
        <f>-SUMIFS('7月数据源'!$I:$I,'7月数据源'!$D:$D,$E161,'7月数据源'!$F:$F,"杭州目标准科技有限公司")+SUMIFS('7月数据源'!$J:$J,'7月数据源'!$D:$D,$E161,'7月数据源'!$F:$F,"杭州目标准科技有限公司")</f>
        <v/>
      </c>
      <c r="M161" s="89">
        <f>-SUMIFS('8月数据源'!$I:$I,'8月数据源'!$D:$D,$E161,'8月数据源'!$F:$F,"杭州目标准科技有限公司")+SUMIFS('8月数据源'!$J:$J,'8月数据源'!$D:$D,$E161,'8月数据源'!$F:$F,"杭州目标准科技有限公司")</f>
        <v/>
      </c>
      <c r="N161" s="89">
        <f>-SUMIFS('9月数据源'!$I:$I,'9月数据源'!$D:$D,$E161,'9月数据源'!$F:$F,"杭州目标准科技有限公司")+SUMIFS('9月数据源'!$J:$J,'9月数据源'!$D:$D,$E161,'9月数据源'!$F:$F,"杭州目标准科技有限公司")</f>
        <v/>
      </c>
      <c r="O161" s="89">
        <f>-SUMIFS('10月数据源'!$I:$I,'10月数据源'!$D:$D,$E161,'10月数据源'!$F:$F,"杭州目标准科技有限公司")+SUMIFS('10月数据源'!$J:$J,'10月数据源'!$D:$D,$E161,'10月数据源'!$F:$F,"杭州目标准科技有限公司")</f>
        <v/>
      </c>
      <c r="P161" s="89">
        <f>-SUMIFS('11月数据源'!$I:$I,'11月数据源'!$D:$D,$E161,'11月数据源'!$F:$F,"杭州目标准科技有限公司")+SUMIFS('11月数据源'!$J:$J,'11月数据源'!$D:$D,$E161,'11月数据源'!$F:$F,"杭州目标准科技有限公司")</f>
        <v/>
      </c>
      <c r="Q161" s="89">
        <f>-SUMIFS('12月数据源'!$I:$I,'12月数据源'!$D:$D,$E161,'12月数据源'!$F:$F,"杭州目标准科技有限公司")+SUMIFS('12月数据源'!$J:$J,'12月数据源'!$D:$D,$E161,'12月数据源'!$F:$F,"杭州目标准科技有限公司")</f>
        <v/>
      </c>
    </row>
    <row r="162" s="83">
      <c r="A162" s="49" t="inlineStr">
        <is>
          <t>管理费用合计</t>
        </is>
      </c>
      <c r="B162" s="50" t="n"/>
      <c r="C162" s="50" t="n"/>
      <c r="D162" s="49" t="n"/>
      <c r="E162" s="49" t="n"/>
      <c r="F162" s="89">
        <f>SUM(F138:F161)</f>
        <v/>
      </c>
      <c r="G162" s="89">
        <f>SUM(G138:G161)</f>
        <v/>
      </c>
      <c r="H162" s="89">
        <f>SUM(H138:H161)</f>
        <v/>
      </c>
      <c r="I162" s="89">
        <f>SUM(I138:I161)</f>
        <v/>
      </c>
      <c r="J162" s="89">
        <f>SUM(J138:J161)</f>
        <v/>
      </c>
      <c r="K162" s="89">
        <f>SUM(K138:K161)</f>
        <v/>
      </c>
      <c r="L162" s="89">
        <f>SUM(L138:L161)</f>
        <v/>
      </c>
      <c r="M162" s="89">
        <f>SUM(M138:M161)</f>
        <v/>
      </c>
      <c r="N162" s="89">
        <f>SUM(N138:N161)</f>
        <v/>
      </c>
      <c r="O162" s="89">
        <f>SUM(O138:O161)</f>
        <v/>
      </c>
      <c r="P162" s="89">
        <f>SUM(P138:P161)</f>
        <v/>
      </c>
      <c r="Q162" s="89">
        <f>SUM(Q138:Q161)</f>
        <v/>
      </c>
    </row>
    <row r="163" s="83">
      <c r="A163" s="5" t="inlineStr">
        <is>
          <t>税费成本</t>
        </is>
      </c>
      <c r="B163" s="6" t="inlineStr">
        <is>
          <t>税费成本</t>
        </is>
      </c>
      <c r="C163" s="6" t="inlineStr">
        <is>
          <t>税费成本</t>
        </is>
      </c>
      <c r="D163" s="5" t="inlineStr">
        <is>
          <t>增值税</t>
        </is>
      </c>
      <c r="E163" s="6" t="inlineStr">
        <is>
          <t>Q3001</t>
        </is>
      </c>
      <c r="F163" s="89">
        <f>-SUMIFS('1月数据源'!I:I,'1月数据源'!D:D,E163,'1月数据源'!F:F,"杭州目标准科技有限公司")+SUMIFS('1月数据源'!J:J,'1月数据源'!D:D,E163,'1月数据源'!F:F,"杭州目标准科技有限公司")</f>
        <v/>
      </c>
      <c r="G163" s="89">
        <f>-SUMIFS('2月数据源'!$I:$I,'2月数据源'!$D:$D,$E163,'2月数据源'!$F:$F,"杭州目标准科技有限公司")+SUMIFS('2月数据源'!$J:$J,'2月数据源'!$D:$D,$E163,'2月数据源'!$F:$F,"杭州目标准科技有限公司")</f>
        <v/>
      </c>
      <c r="H163" s="89">
        <f>-SUMIFS('3月数据源'!$I:$I,'3月数据源'!$D:$D,$E163,'3月数据源'!$F:$F,"杭州目标准科技有限公司")+SUMIFS('3月数据源'!$J:$J,'3月数据源'!$D:$D,$E163,'3月数据源'!$F:$F,"杭州目标准科技有限公司")</f>
        <v/>
      </c>
      <c r="I163" s="89">
        <f>-SUMIFS('4月数据源'!$I:$I,'4月数据源'!$D:$D,$E163,'4月数据源'!$F:$F,"杭州目标准科技有限公司")+SUMIFS('4月数据源'!$J:$J,'4月数据源'!$D:$D,$E163,'4月数据源'!$F:$F,"杭州目标准科技有限公司")</f>
        <v/>
      </c>
      <c r="J163" s="89">
        <f>-SUMIFS('5月数据源'!$I:$I,'5月数据源'!$D:$D,$E163,'5月数据源'!$F:$F,"杭州目标准科技有限公司")+SUMIFS('5月数据源'!$J:$J,'5月数据源'!$D:$D,$E163,'5月数据源'!$F:$F,"杭州目标准科技有限公司")</f>
        <v/>
      </c>
      <c r="K163" s="89">
        <f>-SUMIFS('6月数据源'!$I:$I,'6月数据源'!$D:$D,$E163,'6月数据源'!$F:$F,"杭州目标准科技有限公司")+SUMIFS('6月数据源'!$J:$J,'6月数据源'!$D:$D,$E163,'6月数据源'!$F:$F,"杭州目标准科技有限公司")</f>
        <v/>
      </c>
      <c r="L163" s="89">
        <f>-SUMIFS('7月数据源'!$I:$I,'7月数据源'!$D:$D,$E163,'7月数据源'!$F:$F,"杭州目标准科技有限公司")+SUMIFS('7月数据源'!$J:$J,'7月数据源'!$D:$D,$E163,'7月数据源'!$F:$F,"杭州目标准科技有限公司")</f>
        <v/>
      </c>
      <c r="M163" s="89">
        <f>-SUMIFS('8月数据源'!$I:$I,'8月数据源'!$D:$D,$E163,'8月数据源'!$F:$F,"杭州目标准科技有限公司")+SUMIFS('8月数据源'!$J:$J,'8月数据源'!$D:$D,$E163,'8月数据源'!$F:$F,"杭州目标准科技有限公司")</f>
        <v/>
      </c>
      <c r="N163" s="89">
        <f>-SUMIFS('9月数据源'!$I:$I,'9月数据源'!$D:$D,$E163,'9月数据源'!$F:$F,"杭州目标准科技有限公司")+SUMIFS('9月数据源'!$J:$J,'9月数据源'!$D:$D,$E163,'9月数据源'!$F:$F,"杭州目标准科技有限公司")</f>
        <v/>
      </c>
      <c r="O163" s="89">
        <f>-SUMIFS('10月数据源'!$I:$I,'10月数据源'!$D:$D,$E163,'10月数据源'!$F:$F,"杭州目标准科技有限公司")+SUMIFS('10月数据源'!$J:$J,'10月数据源'!$D:$D,$E163,'10月数据源'!$F:$F,"杭州目标准科技有限公司")</f>
        <v/>
      </c>
      <c r="P163" s="89">
        <f>-SUMIFS('11月数据源'!$I:$I,'11月数据源'!$D:$D,$E163,'11月数据源'!$F:$F,"杭州目标准科技有限公司")+SUMIFS('11月数据源'!$J:$J,'11月数据源'!$D:$D,$E163,'11月数据源'!$F:$F,"杭州目标准科技有限公司")</f>
        <v/>
      </c>
      <c r="Q163" s="89">
        <f>-SUMIFS('12月数据源'!$I:$I,'12月数据源'!$D:$D,$E163,'12月数据源'!$F:$F,"杭州目标准科技有限公司")+SUMIFS('12月数据源'!$J:$J,'12月数据源'!$D:$D,$E163,'12月数据源'!$F:$F,"杭州目标准科技有限公司")</f>
        <v/>
      </c>
    </row>
    <row r="164" s="83">
      <c r="A164" s="5" t="inlineStr">
        <is>
          <t>税费成本</t>
        </is>
      </c>
      <c r="B164" s="6" t="inlineStr">
        <is>
          <t>税费成本</t>
        </is>
      </c>
      <c r="D164" s="5" t="inlineStr">
        <is>
          <t>附加税</t>
        </is>
      </c>
      <c r="E164" s="6" t="inlineStr">
        <is>
          <t>Q3002</t>
        </is>
      </c>
      <c r="F164" s="89">
        <f>-SUMIFS('1月数据源'!I:I,'1月数据源'!D:D,E164,'1月数据源'!F:F,"杭州目标准科技有限公司")+SUMIFS('1月数据源'!J:J,'1月数据源'!D:D,E164,'1月数据源'!F:F,"杭州目标准科技有限公司")</f>
        <v/>
      </c>
      <c r="G164" s="89">
        <f>-SUMIFS('2月数据源'!$I:$I,'2月数据源'!$D:$D,$E164,'2月数据源'!$F:$F,"杭州目标准科技有限公司")+SUMIFS('2月数据源'!$J:$J,'2月数据源'!$D:$D,$E164,'2月数据源'!$F:$F,"杭州目标准科技有限公司")</f>
        <v/>
      </c>
      <c r="H164" s="89">
        <f>-SUMIFS('3月数据源'!$I:$I,'3月数据源'!$D:$D,$E164,'3月数据源'!$F:$F,"杭州目标准科技有限公司")+SUMIFS('3月数据源'!$J:$J,'3月数据源'!$D:$D,$E164,'3月数据源'!$F:$F,"杭州目标准科技有限公司")</f>
        <v/>
      </c>
      <c r="I164" s="89">
        <f>-SUMIFS('4月数据源'!$I:$I,'4月数据源'!$D:$D,$E164,'4月数据源'!$F:$F,"杭州目标准科技有限公司")+SUMIFS('4月数据源'!$J:$J,'4月数据源'!$D:$D,$E164,'4月数据源'!$F:$F,"杭州目标准科技有限公司")</f>
        <v/>
      </c>
      <c r="J164" s="89">
        <f>-SUMIFS('5月数据源'!$I:$I,'5月数据源'!$D:$D,$E164,'5月数据源'!$F:$F,"杭州目标准科技有限公司")+SUMIFS('5月数据源'!$J:$J,'5月数据源'!$D:$D,$E164,'5月数据源'!$F:$F,"杭州目标准科技有限公司")</f>
        <v/>
      </c>
      <c r="K164" s="89">
        <f>-SUMIFS('6月数据源'!$I:$I,'6月数据源'!$D:$D,$E164,'6月数据源'!$F:$F,"杭州目标准科技有限公司")+SUMIFS('6月数据源'!$J:$J,'6月数据源'!$D:$D,$E164,'6月数据源'!$F:$F,"杭州目标准科技有限公司")</f>
        <v/>
      </c>
      <c r="L164" s="89">
        <f>-SUMIFS('7月数据源'!$I:$I,'7月数据源'!$D:$D,$E164,'7月数据源'!$F:$F,"杭州目标准科技有限公司")+SUMIFS('7月数据源'!$J:$J,'7月数据源'!$D:$D,$E164,'7月数据源'!$F:$F,"杭州目标准科技有限公司")</f>
        <v/>
      </c>
      <c r="M164" s="89">
        <f>-SUMIFS('8月数据源'!$I:$I,'8月数据源'!$D:$D,$E164,'8月数据源'!$F:$F,"杭州目标准科技有限公司")+SUMIFS('8月数据源'!$J:$J,'8月数据源'!$D:$D,$E164,'8月数据源'!$F:$F,"杭州目标准科技有限公司")</f>
        <v/>
      </c>
      <c r="N164" s="89">
        <f>-SUMIFS('9月数据源'!$I:$I,'9月数据源'!$D:$D,$E164,'9月数据源'!$F:$F,"杭州目标准科技有限公司")+SUMIFS('9月数据源'!$J:$J,'9月数据源'!$D:$D,$E164,'9月数据源'!$F:$F,"杭州目标准科技有限公司")</f>
        <v/>
      </c>
      <c r="O164" s="89">
        <f>-SUMIFS('10月数据源'!$I:$I,'10月数据源'!$D:$D,$E164,'10月数据源'!$F:$F,"杭州目标准科技有限公司")+SUMIFS('10月数据源'!$J:$J,'10月数据源'!$D:$D,$E164,'10月数据源'!$F:$F,"杭州目标准科技有限公司")</f>
        <v/>
      </c>
      <c r="P164" s="89">
        <f>-SUMIFS('11月数据源'!$I:$I,'11月数据源'!$D:$D,$E164,'11月数据源'!$F:$F,"杭州目标准科技有限公司")+SUMIFS('11月数据源'!$J:$J,'11月数据源'!$D:$D,$E164,'11月数据源'!$F:$F,"杭州目标准科技有限公司")</f>
        <v/>
      </c>
      <c r="Q164" s="89">
        <f>-SUMIFS('12月数据源'!$I:$I,'12月数据源'!$D:$D,$E164,'12月数据源'!$F:$F,"杭州目标准科技有限公司")+SUMIFS('12月数据源'!$J:$J,'12月数据源'!$D:$D,$E164,'12月数据源'!$F:$F,"杭州目标准科技有限公司")</f>
        <v/>
      </c>
    </row>
    <row r="165" s="83">
      <c r="A165" s="5" t="inlineStr">
        <is>
          <t>税费成本</t>
        </is>
      </c>
      <c r="B165" s="6" t="inlineStr">
        <is>
          <t>税费成本</t>
        </is>
      </c>
      <c r="D165" s="5" t="inlineStr">
        <is>
          <t>印花税</t>
        </is>
      </c>
      <c r="E165" s="6" t="inlineStr">
        <is>
          <t>Q3003</t>
        </is>
      </c>
      <c r="F165" s="89">
        <f>-SUMIFS('1月数据源'!I:I,'1月数据源'!D:D,E165,'1月数据源'!F:F,"杭州目标准科技有限公司")+SUMIFS('1月数据源'!J:J,'1月数据源'!D:D,E165,'1月数据源'!F:F,"杭州目标准科技有限公司")</f>
        <v/>
      </c>
      <c r="G165" s="89">
        <f>-SUMIFS('2月数据源'!$I:$I,'2月数据源'!$D:$D,$E165,'2月数据源'!$F:$F,"杭州目标准科技有限公司")+SUMIFS('2月数据源'!$J:$J,'2月数据源'!$D:$D,$E165,'2月数据源'!$F:$F,"杭州目标准科技有限公司")</f>
        <v/>
      </c>
      <c r="H165" s="89">
        <f>-SUMIFS('3月数据源'!$I:$I,'3月数据源'!$D:$D,$E165,'3月数据源'!$F:$F,"杭州目标准科技有限公司")+SUMIFS('3月数据源'!$J:$J,'3月数据源'!$D:$D,$E165,'3月数据源'!$F:$F,"杭州目标准科技有限公司")</f>
        <v/>
      </c>
      <c r="I165" s="89">
        <f>-SUMIFS('4月数据源'!$I:$I,'4月数据源'!$D:$D,$E165,'4月数据源'!$F:$F,"杭州目标准科技有限公司")+SUMIFS('4月数据源'!$J:$J,'4月数据源'!$D:$D,$E165,'4月数据源'!$F:$F,"杭州目标准科技有限公司")</f>
        <v/>
      </c>
      <c r="J165" s="89">
        <f>-SUMIFS('5月数据源'!$I:$I,'5月数据源'!$D:$D,$E165,'5月数据源'!$F:$F,"杭州目标准科技有限公司")+SUMIFS('5月数据源'!$J:$J,'5月数据源'!$D:$D,$E165,'5月数据源'!$F:$F,"杭州目标准科技有限公司")</f>
        <v/>
      </c>
      <c r="K165" s="89">
        <f>-SUMIFS('6月数据源'!$I:$I,'6月数据源'!$D:$D,$E165,'6月数据源'!$F:$F,"杭州目标准科技有限公司")+SUMIFS('6月数据源'!$J:$J,'6月数据源'!$D:$D,$E165,'6月数据源'!$F:$F,"杭州目标准科技有限公司")</f>
        <v/>
      </c>
      <c r="L165" s="89">
        <f>-SUMIFS('7月数据源'!$I:$I,'7月数据源'!$D:$D,$E165,'7月数据源'!$F:$F,"杭州目标准科技有限公司")+SUMIFS('7月数据源'!$J:$J,'7月数据源'!$D:$D,$E165,'7月数据源'!$F:$F,"杭州目标准科技有限公司")</f>
        <v/>
      </c>
      <c r="M165" s="89">
        <f>-SUMIFS('8月数据源'!$I:$I,'8月数据源'!$D:$D,$E165,'8月数据源'!$F:$F,"杭州目标准科技有限公司")+SUMIFS('8月数据源'!$J:$J,'8月数据源'!$D:$D,$E165,'8月数据源'!$F:$F,"杭州目标准科技有限公司")</f>
        <v/>
      </c>
      <c r="N165" s="89">
        <f>-SUMIFS('9月数据源'!$I:$I,'9月数据源'!$D:$D,$E165,'9月数据源'!$F:$F,"杭州目标准科技有限公司")+SUMIFS('9月数据源'!$J:$J,'9月数据源'!$D:$D,$E165,'9月数据源'!$F:$F,"杭州目标准科技有限公司")</f>
        <v/>
      </c>
      <c r="O165" s="89">
        <f>-SUMIFS('10月数据源'!$I:$I,'10月数据源'!$D:$D,$E165,'10月数据源'!$F:$F,"杭州目标准科技有限公司")+SUMIFS('10月数据源'!$J:$J,'10月数据源'!$D:$D,$E165,'10月数据源'!$F:$F,"杭州目标准科技有限公司")</f>
        <v/>
      </c>
      <c r="P165" s="89">
        <f>-SUMIFS('11月数据源'!$I:$I,'11月数据源'!$D:$D,$E165,'11月数据源'!$F:$F,"杭州目标准科技有限公司")+SUMIFS('11月数据源'!$J:$J,'11月数据源'!$D:$D,$E165,'11月数据源'!$F:$F,"杭州目标准科技有限公司")</f>
        <v/>
      </c>
      <c r="Q165" s="89">
        <f>-SUMIFS('12月数据源'!$I:$I,'12月数据源'!$D:$D,$E165,'12月数据源'!$F:$F,"杭州目标准科技有限公司")+SUMIFS('12月数据源'!$J:$J,'12月数据源'!$D:$D,$E165,'12月数据源'!$F:$F,"杭州目标准科技有限公司")</f>
        <v/>
      </c>
    </row>
    <row r="166" s="83">
      <c r="A166" s="5" t="inlineStr">
        <is>
          <t>税费成本</t>
        </is>
      </c>
      <c r="B166" s="6" t="inlineStr">
        <is>
          <t>税费成本</t>
        </is>
      </c>
      <c r="D166" s="5" t="inlineStr">
        <is>
          <t>企业所得税</t>
        </is>
      </c>
      <c r="E166" s="6" t="inlineStr">
        <is>
          <t>Q3004</t>
        </is>
      </c>
      <c r="F166" s="89">
        <f>-SUMIFS('1月数据源'!I:I,'1月数据源'!D:D,E166,'1月数据源'!F:F,"杭州目标准科技有限公司")+SUMIFS('1月数据源'!J:J,'1月数据源'!D:D,E166,'1月数据源'!F:F,"杭州目标准科技有限公司")</f>
        <v/>
      </c>
      <c r="G166" s="89">
        <f>-SUMIFS('2月数据源'!$I:$I,'2月数据源'!$D:$D,$E166,'2月数据源'!$F:$F,"杭州目标准科技有限公司")+SUMIFS('2月数据源'!$J:$J,'2月数据源'!$D:$D,$E166,'2月数据源'!$F:$F,"杭州目标准科技有限公司")</f>
        <v/>
      </c>
      <c r="H166" s="89">
        <f>-SUMIFS('3月数据源'!$I:$I,'3月数据源'!$D:$D,$E166,'3月数据源'!$F:$F,"杭州目标准科技有限公司")+SUMIFS('3月数据源'!$J:$J,'3月数据源'!$D:$D,$E166,'3月数据源'!$F:$F,"杭州目标准科技有限公司")</f>
        <v/>
      </c>
      <c r="I166" s="89">
        <f>-SUMIFS('4月数据源'!$I:$I,'4月数据源'!$D:$D,$E166,'4月数据源'!$F:$F,"杭州目标准科技有限公司")+SUMIFS('4月数据源'!$J:$J,'4月数据源'!$D:$D,$E166,'4月数据源'!$F:$F,"杭州目标准科技有限公司")</f>
        <v/>
      </c>
      <c r="J166" s="89">
        <f>-SUMIFS('5月数据源'!$I:$I,'5月数据源'!$D:$D,$E166,'5月数据源'!$F:$F,"杭州目标准科技有限公司")+SUMIFS('5月数据源'!$J:$J,'5月数据源'!$D:$D,$E166,'5月数据源'!$F:$F,"杭州目标准科技有限公司")</f>
        <v/>
      </c>
      <c r="K166" s="89">
        <f>-SUMIFS('6月数据源'!$I:$I,'6月数据源'!$D:$D,$E166,'6月数据源'!$F:$F,"杭州目标准科技有限公司")+SUMIFS('6月数据源'!$J:$J,'6月数据源'!$D:$D,$E166,'6月数据源'!$F:$F,"杭州目标准科技有限公司")</f>
        <v/>
      </c>
      <c r="L166" s="89">
        <f>-SUMIFS('7月数据源'!$I:$I,'7月数据源'!$D:$D,$E166,'7月数据源'!$F:$F,"杭州目标准科技有限公司")+SUMIFS('7月数据源'!$J:$J,'7月数据源'!$D:$D,$E166,'7月数据源'!$F:$F,"杭州目标准科技有限公司")</f>
        <v/>
      </c>
      <c r="M166" s="89">
        <f>-SUMIFS('8月数据源'!$I:$I,'8月数据源'!$D:$D,$E166,'8月数据源'!$F:$F,"杭州目标准科技有限公司")+SUMIFS('8月数据源'!$J:$J,'8月数据源'!$D:$D,$E166,'8月数据源'!$F:$F,"杭州目标准科技有限公司")</f>
        <v/>
      </c>
      <c r="N166" s="89">
        <f>-SUMIFS('9月数据源'!$I:$I,'9月数据源'!$D:$D,$E166,'9月数据源'!$F:$F,"杭州目标准科技有限公司")+SUMIFS('9月数据源'!$J:$J,'9月数据源'!$D:$D,$E166,'9月数据源'!$F:$F,"杭州目标准科技有限公司")</f>
        <v/>
      </c>
      <c r="O166" s="89">
        <f>-SUMIFS('10月数据源'!$I:$I,'10月数据源'!$D:$D,$E166,'10月数据源'!$F:$F,"杭州目标准科技有限公司")+SUMIFS('10月数据源'!$J:$J,'10月数据源'!$D:$D,$E166,'10月数据源'!$F:$F,"杭州目标准科技有限公司")</f>
        <v/>
      </c>
      <c r="P166" s="89">
        <f>-SUMIFS('11月数据源'!$I:$I,'11月数据源'!$D:$D,$E166,'11月数据源'!$F:$F,"杭州目标准科技有限公司")+SUMIFS('11月数据源'!$J:$J,'11月数据源'!$D:$D,$E166,'11月数据源'!$F:$F,"杭州目标准科技有限公司")</f>
        <v/>
      </c>
      <c r="Q166" s="89">
        <f>-SUMIFS('12月数据源'!$I:$I,'12月数据源'!$D:$D,$E166,'12月数据源'!$F:$F,"杭州目标准科技有限公司")+SUMIFS('12月数据源'!$J:$J,'12月数据源'!$D:$D,$E166,'12月数据源'!$F:$F,"杭州目标准科技有限公司")</f>
        <v/>
      </c>
    </row>
    <row r="167" s="83">
      <c r="A167" s="49" t="inlineStr">
        <is>
          <t>税费成本合计</t>
        </is>
      </c>
      <c r="B167" s="50" t="n"/>
      <c r="C167" s="50" t="n"/>
      <c r="D167" s="49" t="n"/>
      <c r="E167" s="49" t="n"/>
      <c r="F167" s="89">
        <f>SUM(F163:F166)</f>
        <v/>
      </c>
      <c r="G167" s="89">
        <f>SUM(G163:G166)</f>
        <v/>
      </c>
      <c r="H167" s="89">
        <f>SUM(H163:H166)</f>
        <v/>
      </c>
      <c r="I167" s="89">
        <f>SUM(I163:I166)</f>
        <v/>
      </c>
      <c r="J167" s="89">
        <f>SUM(J163:J166)</f>
        <v/>
      </c>
      <c r="K167" s="89">
        <f>SUM(K163:K166)</f>
        <v/>
      </c>
      <c r="L167" s="89">
        <f>SUM(L163:L166)</f>
        <v/>
      </c>
      <c r="M167" s="89">
        <f>SUM(M163:M166)</f>
        <v/>
      </c>
      <c r="N167" s="89">
        <f>SUM(N163:N166)</f>
        <v/>
      </c>
      <c r="O167" s="89">
        <f>SUM(O163:O166)</f>
        <v/>
      </c>
      <c r="P167" s="89">
        <f>SUM(P163:P166)</f>
        <v/>
      </c>
      <c r="Q167" s="89">
        <f>SUM(Q163:Q166)</f>
        <v/>
      </c>
    </row>
    <row r="168" s="83">
      <c r="A168" s="5" t="inlineStr">
        <is>
          <t>营业外支出</t>
        </is>
      </c>
      <c r="B168" s="6" t="inlineStr">
        <is>
          <t>营业外支出</t>
        </is>
      </c>
      <c r="C168" s="34" t="inlineStr">
        <is>
          <t>营业外支出</t>
        </is>
      </c>
      <c r="D168" s="5" t="inlineStr">
        <is>
          <t>手续费</t>
        </is>
      </c>
      <c r="E168" s="6" t="inlineStr">
        <is>
          <t>Q3101</t>
        </is>
      </c>
      <c r="F168" s="89">
        <f>-SUMIFS('1月数据源'!I:I,'1月数据源'!D:D,E168,'1月数据源'!F:F,"杭州目标准科技有限公司")+SUMIFS('1月数据源'!J:J,'1月数据源'!D:D,E168,'1月数据源'!F:F,"杭州目标准科技有限公司")</f>
        <v/>
      </c>
      <c r="G168" s="89">
        <f>-SUMIFS('2月数据源'!$I:$I,'2月数据源'!$D:$D,$E168,'2月数据源'!$F:$F,"杭州目标准科技有限公司")+SUMIFS('2月数据源'!$J:$J,'2月数据源'!$D:$D,$E168,'2月数据源'!$F:$F,"杭州目标准科技有限公司")</f>
        <v/>
      </c>
      <c r="H168" s="89">
        <f>-SUMIFS('3月数据源'!$I:$I,'3月数据源'!$D:$D,$E168,'3月数据源'!$F:$F,"杭州目标准科技有限公司")+SUMIFS('3月数据源'!$J:$J,'3月数据源'!$D:$D,$E168,'3月数据源'!$F:$F,"杭州目标准科技有限公司")</f>
        <v/>
      </c>
      <c r="I168" s="89">
        <f>-SUMIFS('4月数据源'!$I:$I,'4月数据源'!$D:$D,$E168,'4月数据源'!$F:$F,"杭州目标准科技有限公司")+SUMIFS('4月数据源'!$J:$J,'4月数据源'!$D:$D,$E168,'4月数据源'!$F:$F,"杭州目标准科技有限公司")</f>
        <v/>
      </c>
      <c r="J168" s="89">
        <f>-SUMIFS('5月数据源'!$I:$I,'5月数据源'!$D:$D,$E168,'5月数据源'!$F:$F,"杭州目标准科技有限公司")+SUMIFS('5月数据源'!$J:$J,'5月数据源'!$D:$D,$E168,'5月数据源'!$F:$F,"杭州目标准科技有限公司")</f>
        <v/>
      </c>
      <c r="K168" s="89">
        <f>-SUMIFS('6月数据源'!$I:$I,'6月数据源'!$D:$D,$E168,'6月数据源'!$F:$F,"杭州目标准科技有限公司")+SUMIFS('6月数据源'!$J:$J,'6月数据源'!$D:$D,$E168,'6月数据源'!$F:$F,"杭州目标准科技有限公司")</f>
        <v/>
      </c>
      <c r="L168" s="89">
        <f>-SUMIFS('7月数据源'!$I:$I,'7月数据源'!$D:$D,$E168,'7月数据源'!$F:$F,"杭州目标准科技有限公司")+SUMIFS('7月数据源'!$J:$J,'7月数据源'!$D:$D,$E168,'7月数据源'!$F:$F,"杭州目标准科技有限公司")</f>
        <v/>
      </c>
      <c r="M168" s="89">
        <f>-SUMIFS('8月数据源'!$I:$I,'8月数据源'!$D:$D,$E168,'8月数据源'!$F:$F,"杭州目标准科技有限公司")+SUMIFS('8月数据源'!$J:$J,'8月数据源'!$D:$D,$E168,'8月数据源'!$F:$F,"杭州目标准科技有限公司")</f>
        <v/>
      </c>
      <c r="N168" s="89">
        <f>-SUMIFS('9月数据源'!$I:$I,'9月数据源'!$D:$D,$E168,'9月数据源'!$F:$F,"杭州目标准科技有限公司")+SUMIFS('9月数据源'!$J:$J,'9月数据源'!$D:$D,$E168,'9月数据源'!$F:$F,"杭州目标准科技有限公司")</f>
        <v/>
      </c>
      <c r="O168" s="89">
        <f>-SUMIFS('10月数据源'!$I:$I,'10月数据源'!$D:$D,$E168,'10月数据源'!$F:$F,"杭州目标准科技有限公司")+SUMIFS('10月数据源'!$J:$J,'10月数据源'!$D:$D,$E168,'10月数据源'!$F:$F,"杭州目标准科技有限公司")</f>
        <v/>
      </c>
      <c r="P168" s="89">
        <f>-SUMIFS('11月数据源'!$I:$I,'11月数据源'!$D:$D,$E168,'11月数据源'!$F:$F,"杭州目标准科技有限公司")+SUMIFS('11月数据源'!$J:$J,'11月数据源'!$D:$D,$E168,'11月数据源'!$F:$F,"杭州目标准科技有限公司")</f>
        <v/>
      </c>
      <c r="Q168" s="89">
        <f>-SUMIFS('12月数据源'!$I:$I,'12月数据源'!$D:$D,$E168,'12月数据源'!$F:$F,"杭州目标准科技有限公司")+SUMIFS('12月数据源'!$J:$J,'12月数据源'!$D:$D,$E168,'12月数据源'!$F:$F,"杭州目标准科技有限公司")</f>
        <v/>
      </c>
    </row>
    <row r="169" s="83">
      <c r="A169" s="5" t="inlineStr">
        <is>
          <t>营业外支出</t>
        </is>
      </c>
      <c r="B169" s="6" t="inlineStr">
        <is>
          <t>营业外支出</t>
        </is>
      </c>
      <c r="D169" s="5" t="inlineStr">
        <is>
          <t>罚款支出</t>
        </is>
      </c>
      <c r="E169" s="6" t="inlineStr">
        <is>
          <t>Q3102</t>
        </is>
      </c>
      <c r="F169" s="89">
        <f>-SUMIFS('1月数据源'!I:I,'1月数据源'!D:D,E169,'1月数据源'!F:F,"杭州目标准科技有限公司")+SUMIFS('1月数据源'!J:J,'1月数据源'!D:D,E169,'1月数据源'!F:F,"杭州目标准科技有限公司")</f>
        <v/>
      </c>
      <c r="G169" s="89">
        <f>-SUMIFS('2月数据源'!$I:$I,'2月数据源'!$D:$D,$E169,'2月数据源'!$F:$F,"杭州目标准科技有限公司")+SUMIFS('2月数据源'!$J:$J,'2月数据源'!$D:$D,$E169,'2月数据源'!$F:$F,"杭州目标准科技有限公司")</f>
        <v/>
      </c>
      <c r="H169" s="89">
        <f>-SUMIFS('3月数据源'!$I:$I,'3月数据源'!$D:$D,$E169,'3月数据源'!$F:$F,"杭州目标准科技有限公司")+SUMIFS('3月数据源'!$J:$J,'3月数据源'!$D:$D,$E169,'3月数据源'!$F:$F,"杭州目标准科技有限公司")</f>
        <v/>
      </c>
      <c r="I169" s="89">
        <f>-SUMIFS('4月数据源'!$I:$I,'4月数据源'!$D:$D,$E169,'4月数据源'!$F:$F,"杭州目标准科技有限公司")+SUMIFS('4月数据源'!$J:$J,'4月数据源'!$D:$D,$E169,'4月数据源'!$F:$F,"杭州目标准科技有限公司")</f>
        <v/>
      </c>
      <c r="J169" s="89">
        <f>-SUMIFS('5月数据源'!$I:$I,'5月数据源'!$D:$D,$E169,'5月数据源'!$F:$F,"杭州目标准科技有限公司")+SUMIFS('5月数据源'!$J:$J,'5月数据源'!$D:$D,$E169,'5月数据源'!$F:$F,"杭州目标准科技有限公司")</f>
        <v/>
      </c>
      <c r="K169" s="89">
        <f>-SUMIFS('6月数据源'!$I:$I,'6月数据源'!$D:$D,$E169,'6月数据源'!$F:$F,"杭州目标准科技有限公司")+SUMIFS('6月数据源'!$J:$J,'6月数据源'!$D:$D,$E169,'6月数据源'!$F:$F,"杭州目标准科技有限公司")</f>
        <v/>
      </c>
      <c r="L169" s="89">
        <f>-SUMIFS('7月数据源'!$I:$I,'7月数据源'!$D:$D,$E169,'7月数据源'!$F:$F,"杭州目标准科技有限公司")+SUMIFS('7月数据源'!$J:$J,'7月数据源'!$D:$D,$E169,'7月数据源'!$F:$F,"杭州目标准科技有限公司")</f>
        <v/>
      </c>
      <c r="M169" s="89">
        <f>-SUMIFS('8月数据源'!$I:$I,'8月数据源'!$D:$D,$E169,'8月数据源'!$F:$F,"杭州目标准科技有限公司")+SUMIFS('8月数据源'!$J:$J,'8月数据源'!$D:$D,$E169,'8月数据源'!$F:$F,"杭州目标准科技有限公司")</f>
        <v/>
      </c>
      <c r="N169" s="89">
        <f>-SUMIFS('9月数据源'!$I:$I,'9月数据源'!$D:$D,$E169,'9月数据源'!$F:$F,"杭州目标准科技有限公司")+SUMIFS('9月数据源'!$J:$J,'9月数据源'!$D:$D,$E169,'9月数据源'!$F:$F,"杭州目标准科技有限公司")</f>
        <v/>
      </c>
      <c r="O169" s="89">
        <f>-SUMIFS('10月数据源'!$I:$I,'10月数据源'!$D:$D,$E169,'10月数据源'!$F:$F,"杭州目标准科技有限公司")+SUMIFS('10月数据源'!$J:$J,'10月数据源'!$D:$D,$E169,'10月数据源'!$F:$F,"杭州目标准科技有限公司")</f>
        <v/>
      </c>
      <c r="P169" s="89">
        <f>-SUMIFS('11月数据源'!$I:$I,'11月数据源'!$D:$D,$E169,'11月数据源'!$F:$F,"杭州目标准科技有限公司")+SUMIFS('11月数据源'!$J:$J,'11月数据源'!$D:$D,$E169,'11月数据源'!$F:$F,"杭州目标准科技有限公司")</f>
        <v/>
      </c>
      <c r="Q169" s="89">
        <f>-SUMIFS('12月数据源'!$I:$I,'12月数据源'!$D:$D,$E169,'12月数据源'!$F:$F,"杭州目标准科技有限公司")+SUMIFS('12月数据源'!$J:$J,'12月数据源'!$D:$D,$E169,'12月数据源'!$F:$F,"杭州目标准科技有限公司")</f>
        <v/>
      </c>
    </row>
    <row r="170" s="83">
      <c r="A170" s="5" t="inlineStr">
        <is>
          <t>营业外支出</t>
        </is>
      </c>
      <c r="B170" s="6" t="inlineStr">
        <is>
          <t>营业外支出</t>
        </is>
      </c>
      <c r="D170" s="5" t="inlineStr">
        <is>
          <t>违约金支出</t>
        </is>
      </c>
      <c r="E170" s="6" t="inlineStr">
        <is>
          <t>Q3104</t>
        </is>
      </c>
      <c r="F170" s="89">
        <f>-SUMIFS('1月数据源'!I:I,'1月数据源'!D:D,E170,'1月数据源'!F:F,"杭州目标准科技有限公司")+SUMIFS('1月数据源'!J:J,'1月数据源'!D:D,E170,'1月数据源'!F:F,"杭州目标准科技有限公司")</f>
        <v/>
      </c>
      <c r="G170" s="89">
        <f>-SUMIFS('2月数据源'!$I:$I,'2月数据源'!$D:$D,$E170,'2月数据源'!$F:$F,"杭州目标准科技有限公司")+SUMIFS('2月数据源'!$J:$J,'2月数据源'!$D:$D,$E170,'2月数据源'!$F:$F,"杭州目标准科技有限公司")</f>
        <v/>
      </c>
      <c r="H170" s="89">
        <f>-SUMIFS('3月数据源'!$I:$I,'3月数据源'!$D:$D,$E170,'3月数据源'!$F:$F,"杭州目标准科技有限公司")+SUMIFS('3月数据源'!$J:$J,'3月数据源'!$D:$D,$E170,'3月数据源'!$F:$F,"杭州目标准科技有限公司")</f>
        <v/>
      </c>
      <c r="I170" s="89">
        <f>-SUMIFS('4月数据源'!$I:$I,'4月数据源'!$D:$D,$E170,'4月数据源'!$F:$F,"杭州目标准科技有限公司")+SUMIFS('4月数据源'!$J:$J,'4月数据源'!$D:$D,$E170,'4月数据源'!$F:$F,"杭州目标准科技有限公司")</f>
        <v/>
      </c>
      <c r="J170" s="89">
        <f>-SUMIFS('5月数据源'!$I:$I,'5月数据源'!$D:$D,$E170,'5月数据源'!$F:$F,"杭州目标准科技有限公司")+SUMIFS('5月数据源'!$J:$J,'5月数据源'!$D:$D,$E170,'5月数据源'!$F:$F,"杭州目标准科技有限公司")</f>
        <v/>
      </c>
      <c r="K170" s="89">
        <f>-SUMIFS('6月数据源'!$I:$I,'6月数据源'!$D:$D,$E170,'6月数据源'!$F:$F,"杭州目标准科技有限公司")+SUMIFS('6月数据源'!$J:$J,'6月数据源'!$D:$D,$E170,'6月数据源'!$F:$F,"杭州目标准科技有限公司")</f>
        <v/>
      </c>
      <c r="L170" s="89">
        <f>-SUMIFS('7月数据源'!$I:$I,'7月数据源'!$D:$D,$E170,'7月数据源'!$F:$F,"杭州目标准科技有限公司")+SUMIFS('7月数据源'!$J:$J,'7月数据源'!$D:$D,$E170,'7月数据源'!$F:$F,"杭州目标准科技有限公司")</f>
        <v/>
      </c>
      <c r="M170" s="89">
        <f>-SUMIFS('8月数据源'!$I:$I,'8月数据源'!$D:$D,$E170,'8月数据源'!$F:$F,"杭州目标准科技有限公司")+SUMIFS('8月数据源'!$J:$J,'8月数据源'!$D:$D,$E170,'8月数据源'!$F:$F,"杭州目标准科技有限公司")</f>
        <v/>
      </c>
      <c r="N170" s="89">
        <f>-SUMIFS('9月数据源'!$I:$I,'9月数据源'!$D:$D,$E170,'9月数据源'!$F:$F,"杭州目标准科技有限公司")+SUMIFS('9月数据源'!$J:$J,'9月数据源'!$D:$D,$E170,'9月数据源'!$F:$F,"杭州目标准科技有限公司")</f>
        <v/>
      </c>
      <c r="O170" s="89">
        <f>-SUMIFS('10月数据源'!$I:$I,'10月数据源'!$D:$D,$E170,'10月数据源'!$F:$F,"杭州目标准科技有限公司")+SUMIFS('10月数据源'!$J:$J,'10月数据源'!$D:$D,$E170,'10月数据源'!$F:$F,"杭州目标准科技有限公司")</f>
        <v/>
      </c>
      <c r="P170" s="89">
        <f>-SUMIFS('11月数据源'!$I:$I,'11月数据源'!$D:$D,$E170,'11月数据源'!$F:$F,"杭州目标准科技有限公司")+SUMIFS('11月数据源'!$J:$J,'11月数据源'!$D:$D,$E170,'11月数据源'!$F:$F,"杭州目标准科技有限公司")</f>
        <v/>
      </c>
      <c r="Q170" s="89">
        <f>-SUMIFS('12月数据源'!$I:$I,'12月数据源'!$D:$D,$E170,'12月数据源'!$F:$F,"杭州目标准科技有限公司")+SUMIFS('12月数据源'!$J:$J,'12月数据源'!$D:$D,$E170,'12月数据源'!$F:$F,"杭州目标准科技有限公司")</f>
        <v/>
      </c>
    </row>
    <row r="171" s="83">
      <c r="A171" s="5" t="inlineStr">
        <is>
          <t>营业外支出</t>
        </is>
      </c>
      <c r="B171" s="6" t="inlineStr">
        <is>
          <t>营业外支出</t>
        </is>
      </c>
      <c r="D171" s="5" t="inlineStr">
        <is>
          <t>滞纳金支出</t>
        </is>
      </c>
      <c r="E171" s="6" t="inlineStr">
        <is>
          <t>Q3103</t>
        </is>
      </c>
      <c r="F171" s="89">
        <f>-SUMIFS('1月数据源'!I:I,'1月数据源'!D:D,E171,'1月数据源'!F:F,"杭州目标准科技有限公司")+SUMIFS('1月数据源'!J:J,'1月数据源'!D:D,E171,'1月数据源'!F:F,"杭州目标准科技有限公司")</f>
        <v/>
      </c>
      <c r="G171" s="89">
        <f>-SUMIFS('2月数据源'!$I:$I,'2月数据源'!$D:$D,$E171,'2月数据源'!$F:$F,"杭州目标准科技有限公司")+SUMIFS('2月数据源'!$J:$J,'2月数据源'!$D:$D,$E171,'2月数据源'!$F:$F,"杭州目标准科技有限公司")</f>
        <v/>
      </c>
      <c r="H171" s="89">
        <f>-SUMIFS('3月数据源'!$I:$I,'3月数据源'!$D:$D,$E171,'3月数据源'!$F:$F,"杭州目标准科技有限公司")+SUMIFS('3月数据源'!$J:$J,'3月数据源'!$D:$D,$E171,'3月数据源'!$F:$F,"杭州目标准科技有限公司")</f>
        <v/>
      </c>
      <c r="I171" s="89">
        <f>-SUMIFS('4月数据源'!$I:$I,'4月数据源'!$D:$D,$E171,'4月数据源'!$F:$F,"杭州目标准科技有限公司")+SUMIFS('4月数据源'!$J:$J,'4月数据源'!$D:$D,$E171,'4月数据源'!$F:$F,"杭州目标准科技有限公司")</f>
        <v/>
      </c>
      <c r="J171" s="89">
        <f>-SUMIFS('5月数据源'!$I:$I,'5月数据源'!$D:$D,$E171,'5月数据源'!$F:$F,"杭州目标准科技有限公司")+SUMIFS('5月数据源'!$J:$J,'5月数据源'!$D:$D,$E171,'5月数据源'!$F:$F,"杭州目标准科技有限公司")</f>
        <v/>
      </c>
      <c r="K171" s="89">
        <f>-SUMIFS('6月数据源'!$I:$I,'6月数据源'!$D:$D,$E171,'6月数据源'!$F:$F,"杭州目标准科技有限公司")+SUMIFS('6月数据源'!$J:$J,'6月数据源'!$D:$D,$E171,'6月数据源'!$F:$F,"杭州目标准科技有限公司")</f>
        <v/>
      </c>
      <c r="L171" s="89">
        <f>-SUMIFS('7月数据源'!$I:$I,'7月数据源'!$D:$D,$E171,'7月数据源'!$F:$F,"杭州目标准科技有限公司")+SUMIFS('7月数据源'!$J:$J,'7月数据源'!$D:$D,$E171,'7月数据源'!$F:$F,"杭州目标准科技有限公司")</f>
        <v/>
      </c>
      <c r="M171" s="89">
        <f>-SUMIFS('8月数据源'!$I:$I,'8月数据源'!$D:$D,$E171,'8月数据源'!$F:$F,"杭州目标准科技有限公司")+SUMIFS('8月数据源'!$J:$J,'8月数据源'!$D:$D,$E171,'8月数据源'!$F:$F,"杭州目标准科技有限公司")</f>
        <v/>
      </c>
      <c r="N171" s="89">
        <f>-SUMIFS('9月数据源'!$I:$I,'9月数据源'!$D:$D,$E171,'9月数据源'!$F:$F,"杭州目标准科技有限公司")+SUMIFS('9月数据源'!$J:$J,'9月数据源'!$D:$D,$E171,'9月数据源'!$F:$F,"杭州目标准科技有限公司")</f>
        <v/>
      </c>
      <c r="O171" s="89">
        <f>-SUMIFS('10月数据源'!$I:$I,'10月数据源'!$D:$D,$E171,'10月数据源'!$F:$F,"杭州目标准科技有限公司")+SUMIFS('10月数据源'!$J:$J,'10月数据源'!$D:$D,$E171,'10月数据源'!$F:$F,"杭州目标准科技有限公司")</f>
        <v/>
      </c>
      <c r="P171" s="89">
        <f>-SUMIFS('11月数据源'!$I:$I,'11月数据源'!$D:$D,$E171,'11月数据源'!$F:$F,"杭州目标准科技有限公司")+SUMIFS('11月数据源'!$J:$J,'11月数据源'!$D:$D,$E171,'11月数据源'!$F:$F,"杭州目标准科技有限公司")</f>
        <v/>
      </c>
      <c r="Q171" s="89">
        <f>-SUMIFS('12月数据源'!$I:$I,'12月数据源'!$D:$D,$E171,'12月数据源'!$F:$F,"杭州目标准科技有限公司")+SUMIFS('12月数据源'!$J:$J,'12月数据源'!$D:$D,$E171,'12月数据源'!$F:$F,"杭州目标准科技有限公司")</f>
        <v/>
      </c>
    </row>
    <row r="172" s="83">
      <c r="A172" s="5" t="inlineStr">
        <is>
          <t>营业外支出</t>
        </is>
      </c>
      <c r="B172" s="6" t="inlineStr">
        <is>
          <t>营业外支出</t>
        </is>
      </c>
      <c r="D172" s="5" t="inlineStr">
        <is>
          <t>汇兑损益</t>
        </is>
      </c>
      <c r="E172" s="6" t="inlineStr">
        <is>
          <t>Q3105</t>
        </is>
      </c>
      <c r="F172" s="89">
        <f>-SUMIFS('1月数据源'!I:I,'1月数据源'!D:D,E172,'1月数据源'!F:F,"杭州目标准科技有限公司")+SUMIFS('1月数据源'!J:J,'1月数据源'!D:D,E172,'1月数据源'!F:F,"杭州目标准科技有限公司")</f>
        <v/>
      </c>
      <c r="G172" s="89">
        <f>-SUMIFS('2月数据源'!$I:$I,'2月数据源'!$D:$D,$E172,'2月数据源'!$F:$F,"杭州目标准科技有限公司")+SUMIFS('2月数据源'!$J:$J,'2月数据源'!$D:$D,$E172,'2月数据源'!$F:$F,"杭州目标准科技有限公司")</f>
        <v/>
      </c>
      <c r="H172" s="89">
        <f>-SUMIFS('3月数据源'!$I:$I,'3月数据源'!$D:$D,$E172,'3月数据源'!$F:$F,"杭州目标准科技有限公司")+SUMIFS('3月数据源'!$J:$J,'3月数据源'!$D:$D,$E172,'3月数据源'!$F:$F,"杭州目标准科技有限公司")</f>
        <v/>
      </c>
      <c r="I172" s="89">
        <f>-SUMIFS('4月数据源'!$I:$I,'4月数据源'!$D:$D,$E172,'4月数据源'!$F:$F,"杭州目标准科技有限公司")+SUMIFS('4月数据源'!$J:$J,'4月数据源'!$D:$D,$E172,'4月数据源'!$F:$F,"杭州目标准科技有限公司")</f>
        <v/>
      </c>
      <c r="J172" s="89">
        <f>-SUMIFS('5月数据源'!$I:$I,'5月数据源'!$D:$D,$E172,'5月数据源'!$F:$F,"杭州目标准科技有限公司")+SUMIFS('5月数据源'!$J:$J,'5月数据源'!$D:$D,$E172,'5月数据源'!$F:$F,"杭州目标准科技有限公司")</f>
        <v/>
      </c>
      <c r="K172" s="89">
        <f>-SUMIFS('6月数据源'!$I:$I,'6月数据源'!$D:$D,$E172,'6月数据源'!$F:$F,"杭州目标准科技有限公司")+SUMIFS('6月数据源'!$J:$J,'6月数据源'!$D:$D,$E172,'6月数据源'!$F:$F,"杭州目标准科技有限公司")</f>
        <v/>
      </c>
      <c r="L172" s="89">
        <f>-SUMIFS('7月数据源'!$I:$I,'7月数据源'!$D:$D,$E172,'7月数据源'!$F:$F,"杭州目标准科技有限公司")+SUMIFS('7月数据源'!$J:$J,'7月数据源'!$D:$D,$E172,'7月数据源'!$F:$F,"杭州目标准科技有限公司")</f>
        <v/>
      </c>
      <c r="M172" s="89">
        <f>-SUMIFS('8月数据源'!$I:$I,'8月数据源'!$D:$D,$E172,'8月数据源'!$F:$F,"杭州目标准科技有限公司")+SUMIFS('8月数据源'!$J:$J,'8月数据源'!$D:$D,$E172,'8月数据源'!$F:$F,"杭州目标准科技有限公司")</f>
        <v/>
      </c>
      <c r="N172" s="89">
        <f>-SUMIFS('9月数据源'!$I:$I,'9月数据源'!$D:$D,$E172,'9月数据源'!$F:$F,"杭州目标准科技有限公司")+SUMIFS('9月数据源'!$J:$J,'9月数据源'!$D:$D,$E172,'9月数据源'!$F:$F,"杭州目标准科技有限公司")</f>
        <v/>
      </c>
      <c r="O172" s="89">
        <f>-SUMIFS('10月数据源'!$I:$I,'10月数据源'!$D:$D,$E172,'10月数据源'!$F:$F,"杭州目标准科技有限公司")+SUMIFS('10月数据源'!$J:$J,'10月数据源'!$D:$D,$E172,'10月数据源'!$F:$F,"杭州目标准科技有限公司")</f>
        <v/>
      </c>
      <c r="P172" s="89">
        <f>-SUMIFS('11月数据源'!$I:$I,'11月数据源'!$D:$D,$E172,'11月数据源'!$F:$F,"杭州目标准科技有限公司")+SUMIFS('11月数据源'!$J:$J,'11月数据源'!$D:$D,$E172,'11月数据源'!$F:$F,"杭州目标准科技有限公司")</f>
        <v/>
      </c>
      <c r="Q172" s="89">
        <f>-SUMIFS('12月数据源'!$I:$I,'12月数据源'!$D:$D,$E172,'12月数据源'!$F:$F,"杭州目标准科技有限公司")+SUMIFS('12月数据源'!$J:$J,'12月数据源'!$D:$D,$E172,'12月数据源'!$F:$F,"杭州目标准科技有限公司")</f>
        <v/>
      </c>
    </row>
    <row r="173" s="83">
      <c r="A173" s="49" t="inlineStr">
        <is>
          <t>营业外支出合计</t>
        </is>
      </c>
      <c r="B173" s="50" t="n"/>
      <c r="C173" s="50" t="n"/>
      <c r="D173" s="49" t="n"/>
      <c r="E173" s="49" t="n"/>
      <c r="F173" s="89">
        <f>SUM(F168:F172)</f>
        <v/>
      </c>
      <c r="G173" s="89">
        <f>SUM(G168:G172)</f>
        <v/>
      </c>
      <c r="H173" s="89">
        <f>SUM(H168:H172)</f>
        <v/>
      </c>
      <c r="I173" s="89">
        <f>SUM(I168:I172)</f>
        <v/>
      </c>
      <c r="J173" s="89">
        <f>SUM(J168:J172)</f>
        <v/>
      </c>
      <c r="K173" s="89">
        <f>SUM(K168:K172)</f>
        <v/>
      </c>
      <c r="L173" s="89">
        <f>SUM(L168:L172)</f>
        <v/>
      </c>
      <c r="M173" s="89">
        <f>SUM(M168:M172)</f>
        <v/>
      </c>
      <c r="N173" s="89">
        <f>SUM(N168:N172)</f>
        <v/>
      </c>
      <c r="O173" s="89">
        <f>SUM(O168:O172)</f>
        <v/>
      </c>
      <c r="P173" s="89">
        <f>SUM(P168:P172)</f>
        <v/>
      </c>
      <c r="Q173" s="89">
        <f>SUM(Q168:Q172)</f>
        <v/>
      </c>
    </row>
    <row r="174" s="83">
      <c r="A174" s="5" t="inlineStr">
        <is>
          <t>理财收支</t>
        </is>
      </c>
      <c r="B174" s="6" t="inlineStr">
        <is>
          <t>理财收支</t>
        </is>
      </c>
      <c r="C174" s="6" t="inlineStr">
        <is>
          <t>理财支出</t>
        </is>
      </c>
      <c r="D174" s="5" t="inlineStr">
        <is>
          <t>理财收支</t>
        </is>
      </c>
      <c r="E174" s="6" t="inlineStr">
        <is>
          <t>Q3301</t>
        </is>
      </c>
      <c r="F174" s="89">
        <f>-SUMIFS('1月数据源'!I:I,'1月数据源'!D:D,E174,'1月数据源'!F:F,"杭州目标准科技有限公司")+SUMIFS('1月数据源'!J:J,'1月数据源'!D:D,E174,'1月数据源'!F:F,"杭州目标准科技有限公司")</f>
        <v/>
      </c>
      <c r="G174" s="89">
        <f>-SUMIFS('2月数据源'!$I:$I,'2月数据源'!$D:$D,$E174,'2月数据源'!$F:$F,"杭州目标准科技有限公司")+SUMIFS('2月数据源'!$J:$J,'2月数据源'!$D:$D,$E174,'2月数据源'!$F:$F,"杭州目标准科技有限公司")</f>
        <v/>
      </c>
      <c r="H174" s="89">
        <f>-SUMIFS('3月数据源'!$I:$I,'3月数据源'!$D:$D,$E174,'3月数据源'!$F:$F,"杭州目标准科技有限公司")+SUMIFS('3月数据源'!$J:$J,'3月数据源'!$D:$D,$E174,'3月数据源'!$F:$F,"杭州目标准科技有限公司")</f>
        <v/>
      </c>
      <c r="I174" s="89">
        <f>-SUMIFS('4月数据源'!$I:$I,'4月数据源'!$D:$D,$E174,'4月数据源'!$F:$F,"杭州目标准科技有限公司")+SUMIFS('4月数据源'!$J:$J,'4月数据源'!$D:$D,$E174,'4月数据源'!$F:$F,"杭州目标准科技有限公司")</f>
        <v/>
      </c>
      <c r="J174" s="89">
        <f>-SUMIFS('5月数据源'!$I:$I,'5月数据源'!$D:$D,$E174,'5月数据源'!$F:$F,"杭州目标准科技有限公司")+SUMIFS('5月数据源'!$J:$J,'5月数据源'!$D:$D,$E174,'5月数据源'!$F:$F,"杭州目标准科技有限公司")</f>
        <v/>
      </c>
      <c r="K174" s="89">
        <f>-SUMIFS('6月数据源'!$I:$I,'6月数据源'!$D:$D,$E174,'6月数据源'!$F:$F,"杭州目标准科技有限公司")+SUMIFS('6月数据源'!$J:$J,'6月数据源'!$D:$D,$E174,'6月数据源'!$F:$F,"杭州目标准科技有限公司")</f>
        <v/>
      </c>
      <c r="L174" s="89">
        <f>-SUMIFS('7月数据源'!$I:$I,'7月数据源'!$D:$D,$E174,'7月数据源'!$F:$F,"杭州目标准科技有限公司")+SUMIFS('7月数据源'!$J:$J,'7月数据源'!$D:$D,$E174,'7月数据源'!$F:$F,"杭州目标准科技有限公司")</f>
        <v/>
      </c>
      <c r="M174" s="89">
        <f>-SUMIFS('8月数据源'!$I:$I,'8月数据源'!$D:$D,$E174,'8月数据源'!$F:$F,"杭州目标准科技有限公司")+SUMIFS('8月数据源'!$J:$J,'8月数据源'!$D:$D,$E174,'8月数据源'!$F:$F,"杭州目标准科技有限公司")</f>
        <v/>
      </c>
      <c r="N174" s="89">
        <f>-SUMIFS('9月数据源'!$I:$I,'9月数据源'!$D:$D,$E174,'9月数据源'!$F:$F,"杭州目标准科技有限公司")+SUMIFS('9月数据源'!$J:$J,'9月数据源'!$D:$D,$E174,'9月数据源'!$F:$F,"杭州目标准科技有限公司")</f>
        <v/>
      </c>
      <c r="O174" s="89">
        <f>-SUMIFS('10月数据源'!$I:$I,'10月数据源'!$D:$D,$E174,'10月数据源'!$F:$F,"杭州目标准科技有限公司")+SUMIFS('10月数据源'!$J:$J,'10月数据源'!$D:$D,$E174,'10月数据源'!$F:$F,"杭州目标准科技有限公司")</f>
        <v/>
      </c>
      <c r="P174" s="89">
        <f>-SUMIFS('11月数据源'!$I:$I,'11月数据源'!$D:$D,$E174,'11月数据源'!$F:$F,"杭州目标准科技有限公司")+SUMIFS('11月数据源'!$J:$J,'11月数据源'!$D:$D,$E174,'11月数据源'!$F:$F,"杭州目标准科技有限公司")</f>
        <v/>
      </c>
      <c r="Q174" s="89">
        <f>-SUMIFS('12月数据源'!$I:$I,'12月数据源'!$D:$D,$E174,'12月数据源'!$F:$F,"杭州目标准科技有限公司")+SUMIFS('12月数据源'!$J:$J,'12月数据源'!$D:$D,$E174,'12月数据源'!$F:$F,"杭州目标准科技有限公司")</f>
        <v/>
      </c>
    </row>
    <row r="175" s="83">
      <c r="A175" s="49" t="inlineStr">
        <is>
          <t>理财收支合计</t>
        </is>
      </c>
      <c r="B175" s="50" t="n"/>
      <c r="C175" s="50" t="n"/>
      <c r="D175" s="49" t="n"/>
      <c r="E175" s="49" t="n"/>
      <c r="F175" s="89">
        <f>SUM(F174:F174)</f>
        <v/>
      </c>
      <c r="G175" s="89">
        <f>SUM(G174:G174)</f>
        <v/>
      </c>
      <c r="H175" s="89">
        <f>SUM(H174:H174)</f>
        <v/>
      </c>
      <c r="I175" s="89">
        <f>SUM(I174:I174)</f>
        <v/>
      </c>
      <c r="J175" s="89">
        <f>SUM(J174:J174)</f>
        <v/>
      </c>
      <c r="K175" s="89">
        <f>SUM(K174:K174)</f>
        <v/>
      </c>
      <c r="L175" s="89">
        <f>SUM(L174:L174)</f>
        <v/>
      </c>
      <c r="M175" s="89">
        <f>SUM(M174:M174)</f>
        <v/>
      </c>
      <c r="N175" s="89">
        <f>SUM(N174:N174)</f>
        <v/>
      </c>
      <c r="O175" s="89">
        <f>SUM(O174:O174)</f>
        <v/>
      </c>
      <c r="P175" s="89">
        <f>SUM(P174:P174)</f>
        <v/>
      </c>
      <c r="Q175" s="89">
        <f>SUM(Q174:Q174)</f>
        <v/>
      </c>
    </row>
    <row r="176" s="83">
      <c r="A176" s="51" t="inlineStr">
        <is>
          <t>付款合计</t>
        </is>
      </c>
      <c r="B176" s="52" t="n"/>
      <c r="C176" s="52" t="n"/>
      <c r="D176" s="51" t="n"/>
      <c r="E176" s="51" t="n"/>
      <c r="F176" s="89">
        <f>F22+F24+F35+F50+F63+F98+F137+F162+F167+F173+F175</f>
        <v/>
      </c>
      <c r="G176" s="89">
        <f>G22+G24+G35+G50+G63+G98+G137+G162+G167+G173+G175</f>
        <v/>
      </c>
      <c r="H176" s="89">
        <f>H22+H24+H35+H50+H63+H98+H137+H162+H167+H173+H175</f>
        <v/>
      </c>
      <c r="I176" s="89">
        <f>I22+I24+I35+I50+I63+I98+I137+I162+I167+I173+I175</f>
        <v/>
      </c>
      <c r="J176" s="89">
        <f>J22+J24+J35+J50+J63+J98+J137+J162+J167+J173+J175</f>
        <v/>
      </c>
      <c r="K176" s="89">
        <f>K22+K24+K35+K50+K63+K98+K137+K162+K167+K173+K175</f>
        <v/>
      </c>
      <c r="L176" s="89">
        <f>L22+L24+L35+L50+L63+L98+L137+L162+L167+L173+L175</f>
        <v/>
      </c>
      <c r="M176" s="89">
        <f>M22+M24+M35+M50+M63+M98+M137+M162+M167+M173+M175</f>
        <v/>
      </c>
      <c r="N176" s="89">
        <f>N22+N24+N35+N50+N63+N98+N137+N162+N167+N173+N175</f>
        <v/>
      </c>
      <c r="O176" s="89">
        <f>O22+O24+O35+O50+O63+O98+O137+O162+O167+O173+O175</f>
        <v/>
      </c>
      <c r="P176" s="89">
        <f>P22+P24+P35+P50+P63+P98+P137+P162+P167+P173+P175</f>
        <v/>
      </c>
      <c r="Q176" s="89">
        <f>Q22+Q24+Q35+Q50+Q63+Q98+Q137+Q162+Q167+Q173+Q175</f>
        <v/>
      </c>
    </row>
    <row r="177" s="83">
      <c r="A177" s="51" t="inlineStr">
        <is>
          <t>现金净流入</t>
        </is>
      </c>
      <c r="B177" s="54" t="n"/>
      <c r="C177" s="54" t="n"/>
      <c r="D177" s="51" t="n"/>
      <c r="E177" s="51" t="n"/>
      <c r="F177" s="89">
        <f>F19-F176</f>
        <v/>
      </c>
      <c r="G177" s="89">
        <f>G19-G176</f>
        <v/>
      </c>
      <c r="H177" s="89">
        <f>H19-H176</f>
        <v/>
      </c>
      <c r="I177" s="89">
        <f>I19-I176</f>
        <v/>
      </c>
      <c r="J177" s="89">
        <f>J19-J176</f>
        <v/>
      </c>
      <c r="K177" s="89">
        <f>K19-K176</f>
        <v/>
      </c>
      <c r="L177" s="89">
        <f>L19-L176</f>
        <v/>
      </c>
      <c r="M177" s="89">
        <f>M19-M176</f>
        <v/>
      </c>
      <c r="N177" s="89">
        <f>N19-N176</f>
        <v/>
      </c>
      <c r="O177" s="89">
        <f>O19-O176</f>
        <v/>
      </c>
      <c r="P177" s="89">
        <f>P19-P176</f>
        <v/>
      </c>
      <c r="Q177" s="89">
        <f>Q19-Q176</f>
        <v/>
      </c>
    </row>
    <row r="178" s="83">
      <c r="A178" s="51" t="inlineStr">
        <is>
          <t>现金期初数</t>
        </is>
      </c>
      <c r="B178" s="54" t="n"/>
      <c r="C178" s="54" t="n"/>
      <c r="D178" s="51" t="n"/>
      <c r="E178" s="51" t="n"/>
      <c r="G178" s="89">
        <f>F179</f>
        <v/>
      </c>
      <c r="H178" s="89">
        <f>G179</f>
        <v/>
      </c>
      <c r="I178" s="89">
        <f>H179</f>
        <v/>
      </c>
      <c r="J178" s="89">
        <f>I179</f>
        <v/>
      </c>
      <c r="K178" s="89">
        <f>J179</f>
        <v/>
      </c>
      <c r="L178" s="89">
        <f>K179</f>
        <v/>
      </c>
      <c r="M178" s="89">
        <f>L179</f>
        <v/>
      </c>
      <c r="N178" s="89">
        <f>M179</f>
        <v/>
      </c>
      <c r="O178" s="89">
        <f>N179</f>
        <v/>
      </c>
      <c r="P178" s="89">
        <f>O179</f>
        <v/>
      </c>
      <c r="Q178" s="89">
        <f>P179</f>
        <v/>
      </c>
    </row>
    <row r="179" s="83">
      <c r="A179" s="51" t="inlineStr">
        <is>
          <t>现金期末数</t>
        </is>
      </c>
      <c r="B179" s="54" t="n"/>
      <c r="C179" s="54" t="n"/>
      <c r="D179" s="51" t="n"/>
      <c r="E179" s="51" t="n"/>
      <c r="F179" s="89">
        <f>F178+F177</f>
        <v/>
      </c>
      <c r="G179" s="89">
        <f>G178+G177</f>
        <v/>
      </c>
      <c r="H179" s="89">
        <f>H178+H177</f>
        <v/>
      </c>
      <c r="I179" s="89">
        <f>I178+I177</f>
        <v/>
      </c>
      <c r="J179" s="89">
        <f>J178+J177</f>
        <v/>
      </c>
      <c r="K179" s="89">
        <f>K178+K177</f>
        <v/>
      </c>
      <c r="L179" s="89">
        <f>L178+L177</f>
        <v/>
      </c>
      <c r="M179" s="89">
        <f>M178+M177</f>
        <v/>
      </c>
      <c r="N179" s="89">
        <f>N178+N177</f>
        <v/>
      </c>
      <c r="O179" s="89">
        <f>O178+O177</f>
        <v/>
      </c>
      <c r="P179" s="89">
        <f>P178+P177</f>
        <v/>
      </c>
      <c r="Q179" s="89">
        <f>Q178+Q177</f>
        <v/>
      </c>
    </row>
    <row r="180" s="83">
      <c r="A180" s="51" t="inlineStr">
        <is>
          <t>报表期末数</t>
        </is>
      </c>
      <c r="B180" s="54" t="n"/>
      <c r="C180" s="54" t="n"/>
      <c r="D180" s="51" t="n"/>
      <c r="E180" s="51" t="n"/>
      <c r="F180" s="89" t="n">
        <v>975</v>
      </c>
      <c r="G180" s="89" t="n">
        <v>954</v>
      </c>
      <c r="H180" s="89" t="n">
        <v>954.16</v>
      </c>
      <c r="I180" s="89" t="n">
        <v>954.16</v>
      </c>
      <c r="J180" s="89" t="n">
        <v>954.16</v>
      </c>
      <c r="K180" s="89" t="n">
        <v>954.36</v>
      </c>
      <c r="L180" s="89" t="n"/>
      <c r="M180" s="89" t="n"/>
      <c r="N180" s="89" t="n"/>
      <c r="O180" s="89" t="n"/>
      <c r="P180" s="89" t="n"/>
      <c r="Q180" s="89" t="n"/>
    </row>
    <row r="181" s="83">
      <c r="A181" s="51" t="inlineStr">
        <is>
          <t>check</t>
        </is>
      </c>
      <c r="B181" s="54" t="n"/>
      <c r="C181" s="54" t="n"/>
      <c r="D181" s="51" t="n"/>
      <c r="E181" s="51" t="n"/>
      <c r="F181" s="89">
        <f>F180-F179</f>
        <v/>
      </c>
      <c r="G181" s="89">
        <f>G180-G179</f>
        <v/>
      </c>
      <c r="H181" s="89">
        <f>H180-H179</f>
        <v/>
      </c>
      <c r="I181" s="89">
        <f>I180-I179</f>
        <v/>
      </c>
      <c r="J181" s="89">
        <f>J180-J179</f>
        <v/>
      </c>
      <c r="K181" s="89">
        <f>K180-K179</f>
        <v/>
      </c>
      <c r="L181" s="89">
        <f>L180-L179</f>
        <v/>
      </c>
      <c r="M181" s="89">
        <f>M180-M179</f>
        <v/>
      </c>
      <c r="N181" s="89">
        <f>N180-N179</f>
        <v/>
      </c>
      <c r="O181" s="89">
        <f>O180-O179</f>
        <v/>
      </c>
      <c r="P181" s="89">
        <f>P180-P179</f>
        <v/>
      </c>
      <c r="Q181" s="89">
        <f>Q180-Q179</f>
        <v/>
      </c>
    </row>
  </sheetData>
  <autoFilter ref="A2:R181"/>
  <mergeCells count="30">
    <mergeCell ref="C20:C21"/>
    <mergeCell ref="C131:C133"/>
    <mergeCell ref="C116:C119"/>
    <mergeCell ref="C85:C86"/>
    <mergeCell ref="C134:C135"/>
    <mergeCell ref="C16:C17"/>
    <mergeCell ref="C42:C47"/>
    <mergeCell ref="C78:C84"/>
    <mergeCell ref="C120:C128"/>
    <mergeCell ref="C129:C130"/>
    <mergeCell ref="C111:C115"/>
    <mergeCell ref="C153:C161"/>
    <mergeCell ref="C163:C166"/>
    <mergeCell ref="C87:C93"/>
    <mergeCell ref="C105:C110"/>
    <mergeCell ref="C25:C34"/>
    <mergeCell ref="C99:C104"/>
    <mergeCell ref="C7:C8"/>
    <mergeCell ref="C94:C96"/>
    <mergeCell ref="C36:C41"/>
    <mergeCell ref="C48:C49"/>
    <mergeCell ref="C13:C14"/>
    <mergeCell ref="C70:C77"/>
    <mergeCell ref="C64:C68"/>
    <mergeCell ref="C146:C152"/>
    <mergeCell ref="C138:C145"/>
    <mergeCell ref="C3:C6"/>
    <mergeCell ref="C51:C62"/>
    <mergeCell ref="C168:C172"/>
    <mergeCell ref="C9:C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R171"/>
  <sheetViews>
    <sheetView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838461538461541" defaultRowHeight="16.05" customHeight="1"/>
  <cols>
    <col width="14.6615384615385" customWidth="1" style="5" min="1" max="1"/>
    <col width="14.5" customWidth="1" style="6" min="2" max="2"/>
    <col width="10.8307692307692" customWidth="1" style="6" min="3" max="3"/>
    <col width="19.1615384615385" customWidth="1" style="5" min="4" max="4"/>
    <col width="18.6615384615385" customWidth="1" style="5" min="5" max="5"/>
    <col width="15" customWidth="1" style="89" min="6" max="6"/>
    <col width="15.1615384615385" customWidth="1" style="5" min="7" max="7"/>
    <col width="15.8384615384615" customWidth="1" style="5" min="8" max="8"/>
    <col width="8.838461538461541" customWidth="1" style="5" min="9" max="17"/>
    <col width="14.8384615384615" customWidth="1" style="5" min="18" max="18"/>
    <col width="8.838461538461541" customWidth="1" style="5" min="19" max="40"/>
  </cols>
  <sheetData>
    <row r="1" s="83">
      <c r="A1" s="6" t="inlineStr">
        <is>
          <t>公司：驷海宾朋</t>
        </is>
      </c>
    </row>
    <row r="2" customFormat="1" s="34">
      <c r="A2" s="34" t="inlineStr">
        <is>
          <t>一级</t>
        </is>
      </c>
      <c r="B2" s="34" t="inlineStr">
        <is>
          <t>二级</t>
        </is>
      </c>
      <c r="C2" s="34" t="inlineStr">
        <is>
          <t>二级</t>
        </is>
      </c>
      <c r="D2" s="34" t="inlineStr">
        <is>
          <t>三级</t>
        </is>
      </c>
      <c r="E2" s="34" t="inlineStr">
        <is>
          <t>三级科目对应编码</t>
        </is>
      </c>
      <c r="F2" s="91" t="inlineStr">
        <is>
          <t>1月</t>
        </is>
      </c>
      <c r="G2" s="34" t="inlineStr">
        <is>
          <t>2月</t>
        </is>
      </c>
      <c r="H2" s="34" t="inlineStr">
        <is>
          <t>3月</t>
        </is>
      </c>
      <c r="I2" s="34" t="inlineStr">
        <is>
          <t>4月</t>
        </is>
      </c>
      <c r="J2" s="34" t="inlineStr">
        <is>
          <t>5月</t>
        </is>
      </c>
      <c r="K2" s="34" t="inlineStr">
        <is>
          <t>6月</t>
        </is>
      </c>
      <c r="L2" s="34" t="inlineStr">
        <is>
          <t>7月</t>
        </is>
      </c>
      <c r="M2" s="34" t="inlineStr">
        <is>
          <t>8月</t>
        </is>
      </c>
      <c r="N2" s="34" t="inlineStr">
        <is>
          <t>9月</t>
        </is>
      </c>
      <c r="O2" s="34" t="inlineStr">
        <is>
          <t>10月</t>
        </is>
      </c>
      <c r="P2" s="34" t="inlineStr">
        <is>
          <t>11月</t>
        </is>
      </c>
      <c r="Q2" s="34" t="inlineStr">
        <is>
          <t>12月</t>
        </is>
      </c>
      <c r="R2" s="34" t="inlineStr">
        <is>
          <t>本年合计</t>
        </is>
      </c>
    </row>
    <row r="3" s="83">
      <c r="A3" s="5" t="inlineStr">
        <is>
          <t>收入</t>
        </is>
      </c>
      <c r="B3" s="6" t="inlineStr">
        <is>
          <t>业务收入</t>
        </is>
      </c>
      <c r="C3" s="6" t="inlineStr">
        <is>
          <t>业务收入</t>
        </is>
      </c>
      <c r="D3" s="6" t="inlineStr">
        <is>
          <t>平台硬件销售收入</t>
        </is>
      </c>
      <c r="E3" s="6" t="inlineStr">
        <is>
          <t>Q0101</t>
        </is>
      </c>
      <c r="G3" s="89" t="n"/>
      <c r="H3" s="89" t="n"/>
    </row>
    <row r="4" s="83">
      <c r="A4" s="5" t="inlineStr">
        <is>
          <t>收入</t>
        </is>
      </c>
      <c r="B4" s="6" t="inlineStr">
        <is>
          <t>业务收入</t>
        </is>
      </c>
      <c r="D4" s="6" t="inlineStr">
        <is>
          <t>服务收款</t>
        </is>
      </c>
      <c r="E4" s="6" t="inlineStr">
        <is>
          <t>Q0102</t>
        </is>
      </c>
      <c r="G4" s="89" t="n"/>
      <c r="H4" s="89" t="n"/>
    </row>
    <row r="5" s="83">
      <c r="A5" s="5" t="inlineStr">
        <is>
          <t>收入</t>
        </is>
      </c>
      <c r="B5" s="6" t="inlineStr">
        <is>
          <t>业务收入</t>
        </is>
      </c>
      <c r="D5" s="6" t="inlineStr">
        <is>
          <t>平台补贴收入</t>
        </is>
      </c>
      <c r="E5" s="6" t="inlineStr">
        <is>
          <t>Q0103</t>
        </is>
      </c>
      <c r="G5" s="89" t="n"/>
      <c r="H5" s="89" t="n"/>
    </row>
    <row r="6" s="83">
      <c r="A6" s="5" t="inlineStr">
        <is>
          <t>收入</t>
        </is>
      </c>
      <c r="B6" s="6" t="inlineStr">
        <is>
          <t>售后收入</t>
        </is>
      </c>
      <c r="C6" s="6" t="inlineStr">
        <is>
          <t>售后收入</t>
        </is>
      </c>
      <c r="D6" s="6" t="inlineStr">
        <is>
          <t>客户赔偿款</t>
        </is>
      </c>
      <c r="E6" s="6" t="inlineStr">
        <is>
          <t>Q0201</t>
        </is>
      </c>
      <c r="G6" s="89" t="n"/>
      <c r="H6" s="89" t="n"/>
    </row>
    <row r="7" s="83">
      <c r="A7" s="5" t="inlineStr">
        <is>
          <t>收入</t>
        </is>
      </c>
      <c r="B7" s="6" t="inlineStr">
        <is>
          <t>售后收入</t>
        </is>
      </c>
      <c r="D7" s="6" t="inlineStr">
        <is>
          <t>供应商赔偿款</t>
        </is>
      </c>
      <c r="E7" s="6" t="inlineStr">
        <is>
          <t>Q0202</t>
        </is>
      </c>
      <c r="G7" s="89" t="n"/>
      <c r="H7" s="89" t="n"/>
    </row>
    <row r="8" s="83">
      <c r="A8" s="5" t="inlineStr">
        <is>
          <t>收入</t>
        </is>
      </c>
      <c r="B8" s="6" t="inlineStr">
        <is>
          <t>营业外收入</t>
        </is>
      </c>
      <c r="C8" s="6" t="inlineStr">
        <is>
          <t>营业外收入</t>
        </is>
      </c>
      <c r="D8" s="6" t="inlineStr">
        <is>
          <t>政府补贴收入</t>
        </is>
      </c>
      <c r="E8" s="6" t="inlineStr">
        <is>
          <t>Q0301</t>
        </is>
      </c>
      <c r="G8" s="89" t="n"/>
      <c r="H8" s="89" t="n"/>
    </row>
    <row r="9" s="83">
      <c r="A9" s="5" t="inlineStr">
        <is>
          <t>收入</t>
        </is>
      </c>
      <c r="B9" s="6" t="inlineStr">
        <is>
          <t>营业外收入</t>
        </is>
      </c>
      <c r="D9" s="6" t="inlineStr">
        <is>
          <t>利息收入</t>
        </is>
      </c>
      <c r="E9" s="6" t="inlineStr">
        <is>
          <t>Q0302</t>
        </is>
      </c>
      <c r="G9" s="89" t="n"/>
      <c r="H9" s="89" t="n"/>
    </row>
    <row r="10" s="83">
      <c r="A10" s="5" t="inlineStr">
        <is>
          <t>收入</t>
        </is>
      </c>
      <c r="B10" s="6" t="inlineStr">
        <is>
          <t>营业外收入</t>
        </is>
      </c>
      <c r="D10" s="6" t="inlineStr">
        <is>
          <t>其他收入</t>
        </is>
      </c>
      <c r="E10" s="6" t="inlineStr">
        <is>
          <t>Q0303</t>
        </is>
      </c>
      <c r="G10" s="89" t="n"/>
      <c r="H10" s="89" t="n"/>
    </row>
    <row r="11" s="83">
      <c r="A11" s="49" t="inlineStr">
        <is>
          <t>收入合计</t>
        </is>
      </c>
      <c r="B11" s="50" t="n"/>
      <c r="C11" s="50" t="n"/>
      <c r="D11" s="49" t="n"/>
      <c r="E11" s="49" t="n"/>
      <c r="G11" s="89" t="n"/>
      <c r="H11" s="89" t="n"/>
    </row>
    <row r="12" s="83">
      <c r="A12" s="5" t="inlineStr">
        <is>
          <t>往来款项收入</t>
        </is>
      </c>
      <c r="B12" s="6" t="inlineStr">
        <is>
          <t>往来款项收入</t>
        </is>
      </c>
      <c r="C12" s="6" t="inlineStr">
        <is>
          <t>往来款项收入</t>
        </is>
      </c>
      <c r="D12" s="5" t="inlineStr">
        <is>
          <t>内部往来收入</t>
        </is>
      </c>
      <c r="E12" s="6" t="inlineStr">
        <is>
          <t>Q0401</t>
        </is>
      </c>
      <c r="G12" s="89" t="n"/>
      <c r="H12" s="89" t="n"/>
    </row>
    <row r="13" s="83">
      <c r="A13" s="5" t="inlineStr">
        <is>
          <t>往来款项收入</t>
        </is>
      </c>
      <c r="B13" s="6" t="inlineStr">
        <is>
          <t>往来款项收入</t>
        </is>
      </c>
      <c r="D13" s="5" t="inlineStr">
        <is>
          <t>外部往来收入</t>
        </is>
      </c>
      <c r="E13" s="6" t="inlineStr">
        <is>
          <t>Q0402</t>
        </is>
      </c>
      <c r="G13" s="89" t="n"/>
      <c r="H13" s="89" t="n"/>
    </row>
    <row r="14" s="83">
      <c r="A14" s="49" t="inlineStr">
        <is>
          <t>往来款项收入合计</t>
        </is>
      </c>
      <c r="B14" s="50" t="n"/>
      <c r="C14" s="50" t="n"/>
      <c r="D14" s="49" t="n"/>
      <c r="E14" s="49" t="n"/>
      <c r="G14" s="89" t="n"/>
      <c r="H14" s="89" t="n"/>
    </row>
    <row r="15" s="83">
      <c r="A15" s="5" t="inlineStr">
        <is>
          <t>投资款收入</t>
        </is>
      </c>
      <c r="B15" s="6" t="inlineStr">
        <is>
          <t>投资款收入</t>
        </is>
      </c>
      <c r="C15" s="6" t="inlineStr">
        <is>
          <t>投资款收入</t>
        </is>
      </c>
      <c r="D15" s="5" t="inlineStr">
        <is>
          <t>内部投资款收入</t>
        </is>
      </c>
      <c r="E15" s="6" t="inlineStr">
        <is>
          <t>Q0501</t>
        </is>
      </c>
      <c r="G15" s="89" t="n"/>
      <c r="H15" s="89" t="n"/>
    </row>
    <row r="16" s="83">
      <c r="A16" s="5" t="inlineStr">
        <is>
          <t>投资款收入</t>
        </is>
      </c>
      <c r="B16" s="6" t="inlineStr">
        <is>
          <t>投资款收入</t>
        </is>
      </c>
      <c r="D16" s="5" t="inlineStr">
        <is>
          <t>外部投资款收入</t>
        </is>
      </c>
      <c r="E16" s="6" t="inlineStr">
        <is>
          <t>Q0502</t>
        </is>
      </c>
      <c r="G16" s="89" t="n"/>
      <c r="H16" s="89" t="n"/>
    </row>
    <row r="17" s="83">
      <c r="A17" s="49" t="inlineStr">
        <is>
          <t>投资款收入合计</t>
        </is>
      </c>
      <c r="B17" s="50" t="n"/>
      <c r="C17" s="50" t="n"/>
      <c r="D17" s="49" t="n"/>
      <c r="E17" s="49" t="n"/>
      <c r="G17" s="89" t="n"/>
      <c r="H17" s="89" t="n"/>
    </row>
    <row r="18" s="83">
      <c r="A18" s="51" t="inlineStr">
        <is>
          <t>收款合计</t>
        </is>
      </c>
      <c r="B18" s="52" t="n"/>
      <c r="C18" s="52" t="n"/>
      <c r="D18" s="51" t="n"/>
      <c r="E18" s="51" t="n"/>
      <c r="G18" s="89" t="n"/>
      <c r="H18" s="89" t="n"/>
    </row>
    <row r="19" s="83">
      <c r="A19" s="5" t="inlineStr">
        <is>
          <t>往来款项支出</t>
        </is>
      </c>
      <c r="B19" s="6" t="inlineStr">
        <is>
          <t>往来款项支出</t>
        </is>
      </c>
      <c r="C19" s="6" t="inlineStr">
        <is>
          <t>往来款项支出</t>
        </is>
      </c>
      <c r="D19" s="5" t="inlineStr">
        <is>
          <t>内部往来支出</t>
        </is>
      </c>
      <c r="E19" s="6" t="inlineStr">
        <is>
          <t>Q0601</t>
        </is>
      </c>
      <c r="G19" s="89" t="n"/>
      <c r="H19" s="89" t="n"/>
    </row>
    <row r="20" s="83">
      <c r="A20" s="5" t="inlineStr">
        <is>
          <t>往来款项支出</t>
        </is>
      </c>
      <c r="B20" s="6" t="inlineStr">
        <is>
          <t>往来款项支出</t>
        </is>
      </c>
      <c r="D20" s="5" t="inlineStr">
        <is>
          <t>外部往来支出</t>
        </is>
      </c>
      <c r="E20" s="6" t="inlineStr">
        <is>
          <t>Q0602</t>
        </is>
      </c>
      <c r="G20" s="89" t="n"/>
      <c r="H20" s="89" t="n"/>
    </row>
    <row r="21" s="83">
      <c r="A21" s="49" t="inlineStr">
        <is>
          <t>往来款项支出合计</t>
        </is>
      </c>
      <c r="B21" s="50" t="n"/>
      <c r="C21" s="50" t="n"/>
      <c r="D21" s="49" t="n"/>
      <c r="E21" s="49" t="n"/>
      <c r="G21" s="89" t="n"/>
      <c r="H21" s="89" t="n"/>
    </row>
    <row r="22" s="83">
      <c r="A22" s="5" t="inlineStr">
        <is>
          <t>投资款支出</t>
        </is>
      </c>
      <c r="B22" s="6" t="inlineStr">
        <is>
          <t>投资款支出</t>
        </is>
      </c>
      <c r="C22" s="6" t="inlineStr">
        <is>
          <t>投资款支出</t>
        </is>
      </c>
      <c r="D22" s="5" t="inlineStr">
        <is>
          <t>内部投资款支出</t>
        </is>
      </c>
      <c r="E22" s="6" t="inlineStr">
        <is>
          <t>Q0701</t>
        </is>
      </c>
      <c r="G22" s="89" t="n"/>
      <c r="H22" s="89" t="n"/>
    </row>
    <row r="23" s="83">
      <c r="A23" s="49" t="inlineStr">
        <is>
          <t>投资款支出合计</t>
        </is>
      </c>
      <c r="B23" s="50" t="n"/>
      <c r="C23" s="50" t="n"/>
      <c r="D23" s="49" t="n"/>
      <c r="E23" s="49" t="n"/>
      <c r="G23" s="89" t="n"/>
      <c r="H23" s="89" t="n"/>
    </row>
    <row r="24" s="83">
      <c r="A24" s="5" t="inlineStr">
        <is>
          <t>人工成本</t>
        </is>
      </c>
      <c r="B24" s="6" t="inlineStr">
        <is>
          <t>人工成本</t>
        </is>
      </c>
      <c r="C24" s="6" t="inlineStr">
        <is>
          <t>人工成本</t>
        </is>
      </c>
      <c r="D24" s="5" t="inlineStr">
        <is>
          <t>实发工资</t>
        </is>
      </c>
      <c r="E24" s="6" t="inlineStr">
        <is>
          <t>Q0801</t>
        </is>
      </c>
      <c r="G24" s="89" t="n"/>
      <c r="H24" s="89" t="n"/>
    </row>
    <row r="25" s="83">
      <c r="A25" s="5" t="inlineStr">
        <is>
          <t>人工成本</t>
        </is>
      </c>
      <c r="B25" s="6" t="inlineStr">
        <is>
          <t>人工成本</t>
        </is>
      </c>
      <c r="D25" s="5" t="inlineStr">
        <is>
          <t>奖金</t>
        </is>
      </c>
      <c r="E25" s="6" t="inlineStr">
        <is>
          <t>Q0802</t>
        </is>
      </c>
      <c r="G25" s="89" t="n"/>
      <c r="H25" s="89" t="n"/>
    </row>
    <row r="26" s="83">
      <c r="A26" s="5" t="inlineStr">
        <is>
          <t>人工成本</t>
        </is>
      </c>
      <c r="B26" s="6" t="inlineStr">
        <is>
          <t>人工成本</t>
        </is>
      </c>
      <c r="D26" s="5" t="inlineStr">
        <is>
          <t>社保（单位+个人）</t>
        </is>
      </c>
      <c r="E26" s="6" t="inlineStr">
        <is>
          <t>Q0803</t>
        </is>
      </c>
      <c r="G26" s="89" t="n"/>
      <c r="H26" s="89" t="n"/>
    </row>
    <row r="27" s="83">
      <c r="A27" s="5" t="inlineStr">
        <is>
          <t>人工成本</t>
        </is>
      </c>
      <c r="B27" s="6" t="inlineStr">
        <is>
          <t>人工成本</t>
        </is>
      </c>
      <c r="D27" s="5" t="inlineStr">
        <is>
          <t>公积金（单位+个人）</t>
        </is>
      </c>
      <c r="E27" s="6" t="inlineStr">
        <is>
          <t>Q0804</t>
        </is>
      </c>
      <c r="G27" s="89" t="n"/>
      <c r="H27" s="89" t="n"/>
    </row>
    <row r="28" s="83">
      <c r="A28" s="5" t="inlineStr">
        <is>
          <t>人工成本</t>
        </is>
      </c>
      <c r="B28" s="6" t="inlineStr">
        <is>
          <t>人工成本</t>
        </is>
      </c>
      <c r="D28" s="5" t="inlineStr">
        <is>
          <t>个税</t>
        </is>
      </c>
      <c r="E28" s="6" t="inlineStr">
        <is>
          <t>Q0805</t>
        </is>
      </c>
      <c r="G28" s="89" t="n"/>
      <c r="H28" s="89" t="n"/>
    </row>
    <row r="29" s="83">
      <c r="A29" s="5" t="inlineStr">
        <is>
          <t>人工成本</t>
        </is>
      </c>
      <c r="B29" s="6" t="inlineStr">
        <is>
          <t>人工成本</t>
        </is>
      </c>
      <c r="D29" s="5" t="inlineStr">
        <is>
          <t>福利费</t>
        </is>
      </c>
      <c r="E29" s="6" t="inlineStr">
        <is>
          <t>Q0806</t>
        </is>
      </c>
      <c r="G29" s="89" t="n"/>
      <c r="H29" s="89" t="n"/>
    </row>
    <row r="30" s="83">
      <c r="A30" s="5" t="inlineStr">
        <is>
          <t>人工成本</t>
        </is>
      </c>
      <c r="B30" s="6" t="inlineStr">
        <is>
          <t>人工成本</t>
        </is>
      </c>
      <c r="D30" s="5" t="inlineStr">
        <is>
          <t>补偿金</t>
        </is>
      </c>
      <c r="E30" s="6" t="inlineStr">
        <is>
          <t>Q0807</t>
        </is>
      </c>
      <c r="G30" s="89" t="n"/>
      <c r="H30" s="89" t="n"/>
    </row>
    <row r="31" s="83">
      <c r="A31" s="5" t="inlineStr">
        <is>
          <t>人工成本</t>
        </is>
      </c>
      <c r="B31" s="6" t="inlineStr">
        <is>
          <t>人工成本</t>
        </is>
      </c>
      <c r="D31" s="5" t="inlineStr">
        <is>
          <t>派遣费用</t>
        </is>
      </c>
      <c r="E31" s="6" t="inlineStr">
        <is>
          <t>Q0808</t>
        </is>
      </c>
      <c r="G31" s="89" t="n"/>
      <c r="H31" s="89" t="n"/>
    </row>
    <row r="32" s="83">
      <c r="A32" s="5" t="inlineStr">
        <is>
          <t>人工成本</t>
        </is>
      </c>
      <c r="B32" s="6" t="inlineStr">
        <is>
          <t>人工成本</t>
        </is>
      </c>
      <c r="D32" s="5" t="inlineStr">
        <is>
          <t>顾问费</t>
        </is>
      </c>
      <c r="E32" s="6" t="inlineStr">
        <is>
          <t>Q0809</t>
        </is>
      </c>
      <c r="G32" s="89" t="n"/>
      <c r="H32" s="89" t="n"/>
    </row>
    <row r="33" s="83">
      <c r="A33" s="5" t="inlineStr">
        <is>
          <t>人工成本</t>
        </is>
      </c>
      <c r="B33" s="6" t="inlineStr">
        <is>
          <t>人工成本</t>
        </is>
      </c>
      <c r="D33" s="5" t="inlineStr">
        <is>
          <t>其他人工成本</t>
        </is>
      </c>
      <c r="E33" s="6" t="inlineStr">
        <is>
          <t>Q08010</t>
        </is>
      </c>
      <c r="G33" s="89" t="n"/>
      <c r="H33" s="89" t="n"/>
    </row>
    <row r="34" s="83">
      <c r="A34" s="49" t="inlineStr">
        <is>
          <t>人工成本合计</t>
        </is>
      </c>
      <c r="B34" s="50" t="n"/>
      <c r="C34" s="50" t="n"/>
      <c r="D34" s="49" t="n"/>
      <c r="E34" s="49" t="n"/>
      <c r="G34" s="89" t="n"/>
      <c r="H34" s="89" t="n"/>
    </row>
    <row r="35" s="83">
      <c r="A35" s="5" t="inlineStr">
        <is>
          <t>硬件支出</t>
        </is>
      </c>
      <c r="B35" s="6" t="inlineStr">
        <is>
          <t>BONG MAX</t>
        </is>
      </c>
      <c r="C35" s="6" t="inlineStr">
        <is>
          <t>BONG MAX</t>
        </is>
      </c>
      <c r="D35" s="5" t="inlineStr">
        <is>
          <t>TCL平板电脑款项</t>
        </is>
      </c>
      <c r="E35" s="6" t="inlineStr">
        <is>
          <t>Q0901</t>
        </is>
      </c>
      <c r="G35" s="89" t="n"/>
      <c r="H35" s="89" t="n"/>
    </row>
    <row r="36" s="83">
      <c r="A36" s="5" t="inlineStr">
        <is>
          <t>硬件支出</t>
        </is>
      </c>
      <c r="B36" s="6" t="inlineStr">
        <is>
          <t>BONG MAX</t>
        </is>
      </c>
      <c r="D36" s="5" t="inlineStr">
        <is>
          <t>保护套</t>
        </is>
      </c>
      <c r="E36" s="6" t="inlineStr">
        <is>
          <t>Q0902</t>
        </is>
      </c>
      <c r="G36" s="89" t="n"/>
      <c r="H36" s="89" t="n"/>
    </row>
    <row r="37" s="83">
      <c r="A37" s="5" t="inlineStr">
        <is>
          <t>硬件支出</t>
        </is>
      </c>
      <c r="B37" s="6" t="inlineStr">
        <is>
          <t>BONG MAX</t>
        </is>
      </c>
      <c r="D37" s="5" t="inlineStr">
        <is>
          <t>包装盒</t>
        </is>
      </c>
      <c r="E37" s="6" t="inlineStr">
        <is>
          <t>Q0903</t>
        </is>
      </c>
      <c r="G37" s="89" t="n"/>
      <c r="H37" s="89" t="n"/>
    </row>
    <row r="38" s="83">
      <c r="A38" s="5" t="inlineStr">
        <is>
          <t>硬件支出</t>
        </is>
      </c>
      <c r="B38" s="6" t="inlineStr">
        <is>
          <t>BONG MAX</t>
        </is>
      </c>
      <c r="D38" s="5" t="inlineStr">
        <is>
          <t>充电器</t>
        </is>
      </c>
      <c r="E38" s="6" t="inlineStr">
        <is>
          <t>Q0904</t>
        </is>
      </c>
      <c r="G38" s="89" t="n"/>
      <c r="H38" s="89" t="n"/>
    </row>
    <row r="39" s="83">
      <c r="A39" s="5" t="inlineStr">
        <is>
          <t>硬件支出</t>
        </is>
      </c>
      <c r="B39" s="6" t="inlineStr">
        <is>
          <t>BONG MAX</t>
        </is>
      </c>
      <c r="D39" s="5" t="inlineStr">
        <is>
          <t>指学镜</t>
        </is>
      </c>
      <c r="E39" s="6" t="inlineStr">
        <is>
          <t>Q0905</t>
        </is>
      </c>
      <c r="G39" s="89" t="n"/>
      <c r="H39" s="89" t="n"/>
    </row>
    <row r="40" s="83">
      <c r="A40" s="5" t="inlineStr">
        <is>
          <t>硬件支出</t>
        </is>
      </c>
      <c r="B40" s="6" t="inlineStr">
        <is>
          <t>BONG MAX</t>
        </is>
      </c>
      <c r="D40" s="5" t="inlineStr">
        <is>
          <t>学习机系统授权费</t>
        </is>
      </c>
      <c r="E40" s="6" t="inlineStr">
        <is>
          <t>Q0906</t>
        </is>
      </c>
      <c r="G40" s="89" t="n"/>
      <c r="H40" s="89" t="n"/>
    </row>
    <row r="41" s="83">
      <c r="A41" s="5" t="inlineStr">
        <is>
          <t>硬件支出</t>
        </is>
      </c>
      <c r="B41" s="6" t="inlineStr">
        <is>
          <t>BONG PRO</t>
        </is>
      </c>
      <c r="C41" s="6" t="inlineStr">
        <is>
          <t>BONG PRO</t>
        </is>
      </c>
      <c r="D41" s="5" t="inlineStr">
        <is>
          <t>BOE平板电脑款项</t>
        </is>
      </c>
      <c r="E41" s="6" t="inlineStr">
        <is>
          <t>Q1001</t>
        </is>
      </c>
      <c r="G41" s="89" t="n"/>
      <c r="H41" s="89" t="n"/>
    </row>
    <row r="42" s="83">
      <c r="A42" s="5" t="inlineStr">
        <is>
          <t>硬件支出</t>
        </is>
      </c>
      <c r="B42" s="6" t="inlineStr">
        <is>
          <t>BONG PRO</t>
        </is>
      </c>
      <c r="D42" s="5" t="inlineStr">
        <is>
          <t>保护套</t>
        </is>
      </c>
      <c r="E42" s="6" t="inlineStr">
        <is>
          <t>Q1002</t>
        </is>
      </c>
      <c r="G42" s="89" t="n"/>
      <c r="H42" s="89" t="n"/>
    </row>
    <row r="43" s="83">
      <c r="A43" s="5" t="inlineStr">
        <is>
          <t>硬件支出</t>
        </is>
      </c>
      <c r="B43" s="6" t="inlineStr">
        <is>
          <t>BONG PRO</t>
        </is>
      </c>
      <c r="D43" s="5" t="inlineStr">
        <is>
          <t>包装盒</t>
        </is>
      </c>
      <c r="E43" s="6" t="inlineStr">
        <is>
          <t>Q1003</t>
        </is>
      </c>
      <c r="G43" s="89" t="n"/>
      <c r="H43" s="89" t="n"/>
    </row>
    <row r="44" s="83">
      <c r="A44" s="5" t="inlineStr">
        <is>
          <t>硬件支出</t>
        </is>
      </c>
      <c r="B44" s="6" t="inlineStr">
        <is>
          <t>BONG PRO</t>
        </is>
      </c>
      <c r="D44" s="5" t="inlineStr">
        <is>
          <t>充电器</t>
        </is>
      </c>
      <c r="E44" s="6" t="inlineStr">
        <is>
          <t>Q1004</t>
        </is>
      </c>
      <c r="G44" s="89" t="n"/>
      <c r="H44" s="89" t="n"/>
    </row>
    <row r="45" s="83">
      <c r="A45" s="5" t="inlineStr">
        <is>
          <t>硬件支出</t>
        </is>
      </c>
      <c r="B45" s="6" t="inlineStr">
        <is>
          <t>BONG PRO</t>
        </is>
      </c>
      <c r="D45" s="5" t="inlineStr">
        <is>
          <t>指学镜</t>
        </is>
      </c>
      <c r="E45" s="6" t="inlineStr">
        <is>
          <t>Q1005</t>
        </is>
      </c>
      <c r="G45" s="89" t="n"/>
      <c r="H45" s="89" t="n"/>
    </row>
    <row r="46" s="83">
      <c r="A46" s="5" t="inlineStr">
        <is>
          <t>硬件支出</t>
        </is>
      </c>
      <c r="B46" s="6" t="inlineStr">
        <is>
          <t>BONG PRO</t>
        </is>
      </c>
      <c r="D46" s="5" t="inlineStr">
        <is>
          <t>学习机系统授权费</t>
        </is>
      </c>
      <c r="E46" s="6" t="inlineStr">
        <is>
          <t>Q1006</t>
        </is>
      </c>
      <c r="G46" s="89" t="n"/>
      <c r="H46" s="89" t="n"/>
    </row>
    <row r="47" s="83">
      <c r="A47" s="5" t="inlineStr">
        <is>
          <t>硬件支出</t>
        </is>
      </c>
      <c r="B47" s="6" t="inlineStr">
        <is>
          <t>其他硬件成本</t>
        </is>
      </c>
      <c r="C47" s="6" t="inlineStr">
        <is>
          <t>其他硬件成本</t>
        </is>
      </c>
      <c r="D47" s="5" t="inlineStr">
        <is>
          <t>电容笔</t>
        </is>
      </c>
      <c r="E47" s="6" t="inlineStr">
        <is>
          <t>Q1101</t>
        </is>
      </c>
      <c r="G47" s="89" t="n"/>
      <c r="H47" s="89" t="n"/>
    </row>
    <row r="48" s="83">
      <c r="A48" s="5" t="inlineStr">
        <is>
          <t>硬件支出</t>
        </is>
      </c>
      <c r="B48" s="6" t="inlineStr">
        <is>
          <t>其他硬件成本</t>
        </is>
      </c>
      <c r="D48" s="5" t="inlineStr">
        <is>
          <t>支架</t>
        </is>
      </c>
      <c r="E48" s="6" t="inlineStr">
        <is>
          <t>Q1102</t>
        </is>
      </c>
      <c r="G48" s="89" t="n"/>
      <c r="H48" s="89" t="n"/>
    </row>
    <row r="49" s="83">
      <c r="A49" s="49" t="inlineStr">
        <is>
          <t>硬件支出合计</t>
        </is>
      </c>
      <c r="B49" s="50" t="n"/>
      <c r="C49" s="50" t="n"/>
      <c r="D49" s="49" t="n"/>
      <c r="E49" s="49" t="n"/>
      <c r="G49" s="89" t="n"/>
      <c r="H49" s="89" t="n"/>
    </row>
    <row r="50" s="83">
      <c r="A50" s="5" t="inlineStr">
        <is>
          <t>制造费用</t>
        </is>
      </c>
      <c r="B50" s="5" t="inlineStr">
        <is>
          <t>制造费用</t>
        </is>
      </c>
      <c r="C50" s="6" t="inlineStr">
        <is>
          <t>制造费用</t>
        </is>
      </c>
      <c r="D50" s="5" t="inlineStr">
        <is>
          <t>西溪首座仓库租金</t>
        </is>
      </c>
      <c r="E50" s="6" t="inlineStr">
        <is>
          <t>Q3201</t>
        </is>
      </c>
      <c r="G50" s="89" t="n"/>
      <c r="H50" s="89" t="n"/>
    </row>
    <row r="51" s="83">
      <c r="A51" s="5" t="inlineStr">
        <is>
          <t>制造费用</t>
        </is>
      </c>
      <c r="B51" s="5" t="inlineStr">
        <is>
          <t>制造费用</t>
        </is>
      </c>
      <c r="D51" s="5" t="inlineStr">
        <is>
          <t>西溪首座仓库物业水电费</t>
        </is>
      </c>
      <c r="E51" s="6" t="inlineStr">
        <is>
          <t>Q3202</t>
        </is>
      </c>
      <c r="G51" s="89" t="n"/>
      <c r="H51" s="89" t="n"/>
    </row>
    <row r="52" s="83">
      <c r="A52" s="5" t="inlineStr">
        <is>
          <t>制造费用</t>
        </is>
      </c>
      <c r="B52" s="5" t="inlineStr">
        <is>
          <t>制造费用</t>
        </is>
      </c>
      <c r="D52" s="5" t="inlineStr">
        <is>
          <t>西溪首座仓库装修费</t>
        </is>
      </c>
      <c r="E52" s="6" t="inlineStr">
        <is>
          <t>Q3203</t>
        </is>
      </c>
      <c r="G52" s="89" t="n"/>
      <c r="H52" s="89" t="n"/>
    </row>
    <row r="53" s="83">
      <c r="A53" s="5" t="inlineStr">
        <is>
          <t>制造费用</t>
        </is>
      </c>
      <c r="B53" s="5" t="inlineStr">
        <is>
          <t>制造费用</t>
        </is>
      </c>
      <c r="D53" s="5" t="inlineStr">
        <is>
          <t>运输费</t>
        </is>
      </c>
      <c r="E53" s="6" t="inlineStr">
        <is>
          <t>Q3204</t>
        </is>
      </c>
      <c r="G53" s="89" t="n"/>
      <c r="H53" s="89" t="n"/>
    </row>
    <row r="54" s="83">
      <c r="A54" s="5" t="inlineStr">
        <is>
          <t>制造费用</t>
        </is>
      </c>
      <c r="B54" s="5" t="inlineStr">
        <is>
          <t>制造费用</t>
        </is>
      </c>
      <c r="D54" s="5" t="inlineStr">
        <is>
          <t>低值易耗品采购</t>
        </is>
      </c>
      <c r="E54" s="6" t="inlineStr">
        <is>
          <t>Q3205</t>
        </is>
      </c>
      <c r="G54" s="89" t="n"/>
      <c r="H54" s="89" t="n"/>
    </row>
    <row r="55" s="83">
      <c r="A55" s="5" t="inlineStr">
        <is>
          <t>制造费用</t>
        </is>
      </c>
      <c r="B55" s="5" t="inlineStr">
        <is>
          <t>制造费用</t>
        </is>
      </c>
      <c r="D55" s="5" t="inlineStr">
        <is>
          <t>生产成本-员工报销</t>
        </is>
      </c>
      <c r="E55" s="6" t="inlineStr">
        <is>
          <t>Q3206</t>
        </is>
      </c>
      <c r="G55" s="89" t="n"/>
      <c r="H55" s="89" t="n"/>
    </row>
    <row r="56" s="83">
      <c r="A56" s="5" t="inlineStr">
        <is>
          <t>制造费用</t>
        </is>
      </c>
      <c r="B56" s="5" t="inlineStr">
        <is>
          <t>制造费用</t>
        </is>
      </c>
      <c r="D56" s="5" t="inlineStr">
        <is>
          <t>包机膜</t>
        </is>
      </c>
      <c r="E56" s="6" t="inlineStr">
        <is>
          <t>Q3207</t>
        </is>
      </c>
      <c r="G56" s="89" t="n"/>
      <c r="H56" s="89" t="n"/>
    </row>
    <row r="57" s="83">
      <c r="A57" s="5" t="inlineStr">
        <is>
          <t>制造费用</t>
        </is>
      </c>
      <c r="B57" s="5" t="inlineStr">
        <is>
          <t>制造费用</t>
        </is>
      </c>
      <c r="D57" s="5" t="inlineStr">
        <is>
          <t>贴纸/说明书</t>
        </is>
      </c>
      <c r="E57" s="6" t="inlineStr">
        <is>
          <t>Q3208</t>
        </is>
      </c>
      <c r="G57" s="89" t="n"/>
      <c r="H57" s="89" t="n"/>
    </row>
    <row r="58" s="83">
      <c r="A58" s="5" t="inlineStr">
        <is>
          <t>制造费用</t>
        </is>
      </c>
      <c r="B58" s="5" t="inlineStr">
        <is>
          <t>制造费用</t>
        </is>
      </c>
      <c r="D58" s="5" t="inlineStr">
        <is>
          <t>笔尖</t>
        </is>
      </c>
      <c r="E58" s="6" t="inlineStr">
        <is>
          <t>Q3209</t>
        </is>
      </c>
      <c r="G58" s="89" t="n"/>
      <c r="H58" s="89" t="n"/>
    </row>
    <row r="59" s="83">
      <c r="A59" s="49" t="inlineStr">
        <is>
          <t>制造费用合计</t>
        </is>
      </c>
      <c r="B59" s="50" t="n"/>
      <c r="C59" s="50" t="n"/>
      <c r="D59" s="49" t="n"/>
      <c r="E59" s="49" t="n"/>
      <c r="G59" s="89" t="n"/>
      <c r="H59" s="89" t="n"/>
    </row>
    <row r="60" s="83">
      <c r="A60" s="5" t="inlineStr">
        <is>
          <t>研发支出</t>
        </is>
      </c>
      <c r="B60" s="6" t="inlineStr">
        <is>
          <t>产品开发-MAX</t>
        </is>
      </c>
      <c r="C60" s="6" t="inlineStr">
        <is>
          <t>产品开发-MAX</t>
        </is>
      </c>
      <c r="D60" s="5" t="inlineStr">
        <is>
          <t>检测费</t>
        </is>
      </c>
      <c r="E60" s="6" t="inlineStr">
        <is>
          <t>Q1201</t>
        </is>
      </c>
      <c r="G60" s="89" t="n"/>
      <c r="H60" s="89" t="n"/>
    </row>
    <row r="61" s="83">
      <c r="A61" s="5" t="inlineStr">
        <is>
          <t>研发支出</t>
        </is>
      </c>
      <c r="B61" s="6" t="inlineStr">
        <is>
          <t>产品开发-MAX</t>
        </is>
      </c>
      <c r="D61" s="5" t="inlineStr">
        <is>
          <t>认证费</t>
        </is>
      </c>
      <c r="E61" s="6" t="inlineStr">
        <is>
          <t>Q1202</t>
        </is>
      </c>
      <c r="G61" s="89" t="n"/>
      <c r="H61" s="89" t="n"/>
    </row>
    <row r="62" s="83">
      <c r="A62" s="5" t="inlineStr">
        <is>
          <t>研发支出</t>
        </is>
      </c>
      <c r="B62" s="6" t="inlineStr">
        <is>
          <t>产品开发-MAX</t>
        </is>
      </c>
      <c r="D62" s="5" t="inlineStr">
        <is>
          <t>设计费</t>
        </is>
      </c>
      <c r="E62" s="6" t="inlineStr">
        <is>
          <t>Q1203</t>
        </is>
      </c>
      <c r="G62" s="89" t="n"/>
      <c r="H62" s="89" t="n"/>
    </row>
    <row r="63" s="83">
      <c r="A63" s="5" t="inlineStr">
        <is>
          <t>研发支出</t>
        </is>
      </c>
      <c r="B63" s="6" t="inlineStr">
        <is>
          <t>产品开发-MAX</t>
        </is>
      </c>
      <c r="D63" s="5" t="inlineStr">
        <is>
          <t>OTA费用</t>
        </is>
      </c>
      <c r="E63" s="6" t="inlineStr">
        <is>
          <t>Q1204</t>
        </is>
      </c>
      <c r="G63" s="89" t="n"/>
      <c r="H63" s="89" t="n"/>
    </row>
    <row r="64" s="83">
      <c r="A64" s="5" t="inlineStr">
        <is>
          <t>研发支出</t>
        </is>
      </c>
      <c r="B64" s="6" t="inlineStr">
        <is>
          <t>产品开发-MAX</t>
        </is>
      </c>
      <c r="D64" s="5" t="inlineStr">
        <is>
          <t>模具费用</t>
        </is>
      </c>
      <c r="E64" s="6" t="inlineStr">
        <is>
          <t>Q1205</t>
        </is>
      </c>
      <c r="G64" s="89" t="n"/>
      <c r="H64" s="89" t="n"/>
    </row>
    <row r="65" s="83">
      <c r="A65" s="5" t="inlineStr">
        <is>
          <t>研发支出</t>
        </is>
      </c>
      <c r="B65" s="6" t="inlineStr">
        <is>
          <t>产品开发-MAX</t>
        </is>
      </c>
      <c r="D65" s="5" t="inlineStr">
        <is>
          <t>TCL研发费</t>
        </is>
      </c>
      <c r="E65" s="6" t="inlineStr">
        <is>
          <t>Q1206</t>
        </is>
      </c>
      <c r="G65" s="89" t="n"/>
      <c r="H65" s="89" t="n"/>
    </row>
    <row r="66" s="83">
      <c r="A66" s="5" t="inlineStr">
        <is>
          <t>研发支出</t>
        </is>
      </c>
      <c r="B66" s="6" t="inlineStr">
        <is>
          <t>产品开发-MAX</t>
        </is>
      </c>
      <c r="D66" s="5" t="inlineStr">
        <is>
          <t>唤醒功能开发</t>
        </is>
      </c>
      <c r="E66" s="6" t="inlineStr">
        <is>
          <t>Q1207</t>
        </is>
      </c>
      <c r="G66" s="89" t="n"/>
      <c r="H66" s="89" t="n"/>
    </row>
    <row r="67" s="83">
      <c r="A67" s="5" t="inlineStr">
        <is>
          <t>研发支出</t>
        </is>
      </c>
      <c r="B67" s="6" t="inlineStr">
        <is>
          <t>产品开发-MAX</t>
        </is>
      </c>
      <c r="D67" s="5" t="inlineStr">
        <is>
          <t>题库费</t>
        </is>
      </c>
      <c r="E67" s="6" t="inlineStr">
        <is>
          <t>Q1208</t>
        </is>
      </c>
      <c r="G67" s="89" t="n"/>
      <c r="H67" s="89" t="n"/>
    </row>
    <row r="68" s="83">
      <c r="A68" s="5" t="inlineStr">
        <is>
          <t>研发支出</t>
        </is>
      </c>
      <c r="B68" s="6" t="inlineStr">
        <is>
          <t>产品开发-PRO</t>
        </is>
      </c>
      <c r="C68" s="6" t="inlineStr">
        <is>
          <t>产品开发-PRO</t>
        </is>
      </c>
      <c r="D68" s="5" t="inlineStr">
        <is>
          <t>检测费</t>
        </is>
      </c>
      <c r="E68" s="6" t="inlineStr">
        <is>
          <t>Q1301</t>
        </is>
      </c>
      <c r="G68" s="89" t="n"/>
      <c r="H68" s="89" t="n"/>
    </row>
    <row r="69" s="83">
      <c r="A69" s="5" t="inlineStr">
        <is>
          <t>研发支出</t>
        </is>
      </c>
      <c r="B69" s="6" t="inlineStr">
        <is>
          <t>产品开发-PRO</t>
        </is>
      </c>
      <c r="D69" s="5" t="inlineStr">
        <is>
          <t>认证费</t>
        </is>
      </c>
      <c r="E69" s="6" t="inlineStr">
        <is>
          <t>Q1302</t>
        </is>
      </c>
      <c r="G69" s="89" t="n"/>
      <c r="H69" s="89" t="n"/>
    </row>
    <row r="70" s="83">
      <c r="A70" s="5" t="inlineStr">
        <is>
          <t>研发支出</t>
        </is>
      </c>
      <c r="B70" s="6" t="inlineStr">
        <is>
          <t>产品开发-PRO</t>
        </is>
      </c>
      <c r="D70" s="5" t="inlineStr">
        <is>
          <t>设计费</t>
        </is>
      </c>
      <c r="E70" s="6" t="inlineStr">
        <is>
          <t>Q1303</t>
        </is>
      </c>
      <c r="G70" s="89" t="n"/>
      <c r="H70" s="89" t="n"/>
    </row>
    <row r="71" s="83">
      <c r="A71" s="5" t="inlineStr">
        <is>
          <t>研发支出</t>
        </is>
      </c>
      <c r="B71" s="6" t="inlineStr">
        <is>
          <t>产品开发-PRO</t>
        </is>
      </c>
      <c r="D71" s="5" t="inlineStr">
        <is>
          <t>OTA费用</t>
        </is>
      </c>
      <c r="E71" s="6" t="inlineStr">
        <is>
          <t>Q1304</t>
        </is>
      </c>
      <c r="G71" s="89" t="n"/>
      <c r="H71" s="89" t="n"/>
    </row>
    <row r="72" s="83">
      <c r="A72" s="5" t="inlineStr">
        <is>
          <t>研发支出</t>
        </is>
      </c>
      <c r="B72" s="6" t="inlineStr">
        <is>
          <t>产品开发-PRO</t>
        </is>
      </c>
      <c r="D72" s="5" t="inlineStr">
        <is>
          <t>模具费用</t>
        </is>
      </c>
      <c r="E72" s="6" t="inlineStr">
        <is>
          <t>Q1305</t>
        </is>
      </c>
      <c r="G72" s="89" t="n"/>
      <c r="H72" s="89" t="n"/>
    </row>
    <row r="73" s="83">
      <c r="A73" s="5" t="inlineStr">
        <is>
          <t>研发支出</t>
        </is>
      </c>
      <c r="B73" s="6" t="inlineStr">
        <is>
          <t>产品开发-PRO</t>
        </is>
      </c>
      <c r="D73" s="5" t="inlineStr">
        <is>
          <t>BOE研发费</t>
        </is>
      </c>
      <c r="E73" s="6" t="inlineStr">
        <is>
          <t>Q1306</t>
        </is>
      </c>
      <c r="G73" s="89" t="n"/>
      <c r="H73" s="89" t="n"/>
    </row>
    <row r="74" s="83">
      <c r="A74" s="5" t="inlineStr">
        <is>
          <t>研发支出</t>
        </is>
      </c>
      <c r="B74" s="6" t="inlineStr">
        <is>
          <t>产品开发-PRO</t>
        </is>
      </c>
      <c r="D74" s="5" t="inlineStr">
        <is>
          <t>题库费</t>
        </is>
      </c>
      <c r="E74" s="6" t="inlineStr">
        <is>
          <t>Q1307</t>
        </is>
      </c>
      <c r="G74" s="89" t="n"/>
      <c r="H74" s="89" t="n"/>
    </row>
    <row r="75" s="83">
      <c r="A75" s="5" t="inlineStr">
        <is>
          <t>研发支出</t>
        </is>
      </c>
      <c r="B75" s="6" t="inlineStr">
        <is>
          <t>其他产品开发</t>
        </is>
      </c>
      <c r="C75" s="6" t="inlineStr">
        <is>
          <t>其他产品开发</t>
        </is>
      </c>
      <c r="D75" s="5" t="inlineStr">
        <is>
          <t>产品开发-员工报销</t>
        </is>
      </c>
      <c r="E75" s="6" t="inlineStr">
        <is>
          <t>Q1402</t>
        </is>
      </c>
      <c r="G75" s="89" t="n"/>
      <c r="H75" s="89" t="n"/>
    </row>
    <row r="76" s="83">
      <c r="A76" s="5" t="inlineStr">
        <is>
          <t>研发支出</t>
        </is>
      </c>
      <c r="B76" s="6" t="inlineStr">
        <is>
          <t>其他产品开发</t>
        </is>
      </c>
      <c r="D76" s="5" t="inlineStr">
        <is>
          <t>软件使用费</t>
        </is>
      </c>
      <c r="E76" s="6" t="inlineStr">
        <is>
          <t>Q1401</t>
        </is>
      </c>
      <c r="G76" s="89" t="n"/>
      <c r="H76" s="89" t="n"/>
    </row>
    <row r="77" s="83">
      <c r="A77" s="5" t="inlineStr">
        <is>
          <t>研发支出</t>
        </is>
      </c>
      <c r="B77" s="6" t="inlineStr">
        <is>
          <t>服务器算法充值</t>
        </is>
      </c>
      <c r="C77" s="6" t="inlineStr">
        <is>
          <t>服务器算法充值</t>
        </is>
      </c>
      <c r="D77" s="5" t="inlineStr">
        <is>
          <t>阿里云充值费用</t>
        </is>
      </c>
      <c r="E77" s="6" t="inlineStr">
        <is>
          <t>Q1501</t>
        </is>
      </c>
      <c r="G77" s="89" t="n"/>
      <c r="H77" s="89" t="n"/>
    </row>
    <row r="78" s="83">
      <c r="A78" s="5" t="inlineStr">
        <is>
          <t>研发支出</t>
        </is>
      </c>
      <c r="B78" s="6" t="inlineStr">
        <is>
          <t>服务器算法充值</t>
        </is>
      </c>
      <c r="D78" s="5" t="inlineStr">
        <is>
          <t>微软充值费用</t>
        </is>
      </c>
      <c r="E78" s="6" t="inlineStr">
        <is>
          <t>Q1502</t>
        </is>
      </c>
      <c r="G78" s="89" t="n"/>
      <c r="H78" s="89" t="n"/>
    </row>
    <row r="79" s="83">
      <c r="A79" s="5" t="inlineStr">
        <is>
          <t>研发支出</t>
        </is>
      </c>
      <c r="B79" s="6" t="inlineStr">
        <is>
          <t>服务器算法充值</t>
        </is>
      </c>
      <c r="D79" s="5" t="inlineStr">
        <is>
          <t>kimi充值费用</t>
        </is>
      </c>
      <c r="E79" s="6" t="inlineStr">
        <is>
          <t>Q1503</t>
        </is>
      </c>
      <c r="G79" s="89" t="n"/>
      <c r="H79" s="89" t="n"/>
    </row>
    <row r="80" s="83">
      <c r="A80" s="5" t="inlineStr">
        <is>
          <t>研发支出</t>
        </is>
      </c>
      <c r="B80" s="6" t="inlineStr">
        <is>
          <t>服务器算法充值</t>
        </is>
      </c>
      <c r="D80" s="5" t="inlineStr">
        <is>
          <t>智普AI充值费用</t>
        </is>
      </c>
      <c r="E80" s="6" t="inlineStr">
        <is>
          <t>Q1504</t>
        </is>
      </c>
      <c r="G80" s="89" t="n"/>
      <c r="H80" s="89" t="n"/>
    </row>
    <row r="81" s="83">
      <c r="A81" s="5" t="inlineStr">
        <is>
          <t>研发支出</t>
        </is>
      </c>
      <c r="B81" s="6" t="inlineStr">
        <is>
          <t>服务器算法充值</t>
        </is>
      </c>
      <c r="D81" s="5" t="inlineStr">
        <is>
          <t>硅基流动充值费用</t>
        </is>
      </c>
      <c r="E81" s="6" t="inlineStr">
        <is>
          <t>Q1506</t>
        </is>
      </c>
      <c r="G81" s="89" t="n"/>
      <c r="H81" s="89" t="n"/>
    </row>
    <row r="82" s="83">
      <c r="A82" s="5" t="inlineStr">
        <is>
          <t>研发支出</t>
        </is>
      </c>
      <c r="B82" s="6" t="inlineStr">
        <is>
          <t>服务器算法充值</t>
        </is>
      </c>
      <c r="D82" s="5" t="inlineStr">
        <is>
          <t>无问芯穹充值费用</t>
        </is>
      </c>
      <c r="E82" s="6" t="inlineStr">
        <is>
          <t>Q1507</t>
        </is>
      </c>
      <c r="G82" s="89" t="n"/>
      <c r="H82" s="89" t="n"/>
    </row>
    <row r="83" s="83">
      <c r="A83" s="5" t="inlineStr">
        <is>
          <t>研发支出</t>
        </is>
      </c>
      <c r="B83" s="6" t="inlineStr">
        <is>
          <t>服务器算法充值</t>
        </is>
      </c>
      <c r="D83" s="5" t="inlineStr">
        <is>
          <t>其他服务器算法充值</t>
        </is>
      </c>
      <c r="E83" s="6" t="inlineStr">
        <is>
          <t>Q1505</t>
        </is>
      </c>
      <c r="G83" s="89" t="n"/>
      <c r="H83" s="89" t="n"/>
    </row>
    <row r="84" s="83">
      <c r="A84" s="5" t="inlineStr">
        <is>
          <t>研发支出</t>
        </is>
      </c>
      <c r="B84" s="6" t="inlineStr">
        <is>
          <t>研发-服务费</t>
        </is>
      </c>
      <c r="C84" s="6" t="inlineStr">
        <is>
          <t>研发-服务费</t>
        </is>
      </c>
      <c r="D84" s="5" t="inlineStr">
        <is>
          <t>设计外包服务费</t>
        </is>
      </c>
      <c r="E84" s="6" t="inlineStr">
        <is>
          <t>Q1601</t>
        </is>
      </c>
      <c r="G84" s="89" t="n"/>
      <c r="H84" s="89" t="n"/>
    </row>
    <row r="85" s="83">
      <c r="A85" s="5" t="inlineStr">
        <is>
          <t>研发支出</t>
        </is>
      </c>
      <c r="B85" s="6" t="inlineStr">
        <is>
          <t>研发-服务费</t>
        </is>
      </c>
      <c r="D85" s="5" t="inlineStr">
        <is>
          <t>AI技术外包服务费</t>
        </is>
      </c>
      <c r="E85" s="6" t="inlineStr">
        <is>
          <t>Q1602</t>
        </is>
      </c>
      <c r="G85" s="89" t="n"/>
      <c r="H85" s="89" t="n"/>
    </row>
    <row r="86" s="83">
      <c r="A86" s="5" t="inlineStr">
        <is>
          <t>研发支出</t>
        </is>
      </c>
      <c r="B86" s="6" t="inlineStr">
        <is>
          <t>研发-服务费</t>
        </is>
      </c>
      <c r="D86" s="5" t="inlineStr">
        <is>
          <t>知识产权服务费</t>
        </is>
      </c>
      <c r="E86" s="6" t="inlineStr">
        <is>
          <t>Q1603</t>
        </is>
      </c>
      <c r="G86" s="89" t="n"/>
      <c r="H86" s="89" t="n"/>
    </row>
    <row r="87" s="83">
      <c r="A87" s="5" t="inlineStr">
        <is>
          <t>研发支出</t>
        </is>
      </c>
      <c r="B87" s="6" t="inlineStr">
        <is>
          <t>研发-费用报销</t>
        </is>
      </c>
      <c r="C87" s="6" t="inlineStr">
        <is>
          <t>研发-费用报销</t>
        </is>
      </c>
      <c r="D87" s="5" t="inlineStr">
        <is>
          <t>研发员工报销</t>
        </is>
      </c>
      <c r="E87" s="6" t="inlineStr">
        <is>
          <t>Q1701</t>
        </is>
      </c>
      <c r="G87" s="89" t="n"/>
      <c r="H87" s="89" t="n"/>
    </row>
    <row r="88" s="83">
      <c r="A88" s="49" t="inlineStr">
        <is>
          <t>研发支出合计</t>
        </is>
      </c>
      <c r="B88" s="50" t="n"/>
      <c r="C88" s="50" t="n"/>
      <c r="D88" s="49" t="n"/>
      <c r="E88" s="49" t="n"/>
      <c r="G88" s="89" t="n"/>
      <c r="H88" s="89" t="n"/>
    </row>
    <row r="89" s="83">
      <c r="A89" s="5" t="inlineStr">
        <is>
          <t>销售费用</t>
        </is>
      </c>
      <c r="B89" s="6" t="inlineStr">
        <is>
          <t>品牌建设</t>
        </is>
      </c>
      <c r="C89" s="6" t="inlineStr">
        <is>
          <t>品牌建设</t>
        </is>
      </c>
      <c r="D89" s="5" t="inlineStr">
        <is>
          <t>媒体采购</t>
        </is>
      </c>
      <c r="E89" s="6" t="inlineStr">
        <is>
          <t>Q1801</t>
        </is>
      </c>
      <c r="G89" s="89" t="n"/>
      <c r="H89" s="89" t="n"/>
    </row>
    <row r="90" s="83">
      <c r="A90" s="5" t="inlineStr">
        <is>
          <t>销售费用</t>
        </is>
      </c>
      <c r="B90" s="6" t="inlineStr">
        <is>
          <t>品牌建设</t>
        </is>
      </c>
      <c r="D90" s="5" t="inlineStr">
        <is>
          <t>舆情服务</t>
        </is>
      </c>
      <c r="E90" s="6" t="inlineStr">
        <is>
          <t>Q1802</t>
        </is>
      </c>
      <c r="G90" s="89" t="n"/>
      <c r="H90" s="89" t="n"/>
    </row>
    <row r="91" s="83">
      <c r="A91" s="5" t="inlineStr">
        <is>
          <t>销售费用</t>
        </is>
      </c>
      <c r="B91" s="6" t="inlineStr">
        <is>
          <t>品牌建设</t>
        </is>
      </c>
      <c r="D91" s="5" t="inlineStr">
        <is>
          <t>会务服务</t>
        </is>
      </c>
      <c r="E91" s="6" t="inlineStr">
        <is>
          <t>Q1803</t>
        </is>
      </c>
      <c r="G91" s="89" t="n"/>
      <c r="H91" s="89" t="n"/>
    </row>
    <row r="92" s="83">
      <c r="A92" s="5" t="inlineStr">
        <is>
          <t>销售费用</t>
        </is>
      </c>
      <c r="B92" s="6" t="inlineStr">
        <is>
          <t>品牌建设</t>
        </is>
      </c>
      <c r="D92" s="5" t="inlineStr">
        <is>
          <t>场地搭建</t>
        </is>
      </c>
      <c r="E92" s="6" t="inlineStr">
        <is>
          <t>Q1804</t>
        </is>
      </c>
      <c r="G92" s="89" t="n"/>
      <c r="H92" s="89" t="n"/>
    </row>
    <row r="93" s="83">
      <c r="A93" s="5" t="inlineStr">
        <is>
          <t>销售费用</t>
        </is>
      </c>
      <c r="B93" s="6" t="inlineStr">
        <is>
          <t>品牌建设</t>
        </is>
      </c>
      <c r="D93" s="5" t="inlineStr">
        <is>
          <t>素材拍摄</t>
        </is>
      </c>
      <c r="E93" s="6" t="inlineStr">
        <is>
          <t>Q1805</t>
        </is>
      </c>
      <c r="G93" s="89" t="n"/>
      <c r="H93" s="89" t="n"/>
    </row>
    <row r="94" s="83">
      <c r="A94" s="5" t="inlineStr">
        <is>
          <t>销售费用</t>
        </is>
      </c>
      <c r="B94" s="6" t="inlineStr">
        <is>
          <t>品牌建设</t>
        </is>
      </c>
      <c r="D94" s="5" t="inlineStr">
        <is>
          <t>背书合作费用</t>
        </is>
      </c>
      <c r="E94" s="6" t="inlineStr">
        <is>
          <t>Q1806</t>
        </is>
      </c>
      <c r="G94" s="89" t="n"/>
      <c r="H94" s="89" t="n"/>
    </row>
    <row r="95" s="83">
      <c r="A95" s="5" t="inlineStr">
        <is>
          <t>销售费用</t>
        </is>
      </c>
      <c r="B95" s="6" t="inlineStr">
        <is>
          <t>内容种草</t>
        </is>
      </c>
      <c r="C95" s="6" t="inlineStr">
        <is>
          <t>内容种草</t>
        </is>
      </c>
      <c r="D95" s="5" t="inlineStr">
        <is>
          <t>抖音平台种草-GD广告</t>
        </is>
      </c>
      <c r="E95" s="6" t="inlineStr">
        <is>
          <t>Q1901</t>
        </is>
      </c>
      <c r="G95" s="89" t="n"/>
      <c r="H95" s="89" t="n"/>
    </row>
    <row r="96" s="83">
      <c r="A96" s="5" t="inlineStr">
        <is>
          <t>销售费用</t>
        </is>
      </c>
      <c r="B96" s="6" t="inlineStr">
        <is>
          <t>内容种草</t>
        </is>
      </c>
      <c r="D96" s="5" t="inlineStr">
        <is>
          <t>抖音平台种草-种草通</t>
        </is>
      </c>
      <c r="E96" s="6" t="inlineStr">
        <is>
          <t>Q1902</t>
        </is>
      </c>
      <c r="G96" s="89" t="n"/>
      <c r="H96" s="89" t="n"/>
    </row>
    <row r="97" s="83">
      <c r="A97" s="5" t="inlineStr">
        <is>
          <t>销售费用</t>
        </is>
      </c>
      <c r="B97" s="6" t="inlineStr">
        <is>
          <t>内容种草</t>
        </is>
      </c>
      <c r="D97" s="5" t="inlineStr">
        <is>
          <t>抖音平台种草-达人合作</t>
        </is>
      </c>
      <c r="E97" s="6" t="inlineStr">
        <is>
          <t>Q1903</t>
        </is>
      </c>
      <c r="G97" s="89" t="n"/>
      <c r="H97" s="89" t="n"/>
    </row>
    <row r="98" s="83">
      <c r="A98" s="5" t="inlineStr">
        <is>
          <t>销售费用</t>
        </is>
      </c>
      <c r="B98" s="6" t="inlineStr">
        <is>
          <t>内容种草</t>
        </is>
      </c>
      <c r="D98" s="5" t="inlineStr">
        <is>
          <t>小红书平台种草-达人合作</t>
        </is>
      </c>
      <c r="E98" s="6" t="inlineStr">
        <is>
          <t>Q1904</t>
        </is>
      </c>
      <c r="G98" s="89" t="n"/>
      <c r="H98" s="89" t="n"/>
    </row>
    <row r="99" s="83">
      <c r="A99" s="5" t="inlineStr">
        <is>
          <t>销售费用</t>
        </is>
      </c>
      <c r="B99" s="6" t="inlineStr">
        <is>
          <t>内容种草</t>
        </is>
      </c>
      <c r="D99" s="5" t="inlineStr">
        <is>
          <t>全平台种草-达人合作</t>
        </is>
      </c>
      <c r="E99" s="6" t="inlineStr">
        <is>
          <t>Q1905</t>
        </is>
      </c>
      <c r="G99" s="89" t="n"/>
      <c r="H99" s="89" t="n"/>
    </row>
    <row r="100" s="83">
      <c r="A100" s="5" t="inlineStr">
        <is>
          <t>销售费用</t>
        </is>
      </c>
      <c r="B100" s="6" t="inlineStr">
        <is>
          <t>内容种草</t>
        </is>
      </c>
      <c r="D100" s="5" t="inlineStr">
        <is>
          <t>小红书种草充值</t>
        </is>
      </c>
      <c r="E100" s="6" t="inlineStr">
        <is>
          <t>Q1906</t>
        </is>
      </c>
      <c r="G100" s="89" t="n"/>
      <c r="H100" s="89" t="n"/>
    </row>
    <row r="101" s="83">
      <c r="A101" s="5" t="inlineStr">
        <is>
          <t>销售费用</t>
        </is>
      </c>
      <c r="B101" s="6" t="inlineStr">
        <is>
          <t>投放转化</t>
        </is>
      </c>
      <c r="C101" s="6" t="inlineStr">
        <is>
          <t>投放转化</t>
        </is>
      </c>
      <c r="D101" s="5" t="inlineStr">
        <is>
          <t>信息流视频制作</t>
        </is>
      </c>
      <c r="E101" s="6" t="inlineStr">
        <is>
          <t>Q2001</t>
        </is>
      </c>
      <c r="G101" s="89" t="n"/>
      <c r="H101" s="89" t="n"/>
    </row>
    <row r="102" s="83">
      <c r="A102" s="5" t="inlineStr">
        <is>
          <t>销售费用</t>
        </is>
      </c>
      <c r="B102" s="6" t="inlineStr">
        <is>
          <t>投放转化</t>
        </is>
      </c>
      <c r="D102" s="5" t="inlineStr">
        <is>
          <t>抖音投放充值</t>
        </is>
      </c>
      <c r="E102" s="6" t="inlineStr">
        <is>
          <t>Q2002</t>
        </is>
      </c>
      <c r="G102" s="89" t="n"/>
      <c r="H102" s="89" t="n"/>
    </row>
    <row r="103" s="83">
      <c r="A103" s="5" t="inlineStr">
        <is>
          <t>销售费用</t>
        </is>
      </c>
      <c r="B103" s="6" t="inlineStr">
        <is>
          <t>投放转化</t>
        </is>
      </c>
      <c r="D103" s="5" t="inlineStr">
        <is>
          <t>京东平台投放充值</t>
        </is>
      </c>
      <c r="E103" s="6" t="inlineStr">
        <is>
          <t>Q2003</t>
        </is>
      </c>
      <c r="G103" s="89" t="n"/>
      <c r="H103" s="89" t="n"/>
    </row>
    <row r="104" s="83">
      <c r="A104" s="5" t="inlineStr">
        <is>
          <t>销售费用</t>
        </is>
      </c>
      <c r="B104" s="6" t="inlineStr">
        <is>
          <t>投放转化</t>
        </is>
      </c>
      <c r="D104" s="5" t="inlineStr">
        <is>
          <t>视频号投放充值</t>
        </is>
      </c>
      <c r="E104" s="6" t="inlineStr">
        <is>
          <t>Q2004</t>
        </is>
      </c>
      <c r="G104" s="89" t="n"/>
      <c r="H104" s="89" t="n"/>
    </row>
    <row r="105" s="83">
      <c r="A105" s="5" t="inlineStr">
        <is>
          <t>销售费用</t>
        </is>
      </c>
      <c r="B105" s="6" t="inlineStr">
        <is>
          <t>投放转化</t>
        </is>
      </c>
      <c r="D105" s="5" t="inlineStr">
        <is>
          <t>天猫平台投放充值</t>
        </is>
      </c>
      <c r="E105" s="6" t="inlineStr">
        <is>
          <t>Q2005</t>
        </is>
      </c>
      <c r="G105" s="89" t="n"/>
      <c r="H105" s="89" t="n"/>
    </row>
    <row r="106" s="83">
      <c r="A106" s="5" t="inlineStr">
        <is>
          <t>销售费用</t>
        </is>
      </c>
      <c r="B106" s="6" t="inlineStr">
        <is>
          <t>直播间运营</t>
        </is>
      </c>
      <c r="C106" s="6" t="inlineStr">
        <is>
          <t>直播间运营</t>
        </is>
      </c>
      <c r="D106" s="5" t="inlineStr">
        <is>
          <t>DP-有熊团队服务费</t>
        </is>
      </c>
      <c r="E106" s="6" t="inlineStr">
        <is>
          <t>Q2101</t>
        </is>
      </c>
      <c r="G106" s="89" t="n"/>
      <c r="H106" s="89" t="n"/>
    </row>
    <row r="107" s="83">
      <c r="A107" s="5" t="inlineStr">
        <is>
          <t>销售费用</t>
        </is>
      </c>
      <c r="B107" s="6" t="inlineStr">
        <is>
          <t>直播间运营</t>
        </is>
      </c>
      <c r="D107" s="5" t="inlineStr">
        <is>
          <t>DP-黑哥团队服务费</t>
        </is>
      </c>
      <c r="E107" s="6" t="inlineStr">
        <is>
          <t>Q2102</t>
        </is>
      </c>
      <c r="G107" s="89" t="n"/>
      <c r="H107" s="89" t="n"/>
    </row>
    <row r="108" s="83">
      <c r="A108" s="5" t="inlineStr">
        <is>
          <t>销售费用</t>
        </is>
      </c>
      <c r="B108" s="6" t="inlineStr">
        <is>
          <t>直播间运营</t>
        </is>
      </c>
      <c r="D108" s="5" t="inlineStr">
        <is>
          <t>DP-小太阳团队服务费</t>
        </is>
      </c>
      <c r="E108" s="6" t="inlineStr">
        <is>
          <t>Q2103</t>
        </is>
      </c>
      <c r="G108" s="89" t="n"/>
      <c r="H108" s="89" t="n"/>
    </row>
    <row r="109" s="83">
      <c r="A109" s="5" t="inlineStr">
        <is>
          <t>销售费用</t>
        </is>
      </c>
      <c r="B109" s="6" t="inlineStr">
        <is>
          <t>直播间运营</t>
        </is>
      </c>
      <c r="D109" s="5" t="inlineStr">
        <is>
          <t>直播间搭建费用</t>
        </is>
      </c>
      <c r="E109" s="6" t="inlineStr">
        <is>
          <t>Q2104</t>
        </is>
      </c>
      <c r="G109" s="89" t="n"/>
      <c r="H109" s="89" t="n"/>
    </row>
    <row r="110" s="83">
      <c r="A110" s="5" t="inlineStr">
        <is>
          <t>销售费用</t>
        </is>
      </c>
      <c r="B110" s="6" t="inlineStr">
        <is>
          <t>平台运营</t>
        </is>
      </c>
      <c r="C110" s="6" t="inlineStr">
        <is>
          <t>平台运营</t>
        </is>
      </c>
      <c r="D110" s="5" t="inlineStr">
        <is>
          <t>分期服务费</t>
        </is>
      </c>
      <c r="E110" s="6" t="inlineStr">
        <is>
          <t>Q2204</t>
        </is>
      </c>
      <c r="G110" s="89" t="n"/>
      <c r="H110" s="89" t="n"/>
    </row>
    <row r="111" s="83">
      <c r="A111" s="5" t="inlineStr">
        <is>
          <t>销售费用</t>
        </is>
      </c>
      <c r="B111" s="6" t="inlineStr">
        <is>
          <t>平台运营</t>
        </is>
      </c>
      <c r="D111" s="5" t="inlineStr">
        <is>
          <t>平台服务费</t>
        </is>
      </c>
      <c r="E111" s="6" t="inlineStr">
        <is>
          <t>Q2201</t>
        </is>
      </c>
      <c r="G111" s="89" t="n"/>
      <c r="H111" s="89" t="n"/>
    </row>
    <row r="112" s="83">
      <c r="A112" s="5" t="inlineStr">
        <is>
          <t>销售费用</t>
        </is>
      </c>
      <c r="B112" s="6" t="inlineStr">
        <is>
          <t>平台运营</t>
        </is>
      </c>
      <c r="D112" s="5" t="inlineStr">
        <is>
          <t>权益保险</t>
        </is>
      </c>
      <c r="E112" s="6" t="inlineStr">
        <is>
          <t>Q2205</t>
        </is>
      </c>
      <c r="G112" s="89" t="n"/>
      <c r="H112" s="89" t="n"/>
    </row>
    <row r="113" s="83">
      <c r="A113" s="5" t="inlineStr">
        <is>
          <t>销售费用</t>
        </is>
      </c>
      <c r="B113" s="6" t="inlineStr">
        <is>
          <t>平台运营</t>
        </is>
      </c>
      <c r="D113" s="5" t="inlineStr">
        <is>
          <t>消费者赔付</t>
        </is>
      </c>
      <c r="E113" s="6" t="inlineStr">
        <is>
          <t>Q2206</t>
        </is>
      </c>
      <c r="G113" s="89" t="n"/>
      <c r="H113" s="89" t="n"/>
    </row>
    <row r="114" s="83">
      <c r="A114" s="5" t="inlineStr">
        <is>
          <t>销售费用</t>
        </is>
      </c>
      <c r="B114" s="6" t="inlineStr">
        <is>
          <t>平台运营</t>
        </is>
      </c>
      <c r="D114" s="5" t="inlineStr">
        <is>
          <t>平台积分扣款</t>
        </is>
      </c>
      <c r="E114" s="6" t="inlineStr">
        <is>
          <t>Q2207</t>
        </is>
      </c>
      <c r="G114" s="89" t="n"/>
      <c r="H114" s="89" t="n"/>
    </row>
    <row r="115" s="83">
      <c r="A115" s="5" t="inlineStr">
        <is>
          <t>销售费用</t>
        </is>
      </c>
      <c r="B115" s="6" t="inlineStr">
        <is>
          <t>平台运营</t>
        </is>
      </c>
      <c r="D115" s="5" t="inlineStr">
        <is>
          <t>平台推荐佣金</t>
        </is>
      </c>
      <c r="E115" s="6" t="inlineStr">
        <is>
          <t>Q2208</t>
        </is>
      </c>
      <c r="G115" s="89" t="n"/>
      <c r="H115" s="89" t="n"/>
    </row>
    <row r="116" s="83">
      <c r="A116" s="5" t="inlineStr">
        <is>
          <t>销售费用</t>
        </is>
      </c>
      <c r="B116" s="6" t="inlineStr">
        <is>
          <t>平台运营</t>
        </is>
      </c>
      <c r="D116" s="5" t="inlineStr">
        <is>
          <t>保证金及认证费用</t>
        </is>
      </c>
      <c r="E116" s="6" t="inlineStr">
        <is>
          <t>Q2202</t>
        </is>
      </c>
      <c r="G116" s="89" t="n"/>
      <c r="H116" s="89" t="n"/>
    </row>
    <row r="117" s="83">
      <c r="A117" s="5" t="inlineStr">
        <is>
          <t>销售费用</t>
        </is>
      </c>
      <c r="B117" s="6" t="inlineStr">
        <is>
          <t>平台运营</t>
        </is>
      </c>
      <c r="D117" s="5" t="inlineStr">
        <is>
          <t>品专支出</t>
        </is>
      </c>
      <c r="E117" s="6" t="inlineStr">
        <is>
          <t>Q2203</t>
        </is>
      </c>
      <c r="G117" s="89" t="n"/>
      <c r="H117" s="89" t="n"/>
    </row>
    <row r="118" s="83">
      <c r="A118" s="5" t="inlineStr">
        <is>
          <t>销售费用</t>
        </is>
      </c>
      <c r="B118" s="6" t="inlineStr">
        <is>
          <t>平台运营</t>
        </is>
      </c>
      <c r="D118" s="5" t="inlineStr">
        <is>
          <t>其他平台扣款</t>
        </is>
      </c>
      <c r="E118" s="6" t="inlineStr">
        <is>
          <t>Q2209</t>
        </is>
      </c>
      <c r="G118" s="89" t="n"/>
      <c r="H118" s="89" t="n"/>
    </row>
    <row r="119" s="83">
      <c r="A119" s="5" t="inlineStr">
        <is>
          <t>销售费用</t>
        </is>
      </c>
      <c r="B119" s="6" t="inlineStr">
        <is>
          <t>私域运营</t>
        </is>
      </c>
      <c r="C119" s="6" t="inlineStr">
        <is>
          <t>私域运营</t>
        </is>
      </c>
      <c r="D119" s="5" t="inlineStr">
        <is>
          <t>返现活动</t>
        </is>
      </c>
      <c r="E119" s="6" t="inlineStr">
        <is>
          <t>Q2301</t>
        </is>
      </c>
      <c r="G119" s="89" t="n"/>
      <c r="H119" s="89" t="n"/>
    </row>
    <row r="120" s="83">
      <c r="A120" s="5" t="inlineStr">
        <is>
          <t>销售费用</t>
        </is>
      </c>
      <c r="B120" s="6" t="inlineStr">
        <is>
          <t>私域运营</t>
        </is>
      </c>
      <c r="D120" s="5" t="inlineStr">
        <is>
          <t>转介绍佣金</t>
        </is>
      </c>
      <c r="E120" s="6" t="inlineStr">
        <is>
          <t>Q2302</t>
        </is>
      </c>
      <c r="G120" s="89" t="n"/>
      <c r="H120" s="89" t="n"/>
    </row>
    <row r="121" s="83">
      <c r="A121" s="5" t="inlineStr">
        <is>
          <t>销售费用</t>
        </is>
      </c>
      <c r="B121" s="6" t="inlineStr">
        <is>
          <t>达人带货</t>
        </is>
      </c>
      <c r="C121" s="6" t="inlineStr">
        <is>
          <t>达人带货</t>
        </is>
      </c>
      <c r="D121" s="5" t="inlineStr">
        <is>
          <t>坑位费</t>
        </is>
      </c>
      <c r="E121" s="6" t="inlineStr">
        <is>
          <t>Q2401</t>
        </is>
      </c>
      <c r="G121" s="89" t="n"/>
      <c r="H121" s="89" t="n"/>
    </row>
    <row r="122" s="83">
      <c r="A122" s="5" t="inlineStr">
        <is>
          <t>销售费用</t>
        </is>
      </c>
      <c r="B122" s="6" t="inlineStr">
        <is>
          <t>达人带货</t>
        </is>
      </c>
      <c r="D122" s="5" t="inlineStr">
        <is>
          <t>佣金</t>
        </is>
      </c>
      <c r="E122" s="6" t="inlineStr">
        <is>
          <t>Q2402</t>
        </is>
      </c>
      <c r="G122" s="89" t="n"/>
      <c r="H122" s="89" t="n"/>
    </row>
    <row r="123" s="83">
      <c r="A123" s="5" t="inlineStr">
        <is>
          <t>销售费用</t>
        </is>
      </c>
      <c r="B123" s="6" t="inlineStr">
        <is>
          <t>达人带货</t>
        </is>
      </c>
      <c r="D123" s="5" t="inlineStr">
        <is>
          <t>助播费用</t>
        </is>
      </c>
      <c r="E123" s="6" t="inlineStr">
        <is>
          <t>Q2403</t>
        </is>
      </c>
      <c r="G123" s="89" t="n"/>
      <c r="H123" s="89" t="n"/>
    </row>
    <row r="124" s="83">
      <c r="A124" s="5" t="inlineStr">
        <is>
          <t>销售费用</t>
        </is>
      </c>
      <c r="B124" s="6" t="inlineStr">
        <is>
          <t>发货成本</t>
        </is>
      </c>
      <c r="C124" s="6" t="inlineStr">
        <is>
          <t>发货成本</t>
        </is>
      </c>
      <c r="D124" s="5" t="inlineStr">
        <is>
          <t>快递费</t>
        </is>
      </c>
      <c r="E124" s="6" t="inlineStr">
        <is>
          <t>Q2501</t>
        </is>
      </c>
      <c r="G124" s="89" t="n"/>
      <c r="H124" s="89" t="n"/>
    </row>
    <row r="125" s="83">
      <c r="A125" s="5" t="inlineStr">
        <is>
          <t>销售费用</t>
        </is>
      </c>
      <c r="B125" s="6" t="inlineStr">
        <is>
          <t>发货成本</t>
        </is>
      </c>
      <c r="D125" s="5" t="inlineStr">
        <is>
          <t>云仓租金</t>
        </is>
      </c>
      <c r="E125" s="6" t="inlineStr">
        <is>
          <t>Q2502</t>
        </is>
      </c>
      <c r="G125" s="89" t="n"/>
      <c r="H125" s="89" t="n"/>
    </row>
    <row r="126" s="83">
      <c r="A126" s="5" t="inlineStr">
        <is>
          <t>销售费用</t>
        </is>
      </c>
      <c r="B126" s="6" t="inlineStr">
        <is>
          <t>品销-费用报销</t>
        </is>
      </c>
      <c r="C126" s="6" t="inlineStr">
        <is>
          <t>品销-费用报销</t>
        </is>
      </c>
      <c r="D126" s="5" t="inlineStr">
        <is>
          <t>品销员工报销</t>
        </is>
      </c>
      <c r="E126" s="6" t="inlineStr">
        <is>
          <t>Q2601</t>
        </is>
      </c>
      <c r="G126" s="89" t="n"/>
      <c r="H126" s="89" t="n"/>
    </row>
    <row r="127" s="83">
      <c r="A127" s="49" t="inlineStr">
        <is>
          <t>销售费用合计</t>
        </is>
      </c>
      <c r="B127" s="50" t="n"/>
      <c r="C127" s="50" t="n"/>
      <c r="D127" s="49" t="n"/>
      <c r="E127" s="49" t="n"/>
      <c r="G127" s="89" t="n"/>
      <c r="H127" s="89" t="n"/>
    </row>
    <row r="128" s="83">
      <c r="A128" s="5" t="inlineStr">
        <is>
          <t>管理费用</t>
        </is>
      </c>
      <c r="B128" s="6" t="inlineStr">
        <is>
          <t>办公场地使用费</t>
        </is>
      </c>
      <c r="C128" s="6" t="inlineStr">
        <is>
          <t>办公场地使用费</t>
        </is>
      </c>
      <c r="D128" s="5" t="inlineStr">
        <is>
          <t>西溪首座办公场地租金</t>
        </is>
      </c>
      <c r="E128" s="6" t="inlineStr">
        <is>
          <t>Q2702</t>
        </is>
      </c>
      <c r="G128" s="89" t="n"/>
      <c r="H128" s="89" t="n"/>
    </row>
    <row r="129" s="83">
      <c r="A129" s="5" t="inlineStr">
        <is>
          <t>管理费用</t>
        </is>
      </c>
      <c r="B129" s="6" t="inlineStr">
        <is>
          <t>办公场地使用费</t>
        </is>
      </c>
      <c r="D129" s="5" t="inlineStr">
        <is>
          <t>西溪首座办公场地装修费</t>
        </is>
      </c>
      <c r="E129" s="6" t="inlineStr">
        <is>
          <t>Q2701</t>
        </is>
      </c>
      <c r="G129" s="89" t="n"/>
      <c r="H129" s="89" t="n"/>
    </row>
    <row r="130" s="83">
      <c r="A130" s="5" t="inlineStr">
        <is>
          <t>管理费用</t>
        </is>
      </c>
      <c r="B130" s="6" t="inlineStr">
        <is>
          <t>办公场地使用费</t>
        </is>
      </c>
      <c r="D130" s="5" t="inlineStr">
        <is>
          <t>西溪首座办公室物业水电费</t>
        </is>
      </c>
      <c r="E130" s="6" t="inlineStr">
        <is>
          <t>Q2703</t>
        </is>
      </c>
      <c r="G130" s="89" t="n"/>
      <c r="H130" s="89" t="n"/>
    </row>
    <row r="131" s="83">
      <c r="A131" s="5" t="inlineStr">
        <is>
          <t>管理费用</t>
        </is>
      </c>
      <c r="B131" s="6" t="inlineStr">
        <is>
          <t>办公场地使用费</t>
        </is>
      </c>
      <c r="D131" s="5" t="inlineStr">
        <is>
          <t>合肥办公室租金</t>
        </is>
      </c>
      <c r="E131" s="6" t="inlineStr">
        <is>
          <t>Q2704</t>
        </is>
      </c>
      <c r="G131" s="89" t="n"/>
      <c r="H131" s="89" t="n"/>
    </row>
    <row r="132" s="83">
      <c r="A132" s="5" t="inlineStr">
        <is>
          <t>管理费用</t>
        </is>
      </c>
      <c r="B132" s="6" t="inlineStr">
        <is>
          <t>办公场地使用费</t>
        </is>
      </c>
      <c r="D132" s="5" t="inlineStr">
        <is>
          <t>合肥办公室物业水电费</t>
        </is>
      </c>
      <c r="E132" s="6" t="inlineStr">
        <is>
          <t>Q2705</t>
        </is>
      </c>
      <c r="G132" s="89" t="n"/>
      <c r="H132" s="89" t="n"/>
    </row>
    <row r="133" s="83">
      <c r="A133" s="5" t="inlineStr">
        <is>
          <t>管理费用</t>
        </is>
      </c>
      <c r="B133" s="6" t="inlineStr">
        <is>
          <t>办公场地使用费</t>
        </is>
      </c>
      <c r="D133" s="5" t="inlineStr">
        <is>
          <t>其他办公场地使用费</t>
        </is>
      </c>
      <c r="E133" s="6" t="inlineStr">
        <is>
          <t>Q2706</t>
        </is>
      </c>
      <c r="G133" s="89" t="n"/>
      <c r="H133" s="89" t="n"/>
    </row>
    <row r="134" s="83">
      <c r="A134" s="5" t="inlineStr">
        <is>
          <t>管理费用</t>
        </is>
      </c>
      <c r="B134" s="6" t="inlineStr">
        <is>
          <t>办公场地使用费</t>
        </is>
      </c>
      <c r="D134" s="5" t="inlineStr">
        <is>
          <t>其他办公场地物业水电费</t>
        </is>
      </c>
      <c r="E134" s="6" t="inlineStr">
        <is>
          <t>Q2708</t>
        </is>
      </c>
      <c r="G134" s="89" t="n"/>
      <c r="H134" s="89" t="n"/>
    </row>
    <row r="135" s="83">
      <c r="A135" s="5" t="inlineStr">
        <is>
          <t>管理费用</t>
        </is>
      </c>
      <c r="B135" s="6" t="inlineStr">
        <is>
          <t>办公场地使用费</t>
        </is>
      </c>
      <c r="D135" s="5" t="inlineStr">
        <is>
          <t>押金</t>
        </is>
      </c>
      <c r="E135" s="6" t="inlineStr">
        <is>
          <t>Q2707</t>
        </is>
      </c>
      <c r="G135" s="89" t="n"/>
      <c r="H135" s="89" t="n"/>
    </row>
    <row r="136" s="83">
      <c r="A136" s="5" t="inlineStr">
        <is>
          <t>管理费用</t>
        </is>
      </c>
      <c r="B136" s="6" t="inlineStr">
        <is>
          <t>服务费</t>
        </is>
      </c>
      <c r="C136" s="6" t="inlineStr">
        <is>
          <t>服务费</t>
        </is>
      </c>
      <c r="D136" s="5" t="inlineStr">
        <is>
          <t>律师费</t>
        </is>
      </c>
      <c r="E136" s="6" t="inlineStr">
        <is>
          <t>Q2801</t>
        </is>
      </c>
      <c r="G136" s="89" t="n"/>
      <c r="H136" s="89" t="n"/>
    </row>
    <row r="137" s="83">
      <c r="A137" s="5" t="inlineStr">
        <is>
          <t>管理费用</t>
        </is>
      </c>
      <c r="B137" s="6" t="inlineStr">
        <is>
          <t>服务费</t>
        </is>
      </c>
      <c r="D137" s="5" t="inlineStr">
        <is>
          <t>中介代理费用</t>
        </is>
      </c>
      <c r="E137" s="6" t="inlineStr">
        <is>
          <t>Q2802</t>
        </is>
      </c>
      <c r="G137" s="89" t="n"/>
      <c r="H137" s="89" t="n"/>
    </row>
    <row r="138" s="83">
      <c r="A138" s="5" t="inlineStr">
        <is>
          <t>管理费用</t>
        </is>
      </c>
      <c r="B138" s="6" t="inlineStr">
        <is>
          <t>服务费</t>
        </is>
      </c>
      <c r="D138" s="5" t="inlineStr">
        <is>
          <t>财务咨询费</t>
        </is>
      </c>
      <c r="E138" s="6" t="inlineStr">
        <is>
          <t>Q2803</t>
        </is>
      </c>
      <c r="G138" s="89" t="n"/>
      <c r="H138" s="89" t="n"/>
    </row>
    <row r="139" s="83">
      <c r="A139" s="5" t="inlineStr">
        <is>
          <t>管理费用</t>
        </is>
      </c>
      <c r="B139" s="6" t="inlineStr">
        <is>
          <t>服务费</t>
        </is>
      </c>
      <c r="D139" s="5" t="inlineStr">
        <is>
          <t>审计费</t>
        </is>
      </c>
      <c r="E139" s="6" t="inlineStr">
        <is>
          <t>Q2804</t>
        </is>
      </c>
      <c r="G139" s="89" t="n"/>
      <c r="H139" s="89" t="n"/>
    </row>
    <row r="140" s="83">
      <c r="A140" s="5" t="inlineStr">
        <is>
          <t>管理费用</t>
        </is>
      </c>
      <c r="B140" s="6" t="inlineStr">
        <is>
          <t>服务费</t>
        </is>
      </c>
      <c r="D140" s="5" t="inlineStr">
        <is>
          <t>招聘费用</t>
        </is>
      </c>
      <c r="E140" s="6" t="inlineStr">
        <is>
          <t>Q2805</t>
        </is>
      </c>
      <c r="G140" s="89" t="n"/>
      <c r="H140" s="89" t="n"/>
    </row>
    <row r="141" s="83">
      <c r="A141" s="5" t="inlineStr">
        <is>
          <t>管理费用</t>
        </is>
      </c>
      <c r="B141" s="6" t="inlineStr">
        <is>
          <t>服务费</t>
        </is>
      </c>
      <c r="D141" s="5" t="inlineStr">
        <is>
          <t>软件服务费</t>
        </is>
      </c>
      <c r="E141" s="6" t="inlineStr">
        <is>
          <t>Q2807</t>
        </is>
      </c>
      <c r="G141" s="89" t="n"/>
      <c r="H141" s="89" t="n"/>
    </row>
    <row r="142" s="83">
      <c r="A142" s="5" t="inlineStr">
        <is>
          <t>管理费用</t>
        </is>
      </c>
      <c r="B142" s="6" t="inlineStr">
        <is>
          <t>服务费</t>
        </is>
      </c>
      <c r="D142" s="5" t="inlineStr">
        <is>
          <t>其他服务费</t>
        </is>
      </c>
      <c r="E142" s="6" t="inlineStr">
        <is>
          <t>Q2806</t>
        </is>
      </c>
      <c r="G142" s="89" t="n"/>
      <c r="H142" s="89" t="n"/>
    </row>
    <row r="143" s="83">
      <c r="A143" s="5" t="inlineStr">
        <is>
          <t>管理费用</t>
        </is>
      </c>
      <c r="B143" s="6" t="inlineStr">
        <is>
          <t>办公费用</t>
        </is>
      </c>
      <c r="C143" s="6" t="inlineStr">
        <is>
          <t>办公费用</t>
        </is>
      </c>
      <c r="D143" s="5" t="inlineStr">
        <is>
          <t>固定资产采购</t>
        </is>
      </c>
      <c r="E143" s="6" t="inlineStr">
        <is>
          <t>Q2901</t>
        </is>
      </c>
      <c r="G143" s="89" t="n"/>
      <c r="H143" s="89" t="n"/>
    </row>
    <row r="144" s="83">
      <c r="A144" s="5" t="inlineStr">
        <is>
          <t>管理费用</t>
        </is>
      </c>
      <c r="B144" s="6" t="inlineStr">
        <is>
          <t>办公费用</t>
        </is>
      </c>
      <c r="D144" s="5" t="inlineStr">
        <is>
          <t>办公用品采购</t>
        </is>
      </c>
      <c r="E144" s="6" t="inlineStr">
        <is>
          <t>Q2902</t>
        </is>
      </c>
      <c r="G144" s="89" t="n"/>
      <c r="H144" s="89" t="n"/>
    </row>
    <row r="145" s="83">
      <c r="A145" s="5" t="inlineStr">
        <is>
          <t>管理费用</t>
        </is>
      </c>
      <c r="B145" s="6" t="inlineStr">
        <is>
          <t>办公费用</t>
        </is>
      </c>
      <c r="D145" s="5" t="inlineStr">
        <is>
          <t>网络费</t>
        </is>
      </c>
      <c r="E145" s="6" t="inlineStr">
        <is>
          <t>Q2903</t>
        </is>
      </c>
      <c r="G145" s="89" t="n"/>
      <c r="H145" s="89" t="n"/>
    </row>
    <row r="146" s="83">
      <c r="A146" s="5" t="inlineStr">
        <is>
          <t>管理费用</t>
        </is>
      </c>
      <c r="B146" s="6" t="inlineStr">
        <is>
          <t>办公费用</t>
        </is>
      </c>
      <c r="D146" s="5" t="inlineStr">
        <is>
          <t>通讯费</t>
        </is>
      </c>
      <c r="E146" s="6" t="inlineStr">
        <is>
          <t>Q2904</t>
        </is>
      </c>
      <c r="G146" s="89" t="n"/>
      <c r="H146" s="89" t="n"/>
    </row>
    <row r="147" s="83">
      <c r="A147" s="5" t="inlineStr">
        <is>
          <t>管理费用</t>
        </is>
      </c>
      <c r="B147" s="6" t="inlineStr">
        <is>
          <t>办公费用</t>
        </is>
      </c>
      <c r="D147" s="5" t="inlineStr">
        <is>
          <t>快递费</t>
        </is>
      </c>
      <c r="E147" s="6" t="inlineStr">
        <is>
          <t>Q2905</t>
        </is>
      </c>
      <c r="G147" s="89" t="n"/>
      <c r="H147" s="89" t="n"/>
    </row>
    <row r="148" s="83">
      <c r="A148" s="5" t="inlineStr">
        <is>
          <t>管理费用</t>
        </is>
      </c>
      <c r="B148" s="6" t="inlineStr">
        <is>
          <t>办公费用</t>
        </is>
      </c>
      <c r="D148" s="5" t="inlineStr">
        <is>
          <t>其他员工报销</t>
        </is>
      </c>
      <c r="E148" s="6" t="inlineStr">
        <is>
          <t>Q2907</t>
        </is>
      </c>
      <c r="G148" s="89" t="n"/>
      <c r="H148" s="89" t="n"/>
    </row>
    <row r="149" s="83">
      <c r="A149" s="5" t="inlineStr">
        <is>
          <t>管理费用</t>
        </is>
      </c>
      <c r="B149" s="6" t="inlineStr">
        <is>
          <t>办公费用</t>
        </is>
      </c>
      <c r="D149" s="5" t="inlineStr">
        <is>
          <t>办公设备租赁费</t>
        </is>
      </c>
      <c r="E149" s="6" t="inlineStr">
        <is>
          <t>Q2908</t>
        </is>
      </c>
      <c r="G149" s="89" t="n"/>
      <c r="H149" s="89" t="n"/>
    </row>
    <row r="150" s="83">
      <c r="A150" s="5" t="inlineStr">
        <is>
          <t>管理费用</t>
        </is>
      </c>
      <c r="B150" s="6" t="inlineStr">
        <is>
          <t>办公费用</t>
        </is>
      </c>
      <c r="D150" s="5" t="inlineStr">
        <is>
          <t>总经办报销费用</t>
        </is>
      </c>
      <c r="E150" s="6" t="inlineStr">
        <is>
          <t>Q2909</t>
        </is>
      </c>
      <c r="G150" s="89" t="n"/>
      <c r="H150" s="89" t="n"/>
    </row>
    <row r="151" s="83">
      <c r="A151" s="5" t="inlineStr">
        <is>
          <t>管理费用</t>
        </is>
      </c>
      <c r="B151" s="6" t="inlineStr">
        <is>
          <t>办公费用</t>
        </is>
      </c>
      <c r="D151" s="5" t="inlineStr">
        <is>
          <t>其他办公费用</t>
        </is>
      </c>
      <c r="E151" s="6" t="inlineStr">
        <is>
          <t>Q29010</t>
        </is>
      </c>
      <c r="G151" s="89" t="n"/>
      <c r="H151" s="89" t="n"/>
    </row>
    <row r="152" s="83">
      <c r="A152" s="49" t="inlineStr">
        <is>
          <t>管理费用合计</t>
        </is>
      </c>
      <c r="B152" s="50" t="n"/>
      <c r="C152" s="50" t="n"/>
      <c r="D152" s="49" t="n"/>
      <c r="E152" s="49" t="n"/>
      <c r="G152" s="89" t="n"/>
      <c r="H152" s="89" t="n"/>
    </row>
    <row r="153" s="83">
      <c r="A153" s="5" t="inlineStr">
        <is>
          <t>税费成本</t>
        </is>
      </c>
      <c r="B153" s="6" t="inlineStr">
        <is>
          <t>税费成本</t>
        </is>
      </c>
      <c r="C153" s="6" t="inlineStr">
        <is>
          <t>税费成本</t>
        </is>
      </c>
      <c r="D153" s="5" t="inlineStr">
        <is>
          <t>增值税</t>
        </is>
      </c>
      <c r="E153" s="6" t="inlineStr">
        <is>
          <t>Q3001</t>
        </is>
      </c>
      <c r="G153" s="89" t="n"/>
      <c r="H153" s="89" t="n"/>
    </row>
    <row r="154" s="83">
      <c r="A154" s="5" t="inlineStr">
        <is>
          <t>税费成本</t>
        </is>
      </c>
      <c r="B154" s="6" t="inlineStr">
        <is>
          <t>税费成本</t>
        </is>
      </c>
      <c r="D154" s="5" t="inlineStr">
        <is>
          <t>附加税</t>
        </is>
      </c>
      <c r="E154" s="6" t="inlineStr">
        <is>
          <t>Q3002</t>
        </is>
      </c>
      <c r="G154" s="89" t="n"/>
      <c r="H154" s="89" t="n"/>
    </row>
    <row r="155" s="83">
      <c r="A155" s="5" t="inlineStr">
        <is>
          <t>税费成本</t>
        </is>
      </c>
      <c r="B155" s="6" t="inlineStr">
        <is>
          <t>税费成本</t>
        </is>
      </c>
      <c r="D155" s="5" t="inlineStr">
        <is>
          <t>印花税</t>
        </is>
      </c>
      <c r="E155" s="6" t="inlineStr">
        <is>
          <t>Q3003</t>
        </is>
      </c>
      <c r="G155" s="89" t="n"/>
      <c r="H155" s="89" t="n"/>
    </row>
    <row r="156" s="83">
      <c r="A156" s="5" t="inlineStr">
        <is>
          <t>税费成本</t>
        </is>
      </c>
      <c r="B156" s="6" t="inlineStr">
        <is>
          <t>税费成本</t>
        </is>
      </c>
      <c r="D156" s="5" t="inlineStr">
        <is>
          <t>企业所得税</t>
        </is>
      </c>
      <c r="E156" s="6" t="inlineStr">
        <is>
          <t>Q3004</t>
        </is>
      </c>
      <c r="G156" s="89" t="n"/>
      <c r="H156" s="89" t="n"/>
    </row>
    <row r="157" s="83">
      <c r="A157" s="49" t="inlineStr">
        <is>
          <t>税费成本合计</t>
        </is>
      </c>
      <c r="B157" s="50" t="n"/>
      <c r="C157" s="50" t="n"/>
      <c r="D157" s="49" t="n"/>
      <c r="E157" s="49" t="n"/>
      <c r="G157" s="89" t="n"/>
      <c r="H157" s="89" t="n"/>
    </row>
    <row r="158" s="83">
      <c r="A158" s="5" t="inlineStr">
        <is>
          <t>营业外支出</t>
        </is>
      </c>
      <c r="B158" s="6" t="inlineStr">
        <is>
          <t>营业外支出</t>
        </is>
      </c>
      <c r="C158" s="34" t="inlineStr">
        <is>
          <t>营业外支出</t>
        </is>
      </c>
      <c r="D158" s="5" t="inlineStr">
        <is>
          <t>手续费</t>
        </is>
      </c>
      <c r="E158" s="6" t="inlineStr">
        <is>
          <t>Q3101</t>
        </is>
      </c>
      <c r="G158" s="89" t="n"/>
      <c r="H158" s="89" t="n"/>
    </row>
    <row r="159" s="83">
      <c r="A159" s="5" t="inlineStr">
        <is>
          <t>营业外支出</t>
        </is>
      </c>
      <c r="B159" s="6" t="inlineStr">
        <is>
          <t>营业外支出</t>
        </is>
      </c>
      <c r="D159" s="5" t="inlineStr">
        <is>
          <t>罚款支出</t>
        </is>
      </c>
      <c r="E159" s="6" t="inlineStr">
        <is>
          <t>Q3102</t>
        </is>
      </c>
      <c r="G159" s="89" t="n"/>
      <c r="H159" s="89" t="n"/>
    </row>
    <row r="160" s="83">
      <c r="A160" s="5" t="inlineStr">
        <is>
          <t>营业外支出</t>
        </is>
      </c>
      <c r="B160" s="6" t="inlineStr">
        <is>
          <t>营业外支出</t>
        </is>
      </c>
      <c r="D160" s="5" t="inlineStr">
        <is>
          <t>违约金支出</t>
        </is>
      </c>
      <c r="E160" s="6" t="inlineStr">
        <is>
          <t>Q3104</t>
        </is>
      </c>
      <c r="G160" s="89" t="n"/>
      <c r="H160" s="89" t="n"/>
    </row>
    <row r="161" s="83">
      <c r="A161" s="5" t="inlineStr">
        <is>
          <t>营业外支出</t>
        </is>
      </c>
      <c r="B161" s="6" t="inlineStr">
        <is>
          <t>营业外支出</t>
        </is>
      </c>
      <c r="D161" s="5" t="inlineStr">
        <is>
          <t>滞纳金支出</t>
        </is>
      </c>
      <c r="E161" s="6" t="inlineStr">
        <is>
          <t>Q3103</t>
        </is>
      </c>
      <c r="G161" s="89" t="n"/>
      <c r="H161" s="89" t="n"/>
    </row>
    <row r="162" s="83">
      <c r="A162" s="5" t="inlineStr">
        <is>
          <t>营业外支出</t>
        </is>
      </c>
      <c r="B162" s="6" t="inlineStr">
        <is>
          <t>营业外支出</t>
        </is>
      </c>
      <c r="D162" s="5" t="inlineStr">
        <is>
          <t>汇兑损益</t>
        </is>
      </c>
      <c r="E162" s="6" t="inlineStr">
        <is>
          <t>Q3105</t>
        </is>
      </c>
      <c r="G162" s="89" t="n"/>
      <c r="H162" s="89" t="n"/>
    </row>
    <row r="163" s="83">
      <c r="A163" s="49" t="inlineStr">
        <is>
          <t>营业外支出合计</t>
        </is>
      </c>
      <c r="B163" s="50" t="n"/>
      <c r="C163" s="50" t="n"/>
      <c r="D163" s="49" t="n"/>
      <c r="E163" s="49" t="n"/>
      <c r="G163" s="89" t="n"/>
      <c r="H163" s="89" t="n"/>
    </row>
    <row r="164" s="83">
      <c r="A164" s="5" t="inlineStr">
        <is>
          <t>理财收支</t>
        </is>
      </c>
      <c r="B164" s="6" t="inlineStr">
        <is>
          <t>理财收支</t>
        </is>
      </c>
      <c r="C164" s="6" t="inlineStr">
        <is>
          <t>理财支出</t>
        </is>
      </c>
      <c r="D164" s="5" t="inlineStr">
        <is>
          <t>理财收支</t>
        </is>
      </c>
      <c r="E164" s="6" t="inlineStr">
        <is>
          <t>Q3301</t>
        </is>
      </c>
      <c r="G164" s="89" t="n"/>
      <c r="H164" s="89" t="n"/>
    </row>
    <row r="165" s="83">
      <c r="A165" s="49" t="inlineStr">
        <is>
          <t>理财收支合计</t>
        </is>
      </c>
      <c r="B165" s="50" t="n"/>
      <c r="C165" s="50" t="n"/>
      <c r="D165" s="49" t="n"/>
      <c r="E165" s="49" t="n"/>
      <c r="G165" s="89" t="n"/>
      <c r="H165" s="89" t="n"/>
    </row>
    <row r="166" s="83">
      <c r="A166" s="51" t="inlineStr">
        <is>
          <t>付款合计</t>
        </is>
      </c>
      <c r="B166" s="52" t="n"/>
      <c r="C166" s="52" t="n"/>
      <c r="D166" s="51" t="n"/>
      <c r="E166" s="51" t="n"/>
      <c r="G166" s="89" t="n"/>
      <c r="H166" s="89" t="n"/>
    </row>
    <row r="167" s="83">
      <c r="A167" s="51" t="inlineStr">
        <is>
          <t>现金净流入</t>
        </is>
      </c>
      <c r="B167" s="54" t="n"/>
      <c r="C167" s="54" t="n"/>
      <c r="D167" s="51" t="n"/>
      <c r="E167" s="51" t="n"/>
      <c r="G167" s="89" t="n"/>
      <c r="H167" s="89" t="n"/>
    </row>
    <row r="168" s="83">
      <c r="A168" s="51" t="inlineStr">
        <is>
          <t>现金期初数</t>
        </is>
      </c>
      <c r="B168" s="54" t="n"/>
      <c r="C168" s="54" t="n"/>
      <c r="D168" s="51" t="n"/>
      <c r="E168" s="51" t="n"/>
      <c r="G168" s="89" t="n"/>
      <c r="H168" s="89" t="n"/>
    </row>
    <row r="169" s="83">
      <c r="A169" s="51" t="inlineStr">
        <is>
          <t>现金期末数</t>
        </is>
      </c>
      <c r="B169" s="54" t="n"/>
      <c r="C169" s="54" t="n"/>
      <c r="D169" s="51" t="n"/>
      <c r="E169" s="51" t="n"/>
      <c r="G169" s="89" t="n"/>
      <c r="H169" s="89" t="n"/>
    </row>
    <row r="170" s="83">
      <c r="A170" s="51" t="inlineStr">
        <is>
          <t>报表期末数</t>
        </is>
      </c>
      <c r="B170" s="54" t="n"/>
      <c r="C170" s="54" t="n"/>
      <c r="D170" s="51" t="n"/>
      <c r="E170" s="51" t="n"/>
      <c r="G170" s="89" t="n"/>
      <c r="H170" s="89" t="n"/>
    </row>
    <row r="171" s="83">
      <c r="A171" s="51" t="inlineStr">
        <is>
          <t>check</t>
        </is>
      </c>
      <c r="B171" s="54" t="n"/>
      <c r="C171" s="54" t="n"/>
      <c r="D171" s="51" t="n"/>
      <c r="E171" s="51" t="n"/>
      <c r="G171" s="89" t="n"/>
      <c r="H171" s="89" t="n"/>
    </row>
  </sheetData>
  <autoFilter ref="A2:R171"/>
  <mergeCells count="29">
    <mergeCell ref="C50:C58"/>
    <mergeCell ref="C89:C94"/>
    <mergeCell ref="C124:C125"/>
    <mergeCell ref="C75:C76"/>
    <mergeCell ref="C35:C40"/>
    <mergeCell ref="C128:C135"/>
    <mergeCell ref="C47:C48"/>
    <mergeCell ref="C158:C162"/>
    <mergeCell ref="C12:C13"/>
    <mergeCell ref="C3:C5"/>
    <mergeCell ref="C24:C33"/>
    <mergeCell ref="C110:C118"/>
    <mergeCell ref="C77:C83"/>
    <mergeCell ref="C41:C46"/>
    <mergeCell ref="C136:C142"/>
    <mergeCell ref="C101:C105"/>
    <mergeCell ref="C119:C120"/>
    <mergeCell ref="C106:C109"/>
    <mergeCell ref="C84:C86"/>
    <mergeCell ref="C68:C74"/>
    <mergeCell ref="C153:C156"/>
    <mergeCell ref="C95:C100"/>
    <mergeCell ref="C121:C123"/>
    <mergeCell ref="C60:C67"/>
    <mergeCell ref="C19:C20"/>
    <mergeCell ref="C15:C16"/>
    <mergeCell ref="C6:C7"/>
    <mergeCell ref="C8:C10"/>
    <mergeCell ref="C143:C15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R195"/>
  <sheetViews>
    <sheetView zoomScale="90" zoomScaleNormal="90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K189" sqref="K189"/>
    </sheetView>
  </sheetViews>
  <sheetFormatPr baseColWidth="8" defaultColWidth="8.838461538461541" defaultRowHeight="16.05" customHeight="1"/>
  <cols>
    <col width="8.76923076923077" customWidth="1" style="5" min="1" max="1"/>
    <col width="7.53846153846154" customWidth="1" style="6" min="2" max="2"/>
    <col width="8.23076923076923" customWidth="1" style="6" min="3" max="3"/>
    <col width="10.6153846153846" customWidth="1" style="5" min="4" max="4"/>
    <col width="11.9230769230769" customWidth="1" style="5" min="5" max="5"/>
    <col width="12.9230769230769" customWidth="1" style="89" min="6" max="6"/>
    <col width="15.1615384615385" customWidth="1" style="5" min="7" max="7"/>
    <col width="15.8384615384615" customWidth="1" style="5" min="8" max="8"/>
    <col width="16.1615384615385" customWidth="1" style="5" min="9" max="9"/>
    <col width="16.8307692307692" customWidth="1" style="5" min="10" max="10"/>
    <col width="15.1615384615385" customWidth="1" style="5" min="11" max="11"/>
    <col width="14" customWidth="1" style="5" min="12" max="12"/>
    <col width="13.8461538461538" customWidth="1" style="5" min="13" max="17"/>
    <col width="14.8384615384615" customWidth="1" style="5" min="18" max="18"/>
    <col width="8.838461538461541" customWidth="1" style="5" min="19" max="40"/>
  </cols>
  <sheetData>
    <row r="1" s="83">
      <c r="A1" s="6" t="inlineStr">
        <is>
          <t>公司：SMART LEARNING HOLDING</t>
        </is>
      </c>
      <c r="F1" s="92" t="n"/>
    </row>
    <row r="2" customFormat="1" s="34">
      <c r="A2" s="34" t="inlineStr">
        <is>
          <t>一级</t>
        </is>
      </c>
      <c r="B2" s="34" t="inlineStr">
        <is>
          <t>二级</t>
        </is>
      </c>
      <c r="C2" s="34" t="inlineStr">
        <is>
          <t>二级</t>
        </is>
      </c>
      <c r="D2" s="34" t="inlineStr">
        <is>
          <t>三级</t>
        </is>
      </c>
      <c r="E2" s="34" t="inlineStr">
        <is>
          <t>三级科目对应编码</t>
        </is>
      </c>
      <c r="F2" s="91" t="inlineStr">
        <is>
          <t>1月</t>
        </is>
      </c>
      <c r="G2" s="34" t="inlineStr">
        <is>
          <t>2月</t>
        </is>
      </c>
      <c r="H2" s="34" t="inlineStr">
        <is>
          <t>3月</t>
        </is>
      </c>
      <c r="I2" s="34" t="inlineStr">
        <is>
          <t>4月</t>
        </is>
      </c>
      <c r="J2" s="34" t="inlineStr">
        <is>
          <t>5月</t>
        </is>
      </c>
      <c r="K2" s="34" t="inlineStr">
        <is>
          <t>6月</t>
        </is>
      </c>
      <c r="L2" s="34" t="inlineStr">
        <is>
          <t>7月</t>
        </is>
      </c>
      <c r="M2" s="34" t="inlineStr">
        <is>
          <t>8月</t>
        </is>
      </c>
      <c r="N2" s="34" t="inlineStr">
        <is>
          <t>9月</t>
        </is>
      </c>
      <c r="O2" s="34" t="inlineStr">
        <is>
          <t>10月</t>
        </is>
      </c>
      <c r="P2" s="34" t="inlineStr">
        <is>
          <t>11月</t>
        </is>
      </c>
      <c r="Q2" s="34" t="inlineStr">
        <is>
          <t>12月</t>
        </is>
      </c>
      <c r="R2" s="34" t="inlineStr">
        <is>
          <t>本年合计</t>
        </is>
      </c>
    </row>
    <row r="3" s="83">
      <c r="A3" s="5" t="inlineStr">
        <is>
          <t>收入</t>
        </is>
      </c>
      <c r="B3" s="6" t="inlineStr">
        <is>
          <t>业务收入</t>
        </is>
      </c>
      <c r="C3" s="6" t="inlineStr">
        <is>
          <t>业务收入</t>
        </is>
      </c>
      <c r="D3" s="6" t="inlineStr">
        <is>
          <t>平台硬件销售收入</t>
        </is>
      </c>
      <c r="E3" s="6" t="inlineStr">
        <is>
          <t>Q0101</t>
        </is>
      </c>
      <c r="F3" s="89">
        <f>SUMIFS('1月数据源'!$I:$I,'1月数据源'!$D:$D,$E3,'1月数据源'!$F:$F,"SMART LEARNING HOLDING")*F$185-SUMIFS('1月数据源'!$J:$J,'1月数据源'!$D:$D,$E3,'1月数据源'!$F:$F,"SMART LEARNING HOLDING")*F$185</f>
        <v/>
      </c>
      <c r="G3" s="89">
        <f>SUMIFS('2月数据源'!$I:$I,'2月数据源'!$D:$D,$E3,'2月数据源'!$F:$F,"SMART LEARNING HOLDING")*G$185-SUMIFS('2月数据源'!$J:$J,'2月数据源'!$D:$D,$E3,'2月数据源'!$F:$F,"SMART LEARNING HOLDING")*G$185</f>
        <v/>
      </c>
      <c r="H3" s="89">
        <f>SUMIFS('3月数据源'!$I:$I,'3月数据源'!$D:$D,$E3,'3月数据源'!$F:$F,"SMART LEARNING HOLDING")*H$185-SUMIFS('3月数据源'!$J:$J,'3月数据源'!$D:$D,$E3,'3月数据源'!$F:$F,"SMART LEARNING HOLDING")*H$185</f>
        <v/>
      </c>
      <c r="I3" s="89">
        <f>SUMIFS('4月数据源'!$I:$I,'4月数据源'!$D:$D,$E3,'4月数据源'!$F:$F,"SMART LEARNING HOLDING")*I$185-SUMIFS('4月数据源'!$J:$J,'4月数据源'!$D:$D,$E3,'4月数据源'!$F:$F,"SMART LEARNING HOLDING")*I$185</f>
        <v/>
      </c>
      <c r="J3" s="89">
        <f>SUMIFS('5月数据源'!$I:$I,'5月数据源'!$D:$D,$E3,'5月数据源'!$F:$F,"SMART LEARNING HOLDING")*J$185-SUMIFS('5月数据源'!$J:$J,'5月数据源'!$D:$D,$E3,'5月数据源'!$F:$F,"SMART LEARNING HOLDING")*J$185</f>
        <v/>
      </c>
      <c r="K3" s="89">
        <f>SUMIFS('6月数据源'!$I:$I,'6月数据源'!$D:$D,$E3,'6月数据源'!$F:$F,"SMART LEARNING HOLDING")*K$185-SUMIFS('6月数据源'!$J:$J,'6月数据源'!$D:$D,$E3,'6月数据源'!$F:$F,"SMART LEARNING HOLDING")*K$185</f>
        <v/>
      </c>
      <c r="L3" s="89">
        <f>SUMIFS('7月数据源'!$I:$I,'7月数据源'!$D:$D,$E3,'7月数据源'!$F:$F,"SMART LEARNING HOLDING")*L$185-SUMIFS('7月数据源'!$J:$J,'7月数据源'!$D:$D,$E3,'7月数据源'!$F:$F,"SMART LEARNING HOLDING")*L$185</f>
        <v/>
      </c>
      <c r="M3" s="89">
        <f>SUMIFS('8月数据源'!$I:$I,'8月数据源'!$D:$D,$E3,'8月数据源'!$F:$F,"SMART LEARNING HOLDING")*M$185-SUMIFS('8月数据源'!$J:$J,'8月数据源'!$D:$D,$E3,'8月数据源'!$F:$F,"SMART LEARNING HOLDING")*M$185</f>
        <v/>
      </c>
      <c r="N3" s="89">
        <f>SUMIFS('9月数据源'!$I:$I,'9月数据源'!$D:$D,$E3,'9月数据源'!$F:$F,"SMART LEARNING HOLDING")*N$185-SUMIFS('9月数据源'!$J:$J,'9月数据源'!$D:$D,$E3,'9月数据源'!$F:$F,"SMART LEARNING HOLDING")*N$185</f>
        <v/>
      </c>
      <c r="O3" s="89">
        <f>SUMIFS('10月数据源'!$I:$I,'10月数据源'!$D:$D,$E3,'10月数据源'!$F:$F,"SMART LEARNING HOLDING")*O$185-SUMIFS('10月数据源'!$J:$J,'10月数据源'!$D:$D,$E3,'10月数据源'!$F:$F,"SMART LEARNING HOLDING")*O$185</f>
        <v/>
      </c>
      <c r="P3" s="89">
        <f>SUMIFS('11月数据源'!$I:$I,'11月数据源'!$D:$D,$E3,'11月数据源'!$F:$F,"SMART LEARNING HOLDING")*P$185-SUMIFS('11月数据源'!$J:$J,'11月数据源'!$D:$D,$E3,'11月数据源'!$F:$F,"SMART LEARNING HOLDING")*P$185</f>
        <v/>
      </c>
      <c r="Q3" s="89">
        <f>SUMIFS('12月数据源'!$I:$I,'12月数据源'!$D:$D,$E3,'12月数据源'!$F:$F,"SMART LEARNING HOLDING")*Q$185-SUMIFS('12月数据源'!$J:$J,'12月数据源'!$D:$D,$E3,'12月数据源'!$F:$F,"SMART LEARNING HOLDING")*Q$185</f>
        <v/>
      </c>
    </row>
    <row r="4" s="83">
      <c r="A4" s="5" t="inlineStr">
        <is>
          <t>收入</t>
        </is>
      </c>
      <c r="B4" s="6" t="inlineStr">
        <is>
          <t>业务收入</t>
        </is>
      </c>
      <c r="D4" s="6" t="inlineStr">
        <is>
          <t>服务收款</t>
        </is>
      </c>
      <c r="E4" s="6" t="inlineStr">
        <is>
          <t>Q0102</t>
        </is>
      </c>
      <c r="F4" s="89">
        <f>SUMIFS('1月数据源'!$I:$I,'1月数据源'!$D:$D,$E4,'1月数据源'!$F:$F,"SMART LEARNING HOLDING")*F$185-SUMIFS('1月数据源'!$J:$J,'1月数据源'!$D:$D,$E4,'1月数据源'!$F:$F,"SMART LEARNING HOLDING")*F$185</f>
        <v/>
      </c>
      <c r="G4" s="89">
        <f>SUMIFS('2月数据源'!$I:$I,'2月数据源'!$D:$D,$E4,'2月数据源'!$F:$F,"SMART LEARNING HOLDING")*G$185-SUMIFS('2月数据源'!$J:$J,'2月数据源'!$D:$D,$E4,'2月数据源'!$F:$F,"SMART LEARNING HOLDING")*G$185</f>
        <v/>
      </c>
      <c r="H4" s="89">
        <f>SUMIFS('3月数据源'!$I:$I,'3月数据源'!$D:$D,$E4,'3月数据源'!$F:$F,"SMART LEARNING HOLDING")*H$185-SUMIFS('3月数据源'!$J:$J,'3月数据源'!$D:$D,$E4,'3月数据源'!$F:$F,"SMART LEARNING HOLDING")*H$185</f>
        <v/>
      </c>
      <c r="I4" s="89">
        <f>SUMIFS('4月数据源'!$I:$I,'4月数据源'!$D:$D,$E4,'4月数据源'!$F:$F,"SMART LEARNING HOLDING")*I$185-SUMIFS('4月数据源'!$J:$J,'4月数据源'!$D:$D,$E4,'4月数据源'!$F:$F,"SMART LEARNING HOLDING")*I$185</f>
        <v/>
      </c>
      <c r="J4" s="89">
        <f>SUMIFS('5月数据源'!$I:$I,'5月数据源'!$D:$D,$E4,'5月数据源'!$F:$F,"SMART LEARNING HOLDING")*J$185-SUMIFS('5月数据源'!$J:$J,'5月数据源'!$D:$D,$E4,'5月数据源'!$F:$F,"SMART LEARNING HOLDING")*J$185</f>
        <v/>
      </c>
      <c r="K4" s="89">
        <f>SUMIFS('6月数据源'!$I:$I,'6月数据源'!$D:$D,$E4,'6月数据源'!$F:$F,"SMART LEARNING HOLDING")*K$185-SUMIFS('6月数据源'!$J:$J,'6月数据源'!$D:$D,$E4,'6月数据源'!$F:$F,"SMART LEARNING HOLDING")*K$185</f>
        <v/>
      </c>
      <c r="L4" s="89">
        <f>SUMIFS('7月数据源'!$I:$I,'7月数据源'!$D:$D,$E4,'7月数据源'!$F:$F,"SMART LEARNING HOLDING")*L$185-SUMIFS('7月数据源'!$J:$J,'7月数据源'!$D:$D,$E4,'7月数据源'!$F:$F,"SMART LEARNING HOLDING")*L$185</f>
        <v/>
      </c>
      <c r="M4" s="89">
        <f>SUMIFS('8月数据源'!$I:$I,'8月数据源'!$D:$D,$E4,'8月数据源'!$F:$F,"SMART LEARNING HOLDING")*M$185-SUMIFS('8月数据源'!$J:$J,'8月数据源'!$D:$D,$E4,'8月数据源'!$F:$F,"SMART LEARNING HOLDING")*M$185</f>
        <v/>
      </c>
      <c r="N4" s="89">
        <f>SUMIFS('9月数据源'!$I:$I,'9月数据源'!$D:$D,$E4,'9月数据源'!$F:$F,"SMART LEARNING HOLDING")*N$185-SUMIFS('9月数据源'!$J:$J,'9月数据源'!$D:$D,$E4,'9月数据源'!$F:$F,"SMART LEARNING HOLDING")*N$185</f>
        <v/>
      </c>
      <c r="O4" s="89">
        <f>SUMIFS('10月数据源'!$I:$I,'10月数据源'!$D:$D,$E4,'10月数据源'!$F:$F,"SMART LEARNING HOLDING")*O$185-SUMIFS('10月数据源'!$J:$J,'10月数据源'!$D:$D,$E4,'10月数据源'!$F:$F,"SMART LEARNING HOLDING")*O$185</f>
        <v/>
      </c>
      <c r="P4" s="89">
        <f>SUMIFS('11月数据源'!$I:$I,'11月数据源'!$D:$D,$E4,'11月数据源'!$F:$F,"SMART LEARNING HOLDING")*P$185-SUMIFS('11月数据源'!$J:$J,'11月数据源'!$D:$D,$E4,'11月数据源'!$F:$F,"SMART LEARNING HOLDING")*P$185</f>
        <v/>
      </c>
      <c r="Q4" s="89">
        <f>SUMIFS('12月数据源'!$I:$I,'12月数据源'!$D:$D,$E4,'12月数据源'!$F:$F,"SMART LEARNING HOLDING")*Q$185-SUMIFS('12月数据源'!$J:$J,'12月数据源'!$D:$D,$E4,'12月数据源'!$F:$F,"SMART LEARNING HOLDING")*Q$185</f>
        <v/>
      </c>
    </row>
    <row r="5" s="83">
      <c r="A5" s="5" t="inlineStr">
        <is>
          <t>收入</t>
        </is>
      </c>
      <c r="B5" s="6" t="inlineStr">
        <is>
          <t>业务收入</t>
        </is>
      </c>
      <c r="D5" s="6" t="inlineStr">
        <is>
          <t>平台补贴收入</t>
        </is>
      </c>
      <c r="E5" s="6" t="inlineStr">
        <is>
          <t>Q0103</t>
        </is>
      </c>
      <c r="F5" s="89">
        <f>SUMIFS('1月数据源'!$I:$I,'1月数据源'!$D:$D,$E5,'1月数据源'!$F:$F,"SMART LEARNING HOLDING")*F$185-SUMIFS('1月数据源'!$J:$J,'1月数据源'!$D:$D,$E5,'1月数据源'!$F:$F,"SMART LEARNING HOLDING")*F$185</f>
        <v/>
      </c>
      <c r="G5" s="89">
        <f>SUMIFS('2月数据源'!$I:$I,'2月数据源'!$D:$D,$E5,'2月数据源'!$F:$F,"SMART LEARNING HOLDING")*G$185-SUMIFS('2月数据源'!$J:$J,'2月数据源'!$D:$D,$E5,'2月数据源'!$F:$F,"SMART LEARNING HOLDING")*G$185</f>
        <v/>
      </c>
      <c r="H5" s="89">
        <f>SUMIFS('3月数据源'!$I:$I,'3月数据源'!$D:$D,$E5,'3月数据源'!$F:$F,"SMART LEARNING HOLDING")*H$185-SUMIFS('3月数据源'!$J:$J,'3月数据源'!$D:$D,$E5,'3月数据源'!$F:$F,"SMART LEARNING HOLDING")*H$185</f>
        <v/>
      </c>
      <c r="I5" s="89">
        <f>SUMIFS('4月数据源'!$I:$I,'4月数据源'!$D:$D,$E5,'4月数据源'!$F:$F,"SMART LEARNING HOLDING")*I$185-SUMIFS('4月数据源'!$J:$J,'4月数据源'!$D:$D,$E5,'4月数据源'!$F:$F,"SMART LEARNING HOLDING")*I$185</f>
        <v/>
      </c>
      <c r="J5" s="89">
        <f>SUMIFS('5月数据源'!$I:$I,'5月数据源'!$D:$D,$E5,'5月数据源'!$F:$F,"SMART LEARNING HOLDING")*J$185-SUMIFS('5月数据源'!$J:$J,'5月数据源'!$D:$D,$E5,'5月数据源'!$F:$F,"SMART LEARNING HOLDING")*J$185</f>
        <v/>
      </c>
      <c r="K5" s="89">
        <f>SUMIFS('6月数据源'!$I:$I,'6月数据源'!$D:$D,$E5,'6月数据源'!$F:$F,"SMART LEARNING HOLDING")*K$185-SUMIFS('6月数据源'!$J:$J,'6月数据源'!$D:$D,$E5,'6月数据源'!$F:$F,"SMART LEARNING HOLDING")*K$185</f>
        <v/>
      </c>
      <c r="L5" s="89">
        <f>SUMIFS('7月数据源'!$I:$I,'7月数据源'!$D:$D,$E5,'7月数据源'!$F:$F,"SMART LEARNING HOLDING")*L$185-SUMIFS('7月数据源'!$J:$J,'7月数据源'!$D:$D,$E5,'7月数据源'!$F:$F,"SMART LEARNING HOLDING")*L$185</f>
        <v/>
      </c>
      <c r="M5" s="89">
        <f>SUMIFS('8月数据源'!$I:$I,'8月数据源'!$D:$D,$E5,'8月数据源'!$F:$F,"SMART LEARNING HOLDING")*M$185-SUMIFS('8月数据源'!$J:$J,'8月数据源'!$D:$D,$E5,'8月数据源'!$F:$F,"SMART LEARNING HOLDING")*M$185</f>
        <v/>
      </c>
      <c r="N5" s="89">
        <f>SUMIFS('9月数据源'!$I:$I,'9月数据源'!$D:$D,$E5,'9月数据源'!$F:$F,"SMART LEARNING HOLDING")*N$185-SUMIFS('9月数据源'!$J:$J,'9月数据源'!$D:$D,$E5,'9月数据源'!$F:$F,"SMART LEARNING HOLDING")*N$185</f>
        <v/>
      </c>
      <c r="O5" s="89">
        <f>SUMIFS('10月数据源'!$I:$I,'10月数据源'!$D:$D,$E5,'10月数据源'!$F:$F,"SMART LEARNING HOLDING")*O$185-SUMIFS('10月数据源'!$J:$J,'10月数据源'!$D:$D,$E5,'10月数据源'!$F:$F,"SMART LEARNING HOLDING")*O$185</f>
        <v/>
      </c>
      <c r="P5" s="89">
        <f>SUMIFS('11月数据源'!$I:$I,'11月数据源'!$D:$D,$E5,'11月数据源'!$F:$F,"SMART LEARNING HOLDING")*P$185-SUMIFS('11月数据源'!$J:$J,'11月数据源'!$D:$D,$E5,'11月数据源'!$F:$F,"SMART LEARNING HOLDING")*P$185</f>
        <v/>
      </c>
      <c r="Q5" s="89">
        <f>SUMIFS('12月数据源'!$I:$I,'12月数据源'!$D:$D,$E5,'12月数据源'!$F:$F,"SMART LEARNING HOLDING")*Q$185-SUMIFS('12月数据源'!$J:$J,'12月数据源'!$D:$D,$E5,'12月数据源'!$F:$F,"SMART LEARNING HOLDING")*Q$185</f>
        <v/>
      </c>
    </row>
    <row r="6" s="83">
      <c r="A6" s="5" t="inlineStr">
        <is>
          <t>收入</t>
        </is>
      </c>
      <c r="B6" s="6" t="inlineStr">
        <is>
          <t>业务收入</t>
        </is>
      </c>
      <c r="D6" s="6" t="inlineStr">
        <is>
          <t>自习室收入</t>
        </is>
      </c>
      <c r="E6" s="6" t="inlineStr">
        <is>
          <t>Q0104</t>
        </is>
      </c>
      <c r="F6" s="89">
        <f>SUMIFS('1月数据源'!$I:$I,'1月数据源'!$D:$D,$E6,'1月数据源'!$F:$F,"SMART LEARNING HOLDING")*F$185-SUMIFS('1月数据源'!$J:$J,'1月数据源'!$D:$D,$E6,'1月数据源'!$F:$F,"SMART LEARNING HOLDING")*F$185</f>
        <v/>
      </c>
      <c r="G6" s="89">
        <f>SUMIFS('2月数据源'!$I:$I,'2月数据源'!$D:$D,$E6,'2月数据源'!$F:$F,"SMART LEARNING HOLDING")*G$185-SUMIFS('2月数据源'!$J:$J,'2月数据源'!$D:$D,$E6,'2月数据源'!$F:$F,"SMART LEARNING HOLDING")*G$185</f>
        <v/>
      </c>
      <c r="H6" s="89">
        <f>SUMIFS('3月数据源'!$I:$I,'3月数据源'!$D:$D,$E6,'3月数据源'!$F:$F,"SMART LEARNING HOLDING")*H$185-SUMIFS('3月数据源'!$J:$J,'3月数据源'!$D:$D,$E6,'3月数据源'!$F:$F,"SMART LEARNING HOLDING")*H$185</f>
        <v/>
      </c>
      <c r="I6" s="89">
        <f>SUMIFS('4月数据源'!$I:$I,'4月数据源'!$D:$D,$E6,'4月数据源'!$F:$F,"SMART LEARNING HOLDING")*I$185-SUMIFS('4月数据源'!$J:$J,'4月数据源'!$D:$D,$E6,'4月数据源'!$F:$F,"SMART LEARNING HOLDING")*I$185</f>
        <v/>
      </c>
      <c r="J6" s="89">
        <f>SUMIFS('5月数据源'!$I:$I,'5月数据源'!$D:$D,$E6,'5月数据源'!$F:$F,"SMART LEARNING HOLDING")*J$185-SUMIFS('5月数据源'!$J:$J,'5月数据源'!$D:$D,$E6,'5月数据源'!$F:$F,"SMART LEARNING HOLDING")*J$185</f>
        <v/>
      </c>
      <c r="K6" s="89">
        <f>SUMIFS('6月数据源'!$I:$I,'6月数据源'!$D:$D,$E6,'6月数据源'!$F:$F,"SMART LEARNING HOLDING")*K$185-SUMIFS('6月数据源'!$J:$J,'6月数据源'!$D:$D,$E6,'6月数据源'!$F:$F,"SMART LEARNING HOLDING")*K$185</f>
        <v/>
      </c>
      <c r="L6" s="89">
        <f>SUMIFS('7月数据源'!$I:$I,'7月数据源'!$D:$D,$E6,'7月数据源'!$F:$F,"SMART LEARNING HOLDING")*L$185-SUMIFS('7月数据源'!$J:$J,'7月数据源'!$D:$D,$E6,'7月数据源'!$F:$F,"SMART LEARNING HOLDING")*L$185</f>
        <v/>
      </c>
      <c r="M6" s="89">
        <f>SUMIFS('8月数据源'!$I:$I,'8月数据源'!$D:$D,$E6,'8月数据源'!$F:$F,"SMART LEARNING HOLDING")*M$185-SUMIFS('8月数据源'!$J:$J,'8月数据源'!$D:$D,$E6,'8月数据源'!$F:$F,"SMART LEARNING HOLDING")*M$185</f>
        <v/>
      </c>
      <c r="N6" s="89">
        <f>SUMIFS('9月数据源'!$I:$I,'9月数据源'!$D:$D,$E6,'9月数据源'!$F:$F,"SMART LEARNING HOLDING")*N$185-SUMIFS('9月数据源'!$J:$J,'9月数据源'!$D:$D,$E6,'9月数据源'!$F:$F,"SMART LEARNING HOLDING")*N$185</f>
        <v/>
      </c>
      <c r="O6" s="89">
        <f>SUMIFS('10月数据源'!$I:$I,'10月数据源'!$D:$D,$E6,'10月数据源'!$F:$F,"SMART LEARNING HOLDING")*O$185-SUMIFS('10月数据源'!$J:$J,'10月数据源'!$D:$D,$E6,'10月数据源'!$F:$F,"SMART LEARNING HOLDING")*O$185</f>
        <v/>
      </c>
      <c r="P6" s="89">
        <f>SUMIFS('11月数据源'!$I:$I,'11月数据源'!$D:$D,$E6,'11月数据源'!$F:$F,"SMART LEARNING HOLDING")*P$185-SUMIFS('11月数据源'!$J:$J,'11月数据源'!$D:$D,$E6,'11月数据源'!$F:$F,"SMART LEARNING HOLDING")*P$185</f>
        <v/>
      </c>
      <c r="Q6" s="89">
        <f>SUMIFS('12月数据源'!$I:$I,'12月数据源'!$D:$D,$E6,'12月数据源'!$F:$F,"SMART LEARNING HOLDING")*Q$185-SUMIFS('12月数据源'!$J:$J,'12月数据源'!$D:$D,$E6,'12月数据源'!$F:$F,"SMART LEARNING HOLDING")*Q$185</f>
        <v/>
      </c>
    </row>
    <row r="7" s="83">
      <c r="A7" s="5" t="inlineStr">
        <is>
          <t>收入</t>
        </is>
      </c>
      <c r="B7" s="6" t="inlineStr">
        <is>
          <t>售后收入</t>
        </is>
      </c>
      <c r="C7" s="6" t="inlineStr">
        <is>
          <t>售后收入</t>
        </is>
      </c>
      <c r="D7" s="6" t="inlineStr">
        <is>
          <t>客户赔偿款</t>
        </is>
      </c>
      <c r="E7" s="6" t="inlineStr">
        <is>
          <t>Q0201</t>
        </is>
      </c>
      <c r="F7" s="89">
        <f>SUMIFS('1月数据源'!$I:$I,'1月数据源'!$D:$D,$E7,'1月数据源'!$F:$F,"SMART LEARNING HOLDING")*F$185-SUMIFS('1月数据源'!$J:$J,'1月数据源'!$D:$D,$E7,'1月数据源'!$F:$F,"SMART LEARNING HOLDING")*F$185</f>
        <v/>
      </c>
      <c r="G7" s="89">
        <f>SUMIFS('2月数据源'!$I:$I,'2月数据源'!$D:$D,$E7,'2月数据源'!$F:$F,"SMART LEARNING HOLDING")*G$185-SUMIFS('2月数据源'!$J:$J,'2月数据源'!$D:$D,$E7,'2月数据源'!$F:$F,"SMART LEARNING HOLDING")*G$185</f>
        <v/>
      </c>
      <c r="H7" s="89">
        <f>SUMIFS('3月数据源'!$I:$I,'3月数据源'!$D:$D,$E7,'3月数据源'!$F:$F,"SMART LEARNING HOLDING")*H$185-SUMIFS('3月数据源'!$J:$J,'3月数据源'!$D:$D,$E7,'3月数据源'!$F:$F,"SMART LEARNING HOLDING")*H$185</f>
        <v/>
      </c>
      <c r="I7" s="89">
        <f>SUMIFS('4月数据源'!$I:$I,'4月数据源'!$D:$D,$E7,'4月数据源'!$F:$F,"SMART LEARNING HOLDING")*I$185-SUMIFS('4月数据源'!$J:$J,'4月数据源'!$D:$D,$E7,'4月数据源'!$F:$F,"SMART LEARNING HOLDING")*I$185</f>
        <v/>
      </c>
      <c r="J7" s="89">
        <f>SUMIFS('5月数据源'!$I:$I,'5月数据源'!$D:$D,$E7,'5月数据源'!$F:$F,"SMART LEARNING HOLDING")*J$185-SUMIFS('5月数据源'!$J:$J,'5月数据源'!$D:$D,$E7,'5月数据源'!$F:$F,"SMART LEARNING HOLDING")*J$185</f>
        <v/>
      </c>
      <c r="K7" s="89">
        <f>SUMIFS('6月数据源'!$I:$I,'6月数据源'!$D:$D,$E7,'6月数据源'!$F:$F,"SMART LEARNING HOLDING")*K$185-SUMIFS('6月数据源'!$J:$J,'6月数据源'!$D:$D,$E7,'6月数据源'!$F:$F,"SMART LEARNING HOLDING")*K$185</f>
        <v/>
      </c>
      <c r="L7" s="89">
        <f>SUMIFS('7月数据源'!$I:$I,'7月数据源'!$D:$D,$E7,'7月数据源'!$F:$F,"SMART LEARNING HOLDING")*L$185-SUMIFS('7月数据源'!$J:$J,'7月数据源'!$D:$D,$E7,'7月数据源'!$F:$F,"SMART LEARNING HOLDING")*L$185</f>
        <v/>
      </c>
      <c r="M7" s="89">
        <f>SUMIFS('8月数据源'!$I:$I,'8月数据源'!$D:$D,$E7,'8月数据源'!$F:$F,"SMART LEARNING HOLDING")*M$185-SUMIFS('8月数据源'!$J:$J,'8月数据源'!$D:$D,$E7,'8月数据源'!$F:$F,"SMART LEARNING HOLDING")*M$185</f>
        <v/>
      </c>
      <c r="N7" s="89">
        <f>SUMIFS('9月数据源'!$I:$I,'9月数据源'!$D:$D,$E7,'9月数据源'!$F:$F,"SMART LEARNING HOLDING")*N$185-SUMIFS('9月数据源'!$J:$J,'9月数据源'!$D:$D,$E7,'9月数据源'!$F:$F,"SMART LEARNING HOLDING")*N$185</f>
        <v/>
      </c>
      <c r="O7" s="89">
        <f>SUMIFS('10月数据源'!$I:$I,'10月数据源'!$D:$D,$E7,'10月数据源'!$F:$F,"SMART LEARNING HOLDING")*O$185-SUMIFS('10月数据源'!$J:$J,'10月数据源'!$D:$D,$E7,'10月数据源'!$F:$F,"SMART LEARNING HOLDING")*O$185</f>
        <v/>
      </c>
      <c r="P7" s="89">
        <f>SUMIFS('11月数据源'!$I:$I,'11月数据源'!$D:$D,$E7,'11月数据源'!$F:$F,"SMART LEARNING HOLDING")*P$185-SUMIFS('11月数据源'!$J:$J,'11月数据源'!$D:$D,$E7,'11月数据源'!$F:$F,"SMART LEARNING HOLDING")*P$185</f>
        <v/>
      </c>
      <c r="Q7" s="89">
        <f>SUMIFS('12月数据源'!$I:$I,'12月数据源'!$D:$D,$E7,'12月数据源'!$F:$F,"SMART LEARNING HOLDING")*Q$185-SUMIFS('12月数据源'!$J:$J,'12月数据源'!$D:$D,$E7,'12月数据源'!$F:$F,"SMART LEARNING HOLDING")*Q$185</f>
        <v/>
      </c>
    </row>
    <row r="8" s="83">
      <c r="A8" s="5" t="inlineStr">
        <is>
          <t>收入</t>
        </is>
      </c>
      <c r="B8" s="6" t="inlineStr">
        <is>
          <t>售后收入</t>
        </is>
      </c>
      <c r="D8" s="6" t="inlineStr">
        <is>
          <t>供应商赔偿款</t>
        </is>
      </c>
      <c r="E8" s="6" t="inlineStr">
        <is>
          <t>Q0202</t>
        </is>
      </c>
      <c r="F8" s="89">
        <f>SUMIFS('1月数据源'!$I:$I,'1月数据源'!$D:$D,$E8,'1月数据源'!$F:$F,"SMART LEARNING HOLDING")*F$185-SUMIFS('1月数据源'!$J:$J,'1月数据源'!$D:$D,$E8,'1月数据源'!$F:$F,"SMART LEARNING HOLDING")*F$185</f>
        <v/>
      </c>
      <c r="G8" s="89">
        <f>SUMIFS('2月数据源'!$I:$I,'2月数据源'!$D:$D,$E8,'2月数据源'!$F:$F,"SMART LEARNING HOLDING")*G$185-SUMIFS('2月数据源'!$J:$J,'2月数据源'!$D:$D,$E8,'2月数据源'!$F:$F,"SMART LEARNING HOLDING")*G$185</f>
        <v/>
      </c>
      <c r="H8" s="89">
        <f>SUMIFS('3月数据源'!$I:$I,'3月数据源'!$D:$D,$E8,'3月数据源'!$F:$F,"SMART LEARNING HOLDING")*H$185-SUMIFS('3月数据源'!$J:$J,'3月数据源'!$D:$D,$E8,'3月数据源'!$F:$F,"SMART LEARNING HOLDING")*H$185</f>
        <v/>
      </c>
      <c r="I8" s="89">
        <f>SUMIFS('4月数据源'!$I:$I,'4月数据源'!$D:$D,$E8,'4月数据源'!$F:$F,"SMART LEARNING HOLDING")*I$185-SUMIFS('4月数据源'!$J:$J,'4月数据源'!$D:$D,$E8,'4月数据源'!$F:$F,"SMART LEARNING HOLDING")*I$185</f>
        <v/>
      </c>
      <c r="J8" s="89">
        <f>SUMIFS('5月数据源'!$I:$I,'5月数据源'!$D:$D,$E8,'5月数据源'!$F:$F,"SMART LEARNING HOLDING")*J$185-SUMIFS('5月数据源'!$J:$J,'5月数据源'!$D:$D,$E8,'5月数据源'!$F:$F,"SMART LEARNING HOLDING")*J$185</f>
        <v/>
      </c>
      <c r="K8" s="89">
        <f>SUMIFS('6月数据源'!$I:$I,'6月数据源'!$D:$D,$E8,'6月数据源'!$F:$F,"SMART LEARNING HOLDING")*K$185-SUMIFS('6月数据源'!$J:$J,'6月数据源'!$D:$D,$E8,'6月数据源'!$F:$F,"SMART LEARNING HOLDING")*K$185</f>
        <v/>
      </c>
      <c r="L8" s="89">
        <f>SUMIFS('7月数据源'!$I:$I,'7月数据源'!$D:$D,$E8,'7月数据源'!$F:$F,"SMART LEARNING HOLDING")*L$185-SUMIFS('7月数据源'!$J:$J,'7月数据源'!$D:$D,$E8,'7月数据源'!$F:$F,"SMART LEARNING HOLDING")*L$185</f>
        <v/>
      </c>
      <c r="M8" s="89">
        <f>SUMIFS('8月数据源'!$I:$I,'8月数据源'!$D:$D,$E8,'8月数据源'!$F:$F,"SMART LEARNING HOLDING")*M$185-SUMIFS('8月数据源'!$J:$J,'8月数据源'!$D:$D,$E8,'8月数据源'!$F:$F,"SMART LEARNING HOLDING")*M$185</f>
        <v/>
      </c>
      <c r="N8" s="89">
        <f>SUMIFS('9月数据源'!$I:$I,'9月数据源'!$D:$D,$E8,'9月数据源'!$F:$F,"SMART LEARNING HOLDING")*N$185-SUMIFS('9月数据源'!$J:$J,'9月数据源'!$D:$D,$E8,'9月数据源'!$F:$F,"SMART LEARNING HOLDING")*N$185</f>
        <v/>
      </c>
      <c r="O8" s="89">
        <f>SUMIFS('10月数据源'!$I:$I,'10月数据源'!$D:$D,$E8,'10月数据源'!$F:$F,"SMART LEARNING HOLDING")*O$185-SUMIFS('10月数据源'!$J:$J,'10月数据源'!$D:$D,$E8,'10月数据源'!$F:$F,"SMART LEARNING HOLDING")*O$185</f>
        <v/>
      </c>
      <c r="P8" s="89">
        <f>SUMIFS('11月数据源'!$I:$I,'11月数据源'!$D:$D,$E8,'11月数据源'!$F:$F,"SMART LEARNING HOLDING")*P$185-SUMIFS('11月数据源'!$J:$J,'11月数据源'!$D:$D,$E8,'11月数据源'!$F:$F,"SMART LEARNING HOLDING")*P$185</f>
        <v/>
      </c>
      <c r="Q8" s="89">
        <f>SUMIFS('12月数据源'!$I:$I,'12月数据源'!$D:$D,$E8,'12月数据源'!$F:$F,"SMART LEARNING HOLDING")*Q$185-SUMIFS('12月数据源'!$J:$J,'12月数据源'!$D:$D,$E8,'12月数据源'!$F:$F,"SMART LEARNING HOLDING")*Q$185</f>
        <v/>
      </c>
    </row>
    <row r="9" s="83">
      <c r="A9" s="5" t="inlineStr">
        <is>
          <t>收入</t>
        </is>
      </c>
      <c r="B9" s="6" t="inlineStr">
        <is>
          <t>营业外收入</t>
        </is>
      </c>
      <c r="C9" s="6" t="inlineStr">
        <is>
          <t>营业外收入</t>
        </is>
      </c>
      <c r="D9" s="6" t="inlineStr">
        <is>
          <t>政府补贴收入</t>
        </is>
      </c>
      <c r="E9" s="6" t="inlineStr">
        <is>
          <t>Q0301</t>
        </is>
      </c>
      <c r="F9" s="89">
        <f>SUMIFS('1月数据源'!$I:$I,'1月数据源'!$D:$D,$E9,'1月数据源'!$F:$F,"SMART LEARNING HOLDING")*F$185-SUMIFS('1月数据源'!$J:$J,'1月数据源'!$D:$D,$E9,'1月数据源'!$F:$F,"SMART LEARNING HOLDING")*F$185</f>
        <v/>
      </c>
      <c r="G9" s="89">
        <f>SUMIFS('2月数据源'!$I:$I,'2月数据源'!$D:$D,$E9,'2月数据源'!$F:$F,"SMART LEARNING HOLDING")*G$185-SUMIFS('2月数据源'!$J:$J,'2月数据源'!$D:$D,$E9,'2月数据源'!$F:$F,"SMART LEARNING HOLDING")*G$185</f>
        <v/>
      </c>
      <c r="H9" s="89">
        <f>SUMIFS('3月数据源'!$I:$I,'3月数据源'!$D:$D,$E9,'3月数据源'!$F:$F,"SMART LEARNING HOLDING")*H$185-SUMIFS('3月数据源'!$J:$J,'3月数据源'!$D:$D,$E9,'3月数据源'!$F:$F,"SMART LEARNING HOLDING")*H$185</f>
        <v/>
      </c>
      <c r="I9" s="89">
        <f>SUMIFS('4月数据源'!$I:$I,'4月数据源'!$D:$D,$E9,'4月数据源'!$F:$F,"SMART LEARNING HOLDING")*I$185-SUMIFS('4月数据源'!$J:$J,'4月数据源'!$D:$D,$E9,'4月数据源'!$F:$F,"SMART LEARNING HOLDING")*I$185</f>
        <v/>
      </c>
      <c r="J9" s="89">
        <f>SUMIFS('5月数据源'!$I:$I,'5月数据源'!$D:$D,$E9,'5月数据源'!$F:$F,"SMART LEARNING HOLDING")*J$185-SUMIFS('5月数据源'!$J:$J,'5月数据源'!$D:$D,$E9,'5月数据源'!$F:$F,"SMART LEARNING HOLDING")*J$185</f>
        <v/>
      </c>
      <c r="K9" s="89">
        <f>SUMIFS('6月数据源'!$I:$I,'6月数据源'!$D:$D,$E9,'6月数据源'!$F:$F,"SMART LEARNING HOLDING")*K$185-SUMIFS('6月数据源'!$J:$J,'6月数据源'!$D:$D,$E9,'6月数据源'!$F:$F,"SMART LEARNING HOLDING")*K$185</f>
        <v/>
      </c>
      <c r="L9" s="89">
        <f>SUMIFS('7月数据源'!$I:$I,'7月数据源'!$D:$D,$E9,'7月数据源'!$F:$F,"SMART LEARNING HOLDING")*L$185-SUMIFS('7月数据源'!$J:$J,'7月数据源'!$D:$D,$E9,'7月数据源'!$F:$F,"SMART LEARNING HOLDING")*L$185</f>
        <v/>
      </c>
      <c r="M9" s="89">
        <f>SUMIFS('8月数据源'!$I:$I,'8月数据源'!$D:$D,$E9,'8月数据源'!$F:$F,"SMART LEARNING HOLDING")*M$185-SUMIFS('8月数据源'!$J:$J,'8月数据源'!$D:$D,$E9,'8月数据源'!$F:$F,"SMART LEARNING HOLDING")*M$185</f>
        <v/>
      </c>
      <c r="N9" s="89">
        <f>SUMIFS('9月数据源'!$I:$I,'9月数据源'!$D:$D,$E9,'9月数据源'!$F:$F,"SMART LEARNING HOLDING")*N$185-SUMIFS('9月数据源'!$J:$J,'9月数据源'!$D:$D,$E9,'9月数据源'!$F:$F,"SMART LEARNING HOLDING")*N$185</f>
        <v/>
      </c>
      <c r="O9" s="89">
        <f>SUMIFS('10月数据源'!$I:$I,'10月数据源'!$D:$D,$E9,'10月数据源'!$F:$F,"SMART LEARNING HOLDING")*O$185-SUMIFS('10月数据源'!$J:$J,'10月数据源'!$D:$D,$E9,'10月数据源'!$F:$F,"SMART LEARNING HOLDING")*O$185</f>
        <v/>
      </c>
      <c r="P9" s="89">
        <f>SUMIFS('11月数据源'!$I:$I,'11月数据源'!$D:$D,$E9,'11月数据源'!$F:$F,"SMART LEARNING HOLDING")*P$185-SUMIFS('11月数据源'!$J:$J,'11月数据源'!$D:$D,$E9,'11月数据源'!$F:$F,"SMART LEARNING HOLDING")*P$185</f>
        <v/>
      </c>
      <c r="Q9" s="89">
        <f>SUMIFS('12月数据源'!$I:$I,'12月数据源'!$D:$D,$E9,'12月数据源'!$F:$F,"SMART LEARNING HOLDING")*Q$185-SUMIFS('12月数据源'!$J:$J,'12月数据源'!$D:$D,$E9,'12月数据源'!$F:$F,"SMART LEARNING HOLDING")*Q$185</f>
        <v/>
      </c>
    </row>
    <row r="10" s="83">
      <c r="A10" s="5" t="inlineStr">
        <is>
          <t>收入</t>
        </is>
      </c>
      <c r="B10" s="6" t="inlineStr">
        <is>
          <t>营业外收入</t>
        </is>
      </c>
      <c r="D10" s="6" t="inlineStr">
        <is>
          <t>利息收入</t>
        </is>
      </c>
      <c r="E10" s="6" t="inlineStr">
        <is>
          <t>Q0302</t>
        </is>
      </c>
      <c r="F10" s="89">
        <f>SUMIFS('1月数据源'!$I:$I,'1月数据源'!$D:$D,$E10,'1月数据源'!$F:$F,"SMART LEARNING HOLDING")*F$185-SUMIFS('1月数据源'!$J:$J,'1月数据源'!$D:$D,$E10,'1月数据源'!$F:$F,"SMART LEARNING HOLDING")*F$185</f>
        <v/>
      </c>
      <c r="G10" s="89">
        <f>SUMIFS('2月数据源'!$I:$I,'2月数据源'!$D:$D,$E10,'2月数据源'!$F:$F,"SMART LEARNING HOLDING")*G$185-SUMIFS('2月数据源'!$J:$J,'2月数据源'!$D:$D,$E10,'2月数据源'!$F:$F,"SMART LEARNING HOLDING")*G$185</f>
        <v/>
      </c>
      <c r="H10" s="89">
        <f>SUMIFS('3月数据源'!$I:$I,'3月数据源'!$D:$D,$E10,'3月数据源'!$F:$F,"SMART LEARNING HOLDING")*H$185-SUMIFS('3月数据源'!$J:$J,'3月数据源'!$D:$D,$E10,'3月数据源'!$F:$F,"SMART LEARNING HOLDING")*H$185</f>
        <v/>
      </c>
      <c r="I10" s="89">
        <f>SUMIFS('4月数据源'!$I:$I,'4月数据源'!$D:$D,$E10,'4月数据源'!$F:$F,"SMART LEARNING HOLDING")*I$185-SUMIFS('4月数据源'!$J:$J,'4月数据源'!$D:$D,$E10,'4月数据源'!$F:$F,"SMART LEARNING HOLDING")*I$185</f>
        <v/>
      </c>
      <c r="J10" s="89">
        <f>SUMIFS('5月数据源'!$I:$I,'5月数据源'!$D:$D,$E10,'5月数据源'!$F:$F,"SMART LEARNING HOLDING")*J$185-SUMIFS('5月数据源'!$J:$J,'5月数据源'!$D:$D,$E10,'5月数据源'!$F:$F,"SMART LEARNING HOLDING")*J$185</f>
        <v/>
      </c>
      <c r="K10" s="89">
        <f>SUMIFS('6月数据源'!$I:$I,'6月数据源'!$D:$D,$E10,'6月数据源'!$F:$F,"SMART LEARNING HOLDING")*K$185-SUMIFS('6月数据源'!$J:$J,'6月数据源'!$D:$D,$E10,'6月数据源'!$F:$F,"SMART LEARNING HOLDING")*K$185</f>
        <v/>
      </c>
      <c r="L10" s="89">
        <f>SUMIFS('7月数据源'!$I:$I,'7月数据源'!$D:$D,$E10,'7月数据源'!$F:$F,"SMART LEARNING HOLDING")*L$185-SUMIFS('7月数据源'!$J:$J,'7月数据源'!$D:$D,$E10,'7月数据源'!$F:$F,"SMART LEARNING HOLDING")*L$185</f>
        <v/>
      </c>
      <c r="M10" s="89">
        <f>SUMIFS('8月数据源'!$I:$I,'8月数据源'!$D:$D,$E10,'8月数据源'!$F:$F,"SMART LEARNING HOLDING")*M$185-SUMIFS('8月数据源'!$J:$J,'8月数据源'!$D:$D,$E10,'8月数据源'!$F:$F,"SMART LEARNING HOLDING")*M$185</f>
        <v/>
      </c>
      <c r="N10" s="89">
        <f>SUMIFS('9月数据源'!$I:$I,'9月数据源'!$D:$D,$E10,'9月数据源'!$F:$F,"SMART LEARNING HOLDING")*N$185-SUMIFS('9月数据源'!$J:$J,'9月数据源'!$D:$D,$E10,'9月数据源'!$F:$F,"SMART LEARNING HOLDING")*N$185</f>
        <v/>
      </c>
      <c r="O10" s="89">
        <f>SUMIFS('10月数据源'!$I:$I,'10月数据源'!$D:$D,$E10,'10月数据源'!$F:$F,"SMART LEARNING HOLDING")*O$185-SUMIFS('10月数据源'!$J:$J,'10月数据源'!$D:$D,$E10,'10月数据源'!$F:$F,"SMART LEARNING HOLDING")*O$185</f>
        <v/>
      </c>
      <c r="P10" s="89">
        <f>SUMIFS('11月数据源'!$I:$I,'11月数据源'!$D:$D,$E10,'11月数据源'!$F:$F,"SMART LEARNING HOLDING")*P$185-SUMIFS('11月数据源'!$J:$J,'11月数据源'!$D:$D,$E10,'11月数据源'!$F:$F,"SMART LEARNING HOLDING")*P$185</f>
        <v/>
      </c>
      <c r="Q10" s="89">
        <f>SUMIFS('12月数据源'!$I:$I,'12月数据源'!$D:$D,$E10,'12月数据源'!$F:$F,"SMART LEARNING HOLDING")*Q$185-SUMIFS('12月数据源'!$J:$J,'12月数据源'!$D:$D,$E10,'12月数据源'!$F:$F,"SMART LEARNING HOLDING")*Q$185</f>
        <v/>
      </c>
    </row>
    <row r="11" s="83">
      <c r="A11" s="5" t="inlineStr">
        <is>
          <t>收入</t>
        </is>
      </c>
      <c r="B11" s="6" t="inlineStr">
        <is>
          <t>营业外收入</t>
        </is>
      </c>
      <c r="D11" s="6" t="inlineStr">
        <is>
          <t>其他收入</t>
        </is>
      </c>
      <c r="E11" s="6" t="inlineStr">
        <is>
          <t>Q0303</t>
        </is>
      </c>
      <c r="F11" s="89">
        <f>SUMIFS('1月数据源'!$I:$I,'1月数据源'!$D:$D,$E11,'1月数据源'!$F:$F,"SMART LEARNING HOLDING")*F$185-SUMIFS('1月数据源'!$J:$J,'1月数据源'!$D:$D,$E11,'1月数据源'!$F:$F,"SMART LEARNING HOLDING")*F$185</f>
        <v/>
      </c>
      <c r="G11" s="89">
        <f>SUMIFS('2月数据源'!$I:$I,'2月数据源'!$D:$D,$E11,'2月数据源'!$F:$F,"SMART LEARNING HOLDING")*G$185-SUMIFS('2月数据源'!$J:$J,'2月数据源'!$D:$D,$E11,'2月数据源'!$F:$F,"SMART LEARNING HOLDING")*G$185</f>
        <v/>
      </c>
      <c r="H11" s="89">
        <f>SUMIFS('3月数据源'!$I:$I,'3月数据源'!$D:$D,$E11,'3月数据源'!$F:$F,"SMART LEARNING HOLDING")*H$185-SUMIFS('3月数据源'!$J:$J,'3月数据源'!$D:$D,$E11,'3月数据源'!$F:$F,"SMART LEARNING HOLDING")*H$185</f>
        <v/>
      </c>
      <c r="I11" s="89">
        <f>SUMIFS('4月数据源'!$I:$I,'4月数据源'!$D:$D,$E11,'4月数据源'!$F:$F,"SMART LEARNING HOLDING")*I$185-SUMIFS('4月数据源'!$J:$J,'4月数据源'!$D:$D,$E11,'4月数据源'!$F:$F,"SMART LEARNING HOLDING")*I$185</f>
        <v/>
      </c>
      <c r="J11" s="89">
        <f>SUMIFS('5月数据源'!$I:$I,'5月数据源'!$D:$D,$E11,'5月数据源'!$F:$F,"SMART LEARNING HOLDING")*J$185-SUMIFS('5月数据源'!$J:$J,'5月数据源'!$D:$D,$E11,'5月数据源'!$F:$F,"SMART LEARNING HOLDING")*J$185</f>
        <v/>
      </c>
      <c r="K11" s="89">
        <f>SUMIFS('6月数据源'!$I:$I,'6月数据源'!$D:$D,$E11,'6月数据源'!$F:$F,"SMART LEARNING HOLDING")*K$185-SUMIFS('6月数据源'!$J:$J,'6月数据源'!$D:$D,$E11,'6月数据源'!$F:$F,"SMART LEARNING HOLDING")*K$185</f>
        <v/>
      </c>
      <c r="L11" s="89">
        <f>SUMIFS('7月数据源'!$I:$I,'7月数据源'!$D:$D,$E11,'7月数据源'!$F:$F,"SMART LEARNING HOLDING")*L$185-SUMIFS('7月数据源'!$J:$J,'7月数据源'!$D:$D,$E11,'7月数据源'!$F:$F,"SMART LEARNING HOLDING")*L$185</f>
        <v/>
      </c>
      <c r="M11" s="89">
        <f>SUMIFS('8月数据源'!$I:$I,'8月数据源'!$D:$D,$E11,'8月数据源'!$F:$F,"SMART LEARNING HOLDING")*M$185-SUMIFS('8月数据源'!$J:$J,'8月数据源'!$D:$D,$E11,'8月数据源'!$F:$F,"SMART LEARNING HOLDING")*M$185</f>
        <v/>
      </c>
      <c r="N11" s="89">
        <f>SUMIFS('9月数据源'!$I:$I,'9月数据源'!$D:$D,$E11,'9月数据源'!$F:$F,"SMART LEARNING HOLDING")*N$185-SUMIFS('9月数据源'!$J:$J,'9月数据源'!$D:$D,$E11,'9月数据源'!$F:$F,"SMART LEARNING HOLDING")*N$185</f>
        <v/>
      </c>
      <c r="O11" s="89">
        <f>SUMIFS('10月数据源'!$I:$I,'10月数据源'!$D:$D,$E11,'10月数据源'!$F:$F,"SMART LEARNING HOLDING")*O$185-SUMIFS('10月数据源'!$J:$J,'10月数据源'!$D:$D,$E11,'10月数据源'!$F:$F,"SMART LEARNING HOLDING")*O$185</f>
        <v/>
      </c>
      <c r="P11" s="89">
        <f>SUMIFS('11月数据源'!$I:$I,'11月数据源'!$D:$D,$E11,'11月数据源'!$F:$F,"SMART LEARNING HOLDING")*P$185-SUMIFS('11月数据源'!$J:$J,'11月数据源'!$D:$D,$E11,'11月数据源'!$F:$F,"SMART LEARNING HOLDING")*P$185</f>
        <v/>
      </c>
      <c r="Q11" s="89">
        <f>SUMIFS('12月数据源'!$I:$I,'12月数据源'!$D:$D,$E11,'12月数据源'!$F:$F,"SMART LEARNING HOLDING")*Q$185-SUMIFS('12月数据源'!$J:$J,'12月数据源'!$D:$D,$E11,'12月数据源'!$F:$F,"SMART LEARNING HOLDING")*Q$185</f>
        <v/>
      </c>
    </row>
    <row r="12" s="83">
      <c r="A12" s="49" t="inlineStr">
        <is>
          <t>收入合计</t>
        </is>
      </c>
      <c r="B12" s="50" t="n"/>
      <c r="C12" s="50" t="n"/>
      <c r="D12" s="49" t="n"/>
      <c r="E12" s="49" t="n"/>
      <c r="F12" s="89">
        <f>SUM(F3:F11)</f>
        <v/>
      </c>
      <c r="G12" s="89">
        <f>SUM(G3:G11)</f>
        <v/>
      </c>
      <c r="H12" s="89">
        <f>SUM(H3:H11)</f>
        <v/>
      </c>
      <c r="I12" s="89">
        <f>SUM(I3:I11)</f>
        <v/>
      </c>
      <c r="J12" s="89">
        <f>SUM(J3:J11)</f>
        <v/>
      </c>
      <c r="K12" s="89">
        <f>SUM(K3:K11)</f>
        <v/>
      </c>
      <c r="L12" s="89">
        <f>SUM(L3:L11)</f>
        <v/>
      </c>
      <c r="M12" s="89">
        <f>SUM(M3:M11)</f>
        <v/>
      </c>
      <c r="N12" s="89">
        <f>SUM(N3:N11)</f>
        <v/>
      </c>
      <c r="O12" s="89">
        <f>SUM(O3:O11)</f>
        <v/>
      </c>
      <c r="P12" s="89">
        <f>SUM(P3:P11)</f>
        <v/>
      </c>
      <c r="Q12" s="89">
        <f>SUM(Q3:Q11)</f>
        <v/>
      </c>
    </row>
    <row r="13" s="83">
      <c r="A13" s="5" t="inlineStr">
        <is>
          <t>往来款项收入</t>
        </is>
      </c>
      <c r="B13" s="6" t="inlineStr">
        <is>
          <t>往来款项收入</t>
        </is>
      </c>
      <c r="C13" s="6" t="inlineStr">
        <is>
          <t>往来款项收入</t>
        </is>
      </c>
      <c r="D13" s="5" t="inlineStr">
        <is>
          <t>内部往来收入</t>
        </is>
      </c>
      <c r="E13" s="6" t="inlineStr">
        <is>
          <t>Q0401</t>
        </is>
      </c>
      <c r="F13" s="89">
        <f>SUMIFS('1月数据源'!$I:$I,'1月数据源'!$D:$D,$E13,'1月数据源'!$F:$F,"SMART LEARNING HOLDING")*F$185-SUMIFS('1月数据源'!$J:$J,'1月数据源'!$D:$D,$E13,'1月数据源'!$F:$F,"SMART LEARNING HOLDING")*F$185</f>
        <v/>
      </c>
      <c r="G13" s="89">
        <f>SUMIFS('2月数据源'!$I:$I,'2月数据源'!$D:$D,$E13,'2月数据源'!$F:$F,"SMART LEARNING HOLDING")*G$185-SUMIFS('2月数据源'!$J:$J,'2月数据源'!$D:$D,$E13,'2月数据源'!$F:$F,"SMART LEARNING HOLDING")*G$185</f>
        <v/>
      </c>
      <c r="H13" s="89">
        <f>SUMIFS('3月数据源'!$I:$I,'3月数据源'!$D:$D,$E13,'3月数据源'!$F:$F,"SMART LEARNING HOLDING")*H$185-SUMIFS('3月数据源'!$J:$J,'3月数据源'!$D:$D,$E13,'3月数据源'!$F:$F,"SMART LEARNING HOLDING")*H$185</f>
        <v/>
      </c>
      <c r="I13" s="89">
        <f>SUMIFS('4月数据源'!$I:$I,'4月数据源'!$D:$D,$E13,'4月数据源'!$F:$F,"SMART LEARNING HOLDING")*I$185-SUMIFS('4月数据源'!$J:$J,'4月数据源'!$D:$D,$E13,'4月数据源'!$F:$F,"SMART LEARNING HOLDING")*I$185</f>
        <v/>
      </c>
      <c r="J13" s="89">
        <f>SUMIFS('5月数据源'!$I:$I,'5月数据源'!$D:$D,$E13,'5月数据源'!$F:$F,"SMART LEARNING HOLDING")*J$185-SUMIFS('5月数据源'!$J:$J,'5月数据源'!$D:$D,$E13,'5月数据源'!$F:$F,"SMART LEARNING HOLDING")*J$185</f>
        <v/>
      </c>
      <c r="K13" s="89">
        <f>SUMIFS('6月数据源'!$I:$I,'6月数据源'!$D:$D,$E13,'6月数据源'!$F:$F,"SMART LEARNING HOLDING")*K$185-SUMIFS('6月数据源'!$J:$J,'6月数据源'!$D:$D,$E13,'6月数据源'!$F:$F,"SMART LEARNING HOLDING")*K$185</f>
        <v/>
      </c>
      <c r="L13" s="89">
        <f>SUMIFS('7月数据源'!$I:$I,'7月数据源'!$D:$D,$E13,'7月数据源'!$F:$F,"SMART LEARNING HOLDING")*L$185-SUMIFS('7月数据源'!$J:$J,'7月数据源'!$D:$D,$E13,'7月数据源'!$F:$F,"SMART LEARNING HOLDING")*L$185</f>
        <v/>
      </c>
      <c r="M13" s="89">
        <f>SUMIFS('8月数据源'!$I:$I,'8月数据源'!$D:$D,$E13,'8月数据源'!$F:$F,"SMART LEARNING HOLDING")*M$185-SUMIFS('8月数据源'!$J:$J,'8月数据源'!$D:$D,$E13,'8月数据源'!$F:$F,"SMART LEARNING HOLDING")*M$185</f>
        <v/>
      </c>
      <c r="N13" s="89">
        <f>SUMIFS('9月数据源'!$I:$I,'9月数据源'!$D:$D,$E13,'9月数据源'!$F:$F,"SMART LEARNING HOLDING")*N$185-SUMIFS('9月数据源'!$J:$J,'9月数据源'!$D:$D,$E13,'9月数据源'!$F:$F,"SMART LEARNING HOLDING")*N$185</f>
        <v/>
      </c>
      <c r="O13" s="89">
        <f>SUMIFS('10月数据源'!$I:$I,'10月数据源'!$D:$D,$E13,'10月数据源'!$F:$F,"SMART LEARNING HOLDING")*O$185-SUMIFS('10月数据源'!$J:$J,'10月数据源'!$D:$D,$E13,'10月数据源'!$F:$F,"SMART LEARNING HOLDING")*O$185</f>
        <v/>
      </c>
      <c r="P13" s="89">
        <f>SUMIFS('11月数据源'!$I:$I,'11月数据源'!$D:$D,$E13,'11月数据源'!$F:$F,"SMART LEARNING HOLDING")*P$185-SUMIFS('11月数据源'!$J:$J,'11月数据源'!$D:$D,$E13,'11月数据源'!$F:$F,"SMART LEARNING HOLDING")*P$185</f>
        <v/>
      </c>
      <c r="Q13" s="89">
        <f>SUMIFS('12月数据源'!$I:$I,'12月数据源'!$D:$D,$E13,'12月数据源'!$F:$F,"SMART LEARNING HOLDING")*Q$185-SUMIFS('12月数据源'!$J:$J,'12月数据源'!$D:$D,$E13,'12月数据源'!$F:$F,"SMART LEARNING HOLDING")*Q$185</f>
        <v/>
      </c>
    </row>
    <row r="14" s="83">
      <c r="A14" s="5" t="inlineStr">
        <is>
          <t>往来款项收入</t>
        </is>
      </c>
      <c r="B14" s="6" t="inlineStr">
        <is>
          <t>往来款项收入</t>
        </is>
      </c>
      <c r="D14" s="5" t="inlineStr">
        <is>
          <t>外部往来收入</t>
        </is>
      </c>
      <c r="E14" s="6" t="inlineStr">
        <is>
          <t>Q0402</t>
        </is>
      </c>
      <c r="F14" s="89">
        <f>SUMIFS('1月数据源'!$I:$I,'1月数据源'!$D:$D,$E14,'1月数据源'!$F:$F,"SMART LEARNING HOLDING")*F$185-SUMIFS('1月数据源'!$J:$J,'1月数据源'!$D:$D,$E14,'1月数据源'!$F:$F,"SMART LEARNING HOLDING")*F$185</f>
        <v/>
      </c>
      <c r="G14" s="89">
        <f>SUMIFS('2月数据源'!$I:$I,'2月数据源'!$D:$D,$E14,'2月数据源'!$F:$F,"SMART LEARNING HOLDING")*G$185-SUMIFS('2月数据源'!$J:$J,'2月数据源'!$D:$D,$E14,'2月数据源'!$F:$F,"SMART LEARNING HOLDING")*G$185</f>
        <v/>
      </c>
      <c r="H14" s="89">
        <f>SUMIFS('3月数据源'!$I:$I,'3月数据源'!$D:$D,$E14,'3月数据源'!$F:$F,"SMART LEARNING HOLDING")*H$185-SUMIFS('3月数据源'!$J:$J,'3月数据源'!$D:$D,$E14,'3月数据源'!$F:$F,"SMART LEARNING HOLDING")*H$185</f>
        <v/>
      </c>
      <c r="I14" s="89">
        <f>SUMIFS('4月数据源'!$I:$I,'4月数据源'!$D:$D,$E14,'4月数据源'!$F:$F,"SMART LEARNING HOLDING")*I$185-SUMIFS('4月数据源'!$J:$J,'4月数据源'!$D:$D,$E14,'4月数据源'!$F:$F,"SMART LEARNING HOLDING")*I$185</f>
        <v/>
      </c>
      <c r="J14" s="89">
        <f>SUMIFS('5月数据源'!$I:$I,'5月数据源'!$D:$D,$E14,'5月数据源'!$F:$F,"SMART LEARNING HOLDING")*J$185-SUMIFS('5月数据源'!$J:$J,'5月数据源'!$D:$D,$E14,'5月数据源'!$F:$F,"SMART LEARNING HOLDING")*J$185</f>
        <v/>
      </c>
      <c r="K14" s="89">
        <f>SUMIFS('6月数据源'!$I:$I,'6月数据源'!$D:$D,$E14,'6月数据源'!$F:$F,"SMART LEARNING HOLDING")*K$185-SUMIFS('6月数据源'!$J:$J,'6月数据源'!$D:$D,$E14,'6月数据源'!$F:$F,"SMART LEARNING HOLDING")*K$185</f>
        <v/>
      </c>
      <c r="L14" s="89">
        <f>SUMIFS('7月数据源'!$I:$I,'7月数据源'!$D:$D,$E14,'7月数据源'!$F:$F,"SMART LEARNING HOLDING")*L$185-SUMIFS('7月数据源'!$J:$J,'7月数据源'!$D:$D,$E14,'7月数据源'!$F:$F,"SMART LEARNING HOLDING")*L$185</f>
        <v/>
      </c>
      <c r="M14" s="89">
        <f>SUMIFS('8月数据源'!$I:$I,'8月数据源'!$D:$D,$E14,'8月数据源'!$F:$F,"SMART LEARNING HOLDING")*M$185-SUMIFS('8月数据源'!$J:$J,'8月数据源'!$D:$D,$E14,'8月数据源'!$F:$F,"SMART LEARNING HOLDING")*M$185</f>
        <v/>
      </c>
      <c r="N14" s="89">
        <f>SUMIFS('9月数据源'!$I:$I,'9月数据源'!$D:$D,$E14,'9月数据源'!$F:$F,"SMART LEARNING HOLDING")*N$185-SUMIFS('9月数据源'!$J:$J,'9月数据源'!$D:$D,$E14,'9月数据源'!$F:$F,"SMART LEARNING HOLDING")*N$185</f>
        <v/>
      </c>
      <c r="O14" s="89">
        <f>SUMIFS('10月数据源'!$I:$I,'10月数据源'!$D:$D,$E14,'10月数据源'!$F:$F,"SMART LEARNING HOLDING")*O$185-SUMIFS('10月数据源'!$J:$J,'10月数据源'!$D:$D,$E14,'10月数据源'!$F:$F,"SMART LEARNING HOLDING")*O$185</f>
        <v/>
      </c>
      <c r="P14" s="89">
        <f>SUMIFS('11月数据源'!$I:$I,'11月数据源'!$D:$D,$E14,'11月数据源'!$F:$F,"SMART LEARNING HOLDING")*P$185-SUMIFS('11月数据源'!$J:$J,'11月数据源'!$D:$D,$E14,'11月数据源'!$F:$F,"SMART LEARNING HOLDING")*P$185</f>
        <v/>
      </c>
      <c r="Q14" s="89">
        <f>SUMIFS('12月数据源'!$I:$I,'12月数据源'!$D:$D,$E14,'12月数据源'!$F:$F,"SMART LEARNING HOLDING")*Q$185-SUMIFS('12月数据源'!$J:$J,'12月数据源'!$D:$D,$E14,'12月数据源'!$F:$F,"SMART LEARNING HOLDING")*Q$185</f>
        <v/>
      </c>
    </row>
    <row r="15" s="83">
      <c r="A15" s="49" t="inlineStr">
        <is>
          <t>往来款项收入合计</t>
        </is>
      </c>
      <c r="B15" s="50" t="n"/>
      <c r="C15" s="50" t="n"/>
      <c r="D15" s="49" t="n"/>
      <c r="E15" s="49" t="n"/>
      <c r="F15" s="89">
        <f>SUM(F13:F14)</f>
        <v/>
      </c>
      <c r="G15" s="89">
        <f>SUM(G13:G14)</f>
        <v/>
      </c>
      <c r="H15" s="89">
        <f>SUM(H13:H14)</f>
        <v/>
      </c>
      <c r="I15" s="89">
        <f>SUM(I13:I14)</f>
        <v/>
      </c>
      <c r="J15" s="89">
        <f>SUM(J13:J14)</f>
        <v/>
      </c>
      <c r="K15" s="89">
        <f>SUM(K13:K14)</f>
        <v/>
      </c>
      <c r="L15" s="89">
        <f>SUM(L13:L14)</f>
        <v/>
      </c>
      <c r="M15" s="89">
        <f>SUM(M13:M14)</f>
        <v/>
      </c>
      <c r="N15" s="89">
        <f>SUM(N13:N14)</f>
        <v/>
      </c>
      <c r="O15" s="89">
        <f>SUM(O13:O14)</f>
        <v/>
      </c>
      <c r="P15" s="89">
        <f>SUM(P13:P14)</f>
        <v/>
      </c>
      <c r="Q15" s="89">
        <f>SUM(Q13:Q14)</f>
        <v/>
      </c>
    </row>
    <row r="16" s="83">
      <c r="A16" s="5" t="inlineStr">
        <is>
          <t>投资款收入</t>
        </is>
      </c>
      <c r="B16" s="6" t="inlineStr">
        <is>
          <t>投资款收入</t>
        </is>
      </c>
      <c r="C16" s="6" t="inlineStr">
        <is>
          <t>投资款收入</t>
        </is>
      </c>
      <c r="D16" s="5" t="inlineStr">
        <is>
          <t>内部投资款收入</t>
        </is>
      </c>
      <c r="E16" s="6" t="inlineStr">
        <is>
          <t>Q0501</t>
        </is>
      </c>
      <c r="F16" s="89">
        <f>SUMIFS('1月数据源'!$I:$I,'1月数据源'!$D:$D,$E16,'1月数据源'!$F:$F,"SMART LEARNING HOLDING")*F$185-SUMIFS('1月数据源'!$J:$J,'1月数据源'!$D:$D,$E16,'1月数据源'!$F:$F,"SMART LEARNING HOLDING")*F$185</f>
        <v/>
      </c>
      <c r="G16" s="89">
        <f>SUMIFS('2月数据源'!$I:$I,'2月数据源'!$D:$D,$E16,'2月数据源'!$F:$F,"SMART LEARNING HOLDING")*G$185-SUMIFS('2月数据源'!$J:$J,'2月数据源'!$D:$D,$E16,'2月数据源'!$F:$F,"SMART LEARNING HOLDING")*G$185</f>
        <v/>
      </c>
      <c r="H16" s="89">
        <f>SUMIFS('3月数据源'!$I:$I,'3月数据源'!$D:$D,$E16,'3月数据源'!$F:$F,"SMART LEARNING HOLDING")*H$185-SUMIFS('3月数据源'!$J:$J,'3月数据源'!$D:$D,$E16,'3月数据源'!$F:$F,"SMART LEARNING HOLDING")*H$185</f>
        <v/>
      </c>
      <c r="I16" s="89">
        <f>SUMIFS('4月数据源'!$I:$I,'4月数据源'!$D:$D,$E16,'4月数据源'!$F:$F,"SMART LEARNING HOLDING")*I$185-SUMIFS('4月数据源'!$J:$J,'4月数据源'!$D:$D,$E16,'4月数据源'!$F:$F,"SMART LEARNING HOLDING")*I$185</f>
        <v/>
      </c>
      <c r="J16" s="89">
        <f>SUMIFS('5月数据源'!$I:$I,'5月数据源'!$D:$D,$E16,'5月数据源'!$F:$F,"SMART LEARNING HOLDING")*J$185-SUMIFS('5月数据源'!$J:$J,'5月数据源'!$D:$D,$E16,'5月数据源'!$F:$F,"SMART LEARNING HOLDING")*J$185</f>
        <v/>
      </c>
      <c r="K16" s="89">
        <f>SUMIFS('6月数据源'!$I:$I,'6月数据源'!$D:$D,$E16,'6月数据源'!$F:$F,"SMART LEARNING HOLDING")*K$185-SUMIFS('6月数据源'!$J:$J,'6月数据源'!$D:$D,$E16,'6月数据源'!$F:$F,"SMART LEARNING HOLDING")*K$185</f>
        <v/>
      </c>
      <c r="L16" s="89">
        <f>SUMIFS('7月数据源'!$I:$I,'7月数据源'!$D:$D,$E16,'7月数据源'!$F:$F,"SMART LEARNING HOLDING")*L$185-SUMIFS('7月数据源'!$J:$J,'7月数据源'!$D:$D,$E16,'7月数据源'!$F:$F,"SMART LEARNING HOLDING")*L$185</f>
        <v/>
      </c>
      <c r="M16" s="89">
        <f>SUMIFS('8月数据源'!$I:$I,'8月数据源'!$D:$D,$E16,'8月数据源'!$F:$F,"SMART LEARNING HOLDING")*M$185-SUMIFS('8月数据源'!$J:$J,'8月数据源'!$D:$D,$E16,'8月数据源'!$F:$F,"SMART LEARNING HOLDING")*M$185</f>
        <v/>
      </c>
      <c r="N16" s="89">
        <f>SUMIFS('9月数据源'!$I:$I,'9月数据源'!$D:$D,$E16,'9月数据源'!$F:$F,"SMART LEARNING HOLDING")*N$185-SUMIFS('9月数据源'!$J:$J,'9月数据源'!$D:$D,$E16,'9月数据源'!$F:$F,"SMART LEARNING HOLDING")*N$185</f>
        <v/>
      </c>
      <c r="O16" s="89">
        <f>SUMIFS('10月数据源'!$I:$I,'10月数据源'!$D:$D,$E16,'10月数据源'!$F:$F,"SMART LEARNING HOLDING")*O$185-SUMIFS('10月数据源'!$J:$J,'10月数据源'!$D:$D,$E16,'10月数据源'!$F:$F,"SMART LEARNING HOLDING")*O$185</f>
        <v/>
      </c>
      <c r="P16" s="89">
        <f>SUMIFS('11月数据源'!$I:$I,'11月数据源'!$D:$D,$E16,'11月数据源'!$F:$F,"SMART LEARNING HOLDING")*P$185-SUMIFS('11月数据源'!$J:$J,'11月数据源'!$D:$D,$E16,'11月数据源'!$F:$F,"SMART LEARNING HOLDING")*P$185</f>
        <v/>
      </c>
      <c r="Q16" s="89">
        <f>SUMIFS('12月数据源'!$I:$I,'12月数据源'!$D:$D,$E16,'12月数据源'!$F:$F,"SMART LEARNING HOLDING")*Q$185-SUMIFS('12月数据源'!$J:$J,'12月数据源'!$D:$D,$E16,'12月数据源'!$F:$F,"SMART LEARNING HOLDING")*Q$185</f>
        <v/>
      </c>
    </row>
    <row r="17" s="83">
      <c r="A17" s="5" t="inlineStr">
        <is>
          <t>投资款收入</t>
        </is>
      </c>
      <c r="B17" s="6" t="inlineStr">
        <is>
          <t>投资款收入</t>
        </is>
      </c>
      <c r="D17" s="5" t="inlineStr">
        <is>
          <t>外部投资款收入</t>
        </is>
      </c>
      <c r="E17" s="6" t="inlineStr">
        <is>
          <t>Q0502</t>
        </is>
      </c>
      <c r="F17" s="89">
        <f>SUMIFS('1月数据源'!$I:$I,'1月数据源'!$D:$D,$E17,'1月数据源'!$F:$F,"SMART LEARNING HOLDING")*F$185-SUMIFS('1月数据源'!$J:$J,'1月数据源'!$D:$D,$E17,'1月数据源'!$F:$F,"SMART LEARNING HOLDING")*F$185</f>
        <v/>
      </c>
      <c r="G17" s="89">
        <f>SUMIFS('2月数据源'!$I:$I,'2月数据源'!$D:$D,$E17,'2月数据源'!$F:$F,"SMART LEARNING HOLDING")*G$185-SUMIFS('2月数据源'!$J:$J,'2月数据源'!$D:$D,$E17,'2月数据源'!$F:$F,"SMART LEARNING HOLDING")*G$185</f>
        <v/>
      </c>
      <c r="H17" s="89">
        <f>SUMIFS('3月数据源'!$I:$I,'3月数据源'!$D:$D,$E17,'3月数据源'!$F:$F,"SMART LEARNING HOLDING")*H$185-SUMIFS('3月数据源'!$J:$J,'3月数据源'!$D:$D,$E17,'3月数据源'!$F:$F,"SMART LEARNING HOLDING")*H$185</f>
        <v/>
      </c>
      <c r="I17" s="89">
        <f>SUMIFS('4月数据源'!$I:$I,'4月数据源'!$D:$D,$E17,'4月数据源'!$F:$F,"SMART LEARNING HOLDING")*I$185-SUMIFS('4月数据源'!$J:$J,'4月数据源'!$D:$D,$E17,'4月数据源'!$F:$F,"SMART LEARNING HOLDING")*I$185</f>
        <v/>
      </c>
      <c r="J17" s="89">
        <f>SUMIFS('5月数据源'!$I:$I,'5月数据源'!$D:$D,$E17,'5月数据源'!$F:$F,"SMART LEARNING HOLDING")*J$185-SUMIFS('5月数据源'!$J:$J,'5月数据源'!$D:$D,$E17,'5月数据源'!$F:$F,"SMART LEARNING HOLDING")*J$185</f>
        <v/>
      </c>
      <c r="K17" s="89">
        <f>SUMIFS('6月数据源'!$I:$I,'6月数据源'!$D:$D,$E17,'6月数据源'!$F:$F,"SMART LEARNING HOLDING")*K$185-SUMIFS('6月数据源'!$J:$J,'6月数据源'!$D:$D,$E17,'6月数据源'!$F:$F,"SMART LEARNING HOLDING")*K$185</f>
        <v/>
      </c>
      <c r="L17" s="89">
        <f>SUMIFS('7月数据源'!$I:$I,'7月数据源'!$D:$D,$E17,'7月数据源'!$F:$F,"SMART LEARNING HOLDING")*L$185-SUMIFS('7月数据源'!$J:$J,'7月数据源'!$D:$D,$E17,'7月数据源'!$F:$F,"SMART LEARNING HOLDING")*L$185</f>
        <v/>
      </c>
      <c r="M17" s="89">
        <f>SUMIFS('8月数据源'!$I:$I,'8月数据源'!$D:$D,$E17,'8月数据源'!$F:$F,"SMART LEARNING HOLDING")*M$185-SUMIFS('8月数据源'!$J:$J,'8月数据源'!$D:$D,$E17,'8月数据源'!$F:$F,"SMART LEARNING HOLDING")*M$185</f>
        <v/>
      </c>
      <c r="N17" s="89">
        <f>SUMIFS('9月数据源'!$I:$I,'9月数据源'!$D:$D,$E17,'9月数据源'!$F:$F,"SMART LEARNING HOLDING")*N$185-SUMIFS('9月数据源'!$J:$J,'9月数据源'!$D:$D,$E17,'9月数据源'!$F:$F,"SMART LEARNING HOLDING")*N$185</f>
        <v/>
      </c>
      <c r="O17" s="89">
        <f>SUMIFS('10月数据源'!$I:$I,'10月数据源'!$D:$D,$E17,'10月数据源'!$F:$F,"SMART LEARNING HOLDING")*O$185-SUMIFS('10月数据源'!$J:$J,'10月数据源'!$D:$D,$E17,'10月数据源'!$F:$F,"SMART LEARNING HOLDING")*O$185</f>
        <v/>
      </c>
      <c r="P17" s="89">
        <f>SUMIFS('11月数据源'!$I:$I,'11月数据源'!$D:$D,$E17,'11月数据源'!$F:$F,"SMART LEARNING HOLDING")*P$185-SUMIFS('11月数据源'!$J:$J,'11月数据源'!$D:$D,$E17,'11月数据源'!$F:$F,"SMART LEARNING HOLDING")*P$185</f>
        <v/>
      </c>
      <c r="Q17" s="89">
        <f>SUMIFS('12月数据源'!$I:$I,'12月数据源'!$D:$D,$E17,'12月数据源'!$F:$F,"SMART LEARNING HOLDING")*Q$185-SUMIFS('12月数据源'!$J:$J,'12月数据源'!$D:$D,$E17,'12月数据源'!$F:$F,"SMART LEARNING HOLDING")*Q$185</f>
        <v/>
      </c>
    </row>
    <row r="18" s="83">
      <c r="A18" s="49" t="inlineStr">
        <is>
          <t>投资款收入合计</t>
        </is>
      </c>
      <c r="B18" s="50" t="n"/>
      <c r="C18" s="50" t="n"/>
      <c r="D18" s="49" t="n"/>
      <c r="E18" s="49" t="n"/>
      <c r="F18" s="89">
        <f>SUM(F16:F17)</f>
        <v/>
      </c>
      <c r="G18" s="89">
        <f>SUM(G16:G17)</f>
        <v/>
      </c>
      <c r="H18" s="89">
        <f>SUM(H16:H17)</f>
        <v/>
      </c>
      <c r="I18" s="89">
        <f>SUM(I16:I17)</f>
        <v/>
      </c>
      <c r="J18" s="89">
        <f>SUM(J16:J17)</f>
        <v/>
      </c>
      <c r="K18" s="89">
        <f>SUM(K16:K17)</f>
        <v/>
      </c>
      <c r="L18" s="89">
        <f>SUM(L16:L17)</f>
        <v/>
      </c>
      <c r="M18" s="89">
        <f>SUM(M16:M17)</f>
        <v/>
      </c>
      <c r="N18" s="89">
        <f>SUM(N16:N17)</f>
        <v/>
      </c>
      <c r="O18" s="89">
        <f>SUM(O16:O17)</f>
        <v/>
      </c>
      <c r="P18" s="89">
        <f>SUM(P16:P17)</f>
        <v/>
      </c>
      <c r="Q18" s="89">
        <f>SUM(Q16:Q17)</f>
        <v/>
      </c>
    </row>
    <row r="19" s="83">
      <c r="A19" s="51" t="inlineStr">
        <is>
          <t>收款合计</t>
        </is>
      </c>
      <c r="B19" s="52" t="n"/>
      <c r="C19" s="52" t="n"/>
      <c r="D19" s="51" t="n"/>
      <c r="E19" s="51" t="n"/>
      <c r="F19" s="89">
        <f>ROUND(F12+F15+F18,2)</f>
        <v/>
      </c>
      <c r="G19" s="89">
        <f>ROUND(G12+G15+G18,2)</f>
        <v/>
      </c>
      <c r="H19" s="89">
        <f>ROUND(H12+H15+H18,2)</f>
        <v/>
      </c>
      <c r="I19" s="89">
        <f>ROUND(I12+I15+I18,2)</f>
        <v/>
      </c>
      <c r="J19" s="89">
        <f>ROUND(J12+J15+J18,2)</f>
        <v/>
      </c>
      <c r="K19" s="89">
        <f>ROUND(K12+K15+K18,2)</f>
        <v/>
      </c>
      <c r="L19" s="89">
        <f>ROUND(L12+L15+L18,2)</f>
        <v/>
      </c>
      <c r="M19" s="89">
        <f>ROUND(M12+M15+M18,2)</f>
        <v/>
      </c>
      <c r="N19" s="89">
        <f>ROUND(N12+N15+N18,2)</f>
        <v/>
      </c>
      <c r="O19" s="89">
        <f>ROUND(O12+O15+O18,2)</f>
        <v/>
      </c>
      <c r="P19" s="89">
        <f>ROUND(P12+P15+P18,2)</f>
        <v/>
      </c>
      <c r="Q19" s="89">
        <f>ROUND(Q12+Q15+Q18,2)</f>
        <v/>
      </c>
    </row>
    <row r="20" s="83">
      <c r="A20" s="5" t="inlineStr">
        <is>
          <t>往来款项支出</t>
        </is>
      </c>
      <c r="B20" s="6" t="inlineStr">
        <is>
          <t>往来款项支出</t>
        </is>
      </c>
      <c r="C20" s="6" t="inlineStr">
        <is>
          <t>往来款项支出</t>
        </is>
      </c>
      <c r="D20" s="5" t="inlineStr">
        <is>
          <t>内部往来支出</t>
        </is>
      </c>
      <c r="E20" s="6" t="inlineStr">
        <is>
          <t>Q0601</t>
        </is>
      </c>
      <c r="F20" s="89">
        <f>-SUMIFS('1月数据源'!$I:$I,'1月数据源'!$D:$D,$E20,'1月数据源'!$F:$F,"SMART LEARNING HOLDING")*F$185+SUMIFS('1月数据源'!$J:$J,'1月数据源'!$D:$D,$E20,'1月数据源'!$F:$F,"SMART LEARNING HOLDING")*F$185</f>
        <v/>
      </c>
      <c r="G20" s="89">
        <f>-SUMIFS('2月数据源'!$I:$I,'2月数据源'!$D:$D,$E20,'2月数据源'!$F:$F,"SMART LEARNING HOLDING")*G$185+SUMIFS('2月数据源'!$J:$J,'2月数据源'!$D:$D,$E20,'2月数据源'!$F:$F,"SMART LEARNING HOLDING")*G$185</f>
        <v/>
      </c>
      <c r="H20" s="89">
        <f>-SUMIFS('3月数据源'!$I:$I,'3月数据源'!$D:$D,$E20,'3月数据源'!$F:$F,"SMART LEARNING HOLDING")*H$185+SUMIFS('3月数据源'!$J:$J,'3月数据源'!$D:$D,$E20,'3月数据源'!$F:$F,"SMART LEARNING HOLDING")*H$185</f>
        <v/>
      </c>
      <c r="I20" s="89">
        <f>-SUMIFS('4月数据源'!$I:$I,'4月数据源'!$D:$D,$E20,'4月数据源'!$F:$F,"SMART LEARNING HOLDING")*I$185+SUMIFS('4月数据源'!$J:$J,'4月数据源'!$D:$D,$E20,'4月数据源'!$F:$F,"SMART LEARNING HOLDING")*I$185</f>
        <v/>
      </c>
      <c r="J20" s="89">
        <f>-SUMIFS('5月数据源'!$I:$I,'5月数据源'!$D:$D,$E20,'5月数据源'!$F:$F,"SMART LEARNING HOLDING")*J$185+SUMIFS('5月数据源'!$J:$J,'5月数据源'!$D:$D,$E20,'5月数据源'!$F:$F,"SMART LEARNING HOLDING")*J$185</f>
        <v/>
      </c>
      <c r="K20" s="89">
        <f>-SUMIFS('6月数据源'!$I:$I,'6月数据源'!$D:$D,$E20,'6月数据源'!$F:$F,"SMART LEARNING HOLDING")*K$185+SUMIFS('6月数据源'!$J:$J,'6月数据源'!$D:$D,$E20,'6月数据源'!$F:$F,"SMART LEARNING HOLDING")*K$185</f>
        <v/>
      </c>
      <c r="L20" s="89">
        <f>-SUMIFS('7月数据源'!$I:$I,'7月数据源'!$D:$D,$E20,'7月数据源'!$F:$F,"SMART LEARNING HOLDING")*L$185+SUMIFS('7月数据源'!$J:$J,'7月数据源'!$D:$D,$E20,'7月数据源'!$F:$F,"SMART LEARNING HOLDING")*L$185</f>
        <v/>
      </c>
      <c r="M20" s="89">
        <f>-SUMIFS('8月数据源'!$I:$I,'8月数据源'!$D:$D,$E20,'8月数据源'!$F:$F,"SMART LEARNING HOLDING")*M$185+SUMIFS('8月数据源'!$J:$J,'8月数据源'!$D:$D,$E20,'8月数据源'!$F:$F,"SMART LEARNING HOLDING")*M$185</f>
        <v/>
      </c>
      <c r="N20" s="89">
        <f>-SUMIFS('9月数据源'!$I:$I,'9月数据源'!$D:$D,$E20,'9月数据源'!$F:$F,"SMART LEARNING HOLDING")*N$185+SUMIFS('9月数据源'!$J:$J,'9月数据源'!$D:$D,$E20,'9月数据源'!$F:$F,"SMART LEARNING HOLDING")*N$185</f>
        <v/>
      </c>
      <c r="O20" s="89">
        <f>-SUMIFS('10月数据源'!$I:$I,'10月数据源'!$D:$D,$E20,'10月数据源'!$F:$F,"SMART LEARNING HOLDING")*O$185+SUMIFS('10月数据源'!$J:$J,'10月数据源'!$D:$D,$E20,'10月数据源'!$F:$F,"SMART LEARNING HOLDING")*O$185</f>
        <v/>
      </c>
      <c r="P20" s="89">
        <f>-SUMIFS('11月数据源'!$I:$I,'11月数据源'!$D:$D,$E20,'11月数据源'!$F:$F,"SMART LEARNING HOLDING")*P$185+SUMIFS('11月数据源'!$J:$J,'11月数据源'!$D:$D,$E20,'11月数据源'!$F:$F,"SMART LEARNING HOLDING")*P$185</f>
        <v/>
      </c>
      <c r="Q20" s="89">
        <f>-SUMIFS('12月数据源'!$I:$I,'12月数据源'!$D:$D,$E20,'12月数据源'!$F:$F,"SMART LEARNING HOLDING")*Q$185+SUMIFS('12月数据源'!$J:$J,'12月数据源'!$D:$D,$E20,'12月数据源'!$F:$F,"SMART LEARNING HOLDING")*Q$185</f>
        <v/>
      </c>
    </row>
    <row r="21" s="83">
      <c r="A21" s="5" t="inlineStr">
        <is>
          <t>往来款项支出</t>
        </is>
      </c>
      <c r="B21" s="6" t="inlineStr">
        <is>
          <t>往来款项支出</t>
        </is>
      </c>
      <c r="D21" s="5" t="inlineStr">
        <is>
          <t>外部往来支出</t>
        </is>
      </c>
      <c r="E21" s="6" t="inlineStr">
        <is>
          <t>Q0602</t>
        </is>
      </c>
      <c r="F21" s="89">
        <f>-SUMIFS('1月数据源'!$I:$I,'1月数据源'!$D:$D,$E21,'1月数据源'!$F:$F,"SMART LEARNING HOLDING")*F$185+SUMIFS('1月数据源'!$J:$J,'1月数据源'!$D:$D,$E21,'1月数据源'!$F:$F,"SMART LEARNING HOLDING")*F$185</f>
        <v/>
      </c>
      <c r="G21" s="89">
        <f>-SUMIFS('2月数据源'!$I:$I,'2月数据源'!$D:$D,$E21,'2月数据源'!$F:$F,"SMART LEARNING HOLDING")*G$185+SUMIFS('2月数据源'!$J:$J,'2月数据源'!$D:$D,$E21,'2月数据源'!$F:$F,"SMART LEARNING HOLDING")*G$185</f>
        <v/>
      </c>
      <c r="H21" s="89">
        <f>-SUMIFS('3月数据源'!$I:$I,'3月数据源'!$D:$D,$E21,'3月数据源'!$F:$F,"SMART LEARNING HOLDING")*H$185+SUMIFS('3月数据源'!$J:$J,'3月数据源'!$D:$D,$E21,'3月数据源'!$F:$F,"SMART LEARNING HOLDING")*H$185</f>
        <v/>
      </c>
      <c r="I21" s="89">
        <f>-SUMIFS('4月数据源'!$I:$I,'4月数据源'!$D:$D,$E21,'4月数据源'!$F:$F,"SMART LEARNING HOLDING")*I$185+SUMIFS('4月数据源'!$J:$J,'4月数据源'!$D:$D,$E21,'4月数据源'!$F:$F,"SMART LEARNING HOLDING")*I$185</f>
        <v/>
      </c>
      <c r="J21" s="89">
        <f>-SUMIFS('5月数据源'!$I:$I,'5月数据源'!$D:$D,$E21,'5月数据源'!$F:$F,"SMART LEARNING HOLDING")*J$185+SUMIFS('5月数据源'!$J:$J,'5月数据源'!$D:$D,$E21,'5月数据源'!$F:$F,"SMART LEARNING HOLDING")*J$185</f>
        <v/>
      </c>
      <c r="K21" s="89">
        <f>-SUMIFS('6月数据源'!$I:$I,'6月数据源'!$D:$D,$E21,'6月数据源'!$F:$F,"SMART LEARNING HOLDING")*K$185+SUMIFS('6月数据源'!$J:$J,'6月数据源'!$D:$D,$E21,'6月数据源'!$F:$F,"SMART LEARNING HOLDING")*K$185</f>
        <v/>
      </c>
      <c r="L21" s="89">
        <f>-SUMIFS('7月数据源'!$I:$I,'7月数据源'!$D:$D,$E21,'7月数据源'!$F:$F,"SMART LEARNING HOLDING")*L$185+SUMIFS('7月数据源'!$J:$J,'7月数据源'!$D:$D,$E21,'7月数据源'!$F:$F,"SMART LEARNING HOLDING")*L$185</f>
        <v/>
      </c>
      <c r="M21" s="89">
        <f>-SUMIFS('8月数据源'!$I:$I,'8月数据源'!$D:$D,$E21,'8月数据源'!$F:$F,"SMART LEARNING HOLDING")*M$185+SUMIFS('8月数据源'!$J:$J,'8月数据源'!$D:$D,$E21,'8月数据源'!$F:$F,"SMART LEARNING HOLDING")*M$185</f>
        <v/>
      </c>
      <c r="N21" s="89">
        <f>-SUMIFS('9月数据源'!$I:$I,'9月数据源'!$D:$D,$E21,'9月数据源'!$F:$F,"SMART LEARNING HOLDING")*N$185+SUMIFS('9月数据源'!$J:$J,'9月数据源'!$D:$D,$E21,'9月数据源'!$F:$F,"SMART LEARNING HOLDING")*N$185</f>
        <v/>
      </c>
      <c r="O21" s="89">
        <f>-SUMIFS('10月数据源'!$I:$I,'10月数据源'!$D:$D,$E21,'10月数据源'!$F:$F,"SMART LEARNING HOLDING")*O$185+SUMIFS('10月数据源'!$J:$J,'10月数据源'!$D:$D,$E21,'10月数据源'!$F:$F,"SMART LEARNING HOLDING")*O$185</f>
        <v/>
      </c>
      <c r="P21" s="89">
        <f>-SUMIFS('11月数据源'!$I:$I,'11月数据源'!$D:$D,$E21,'11月数据源'!$F:$F,"SMART LEARNING HOLDING")*P$185+SUMIFS('11月数据源'!$J:$J,'11月数据源'!$D:$D,$E21,'11月数据源'!$F:$F,"SMART LEARNING HOLDING")*P$185</f>
        <v/>
      </c>
      <c r="Q21" s="89">
        <f>-SUMIFS('12月数据源'!$I:$I,'12月数据源'!$D:$D,$E21,'12月数据源'!$F:$F,"SMART LEARNING HOLDING")*Q$185+SUMIFS('12月数据源'!$J:$J,'12月数据源'!$D:$D,$E21,'12月数据源'!$F:$F,"SMART LEARNING HOLDING")*Q$185</f>
        <v/>
      </c>
    </row>
    <row r="22" s="83">
      <c r="A22" s="49" t="inlineStr">
        <is>
          <t>往来款项支出合计</t>
        </is>
      </c>
      <c r="B22" s="50" t="n"/>
      <c r="C22" s="50" t="n"/>
      <c r="D22" s="49" t="n"/>
      <c r="E22" s="49" t="n"/>
      <c r="F22" s="89">
        <f>SUM(F20:F21)</f>
        <v/>
      </c>
      <c r="G22" s="89">
        <f>SUM(G20:G21)</f>
        <v/>
      </c>
      <c r="H22" s="89">
        <f>SUM(H20:H21)</f>
        <v/>
      </c>
      <c r="I22" s="89">
        <f>SUM(I20:I21)</f>
        <v/>
      </c>
      <c r="J22" s="89">
        <f>SUM(J20:J21)</f>
        <v/>
      </c>
      <c r="K22" s="89">
        <f>SUM(K20:K21)</f>
        <v/>
      </c>
      <c r="L22" s="89">
        <f>SUM(L20:L21)</f>
        <v/>
      </c>
      <c r="M22" s="89">
        <f>SUM(M20:M21)</f>
        <v/>
      </c>
      <c r="N22" s="89">
        <f>SUM(N20:N21)</f>
        <v/>
      </c>
      <c r="O22" s="89">
        <f>SUM(O20:O21)</f>
        <v/>
      </c>
      <c r="P22" s="89">
        <f>SUM(P20:P21)</f>
        <v/>
      </c>
      <c r="Q22" s="89">
        <f>SUM(Q20:Q21)</f>
        <v/>
      </c>
    </row>
    <row r="23" s="83">
      <c r="A23" s="5" t="inlineStr">
        <is>
          <t>投资款支出</t>
        </is>
      </c>
      <c r="B23" s="6" t="inlineStr">
        <is>
          <t>投资款支出</t>
        </is>
      </c>
      <c r="C23" s="6" t="inlineStr">
        <is>
          <t>投资款支出</t>
        </is>
      </c>
      <c r="D23" s="5" t="inlineStr">
        <is>
          <t>内部投资款支出</t>
        </is>
      </c>
      <c r="E23" s="6" t="inlineStr">
        <is>
          <t>Q0701</t>
        </is>
      </c>
      <c r="F23" s="89" t="n"/>
      <c r="G23" s="89" t="n"/>
      <c r="H23" s="89" t="n"/>
      <c r="I23" s="89" t="n"/>
      <c r="J23" s="89">
        <f>1500000*7.1833+500000*7.1991</f>
        <v/>
      </c>
      <c r="K23" s="89">
        <f>500000*7.1803+700000*7.1729</f>
        <v/>
      </c>
      <c r="L23" s="89" t="n"/>
      <c r="M23" s="89" t="n"/>
      <c r="N23" s="89" t="n"/>
      <c r="O23" s="89" t="n"/>
      <c r="P23" s="89" t="n"/>
      <c r="Q23" s="89" t="n"/>
    </row>
    <row r="24" s="83">
      <c r="A24" s="49" t="inlineStr">
        <is>
          <t>投资款支出合计</t>
        </is>
      </c>
      <c r="B24" s="50" t="n"/>
      <c r="C24" s="50" t="n"/>
      <c r="D24" s="49" t="n"/>
      <c r="E24" s="49" t="n"/>
      <c r="F24" s="89">
        <f>SUM(F23:F23)</f>
        <v/>
      </c>
      <c r="G24" s="89">
        <f>SUM(G23:G23)</f>
        <v/>
      </c>
      <c r="H24" s="89">
        <f>SUM(H23:H23)</f>
        <v/>
      </c>
      <c r="I24" s="89">
        <f>SUM(I23:I23)</f>
        <v/>
      </c>
      <c r="J24" s="89">
        <f>SUM(J23:J23)</f>
        <v/>
      </c>
      <c r="K24" s="89">
        <f>SUM(K23:K23)</f>
        <v/>
      </c>
      <c r="L24" s="89">
        <f>SUM(L23:L23)</f>
        <v/>
      </c>
      <c r="M24" s="89">
        <f>SUM(M23:M23)</f>
        <v/>
      </c>
      <c r="N24" s="89">
        <f>SUM(N23:N23)</f>
        <v/>
      </c>
      <c r="O24" s="89">
        <f>SUM(O23:O23)</f>
        <v/>
      </c>
      <c r="P24" s="89">
        <f>SUM(P23:P23)</f>
        <v/>
      </c>
      <c r="Q24" s="89">
        <f>SUM(Q23:Q23)</f>
        <v/>
      </c>
    </row>
    <row r="25" s="83">
      <c r="A25" s="5" t="inlineStr">
        <is>
          <t>人工成本</t>
        </is>
      </c>
      <c r="B25" s="6" t="inlineStr">
        <is>
          <t>人工成本</t>
        </is>
      </c>
      <c r="C25" s="6" t="inlineStr">
        <is>
          <t>人工成本</t>
        </is>
      </c>
      <c r="D25" s="5" t="inlineStr">
        <is>
          <t>实发工资</t>
        </is>
      </c>
      <c r="E25" s="6" t="inlineStr">
        <is>
          <t>Q0801</t>
        </is>
      </c>
      <c r="F25" s="89">
        <f>-SUMIFS('1月数据源'!$I:$I,'1月数据源'!$D:$D,$E25,'1月数据源'!$F:$F,"SMART LEARNING HOLDING")*F$185+SUMIFS('1月数据源'!$J:$J,'1月数据源'!$D:$D,$E25,'1月数据源'!$F:$F,"SMART LEARNING HOLDING")*F$185</f>
        <v/>
      </c>
      <c r="G25" s="89">
        <f>-SUMIFS('2月数据源'!$I:$I,'2月数据源'!$D:$D,$E25,'2月数据源'!$F:$F,"SMART LEARNING HOLDING")*G$185+SUMIFS('2月数据源'!$J:$J,'2月数据源'!$D:$D,$E25,'2月数据源'!$F:$F,"SMART LEARNING HOLDING")*G$185</f>
        <v/>
      </c>
      <c r="H25" s="89">
        <f>-SUMIFS('3月数据源'!$I:$I,'3月数据源'!$D:$D,$E25,'3月数据源'!$F:$F,"SMART LEARNING HOLDING")*H$185+SUMIFS('3月数据源'!$J:$J,'3月数据源'!$D:$D,$E25,'3月数据源'!$F:$F,"SMART LEARNING HOLDING")*H$185</f>
        <v/>
      </c>
      <c r="I25" s="89">
        <f>-SUMIFS('4月数据源'!$I:$I,'4月数据源'!$D:$D,$E25,'4月数据源'!$F:$F,"SMART LEARNING HOLDING")*I$185+SUMIFS('4月数据源'!$J:$J,'4月数据源'!$D:$D,$E25,'4月数据源'!$F:$F,"SMART LEARNING HOLDING")*I$185</f>
        <v/>
      </c>
      <c r="J25" s="89">
        <f>-SUMIFS('5月数据源'!$I:$I,'5月数据源'!$D:$D,$E25,'5月数据源'!$F:$F,"SMART LEARNING HOLDING")*J$185+SUMIFS('5月数据源'!$J:$J,'5月数据源'!$D:$D,$E25,'5月数据源'!$F:$F,"SMART LEARNING HOLDING")*J$185</f>
        <v/>
      </c>
      <c r="K25" s="89">
        <f>-SUMIFS('6月数据源'!$I:$I,'6月数据源'!$D:$D,$E25,'6月数据源'!$F:$F,"SMART LEARNING HOLDING")*K$185+SUMIFS('6月数据源'!$J:$J,'6月数据源'!$D:$D,$E25,'6月数据源'!$F:$F,"SMART LEARNING HOLDING")*K$185</f>
        <v/>
      </c>
      <c r="L25" s="89">
        <f>-SUMIFS('7月数据源'!$I:$I,'7月数据源'!$D:$D,$E25,'7月数据源'!$F:$F,"SMART LEARNING HOLDING")*L$185+SUMIFS('7月数据源'!$J:$J,'7月数据源'!$D:$D,$E25,'7月数据源'!$F:$F,"SMART LEARNING HOLDING")*L$185</f>
        <v/>
      </c>
      <c r="M25" s="89">
        <f>-SUMIFS('8月数据源'!$I:$I,'8月数据源'!$D:$D,$E25,'8月数据源'!$F:$F,"SMART LEARNING HOLDING")*M$185+SUMIFS('8月数据源'!$J:$J,'8月数据源'!$D:$D,$E25,'8月数据源'!$F:$F,"SMART LEARNING HOLDING")*M$185</f>
        <v/>
      </c>
      <c r="N25" s="89">
        <f>-SUMIFS('9月数据源'!$I:$I,'9月数据源'!$D:$D,$E25,'9月数据源'!$F:$F,"SMART LEARNING HOLDING")*N$185+SUMIFS('9月数据源'!$J:$J,'9月数据源'!$D:$D,$E25,'9月数据源'!$F:$F,"SMART LEARNING HOLDING")*N$185</f>
        <v/>
      </c>
      <c r="O25" s="89">
        <f>-SUMIFS('10月数据源'!$I:$I,'10月数据源'!$D:$D,$E25,'10月数据源'!$F:$F,"SMART LEARNING HOLDING")*O$185+SUMIFS('10月数据源'!$J:$J,'10月数据源'!$D:$D,$E25,'10月数据源'!$F:$F,"SMART LEARNING HOLDING")*O$185</f>
        <v/>
      </c>
      <c r="P25" s="89">
        <f>-SUMIFS('11月数据源'!$I:$I,'11月数据源'!$D:$D,$E25,'11月数据源'!$F:$F,"SMART LEARNING HOLDING")*P$185+SUMIFS('11月数据源'!$J:$J,'11月数据源'!$D:$D,$E25,'11月数据源'!$F:$F,"SMART LEARNING HOLDING")*P$185</f>
        <v/>
      </c>
      <c r="Q25" s="89">
        <f>-SUMIFS('12月数据源'!$I:$I,'12月数据源'!$D:$D,$E25,'12月数据源'!$F:$F,"SMART LEARNING HOLDING")*Q$185+SUMIFS('12月数据源'!$J:$J,'12月数据源'!$D:$D,$E25,'12月数据源'!$F:$F,"SMART LEARNING HOLDING")*Q$185</f>
        <v/>
      </c>
    </row>
    <row r="26" s="83">
      <c r="A26" s="5" t="inlineStr">
        <is>
          <t>人工成本</t>
        </is>
      </c>
      <c r="B26" s="6" t="inlineStr">
        <is>
          <t>人工成本</t>
        </is>
      </c>
      <c r="D26" s="5" t="inlineStr">
        <is>
          <t>奖金</t>
        </is>
      </c>
      <c r="E26" s="6" t="inlineStr">
        <is>
          <t>Q0802</t>
        </is>
      </c>
      <c r="F26" s="89">
        <f>-SUMIFS('1月数据源'!$I:$I,'1月数据源'!$D:$D,$E26,'1月数据源'!$F:$F,"SMART LEARNING HOLDING")*F$185+SUMIFS('1月数据源'!$J:$J,'1月数据源'!$D:$D,$E26,'1月数据源'!$F:$F,"SMART LEARNING HOLDING")*F$185</f>
        <v/>
      </c>
      <c r="G26" s="89">
        <f>-SUMIFS('2月数据源'!$I:$I,'2月数据源'!$D:$D,$E26,'2月数据源'!$F:$F,"SMART LEARNING HOLDING")*G$185+SUMIFS('2月数据源'!$J:$J,'2月数据源'!$D:$D,$E26,'2月数据源'!$F:$F,"SMART LEARNING HOLDING")*G$185</f>
        <v/>
      </c>
      <c r="H26" s="89">
        <f>-SUMIFS('3月数据源'!$I:$I,'3月数据源'!$D:$D,$E26,'3月数据源'!$F:$F,"SMART LEARNING HOLDING")*H$185+SUMIFS('3月数据源'!$J:$J,'3月数据源'!$D:$D,$E26,'3月数据源'!$F:$F,"SMART LEARNING HOLDING")*H$185</f>
        <v/>
      </c>
      <c r="I26" s="89">
        <f>-SUMIFS('4月数据源'!$I:$I,'4月数据源'!$D:$D,$E26,'4月数据源'!$F:$F,"SMART LEARNING HOLDING")*I$185+SUMIFS('4月数据源'!$J:$J,'4月数据源'!$D:$D,$E26,'4月数据源'!$F:$F,"SMART LEARNING HOLDING")*I$185</f>
        <v/>
      </c>
      <c r="J26" s="89">
        <f>-SUMIFS('5月数据源'!$I:$I,'5月数据源'!$D:$D,$E26,'5月数据源'!$F:$F,"SMART LEARNING HOLDING")*J$185+SUMIFS('5月数据源'!$J:$J,'5月数据源'!$D:$D,$E26,'5月数据源'!$F:$F,"SMART LEARNING HOLDING")*J$185</f>
        <v/>
      </c>
      <c r="K26" s="89">
        <f>-SUMIFS('6月数据源'!$I:$I,'6月数据源'!$D:$D,$E26,'6月数据源'!$F:$F,"SMART LEARNING HOLDING")*K$185+SUMIFS('6月数据源'!$J:$J,'6月数据源'!$D:$D,$E26,'6月数据源'!$F:$F,"SMART LEARNING HOLDING")*K$185</f>
        <v/>
      </c>
      <c r="L26" s="89">
        <f>-SUMIFS('7月数据源'!$I:$I,'7月数据源'!$D:$D,$E26,'7月数据源'!$F:$F,"SMART LEARNING HOLDING")*L$185+SUMIFS('7月数据源'!$J:$J,'7月数据源'!$D:$D,$E26,'7月数据源'!$F:$F,"SMART LEARNING HOLDING")*L$185</f>
        <v/>
      </c>
      <c r="M26" s="89">
        <f>-SUMIFS('8月数据源'!$I:$I,'8月数据源'!$D:$D,$E26,'8月数据源'!$F:$F,"SMART LEARNING HOLDING")*M$185+SUMIFS('8月数据源'!$J:$J,'8月数据源'!$D:$D,$E26,'8月数据源'!$F:$F,"SMART LEARNING HOLDING")*M$185</f>
        <v/>
      </c>
      <c r="N26" s="89">
        <f>-SUMIFS('9月数据源'!$I:$I,'9月数据源'!$D:$D,$E26,'9月数据源'!$F:$F,"SMART LEARNING HOLDING")*N$185+SUMIFS('9月数据源'!$J:$J,'9月数据源'!$D:$D,$E26,'9月数据源'!$F:$F,"SMART LEARNING HOLDING")*N$185</f>
        <v/>
      </c>
      <c r="O26" s="89">
        <f>-SUMIFS('10月数据源'!$I:$I,'10月数据源'!$D:$D,$E26,'10月数据源'!$F:$F,"SMART LEARNING HOLDING")*O$185+SUMIFS('10月数据源'!$J:$J,'10月数据源'!$D:$D,$E26,'10月数据源'!$F:$F,"SMART LEARNING HOLDING")*O$185</f>
        <v/>
      </c>
      <c r="P26" s="89">
        <f>-SUMIFS('11月数据源'!$I:$I,'11月数据源'!$D:$D,$E26,'11月数据源'!$F:$F,"SMART LEARNING HOLDING")*P$185+SUMIFS('11月数据源'!$J:$J,'11月数据源'!$D:$D,$E26,'11月数据源'!$F:$F,"SMART LEARNING HOLDING")*P$185</f>
        <v/>
      </c>
      <c r="Q26" s="89">
        <f>-SUMIFS('12月数据源'!$I:$I,'12月数据源'!$D:$D,$E26,'12月数据源'!$F:$F,"SMART LEARNING HOLDING")*Q$185+SUMIFS('12月数据源'!$J:$J,'12月数据源'!$D:$D,$E26,'12月数据源'!$F:$F,"SMART LEARNING HOLDING")*Q$185</f>
        <v/>
      </c>
    </row>
    <row r="27" s="83">
      <c r="A27" s="5" t="inlineStr">
        <is>
          <t>人工成本</t>
        </is>
      </c>
      <c r="B27" s="6" t="inlineStr">
        <is>
          <t>人工成本</t>
        </is>
      </c>
      <c r="D27" s="5" t="inlineStr">
        <is>
          <t>社保（单位+个人）</t>
        </is>
      </c>
      <c r="E27" s="6" t="inlineStr">
        <is>
          <t>Q0803</t>
        </is>
      </c>
      <c r="F27" s="89">
        <f>-SUMIFS('1月数据源'!$I:$I,'1月数据源'!$D:$D,$E27,'1月数据源'!$F:$F,"SMART LEARNING HOLDING")*F$185+SUMIFS('1月数据源'!$J:$J,'1月数据源'!$D:$D,$E27,'1月数据源'!$F:$F,"SMART LEARNING HOLDING")*F$185</f>
        <v/>
      </c>
      <c r="G27" s="89">
        <f>-SUMIFS('2月数据源'!$I:$I,'2月数据源'!$D:$D,$E27,'2月数据源'!$F:$F,"SMART LEARNING HOLDING")*G$185+SUMIFS('2月数据源'!$J:$J,'2月数据源'!$D:$D,$E27,'2月数据源'!$F:$F,"SMART LEARNING HOLDING")*G$185</f>
        <v/>
      </c>
      <c r="H27" s="89">
        <f>-SUMIFS('3月数据源'!$I:$I,'3月数据源'!$D:$D,$E27,'3月数据源'!$F:$F,"SMART LEARNING HOLDING")*H$185+SUMIFS('3月数据源'!$J:$J,'3月数据源'!$D:$D,$E27,'3月数据源'!$F:$F,"SMART LEARNING HOLDING")*H$185</f>
        <v/>
      </c>
      <c r="I27" s="89">
        <f>-SUMIFS('4月数据源'!$I:$I,'4月数据源'!$D:$D,$E27,'4月数据源'!$F:$F,"SMART LEARNING HOLDING")*I$185+SUMIFS('4月数据源'!$J:$J,'4月数据源'!$D:$D,$E27,'4月数据源'!$F:$F,"SMART LEARNING HOLDING")*I$185</f>
        <v/>
      </c>
      <c r="J27" s="89">
        <f>-SUMIFS('5月数据源'!$I:$I,'5月数据源'!$D:$D,$E27,'5月数据源'!$F:$F,"SMART LEARNING HOLDING")*J$185+SUMIFS('5月数据源'!$J:$J,'5月数据源'!$D:$D,$E27,'5月数据源'!$F:$F,"SMART LEARNING HOLDING")*J$185</f>
        <v/>
      </c>
      <c r="K27" s="89">
        <f>-SUMIFS('6月数据源'!$I:$I,'6月数据源'!$D:$D,$E27,'6月数据源'!$F:$F,"SMART LEARNING HOLDING")*K$185+SUMIFS('6月数据源'!$J:$J,'6月数据源'!$D:$D,$E27,'6月数据源'!$F:$F,"SMART LEARNING HOLDING")*K$185</f>
        <v/>
      </c>
      <c r="L27" s="89">
        <f>-SUMIFS('7月数据源'!$I:$I,'7月数据源'!$D:$D,$E27,'7月数据源'!$F:$F,"SMART LEARNING HOLDING")*L$185+SUMIFS('7月数据源'!$J:$J,'7月数据源'!$D:$D,$E27,'7月数据源'!$F:$F,"SMART LEARNING HOLDING")*L$185</f>
        <v/>
      </c>
      <c r="M27" s="89">
        <f>-SUMIFS('8月数据源'!$I:$I,'8月数据源'!$D:$D,$E27,'8月数据源'!$F:$F,"SMART LEARNING HOLDING")*M$185+SUMIFS('8月数据源'!$J:$J,'8月数据源'!$D:$D,$E27,'8月数据源'!$F:$F,"SMART LEARNING HOLDING")*M$185</f>
        <v/>
      </c>
      <c r="N27" s="89">
        <f>-SUMIFS('9月数据源'!$I:$I,'9月数据源'!$D:$D,$E27,'9月数据源'!$F:$F,"SMART LEARNING HOLDING")*N$185+SUMIFS('9月数据源'!$J:$J,'9月数据源'!$D:$D,$E27,'9月数据源'!$F:$F,"SMART LEARNING HOLDING")*N$185</f>
        <v/>
      </c>
      <c r="O27" s="89">
        <f>-SUMIFS('10月数据源'!$I:$I,'10月数据源'!$D:$D,$E27,'10月数据源'!$F:$F,"SMART LEARNING HOLDING")*O$185+SUMIFS('10月数据源'!$J:$J,'10月数据源'!$D:$D,$E27,'10月数据源'!$F:$F,"SMART LEARNING HOLDING")*O$185</f>
        <v/>
      </c>
      <c r="P27" s="89">
        <f>-SUMIFS('11月数据源'!$I:$I,'11月数据源'!$D:$D,$E27,'11月数据源'!$F:$F,"SMART LEARNING HOLDING")*P$185+SUMIFS('11月数据源'!$J:$J,'11月数据源'!$D:$D,$E27,'11月数据源'!$F:$F,"SMART LEARNING HOLDING")*P$185</f>
        <v/>
      </c>
      <c r="Q27" s="89">
        <f>-SUMIFS('12月数据源'!$I:$I,'12月数据源'!$D:$D,$E27,'12月数据源'!$F:$F,"SMART LEARNING HOLDING")*Q$185+SUMIFS('12月数据源'!$J:$J,'12月数据源'!$D:$D,$E27,'12月数据源'!$F:$F,"SMART LEARNING HOLDING")*Q$185</f>
        <v/>
      </c>
    </row>
    <row r="28" s="83">
      <c r="A28" s="5" t="inlineStr">
        <is>
          <t>人工成本</t>
        </is>
      </c>
      <c r="B28" s="6" t="inlineStr">
        <is>
          <t>人工成本</t>
        </is>
      </c>
      <c r="D28" s="5" t="inlineStr">
        <is>
          <t>公积金（单位+个人）</t>
        </is>
      </c>
      <c r="E28" s="6" t="inlineStr">
        <is>
          <t>Q0804</t>
        </is>
      </c>
      <c r="F28" s="89">
        <f>-SUMIFS('1月数据源'!$I:$I,'1月数据源'!$D:$D,$E28,'1月数据源'!$F:$F,"SMART LEARNING HOLDING")*F$185+SUMIFS('1月数据源'!$J:$J,'1月数据源'!$D:$D,$E28,'1月数据源'!$F:$F,"SMART LEARNING HOLDING")*F$185</f>
        <v/>
      </c>
      <c r="G28" s="89">
        <f>-SUMIFS('2月数据源'!$I:$I,'2月数据源'!$D:$D,$E28,'2月数据源'!$F:$F,"SMART LEARNING HOLDING")*G$185+SUMIFS('2月数据源'!$J:$J,'2月数据源'!$D:$D,$E28,'2月数据源'!$F:$F,"SMART LEARNING HOLDING")*G$185</f>
        <v/>
      </c>
      <c r="H28" s="89">
        <f>-SUMIFS('3月数据源'!$I:$I,'3月数据源'!$D:$D,$E28,'3月数据源'!$F:$F,"SMART LEARNING HOLDING")*H$185+SUMIFS('3月数据源'!$J:$J,'3月数据源'!$D:$D,$E28,'3月数据源'!$F:$F,"SMART LEARNING HOLDING")*H$185</f>
        <v/>
      </c>
      <c r="I28" s="89">
        <f>-SUMIFS('4月数据源'!$I:$I,'4月数据源'!$D:$D,$E28,'4月数据源'!$F:$F,"SMART LEARNING HOLDING")*I$185+SUMIFS('4月数据源'!$J:$J,'4月数据源'!$D:$D,$E28,'4月数据源'!$F:$F,"SMART LEARNING HOLDING")*I$185</f>
        <v/>
      </c>
      <c r="J28" s="89">
        <f>-SUMIFS('5月数据源'!$I:$I,'5月数据源'!$D:$D,$E28,'5月数据源'!$F:$F,"SMART LEARNING HOLDING")*J$185+SUMIFS('5月数据源'!$J:$J,'5月数据源'!$D:$D,$E28,'5月数据源'!$F:$F,"SMART LEARNING HOLDING")*J$185</f>
        <v/>
      </c>
      <c r="K28" s="89">
        <f>-SUMIFS('6月数据源'!$I:$I,'6月数据源'!$D:$D,$E28,'6月数据源'!$F:$F,"SMART LEARNING HOLDING")*K$185+SUMIFS('6月数据源'!$J:$J,'6月数据源'!$D:$D,$E28,'6月数据源'!$F:$F,"SMART LEARNING HOLDING")*K$185</f>
        <v/>
      </c>
      <c r="L28" s="89">
        <f>-SUMIFS('7月数据源'!$I:$I,'7月数据源'!$D:$D,$E28,'7月数据源'!$F:$F,"SMART LEARNING HOLDING")*L$185+SUMIFS('7月数据源'!$J:$J,'7月数据源'!$D:$D,$E28,'7月数据源'!$F:$F,"SMART LEARNING HOLDING")*L$185</f>
        <v/>
      </c>
      <c r="M28" s="89">
        <f>-SUMIFS('8月数据源'!$I:$I,'8月数据源'!$D:$D,$E28,'8月数据源'!$F:$F,"SMART LEARNING HOLDING")*M$185+SUMIFS('8月数据源'!$J:$J,'8月数据源'!$D:$D,$E28,'8月数据源'!$F:$F,"SMART LEARNING HOLDING")*M$185</f>
        <v/>
      </c>
      <c r="N28" s="89">
        <f>-SUMIFS('9月数据源'!$I:$I,'9月数据源'!$D:$D,$E28,'9月数据源'!$F:$F,"SMART LEARNING HOLDING")*N$185+SUMIFS('9月数据源'!$J:$J,'9月数据源'!$D:$D,$E28,'9月数据源'!$F:$F,"SMART LEARNING HOLDING")*N$185</f>
        <v/>
      </c>
      <c r="O28" s="89">
        <f>-SUMIFS('10月数据源'!$I:$I,'10月数据源'!$D:$D,$E28,'10月数据源'!$F:$F,"SMART LEARNING HOLDING")*O$185+SUMIFS('10月数据源'!$J:$J,'10月数据源'!$D:$D,$E28,'10月数据源'!$F:$F,"SMART LEARNING HOLDING")*O$185</f>
        <v/>
      </c>
      <c r="P28" s="89">
        <f>-SUMIFS('11月数据源'!$I:$I,'11月数据源'!$D:$D,$E28,'11月数据源'!$F:$F,"SMART LEARNING HOLDING")*P$185+SUMIFS('11月数据源'!$J:$J,'11月数据源'!$D:$D,$E28,'11月数据源'!$F:$F,"SMART LEARNING HOLDING")*P$185</f>
        <v/>
      </c>
      <c r="Q28" s="89">
        <f>-SUMIFS('12月数据源'!$I:$I,'12月数据源'!$D:$D,$E28,'12月数据源'!$F:$F,"SMART LEARNING HOLDING")*Q$185+SUMIFS('12月数据源'!$J:$J,'12月数据源'!$D:$D,$E28,'12月数据源'!$F:$F,"SMART LEARNING HOLDING")*Q$185</f>
        <v/>
      </c>
    </row>
    <row r="29" s="83">
      <c r="A29" s="5" t="inlineStr">
        <is>
          <t>人工成本</t>
        </is>
      </c>
      <c r="B29" s="6" t="inlineStr">
        <is>
          <t>人工成本</t>
        </is>
      </c>
      <c r="D29" s="5" t="inlineStr">
        <is>
          <t>个税</t>
        </is>
      </c>
      <c r="E29" s="6" t="inlineStr">
        <is>
          <t>Q0805</t>
        </is>
      </c>
      <c r="F29" s="89">
        <f>-SUMIFS('1月数据源'!$I:$I,'1月数据源'!$D:$D,$E29,'1月数据源'!$F:$F,"SMART LEARNING HOLDING")*F$185+SUMIFS('1月数据源'!$J:$J,'1月数据源'!$D:$D,$E29,'1月数据源'!$F:$F,"SMART LEARNING HOLDING")*F$185</f>
        <v/>
      </c>
      <c r="G29" s="89">
        <f>-SUMIFS('2月数据源'!$I:$I,'2月数据源'!$D:$D,$E29,'2月数据源'!$F:$F,"SMART LEARNING HOLDING")*G$185+SUMIFS('2月数据源'!$J:$J,'2月数据源'!$D:$D,$E29,'2月数据源'!$F:$F,"SMART LEARNING HOLDING")*G$185</f>
        <v/>
      </c>
      <c r="H29" s="89">
        <f>-SUMIFS('3月数据源'!$I:$I,'3月数据源'!$D:$D,$E29,'3月数据源'!$F:$F,"SMART LEARNING HOLDING")*H$185+SUMIFS('3月数据源'!$J:$J,'3月数据源'!$D:$D,$E29,'3月数据源'!$F:$F,"SMART LEARNING HOLDING")*H$185</f>
        <v/>
      </c>
      <c r="I29" s="89">
        <f>-SUMIFS('4月数据源'!$I:$I,'4月数据源'!$D:$D,$E29,'4月数据源'!$F:$F,"SMART LEARNING HOLDING")*I$185+SUMIFS('4月数据源'!$J:$J,'4月数据源'!$D:$D,$E29,'4月数据源'!$F:$F,"SMART LEARNING HOLDING")*I$185</f>
        <v/>
      </c>
      <c r="J29" s="89">
        <f>-SUMIFS('5月数据源'!$I:$I,'5月数据源'!$D:$D,$E29,'5月数据源'!$F:$F,"SMART LEARNING HOLDING")*J$185+SUMIFS('5月数据源'!$J:$J,'5月数据源'!$D:$D,$E29,'5月数据源'!$F:$F,"SMART LEARNING HOLDING")*J$185</f>
        <v/>
      </c>
      <c r="K29" s="89">
        <f>-SUMIFS('6月数据源'!$I:$I,'6月数据源'!$D:$D,$E29,'6月数据源'!$F:$F,"SMART LEARNING HOLDING")*K$185+SUMIFS('6月数据源'!$J:$J,'6月数据源'!$D:$D,$E29,'6月数据源'!$F:$F,"SMART LEARNING HOLDING")*K$185</f>
        <v/>
      </c>
      <c r="L29" s="89">
        <f>-SUMIFS('7月数据源'!$I:$I,'7月数据源'!$D:$D,$E29,'7月数据源'!$F:$F,"SMART LEARNING HOLDING")*L$185+SUMIFS('7月数据源'!$J:$J,'7月数据源'!$D:$D,$E29,'7月数据源'!$F:$F,"SMART LEARNING HOLDING")*L$185</f>
        <v/>
      </c>
      <c r="M29" s="89">
        <f>-SUMIFS('8月数据源'!$I:$I,'8月数据源'!$D:$D,$E29,'8月数据源'!$F:$F,"SMART LEARNING HOLDING")*M$185+SUMIFS('8月数据源'!$J:$J,'8月数据源'!$D:$D,$E29,'8月数据源'!$F:$F,"SMART LEARNING HOLDING")*M$185</f>
        <v/>
      </c>
      <c r="N29" s="89">
        <f>-SUMIFS('9月数据源'!$I:$I,'9月数据源'!$D:$D,$E29,'9月数据源'!$F:$F,"SMART LEARNING HOLDING")*N$185+SUMIFS('9月数据源'!$J:$J,'9月数据源'!$D:$D,$E29,'9月数据源'!$F:$F,"SMART LEARNING HOLDING")*N$185</f>
        <v/>
      </c>
      <c r="O29" s="89">
        <f>-SUMIFS('10月数据源'!$I:$I,'10月数据源'!$D:$D,$E29,'10月数据源'!$F:$F,"SMART LEARNING HOLDING")*O$185+SUMIFS('10月数据源'!$J:$J,'10月数据源'!$D:$D,$E29,'10月数据源'!$F:$F,"SMART LEARNING HOLDING")*O$185</f>
        <v/>
      </c>
      <c r="P29" s="89">
        <f>-SUMIFS('11月数据源'!$I:$I,'11月数据源'!$D:$D,$E29,'11月数据源'!$F:$F,"SMART LEARNING HOLDING")*P$185+SUMIFS('11月数据源'!$J:$J,'11月数据源'!$D:$D,$E29,'11月数据源'!$F:$F,"SMART LEARNING HOLDING")*P$185</f>
        <v/>
      </c>
      <c r="Q29" s="89">
        <f>-SUMIFS('12月数据源'!$I:$I,'12月数据源'!$D:$D,$E29,'12月数据源'!$F:$F,"SMART LEARNING HOLDING")*Q$185+SUMIFS('12月数据源'!$J:$J,'12月数据源'!$D:$D,$E29,'12月数据源'!$F:$F,"SMART LEARNING HOLDING")*Q$185</f>
        <v/>
      </c>
    </row>
    <row r="30" s="83">
      <c r="A30" s="5" t="inlineStr">
        <is>
          <t>人工成本</t>
        </is>
      </c>
      <c r="B30" s="6" t="inlineStr">
        <is>
          <t>人工成本</t>
        </is>
      </c>
      <c r="D30" s="5" t="inlineStr">
        <is>
          <t>福利费</t>
        </is>
      </c>
      <c r="E30" s="6" t="inlineStr">
        <is>
          <t>Q0806</t>
        </is>
      </c>
      <c r="F30" s="89">
        <f>-SUMIFS('1月数据源'!$I:$I,'1月数据源'!$D:$D,$E30,'1月数据源'!$F:$F,"SMART LEARNING HOLDING")*F$185+SUMIFS('1月数据源'!$J:$J,'1月数据源'!$D:$D,$E30,'1月数据源'!$F:$F,"SMART LEARNING HOLDING")*F$185</f>
        <v/>
      </c>
      <c r="G30" s="89">
        <f>-SUMIFS('2月数据源'!$I:$I,'2月数据源'!$D:$D,$E30,'2月数据源'!$F:$F,"SMART LEARNING HOLDING")*G$185+SUMIFS('2月数据源'!$J:$J,'2月数据源'!$D:$D,$E30,'2月数据源'!$F:$F,"SMART LEARNING HOLDING")*G$185</f>
        <v/>
      </c>
      <c r="H30" s="89">
        <f>-SUMIFS('3月数据源'!$I:$I,'3月数据源'!$D:$D,$E30,'3月数据源'!$F:$F,"SMART LEARNING HOLDING")*H$185+SUMIFS('3月数据源'!$J:$J,'3月数据源'!$D:$D,$E30,'3月数据源'!$F:$F,"SMART LEARNING HOLDING")*H$185</f>
        <v/>
      </c>
      <c r="I30" s="89">
        <f>-SUMIFS('4月数据源'!$I:$I,'4月数据源'!$D:$D,$E30,'4月数据源'!$F:$F,"SMART LEARNING HOLDING")*I$185+SUMIFS('4月数据源'!$J:$J,'4月数据源'!$D:$D,$E30,'4月数据源'!$F:$F,"SMART LEARNING HOLDING")*I$185</f>
        <v/>
      </c>
      <c r="J30" s="89">
        <f>-SUMIFS('5月数据源'!$I:$I,'5月数据源'!$D:$D,$E30,'5月数据源'!$F:$F,"SMART LEARNING HOLDING")*J$185+SUMIFS('5月数据源'!$J:$J,'5月数据源'!$D:$D,$E30,'5月数据源'!$F:$F,"SMART LEARNING HOLDING")*J$185</f>
        <v/>
      </c>
      <c r="K30" s="89">
        <f>-SUMIFS('6月数据源'!$I:$I,'6月数据源'!$D:$D,$E30,'6月数据源'!$F:$F,"SMART LEARNING HOLDING")*K$185+SUMIFS('6月数据源'!$J:$J,'6月数据源'!$D:$D,$E30,'6月数据源'!$F:$F,"SMART LEARNING HOLDING")*K$185</f>
        <v/>
      </c>
      <c r="L30" s="89">
        <f>-SUMIFS('7月数据源'!$I:$I,'7月数据源'!$D:$D,$E30,'7月数据源'!$F:$F,"SMART LEARNING HOLDING")*L$185+SUMIFS('7月数据源'!$J:$J,'7月数据源'!$D:$D,$E30,'7月数据源'!$F:$F,"SMART LEARNING HOLDING")*L$185</f>
        <v/>
      </c>
      <c r="M30" s="89">
        <f>-SUMIFS('8月数据源'!$I:$I,'8月数据源'!$D:$D,$E30,'8月数据源'!$F:$F,"SMART LEARNING HOLDING")*M$185+SUMIFS('8月数据源'!$J:$J,'8月数据源'!$D:$D,$E30,'8月数据源'!$F:$F,"SMART LEARNING HOLDING")*M$185</f>
        <v/>
      </c>
      <c r="N30" s="89">
        <f>-SUMIFS('9月数据源'!$I:$I,'9月数据源'!$D:$D,$E30,'9月数据源'!$F:$F,"SMART LEARNING HOLDING")*N$185+SUMIFS('9月数据源'!$J:$J,'9月数据源'!$D:$D,$E30,'9月数据源'!$F:$F,"SMART LEARNING HOLDING")*N$185</f>
        <v/>
      </c>
      <c r="O30" s="89">
        <f>-SUMIFS('10月数据源'!$I:$I,'10月数据源'!$D:$D,$E30,'10月数据源'!$F:$F,"SMART LEARNING HOLDING")*O$185+SUMIFS('10月数据源'!$J:$J,'10月数据源'!$D:$D,$E30,'10月数据源'!$F:$F,"SMART LEARNING HOLDING")*O$185</f>
        <v/>
      </c>
      <c r="P30" s="89">
        <f>-SUMIFS('11月数据源'!$I:$I,'11月数据源'!$D:$D,$E30,'11月数据源'!$F:$F,"SMART LEARNING HOLDING")*P$185+SUMIFS('11月数据源'!$J:$J,'11月数据源'!$D:$D,$E30,'11月数据源'!$F:$F,"SMART LEARNING HOLDING")*P$185</f>
        <v/>
      </c>
      <c r="Q30" s="89">
        <f>-SUMIFS('12月数据源'!$I:$I,'12月数据源'!$D:$D,$E30,'12月数据源'!$F:$F,"SMART LEARNING HOLDING")*Q$185+SUMIFS('12月数据源'!$J:$J,'12月数据源'!$D:$D,$E30,'12月数据源'!$F:$F,"SMART LEARNING HOLDING")*Q$185</f>
        <v/>
      </c>
    </row>
    <row r="31" s="83">
      <c r="A31" s="5" t="inlineStr">
        <is>
          <t>人工成本</t>
        </is>
      </c>
      <c r="B31" s="6" t="inlineStr">
        <is>
          <t>人工成本</t>
        </is>
      </c>
      <c r="D31" s="5" t="inlineStr">
        <is>
          <t>补偿金</t>
        </is>
      </c>
      <c r="E31" s="6" t="inlineStr">
        <is>
          <t>Q0807</t>
        </is>
      </c>
      <c r="F31" s="89">
        <f>-SUMIFS('1月数据源'!$I:$I,'1月数据源'!$D:$D,$E31,'1月数据源'!$F:$F,"SMART LEARNING HOLDING")*F$185+SUMIFS('1月数据源'!$J:$J,'1月数据源'!$D:$D,$E31,'1月数据源'!$F:$F,"SMART LEARNING HOLDING")*F$185</f>
        <v/>
      </c>
      <c r="G31" s="89">
        <f>-SUMIFS('2月数据源'!$I:$I,'2月数据源'!$D:$D,$E31,'2月数据源'!$F:$F,"SMART LEARNING HOLDING")*G$185+SUMIFS('2月数据源'!$J:$J,'2月数据源'!$D:$D,$E31,'2月数据源'!$F:$F,"SMART LEARNING HOLDING")*G$185</f>
        <v/>
      </c>
      <c r="H31" s="89">
        <f>-SUMIFS('3月数据源'!$I:$I,'3月数据源'!$D:$D,$E31,'3月数据源'!$F:$F,"SMART LEARNING HOLDING")*H$185+SUMIFS('3月数据源'!$J:$J,'3月数据源'!$D:$D,$E31,'3月数据源'!$F:$F,"SMART LEARNING HOLDING")*H$185</f>
        <v/>
      </c>
      <c r="I31" s="89">
        <f>-SUMIFS('4月数据源'!$I:$I,'4月数据源'!$D:$D,$E31,'4月数据源'!$F:$F,"SMART LEARNING HOLDING")*I$185+SUMIFS('4月数据源'!$J:$J,'4月数据源'!$D:$D,$E31,'4月数据源'!$F:$F,"SMART LEARNING HOLDING")*I$185</f>
        <v/>
      </c>
      <c r="J31" s="89">
        <f>-SUMIFS('5月数据源'!$I:$I,'5月数据源'!$D:$D,$E31,'5月数据源'!$F:$F,"SMART LEARNING HOLDING")*J$185+SUMIFS('5月数据源'!$J:$J,'5月数据源'!$D:$D,$E31,'5月数据源'!$F:$F,"SMART LEARNING HOLDING")*J$185</f>
        <v/>
      </c>
      <c r="K31" s="89">
        <f>-SUMIFS('6月数据源'!$I:$I,'6月数据源'!$D:$D,$E31,'6月数据源'!$F:$F,"SMART LEARNING HOLDING")*K$185+SUMIFS('6月数据源'!$J:$J,'6月数据源'!$D:$D,$E31,'6月数据源'!$F:$F,"SMART LEARNING HOLDING")*K$185</f>
        <v/>
      </c>
      <c r="L31" s="89">
        <f>-SUMIFS('7月数据源'!$I:$I,'7月数据源'!$D:$D,$E31,'7月数据源'!$F:$F,"SMART LEARNING HOLDING")*L$185+SUMIFS('7月数据源'!$J:$J,'7月数据源'!$D:$D,$E31,'7月数据源'!$F:$F,"SMART LEARNING HOLDING")*L$185</f>
        <v/>
      </c>
      <c r="M31" s="89">
        <f>-SUMIFS('8月数据源'!$I:$I,'8月数据源'!$D:$D,$E31,'8月数据源'!$F:$F,"SMART LEARNING HOLDING")*M$185+SUMIFS('8月数据源'!$J:$J,'8月数据源'!$D:$D,$E31,'8月数据源'!$F:$F,"SMART LEARNING HOLDING")*M$185</f>
        <v/>
      </c>
      <c r="N31" s="89">
        <f>-SUMIFS('9月数据源'!$I:$I,'9月数据源'!$D:$D,$E31,'9月数据源'!$F:$F,"SMART LEARNING HOLDING")*N$185+SUMIFS('9月数据源'!$J:$J,'9月数据源'!$D:$D,$E31,'9月数据源'!$F:$F,"SMART LEARNING HOLDING")*N$185</f>
        <v/>
      </c>
      <c r="O31" s="89">
        <f>-SUMIFS('10月数据源'!$I:$I,'10月数据源'!$D:$D,$E31,'10月数据源'!$F:$F,"SMART LEARNING HOLDING")*O$185+SUMIFS('10月数据源'!$J:$J,'10月数据源'!$D:$D,$E31,'10月数据源'!$F:$F,"SMART LEARNING HOLDING")*O$185</f>
        <v/>
      </c>
      <c r="P31" s="89">
        <f>-SUMIFS('11月数据源'!$I:$I,'11月数据源'!$D:$D,$E31,'11月数据源'!$F:$F,"SMART LEARNING HOLDING")*P$185+SUMIFS('11月数据源'!$J:$J,'11月数据源'!$D:$D,$E31,'11月数据源'!$F:$F,"SMART LEARNING HOLDING")*P$185</f>
        <v/>
      </c>
      <c r="Q31" s="89">
        <f>-SUMIFS('12月数据源'!$I:$I,'12月数据源'!$D:$D,$E31,'12月数据源'!$F:$F,"SMART LEARNING HOLDING")*Q$185+SUMIFS('12月数据源'!$J:$J,'12月数据源'!$D:$D,$E31,'12月数据源'!$F:$F,"SMART LEARNING HOLDING")*Q$185</f>
        <v/>
      </c>
    </row>
    <row r="32" s="83">
      <c r="A32" s="5" t="inlineStr">
        <is>
          <t>人工成本</t>
        </is>
      </c>
      <c r="B32" s="6" t="inlineStr">
        <is>
          <t>人工成本</t>
        </is>
      </c>
      <c r="D32" s="5" t="inlineStr">
        <is>
          <t>派遣费用</t>
        </is>
      </c>
      <c r="E32" s="6" t="inlineStr">
        <is>
          <t>Q0808</t>
        </is>
      </c>
      <c r="F32" s="89">
        <f>-SUMIFS('1月数据源'!$I:$I,'1月数据源'!$D:$D,$E32,'1月数据源'!$F:$F,"SMART LEARNING HOLDING")*F$185+SUMIFS('1月数据源'!$J:$J,'1月数据源'!$D:$D,$E32,'1月数据源'!$F:$F,"SMART LEARNING HOLDING")*F$185</f>
        <v/>
      </c>
      <c r="G32" s="89">
        <f>-SUMIFS('2月数据源'!$I:$I,'2月数据源'!$D:$D,$E32,'2月数据源'!$F:$F,"SMART LEARNING HOLDING")*G$185+SUMIFS('2月数据源'!$J:$J,'2月数据源'!$D:$D,$E32,'2月数据源'!$F:$F,"SMART LEARNING HOLDING")*G$185</f>
        <v/>
      </c>
      <c r="H32" s="89">
        <f>-SUMIFS('3月数据源'!$I:$I,'3月数据源'!$D:$D,$E32,'3月数据源'!$F:$F,"SMART LEARNING HOLDING")*H$185+SUMIFS('3月数据源'!$J:$J,'3月数据源'!$D:$D,$E32,'3月数据源'!$F:$F,"SMART LEARNING HOLDING")*H$185</f>
        <v/>
      </c>
      <c r="I32" s="89">
        <f>-SUMIFS('4月数据源'!$I:$I,'4月数据源'!$D:$D,$E32,'4月数据源'!$F:$F,"SMART LEARNING HOLDING")*I$185+SUMIFS('4月数据源'!$J:$J,'4月数据源'!$D:$D,$E32,'4月数据源'!$F:$F,"SMART LEARNING HOLDING")*I$185</f>
        <v/>
      </c>
      <c r="J32" s="89">
        <f>-SUMIFS('5月数据源'!$I:$I,'5月数据源'!$D:$D,$E32,'5月数据源'!$F:$F,"SMART LEARNING HOLDING")*J$185+SUMIFS('5月数据源'!$J:$J,'5月数据源'!$D:$D,$E32,'5月数据源'!$F:$F,"SMART LEARNING HOLDING")*J$185</f>
        <v/>
      </c>
      <c r="K32" s="89">
        <f>-SUMIFS('6月数据源'!$I:$I,'6月数据源'!$D:$D,$E32,'6月数据源'!$F:$F,"SMART LEARNING HOLDING")*K$185+SUMIFS('6月数据源'!$J:$J,'6月数据源'!$D:$D,$E32,'6月数据源'!$F:$F,"SMART LEARNING HOLDING")*K$185</f>
        <v/>
      </c>
      <c r="L32" s="89">
        <f>-SUMIFS('7月数据源'!$I:$I,'7月数据源'!$D:$D,$E32,'7月数据源'!$F:$F,"SMART LEARNING HOLDING")*L$185+SUMIFS('7月数据源'!$J:$J,'7月数据源'!$D:$D,$E32,'7月数据源'!$F:$F,"SMART LEARNING HOLDING")*L$185</f>
        <v/>
      </c>
      <c r="M32" s="89">
        <f>-SUMIFS('8月数据源'!$I:$I,'8月数据源'!$D:$D,$E32,'8月数据源'!$F:$F,"SMART LEARNING HOLDING")*M$185+SUMIFS('8月数据源'!$J:$J,'8月数据源'!$D:$D,$E32,'8月数据源'!$F:$F,"SMART LEARNING HOLDING")*M$185</f>
        <v/>
      </c>
      <c r="N32" s="89">
        <f>-SUMIFS('9月数据源'!$I:$I,'9月数据源'!$D:$D,$E32,'9月数据源'!$F:$F,"SMART LEARNING HOLDING")*N$185+SUMIFS('9月数据源'!$J:$J,'9月数据源'!$D:$D,$E32,'9月数据源'!$F:$F,"SMART LEARNING HOLDING")*N$185</f>
        <v/>
      </c>
      <c r="O32" s="89">
        <f>-SUMIFS('10月数据源'!$I:$I,'10月数据源'!$D:$D,$E32,'10月数据源'!$F:$F,"SMART LEARNING HOLDING")*O$185+SUMIFS('10月数据源'!$J:$J,'10月数据源'!$D:$D,$E32,'10月数据源'!$F:$F,"SMART LEARNING HOLDING")*O$185</f>
        <v/>
      </c>
      <c r="P32" s="89">
        <f>-SUMIFS('11月数据源'!$I:$I,'11月数据源'!$D:$D,$E32,'11月数据源'!$F:$F,"SMART LEARNING HOLDING")*P$185+SUMIFS('11月数据源'!$J:$J,'11月数据源'!$D:$D,$E32,'11月数据源'!$F:$F,"SMART LEARNING HOLDING")*P$185</f>
        <v/>
      </c>
      <c r="Q32" s="89">
        <f>-SUMIFS('12月数据源'!$I:$I,'12月数据源'!$D:$D,$E32,'12月数据源'!$F:$F,"SMART LEARNING HOLDING")*Q$185+SUMIFS('12月数据源'!$J:$J,'12月数据源'!$D:$D,$E32,'12月数据源'!$F:$F,"SMART LEARNING HOLDING")*Q$185</f>
        <v/>
      </c>
    </row>
    <row r="33" s="83">
      <c r="A33" s="5" t="inlineStr">
        <is>
          <t>人工成本</t>
        </is>
      </c>
      <c r="B33" s="6" t="inlineStr">
        <is>
          <t>人工成本</t>
        </is>
      </c>
      <c r="D33" s="5" t="inlineStr">
        <is>
          <t>顾问费</t>
        </is>
      </c>
      <c r="E33" s="6" t="inlineStr">
        <is>
          <t>Q0809</t>
        </is>
      </c>
      <c r="F33" s="89">
        <f>-SUMIFS('1月数据源'!$I:$I,'1月数据源'!$D:$D,$E33,'1月数据源'!$F:$F,"SMART LEARNING HOLDING")*F$185+SUMIFS('1月数据源'!$J:$J,'1月数据源'!$D:$D,$E33,'1月数据源'!$F:$F,"SMART LEARNING HOLDING")*F$185</f>
        <v/>
      </c>
      <c r="G33" s="89">
        <f>-SUMIFS('2月数据源'!$I:$I,'2月数据源'!$D:$D,$E33,'2月数据源'!$F:$F,"SMART LEARNING HOLDING")*G$185+SUMIFS('2月数据源'!$J:$J,'2月数据源'!$D:$D,$E33,'2月数据源'!$F:$F,"SMART LEARNING HOLDING")*G$185</f>
        <v/>
      </c>
      <c r="H33" s="89">
        <f>-SUMIFS('3月数据源'!$I:$I,'3月数据源'!$D:$D,$E33,'3月数据源'!$F:$F,"SMART LEARNING HOLDING")*H$185+SUMIFS('3月数据源'!$J:$J,'3月数据源'!$D:$D,$E33,'3月数据源'!$F:$F,"SMART LEARNING HOLDING")*H$185</f>
        <v/>
      </c>
      <c r="I33" s="89">
        <f>-SUMIFS('4月数据源'!$I:$I,'4月数据源'!$D:$D,$E33,'4月数据源'!$F:$F,"SMART LEARNING HOLDING")*I$185+SUMIFS('4月数据源'!$J:$J,'4月数据源'!$D:$D,$E33,'4月数据源'!$F:$F,"SMART LEARNING HOLDING")*I$185</f>
        <v/>
      </c>
      <c r="J33" s="89">
        <f>-SUMIFS('5月数据源'!$I:$I,'5月数据源'!$D:$D,$E33,'5月数据源'!$F:$F,"SMART LEARNING HOLDING")*J$185+SUMIFS('5月数据源'!$J:$J,'5月数据源'!$D:$D,$E33,'5月数据源'!$F:$F,"SMART LEARNING HOLDING")*J$185</f>
        <v/>
      </c>
      <c r="K33" s="89">
        <f>-SUMIFS('6月数据源'!$I:$I,'6月数据源'!$D:$D,$E33,'6月数据源'!$F:$F,"SMART LEARNING HOLDING")*K$185+SUMIFS('6月数据源'!$J:$J,'6月数据源'!$D:$D,$E33,'6月数据源'!$F:$F,"SMART LEARNING HOLDING")*K$185</f>
        <v/>
      </c>
      <c r="L33" s="89">
        <f>-SUMIFS('7月数据源'!$I:$I,'7月数据源'!$D:$D,$E33,'7月数据源'!$F:$F,"SMART LEARNING HOLDING")*L$185+SUMIFS('7月数据源'!$J:$J,'7月数据源'!$D:$D,$E33,'7月数据源'!$F:$F,"SMART LEARNING HOLDING")*L$185</f>
        <v/>
      </c>
      <c r="M33" s="89">
        <f>-SUMIFS('8月数据源'!$I:$I,'8月数据源'!$D:$D,$E33,'8月数据源'!$F:$F,"SMART LEARNING HOLDING")*M$185+SUMIFS('8月数据源'!$J:$J,'8月数据源'!$D:$D,$E33,'8月数据源'!$F:$F,"SMART LEARNING HOLDING")*M$185</f>
        <v/>
      </c>
      <c r="N33" s="89">
        <f>-SUMIFS('9月数据源'!$I:$I,'9月数据源'!$D:$D,$E33,'9月数据源'!$F:$F,"SMART LEARNING HOLDING")*N$185+SUMIFS('9月数据源'!$J:$J,'9月数据源'!$D:$D,$E33,'9月数据源'!$F:$F,"SMART LEARNING HOLDING")*N$185</f>
        <v/>
      </c>
      <c r="O33" s="89">
        <f>-SUMIFS('10月数据源'!$I:$I,'10月数据源'!$D:$D,$E33,'10月数据源'!$F:$F,"SMART LEARNING HOLDING")*O$185+SUMIFS('10月数据源'!$J:$J,'10月数据源'!$D:$D,$E33,'10月数据源'!$F:$F,"SMART LEARNING HOLDING")*O$185</f>
        <v/>
      </c>
      <c r="P33" s="89">
        <f>-SUMIFS('11月数据源'!$I:$I,'11月数据源'!$D:$D,$E33,'11月数据源'!$F:$F,"SMART LEARNING HOLDING")*P$185+SUMIFS('11月数据源'!$J:$J,'11月数据源'!$D:$D,$E33,'11月数据源'!$F:$F,"SMART LEARNING HOLDING")*P$185</f>
        <v/>
      </c>
      <c r="Q33" s="89">
        <f>-SUMIFS('12月数据源'!$I:$I,'12月数据源'!$D:$D,$E33,'12月数据源'!$F:$F,"SMART LEARNING HOLDING")*Q$185+SUMIFS('12月数据源'!$J:$J,'12月数据源'!$D:$D,$E33,'12月数据源'!$F:$F,"SMART LEARNING HOLDING")*Q$185</f>
        <v/>
      </c>
    </row>
    <row r="34" s="83">
      <c r="A34" s="5" t="inlineStr">
        <is>
          <t>人工成本</t>
        </is>
      </c>
      <c r="B34" s="6" t="inlineStr">
        <is>
          <t>人工成本</t>
        </is>
      </c>
      <c r="D34" s="5" t="inlineStr">
        <is>
          <t>其他人工成本</t>
        </is>
      </c>
      <c r="E34" s="6" t="inlineStr">
        <is>
          <t>Q08010</t>
        </is>
      </c>
      <c r="F34" s="89">
        <f>-SUMIFS('1月数据源'!$I:$I,'1月数据源'!$D:$D,$E34,'1月数据源'!$F:$F,"SMART LEARNING HOLDING")*F$185+SUMIFS('1月数据源'!$J:$J,'1月数据源'!$D:$D,$E34,'1月数据源'!$F:$F,"SMART LEARNING HOLDING")*F$185</f>
        <v/>
      </c>
      <c r="G34" s="89">
        <f>-SUMIFS('2月数据源'!$I:$I,'2月数据源'!$D:$D,$E34,'2月数据源'!$F:$F,"SMART LEARNING HOLDING")*G$185+SUMIFS('2月数据源'!$J:$J,'2月数据源'!$D:$D,$E34,'2月数据源'!$F:$F,"SMART LEARNING HOLDING")*G$185</f>
        <v/>
      </c>
      <c r="H34" s="89">
        <f>-SUMIFS('3月数据源'!$I:$I,'3月数据源'!$D:$D,$E34,'3月数据源'!$F:$F,"SMART LEARNING HOLDING")*H$185+SUMIFS('3月数据源'!$J:$J,'3月数据源'!$D:$D,$E34,'3月数据源'!$F:$F,"SMART LEARNING HOLDING")*H$185</f>
        <v/>
      </c>
      <c r="I34" s="89">
        <f>-SUMIFS('4月数据源'!$I:$I,'4月数据源'!$D:$D,$E34,'4月数据源'!$F:$F,"SMART LEARNING HOLDING")*I$185+SUMIFS('4月数据源'!$J:$J,'4月数据源'!$D:$D,$E34,'4月数据源'!$F:$F,"SMART LEARNING HOLDING")*I$185</f>
        <v/>
      </c>
      <c r="J34" s="89">
        <f>-SUMIFS('5月数据源'!$I:$I,'5月数据源'!$D:$D,$E34,'5月数据源'!$F:$F,"SMART LEARNING HOLDING")*J$185+SUMIFS('5月数据源'!$J:$J,'5月数据源'!$D:$D,$E34,'5月数据源'!$F:$F,"SMART LEARNING HOLDING")*J$185</f>
        <v/>
      </c>
      <c r="K34" s="89">
        <f>-SUMIFS('6月数据源'!$I:$I,'6月数据源'!$D:$D,$E34,'6月数据源'!$F:$F,"SMART LEARNING HOLDING")*K$185+SUMIFS('6月数据源'!$J:$J,'6月数据源'!$D:$D,$E34,'6月数据源'!$F:$F,"SMART LEARNING HOLDING")*K$185</f>
        <v/>
      </c>
      <c r="L34" s="89">
        <f>-SUMIFS('7月数据源'!$I:$I,'7月数据源'!$D:$D,$E34,'7月数据源'!$F:$F,"SMART LEARNING HOLDING")*L$185+SUMIFS('7月数据源'!$J:$J,'7月数据源'!$D:$D,$E34,'7月数据源'!$F:$F,"SMART LEARNING HOLDING")*L$185</f>
        <v/>
      </c>
      <c r="M34" s="89">
        <f>-SUMIFS('8月数据源'!$I:$I,'8月数据源'!$D:$D,$E34,'8月数据源'!$F:$F,"SMART LEARNING HOLDING")*M$185+SUMIFS('8月数据源'!$J:$J,'8月数据源'!$D:$D,$E34,'8月数据源'!$F:$F,"SMART LEARNING HOLDING")*M$185</f>
        <v/>
      </c>
      <c r="N34" s="89">
        <f>-SUMIFS('9月数据源'!$I:$I,'9月数据源'!$D:$D,$E34,'9月数据源'!$F:$F,"SMART LEARNING HOLDING")*N$185+SUMIFS('9月数据源'!$J:$J,'9月数据源'!$D:$D,$E34,'9月数据源'!$F:$F,"SMART LEARNING HOLDING")*N$185</f>
        <v/>
      </c>
      <c r="O34" s="89">
        <f>-SUMIFS('10月数据源'!$I:$I,'10月数据源'!$D:$D,$E34,'10月数据源'!$F:$F,"SMART LEARNING HOLDING")*O$185+SUMIFS('10月数据源'!$J:$J,'10月数据源'!$D:$D,$E34,'10月数据源'!$F:$F,"SMART LEARNING HOLDING")*O$185</f>
        <v/>
      </c>
      <c r="P34" s="89">
        <f>-SUMIFS('11月数据源'!$I:$I,'11月数据源'!$D:$D,$E34,'11月数据源'!$F:$F,"SMART LEARNING HOLDING")*P$185+SUMIFS('11月数据源'!$J:$J,'11月数据源'!$D:$D,$E34,'11月数据源'!$F:$F,"SMART LEARNING HOLDING")*P$185</f>
        <v/>
      </c>
      <c r="Q34" s="89">
        <f>-SUMIFS('12月数据源'!$I:$I,'12月数据源'!$D:$D,$E34,'12月数据源'!$F:$F,"SMART LEARNING HOLDING")*Q$185+SUMIFS('12月数据源'!$J:$J,'12月数据源'!$D:$D,$E34,'12月数据源'!$F:$F,"SMART LEARNING HOLDING")*Q$185</f>
        <v/>
      </c>
    </row>
    <row r="35" s="83">
      <c r="A35" s="49" t="inlineStr">
        <is>
          <t>人工成本合计</t>
        </is>
      </c>
      <c r="B35" s="50" t="n"/>
      <c r="C35" s="50" t="n"/>
      <c r="D35" s="49" t="n"/>
      <c r="E35" s="49" t="n"/>
      <c r="F35" s="89">
        <f>SUM(F25:F34)</f>
        <v/>
      </c>
      <c r="G35" s="89">
        <f>SUM(G25:G34)</f>
        <v/>
      </c>
      <c r="H35" s="89">
        <f>SUM(H25:H34)</f>
        <v/>
      </c>
      <c r="I35" s="89">
        <f>SUM(I25:I34)</f>
        <v/>
      </c>
      <c r="J35" s="89">
        <f>SUM(J25:J34)</f>
        <v/>
      </c>
      <c r="K35" s="89">
        <f>SUM(K25:K34)</f>
        <v/>
      </c>
      <c r="L35" s="89">
        <f>SUM(L25:L34)</f>
        <v/>
      </c>
      <c r="M35" s="89">
        <f>SUM(M25:M34)</f>
        <v/>
      </c>
      <c r="N35" s="89">
        <f>SUM(N25:N34)</f>
        <v/>
      </c>
      <c r="O35" s="89">
        <f>SUM(O25:O34)</f>
        <v/>
      </c>
      <c r="P35" s="89">
        <f>SUM(P25:P34)</f>
        <v/>
      </c>
      <c r="Q35" s="89">
        <f>SUM(Q25:Q34)</f>
        <v/>
      </c>
    </row>
    <row r="36" s="83">
      <c r="A36" s="5" t="inlineStr">
        <is>
          <t>硬件支出</t>
        </is>
      </c>
      <c r="B36" s="6" t="inlineStr">
        <is>
          <t>BONG MAX</t>
        </is>
      </c>
      <c r="C36" s="6" t="inlineStr">
        <is>
          <t>BONG MAX</t>
        </is>
      </c>
      <c r="D36" s="5" t="inlineStr">
        <is>
          <t>TCL平板电脑款项</t>
        </is>
      </c>
      <c r="E36" s="6" t="inlineStr">
        <is>
          <t>Q0901</t>
        </is>
      </c>
      <c r="F36" s="89">
        <f>-SUMIFS('1月数据源'!$I:$I,'1月数据源'!$D:$D,$E36,'1月数据源'!$F:$F,"SMART LEARNING HOLDING")*F$185+SUMIFS('1月数据源'!$J:$J,'1月数据源'!$D:$D,$E36,'1月数据源'!$F:$F,"SMART LEARNING HOLDING")*F$185</f>
        <v/>
      </c>
      <c r="G36" s="89">
        <f>-SUMIFS('2月数据源'!$I:$I,'2月数据源'!$D:$D,$E36,'2月数据源'!$F:$F,"SMART LEARNING HOLDING")*G$185+SUMIFS('2月数据源'!$J:$J,'2月数据源'!$D:$D,$E36,'2月数据源'!$F:$F,"SMART LEARNING HOLDING")*G$185</f>
        <v/>
      </c>
      <c r="H36" s="89">
        <f>-SUMIFS('3月数据源'!$I:$I,'3月数据源'!$D:$D,$E36,'3月数据源'!$F:$F,"SMART LEARNING HOLDING")*H$185+SUMIFS('3月数据源'!$J:$J,'3月数据源'!$D:$D,$E36,'3月数据源'!$F:$F,"SMART LEARNING HOLDING")*H$185</f>
        <v/>
      </c>
      <c r="I36" s="89">
        <f>-SUMIFS('4月数据源'!$I:$I,'4月数据源'!$D:$D,$E36,'4月数据源'!$F:$F,"SMART LEARNING HOLDING")*I$185+SUMIFS('4月数据源'!$J:$J,'4月数据源'!$D:$D,$E36,'4月数据源'!$F:$F,"SMART LEARNING HOLDING")*I$185</f>
        <v/>
      </c>
      <c r="J36" s="89">
        <f>-SUMIFS('5月数据源'!$I:$I,'5月数据源'!$D:$D,$E36,'5月数据源'!$F:$F,"SMART LEARNING HOLDING")*J$185+SUMIFS('5月数据源'!$J:$J,'5月数据源'!$D:$D,$E36,'5月数据源'!$F:$F,"SMART LEARNING HOLDING")*J$185</f>
        <v/>
      </c>
      <c r="K36" s="89">
        <f>-SUMIFS('6月数据源'!$I:$I,'6月数据源'!$D:$D,$E36,'6月数据源'!$F:$F,"SMART LEARNING HOLDING")*K$185+SUMIFS('6月数据源'!$J:$J,'6月数据源'!$D:$D,$E36,'6月数据源'!$F:$F,"SMART LEARNING HOLDING")*K$185</f>
        <v/>
      </c>
      <c r="L36" s="89">
        <f>-SUMIFS('7月数据源'!$I:$I,'7月数据源'!$D:$D,$E36,'7月数据源'!$F:$F,"SMART LEARNING HOLDING")*L$185+SUMIFS('7月数据源'!$J:$J,'7月数据源'!$D:$D,$E36,'7月数据源'!$F:$F,"SMART LEARNING HOLDING")*L$185</f>
        <v/>
      </c>
      <c r="M36" s="89">
        <f>-SUMIFS('8月数据源'!$I:$I,'8月数据源'!$D:$D,$E36,'8月数据源'!$F:$F,"SMART LEARNING HOLDING")*M$185+SUMIFS('8月数据源'!$J:$J,'8月数据源'!$D:$D,$E36,'8月数据源'!$F:$F,"SMART LEARNING HOLDING")*M$185</f>
        <v/>
      </c>
      <c r="N36" s="89">
        <f>-SUMIFS('9月数据源'!$I:$I,'9月数据源'!$D:$D,$E36,'9月数据源'!$F:$F,"SMART LEARNING HOLDING")*N$185+SUMIFS('9月数据源'!$J:$J,'9月数据源'!$D:$D,$E36,'9月数据源'!$F:$F,"SMART LEARNING HOLDING")*N$185</f>
        <v/>
      </c>
      <c r="O36" s="89">
        <f>-SUMIFS('10月数据源'!$I:$I,'10月数据源'!$D:$D,$E36,'10月数据源'!$F:$F,"SMART LEARNING HOLDING")*O$185+SUMIFS('10月数据源'!$J:$J,'10月数据源'!$D:$D,$E36,'10月数据源'!$F:$F,"SMART LEARNING HOLDING")*O$185</f>
        <v/>
      </c>
      <c r="P36" s="89">
        <f>-SUMIFS('11月数据源'!$I:$I,'11月数据源'!$D:$D,$E36,'11月数据源'!$F:$F,"SMART LEARNING HOLDING")*P$185+SUMIFS('11月数据源'!$J:$J,'11月数据源'!$D:$D,$E36,'11月数据源'!$F:$F,"SMART LEARNING HOLDING")*P$185</f>
        <v/>
      </c>
      <c r="Q36" s="89">
        <f>-SUMIFS('12月数据源'!$I:$I,'12月数据源'!$D:$D,$E36,'12月数据源'!$F:$F,"SMART LEARNING HOLDING")*Q$185+SUMIFS('12月数据源'!$J:$J,'12月数据源'!$D:$D,$E36,'12月数据源'!$F:$F,"SMART LEARNING HOLDING")*Q$185</f>
        <v/>
      </c>
    </row>
    <row r="37" s="83">
      <c r="A37" s="5" t="inlineStr">
        <is>
          <t>硬件支出</t>
        </is>
      </c>
      <c r="B37" s="6" t="inlineStr">
        <is>
          <t>BONG MAX</t>
        </is>
      </c>
      <c r="D37" s="5" t="inlineStr">
        <is>
          <t>保护套</t>
        </is>
      </c>
      <c r="E37" s="6" t="inlineStr">
        <is>
          <t>Q0902</t>
        </is>
      </c>
      <c r="F37" s="89">
        <f>-SUMIFS('1月数据源'!$I:$I,'1月数据源'!$D:$D,$E37,'1月数据源'!$F:$F,"SMART LEARNING HOLDING")*F$185+SUMIFS('1月数据源'!$J:$J,'1月数据源'!$D:$D,$E37,'1月数据源'!$F:$F,"SMART LEARNING HOLDING")*F$185</f>
        <v/>
      </c>
      <c r="G37" s="89">
        <f>-SUMIFS('2月数据源'!$I:$I,'2月数据源'!$D:$D,$E37,'2月数据源'!$F:$F,"SMART LEARNING HOLDING")*G$185+SUMIFS('2月数据源'!$J:$J,'2月数据源'!$D:$D,$E37,'2月数据源'!$F:$F,"SMART LEARNING HOLDING")*G$185</f>
        <v/>
      </c>
      <c r="H37" s="89">
        <f>-SUMIFS('3月数据源'!$I:$I,'3月数据源'!$D:$D,$E37,'3月数据源'!$F:$F,"SMART LEARNING HOLDING")*H$185+SUMIFS('3月数据源'!$J:$J,'3月数据源'!$D:$D,$E37,'3月数据源'!$F:$F,"SMART LEARNING HOLDING")*H$185</f>
        <v/>
      </c>
      <c r="I37" s="89">
        <f>-SUMIFS('4月数据源'!$I:$I,'4月数据源'!$D:$D,$E37,'4月数据源'!$F:$F,"SMART LEARNING HOLDING")*I$185+SUMIFS('4月数据源'!$J:$J,'4月数据源'!$D:$D,$E37,'4月数据源'!$F:$F,"SMART LEARNING HOLDING")*I$185</f>
        <v/>
      </c>
      <c r="J37" s="89">
        <f>-SUMIFS('5月数据源'!$I:$I,'5月数据源'!$D:$D,$E37,'5月数据源'!$F:$F,"SMART LEARNING HOLDING")*J$185+SUMIFS('5月数据源'!$J:$J,'5月数据源'!$D:$D,$E37,'5月数据源'!$F:$F,"SMART LEARNING HOLDING")*J$185</f>
        <v/>
      </c>
      <c r="K37" s="89">
        <f>-SUMIFS('6月数据源'!$I:$I,'6月数据源'!$D:$D,$E37,'6月数据源'!$F:$F,"SMART LEARNING HOLDING")*K$185+SUMIFS('6月数据源'!$J:$J,'6月数据源'!$D:$D,$E37,'6月数据源'!$F:$F,"SMART LEARNING HOLDING")*K$185</f>
        <v/>
      </c>
      <c r="L37" s="89">
        <f>-SUMIFS('7月数据源'!$I:$I,'7月数据源'!$D:$D,$E37,'7月数据源'!$F:$F,"SMART LEARNING HOLDING")*L$185+SUMIFS('7月数据源'!$J:$J,'7月数据源'!$D:$D,$E37,'7月数据源'!$F:$F,"SMART LEARNING HOLDING")*L$185</f>
        <v/>
      </c>
      <c r="M37" s="89">
        <f>-SUMIFS('8月数据源'!$I:$I,'8月数据源'!$D:$D,$E37,'8月数据源'!$F:$F,"SMART LEARNING HOLDING")*M$185+SUMIFS('8月数据源'!$J:$J,'8月数据源'!$D:$D,$E37,'8月数据源'!$F:$F,"SMART LEARNING HOLDING")*M$185</f>
        <v/>
      </c>
      <c r="N37" s="89">
        <f>-SUMIFS('9月数据源'!$I:$I,'9月数据源'!$D:$D,$E37,'9月数据源'!$F:$F,"SMART LEARNING HOLDING")*N$185+SUMIFS('9月数据源'!$J:$J,'9月数据源'!$D:$D,$E37,'9月数据源'!$F:$F,"SMART LEARNING HOLDING")*N$185</f>
        <v/>
      </c>
      <c r="O37" s="89">
        <f>-SUMIFS('10月数据源'!$I:$I,'10月数据源'!$D:$D,$E37,'10月数据源'!$F:$F,"SMART LEARNING HOLDING")*O$185+SUMIFS('10月数据源'!$J:$J,'10月数据源'!$D:$D,$E37,'10月数据源'!$F:$F,"SMART LEARNING HOLDING")*O$185</f>
        <v/>
      </c>
      <c r="P37" s="89">
        <f>-SUMIFS('11月数据源'!$I:$I,'11月数据源'!$D:$D,$E37,'11月数据源'!$F:$F,"SMART LEARNING HOLDING")*P$185+SUMIFS('11月数据源'!$J:$J,'11月数据源'!$D:$D,$E37,'11月数据源'!$F:$F,"SMART LEARNING HOLDING")*P$185</f>
        <v/>
      </c>
      <c r="Q37" s="89">
        <f>-SUMIFS('12月数据源'!$I:$I,'12月数据源'!$D:$D,$E37,'12月数据源'!$F:$F,"SMART LEARNING HOLDING")*Q$185+SUMIFS('12月数据源'!$J:$J,'12月数据源'!$D:$D,$E37,'12月数据源'!$F:$F,"SMART LEARNING HOLDING")*Q$185</f>
        <v/>
      </c>
    </row>
    <row r="38" s="83">
      <c r="A38" s="5" t="inlineStr">
        <is>
          <t>硬件支出</t>
        </is>
      </c>
      <c r="B38" s="6" t="inlineStr">
        <is>
          <t>BONG MAX</t>
        </is>
      </c>
      <c r="D38" s="5" t="inlineStr">
        <is>
          <t>包装盒</t>
        </is>
      </c>
      <c r="E38" s="6" t="inlineStr">
        <is>
          <t>Q0903</t>
        </is>
      </c>
      <c r="F38" s="89">
        <f>-SUMIFS('1月数据源'!$I:$I,'1月数据源'!$D:$D,$E38,'1月数据源'!$F:$F,"SMART LEARNING HOLDING")*F$185+SUMIFS('1月数据源'!$J:$J,'1月数据源'!$D:$D,$E38,'1月数据源'!$F:$F,"SMART LEARNING HOLDING")*F$185</f>
        <v/>
      </c>
      <c r="G38" s="89">
        <f>-SUMIFS('2月数据源'!$I:$I,'2月数据源'!$D:$D,$E38,'2月数据源'!$F:$F,"SMART LEARNING HOLDING")*G$185+SUMIFS('2月数据源'!$J:$J,'2月数据源'!$D:$D,$E38,'2月数据源'!$F:$F,"SMART LEARNING HOLDING")*G$185</f>
        <v/>
      </c>
      <c r="H38" s="89">
        <f>-SUMIFS('3月数据源'!$I:$I,'3月数据源'!$D:$D,$E38,'3月数据源'!$F:$F,"SMART LEARNING HOLDING")*H$185+SUMIFS('3月数据源'!$J:$J,'3月数据源'!$D:$D,$E38,'3月数据源'!$F:$F,"SMART LEARNING HOLDING")*H$185</f>
        <v/>
      </c>
      <c r="I38" s="89">
        <f>-SUMIFS('4月数据源'!$I:$I,'4月数据源'!$D:$D,$E38,'4月数据源'!$F:$F,"SMART LEARNING HOLDING")*I$185+SUMIFS('4月数据源'!$J:$J,'4月数据源'!$D:$D,$E38,'4月数据源'!$F:$F,"SMART LEARNING HOLDING")*I$185</f>
        <v/>
      </c>
      <c r="J38" s="89">
        <f>-SUMIFS('5月数据源'!$I:$I,'5月数据源'!$D:$D,$E38,'5月数据源'!$F:$F,"SMART LEARNING HOLDING")*J$185+SUMIFS('5月数据源'!$J:$J,'5月数据源'!$D:$D,$E38,'5月数据源'!$F:$F,"SMART LEARNING HOLDING")*J$185</f>
        <v/>
      </c>
      <c r="K38" s="89">
        <f>-SUMIFS('6月数据源'!$I:$I,'6月数据源'!$D:$D,$E38,'6月数据源'!$F:$F,"SMART LEARNING HOLDING")*K$185+SUMIFS('6月数据源'!$J:$J,'6月数据源'!$D:$D,$E38,'6月数据源'!$F:$F,"SMART LEARNING HOLDING")*K$185</f>
        <v/>
      </c>
      <c r="L38" s="89">
        <f>-SUMIFS('7月数据源'!$I:$I,'7月数据源'!$D:$D,$E38,'7月数据源'!$F:$F,"SMART LEARNING HOLDING")*L$185+SUMIFS('7月数据源'!$J:$J,'7月数据源'!$D:$D,$E38,'7月数据源'!$F:$F,"SMART LEARNING HOLDING")*L$185</f>
        <v/>
      </c>
      <c r="M38" s="89">
        <f>-SUMIFS('8月数据源'!$I:$I,'8月数据源'!$D:$D,$E38,'8月数据源'!$F:$F,"SMART LEARNING HOLDING")*M$185+SUMIFS('8月数据源'!$J:$J,'8月数据源'!$D:$D,$E38,'8月数据源'!$F:$F,"SMART LEARNING HOLDING")*M$185</f>
        <v/>
      </c>
      <c r="N38" s="89">
        <f>-SUMIFS('9月数据源'!$I:$I,'9月数据源'!$D:$D,$E38,'9月数据源'!$F:$F,"SMART LEARNING HOLDING")*N$185+SUMIFS('9月数据源'!$J:$J,'9月数据源'!$D:$D,$E38,'9月数据源'!$F:$F,"SMART LEARNING HOLDING")*N$185</f>
        <v/>
      </c>
      <c r="O38" s="89">
        <f>-SUMIFS('10月数据源'!$I:$I,'10月数据源'!$D:$D,$E38,'10月数据源'!$F:$F,"SMART LEARNING HOLDING")*O$185+SUMIFS('10月数据源'!$J:$J,'10月数据源'!$D:$D,$E38,'10月数据源'!$F:$F,"SMART LEARNING HOLDING")*O$185</f>
        <v/>
      </c>
      <c r="P38" s="89">
        <f>-SUMIFS('11月数据源'!$I:$I,'11月数据源'!$D:$D,$E38,'11月数据源'!$F:$F,"SMART LEARNING HOLDING")*P$185+SUMIFS('11月数据源'!$J:$J,'11月数据源'!$D:$D,$E38,'11月数据源'!$F:$F,"SMART LEARNING HOLDING")*P$185</f>
        <v/>
      </c>
      <c r="Q38" s="89">
        <f>-SUMIFS('12月数据源'!$I:$I,'12月数据源'!$D:$D,$E38,'12月数据源'!$F:$F,"SMART LEARNING HOLDING")*Q$185+SUMIFS('12月数据源'!$J:$J,'12月数据源'!$D:$D,$E38,'12月数据源'!$F:$F,"SMART LEARNING HOLDING")*Q$185</f>
        <v/>
      </c>
    </row>
    <row r="39" s="83">
      <c r="A39" s="5" t="inlineStr">
        <is>
          <t>硬件支出</t>
        </is>
      </c>
      <c r="B39" s="6" t="inlineStr">
        <is>
          <t>BONG MAX</t>
        </is>
      </c>
      <c r="D39" s="5" t="inlineStr">
        <is>
          <t>充电器</t>
        </is>
      </c>
      <c r="E39" s="6" t="inlineStr">
        <is>
          <t>Q0904</t>
        </is>
      </c>
      <c r="F39" s="89">
        <f>-SUMIFS('1月数据源'!$I:$I,'1月数据源'!$D:$D,$E39,'1月数据源'!$F:$F,"SMART LEARNING HOLDING")*F$185+SUMIFS('1月数据源'!$J:$J,'1月数据源'!$D:$D,$E39,'1月数据源'!$F:$F,"SMART LEARNING HOLDING")*F$185</f>
        <v/>
      </c>
      <c r="G39" s="89">
        <f>-SUMIFS('2月数据源'!$I:$I,'2月数据源'!$D:$D,$E39,'2月数据源'!$F:$F,"SMART LEARNING HOLDING")*G$185+SUMIFS('2月数据源'!$J:$J,'2月数据源'!$D:$D,$E39,'2月数据源'!$F:$F,"SMART LEARNING HOLDING")*G$185</f>
        <v/>
      </c>
      <c r="H39" s="89">
        <f>-SUMIFS('3月数据源'!$I:$I,'3月数据源'!$D:$D,$E39,'3月数据源'!$F:$F,"SMART LEARNING HOLDING")*H$185+SUMIFS('3月数据源'!$J:$J,'3月数据源'!$D:$D,$E39,'3月数据源'!$F:$F,"SMART LEARNING HOLDING")*H$185</f>
        <v/>
      </c>
      <c r="I39" s="89">
        <f>-SUMIFS('4月数据源'!$I:$I,'4月数据源'!$D:$D,$E39,'4月数据源'!$F:$F,"SMART LEARNING HOLDING")*I$185+SUMIFS('4月数据源'!$J:$J,'4月数据源'!$D:$D,$E39,'4月数据源'!$F:$F,"SMART LEARNING HOLDING")*I$185</f>
        <v/>
      </c>
      <c r="J39" s="89">
        <f>-SUMIFS('5月数据源'!$I:$I,'5月数据源'!$D:$D,$E39,'5月数据源'!$F:$F,"SMART LEARNING HOLDING")*J$185+SUMIFS('5月数据源'!$J:$J,'5月数据源'!$D:$D,$E39,'5月数据源'!$F:$F,"SMART LEARNING HOLDING")*J$185</f>
        <v/>
      </c>
      <c r="K39" s="89">
        <f>-SUMIFS('6月数据源'!$I:$I,'6月数据源'!$D:$D,$E39,'6月数据源'!$F:$F,"SMART LEARNING HOLDING")*K$185+SUMIFS('6月数据源'!$J:$J,'6月数据源'!$D:$D,$E39,'6月数据源'!$F:$F,"SMART LEARNING HOLDING")*K$185</f>
        <v/>
      </c>
      <c r="L39" s="89">
        <f>-SUMIFS('7月数据源'!$I:$I,'7月数据源'!$D:$D,$E39,'7月数据源'!$F:$F,"SMART LEARNING HOLDING")*L$185+SUMIFS('7月数据源'!$J:$J,'7月数据源'!$D:$D,$E39,'7月数据源'!$F:$F,"SMART LEARNING HOLDING")*L$185</f>
        <v/>
      </c>
      <c r="M39" s="89">
        <f>-SUMIFS('8月数据源'!$I:$I,'8月数据源'!$D:$D,$E39,'8月数据源'!$F:$F,"SMART LEARNING HOLDING")*M$185+SUMIFS('8月数据源'!$J:$J,'8月数据源'!$D:$D,$E39,'8月数据源'!$F:$F,"SMART LEARNING HOLDING")*M$185</f>
        <v/>
      </c>
      <c r="N39" s="89">
        <f>-SUMIFS('9月数据源'!$I:$I,'9月数据源'!$D:$D,$E39,'9月数据源'!$F:$F,"SMART LEARNING HOLDING")*N$185+SUMIFS('9月数据源'!$J:$J,'9月数据源'!$D:$D,$E39,'9月数据源'!$F:$F,"SMART LEARNING HOLDING")*N$185</f>
        <v/>
      </c>
      <c r="O39" s="89">
        <f>-SUMIFS('10月数据源'!$I:$I,'10月数据源'!$D:$D,$E39,'10月数据源'!$F:$F,"SMART LEARNING HOLDING")*O$185+SUMIFS('10月数据源'!$J:$J,'10月数据源'!$D:$D,$E39,'10月数据源'!$F:$F,"SMART LEARNING HOLDING")*O$185</f>
        <v/>
      </c>
      <c r="P39" s="89">
        <f>-SUMIFS('11月数据源'!$I:$I,'11月数据源'!$D:$D,$E39,'11月数据源'!$F:$F,"SMART LEARNING HOLDING")*P$185+SUMIFS('11月数据源'!$J:$J,'11月数据源'!$D:$D,$E39,'11月数据源'!$F:$F,"SMART LEARNING HOLDING")*P$185</f>
        <v/>
      </c>
      <c r="Q39" s="89">
        <f>-SUMIFS('12月数据源'!$I:$I,'12月数据源'!$D:$D,$E39,'12月数据源'!$F:$F,"SMART LEARNING HOLDING")*Q$185+SUMIFS('12月数据源'!$J:$J,'12月数据源'!$D:$D,$E39,'12月数据源'!$F:$F,"SMART LEARNING HOLDING")*Q$185</f>
        <v/>
      </c>
    </row>
    <row r="40" s="83">
      <c r="A40" s="5" t="inlineStr">
        <is>
          <t>硬件支出</t>
        </is>
      </c>
      <c r="B40" s="6" t="inlineStr">
        <is>
          <t>BONG MAX</t>
        </is>
      </c>
      <c r="D40" s="5" t="inlineStr">
        <is>
          <t>指学镜</t>
        </is>
      </c>
      <c r="E40" s="6" t="inlineStr">
        <is>
          <t>Q0905</t>
        </is>
      </c>
      <c r="F40" s="89">
        <f>-SUMIFS('1月数据源'!$I:$I,'1月数据源'!$D:$D,$E40,'1月数据源'!$F:$F,"SMART LEARNING HOLDING")*F$185+SUMIFS('1月数据源'!$J:$J,'1月数据源'!$D:$D,$E40,'1月数据源'!$F:$F,"SMART LEARNING HOLDING")*F$185</f>
        <v/>
      </c>
      <c r="G40" s="89">
        <f>-SUMIFS('2月数据源'!$I:$I,'2月数据源'!$D:$D,$E40,'2月数据源'!$F:$F,"SMART LEARNING HOLDING")*G$185+SUMIFS('2月数据源'!$J:$J,'2月数据源'!$D:$D,$E40,'2月数据源'!$F:$F,"SMART LEARNING HOLDING")*G$185</f>
        <v/>
      </c>
      <c r="H40" s="89">
        <f>-SUMIFS('3月数据源'!$I:$I,'3月数据源'!$D:$D,$E40,'3月数据源'!$F:$F,"SMART LEARNING HOLDING")*H$185+SUMIFS('3月数据源'!$J:$J,'3月数据源'!$D:$D,$E40,'3月数据源'!$F:$F,"SMART LEARNING HOLDING")*H$185</f>
        <v/>
      </c>
      <c r="I40" s="89">
        <f>-SUMIFS('4月数据源'!$I:$I,'4月数据源'!$D:$D,$E40,'4月数据源'!$F:$F,"SMART LEARNING HOLDING")*I$185+SUMIFS('4月数据源'!$J:$J,'4月数据源'!$D:$D,$E40,'4月数据源'!$F:$F,"SMART LEARNING HOLDING")*I$185</f>
        <v/>
      </c>
      <c r="J40" s="89">
        <f>-SUMIFS('5月数据源'!$I:$I,'5月数据源'!$D:$D,$E40,'5月数据源'!$F:$F,"SMART LEARNING HOLDING")*J$185+SUMIFS('5月数据源'!$J:$J,'5月数据源'!$D:$D,$E40,'5月数据源'!$F:$F,"SMART LEARNING HOLDING")*J$185</f>
        <v/>
      </c>
      <c r="K40" s="89">
        <f>-SUMIFS('6月数据源'!$I:$I,'6月数据源'!$D:$D,$E40,'6月数据源'!$F:$F,"SMART LEARNING HOLDING")*K$185+SUMIFS('6月数据源'!$J:$J,'6月数据源'!$D:$D,$E40,'6月数据源'!$F:$F,"SMART LEARNING HOLDING")*K$185</f>
        <v/>
      </c>
      <c r="L40" s="89">
        <f>-SUMIFS('7月数据源'!$I:$I,'7月数据源'!$D:$D,$E40,'7月数据源'!$F:$F,"SMART LEARNING HOLDING")*L$185+SUMIFS('7月数据源'!$J:$J,'7月数据源'!$D:$D,$E40,'7月数据源'!$F:$F,"SMART LEARNING HOLDING")*L$185</f>
        <v/>
      </c>
      <c r="M40" s="89">
        <f>-SUMIFS('8月数据源'!$I:$I,'8月数据源'!$D:$D,$E40,'8月数据源'!$F:$F,"SMART LEARNING HOLDING")*M$185+SUMIFS('8月数据源'!$J:$J,'8月数据源'!$D:$D,$E40,'8月数据源'!$F:$F,"SMART LEARNING HOLDING")*M$185</f>
        <v/>
      </c>
      <c r="N40" s="89">
        <f>-SUMIFS('9月数据源'!$I:$I,'9月数据源'!$D:$D,$E40,'9月数据源'!$F:$F,"SMART LEARNING HOLDING")*N$185+SUMIFS('9月数据源'!$J:$J,'9月数据源'!$D:$D,$E40,'9月数据源'!$F:$F,"SMART LEARNING HOLDING")*N$185</f>
        <v/>
      </c>
      <c r="O40" s="89">
        <f>-SUMIFS('10月数据源'!$I:$I,'10月数据源'!$D:$D,$E40,'10月数据源'!$F:$F,"SMART LEARNING HOLDING")*O$185+SUMIFS('10月数据源'!$J:$J,'10月数据源'!$D:$D,$E40,'10月数据源'!$F:$F,"SMART LEARNING HOLDING")*O$185</f>
        <v/>
      </c>
      <c r="P40" s="89">
        <f>-SUMIFS('11月数据源'!$I:$I,'11月数据源'!$D:$D,$E40,'11月数据源'!$F:$F,"SMART LEARNING HOLDING")*P$185+SUMIFS('11月数据源'!$J:$J,'11月数据源'!$D:$D,$E40,'11月数据源'!$F:$F,"SMART LEARNING HOLDING")*P$185</f>
        <v/>
      </c>
      <c r="Q40" s="89">
        <f>-SUMIFS('12月数据源'!$I:$I,'12月数据源'!$D:$D,$E40,'12月数据源'!$F:$F,"SMART LEARNING HOLDING")*Q$185+SUMIFS('12月数据源'!$J:$J,'12月数据源'!$D:$D,$E40,'12月数据源'!$F:$F,"SMART LEARNING HOLDING")*Q$185</f>
        <v/>
      </c>
    </row>
    <row r="41" s="83">
      <c r="A41" s="5" t="inlineStr">
        <is>
          <t>硬件支出</t>
        </is>
      </c>
      <c r="B41" s="6" t="inlineStr">
        <is>
          <t>BONG MAX</t>
        </is>
      </c>
      <c r="D41" s="5" t="inlineStr">
        <is>
          <t>学习机系统授权费</t>
        </is>
      </c>
      <c r="E41" s="6" t="inlineStr">
        <is>
          <t>Q0906</t>
        </is>
      </c>
      <c r="F41" s="89">
        <f>-SUMIFS('1月数据源'!$I:$I,'1月数据源'!$D:$D,$E41,'1月数据源'!$F:$F,"SMART LEARNING HOLDING")*F$185+SUMIFS('1月数据源'!$J:$J,'1月数据源'!$D:$D,$E41,'1月数据源'!$F:$F,"SMART LEARNING HOLDING")*F$185</f>
        <v/>
      </c>
      <c r="G41" s="89">
        <f>-SUMIFS('2月数据源'!$I:$I,'2月数据源'!$D:$D,$E41,'2月数据源'!$F:$F,"SMART LEARNING HOLDING")*G$185+SUMIFS('2月数据源'!$J:$J,'2月数据源'!$D:$D,$E41,'2月数据源'!$F:$F,"SMART LEARNING HOLDING")*G$185</f>
        <v/>
      </c>
      <c r="H41" s="89">
        <f>-SUMIFS('3月数据源'!$I:$I,'3月数据源'!$D:$D,$E41,'3月数据源'!$F:$F,"SMART LEARNING HOLDING")*H$185+SUMIFS('3月数据源'!$J:$J,'3月数据源'!$D:$D,$E41,'3月数据源'!$F:$F,"SMART LEARNING HOLDING")*H$185</f>
        <v/>
      </c>
      <c r="I41" s="89">
        <f>-SUMIFS('4月数据源'!$I:$I,'4月数据源'!$D:$D,$E41,'4月数据源'!$F:$F,"SMART LEARNING HOLDING")*I$185+SUMIFS('4月数据源'!$J:$J,'4月数据源'!$D:$D,$E41,'4月数据源'!$F:$F,"SMART LEARNING HOLDING")*I$185</f>
        <v/>
      </c>
      <c r="J41" s="89">
        <f>-SUMIFS('5月数据源'!$I:$I,'5月数据源'!$D:$D,$E41,'5月数据源'!$F:$F,"SMART LEARNING HOLDING")*J$185+SUMIFS('5月数据源'!$J:$J,'5月数据源'!$D:$D,$E41,'5月数据源'!$F:$F,"SMART LEARNING HOLDING")*J$185</f>
        <v/>
      </c>
      <c r="K41" s="89">
        <f>-SUMIFS('6月数据源'!$I:$I,'6月数据源'!$D:$D,$E41,'6月数据源'!$F:$F,"SMART LEARNING HOLDING")*K$185+SUMIFS('6月数据源'!$J:$J,'6月数据源'!$D:$D,$E41,'6月数据源'!$F:$F,"SMART LEARNING HOLDING")*K$185</f>
        <v/>
      </c>
      <c r="L41" s="89">
        <f>-SUMIFS('7月数据源'!$I:$I,'7月数据源'!$D:$D,$E41,'7月数据源'!$F:$F,"SMART LEARNING HOLDING")*L$185+SUMIFS('7月数据源'!$J:$J,'7月数据源'!$D:$D,$E41,'7月数据源'!$F:$F,"SMART LEARNING HOLDING")*L$185</f>
        <v/>
      </c>
      <c r="M41" s="89">
        <f>-SUMIFS('8月数据源'!$I:$I,'8月数据源'!$D:$D,$E41,'8月数据源'!$F:$F,"SMART LEARNING HOLDING")*M$185+SUMIFS('8月数据源'!$J:$J,'8月数据源'!$D:$D,$E41,'8月数据源'!$F:$F,"SMART LEARNING HOLDING")*M$185</f>
        <v/>
      </c>
      <c r="N41" s="89">
        <f>-SUMIFS('9月数据源'!$I:$I,'9月数据源'!$D:$D,$E41,'9月数据源'!$F:$F,"SMART LEARNING HOLDING")*N$185+SUMIFS('9月数据源'!$J:$J,'9月数据源'!$D:$D,$E41,'9月数据源'!$F:$F,"SMART LEARNING HOLDING")*N$185</f>
        <v/>
      </c>
      <c r="O41" s="89">
        <f>-SUMIFS('10月数据源'!$I:$I,'10月数据源'!$D:$D,$E41,'10月数据源'!$F:$F,"SMART LEARNING HOLDING")*O$185+SUMIFS('10月数据源'!$J:$J,'10月数据源'!$D:$D,$E41,'10月数据源'!$F:$F,"SMART LEARNING HOLDING")*O$185</f>
        <v/>
      </c>
      <c r="P41" s="89">
        <f>-SUMIFS('11月数据源'!$I:$I,'11月数据源'!$D:$D,$E41,'11月数据源'!$F:$F,"SMART LEARNING HOLDING")*P$185+SUMIFS('11月数据源'!$J:$J,'11月数据源'!$D:$D,$E41,'11月数据源'!$F:$F,"SMART LEARNING HOLDING")*P$185</f>
        <v/>
      </c>
      <c r="Q41" s="89">
        <f>-SUMIFS('12月数据源'!$I:$I,'12月数据源'!$D:$D,$E41,'12月数据源'!$F:$F,"SMART LEARNING HOLDING")*Q$185+SUMIFS('12月数据源'!$J:$J,'12月数据源'!$D:$D,$E41,'12月数据源'!$F:$F,"SMART LEARNING HOLDING")*Q$185</f>
        <v/>
      </c>
    </row>
    <row r="42" s="83">
      <c r="A42" s="5" t="inlineStr">
        <is>
          <t>硬件支出</t>
        </is>
      </c>
      <c r="B42" s="6" t="inlineStr">
        <is>
          <t>BONG PRO</t>
        </is>
      </c>
      <c r="C42" s="6" t="inlineStr">
        <is>
          <t>BONG PRO</t>
        </is>
      </c>
      <c r="D42" s="5" t="inlineStr">
        <is>
          <t>BOE平板电脑款项</t>
        </is>
      </c>
      <c r="E42" s="6" t="inlineStr">
        <is>
          <t>Q1001</t>
        </is>
      </c>
      <c r="F42" s="89">
        <f>-SUMIFS('1月数据源'!$I:$I,'1月数据源'!$D:$D,$E42,'1月数据源'!$F:$F,"SMART LEARNING HOLDING")*F$185+SUMIFS('1月数据源'!$J:$J,'1月数据源'!$D:$D,$E42,'1月数据源'!$F:$F,"SMART LEARNING HOLDING")*F$185</f>
        <v/>
      </c>
      <c r="G42" s="89">
        <f>-SUMIFS('2月数据源'!$I:$I,'2月数据源'!$D:$D,$E42,'2月数据源'!$F:$F,"SMART LEARNING HOLDING")*G$185+SUMIFS('2月数据源'!$J:$J,'2月数据源'!$D:$D,$E42,'2月数据源'!$F:$F,"SMART LEARNING HOLDING")*G$185</f>
        <v/>
      </c>
      <c r="H42" s="89">
        <f>-SUMIFS('3月数据源'!$I:$I,'3月数据源'!$D:$D,$E42,'3月数据源'!$F:$F,"SMART LEARNING HOLDING")*H$185+SUMIFS('3月数据源'!$J:$J,'3月数据源'!$D:$D,$E42,'3月数据源'!$F:$F,"SMART LEARNING HOLDING")*H$185</f>
        <v/>
      </c>
      <c r="I42" s="89">
        <f>-SUMIFS('4月数据源'!$I:$I,'4月数据源'!$D:$D,$E42,'4月数据源'!$F:$F,"SMART LEARNING HOLDING")*I$185+SUMIFS('4月数据源'!$J:$J,'4月数据源'!$D:$D,$E42,'4月数据源'!$F:$F,"SMART LEARNING HOLDING")*I$185</f>
        <v/>
      </c>
      <c r="J42" s="89">
        <f>-SUMIFS('5月数据源'!$I:$I,'5月数据源'!$D:$D,$E42,'5月数据源'!$F:$F,"SMART LEARNING HOLDING")*J$185+SUMIFS('5月数据源'!$J:$J,'5月数据源'!$D:$D,$E42,'5月数据源'!$F:$F,"SMART LEARNING HOLDING")*J$185</f>
        <v/>
      </c>
      <c r="K42" s="89">
        <f>-SUMIFS('6月数据源'!$I:$I,'6月数据源'!$D:$D,$E42,'6月数据源'!$F:$F,"SMART LEARNING HOLDING")*K$185+SUMIFS('6月数据源'!$J:$J,'6月数据源'!$D:$D,$E42,'6月数据源'!$F:$F,"SMART LEARNING HOLDING")*K$185</f>
        <v/>
      </c>
      <c r="L42" s="89">
        <f>-SUMIFS('7月数据源'!$I:$I,'7月数据源'!$D:$D,$E42,'7月数据源'!$F:$F,"SMART LEARNING HOLDING")*L$185+SUMIFS('7月数据源'!$J:$J,'7月数据源'!$D:$D,$E42,'7月数据源'!$F:$F,"SMART LEARNING HOLDING")*L$185</f>
        <v/>
      </c>
      <c r="M42" s="89">
        <f>-SUMIFS('8月数据源'!$I:$I,'8月数据源'!$D:$D,$E42,'8月数据源'!$F:$F,"SMART LEARNING HOLDING")*M$185+SUMIFS('8月数据源'!$J:$J,'8月数据源'!$D:$D,$E42,'8月数据源'!$F:$F,"SMART LEARNING HOLDING")*M$185</f>
        <v/>
      </c>
      <c r="N42" s="89">
        <f>-SUMIFS('9月数据源'!$I:$I,'9月数据源'!$D:$D,$E42,'9月数据源'!$F:$F,"SMART LEARNING HOLDING")*N$185+SUMIFS('9月数据源'!$J:$J,'9月数据源'!$D:$D,$E42,'9月数据源'!$F:$F,"SMART LEARNING HOLDING")*N$185</f>
        <v/>
      </c>
      <c r="O42" s="89">
        <f>-SUMIFS('10月数据源'!$I:$I,'10月数据源'!$D:$D,$E42,'10月数据源'!$F:$F,"SMART LEARNING HOLDING")*O$185+SUMIFS('10月数据源'!$J:$J,'10月数据源'!$D:$D,$E42,'10月数据源'!$F:$F,"SMART LEARNING HOLDING")*O$185</f>
        <v/>
      </c>
      <c r="P42" s="89">
        <f>-SUMIFS('11月数据源'!$I:$I,'11月数据源'!$D:$D,$E42,'11月数据源'!$F:$F,"SMART LEARNING HOLDING")*P$185+SUMIFS('11月数据源'!$J:$J,'11月数据源'!$D:$D,$E42,'11月数据源'!$F:$F,"SMART LEARNING HOLDING")*P$185</f>
        <v/>
      </c>
      <c r="Q42" s="89">
        <f>-SUMIFS('12月数据源'!$I:$I,'12月数据源'!$D:$D,$E42,'12月数据源'!$F:$F,"SMART LEARNING HOLDING")*Q$185+SUMIFS('12月数据源'!$J:$J,'12月数据源'!$D:$D,$E42,'12月数据源'!$F:$F,"SMART LEARNING HOLDING")*Q$185</f>
        <v/>
      </c>
    </row>
    <row r="43" s="83">
      <c r="A43" s="5" t="inlineStr">
        <is>
          <t>硬件支出</t>
        </is>
      </c>
      <c r="B43" s="6" t="inlineStr">
        <is>
          <t>BONG PRO</t>
        </is>
      </c>
      <c r="D43" s="5" t="inlineStr">
        <is>
          <t>保护套</t>
        </is>
      </c>
      <c r="E43" s="6" t="inlineStr">
        <is>
          <t>Q1002</t>
        </is>
      </c>
      <c r="F43" s="89">
        <f>-SUMIFS('1月数据源'!$I:$I,'1月数据源'!$D:$D,$E43,'1月数据源'!$F:$F,"SMART LEARNING HOLDING")*F$185+SUMIFS('1月数据源'!$J:$J,'1月数据源'!$D:$D,$E43,'1月数据源'!$F:$F,"SMART LEARNING HOLDING")*F$185</f>
        <v/>
      </c>
      <c r="G43" s="89">
        <f>-SUMIFS('2月数据源'!$I:$I,'2月数据源'!$D:$D,$E43,'2月数据源'!$F:$F,"SMART LEARNING HOLDING")*G$185+SUMIFS('2月数据源'!$J:$J,'2月数据源'!$D:$D,$E43,'2月数据源'!$F:$F,"SMART LEARNING HOLDING")*G$185</f>
        <v/>
      </c>
      <c r="H43" s="89">
        <f>-SUMIFS('3月数据源'!$I:$I,'3月数据源'!$D:$D,$E43,'3月数据源'!$F:$F,"SMART LEARNING HOLDING")*H$185+SUMIFS('3月数据源'!$J:$J,'3月数据源'!$D:$D,$E43,'3月数据源'!$F:$F,"SMART LEARNING HOLDING")*H$185</f>
        <v/>
      </c>
      <c r="I43" s="89">
        <f>-SUMIFS('4月数据源'!$I:$I,'4月数据源'!$D:$D,$E43,'4月数据源'!$F:$F,"SMART LEARNING HOLDING")*I$185+SUMIFS('4月数据源'!$J:$J,'4月数据源'!$D:$D,$E43,'4月数据源'!$F:$F,"SMART LEARNING HOLDING")*I$185</f>
        <v/>
      </c>
      <c r="J43" s="89">
        <f>-SUMIFS('5月数据源'!$I:$I,'5月数据源'!$D:$D,$E43,'5月数据源'!$F:$F,"SMART LEARNING HOLDING")*J$185+SUMIFS('5月数据源'!$J:$J,'5月数据源'!$D:$D,$E43,'5月数据源'!$F:$F,"SMART LEARNING HOLDING")*J$185</f>
        <v/>
      </c>
      <c r="K43" s="89">
        <f>-SUMIFS('6月数据源'!$I:$I,'6月数据源'!$D:$D,$E43,'6月数据源'!$F:$F,"SMART LEARNING HOLDING")*K$185+SUMIFS('6月数据源'!$J:$J,'6月数据源'!$D:$D,$E43,'6月数据源'!$F:$F,"SMART LEARNING HOLDING")*K$185</f>
        <v/>
      </c>
      <c r="L43" s="89">
        <f>-SUMIFS('7月数据源'!$I:$I,'7月数据源'!$D:$D,$E43,'7月数据源'!$F:$F,"SMART LEARNING HOLDING")*L$185+SUMIFS('7月数据源'!$J:$J,'7月数据源'!$D:$D,$E43,'7月数据源'!$F:$F,"SMART LEARNING HOLDING")*L$185</f>
        <v/>
      </c>
      <c r="M43" s="89">
        <f>-SUMIFS('8月数据源'!$I:$I,'8月数据源'!$D:$D,$E43,'8月数据源'!$F:$F,"SMART LEARNING HOLDING")*M$185+SUMIFS('8月数据源'!$J:$J,'8月数据源'!$D:$D,$E43,'8月数据源'!$F:$F,"SMART LEARNING HOLDING")*M$185</f>
        <v/>
      </c>
      <c r="N43" s="89">
        <f>-SUMIFS('9月数据源'!$I:$I,'9月数据源'!$D:$D,$E43,'9月数据源'!$F:$F,"SMART LEARNING HOLDING")*N$185+SUMIFS('9月数据源'!$J:$J,'9月数据源'!$D:$D,$E43,'9月数据源'!$F:$F,"SMART LEARNING HOLDING")*N$185</f>
        <v/>
      </c>
      <c r="O43" s="89">
        <f>-SUMIFS('10月数据源'!$I:$I,'10月数据源'!$D:$D,$E43,'10月数据源'!$F:$F,"SMART LEARNING HOLDING")*O$185+SUMIFS('10月数据源'!$J:$J,'10月数据源'!$D:$D,$E43,'10月数据源'!$F:$F,"SMART LEARNING HOLDING")*O$185</f>
        <v/>
      </c>
      <c r="P43" s="89">
        <f>-SUMIFS('11月数据源'!$I:$I,'11月数据源'!$D:$D,$E43,'11月数据源'!$F:$F,"SMART LEARNING HOLDING")*P$185+SUMIFS('11月数据源'!$J:$J,'11月数据源'!$D:$D,$E43,'11月数据源'!$F:$F,"SMART LEARNING HOLDING")*P$185</f>
        <v/>
      </c>
      <c r="Q43" s="89">
        <f>-SUMIFS('12月数据源'!$I:$I,'12月数据源'!$D:$D,$E43,'12月数据源'!$F:$F,"SMART LEARNING HOLDING")*Q$185+SUMIFS('12月数据源'!$J:$J,'12月数据源'!$D:$D,$E43,'12月数据源'!$F:$F,"SMART LEARNING HOLDING")*Q$185</f>
        <v/>
      </c>
    </row>
    <row r="44" s="83">
      <c r="A44" s="5" t="inlineStr">
        <is>
          <t>硬件支出</t>
        </is>
      </c>
      <c r="B44" s="6" t="inlineStr">
        <is>
          <t>BONG PRO</t>
        </is>
      </c>
      <c r="D44" s="5" t="inlineStr">
        <is>
          <t>包装盒</t>
        </is>
      </c>
      <c r="E44" s="6" t="inlineStr">
        <is>
          <t>Q1003</t>
        </is>
      </c>
      <c r="F44" s="89">
        <f>-SUMIFS('1月数据源'!$I:$I,'1月数据源'!$D:$D,$E44,'1月数据源'!$F:$F,"SMART LEARNING HOLDING")*F$185+SUMIFS('1月数据源'!$J:$J,'1月数据源'!$D:$D,$E44,'1月数据源'!$F:$F,"SMART LEARNING HOLDING")*F$185</f>
        <v/>
      </c>
      <c r="G44" s="89">
        <f>-SUMIFS('2月数据源'!$I:$I,'2月数据源'!$D:$D,$E44,'2月数据源'!$F:$F,"SMART LEARNING HOLDING")*G$185+SUMIFS('2月数据源'!$J:$J,'2月数据源'!$D:$D,$E44,'2月数据源'!$F:$F,"SMART LEARNING HOLDING")*G$185</f>
        <v/>
      </c>
      <c r="H44" s="89">
        <f>-SUMIFS('3月数据源'!$I:$I,'3月数据源'!$D:$D,$E44,'3月数据源'!$F:$F,"SMART LEARNING HOLDING")*H$185+SUMIFS('3月数据源'!$J:$J,'3月数据源'!$D:$D,$E44,'3月数据源'!$F:$F,"SMART LEARNING HOLDING")*H$185</f>
        <v/>
      </c>
      <c r="I44" s="89">
        <f>-SUMIFS('4月数据源'!$I:$I,'4月数据源'!$D:$D,$E44,'4月数据源'!$F:$F,"SMART LEARNING HOLDING")*I$185+SUMIFS('4月数据源'!$J:$J,'4月数据源'!$D:$D,$E44,'4月数据源'!$F:$F,"SMART LEARNING HOLDING")*I$185</f>
        <v/>
      </c>
      <c r="J44" s="89">
        <f>-SUMIFS('5月数据源'!$I:$I,'5月数据源'!$D:$D,$E44,'5月数据源'!$F:$F,"SMART LEARNING HOLDING")*J$185+SUMIFS('5月数据源'!$J:$J,'5月数据源'!$D:$D,$E44,'5月数据源'!$F:$F,"SMART LEARNING HOLDING")*J$185</f>
        <v/>
      </c>
      <c r="K44" s="89">
        <f>-SUMIFS('6月数据源'!$I:$I,'6月数据源'!$D:$D,$E44,'6月数据源'!$F:$F,"SMART LEARNING HOLDING")*K$185+SUMIFS('6月数据源'!$J:$J,'6月数据源'!$D:$D,$E44,'6月数据源'!$F:$F,"SMART LEARNING HOLDING")*K$185</f>
        <v/>
      </c>
      <c r="L44" s="89">
        <f>-SUMIFS('7月数据源'!$I:$I,'7月数据源'!$D:$D,$E44,'7月数据源'!$F:$F,"SMART LEARNING HOLDING")*L$185+SUMIFS('7月数据源'!$J:$J,'7月数据源'!$D:$D,$E44,'7月数据源'!$F:$F,"SMART LEARNING HOLDING")*L$185</f>
        <v/>
      </c>
      <c r="M44" s="89">
        <f>-SUMIFS('8月数据源'!$I:$I,'8月数据源'!$D:$D,$E44,'8月数据源'!$F:$F,"SMART LEARNING HOLDING")*M$185+SUMIFS('8月数据源'!$J:$J,'8月数据源'!$D:$D,$E44,'8月数据源'!$F:$F,"SMART LEARNING HOLDING")*M$185</f>
        <v/>
      </c>
      <c r="N44" s="89">
        <f>-SUMIFS('9月数据源'!$I:$I,'9月数据源'!$D:$D,$E44,'9月数据源'!$F:$F,"SMART LEARNING HOLDING")*N$185+SUMIFS('9月数据源'!$J:$J,'9月数据源'!$D:$D,$E44,'9月数据源'!$F:$F,"SMART LEARNING HOLDING")*N$185</f>
        <v/>
      </c>
      <c r="O44" s="89">
        <f>-SUMIFS('10月数据源'!$I:$I,'10月数据源'!$D:$D,$E44,'10月数据源'!$F:$F,"SMART LEARNING HOLDING")*O$185+SUMIFS('10月数据源'!$J:$J,'10月数据源'!$D:$D,$E44,'10月数据源'!$F:$F,"SMART LEARNING HOLDING")*O$185</f>
        <v/>
      </c>
      <c r="P44" s="89">
        <f>-SUMIFS('11月数据源'!$I:$I,'11月数据源'!$D:$D,$E44,'11月数据源'!$F:$F,"SMART LEARNING HOLDING")*P$185+SUMIFS('11月数据源'!$J:$J,'11月数据源'!$D:$D,$E44,'11月数据源'!$F:$F,"SMART LEARNING HOLDING")*P$185</f>
        <v/>
      </c>
      <c r="Q44" s="89">
        <f>-SUMIFS('12月数据源'!$I:$I,'12月数据源'!$D:$D,$E44,'12月数据源'!$F:$F,"SMART LEARNING HOLDING")*Q$185+SUMIFS('12月数据源'!$J:$J,'12月数据源'!$D:$D,$E44,'12月数据源'!$F:$F,"SMART LEARNING HOLDING")*Q$185</f>
        <v/>
      </c>
    </row>
    <row r="45" s="83">
      <c r="A45" s="5" t="inlineStr">
        <is>
          <t>硬件支出</t>
        </is>
      </c>
      <c r="B45" s="6" t="inlineStr">
        <is>
          <t>BONG PRO</t>
        </is>
      </c>
      <c r="D45" s="5" t="inlineStr">
        <is>
          <t>充电器</t>
        </is>
      </c>
      <c r="E45" s="6" t="inlineStr">
        <is>
          <t>Q1004</t>
        </is>
      </c>
      <c r="F45" s="89">
        <f>-SUMIFS('1月数据源'!$I:$I,'1月数据源'!$D:$D,$E45,'1月数据源'!$F:$F,"SMART LEARNING HOLDING")*F$185+SUMIFS('1月数据源'!$J:$J,'1月数据源'!$D:$D,$E45,'1月数据源'!$F:$F,"SMART LEARNING HOLDING")*F$185</f>
        <v/>
      </c>
      <c r="G45" s="89">
        <f>-SUMIFS('2月数据源'!$I:$I,'2月数据源'!$D:$D,$E45,'2月数据源'!$F:$F,"SMART LEARNING HOLDING")*G$185+SUMIFS('2月数据源'!$J:$J,'2月数据源'!$D:$D,$E45,'2月数据源'!$F:$F,"SMART LEARNING HOLDING")*G$185</f>
        <v/>
      </c>
      <c r="H45" s="89">
        <f>-SUMIFS('3月数据源'!$I:$I,'3月数据源'!$D:$D,$E45,'3月数据源'!$F:$F,"SMART LEARNING HOLDING")*H$185+SUMIFS('3月数据源'!$J:$J,'3月数据源'!$D:$D,$E45,'3月数据源'!$F:$F,"SMART LEARNING HOLDING")*H$185</f>
        <v/>
      </c>
      <c r="I45" s="89">
        <f>-SUMIFS('4月数据源'!$I:$I,'4月数据源'!$D:$D,$E45,'4月数据源'!$F:$F,"SMART LEARNING HOLDING")*I$185+SUMIFS('4月数据源'!$J:$J,'4月数据源'!$D:$D,$E45,'4月数据源'!$F:$F,"SMART LEARNING HOLDING")*I$185</f>
        <v/>
      </c>
      <c r="J45" s="89">
        <f>-SUMIFS('5月数据源'!$I:$I,'5月数据源'!$D:$D,$E45,'5月数据源'!$F:$F,"SMART LEARNING HOLDING")*J$185+SUMIFS('5月数据源'!$J:$J,'5月数据源'!$D:$D,$E45,'5月数据源'!$F:$F,"SMART LEARNING HOLDING")*J$185</f>
        <v/>
      </c>
      <c r="K45" s="89">
        <f>-SUMIFS('6月数据源'!$I:$I,'6月数据源'!$D:$D,$E45,'6月数据源'!$F:$F,"SMART LEARNING HOLDING")*K$185+SUMIFS('6月数据源'!$J:$J,'6月数据源'!$D:$D,$E45,'6月数据源'!$F:$F,"SMART LEARNING HOLDING")*K$185</f>
        <v/>
      </c>
      <c r="L45" s="89">
        <f>-SUMIFS('7月数据源'!$I:$I,'7月数据源'!$D:$D,$E45,'7月数据源'!$F:$F,"SMART LEARNING HOLDING")*L$185+SUMIFS('7月数据源'!$J:$J,'7月数据源'!$D:$D,$E45,'7月数据源'!$F:$F,"SMART LEARNING HOLDING")*L$185</f>
        <v/>
      </c>
      <c r="M45" s="89">
        <f>-SUMIFS('8月数据源'!$I:$I,'8月数据源'!$D:$D,$E45,'8月数据源'!$F:$F,"SMART LEARNING HOLDING")*M$185+SUMIFS('8月数据源'!$J:$J,'8月数据源'!$D:$D,$E45,'8月数据源'!$F:$F,"SMART LEARNING HOLDING")*M$185</f>
        <v/>
      </c>
      <c r="N45" s="89">
        <f>-SUMIFS('9月数据源'!$I:$I,'9月数据源'!$D:$D,$E45,'9月数据源'!$F:$F,"SMART LEARNING HOLDING")*N$185+SUMIFS('9月数据源'!$J:$J,'9月数据源'!$D:$D,$E45,'9月数据源'!$F:$F,"SMART LEARNING HOLDING")*N$185</f>
        <v/>
      </c>
      <c r="O45" s="89">
        <f>-SUMIFS('10月数据源'!$I:$I,'10月数据源'!$D:$D,$E45,'10月数据源'!$F:$F,"SMART LEARNING HOLDING")*O$185+SUMIFS('10月数据源'!$J:$J,'10月数据源'!$D:$D,$E45,'10月数据源'!$F:$F,"SMART LEARNING HOLDING")*O$185</f>
        <v/>
      </c>
      <c r="P45" s="89">
        <f>-SUMIFS('11月数据源'!$I:$I,'11月数据源'!$D:$D,$E45,'11月数据源'!$F:$F,"SMART LEARNING HOLDING")*P$185+SUMIFS('11月数据源'!$J:$J,'11月数据源'!$D:$D,$E45,'11月数据源'!$F:$F,"SMART LEARNING HOLDING")*P$185</f>
        <v/>
      </c>
      <c r="Q45" s="89">
        <f>-SUMIFS('12月数据源'!$I:$I,'12月数据源'!$D:$D,$E45,'12月数据源'!$F:$F,"SMART LEARNING HOLDING")*Q$185+SUMIFS('12月数据源'!$J:$J,'12月数据源'!$D:$D,$E45,'12月数据源'!$F:$F,"SMART LEARNING HOLDING")*Q$185</f>
        <v/>
      </c>
    </row>
    <row r="46" s="83">
      <c r="A46" s="5" t="inlineStr">
        <is>
          <t>硬件支出</t>
        </is>
      </c>
      <c r="B46" s="6" t="inlineStr">
        <is>
          <t>BONG PRO</t>
        </is>
      </c>
      <c r="D46" s="5" t="inlineStr">
        <is>
          <t>指学镜</t>
        </is>
      </c>
      <c r="E46" s="6" t="inlineStr">
        <is>
          <t>Q1005</t>
        </is>
      </c>
      <c r="F46" s="89">
        <f>-SUMIFS('1月数据源'!$I:$I,'1月数据源'!$D:$D,$E46,'1月数据源'!$F:$F,"SMART LEARNING HOLDING")*F$185+SUMIFS('1月数据源'!$J:$J,'1月数据源'!$D:$D,$E46,'1月数据源'!$F:$F,"SMART LEARNING HOLDING")*F$185</f>
        <v/>
      </c>
      <c r="G46" s="89">
        <f>-SUMIFS('2月数据源'!$I:$I,'2月数据源'!$D:$D,$E46,'2月数据源'!$F:$F,"SMART LEARNING HOLDING")*G$185+SUMIFS('2月数据源'!$J:$J,'2月数据源'!$D:$D,$E46,'2月数据源'!$F:$F,"SMART LEARNING HOLDING")*G$185</f>
        <v/>
      </c>
      <c r="H46" s="89">
        <f>-SUMIFS('3月数据源'!$I:$I,'3月数据源'!$D:$D,$E46,'3月数据源'!$F:$F,"SMART LEARNING HOLDING")*H$185+SUMIFS('3月数据源'!$J:$J,'3月数据源'!$D:$D,$E46,'3月数据源'!$F:$F,"SMART LEARNING HOLDING")*H$185</f>
        <v/>
      </c>
      <c r="I46" s="89">
        <f>-SUMIFS('4月数据源'!$I:$I,'4月数据源'!$D:$D,$E46,'4月数据源'!$F:$F,"SMART LEARNING HOLDING")*I$185+SUMIFS('4月数据源'!$J:$J,'4月数据源'!$D:$D,$E46,'4月数据源'!$F:$F,"SMART LEARNING HOLDING")*I$185</f>
        <v/>
      </c>
      <c r="J46" s="89">
        <f>-SUMIFS('5月数据源'!$I:$I,'5月数据源'!$D:$D,$E46,'5月数据源'!$F:$F,"SMART LEARNING HOLDING")*J$185+SUMIFS('5月数据源'!$J:$J,'5月数据源'!$D:$D,$E46,'5月数据源'!$F:$F,"SMART LEARNING HOLDING")*J$185</f>
        <v/>
      </c>
      <c r="K46" s="89">
        <f>-SUMIFS('6月数据源'!$I:$I,'6月数据源'!$D:$D,$E46,'6月数据源'!$F:$F,"SMART LEARNING HOLDING")*K$185+SUMIFS('6月数据源'!$J:$J,'6月数据源'!$D:$D,$E46,'6月数据源'!$F:$F,"SMART LEARNING HOLDING")*K$185</f>
        <v/>
      </c>
      <c r="L46" s="89">
        <f>-SUMIFS('7月数据源'!$I:$I,'7月数据源'!$D:$D,$E46,'7月数据源'!$F:$F,"SMART LEARNING HOLDING")*L$185+SUMIFS('7月数据源'!$J:$J,'7月数据源'!$D:$D,$E46,'7月数据源'!$F:$F,"SMART LEARNING HOLDING")*L$185</f>
        <v/>
      </c>
      <c r="M46" s="89">
        <f>-SUMIFS('8月数据源'!$I:$I,'8月数据源'!$D:$D,$E46,'8月数据源'!$F:$F,"SMART LEARNING HOLDING")*M$185+SUMIFS('8月数据源'!$J:$J,'8月数据源'!$D:$D,$E46,'8月数据源'!$F:$F,"SMART LEARNING HOLDING")*M$185</f>
        <v/>
      </c>
      <c r="N46" s="89">
        <f>-SUMIFS('9月数据源'!$I:$I,'9月数据源'!$D:$D,$E46,'9月数据源'!$F:$F,"SMART LEARNING HOLDING")*N$185+SUMIFS('9月数据源'!$J:$J,'9月数据源'!$D:$D,$E46,'9月数据源'!$F:$F,"SMART LEARNING HOLDING")*N$185</f>
        <v/>
      </c>
      <c r="O46" s="89">
        <f>-SUMIFS('10月数据源'!$I:$I,'10月数据源'!$D:$D,$E46,'10月数据源'!$F:$F,"SMART LEARNING HOLDING")*O$185+SUMIFS('10月数据源'!$J:$J,'10月数据源'!$D:$D,$E46,'10月数据源'!$F:$F,"SMART LEARNING HOLDING")*O$185</f>
        <v/>
      </c>
      <c r="P46" s="89">
        <f>-SUMIFS('11月数据源'!$I:$I,'11月数据源'!$D:$D,$E46,'11月数据源'!$F:$F,"SMART LEARNING HOLDING")*P$185+SUMIFS('11月数据源'!$J:$J,'11月数据源'!$D:$D,$E46,'11月数据源'!$F:$F,"SMART LEARNING HOLDING")*P$185</f>
        <v/>
      </c>
      <c r="Q46" s="89">
        <f>-SUMIFS('12月数据源'!$I:$I,'12月数据源'!$D:$D,$E46,'12月数据源'!$F:$F,"SMART LEARNING HOLDING")*Q$185+SUMIFS('12月数据源'!$J:$J,'12月数据源'!$D:$D,$E46,'12月数据源'!$F:$F,"SMART LEARNING HOLDING")*Q$185</f>
        <v/>
      </c>
    </row>
    <row r="47" s="83">
      <c r="A47" s="5" t="inlineStr">
        <is>
          <t>硬件支出</t>
        </is>
      </c>
      <c r="B47" s="6" t="inlineStr">
        <is>
          <t>BONG PRO</t>
        </is>
      </c>
      <c r="D47" s="5" t="inlineStr">
        <is>
          <t>学习机系统授权费</t>
        </is>
      </c>
      <c r="E47" s="6" t="inlineStr">
        <is>
          <t>Q1006</t>
        </is>
      </c>
      <c r="F47" s="89">
        <f>-SUMIFS('1月数据源'!$I:$I,'1月数据源'!$D:$D,$E47,'1月数据源'!$F:$F,"SMART LEARNING HOLDING")*F$185+SUMIFS('1月数据源'!$J:$J,'1月数据源'!$D:$D,$E47,'1月数据源'!$F:$F,"SMART LEARNING HOLDING")*F$185</f>
        <v/>
      </c>
      <c r="G47" s="89">
        <f>-SUMIFS('2月数据源'!$I:$I,'2月数据源'!$D:$D,$E47,'2月数据源'!$F:$F,"SMART LEARNING HOLDING")*G$185+SUMIFS('2月数据源'!$J:$J,'2月数据源'!$D:$D,$E47,'2月数据源'!$F:$F,"SMART LEARNING HOLDING")*G$185</f>
        <v/>
      </c>
      <c r="H47" s="89">
        <f>-SUMIFS('3月数据源'!$I:$I,'3月数据源'!$D:$D,$E47,'3月数据源'!$F:$F,"SMART LEARNING HOLDING")*H$185+SUMIFS('3月数据源'!$J:$J,'3月数据源'!$D:$D,$E47,'3月数据源'!$F:$F,"SMART LEARNING HOLDING")*H$185</f>
        <v/>
      </c>
      <c r="I47" s="89">
        <f>-SUMIFS('4月数据源'!$I:$I,'4月数据源'!$D:$D,$E47,'4月数据源'!$F:$F,"SMART LEARNING HOLDING")*I$185+SUMIFS('4月数据源'!$J:$J,'4月数据源'!$D:$D,$E47,'4月数据源'!$F:$F,"SMART LEARNING HOLDING")*I$185</f>
        <v/>
      </c>
      <c r="J47" s="89">
        <f>-SUMIFS('5月数据源'!$I:$I,'5月数据源'!$D:$D,$E47,'5月数据源'!$F:$F,"SMART LEARNING HOLDING")*J$185+SUMIFS('5月数据源'!$J:$J,'5月数据源'!$D:$D,$E47,'5月数据源'!$F:$F,"SMART LEARNING HOLDING")*J$185</f>
        <v/>
      </c>
      <c r="K47" s="89">
        <f>-SUMIFS('6月数据源'!$I:$I,'6月数据源'!$D:$D,$E47,'6月数据源'!$F:$F,"SMART LEARNING HOLDING")*K$185+SUMIFS('6月数据源'!$J:$J,'6月数据源'!$D:$D,$E47,'6月数据源'!$F:$F,"SMART LEARNING HOLDING")*K$185</f>
        <v/>
      </c>
      <c r="L47" s="89">
        <f>-SUMIFS('7月数据源'!$I:$I,'7月数据源'!$D:$D,$E47,'7月数据源'!$F:$F,"SMART LEARNING HOLDING")*L$185+SUMIFS('7月数据源'!$J:$J,'7月数据源'!$D:$D,$E47,'7月数据源'!$F:$F,"SMART LEARNING HOLDING")*L$185</f>
        <v/>
      </c>
      <c r="M47" s="89">
        <f>-SUMIFS('8月数据源'!$I:$I,'8月数据源'!$D:$D,$E47,'8月数据源'!$F:$F,"SMART LEARNING HOLDING")*M$185+SUMIFS('8月数据源'!$J:$J,'8月数据源'!$D:$D,$E47,'8月数据源'!$F:$F,"SMART LEARNING HOLDING")*M$185</f>
        <v/>
      </c>
      <c r="N47" s="89">
        <f>-SUMIFS('9月数据源'!$I:$I,'9月数据源'!$D:$D,$E47,'9月数据源'!$F:$F,"SMART LEARNING HOLDING")*N$185+SUMIFS('9月数据源'!$J:$J,'9月数据源'!$D:$D,$E47,'9月数据源'!$F:$F,"SMART LEARNING HOLDING")*N$185</f>
        <v/>
      </c>
      <c r="O47" s="89">
        <f>-SUMIFS('10月数据源'!$I:$I,'10月数据源'!$D:$D,$E47,'10月数据源'!$F:$F,"SMART LEARNING HOLDING")*O$185+SUMIFS('10月数据源'!$J:$J,'10月数据源'!$D:$D,$E47,'10月数据源'!$F:$F,"SMART LEARNING HOLDING")*O$185</f>
        <v/>
      </c>
      <c r="P47" s="89">
        <f>-SUMIFS('11月数据源'!$I:$I,'11月数据源'!$D:$D,$E47,'11月数据源'!$F:$F,"SMART LEARNING HOLDING")*P$185+SUMIFS('11月数据源'!$J:$J,'11月数据源'!$D:$D,$E47,'11月数据源'!$F:$F,"SMART LEARNING HOLDING")*P$185</f>
        <v/>
      </c>
      <c r="Q47" s="89">
        <f>-SUMIFS('12月数据源'!$I:$I,'12月数据源'!$D:$D,$E47,'12月数据源'!$F:$F,"SMART LEARNING HOLDING")*Q$185+SUMIFS('12月数据源'!$J:$J,'12月数据源'!$D:$D,$E47,'12月数据源'!$F:$F,"SMART LEARNING HOLDING")*Q$185</f>
        <v/>
      </c>
    </row>
    <row r="48" s="83">
      <c r="A48" s="5" t="inlineStr">
        <is>
          <t>硬件支出</t>
        </is>
      </c>
      <c r="B48" s="6" t="inlineStr">
        <is>
          <t>其他硬件成本</t>
        </is>
      </c>
      <c r="C48" s="6" t="inlineStr">
        <is>
          <t>其他硬件成本</t>
        </is>
      </c>
      <c r="D48" s="5" t="inlineStr">
        <is>
          <t>电容笔</t>
        </is>
      </c>
      <c r="E48" s="6" t="inlineStr">
        <is>
          <t>Q1101</t>
        </is>
      </c>
      <c r="F48" s="89">
        <f>-SUMIFS('1月数据源'!$I:$I,'1月数据源'!$D:$D,$E48,'1月数据源'!$F:$F,"SMART LEARNING HOLDING")*F$185+SUMIFS('1月数据源'!$J:$J,'1月数据源'!$D:$D,$E48,'1月数据源'!$F:$F,"SMART LEARNING HOLDING")*F$185</f>
        <v/>
      </c>
      <c r="G48" s="89">
        <f>-SUMIFS('2月数据源'!$I:$I,'2月数据源'!$D:$D,$E48,'2月数据源'!$F:$F,"SMART LEARNING HOLDING")*G$185+SUMIFS('2月数据源'!$J:$J,'2月数据源'!$D:$D,$E48,'2月数据源'!$F:$F,"SMART LEARNING HOLDING")*G$185</f>
        <v/>
      </c>
      <c r="H48" s="89">
        <f>-SUMIFS('3月数据源'!$I:$I,'3月数据源'!$D:$D,$E48,'3月数据源'!$F:$F,"SMART LEARNING HOLDING")*H$185+SUMIFS('3月数据源'!$J:$J,'3月数据源'!$D:$D,$E48,'3月数据源'!$F:$F,"SMART LEARNING HOLDING")*H$185</f>
        <v/>
      </c>
      <c r="I48" s="89">
        <f>-SUMIFS('4月数据源'!$I:$I,'4月数据源'!$D:$D,$E48,'4月数据源'!$F:$F,"SMART LEARNING HOLDING")*I$185+SUMIFS('4月数据源'!$J:$J,'4月数据源'!$D:$D,$E48,'4月数据源'!$F:$F,"SMART LEARNING HOLDING")*I$185</f>
        <v/>
      </c>
      <c r="J48" s="89">
        <f>-SUMIFS('5月数据源'!$I:$I,'5月数据源'!$D:$D,$E48,'5月数据源'!$F:$F,"SMART LEARNING HOLDING")*J$185+SUMIFS('5月数据源'!$J:$J,'5月数据源'!$D:$D,$E48,'5月数据源'!$F:$F,"SMART LEARNING HOLDING")*J$185</f>
        <v/>
      </c>
      <c r="K48" s="89">
        <f>-SUMIFS('6月数据源'!$I:$I,'6月数据源'!$D:$D,$E48,'6月数据源'!$F:$F,"SMART LEARNING HOLDING")*K$185+SUMIFS('6月数据源'!$J:$J,'6月数据源'!$D:$D,$E48,'6月数据源'!$F:$F,"SMART LEARNING HOLDING")*K$185</f>
        <v/>
      </c>
      <c r="L48" s="89">
        <f>-SUMIFS('7月数据源'!$I:$I,'7月数据源'!$D:$D,$E48,'7月数据源'!$F:$F,"SMART LEARNING HOLDING")*L$185+SUMIFS('7月数据源'!$J:$J,'7月数据源'!$D:$D,$E48,'7月数据源'!$F:$F,"SMART LEARNING HOLDING")*L$185</f>
        <v/>
      </c>
      <c r="M48" s="89">
        <f>-SUMIFS('8月数据源'!$I:$I,'8月数据源'!$D:$D,$E48,'8月数据源'!$F:$F,"SMART LEARNING HOLDING")*M$185+SUMIFS('8月数据源'!$J:$J,'8月数据源'!$D:$D,$E48,'8月数据源'!$F:$F,"SMART LEARNING HOLDING")*M$185</f>
        <v/>
      </c>
      <c r="N48" s="89">
        <f>-SUMIFS('9月数据源'!$I:$I,'9月数据源'!$D:$D,$E48,'9月数据源'!$F:$F,"SMART LEARNING HOLDING")*N$185+SUMIFS('9月数据源'!$J:$J,'9月数据源'!$D:$D,$E48,'9月数据源'!$F:$F,"SMART LEARNING HOLDING")*N$185</f>
        <v/>
      </c>
      <c r="O48" s="89">
        <f>-SUMIFS('10月数据源'!$I:$I,'10月数据源'!$D:$D,$E48,'10月数据源'!$F:$F,"SMART LEARNING HOLDING")*O$185+SUMIFS('10月数据源'!$J:$J,'10月数据源'!$D:$D,$E48,'10月数据源'!$F:$F,"SMART LEARNING HOLDING")*O$185</f>
        <v/>
      </c>
      <c r="P48" s="89">
        <f>-SUMIFS('11月数据源'!$I:$I,'11月数据源'!$D:$D,$E48,'11月数据源'!$F:$F,"SMART LEARNING HOLDING")*P$185+SUMIFS('11月数据源'!$J:$J,'11月数据源'!$D:$D,$E48,'11月数据源'!$F:$F,"SMART LEARNING HOLDING")*P$185</f>
        <v/>
      </c>
      <c r="Q48" s="89">
        <f>-SUMIFS('12月数据源'!$I:$I,'12月数据源'!$D:$D,$E48,'12月数据源'!$F:$F,"SMART LEARNING HOLDING")*Q$185+SUMIFS('12月数据源'!$J:$J,'12月数据源'!$D:$D,$E48,'12月数据源'!$F:$F,"SMART LEARNING HOLDING")*Q$185</f>
        <v/>
      </c>
    </row>
    <row r="49" s="83">
      <c r="A49" s="5" t="inlineStr">
        <is>
          <t>硬件支出</t>
        </is>
      </c>
      <c r="B49" s="6" t="inlineStr">
        <is>
          <t>其他硬件成本</t>
        </is>
      </c>
      <c r="D49" s="5" t="inlineStr">
        <is>
          <t>支架</t>
        </is>
      </c>
      <c r="E49" s="6" t="inlineStr">
        <is>
          <t>Q1102</t>
        </is>
      </c>
      <c r="F49" s="89">
        <f>-SUMIFS('1月数据源'!$I:$I,'1月数据源'!$D:$D,$E49,'1月数据源'!$F:$F,"SMART LEARNING HOLDING")*F$185+SUMIFS('1月数据源'!$J:$J,'1月数据源'!$D:$D,$E49,'1月数据源'!$F:$F,"SMART LEARNING HOLDING")*F$185</f>
        <v/>
      </c>
      <c r="G49" s="89">
        <f>-SUMIFS('2月数据源'!$I:$I,'2月数据源'!$D:$D,$E49,'2月数据源'!$F:$F,"SMART LEARNING HOLDING")*G$185+SUMIFS('2月数据源'!$J:$J,'2月数据源'!$D:$D,$E49,'2月数据源'!$F:$F,"SMART LEARNING HOLDING")*G$185</f>
        <v/>
      </c>
      <c r="H49" s="89">
        <f>-SUMIFS('3月数据源'!$I:$I,'3月数据源'!$D:$D,$E49,'3月数据源'!$F:$F,"SMART LEARNING HOLDING")*H$185+SUMIFS('3月数据源'!$J:$J,'3月数据源'!$D:$D,$E49,'3月数据源'!$F:$F,"SMART LEARNING HOLDING")*H$185</f>
        <v/>
      </c>
      <c r="I49" s="89">
        <f>-SUMIFS('4月数据源'!$I:$I,'4月数据源'!$D:$D,$E49,'4月数据源'!$F:$F,"SMART LEARNING HOLDING")*I$185+SUMIFS('4月数据源'!$J:$J,'4月数据源'!$D:$D,$E49,'4月数据源'!$F:$F,"SMART LEARNING HOLDING")*I$185</f>
        <v/>
      </c>
      <c r="J49" s="89">
        <f>-SUMIFS('5月数据源'!$I:$I,'5月数据源'!$D:$D,$E49,'5月数据源'!$F:$F,"SMART LEARNING HOLDING")*J$185+SUMIFS('5月数据源'!$J:$J,'5月数据源'!$D:$D,$E49,'5月数据源'!$F:$F,"SMART LEARNING HOLDING")*J$185</f>
        <v/>
      </c>
      <c r="K49" s="89">
        <f>-SUMIFS('6月数据源'!$I:$I,'6月数据源'!$D:$D,$E49,'6月数据源'!$F:$F,"SMART LEARNING HOLDING")*K$185+SUMIFS('6月数据源'!$J:$J,'6月数据源'!$D:$D,$E49,'6月数据源'!$F:$F,"SMART LEARNING HOLDING")*K$185</f>
        <v/>
      </c>
      <c r="L49" s="89">
        <f>-SUMIFS('7月数据源'!$I:$I,'7月数据源'!$D:$D,$E49,'7月数据源'!$F:$F,"SMART LEARNING HOLDING")*L$185+SUMIFS('7月数据源'!$J:$J,'7月数据源'!$D:$D,$E49,'7月数据源'!$F:$F,"SMART LEARNING HOLDING")*L$185</f>
        <v/>
      </c>
      <c r="M49" s="89">
        <f>-SUMIFS('8月数据源'!$I:$I,'8月数据源'!$D:$D,$E49,'8月数据源'!$F:$F,"SMART LEARNING HOLDING")*M$185+SUMIFS('8月数据源'!$J:$J,'8月数据源'!$D:$D,$E49,'8月数据源'!$F:$F,"SMART LEARNING HOLDING")*M$185</f>
        <v/>
      </c>
      <c r="N49" s="89">
        <f>-SUMIFS('9月数据源'!$I:$I,'9月数据源'!$D:$D,$E49,'9月数据源'!$F:$F,"SMART LEARNING HOLDING")*N$185+SUMIFS('9月数据源'!$J:$J,'9月数据源'!$D:$D,$E49,'9月数据源'!$F:$F,"SMART LEARNING HOLDING")*N$185</f>
        <v/>
      </c>
      <c r="O49" s="89">
        <f>-SUMIFS('10月数据源'!$I:$I,'10月数据源'!$D:$D,$E49,'10月数据源'!$F:$F,"SMART LEARNING HOLDING")*O$185+SUMIFS('10月数据源'!$J:$J,'10月数据源'!$D:$D,$E49,'10月数据源'!$F:$F,"SMART LEARNING HOLDING")*O$185</f>
        <v/>
      </c>
      <c r="P49" s="89">
        <f>-SUMIFS('11月数据源'!$I:$I,'11月数据源'!$D:$D,$E49,'11月数据源'!$F:$F,"SMART LEARNING HOLDING")*P$185+SUMIFS('11月数据源'!$J:$J,'11月数据源'!$D:$D,$E49,'11月数据源'!$F:$F,"SMART LEARNING HOLDING")*P$185</f>
        <v/>
      </c>
      <c r="Q49" s="89">
        <f>-SUMIFS('12月数据源'!$I:$I,'12月数据源'!$D:$D,$E49,'12月数据源'!$F:$F,"SMART LEARNING HOLDING")*Q$185+SUMIFS('12月数据源'!$J:$J,'12月数据源'!$D:$D,$E49,'12月数据源'!$F:$F,"SMART LEARNING HOLDING")*Q$185</f>
        <v/>
      </c>
    </row>
    <row r="50" s="83">
      <c r="A50" s="49" t="inlineStr">
        <is>
          <t>硬件支出合计</t>
        </is>
      </c>
      <c r="B50" s="50" t="n"/>
      <c r="C50" s="50" t="n"/>
      <c r="D50" s="49" t="n"/>
      <c r="E50" s="49" t="n"/>
      <c r="F50" s="89">
        <f>SUM(F36:F49)</f>
        <v/>
      </c>
      <c r="G50" s="89">
        <f>SUM(G36:G49)</f>
        <v/>
      </c>
      <c r="H50" s="89">
        <f>SUM(H36:H49)</f>
        <v/>
      </c>
      <c r="I50" s="89">
        <f>SUM(I36:I49)</f>
        <v/>
      </c>
      <c r="J50" s="89">
        <f>SUM(J36:J49)</f>
        <v/>
      </c>
      <c r="K50" s="89">
        <f>SUM(K36:K49)</f>
        <v/>
      </c>
      <c r="L50" s="89">
        <f>SUM(L36:L49)</f>
        <v/>
      </c>
      <c r="M50" s="89">
        <f>SUM(M36:M49)</f>
        <v/>
      </c>
      <c r="N50" s="89">
        <f>SUM(N36:N49)</f>
        <v/>
      </c>
      <c r="O50" s="89">
        <f>SUM(O36:O49)</f>
        <v/>
      </c>
      <c r="P50" s="89">
        <f>SUM(P36:P49)</f>
        <v/>
      </c>
      <c r="Q50" s="89">
        <f>SUM(Q36:Q49)</f>
        <v/>
      </c>
    </row>
    <row r="51" s="83">
      <c r="A51" s="5" t="inlineStr">
        <is>
          <t>制造费用</t>
        </is>
      </c>
      <c r="B51" s="5" t="inlineStr">
        <is>
          <t>制造费用</t>
        </is>
      </c>
      <c r="C51" s="6" t="inlineStr">
        <is>
          <t>制造费用</t>
        </is>
      </c>
      <c r="D51" s="5" t="inlineStr">
        <is>
          <t>西溪首座仓库租金</t>
        </is>
      </c>
      <c r="E51" s="6" t="inlineStr">
        <is>
          <t>Q3201</t>
        </is>
      </c>
      <c r="F51" s="89">
        <f>-SUMIFS('1月数据源'!$I:$I,'1月数据源'!$D:$D,$E51,'1月数据源'!$F:$F,"SMART LEARNING HOLDING")*F$185+SUMIFS('1月数据源'!$J:$J,'1月数据源'!$D:$D,$E51,'1月数据源'!$F:$F,"SMART LEARNING HOLDING")*F$185</f>
        <v/>
      </c>
      <c r="G51" s="89">
        <f>-SUMIFS('2月数据源'!$I:$I,'2月数据源'!$D:$D,$E51,'2月数据源'!$F:$F,"SMART LEARNING HOLDING")*G$185+SUMIFS('2月数据源'!$J:$J,'2月数据源'!$D:$D,$E51,'2月数据源'!$F:$F,"SMART LEARNING HOLDING")*G$185</f>
        <v/>
      </c>
      <c r="H51" s="89">
        <f>-SUMIFS('3月数据源'!$I:$I,'3月数据源'!$D:$D,$E51,'3月数据源'!$F:$F,"SMART LEARNING HOLDING")*H$185+SUMIFS('3月数据源'!$J:$J,'3月数据源'!$D:$D,$E51,'3月数据源'!$F:$F,"SMART LEARNING HOLDING")*H$185</f>
        <v/>
      </c>
      <c r="I51" s="89">
        <f>-SUMIFS('4月数据源'!$I:$I,'4月数据源'!$D:$D,$E51,'4月数据源'!$F:$F,"SMART LEARNING HOLDING")*I$185+SUMIFS('4月数据源'!$J:$J,'4月数据源'!$D:$D,$E51,'4月数据源'!$F:$F,"SMART LEARNING HOLDING")*I$185</f>
        <v/>
      </c>
      <c r="J51" s="89">
        <f>-SUMIFS('5月数据源'!$I:$I,'5月数据源'!$D:$D,$E51,'5月数据源'!$F:$F,"SMART LEARNING HOLDING")*J$185+SUMIFS('5月数据源'!$J:$J,'5月数据源'!$D:$D,$E51,'5月数据源'!$F:$F,"SMART LEARNING HOLDING")*J$185</f>
        <v/>
      </c>
      <c r="K51" s="89">
        <f>-SUMIFS('6月数据源'!$I:$I,'6月数据源'!$D:$D,$E51,'6月数据源'!$F:$F,"SMART LEARNING HOLDING")*K$185+SUMIFS('6月数据源'!$J:$J,'6月数据源'!$D:$D,$E51,'6月数据源'!$F:$F,"SMART LEARNING HOLDING")*K$185</f>
        <v/>
      </c>
      <c r="L51" s="89">
        <f>-SUMIFS('7月数据源'!$I:$I,'7月数据源'!$D:$D,$E51,'7月数据源'!$F:$F,"SMART LEARNING HOLDING")*L$185+SUMIFS('7月数据源'!$J:$J,'7月数据源'!$D:$D,$E51,'7月数据源'!$F:$F,"SMART LEARNING HOLDING")*L$185</f>
        <v/>
      </c>
      <c r="M51" s="89">
        <f>-SUMIFS('8月数据源'!$I:$I,'8月数据源'!$D:$D,$E51,'8月数据源'!$F:$F,"SMART LEARNING HOLDING")*M$185+SUMIFS('8月数据源'!$J:$J,'8月数据源'!$D:$D,$E51,'8月数据源'!$F:$F,"SMART LEARNING HOLDING")*M$185</f>
        <v/>
      </c>
      <c r="N51" s="89">
        <f>-SUMIFS('9月数据源'!$I:$I,'9月数据源'!$D:$D,$E51,'9月数据源'!$F:$F,"SMART LEARNING HOLDING")*N$185+SUMIFS('9月数据源'!$J:$J,'9月数据源'!$D:$D,$E51,'9月数据源'!$F:$F,"SMART LEARNING HOLDING")*N$185</f>
        <v/>
      </c>
      <c r="O51" s="89">
        <f>-SUMIFS('10月数据源'!$I:$I,'10月数据源'!$D:$D,$E51,'10月数据源'!$F:$F,"SMART LEARNING HOLDING")*O$185+SUMIFS('10月数据源'!$J:$J,'10月数据源'!$D:$D,$E51,'10月数据源'!$F:$F,"SMART LEARNING HOLDING")*O$185</f>
        <v/>
      </c>
      <c r="P51" s="89">
        <f>-SUMIFS('11月数据源'!$I:$I,'11月数据源'!$D:$D,$E51,'11月数据源'!$F:$F,"SMART LEARNING HOLDING")*P$185+SUMIFS('11月数据源'!$J:$J,'11月数据源'!$D:$D,$E51,'11月数据源'!$F:$F,"SMART LEARNING HOLDING")*P$185</f>
        <v/>
      </c>
      <c r="Q51" s="89">
        <f>-SUMIFS('12月数据源'!$I:$I,'12月数据源'!$D:$D,$E51,'12月数据源'!$F:$F,"SMART LEARNING HOLDING")*Q$185+SUMIFS('12月数据源'!$J:$J,'12月数据源'!$D:$D,$E51,'12月数据源'!$F:$F,"SMART LEARNING HOLDING")*Q$185</f>
        <v/>
      </c>
    </row>
    <row r="52" s="83">
      <c r="A52" s="5" t="inlineStr">
        <is>
          <t>制造费用</t>
        </is>
      </c>
      <c r="B52" s="5" t="inlineStr">
        <is>
          <t>制造费用</t>
        </is>
      </c>
      <c r="D52" s="5" t="inlineStr">
        <is>
          <t>西溪首座仓库物业水电费</t>
        </is>
      </c>
      <c r="E52" s="6" t="inlineStr">
        <is>
          <t>Q3202</t>
        </is>
      </c>
      <c r="F52" s="89">
        <f>-SUMIFS('1月数据源'!$I:$I,'1月数据源'!$D:$D,$E52,'1月数据源'!$F:$F,"SMART LEARNING HOLDING")*F$185+SUMIFS('1月数据源'!$J:$J,'1月数据源'!$D:$D,$E52,'1月数据源'!$F:$F,"SMART LEARNING HOLDING")*F$185</f>
        <v/>
      </c>
      <c r="G52" s="89">
        <f>-SUMIFS('2月数据源'!$I:$I,'2月数据源'!$D:$D,$E52,'2月数据源'!$F:$F,"SMART LEARNING HOLDING")*G$185+SUMIFS('2月数据源'!$J:$J,'2月数据源'!$D:$D,$E52,'2月数据源'!$F:$F,"SMART LEARNING HOLDING")*G$185</f>
        <v/>
      </c>
      <c r="H52" s="89">
        <f>-SUMIFS('3月数据源'!$I:$I,'3月数据源'!$D:$D,$E52,'3月数据源'!$F:$F,"SMART LEARNING HOLDING")*H$185+SUMIFS('3月数据源'!$J:$J,'3月数据源'!$D:$D,$E52,'3月数据源'!$F:$F,"SMART LEARNING HOLDING")*H$185</f>
        <v/>
      </c>
      <c r="I52" s="89">
        <f>-SUMIFS('4月数据源'!$I:$I,'4月数据源'!$D:$D,$E52,'4月数据源'!$F:$F,"SMART LEARNING HOLDING")*I$185+SUMIFS('4月数据源'!$J:$J,'4月数据源'!$D:$D,$E52,'4月数据源'!$F:$F,"SMART LEARNING HOLDING")*I$185</f>
        <v/>
      </c>
      <c r="J52" s="89">
        <f>-SUMIFS('5月数据源'!$I:$I,'5月数据源'!$D:$D,$E52,'5月数据源'!$F:$F,"SMART LEARNING HOLDING")*J$185+SUMIFS('5月数据源'!$J:$J,'5月数据源'!$D:$D,$E52,'5月数据源'!$F:$F,"SMART LEARNING HOLDING")*J$185</f>
        <v/>
      </c>
      <c r="K52" s="89">
        <f>-SUMIFS('6月数据源'!$I:$I,'6月数据源'!$D:$D,$E52,'6月数据源'!$F:$F,"SMART LEARNING HOLDING")*K$185+SUMIFS('6月数据源'!$J:$J,'6月数据源'!$D:$D,$E52,'6月数据源'!$F:$F,"SMART LEARNING HOLDING")*K$185</f>
        <v/>
      </c>
      <c r="L52" s="89">
        <f>-SUMIFS('7月数据源'!$I:$I,'7月数据源'!$D:$D,$E52,'7月数据源'!$F:$F,"SMART LEARNING HOLDING")*L$185+SUMIFS('7月数据源'!$J:$J,'7月数据源'!$D:$D,$E52,'7月数据源'!$F:$F,"SMART LEARNING HOLDING")*L$185</f>
        <v/>
      </c>
      <c r="M52" s="89">
        <f>-SUMIFS('8月数据源'!$I:$I,'8月数据源'!$D:$D,$E52,'8月数据源'!$F:$F,"SMART LEARNING HOLDING")*M$185+SUMIFS('8月数据源'!$J:$J,'8月数据源'!$D:$D,$E52,'8月数据源'!$F:$F,"SMART LEARNING HOLDING")*M$185</f>
        <v/>
      </c>
      <c r="N52" s="89">
        <f>-SUMIFS('9月数据源'!$I:$I,'9月数据源'!$D:$D,$E52,'9月数据源'!$F:$F,"SMART LEARNING HOLDING")*N$185+SUMIFS('9月数据源'!$J:$J,'9月数据源'!$D:$D,$E52,'9月数据源'!$F:$F,"SMART LEARNING HOLDING")*N$185</f>
        <v/>
      </c>
      <c r="O52" s="89">
        <f>-SUMIFS('10月数据源'!$I:$I,'10月数据源'!$D:$D,$E52,'10月数据源'!$F:$F,"SMART LEARNING HOLDING")*O$185+SUMIFS('10月数据源'!$J:$J,'10月数据源'!$D:$D,$E52,'10月数据源'!$F:$F,"SMART LEARNING HOLDING")*O$185</f>
        <v/>
      </c>
      <c r="P52" s="89">
        <f>-SUMIFS('11月数据源'!$I:$I,'11月数据源'!$D:$D,$E52,'11月数据源'!$F:$F,"SMART LEARNING HOLDING")*P$185+SUMIFS('11月数据源'!$J:$J,'11月数据源'!$D:$D,$E52,'11月数据源'!$F:$F,"SMART LEARNING HOLDING")*P$185</f>
        <v/>
      </c>
      <c r="Q52" s="89">
        <f>-SUMIFS('12月数据源'!$I:$I,'12月数据源'!$D:$D,$E52,'12月数据源'!$F:$F,"SMART LEARNING HOLDING")*Q$185+SUMIFS('12月数据源'!$J:$J,'12月数据源'!$D:$D,$E52,'12月数据源'!$F:$F,"SMART LEARNING HOLDING")*Q$185</f>
        <v/>
      </c>
    </row>
    <row r="53" s="83">
      <c r="A53" s="5" t="inlineStr">
        <is>
          <t>制造费用</t>
        </is>
      </c>
      <c r="B53" s="5" t="inlineStr">
        <is>
          <t>制造费用</t>
        </is>
      </c>
      <c r="D53" s="5" t="inlineStr">
        <is>
          <t>西溪首座仓库装修费</t>
        </is>
      </c>
      <c r="E53" s="6" t="inlineStr">
        <is>
          <t>Q3203</t>
        </is>
      </c>
      <c r="F53" s="89">
        <f>-SUMIFS('1月数据源'!$I:$I,'1月数据源'!$D:$D,$E53,'1月数据源'!$F:$F,"SMART LEARNING HOLDING")*F$185+SUMIFS('1月数据源'!$J:$J,'1月数据源'!$D:$D,$E53,'1月数据源'!$F:$F,"SMART LEARNING HOLDING")*F$185</f>
        <v/>
      </c>
      <c r="G53" s="89">
        <f>-SUMIFS('2月数据源'!$I:$I,'2月数据源'!$D:$D,$E53,'2月数据源'!$F:$F,"SMART LEARNING HOLDING")*G$185+SUMIFS('2月数据源'!$J:$J,'2月数据源'!$D:$D,$E53,'2月数据源'!$F:$F,"SMART LEARNING HOLDING")*G$185</f>
        <v/>
      </c>
      <c r="H53" s="89">
        <f>-SUMIFS('3月数据源'!$I:$I,'3月数据源'!$D:$D,$E53,'3月数据源'!$F:$F,"SMART LEARNING HOLDING")*H$185+SUMIFS('3月数据源'!$J:$J,'3月数据源'!$D:$D,$E53,'3月数据源'!$F:$F,"SMART LEARNING HOLDING")*H$185</f>
        <v/>
      </c>
      <c r="I53" s="89">
        <f>-SUMIFS('4月数据源'!$I:$I,'4月数据源'!$D:$D,$E53,'4月数据源'!$F:$F,"SMART LEARNING HOLDING")*I$185+SUMIFS('4月数据源'!$J:$J,'4月数据源'!$D:$D,$E53,'4月数据源'!$F:$F,"SMART LEARNING HOLDING")*I$185</f>
        <v/>
      </c>
      <c r="J53" s="89">
        <f>-SUMIFS('5月数据源'!$I:$I,'5月数据源'!$D:$D,$E53,'5月数据源'!$F:$F,"SMART LEARNING HOLDING")*J$185+SUMIFS('5月数据源'!$J:$J,'5月数据源'!$D:$D,$E53,'5月数据源'!$F:$F,"SMART LEARNING HOLDING")*J$185</f>
        <v/>
      </c>
      <c r="K53" s="89">
        <f>-SUMIFS('6月数据源'!$I:$I,'6月数据源'!$D:$D,$E53,'6月数据源'!$F:$F,"SMART LEARNING HOLDING")*K$185+SUMIFS('6月数据源'!$J:$J,'6月数据源'!$D:$D,$E53,'6月数据源'!$F:$F,"SMART LEARNING HOLDING")*K$185</f>
        <v/>
      </c>
      <c r="L53" s="89">
        <f>-SUMIFS('7月数据源'!$I:$I,'7月数据源'!$D:$D,$E53,'7月数据源'!$F:$F,"SMART LEARNING HOLDING")*L$185+SUMIFS('7月数据源'!$J:$J,'7月数据源'!$D:$D,$E53,'7月数据源'!$F:$F,"SMART LEARNING HOLDING")*L$185</f>
        <v/>
      </c>
      <c r="M53" s="89">
        <f>-SUMIFS('8月数据源'!$I:$I,'8月数据源'!$D:$D,$E53,'8月数据源'!$F:$F,"SMART LEARNING HOLDING")*M$185+SUMIFS('8月数据源'!$J:$J,'8月数据源'!$D:$D,$E53,'8月数据源'!$F:$F,"SMART LEARNING HOLDING")*M$185</f>
        <v/>
      </c>
      <c r="N53" s="89">
        <f>-SUMIFS('9月数据源'!$I:$I,'9月数据源'!$D:$D,$E53,'9月数据源'!$F:$F,"SMART LEARNING HOLDING")*N$185+SUMIFS('9月数据源'!$J:$J,'9月数据源'!$D:$D,$E53,'9月数据源'!$F:$F,"SMART LEARNING HOLDING")*N$185</f>
        <v/>
      </c>
      <c r="O53" s="89">
        <f>-SUMIFS('10月数据源'!$I:$I,'10月数据源'!$D:$D,$E53,'10月数据源'!$F:$F,"SMART LEARNING HOLDING")*O$185+SUMIFS('10月数据源'!$J:$J,'10月数据源'!$D:$D,$E53,'10月数据源'!$F:$F,"SMART LEARNING HOLDING")*O$185</f>
        <v/>
      </c>
      <c r="P53" s="89">
        <f>-SUMIFS('11月数据源'!$I:$I,'11月数据源'!$D:$D,$E53,'11月数据源'!$F:$F,"SMART LEARNING HOLDING")*P$185+SUMIFS('11月数据源'!$J:$J,'11月数据源'!$D:$D,$E53,'11月数据源'!$F:$F,"SMART LEARNING HOLDING")*P$185</f>
        <v/>
      </c>
      <c r="Q53" s="89">
        <f>-SUMIFS('12月数据源'!$I:$I,'12月数据源'!$D:$D,$E53,'12月数据源'!$F:$F,"SMART LEARNING HOLDING")*Q$185+SUMIFS('12月数据源'!$J:$J,'12月数据源'!$D:$D,$E53,'12月数据源'!$F:$F,"SMART LEARNING HOLDING")*Q$185</f>
        <v/>
      </c>
    </row>
    <row r="54" s="83">
      <c r="A54" s="5" t="inlineStr">
        <is>
          <t>制造费用</t>
        </is>
      </c>
      <c r="B54" s="5" t="inlineStr">
        <is>
          <t>制造费用</t>
        </is>
      </c>
      <c r="D54" s="5" t="inlineStr">
        <is>
          <t>运输费</t>
        </is>
      </c>
      <c r="E54" s="6" t="inlineStr">
        <is>
          <t>Q3204</t>
        </is>
      </c>
      <c r="F54" s="89">
        <f>-SUMIFS('1月数据源'!$I:$I,'1月数据源'!$D:$D,$E54,'1月数据源'!$F:$F,"SMART LEARNING HOLDING")*F$185+SUMIFS('1月数据源'!$J:$J,'1月数据源'!$D:$D,$E54,'1月数据源'!$F:$F,"SMART LEARNING HOLDING")*F$185</f>
        <v/>
      </c>
      <c r="G54" s="89">
        <f>-SUMIFS('2月数据源'!$I:$I,'2月数据源'!$D:$D,$E54,'2月数据源'!$F:$F,"SMART LEARNING HOLDING")*G$185+SUMIFS('2月数据源'!$J:$J,'2月数据源'!$D:$D,$E54,'2月数据源'!$F:$F,"SMART LEARNING HOLDING")*G$185</f>
        <v/>
      </c>
      <c r="H54" s="89">
        <f>-SUMIFS('3月数据源'!$I:$I,'3月数据源'!$D:$D,$E54,'3月数据源'!$F:$F,"SMART LEARNING HOLDING")*H$185+SUMIFS('3月数据源'!$J:$J,'3月数据源'!$D:$D,$E54,'3月数据源'!$F:$F,"SMART LEARNING HOLDING")*H$185</f>
        <v/>
      </c>
      <c r="I54" s="89">
        <f>-SUMIFS('4月数据源'!$I:$I,'4月数据源'!$D:$D,$E54,'4月数据源'!$F:$F,"SMART LEARNING HOLDING")*I$185+SUMIFS('4月数据源'!$J:$J,'4月数据源'!$D:$D,$E54,'4月数据源'!$F:$F,"SMART LEARNING HOLDING")*I$185</f>
        <v/>
      </c>
      <c r="J54" s="89">
        <f>-SUMIFS('5月数据源'!$I:$I,'5月数据源'!$D:$D,$E54,'5月数据源'!$F:$F,"SMART LEARNING HOLDING")*J$185+SUMIFS('5月数据源'!$J:$J,'5月数据源'!$D:$D,$E54,'5月数据源'!$F:$F,"SMART LEARNING HOLDING")*J$185</f>
        <v/>
      </c>
      <c r="K54" s="89">
        <f>-SUMIFS('6月数据源'!$I:$I,'6月数据源'!$D:$D,$E54,'6月数据源'!$F:$F,"SMART LEARNING HOLDING")*K$185+SUMIFS('6月数据源'!$J:$J,'6月数据源'!$D:$D,$E54,'6月数据源'!$F:$F,"SMART LEARNING HOLDING")*K$185</f>
        <v/>
      </c>
      <c r="L54" s="89">
        <f>-SUMIFS('7月数据源'!$I:$I,'7月数据源'!$D:$D,$E54,'7月数据源'!$F:$F,"SMART LEARNING HOLDING")*L$185+SUMIFS('7月数据源'!$J:$J,'7月数据源'!$D:$D,$E54,'7月数据源'!$F:$F,"SMART LEARNING HOLDING")*L$185</f>
        <v/>
      </c>
      <c r="M54" s="89">
        <f>-SUMIFS('8月数据源'!$I:$I,'8月数据源'!$D:$D,$E54,'8月数据源'!$F:$F,"SMART LEARNING HOLDING")*M$185+SUMIFS('8月数据源'!$J:$J,'8月数据源'!$D:$D,$E54,'8月数据源'!$F:$F,"SMART LEARNING HOLDING")*M$185</f>
        <v/>
      </c>
      <c r="N54" s="89">
        <f>-SUMIFS('9月数据源'!$I:$I,'9月数据源'!$D:$D,$E54,'9月数据源'!$F:$F,"SMART LEARNING HOLDING")*N$185+SUMIFS('9月数据源'!$J:$J,'9月数据源'!$D:$D,$E54,'9月数据源'!$F:$F,"SMART LEARNING HOLDING")*N$185</f>
        <v/>
      </c>
      <c r="O54" s="89">
        <f>-SUMIFS('10月数据源'!$I:$I,'10月数据源'!$D:$D,$E54,'10月数据源'!$F:$F,"SMART LEARNING HOLDING")*O$185+SUMIFS('10月数据源'!$J:$J,'10月数据源'!$D:$D,$E54,'10月数据源'!$F:$F,"SMART LEARNING HOLDING")*O$185</f>
        <v/>
      </c>
      <c r="P54" s="89">
        <f>-SUMIFS('11月数据源'!$I:$I,'11月数据源'!$D:$D,$E54,'11月数据源'!$F:$F,"SMART LEARNING HOLDING")*P$185+SUMIFS('11月数据源'!$J:$J,'11月数据源'!$D:$D,$E54,'11月数据源'!$F:$F,"SMART LEARNING HOLDING")*P$185</f>
        <v/>
      </c>
      <c r="Q54" s="89">
        <f>-SUMIFS('12月数据源'!$I:$I,'12月数据源'!$D:$D,$E54,'12月数据源'!$F:$F,"SMART LEARNING HOLDING")*Q$185+SUMIFS('12月数据源'!$J:$J,'12月数据源'!$D:$D,$E54,'12月数据源'!$F:$F,"SMART LEARNING HOLDING")*Q$185</f>
        <v/>
      </c>
    </row>
    <row r="55" s="83">
      <c r="A55" s="5" t="inlineStr">
        <is>
          <t>制造费用</t>
        </is>
      </c>
      <c r="B55" s="5" t="inlineStr">
        <is>
          <t>制造费用</t>
        </is>
      </c>
      <c r="D55" s="5" t="inlineStr">
        <is>
          <t>低值易耗品采购</t>
        </is>
      </c>
      <c r="E55" s="6" t="inlineStr">
        <is>
          <t>Q3205</t>
        </is>
      </c>
      <c r="F55" s="89">
        <f>-SUMIFS('1月数据源'!$I:$I,'1月数据源'!$D:$D,$E55,'1月数据源'!$F:$F,"SMART LEARNING HOLDING")*F$185+SUMIFS('1月数据源'!$J:$J,'1月数据源'!$D:$D,$E55,'1月数据源'!$F:$F,"SMART LEARNING HOLDING")*F$185</f>
        <v/>
      </c>
      <c r="G55" s="89">
        <f>-SUMIFS('2月数据源'!$I:$I,'2月数据源'!$D:$D,$E55,'2月数据源'!$F:$F,"SMART LEARNING HOLDING")*G$185+SUMIFS('2月数据源'!$J:$J,'2月数据源'!$D:$D,$E55,'2月数据源'!$F:$F,"SMART LEARNING HOLDING")*G$185</f>
        <v/>
      </c>
      <c r="H55" s="89">
        <f>-SUMIFS('3月数据源'!$I:$I,'3月数据源'!$D:$D,$E55,'3月数据源'!$F:$F,"SMART LEARNING HOLDING")*H$185+SUMIFS('3月数据源'!$J:$J,'3月数据源'!$D:$D,$E55,'3月数据源'!$F:$F,"SMART LEARNING HOLDING")*H$185</f>
        <v/>
      </c>
      <c r="I55" s="89">
        <f>-SUMIFS('4月数据源'!$I:$I,'4月数据源'!$D:$D,$E55,'4月数据源'!$F:$F,"SMART LEARNING HOLDING")*I$185+SUMIFS('4月数据源'!$J:$J,'4月数据源'!$D:$D,$E55,'4月数据源'!$F:$F,"SMART LEARNING HOLDING")*I$185</f>
        <v/>
      </c>
      <c r="J55" s="89">
        <f>-SUMIFS('5月数据源'!$I:$I,'5月数据源'!$D:$D,$E55,'5月数据源'!$F:$F,"SMART LEARNING HOLDING")*J$185+SUMIFS('5月数据源'!$J:$J,'5月数据源'!$D:$D,$E55,'5月数据源'!$F:$F,"SMART LEARNING HOLDING")*J$185</f>
        <v/>
      </c>
      <c r="K55" s="89">
        <f>-SUMIFS('6月数据源'!$I:$I,'6月数据源'!$D:$D,$E55,'6月数据源'!$F:$F,"SMART LEARNING HOLDING")*K$185+SUMIFS('6月数据源'!$J:$J,'6月数据源'!$D:$D,$E55,'6月数据源'!$F:$F,"SMART LEARNING HOLDING")*K$185</f>
        <v/>
      </c>
      <c r="L55" s="89">
        <f>-SUMIFS('7月数据源'!$I:$I,'7月数据源'!$D:$D,$E55,'7月数据源'!$F:$F,"SMART LEARNING HOLDING")*L$185+SUMIFS('7月数据源'!$J:$J,'7月数据源'!$D:$D,$E55,'7月数据源'!$F:$F,"SMART LEARNING HOLDING")*L$185</f>
        <v/>
      </c>
      <c r="M55" s="89">
        <f>-SUMIFS('8月数据源'!$I:$I,'8月数据源'!$D:$D,$E55,'8月数据源'!$F:$F,"SMART LEARNING HOLDING")*M$185+SUMIFS('8月数据源'!$J:$J,'8月数据源'!$D:$D,$E55,'8月数据源'!$F:$F,"SMART LEARNING HOLDING")*M$185</f>
        <v/>
      </c>
      <c r="N55" s="89">
        <f>-SUMIFS('9月数据源'!$I:$I,'9月数据源'!$D:$D,$E55,'9月数据源'!$F:$F,"SMART LEARNING HOLDING")*N$185+SUMIFS('9月数据源'!$J:$J,'9月数据源'!$D:$D,$E55,'9月数据源'!$F:$F,"SMART LEARNING HOLDING")*N$185</f>
        <v/>
      </c>
      <c r="O55" s="89">
        <f>-SUMIFS('10月数据源'!$I:$I,'10月数据源'!$D:$D,$E55,'10月数据源'!$F:$F,"SMART LEARNING HOLDING")*O$185+SUMIFS('10月数据源'!$J:$J,'10月数据源'!$D:$D,$E55,'10月数据源'!$F:$F,"SMART LEARNING HOLDING")*O$185</f>
        <v/>
      </c>
      <c r="P55" s="89">
        <f>-SUMIFS('11月数据源'!$I:$I,'11月数据源'!$D:$D,$E55,'11月数据源'!$F:$F,"SMART LEARNING HOLDING")*P$185+SUMIFS('11月数据源'!$J:$J,'11月数据源'!$D:$D,$E55,'11月数据源'!$F:$F,"SMART LEARNING HOLDING")*P$185</f>
        <v/>
      </c>
      <c r="Q55" s="89">
        <f>-SUMIFS('12月数据源'!$I:$I,'12月数据源'!$D:$D,$E55,'12月数据源'!$F:$F,"SMART LEARNING HOLDING")*Q$185+SUMIFS('12月数据源'!$J:$J,'12月数据源'!$D:$D,$E55,'12月数据源'!$F:$F,"SMART LEARNING HOLDING")*Q$185</f>
        <v/>
      </c>
    </row>
    <row r="56" s="83">
      <c r="A56" s="5" t="inlineStr">
        <is>
          <t>制造费用</t>
        </is>
      </c>
      <c r="B56" s="5" t="inlineStr">
        <is>
          <t>制造费用</t>
        </is>
      </c>
      <c r="D56" s="5" t="inlineStr">
        <is>
          <t>生产成本-员工报销</t>
        </is>
      </c>
      <c r="E56" s="6" t="inlineStr">
        <is>
          <t>Q3206</t>
        </is>
      </c>
      <c r="F56" s="89">
        <f>-SUMIFS('1月数据源'!$I:$I,'1月数据源'!$D:$D,$E56,'1月数据源'!$F:$F,"SMART LEARNING HOLDING")*F$185+SUMIFS('1月数据源'!$J:$J,'1月数据源'!$D:$D,$E56,'1月数据源'!$F:$F,"SMART LEARNING HOLDING")*F$185</f>
        <v/>
      </c>
      <c r="G56" s="89">
        <f>-SUMIFS('2月数据源'!$I:$I,'2月数据源'!$D:$D,$E56,'2月数据源'!$F:$F,"SMART LEARNING HOLDING")*G$185+SUMIFS('2月数据源'!$J:$J,'2月数据源'!$D:$D,$E56,'2月数据源'!$F:$F,"SMART LEARNING HOLDING")*G$185</f>
        <v/>
      </c>
      <c r="H56" s="89">
        <f>-SUMIFS('3月数据源'!$I:$I,'3月数据源'!$D:$D,$E56,'3月数据源'!$F:$F,"SMART LEARNING HOLDING")*H$185+SUMIFS('3月数据源'!$J:$J,'3月数据源'!$D:$D,$E56,'3月数据源'!$F:$F,"SMART LEARNING HOLDING")*H$185</f>
        <v/>
      </c>
      <c r="I56" s="89">
        <f>-SUMIFS('4月数据源'!$I:$I,'4月数据源'!$D:$D,$E56,'4月数据源'!$F:$F,"SMART LEARNING HOLDING")*I$185+SUMIFS('4月数据源'!$J:$J,'4月数据源'!$D:$D,$E56,'4月数据源'!$F:$F,"SMART LEARNING HOLDING")*I$185</f>
        <v/>
      </c>
      <c r="J56" s="89">
        <f>-SUMIFS('5月数据源'!$I:$I,'5月数据源'!$D:$D,$E56,'5月数据源'!$F:$F,"SMART LEARNING HOLDING")*J$185+SUMIFS('5月数据源'!$J:$J,'5月数据源'!$D:$D,$E56,'5月数据源'!$F:$F,"SMART LEARNING HOLDING")*J$185</f>
        <v/>
      </c>
      <c r="K56" s="89">
        <f>-SUMIFS('6月数据源'!$I:$I,'6月数据源'!$D:$D,$E56,'6月数据源'!$F:$F,"SMART LEARNING HOLDING")*K$185+SUMIFS('6月数据源'!$J:$J,'6月数据源'!$D:$D,$E56,'6月数据源'!$F:$F,"SMART LEARNING HOLDING")*K$185</f>
        <v/>
      </c>
      <c r="L56" s="89">
        <f>-SUMIFS('7月数据源'!$I:$I,'7月数据源'!$D:$D,$E56,'7月数据源'!$F:$F,"SMART LEARNING HOLDING")*L$185+SUMIFS('7月数据源'!$J:$J,'7月数据源'!$D:$D,$E56,'7月数据源'!$F:$F,"SMART LEARNING HOLDING")*L$185</f>
        <v/>
      </c>
      <c r="M56" s="89">
        <f>-SUMIFS('8月数据源'!$I:$I,'8月数据源'!$D:$D,$E56,'8月数据源'!$F:$F,"SMART LEARNING HOLDING")*M$185+SUMIFS('8月数据源'!$J:$J,'8月数据源'!$D:$D,$E56,'8月数据源'!$F:$F,"SMART LEARNING HOLDING")*M$185</f>
        <v/>
      </c>
      <c r="N56" s="89">
        <f>-SUMIFS('9月数据源'!$I:$I,'9月数据源'!$D:$D,$E56,'9月数据源'!$F:$F,"SMART LEARNING HOLDING")*N$185+SUMIFS('9月数据源'!$J:$J,'9月数据源'!$D:$D,$E56,'9月数据源'!$F:$F,"SMART LEARNING HOLDING")*N$185</f>
        <v/>
      </c>
      <c r="O56" s="89">
        <f>-SUMIFS('10月数据源'!$I:$I,'10月数据源'!$D:$D,$E56,'10月数据源'!$F:$F,"SMART LEARNING HOLDING")*O$185+SUMIFS('10月数据源'!$J:$J,'10月数据源'!$D:$D,$E56,'10月数据源'!$F:$F,"SMART LEARNING HOLDING")*O$185</f>
        <v/>
      </c>
      <c r="P56" s="89">
        <f>-SUMIFS('11月数据源'!$I:$I,'11月数据源'!$D:$D,$E56,'11月数据源'!$F:$F,"SMART LEARNING HOLDING")*P$185+SUMIFS('11月数据源'!$J:$J,'11月数据源'!$D:$D,$E56,'11月数据源'!$F:$F,"SMART LEARNING HOLDING")*P$185</f>
        <v/>
      </c>
      <c r="Q56" s="89">
        <f>-SUMIFS('12月数据源'!$I:$I,'12月数据源'!$D:$D,$E56,'12月数据源'!$F:$F,"SMART LEARNING HOLDING")*Q$185+SUMIFS('12月数据源'!$J:$J,'12月数据源'!$D:$D,$E56,'12月数据源'!$F:$F,"SMART LEARNING HOLDING")*Q$185</f>
        <v/>
      </c>
    </row>
    <row r="57" s="83">
      <c r="A57" s="5" t="inlineStr">
        <is>
          <t>制造费用</t>
        </is>
      </c>
      <c r="B57" s="5" t="inlineStr">
        <is>
          <t>制造费用</t>
        </is>
      </c>
      <c r="D57" s="5" t="inlineStr">
        <is>
          <t>包机膜</t>
        </is>
      </c>
      <c r="E57" s="6" t="inlineStr">
        <is>
          <t>Q3207</t>
        </is>
      </c>
      <c r="F57" s="89">
        <f>-SUMIFS('1月数据源'!$I:$I,'1月数据源'!$D:$D,$E57,'1月数据源'!$F:$F,"SMART LEARNING HOLDING")*F$185+SUMIFS('1月数据源'!$J:$J,'1月数据源'!$D:$D,$E57,'1月数据源'!$F:$F,"SMART LEARNING HOLDING")*F$185</f>
        <v/>
      </c>
      <c r="G57" s="89">
        <f>-SUMIFS('2月数据源'!$I:$I,'2月数据源'!$D:$D,$E57,'2月数据源'!$F:$F,"SMART LEARNING HOLDING")*G$185+SUMIFS('2月数据源'!$J:$J,'2月数据源'!$D:$D,$E57,'2月数据源'!$F:$F,"SMART LEARNING HOLDING")*G$185</f>
        <v/>
      </c>
      <c r="H57" s="89">
        <f>-SUMIFS('3月数据源'!$I:$I,'3月数据源'!$D:$D,$E57,'3月数据源'!$F:$F,"SMART LEARNING HOLDING")*H$185+SUMIFS('3月数据源'!$J:$J,'3月数据源'!$D:$D,$E57,'3月数据源'!$F:$F,"SMART LEARNING HOLDING")*H$185</f>
        <v/>
      </c>
      <c r="I57" s="89">
        <f>-SUMIFS('4月数据源'!$I:$I,'4月数据源'!$D:$D,$E57,'4月数据源'!$F:$F,"SMART LEARNING HOLDING")*I$185+SUMIFS('4月数据源'!$J:$J,'4月数据源'!$D:$D,$E57,'4月数据源'!$F:$F,"SMART LEARNING HOLDING")*I$185</f>
        <v/>
      </c>
      <c r="J57" s="89">
        <f>-SUMIFS('5月数据源'!$I:$I,'5月数据源'!$D:$D,$E57,'5月数据源'!$F:$F,"SMART LEARNING HOLDING")*J$185+SUMIFS('5月数据源'!$J:$J,'5月数据源'!$D:$D,$E57,'5月数据源'!$F:$F,"SMART LEARNING HOLDING")*J$185</f>
        <v/>
      </c>
      <c r="K57" s="89">
        <f>-SUMIFS('6月数据源'!$I:$I,'6月数据源'!$D:$D,$E57,'6月数据源'!$F:$F,"SMART LEARNING HOLDING")*K$185+SUMIFS('6月数据源'!$J:$J,'6月数据源'!$D:$D,$E57,'6月数据源'!$F:$F,"SMART LEARNING HOLDING")*K$185</f>
        <v/>
      </c>
      <c r="L57" s="89">
        <f>-SUMIFS('7月数据源'!$I:$I,'7月数据源'!$D:$D,$E57,'7月数据源'!$F:$F,"SMART LEARNING HOLDING")*L$185+SUMIFS('7月数据源'!$J:$J,'7月数据源'!$D:$D,$E57,'7月数据源'!$F:$F,"SMART LEARNING HOLDING")*L$185</f>
        <v/>
      </c>
      <c r="M57" s="89">
        <f>-SUMIFS('8月数据源'!$I:$I,'8月数据源'!$D:$D,$E57,'8月数据源'!$F:$F,"SMART LEARNING HOLDING")*M$185+SUMIFS('8月数据源'!$J:$J,'8月数据源'!$D:$D,$E57,'8月数据源'!$F:$F,"SMART LEARNING HOLDING")*M$185</f>
        <v/>
      </c>
      <c r="N57" s="89">
        <f>-SUMIFS('9月数据源'!$I:$I,'9月数据源'!$D:$D,$E57,'9月数据源'!$F:$F,"SMART LEARNING HOLDING")*N$185+SUMIFS('9月数据源'!$J:$J,'9月数据源'!$D:$D,$E57,'9月数据源'!$F:$F,"SMART LEARNING HOLDING")*N$185</f>
        <v/>
      </c>
      <c r="O57" s="89">
        <f>-SUMIFS('10月数据源'!$I:$I,'10月数据源'!$D:$D,$E57,'10月数据源'!$F:$F,"SMART LEARNING HOLDING")*O$185+SUMIFS('10月数据源'!$J:$J,'10月数据源'!$D:$D,$E57,'10月数据源'!$F:$F,"SMART LEARNING HOLDING")*O$185</f>
        <v/>
      </c>
      <c r="P57" s="89">
        <f>-SUMIFS('11月数据源'!$I:$I,'11月数据源'!$D:$D,$E57,'11月数据源'!$F:$F,"SMART LEARNING HOLDING")*P$185+SUMIFS('11月数据源'!$J:$J,'11月数据源'!$D:$D,$E57,'11月数据源'!$F:$F,"SMART LEARNING HOLDING")*P$185</f>
        <v/>
      </c>
      <c r="Q57" s="89">
        <f>-SUMIFS('12月数据源'!$I:$I,'12月数据源'!$D:$D,$E57,'12月数据源'!$F:$F,"SMART LEARNING HOLDING")*Q$185+SUMIFS('12月数据源'!$J:$J,'12月数据源'!$D:$D,$E57,'12月数据源'!$F:$F,"SMART LEARNING HOLDING")*Q$185</f>
        <v/>
      </c>
    </row>
    <row r="58" s="83">
      <c r="A58" s="5" t="inlineStr">
        <is>
          <t>制造费用</t>
        </is>
      </c>
      <c r="B58" s="5" t="inlineStr">
        <is>
          <t>制造费用</t>
        </is>
      </c>
      <c r="D58" s="5" t="inlineStr">
        <is>
          <t>贴纸/说明书</t>
        </is>
      </c>
      <c r="E58" s="6" t="inlineStr">
        <is>
          <t>Q3208</t>
        </is>
      </c>
      <c r="F58" s="89">
        <f>-SUMIFS('1月数据源'!$I:$I,'1月数据源'!$D:$D,$E58,'1月数据源'!$F:$F,"SMART LEARNING HOLDING")*F$185+SUMIFS('1月数据源'!$J:$J,'1月数据源'!$D:$D,$E58,'1月数据源'!$F:$F,"SMART LEARNING HOLDING")*F$185</f>
        <v/>
      </c>
      <c r="G58" s="89">
        <f>-SUMIFS('2月数据源'!$I:$I,'2月数据源'!$D:$D,$E58,'2月数据源'!$F:$F,"SMART LEARNING HOLDING")*G$185+SUMIFS('2月数据源'!$J:$J,'2月数据源'!$D:$D,$E58,'2月数据源'!$F:$F,"SMART LEARNING HOLDING")*G$185</f>
        <v/>
      </c>
      <c r="H58" s="89">
        <f>-SUMIFS('3月数据源'!$I:$I,'3月数据源'!$D:$D,$E58,'3月数据源'!$F:$F,"SMART LEARNING HOLDING")*H$185+SUMIFS('3月数据源'!$J:$J,'3月数据源'!$D:$D,$E58,'3月数据源'!$F:$F,"SMART LEARNING HOLDING")*H$185</f>
        <v/>
      </c>
      <c r="I58" s="89">
        <f>-SUMIFS('4月数据源'!$I:$I,'4月数据源'!$D:$D,$E58,'4月数据源'!$F:$F,"SMART LEARNING HOLDING")*I$185+SUMIFS('4月数据源'!$J:$J,'4月数据源'!$D:$D,$E58,'4月数据源'!$F:$F,"SMART LEARNING HOLDING")*I$185</f>
        <v/>
      </c>
      <c r="J58" s="89">
        <f>-SUMIFS('5月数据源'!$I:$I,'5月数据源'!$D:$D,$E58,'5月数据源'!$F:$F,"SMART LEARNING HOLDING")*J$185+SUMIFS('5月数据源'!$J:$J,'5月数据源'!$D:$D,$E58,'5月数据源'!$F:$F,"SMART LEARNING HOLDING")*J$185</f>
        <v/>
      </c>
      <c r="K58" s="89">
        <f>-SUMIFS('6月数据源'!$I:$I,'6月数据源'!$D:$D,$E58,'6月数据源'!$F:$F,"SMART LEARNING HOLDING")*K$185+SUMIFS('6月数据源'!$J:$J,'6月数据源'!$D:$D,$E58,'6月数据源'!$F:$F,"SMART LEARNING HOLDING")*K$185</f>
        <v/>
      </c>
      <c r="L58" s="89">
        <f>-SUMIFS('7月数据源'!$I:$I,'7月数据源'!$D:$D,$E58,'7月数据源'!$F:$F,"SMART LEARNING HOLDING")*L$185+SUMIFS('7月数据源'!$J:$J,'7月数据源'!$D:$D,$E58,'7月数据源'!$F:$F,"SMART LEARNING HOLDING")*L$185</f>
        <v/>
      </c>
      <c r="M58" s="89">
        <f>-SUMIFS('8月数据源'!$I:$I,'8月数据源'!$D:$D,$E58,'8月数据源'!$F:$F,"SMART LEARNING HOLDING")*M$185+SUMIFS('8月数据源'!$J:$J,'8月数据源'!$D:$D,$E58,'8月数据源'!$F:$F,"SMART LEARNING HOLDING")*M$185</f>
        <v/>
      </c>
      <c r="N58" s="89">
        <f>-SUMIFS('9月数据源'!$I:$I,'9月数据源'!$D:$D,$E58,'9月数据源'!$F:$F,"SMART LEARNING HOLDING")*N$185+SUMIFS('9月数据源'!$J:$J,'9月数据源'!$D:$D,$E58,'9月数据源'!$F:$F,"SMART LEARNING HOLDING")*N$185</f>
        <v/>
      </c>
      <c r="O58" s="89">
        <f>-SUMIFS('10月数据源'!$I:$I,'10月数据源'!$D:$D,$E58,'10月数据源'!$F:$F,"SMART LEARNING HOLDING")*O$185+SUMIFS('10月数据源'!$J:$J,'10月数据源'!$D:$D,$E58,'10月数据源'!$F:$F,"SMART LEARNING HOLDING")*O$185</f>
        <v/>
      </c>
      <c r="P58" s="89">
        <f>-SUMIFS('11月数据源'!$I:$I,'11月数据源'!$D:$D,$E58,'11月数据源'!$F:$F,"SMART LEARNING HOLDING")*P$185+SUMIFS('11月数据源'!$J:$J,'11月数据源'!$D:$D,$E58,'11月数据源'!$F:$F,"SMART LEARNING HOLDING")*P$185</f>
        <v/>
      </c>
      <c r="Q58" s="89">
        <f>-SUMIFS('12月数据源'!$I:$I,'12月数据源'!$D:$D,$E58,'12月数据源'!$F:$F,"SMART LEARNING HOLDING")*Q$185+SUMIFS('12月数据源'!$J:$J,'12月数据源'!$D:$D,$E58,'12月数据源'!$F:$F,"SMART LEARNING HOLDING")*Q$185</f>
        <v/>
      </c>
    </row>
    <row r="59" s="83">
      <c r="A59" s="5" t="inlineStr">
        <is>
          <t>制造费用</t>
        </is>
      </c>
      <c r="B59" s="5" t="inlineStr">
        <is>
          <t>制造费用</t>
        </is>
      </c>
      <c r="D59" s="5" t="inlineStr">
        <is>
          <t>笔尖</t>
        </is>
      </c>
      <c r="E59" s="6" t="inlineStr">
        <is>
          <t>Q3209</t>
        </is>
      </c>
      <c r="F59" s="89">
        <f>-SUMIFS('1月数据源'!$I:$I,'1月数据源'!$D:$D,$E59,'1月数据源'!$F:$F,"SMART LEARNING HOLDING")*F$185+SUMIFS('1月数据源'!$J:$J,'1月数据源'!$D:$D,$E59,'1月数据源'!$F:$F,"SMART LEARNING HOLDING")*F$185</f>
        <v/>
      </c>
      <c r="G59" s="89">
        <f>-SUMIFS('2月数据源'!$I:$I,'2月数据源'!$D:$D,$E59,'2月数据源'!$F:$F,"SMART LEARNING HOLDING")*G$185+SUMIFS('2月数据源'!$J:$J,'2月数据源'!$D:$D,$E59,'2月数据源'!$F:$F,"SMART LEARNING HOLDING")*G$185</f>
        <v/>
      </c>
      <c r="H59" s="89">
        <f>-SUMIFS('3月数据源'!$I:$I,'3月数据源'!$D:$D,$E59,'3月数据源'!$F:$F,"SMART LEARNING HOLDING")*H$185+SUMIFS('3月数据源'!$J:$J,'3月数据源'!$D:$D,$E59,'3月数据源'!$F:$F,"SMART LEARNING HOLDING")*H$185</f>
        <v/>
      </c>
      <c r="I59" s="89">
        <f>-SUMIFS('4月数据源'!$I:$I,'4月数据源'!$D:$D,$E59,'4月数据源'!$F:$F,"SMART LEARNING HOLDING")*I$185+SUMIFS('4月数据源'!$J:$J,'4月数据源'!$D:$D,$E59,'4月数据源'!$F:$F,"SMART LEARNING HOLDING")*I$185</f>
        <v/>
      </c>
      <c r="J59" s="89">
        <f>-SUMIFS('5月数据源'!$I:$I,'5月数据源'!$D:$D,$E59,'5月数据源'!$F:$F,"SMART LEARNING HOLDING")*J$185+SUMIFS('5月数据源'!$J:$J,'5月数据源'!$D:$D,$E59,'5月数据源'!$F:$F,"SMART LEARNING HOLDING")*J$185</f>
        <v/>
      </c>
      <c r="K59" s="89">
        <f>-SUMIFS('6月数据源'!$I:$I,'6月数据源'!$D:$D,$E59,'6月数据源'!$F:$F,"SMART LEARNING HOLDING")*K$185+SUMIFS('6月数据源'!$J:$J,'6月数据源'!$D:$D,$E59,'6月数据源'!$F:$F,"SMART LEARNING HOLDING")*K$185</f>
        <v/>
      </c>
      <c r="L59" s="89">
        <f>-SUMIFS('7月数据源'!$I:$I,'7月数据源'!$D:$D,$E59,'7月数据源'!$F:$F,"SMART LEARNING HOLDING")*L$185+SUMIFS('7月数据源'!$J:$J,'7月数据源'!$D:$D,$E59,'7月数据源'!$F:$F,"SMART LEARNING HOLDING")*L$185</f>
        <v/>
      </c>
      <c r="M59" s="89">
        <f>-SUMIFS('8月数据源'!$I:$I,'8月数据源'!$D:$D,$E59,'8月数据源'!$F:$F,"SMART LEARNING HOLDING")*M$185+SUMIFS('8月数据源'!$J:$J,'8月数据源'!$D:$D,$E59,'8月数据源'!$F:$F,"SMART LEARNING HOLDING")*M$185</f>
        <v/>
      </c>
      <c r="N59" s="89">
        <f>-SUMIFS('9月数据源'!$I:$I,'9月数据源'!$D:$D,$E59,'9月数据源'!$F:$F,"SMART LEARNING HOLDING")*N$185+SUMIFS('9月数据源'!$J:$J,'9月数据源'!$D:$D,$E59,'9月数据源'!$F:$F,"SMART LEARNING HOLDING")*N$185</f>
        <v/>
      </c>
      <c r="O59" s="89">
        <f>-SUMIFS('10月数据源'!$I:$I,'10月数据源'!$D:$D,$E59,'10月数据源'!$F:$F,"SMART LEARNING HOLDING")*O$185+SUMIFS('10月数据源'!$J:$J,'10月数据源'!$D:$D,$E59,'10月数据源'!$F:$F,"SMART LEARNING HOLDING")*O$185</f>
        <v/>
      </c>
      <c r="P59" s="89">
        <f>-SUMIFS('11月数据源'!$I:$I,'11月数据源'!$D:$D,$E59,'11月数据源'!$F:$F,"SMART LEARNING HOLDING")*P$185+SUMIFS('11月数据源'!$J:$J,'11月数据源'!$D:$D,$E59,'11月数据源'!$F:$F,"SMART LEARNING HOLDING")*P$185</f>
        <v/>
      </c>
      <c r="Q59" s="89">
        <f>-SUMIFS('12月数据源'!$I:$I,'12月数据源'!$D:$D,$E59,'12月数据源'!$F:$F,"SMART LEARNING HOLDING")*Q$185+SUMIFS('12月数据源'!$J:$J,'12月数据源'!$D:$D,$E59,'12月数据源'!$F:$F,"SMART LEARNING HOLDING")*Q$185</f>
        <v/>
      </c>
    </row>
    <row r="60" s="83">
      <c r="A60" s="5" t="inlineStr">
        <is>
          <t>制造费用</t>
        </is>
      </c>
      <c r="B60" s="5" t="inlineStr">
        <is>
          <t>制造费用</t>
        </is>
      </c>
      <c r="D60" s="5" t="inlineStr">
        <is>
          <t>华泰租金</t>
        </is>
      </c>
      <c r="E60" s="6" t="inlineStr">
        <is>
          <t>Q3210</t>
        </is>
      </c>
      <c r="F60" s="89">
        <f>-SUMIFS('1月数据源'!$I:$I,'1月数据源'!$D:$D,$E60,'1月数据源'!$F:$F,"SMART LEARNING HOLDING")*F$185+SUMIFS('1月数据源'!$J:$J,'1月数据源'!$D:$D,$E60,'1月数据源'!$F:$F,"SMART LEARNING HOLDING")*F$185</f>
        <v/>
      </c>
      <c r="G60" s="89">
        <f>-SUMIFS('2月数据源'!$I:$I,'2月数据源'!$D:$D,$E60,'2月数据源'!$F:$F,"SMART LEARNING HOLDING")*G$185+SUMIFS('2月数据源'!$J:$J,'2月数据源'!$D:$D,$E60,'2月数据源'!$F:$F,"SMART LEARNING HOLDING")*G$185</f>
        <v/>
      </c>
      <c r="H60" s="89">
        <f>-SUMIFS('3月数据源'!$I:$I,'3月数据源'!$D:$D,$E60,'3月数据源'!$F:$F,"SMART LEARNING HOLDING")*H$185+SUMIFS('3月数据源'!$J:$J,'3月数据源'!$D:$D,$E60,'3月数据源'!$F:$F,"SMART LEARNING HOLDING")*H$185</f>
        <v/>
      </c>
      <c r="I60" s="89">
        <f>-SUMIFS('4月数据源'!$I:$I,'4月数据源'!$D:$D,$E60,'4月数据源'!$F:$F,"SMART LEARNING HOLDING")*I$185+SUMIFS('4月数据源'!$J:$J,'4月数据源'!$D:$D,$E60,'4月数据源'!$F:$F,"SMART LEARNING HOLDING")*I$185</f>
        <v/>
      </c>
      <c r="J60" s="89">
        <f>-SUMIFS('5月数据源'!$I:$I,'5月数据源'!$D:$D,$E60,'5月数据源'!$F:$F,"SMART LEARNING HOLDING")*J$185+SUMIFS('5月数据源'!$J:$J,'5月数据源'!$D:$D,$E60,'5月数据源'!$F:$F,"SMART LEARNING HOLDING")*J$185</f>
        <v/>
      </c>
      <c r="K60" s="89">
        <f>-SUMIFS('6月数据源'!$I:$I,'6月数据源'!$D:$D,$E60,'6月数据源'!$F:$F,"SMART LEARNING HOLDING")*K$185+SUMIFS('6月数据源'!$J:$J,'6月数据源'!$D:$D,$E60,'6月数据源'!$F:$F,"SMART LEARNING HOLDING")*K$185</f>
        <v/>
      </c>
      <c r="L60" s="89">
        <f>-SUMIFS('7月数据源'!$I:$I,'7月数据源'!$D:$D,$E60,'7月数据源'!$F:$F,"SMART LEARNING HOLDING")*L$185+SUMIFS('7月数据源'!$J:$J,'7月数据源'!$D:$D,$E60,'7月数据源'!$F:$F,"SMART LEARNING HOLDING")*L$185</f>
        <v/>
      </c>
      <c r="M60" s="89">
        <f>-SUMIFS('8月数据源'!$I:$I,'8月数据源'!$D:$D,$E60,'8月数据源'!$F:$F,"SMART LEARNING HOLDING")*M$185+SUMIFS('8月数据源'!$J:$J,'8月数据源'!$D:$D,$E60,'8月数据源'!$F:$F,"SMART LEARNING HOLDING")*M$185</f>
        <v/>
      </c>
      <c r="N60" s="89">
        <f>-SUMIFS('9月数据源'!$I:$I,'9月数据源'!$D:$D,$E60,'9月数据源'!$F:$F,"SMART LEARNING HOLDING")*N$185+SUMIFS('9月数据源'!$J:$J,'9月数据源'!$D:$D,$E60,'9月数据源'!$F:$F,"SMART LEARNING HOLDING")*N$185</f>
        <v/>
      </c>
      <c r="O60" s="89">
        <f>-SUMIFS('10月数据源'!$I:$I,'10月数据源'!$D:$D,$E60,'10月数据源'!$F:$F,"SMART LEARNING HOLDING")*O$185+SUMIFS('10月数据源'!$J:$J,'10月数据源'!$D:$D,$E60,'10月数据源'!$F:$F,"SMART LEARNING HOLDING")*O$185</f>
        <v/>
      </c>
      <c r="P60" s="89">
        <f>-SUMIFS('11月数据源'!$I:$I,'11月数据源'!$D:$D,$E60,'11月数据源'!$F:$F,"SMART LEARNING HOLDING")*P$185+SUMIFS('11月数据源'!$J:$J,'11月数据源'!$D:$D,$E60,'11月数据源'!$F:$F,"SMART LEARNING HOLDING")*P$185</f>
        <v/>
      </c>
      <c r="Q60" s="89">
        <f>-SUMIFS('12月数据源'!$I:$I,'12月数据源'!$D:$D,$E60,'12月数据源'!$F:$F,"SMART LEARNING HOLDING")*Q$185+SUMIFS('12月数据源'!$J:$J,'12月数据源'!$D:$D,$E60,'12月数据源'!$F:$F,"SMART LEARNING HOLDING")*Q$185</f>
        <v/>
      </c>
    </row>
    <row r="61" s="83">
      <c r="A61" s="5" t="inlineStr">
        <is>
          <t>制造费用</t>
        </is>
      </c>
      <c r="B61" s="5" t="inlineStr">
        <is>
          <t>制造费用</t>
        </is>
      </c>
      <c r="D61" s="5" t="inlineStr">
        <is>
          <t>华泰水电费</t>
        </is>
      </c>
      <c r="E61" s="6" t="inlineStr">
        <is>
          <t>Q3211</t>
        </is>
      </c>
      <c r="F61" s="89">
        <f>-SUMIFS('1月数据源'!$I:$I,'1月数据源'!$D:$D,$E61,'1月数据源'!$F:$F,"SMART LEARNING HOLDING")*F$185+SUMIFS('1月数据源'!$J:$J,'1月数据源'!$D:$D,$E61,'1月数据源'!$F:$F,"SMART LEARNING HOLDING")*F$185</f>
        <v/>
      </c>
      <c r="G61" s="89">
        <f>-SUMIFS('2月数据源'!$I:$I,'2月数据源'!$D:$D,$E61,'2月数据源'!$F:$F,"SMART LEARNING HOLDING")*G$185+SUMIFS('2月数据源'!$J:$J,'2月数据源'!$D:$D,$E61,'2月数据源'!$F:$F,"SMART LEARNING HOLDING")*G$185</f>
        <v/>
      </c>
      <c r="H61" s="89">
        <f>-SUMIFS('3月数据源'!$I:$I,'3月数据源'!$D:$D,$E61,'3月数据源'!$F:$F,"SMART LEARNING HOLDING")*H$185+SUMIFS('3月数据源'!$J:$J,'3月数据源'!$D:$D,$E61,'3月数据源'!$F:$F,"SMART LEARNING HOLDING")*H$185</f>
        <v/>
      </c>
      <c r="I61" s="89">
        <f>-SUMIFS('4月数据源'!$I:$I,'4月数据源'!$D:$D,$E61,'4月数据源'!$F:$F,"SMART LEARNING HOLDING")*I$185+SUMIFS('4月数据源'!$J:$J,'4月数据源'!$D:$D,$E61,'4月数据源'!$F:$F,"SMART LEARNING HOLDING")*I$185</f>
        <v/>
      </c>
      <c r="J61" s="89">
        <f>-SUMIFS('5月数据源'!$I:$I,'5月数据源'!$D:$D,$E61,'5月数据源'!$F:$F,"SMART LEARNING HOLDING")*J$185+SUMIFS('5月数据源'!$J:$J,'5月数据源'!$D:$D,$E61,'5月数据源'!$F:$F,"SMART LEARNING HOLDING")*J$185</f>
        <v/>
      </c>
      <c r="K61" s="89">
        <f>-SUMIFS('6月数据源'!$I:$I,'6月数据源'!$D:$D,$E61,'6月数据源'!$F:$F,"SMART LEARNING HOLDING")*K$185+SUMIFS('6月数据源'!$J:$J,'6月数据源'!$D:$D,$E61,'6月数据源'!$F:$F,"SMART LEARNING HOLDING")*K$185</f>
        <v/>
      </c>
      <c r="L61" s="89">
        <f>-SUMIFS('7月数据源'!$I:$I,'7月数据源'!$D:$D,$E61,'7月数据源'!$F:$F,"SMART LEARNING HOLDING")*L$185+SUMIFS('7月数据源'!$J:$J,'7月数据源'!$D:$D,$E61,'7月数据源'!$F:$F,"SMART LEARNING HOLDING")*L$185</f>
        <v/>
      </c>
      <c r="M61" s="89">
        <f>-SUMIFS('8月数据源'!$I:$I,'8月数据源'!$D:$D,$E61,'8月数据源'!$F:$F,"SMART LEARNING HOLDING")*M$185+SUMIFS('8月数据源'!$J:$J,'8月数据源'!$D:$D,$E61,'8月数据源'!$F:$F,"SMART LEARNING HOLDING")*M$185</f>
        <v/>
      </c>
      <c r="N61" s="89">
        <f>-SUMIFS('9月数据源'!$I:$I,'9月数据源'!$D:$D,$E61,'9月数据源'!$F:$F,"SMART LEARNING HOLDING")*N$185+SUMIFS('9月数据源'!$J:$J,'9月数据源'!$D:$D,$E61,'9月数据源'!$F:$F,"SMART LEARNING HOLDING")*N$185</f>
        <v/>
      </c>
      <c r="O61" s="89">
        <f>-SUMIFS('10月数据源'!$I:$I,'10月数据源'!$D:$D,$E61,'10月数据源'!$F:$F,"SMART LEARNING HOLDING")*O$185+SUMIFS('10月数据源'!$J:$J,'10月数据源'!$D:$D,$E61,'10月数据源'!$F:$F,"SMART LEARNING HOLDING")*O$185</f>
        <v/>
      </c>
      <c r="P61" s="89">
        <f>-SUMIFS('11月数据源'!$I:$I,'11月数据源'!$D:$D,$E61,'11月数据源'!$F:$F,"SMART LEARNING HOLDING")*P$185+SUMIFS('11月数据源'!$J:$J,'11月数据源'!$D:$D,$E61,'11月数据源'!$F:$F,"SMART LEARNING HOLDING")*P$185</f>
        <v/>
      </c>
      <c r="Q61" s="89">
        <f>-SUMIFS('12月数据源'!$I:$I,'12月数据源'!$D:$D,$E61,'12月数据源'!$F:$F,"SMART LEARNING HOLDING")*Q$185+SUMIFS('12月数据源'!$J:$J,'12月数据源'!$D:$D,$E61,'12月数据源'!$F:$F,"SMART LEARNING HOLDING")*Q$185</f>
        <v/>
      </c>
    </row>
    <row r="62" s="83">
      <c r="A62" s="5" t="inlineStr">
        <is>
          <t>制造费用</t>
        </is>
      </c>
      <c r="B62" s="5" t="inlineStr">
        <is>
          <t>制造费用</t>
        </is>
      </c>
      <c r="D62" s="5" t="inlineStr">
        <is>
          <t>华泰装修费</t>
        </is>
      </c>
      <c r="E62" s="6" t="inlineStr">
        <is>
          <t>Q3212</t>
        </is>
      </c>
      <c r="F62" s="89">
        <f>-SUMIFS('1月数据源'!$I:$I,'1月数据源'!$D:$D,$E62,'1月数据源'!$F:$F,"SMART LEARNING HOLDING")*F$185+SUMIFS('1月数据源'!$J:$J,'1月数据源'!$D:$D,$E62,'1月数据源'!$F:$F,"SMART LEARNING HOLDING")*F$185</f>
        <v/>
      </c>
      <c r="G62" s="89">
        <f>-SUMIFS('2月数据源'!$I:$I,'2月数据源'!$D:$D,$E62,'2月数据源'!$F:$F,"SMART LEARNING HOLDING")*G$185+SUMIFS('2月数据源'!$J:$J,'2月数据源'!$D:$D,$E62,'2月数据源'!$F:$F,"SMART LEARNING HOLDING")*G$185</f>
        <v/>
      </c>
      <c r="H62" s="89">
        <f>-SUMIFS('3月数据源'!$I:$I,'3月数据源'!$D:$D,$E62,'3月数据源'!$F:$F,"SMART LEARNING HOLDING")*H$185+SUMIFS('3月数据源'!$J:$J,'3月数据源'!$D:$D,$E62,'3月数据源'!$F:$F,"SMART LEARNING HOLDING")*H$185</f>
        <v/>
      </c>
      <c r="I62" s="89">
        <f>-SUMIFS('4月数据源'!$I:$I,'4月数据源'!$D:$D,$E62,'4月数据源'!$F:$F,"SMART LEARNING HOLDING")*I$185+SUMIFS('4月数据源'!$J:$J,'4月数据源'!$D:$D,$E62,'4月数据源'!$F:$F,"SMART LEARNING HOLDING")*I$185</f>
        <v/>
      </c>
      <c r="J62" s="89">
        <f>-SUMIFS('5月数据源'!$I:$I,'5月数据源'!$D:$D,$E62,'5月数据源'!$F:$F,"SMART LEARNING HOLDING")*J$185+SUMIFS('5月数据源'!$J:$J,'5月数据源'!$D:$D,$E62,'5月数据源'!$F:$F,"SMART LEARNING HOLDING")*J$185</f>
        <v/>
      </c>
      <c r="K62" s="89">
        <f>-SUMIFS('6月数据源'!$I:$I,'6月数据源'!$D:$D,$E62,'6月数据源'!$F:$F,"SMART LEARNING HOLDING")*K$185+SUMIFS('6月数据源'!$J:$J,'6月数据源'!$D:$D,$E62,'6月数据源'!$F:$F,"SMART LEARNING HOLDING")*K$185</f>
        <v/>
      </c>
      <c r="L62" s="89">
        <f>-SUMIFS('7月数据源'!$I:$I,'7月数据源'!$D:$D,$E62,'7月数据源'!$F:$F,"SMART LEARNING HOLDING")*L$185+SUMIFS('7月数据源'!$J:$J,'7月数据源'!$D:$D,$E62,'7月数据源'!$F:$F,"SMART LEARNING HOLDING")*L$185</f>
        <v/>
      </c>
      <c r="M62" s="89">
        <f>-SUMIFS('8月数据源'!$I:$I,'8月数据源'!$D:$D,$E62,'8月数据源'!$F:$F,"SMART LEARNING HOLDING")*M$185+SUMIFS('8月数据源'!$J:$J,'8月数据源'!$D:$D,$E62,'8月数据源'!$F:$F,"SMART LEARNING HOLDING")*M$185</f>
        <v/>
      </c>
      <c r="N62" s="89">
        <f>-SUMIFS('9月数据源'!$I:$I,'9月数据源'!$D:$D,$E62,'9月数据源'!$F:$F,"SMART LEARNING HOLDING")*N$185+SUMIFS('9月数据源'!$J:$J,'9月数据源'!$D:$D,$E62,'9月数据源'!$F:$F,"SMART LEARNING HOLDING")*N$185</f>
        <v/>
      </c>
      <c r="O62" s="89">
        <f>-SUMIFS('10月数据源'!$I:$I,'10月数据源'!$D:$D,$E62,'10月数据源'!$F:$F,"SMART LEARNING HOLDING")*O$185+SUMIFS('10月数据源'!$J:$J,'10月数据源'!$D:$D,$E62,'10月数据源'!$F:$F,"SMART LEARNING HOLDING")*O$185</f>
        <v/>
      </c>
      <c r="P62" s="89">
        <f>-SUMIFS('11月数据源'!$I:$I,'11月数据源'!$D:$D,$E62,'11月数据源'!$F:$F,"SMART LEARNING HOLDING")*P$185+SUMIFS('11月数据源'!$J:$J,'11月数据源'!$D:$D,$E62,'11月数据源'!$F:$F,"SMART LEARNING HOLDING")*P$185</f>
        <v/>
      </c>
      <c r="Q62" s="89">
        <f>-SUMIFS('12月数据源'!$I:$I,'12月数据源'!$D:$D,$E62,'12月数据源'!$F:$F,"SMART LEARNING HOLDING")*Q$185+SUMIFS('12月数据源'!$J:$J,'12月数据源'!$D:$D,$E62,'12月数据源'!$F:$F,"SMART LEARNING HOLDING")*Q$185</f>
        <v/>
      </c>
    </row>
    <row r="63" s="83">
      <c r="A63" s="49" t="inlineStr">
        <is>
          <t>制造费用合计</t>
        </is>
      </c>
      <c r="B63" s="50" t="n"/>
      <c r="C63" s="50" t="n"/>
      <c r="D63" s="49" t="n"/>
      <c r="E63" s="49" t="n"/>
      <c r="F63" s="89">
        <f>SUM(F51:F62)</f>
        <v/>
      </c>
      <c r="G63" s="89">
        <f>SUM(G51:G62)</f>
        <v/>
      </c>
      <c r="H63" s="89">
        <f>SUM(H51:H62)</f>
        <v/>
      </c>
      <c r="I63" s="89">
        <f>SUM(I51:I62)</f>
        <v/>
      </c>
      <c r="J63" s="89">
        <f>SUM(J51:J62)</f>
        <v/>
      </c>
      <c r="K63" s="89">
        <f>SUM(K51:K62)</f>
        <v/>
      </c>
      <c r="L63" s="89">
        <f>SUM(L51:L62)</f>
        <v/>
      </c>
      <c r="M63" s="89">
        <f>SUM(M51:M62)</f>
        <v/>
      </c>
      <c r="N63" s="89">
        <f>SUM(N51:N62)</f>
        <v/>
      </c>
      <c r="O63" s="89">
        <f>SUM(O51:O62)</f>
        <v/>
      </c>
      <c r="P63" s="89">
        <f>SUM(P51:P62)</f>
        <v/>
      </c>
      <c r="Q63" s="89">
        <f>SUM(Q51:Q62)</f>
        <v/>
      </c>
    </row>
    <row r="64" s="83">
      <c r="A64" s="5" t="inlineStr">
        <is>
          <t>自习室支出</t>
        </is>
      </c>
      <c r="B64" s="5" t="inlineStr">
        <is>
          <t>自习室支出</t>
        </is>
      </c>
      <c r="C64" s="6" t="inlineStr">
        <is>
          <t>自习室支出</t>
        </is>
      </c>
      <c r="D64" s="5" t="inlineStr">
        <is>
          <t>人力成本</t>
        </is>
      </c>
      <c r="E64" s="53" t="n"/>
      <c r="G64" s="89" t="n"/>
      <c r="H64" s="89" t="n"/>
      <c r="I64" s="89" t="n"/>
      <c r="J64" s="89" t="n"/>
      <c r="K64" s="89" t="n"/>
      <c r="L64" s="89" t="n"/>
      <c r="M64" s="89" t="n"/>
      <c r="N64" s="89" t="n"/>
      <c r="O64" s="89" t="n"/>
      <c r="P64" s="89" t="n"/>
      <c r="Q64" s="89" t="n"/>
    </row>
    <row r="65" s="83">
      <c r="A65" s="5" t="inlineStr">
        <is>
          <t>自习室支出</t>
        </is>
      </c>
      <c r="B65" s="5" t="inlineStr">
        <is>
          <t>自习室支出</t>
        </is>
      </c>
      <c r="D65" s="5" t="inlineStr">
        <is>
          <t>装修支出</t>
        </is>
      </c>
      <c r="E65" s="53" t="n"/>
      <c r="G65" s="89" t="n"/>
      <c r="H65" s="89" t="n"/>
      <c r="I65" s="89" t="n"/>
      <c r="J65" s="89" t="n"/>
      <c r="K65" s="89" t="n"/>
      <c r="L65" s="89" t="n"/>
      <c r="M65" s="89" t="n"/>
      <c r="N65" s="89" t="n"/>
      <c r="O65" s="89" t="n"/>
      <c r="P65" s="89" t="n"/>
      <c r="Q65" s="89" t="n"/>
    </row>
    <row r="66" s="83">
      <c r="A66" s="5" t="inlineStr">
        <is>
          <t>自习室支出</t>
        </is>
      </c>
      <c r="B66" s="5" t="inlineStr">
        <is>
          <t>自习室支出</t>
        </is>
      </c>
      <c r="D66" s="5" t="inlineStr">
        <is>
          <t>推广费用</t>
        </is>
      </c>
      <c r="E66" s="53" t="n"/>
      <c r="G66" s="89" t="n"/>
      <c r="H66" s="89" t="n"/>
      <c r="I66" s="89" t="n"/>
      <c r="J66" s="89" t="n"/>
      <c r="K66" s="89" t="n"/>
      <c r="L66" s="89" t="n"/>
      <c r="M66" s="89" t="n"/>
      <c r="N66" s="89" t="n"/>
      <c r="O66" s="89" t="n"/>
      <c r="P66" s="89" t="n"/>
      <c r="Q66" s="89" t="n"/>
    </row>
    <row r="67" s="83">
      <c r="A67" s="5" t="inlineStr">
        <is>
          <t>自习室支出</t>
        </is>
      </c>
      <c r="B67" s="5" t="inlineStr">
        <is>
          <t>自习室支出</t>
        </is>
      </c>
      <c r="D67" s="5" t="inlineStr">
        <is>
          <t>管理系统</t>
        </is>
      </c>
      <c r="E67" s="53" t="n"/>
      <c r="G67" s="89" t="n"/>
      <c r="H67" s="89" t="n"/>
      <c r="I67" s="89" t="n"/>
      <c r="J67" s="89" t="n"/>
      <c r="K67" s="89" t="n"/>
      <c r="L67" s="89" t="n"/>
      <c r="M67" s="89" t="n"/>
      <c r="N67" s="89" t="n"/>
      <c r="O67" s="89" t="n"/>
      <c r="P67" s="89" t="n"/>
      <c r="Q67" s="89" t="n"/>
    </row>
    <row r="68" s="83">
      <c r="A68" s="5" t="inlineStr">
        <is>
          <t>自习室支出</t>
        </is>
      </c>
      <c r="B68" s="5" t="inlineStr">
        <is>
          <t>自习室支出</t>
        </is>
      </c>
      <c r="D68" s="5" t="inlineStr">
        <is>
          <t>其他经营支出</t>
        </is>
      </c>
      <c r="E68" s="53" t="n"/>
      <c r="G68" s="89" t="n"/>
      <c r="H68" s="89" t="n"/>
      <c r="I68" s="89" t="n"/>
      <c r="J68" s="89" t="n"/>
      <c r="K68" s="89" t="n"/>
      <c r="L68" s="89" t="n"/>
      <c r="M68" s="89" t="n"/>
      <c r="N68" s="89" t="n"/>
      <c r="O68" s="89" t="n"/>
      <c r="P68" s="89" t="n"/>
      <c r="Q68" s="89" t="n"/>
    </row>
    <row r="69" s="83">
      <c r="A69" s="49" t="inlineStr">
        <is>
          <t>自习室支出合计</t>
        </is>
      </c>
      <c r="B69" s="50" t="n"/>
      <c r="C69" s="50" t="n"/>
      <c r="D69" s="49" t="n"/>
      <c r="E69" s="49" t="n"/>
      <c r="F69" s="89">
        <f>SUM('SMART AI LIMITED:HK01'!F64:F68)</f>
        <v/>
      </c>
      <c r="G69" s="89">
        <f>SUM('SMART AI LIMITED:HK01'!G64:G68)</f>
        <v/>
      </c>
      <c r="H69" s="89">
        <f>SUM('SMART AI LIMITED:HK01'!H64:H68)</f>
        <v/>
      </c>
      <c r="I69" s="89">
        <f>SUM('SMART AI LIMITED:HK01'!I64:I68)</f>
        <v/>
      </c>
      <c r="J69" s="89">
        <f>SUM('SMART AI LIMITED:HK01'!J64:J68)</f>
        <v/>
      </c>
      <c r="K69" s="89">
        <f>SUM('SMART AI LIMITED:HK01'!K64:K68)</f>
        <v/>
      </c>
      <c r="L69" s="89">
        <f>SUM('SMART AI LIMITED:HK01'!L64:L68)</f>
        <v/>
      </c>
      <c r="M69" s="89">
        <f>SUM('SMART AI LIMITED:HK01'!M64:M68)</f>
        <v/>
      </c>
      <c r="N69" s="89">
        <f>SUM('SMART AI LIMITED:HK01'!N64:N68)</f>
        <v/>
      </c>
      <c r="O69" s="89">
        <f>SUM('SMART AI LIMITED:HK01'!O64:O68)</f>
        <v/>
      </c>
      <c r="P69" s="89">
        <f>SUM('SMART AI LIMITED:HK01'!P64:P68)</f>
        <v/>
      </c>
      <c r="Q69" s="89">
        <f>SUM('SMART AI LIMITED:HK01'!Q64:Q68)</f>
        <v/>
      </c>
    </row>
    <row r="70" s="83">
      <c r="A70" s="5" t="inlineStr">
        <is>
          <t>研发支出</t>
        </is>
      </c>
      <c r="B70" s="6" t="inlineStr">
        <is>
          <t>产品开发-MAX</t>
        </is>
      </c>
      <c r="C70" s="6" t="inlineStr">
        <is>
          <t>产品开发-MAX</t>
        </is>
      </c>
      <c r="D70" s="5" t="inlineStr">
        <is>
          <t>检测费</t>
        </is>
      </c>
      <c r="E70" s="6" t="inlineStr">
        <is>
          <t>Q1201</t>
        </is>
      </c>
      <c r="F70" s="89">
        <f>-SUMIFS('1月数据源'!$I:$I,'1月数据源'!$D:$D,$E70,'1月数据源'!$F:$F,"SMART LEARNING HOLDING")*F$185+SUMIFS('1月数据源'!$J:$J,'1月数据源'!$D:$D,$E70,'1月数据源'!$F:$F,"SMART LEARNING HOLDING")*F$185</f>
        <v/>
      </c>
      <c r="G70" s="89">
        <f>-SUMIFS('2月数据源'!$I:$I,'2月数据源'!$D:$D,$E70,'2月数据源'!$F:$F,"SMART LEARNING HOLDING")*G$185+SUMIFS('2月数据源'!$J:$J,'2月数据源'!$D:$D,$E70,'2月数据源'!$F:$F,"SMART LEARNING HOLDING")*G$185</f>
        <v/>
      </c>
      <c r="H70" s="89">
        <f>-SUMIFS('3月数据源'!$I:$I,'3月数据源'!$D:$D,$E70,'3月数据源'!$F:$F,"SMART LEARNING HOLDING")*H$185+SUMIFS('3月数据源'!$J:$J,'3月数据源'!$D:$D,$E70,'3月数据源'!$F:$F,"SMART LEARNING HOLDING")*H$185</f>
        <v/>
      </c>
      <c r="I70" s="89">
        <f>-SUMIFS('4月数据源'!$I:$I,'4月数据源'!$D:$D,$E70,'4月数据源'!$F:$F,"SMART LEARNING HOLDING")*I$185+SUMIFS('4月数据源'!$J:$J,'4月数据源'!$D:$D,$E70,'4月数据源'!$F:$F,"SMART LEARNING HOLDING")*I$185</f>
        <v/>
      </c>
      <c r="J70" s="89">
        <f>-SUMIFS('5月数据源'!$I:$I,'5月数据源'!$D:$D,$E70,'5月数据源'!$F:$F,"SMART LEARNING HOLDING")*J$185+SUMIFS('5月数据源'!$J:$J,'5月数据源'!$D:$D,$E70,'5月数据源'!$F:$F,"SMART LEARNING HOLDING")*J$185</f>
        <v/>
      </c>
      <c r="K70" s="89">
        <f>-SUMIFS('6月数据源'!$I:$I,'6月数据源'!$D:$D,$E70,'6月数据源'!$F:$F,"SMART LEARNING HOLDING")*K$185+SUMIFS('6月数据源'!$J:$J,'6月数据源'!$D:$D,$E70,'6月数据源'!$F:$F,"SMART LEARNING HOLDING")*K$185</f>
        <v/>
      </c>
      <c r="L70" s="89">
        <f>-SUMIFS('7月数据源'!$I:$I,'7月数据源'!$D:$D,$E70,'7月数据源'!$F:$F,"SMART LEARNING HOLDING")*L$185+SUMIFS('7月数据源'!$J:$J,'7月数据源'!$D:$D,$E70,'7月数据源'!$F:$F,"SMART LEARNING HOLDING")*L$185</f>
        <v/>
      </c>
      <c r="M70" s="89">
        <f>-SUMIFS('8月数据源'!$I:$I,'8月数据源'!$D:$D,$E70,'8月数据源'!$F:$F,"SMART LEARNING HOLDING")*M$185+SUMIFS('8月数据源'!$J:$J,'8月数据源'!$D:$D,$E70,'8月数据源'!$F:$F,"SMART LEARNING HOLDING")*M$185</f>
        <v/>
      </c>
      <c r="N70" s="89">
        <f>-SUMIFS('9月数据源'!$I:$I,'9月数据源'!$D:$D,$E70,'9月数据源'!$F:$F,"SMART LEARNING HOLDING")*N$185+SUMIFS('9月数据源'!$J:$J,'9月数据源'!$D:$D,$E70,'9月数据源'!$F:$F,"SMART LEARNING HOLDING")*N$185</f>
        <v/>
      </c>
      <c r="O70" s="89">
        <f>-SUMIFS('10月数据源'!$I:$I,'10月数据源'!$D:$D,$E70,'10月数据源'!$F:$F,"SMART LEARNING HOLDING")*O$185+SUMIFS('10月数据源'!$J:$J,'10月数据源'!$D:$D,$E70,'10月数据源'!$F:$F,"SMART LEARNING HOLDING")*O$185</f>
        <v/>
      </c>
      <c r="P70" s="89">
        <f>-SUMIFS('11月数据源'!$I:$I,'11月数据源'!$D:$D,$E70,'11月数据源'!$F:$F,"SMART LEARNING HOLDING")*P$185+SUMIFS('11月数据源'!$J:$J,'11月数据源'!$D:$D,$E70,'11月数据源'!$F:$F,"SMART LEARNING HOLDING")*P$185</f>
        <v/>
      </c>
      <c r="Q70" s="89">
        <f>-SUMIFS('12月数据源'!$I:$I,'12月数据源'!$D:$D,$E70,'12月数据源'!$F:$F,"SMART LEARNING HOLDING")*Q$185+SUMIFS('12月数据源'!$J:$J,'12月数据源'!$D:$D,$E70,'12月数据源'!$F:$F,"SMART LEARNING HOLDING")*Q$185</f>
        <v/>
      </c>
    </row>
    <row r="71" s="83">
      <c r="A71" s="5" t="inlineStr">
        <is>
          <t>研发支出</t>
        </is>
      </c>
      <c r="B71" s="6" t="inlineStr">
        <is>
          <t>产品开发-MAX</t>
        </is>
      </c>
      <c r="D71" s="5" t="inlineStr">
        <is>
          <t>认证费</t>
        </is>
      </c>
      <c r="E71" s="6" t="inlineStr">
        <is>
          <t>Q1202</t>
        </is>
      </c>
      <c r="F71" s="89">
        <f>-SUMIFS('1月数据源'!$I:$I,'1月数据源'!$D:$D,$E71,'1月数据源'!$F:$F,"SMART LEARNING HOLDING")*F$185+SUMIFS('1月数据源'!$J:$J,'1月数据源'!$D:$D,$E71,'1月数据源'!$F:$F,"SMART LEARNING HOLDING")*F$185</f>
        <v/>
      </c>
      <c r="G71" s="89">
        <f>-SUMIFS('2月数据源'!$I:$I,'2月数据源'!$D:$D,$E71,'2月数据源'!$F:$F,"SMART LEARNING HOLDING")*G$185+SUMIFS('2月数据源'!$J:$J,'2月数据源'!$D:$D,$E71,'2月数据源'!$F:$F,"SMART LEARNING HOLDING")*G$185</f>
        <v/>
      </c>
      <c r="H71" s="89">
        <f>-SUMIFS('3月数据源'!$I:$I,'3月数据源'!$D:$D,$E71,'3月数据源'!$F:$F,"SMART LEARNING HOLDING")*H$185+SUMIFS('3月数据源'!$J:$J,'3月数据源'!$D:$D,$E71,'3月数据源'!$F:$F,"SMART LEARNING HOLDING")*H$185</f>
        <v/>
      </c>
      <c r="I71" s="89">
        <f>-SUMIFS('4月数据源'!$I:$I,'4月数据源'!$D:$D,$E71,'4月数据源'!$F:$F,"SMART LEARNING HOLDING")*I$185+SUMIFS('4月数据源'!$J:$J,'4月数据源'!$D:$D,$E71,'4月数据源'!$F:$F,"SMART LEARNING HOLDING")*I$185</f>
        <v/>
      </c>
      <c r="J71" s="89">
        <f>-SUMIFS('5月数据源'!$I:$I,'5月数据源'!$D:$D,$E71,'5月数据源'!$F:$F,"SMART LEARNING HOLDING")*J$185+SUMIFS('5月数据源'!$J:$J,'5月数据源'!$D:$D,$E71,'5月数据源'!$F:$F,"SMART LEARNING HOLDING")*J$185</f>
        <v/>
      </c>
      <c r="K71" s="89">
        <f>-SUMIFS('6月数据源'!$I:$I,'6月数据源'!$D:$D,$E71,'6月数据源'!$F:$F,"SMART LEARNING HOLDING")*K$185+SUMIFS('6月数据源'!$J:$J,'6月数据源'!$D:$D,$E71,'6月数据源'!$F:$F,"SMART LEARNING HOLDING")*K$185</f>
        <v/>
      </c>
      <c r="L71" s="89">
        <f>-SUMIFS('7月数据源'!$I:$I,'7月数据源'!$D:$D,$E71,'7月数据源'!$F:$F,"SMART LEARNING HOLDING")*L$185+SUMIFS('7月数据源'!$J:$J,'7月数据源'!$D:$D,$E71,'7月数据源'!$F:$F,"SMART LEARNING HOLDING")*L$185</f>
        <v/>
      </c>
      <c r="M71" s="89">
        <f>-SUMIFS('8月数据源'!$I:$I,'8月数据源'!$D:$D,$E71,'8月数据源'!$F:$F,"SMART LEARNING HOLDING")*M$185+SUMIFS('8月数据源'!$J:$J,'8月数据源'!$D:$D,$E71,'8月数据源'!$F:$F,"SMART LEARNING HOLDING")*M$185</f>
        <v/>
      </c>
      <c r="N71" s="89">
        <f>-SUMIFS('9月数据源'!$I:$I,'9月数据源'!$D:$D,$E71,'9月数据源'!$F:$F,"SMART LEARNING HOLDING")*N$185+SUMIFS('9月数据源'!$J:$J,'9月数据源'!$D:$D,$E71,'9月数据源'!$F:$F,"SMART LEARNING HOLDING")*N$185</f>
        <v/>
      </c>
      <c r="O71" s="89">
        <f>-SUMIFS('10月数据源'!$I:$I,'10月数据源'!$D:$D,$E71,'10月数据源'!$F:$F,"SMART LEARNING HOLDING")*O$185+SUMIFS('10月数据源'!$J:$J,'10月数据源'!$D:$D,$E71,'10月数据源'!$F:$F,"SMART LEARNING HOLDING")*O$185</f>
        <v/>
      </c>
      <c r="P71" s="89">
        <f>-SUMIFS('11月数据源'!$I:$I,'11月数据源'!$D:$D,$E71,'11月数据源'!$F:$F,"SMART LEARNING HOLDING")*P$185+SUMIFS('11月数据源'!$J:$J,'11月数据源'!$D:$D,$E71,'11月数据源'!$F:$F,"SMART LEARNING HOLDING")*P$185</f>
        <v/>
      </c>
      <c r="Q71" s="89">
        <f>-SUMIFS('12月数据源'!$I:$I,'12月数据源'!$D:$D,$E71,'12月数据源'!$F:$F,"SMART LEARNING HOLDING")*Q$185+SUMIFS('12月数据源'!$J:$J,'12月数据源'!$D:$D,$E71,'12月数据源'!$F:$F,"SMART LEARNING HOLDING")*Q$185</f>
        <v/>
      </c>
    </row>
    <row r="72" s="83">
      <c r="A72" s="5" t="inlineStr">
        <is>
          <t>研发支出</t>
        </is>
      </c>
      <c r="B72" s="6" t="inlineStr">
        <is>
          <t>产品开发-MAX</t>
        </is>
      </c>
      <c r="D72" s="5" t="inlineStr">
        <is>
          <t>设计费</t>
        </is>
      </c>
      <c r="E72" s="6" t="inlineStr">
        <is>
          <t>Q1203</t>
        </is>
      </c>
      <c r="F72" s="89">
        <f>-SUMIFS('1月数据源'!$I:$I,'1月数据源'!$D:$D,$E72,'1月数据源'!$F:$F,"SMART LEARNING HOLDING")*F$185+SUMIFS('1月数据源'!$J:$J,'1月数据源'!$D:$D,$E72,'1月数据源'!$F:$F,"SMART LEARNING HOLDING")*F$185</f>
        <v/>
      </c>
      <c r="G72" s="89">
        <f>-SUMIFS('2月数据源'!$I:$I,'2月数据源'!$D:$D,$E72,'2月数据源'!$F:$F,"SMART LEARNING HOLDING")*G$185+SUMIFS('2月数据源'!$J:$J,'2月数据源'!$D:$D,$E72,'2月数据源'!$F:$F,"SMART LEARNING HOLDING")*G$185</f>
        <v/>
      </c>
      <c r="H72" s="89">
        <f>-SUMIFS('3月数据源'!$I:$I,'3月数据源'!$D:$D,$E72,'3月数据源'!$F:$F,"SMART LEARNING HOLDING")*H$185+SUMIFS('3月数据源'!$J:$J,'3月数据源'!$D:$D,$E72,'3月数据源'!$F:$F,"SMART LEARNING HOLDING")*H$185</f>
        <v/>
      </c>
      <c r="I72" s="89">
        <f>-SUMIFS('4月数据源'!$I:$I,'4月数据源'!$D:$D,$E72,'4月数据源'!$F:$F,"SMART LEARNING HOLDING")*I$185+SUMIFS('4月数据源'!$J:$J,'4月数据源'!$D:$D,$E72,'4月数据源'!$F:$F,"SMART LEARNING HOLDING")*I$185</f>
        <v/>
      </c>
      <c r="J72" s="89">
        <f>-SUMIFS('5月数据源'!$I:$I,'5月数据源'!$D:$D,$E72,'5月数据源'!$F:$F,"SMART LEARNING HOLDING")*J$185+SUMIFS('5月数据源'!$J:$J,'5月数据源'!$D:$D,$E72,'5月数据源'!$F:$F,"SMART LEARNING HOLDING")*J$185</f>
        <v/>
      </c>
      <c r="K72" s="89">
        <f>-SUMIFS('6月数据源'!$I:$I,'6月数据源'!$D:$D,$E72,'6月数据源'!$F:$F,"SMART LEARNING HOLDING")*K$185+SUMIFS('6月数据源'!$J:$J,'6月数据源'!$D:$D,$E72,'6月数据源'!$F:$F,"SMART LEARNING HOLDING")*K$185</f>
        <v/>
      </c>
      <c r="L72" s="89">
        <f>-SUMIFS('7月数据源'!$I:$I,'7月数据源'!$D:$D,$E72,'7月数据源'!$F:$F,"SMART LEARNING HOLDING")*L$185+SUMIFS('7月数据源'!$J:$J,'7月数据源'!$D:$D,$E72,'7月数据源'!$F:$F,"SMART LEARNING HOLDING")*L$185</f>
        <v/>
      </c>
      <c r="M72" s="89">
        <f>-SUMIFS('8月数据源'!$I:$I,'8月数据源'!$D:$D,$E72,'8月数据源'!$F:$F,"SMART LEARNING HOLDING")*M$185+SUMIFS('8月数据源'!$J:$J,'8月数据源'!$D:$D,$E72,'8月数据源'!$F:$F,"SMART LEARNING HOLDING")*M$185</f>
        <v/>
      </c>
      <c r="N72" s="89">
        <f>-SUMIFS('9月数据源'!$I:$I,'9月数据源'!$D:$D,$E72,'9月数据源'!$F:$F,"SMART LEARNING HOLDING")*N$185+SUMIFS('9月数据源'!$J:$J,'9月数据源'!$D:$D,$E72,'9月数据源'!$F:$F,"SMART LEARNING HOLDING")*N$185</f>
        <v/>
      </c>
      <c r="O72" s="89">
        <f>-SUMIFS('10月数据源'!$I:$I,'10月数据源'!$D:$D,$E72,'10月数据源'!$F:$F,"SMART LEARNING HOLDING")*O$185+SUMIFS('10月数据源'!$J:$J,'10月数据源'!$D:$D,$E72,'10月数据源'!$F:$F,"SMART LEARNING HOLDING")*O$185</f>
        <v/>
      </c>
      <c r="P72" s="89">
        <f>-SUMIFS('11月数据源'!$I:$I,'11月数据源'!$D:$D,$E72,'11月数据源'!$F:$F,"SMART LEARNING HOLDING")*P$185+SUMIFS('11月数据源'!$J:$J,'11月数据源'!$D:$D,$E72,'11月数据源'!$F:$F,"SMART LEARNING HOLDING")*P$185</f>
        <v/>
      </c>
      <c r="Q72" s="89">
        <f>-SUMIFS('12月数据源'!$I:$I,'12月数据源'!$D:$D,$E72,'12月数据源'!$F:$F,"SMART LEARNING HOLDING")*Q$185+SUMIFS('12月数据源'!$J:$J,'12月数据源'!$D:$D,$E72,'12月数据源'!$F:$F,"SMART LEARNING HOLDING")*Q$185</f>
        <v/>
      </c>
    </row>
    <row r="73" s="83">
      <c r="A73" s="5" t="inlineStr">
        <is>
          <t>研发支出</t>
        </is>
      </c>
      <c r="B73" s="6" t="inlineStr">
        <is>
          <t>产品开发-MAX</t>
        </is>
      </c>
      <c r="D73" s="5" t="inlineStr">
        <is>
          <t>OTA费用</t>
        </is>
      </c>
      <c r="E73" s="6" t="inlineStr">
        <is>
          <t>Q1204</t>
        </is>
      </c>
      <c r="F73" s="89">
        <f>-SUMIFS('1月数据源'!$I:$I,'1月数据源'!$D:$D,$E73,'1月数据源'!$F:$F,"SMART LEARNING HOLDING")*F$185+SUMIFS('1月数据源'!$J:$J,'1月数据源'!$D:$D,$E73,'1月数据源'!$F:$F,"SMART LEARNING HOLDING")*F$185</f>
        <v/>
      </c>
      <c r="G73" s="89">
        <f>-SUMIFS('2月数据源'!$I:$I,'2月数据源'!$D:$D,$E73,'2月数据源'!$F:$F,"SMART LEARNING HOLDING")*G$185+SUMIFS('2月数据源'!$J:$J,'2月数据源'!$D:$D,$E73,'2月数据源'!$F:$F,"SMART LEARNING HOLDING")*G$185</f>
        <v/>
      </c>
      <c r="H73" s="89">
        <f>-SUMIFS('3月数据源'!$I:$I,'3月数据源'!$D:$D,$E73,'3月数据源'!$F:$F,"SMART LEARNING HOLDING")*H$185+SUMIFS('3月数据源'!$J:$J,'3月数据源'!$D:$D,$E73,'3月数据源'!$F:$F,"SMART LEARNING HOLDING")*H$185</f>
        <v/>
      </c>
      <c r="I73" s="89">
        <f>-SUMIFS('4月数据源'!$I:$I,'4月数据源'!$D:$D,$E73,'4月数据源'!$F:$F,"SMART LEARNING HOLDING")*I$185+SUMIFS('4月数据源'!$J:$J,'4月数据源'!$D:$D,$E73,'4月数据源'!$F:$F,"SMART LEARNING HOLDING")*I$185</f>
        <v/>
      </c>
      <c r="J73" s="89">
        <f>-SUMIFS('5月数据源'!$I:$I,'5月数据源'!$D:$D,$E73,'5月数据源'!$F:$F,"SMART LEARNING HOLDING")*J$185+SUMIFS('5月数据源'!$J:$J,'5月数据源'!$D:$D,$E73,'5月数据源'!$F:$F,"SMART LEARNING HOLDING")*J$185</f>
        <v/>
      </c>
      <c r="K73" s="89">
        <f>-SUMIFS('6月数据源'!$I:$I,'6月数据源'!$D:$D,$E73,'6月数据源'!$F:$F,"SMART LEARNING HOLDING")*K$185+SUMIFS('6月数据源'!$J:$J,'6月数据源'!$D:$D,$E73,'6月数据源'!$F:$F,"SMART LEARNING HOLDING")*K$185</f>
        <v/>
      </c>
      <c r="L73" s="89">
        <f>-SUMIFS('7月数据源'!$I:$I,'7月数据源'!$D:$D,$E73,'7月数据源'!$F:$F,"SMART LEARNING HOLDING")*L$185+SUMIFS('7月数据源'!$J:$J,'7月数据源'!$D:$D,$E73,'7月数据源'!$F:$F,"SMART LEARNING HOLDING")*L$185</f>
        <v/>
      </c>
      <c r="M73" s="89">
        <f>-SUMIFS('8月数据源'!$I:$I,'8月数据源'!$D:$D,$E73,'8月数据源'!$F:$F,"SMART LEARNING HOLDING")*M$185+SUMIFS('8月数据源'!$J:$J,'8月数据源'!$D:$D,$E73,'8月数据源'!$F:$F,"SMART LEARNING HOLDING")*M$185</f>
        <v/>
      </c>
      <c r="N73" s="89">
        <f>-SUMIFS('9月数据源'!$I:$I,'9月数据源'!$D:$D,$E73,'9月数据源'!$F:$F,"SMART LEARNING HOLDING")*N$185+SUMIFS('9月数据源'!$J:$J,'9月数据源'!$D:$D,$E73,'9月数据源'!$F:$F,"SMART LEARNING HOLDING")*N$185</f>
        <v/>
      </c>
      <c r="O73" s="89">
        <f>-SUMIFS('10月数据源'!$I:$I,'10月数据源'!$D:$D,$E73,'10月数据源'!$F:$F,"SMART LEARNING HOLDING")*O$185+SUMIFS('10月数据源'!$J:$J,'10月数据源'!$D:$D,$E73,'10月数据源'!$F:$F,"SMART LEARNING HOLDING")*O$185</f>
        <v/>
      </c>
      <c r="P73" s="89">
        <f>-SUMIFS('11月数据源'!$I:$I,'11月数据源'!$D:$D,$E73,'11月数据源'!$F:$F,"SMART LEARNING HOLDING")*P$185+SUMIFS('11月数据源'!$J:$J,'11月数据源'!$D:$D,$E73,'11月数据源'!$F:$F,"SMART LEARNING HOLDING")*P$185</f>
        <v/>
      </c>
      <c r="Q73" s="89">
        <f>-SUMIFS('12月数据源'!$I:$I,'12月数据源'!$D:$D,$E73,'12月数据源'!$F:$F,"SMART LEARNING HOLDING")*Q$185+SUMIFS('12月数据源'!$J:$J,'12月数据源'!$D:$D,$E73,'12月数据源'!$F:$F,"SMART LEARNING HOLDING")*Q$185</f>
        <v/>
      </c>
    </row>
    <row r="74" s="83">
      <c r="A74" s="5" t="inlineStr">
        <is>
          <t>研发支出</t>
        </is>
      </c>
      <c r="B74" s="6" t="inlineStr">
        <is>
          <t>产品开发-MAX</t>
        </is>
      </c>
      <c r="D74" s="5" t="inlineStr">
        <is>
          <t>模具费用</t>
        </is>
      </c>
      <c r="E74" s="6" t="inlineStr">
        <is>
          <t>Q1205</t>
        </is>
      </c>
      <c r="F74" s="89">
        <f>-SUMIFS('1月数据源'!$I:$I,'1月数据源'!$D:$D,$E74,'1月数据源'!$F:$F,"SMART LEARNING HOLDING")*F$185+SUMIFS('1月数据源'!$J:$J,'1月数据源'!$D:$D,$E74,'1月数据源'!$F:$F,"SMART LEARNING HOLDING")*F$185</f>
        <v/>
      </c>
      <c r="G74" s="89">
        <f>-SUMIFS('2月数据源'!$I:$I,'2月数据源'!$D:$D,$E74,'2月数据源'!$F:$F,"SMART LEARNING HOLDING")*G$185+SUMIFS('2月数据源'!$J:$J,'2月数据源'!$D:$D,$E74,'2月数据源'!$F:$F,"SMART LEARNING HOLDING")*G$185</f>
        <v/>
      </c>
      <c r="H74" s="89">
        <f>-SUMIFS('3月数据源'!$I:$I,'3月数据源'!$D:$D,$E74,'3月数据源'!$F:$F,"SMART LEARNING HOLDING")*H$185+SUMIFS('3月数据源'!$J:$J,'3月数据源'!$D:$D,$E74,'3月数据源'!$F:$F,"SMART LEARNING HOLDING")*H$185</f>
        <v/>
      </c>
      <c r="I74" s="89">
        <f>-SUMIFS('4月数据源'!$I:$I,'4月数据源'!$D:$D,$E74,'4月数据源'!$F:$F,"SMART LEARNING HOLDING")*I$185+SUMIFS('4月数据源'!$J:$J,'4月数据源'!$D:$D,$E74,'4月数据源'!$F:$F,"SMART LEARNING HOLDING")*I$185</f>
        <v/>
      </c>
      <c r="J74" s="89">
        <f>-SUMIFS('5月数据源'!$I:$I,'5月数据源'!$D:$D,$E74,'5月数据源'!$F:$F,"SMART LEARNING HOLDING")*J$185+SUMIFS('5月数据源'!$J:$J,'5月数据源'!$D:$D,$E74,'5月数据源'!$F:$F,"SMART LEARNING HOLDING")*J$185</f>
        <v/>
      </c>
      <c r="K74" s="89">
        <f>-SUMIFS('6月数据源'!$I:$I,'6月数据源'!$D:$D,$E74,'6月数据源'!$F:$F,"SMART LEARNING HOLDING")*K$185+SUMIFS('6月数据源'!$J:$J,'6月数据源'!$D:$D,$E74,'6月数据源'!$F:$F,"SMART LEARNING HOLDING")*K$185</f>
        <v/>
      </c>
      <c r="L74" s="89">
        <f>-SUMIFS('7月数据源'!$I:$I,'7月数据源'!$D:$D,$E74,'7月数据源'!$F:$F,"SMART LEARNING HOLDING")*L$185+SUMIFS('7月数据源'!$J:$J,'7月数据源'!$D:$D,$E74,'7月数据源'!$F:$F,"SMART LEARNING HOLDING")*L$185</f>
        <v/>
      </c>
      <c r="M74" s="89">
        <f>-SUMIFS('8月数据源'!$I:$I,'8月数据源'!$D:$D,$E74,'8月数据源'!$F:$F,"SMART LEARNING HOLDING")*M$185+SUMIFS('8月数据源'!$J:$J,'8月数据源'!$D:$D,$E74,'8月数据源'!$F:$F,"SMART LEARNING HOLDING")*M$185</f>
        <v/>
      </c>
      <c r="N74" s="89">
        <f>-SUMIFS('9月数据源'!$I:$I,'9月数据源'!$D:$D,$E74,'9月数据源'!$F:$F,"SMART LEARNING HOLDING")*N$185+SUMIFS('9月数据源'!$J:$J,'9月数据源'!$D:$D,$E74,'9月数据源'!$F:$F,"SMART LEARNING HOLDING")*N$185</f>
        <v/>
      </c>
      <c r="O74" s="89">
        <f>-SUMIFS('10月数据源'!$I:$I,'10月数据源'!$D:$D,$E74,'10月数据源'!$F:$F,"SMART LEARNING HOLDING")*O$185+SUMIFS('10月数据源'!$J:$J,'10月数据源'!$D:$D,$E74,'10月数据源'!$F:$F,"SMART LEARNING HOLDING")*O$185</f>
        <v/>
      </c>
      <c r="P74" s="89">
        <f>-SUMIFS('11月数据源'!$I:$I,'11月数据源'!$D:$D,$E74,'11月数据源'!$F:$F,"SMART LEARNING HOLDING")*P$185+SUMIFS('11月数据源'!$J:$J,'11月数据源'!$D:$D,$E74,'11月数据源'!$F:$F,"SMART LEARNING HOLDING")*P$185</f>
        <v/>
      </c>
      <c r="Q74" s="89">
        <f>-SUMIFS('12月数据源'!$I:$I,'12月数据源'!$D:$D,$E74,'12月数据源'!$F:$F,"SMART LEARNING HOLDING")*Q$185+SUMIFS('12月数据源'!$J:$J,'12月数据源'!$D:$D,$E74,'12月数据源'!$F:$F,"SMART LEARNING HOLDING")*Q$185</f>
        <v/>
      </c>
    </row>
    <row r="75" s="83">
      <c r="A75" s="5" t="inlineStr">
        <is>
          <t>研发支出</t>
        </is>
      </c>
      <c r="B75" s="6" t="inlineStr">
        <is>
          <t>产品开发-MAX</t>
        </is>
      </c>
      <c r="D75" s="5" t="inlineStr">
        <is>
          <t>TCL研发费</t>
        </is>
      </c>
      <c r="E75" s="6" t="inlineStr">
        <is>
          <t>Q1206</t>
        </is>
      </c>
      <c r="F75" s="89">
        <f>-SUMIFS('1月数据源'!$I:$I,'1月数据源'!$D:$D,$E75,'1月数据源'!$F:$F,"SMART LEARNING HOLDING")*F$185+SUMIFS('1月数据源'!$J:$J,'1月数据源'!$D:$D,$E75,'1月数据源'!$F:$F,"SMART LEARNING HOLDING")*F$185</f>
        <v/>
      </c>
      <c r="G75" s="89">
        <f>-SUMIFS('2月数据源'!$I:$I,'2月数据源'!$D:$D,$E75,'2月数据源'!$F:$F,"SMART LEARNING HOLDING")*G$185+SUMIFS('2月数据源'!$J:$J,'2月数据源'!$D:$D,$E75,'2月数据源'!$F:$F,"SMART LEARNING HOLDING")*G$185</f>
        <v/>
      </c>
      <c r="H75" s="89">
        <f>-SUMIFS('3月数据源'!$I:$I,'3月数据源'!$D:$D,$E75,'3月数据源'!$F:$F,"SMART LEARNING HOLDING")*H$185+SUMIFS('3月数据源'!$J:$J,'3月数据源'!$D:$D,$E75,'3月数据源'!$F:$F,"SMART LEARNING HOLDING")*H$185</f>
        <v/>
      </c>
      <c r="I75" s="89">
        <f>-SUMIFS('4月数据源'!$I:$I,'4月数据源'!$D:$D,$E75,'4月数据源'!$F:$F,"SMART LEARNING HOLDING")*I$185+SUMIFS('4月数据源'!$J:$J,'4月数据源'!$D:$D,$E75,'4月数据源'!$F:$F,"SMART LEARNING HOLDING")*I$185</f>
        <v/>
      </c>
      <c r="J75" s="89">
        <f>-SUMIFS('5月数据源'!$I:$I,'5月数据源'!$D:$D,$E75,'5月数据源'!$F:$F,"SMART LEARNING HOLDING")*J$185+SUMIFS('5月数据源'!$J:$J,'5月数据源'!$D:$D,$E75,'5月数据源'!$F:$F,"SMART LEARNING HOLDING")*J$185</f>
        <v/>
      </c>
      <c r="K75" s="89">
        <f>-SUMIFS('6月数据源'!$I:$I,'6月数据源'!$D:$D,$E75,'6月数据源'!$F:$F,"SMART LEARNING HOLDING")*K$185+SUMIFS('6月数据源'!$J:$J,'6月数据源'!$D:$D,$E75,'6月数据源'!$F:$F,"SMART LEARNING HOLDING")*K$185</f>
        <v/>
      </c>
      <c r="L75" s="89">
        <f>-SUMIFS('7月数据源'!$I:$I,'7月数据源'!$D:$D,$E75,'7月数据源'!$F:$F,"SMART LEARNING HOLDING")*L$185+SUMIFS('7月数据源'!$J:$J,'7月数据源'!$D:$D,$E75,'7月数据源'!$F:$F,"SMART LEARNING HOLDING")*L$185</f>
        <v/>
      </c>
      <c r="M75" s="89">
        <f>-SUMIFS('8月数据源'!$I:$I,'8月数据源'!$D:$D,$E75,'8月数据源'!$F:$F,"SMART LEARNING HOLDING")*M$185+SUMIFS('8月数据源'!$J:$J,'8月数据源'!$D:$D,$E75,'8月数据源'!$F:$F,"SMART LEARNING HOLDING")*M$185</f>
        <v/>
      </c>
      <c r="N75" s="89">
        <f>-SUMIFS('9月数据源'!$I:$I,'9月数据源'!$D:$D,$E75,'9月数据源'!$F:$F,"SMART LEARNING HOLDING")*N$185+SUMIFS('9月数据源'!$J:$J,'9月数据源'!$D:$D,$E75,'9月数据源'!$F:$F,"SMART LEARNING HOLDING")*N$185</f>
        <v/>
      </c>
      <c r="O75" s="89">
        <f>-SUMIFS('10月数据源'!$I:$I,'10月数据源'!$D:$D,$E75,'10月数据源'!$F:$F,"SMART LEARNING HOLDING")*O$185+SUMIFS('10月数据源'!$J:$J,'10月数据源'!$D:$D,$E75,'10月数据源'!$F:$F,"SMART LEARNING HOLDING")*O$185</f>
        <v/>
      </c>
      <c r="P75" s="89">
        <f>-SUMIFS('11月数据源'!$I:$I,'11月数据源'!$D:$D,$E75,'11月数据源'!$F:$F,"SMART LEARNING HOLDING")*P$185+SUMIFS('11月数据源'!$J:$J,'11月数据源'!$D:$D,$E75,'11月数据源'!$F:$F,"SMART LEARNING HOLDING")*P$185</f>
        <v/>
      </c>
      <c r="Q75" s="89">
        <f>-SUMIFS('12月数据源'!$I:$I,'12月数据源'!$D:$D,$E75,'12月数据源'!$F:$F,"SMART LEARNING HOLDING")*Q$185+SUMIFS('12月数据源'!$J:$J,'12月数据源'!$D:$D,$E75,'12月数据源'!$F:$F,"SMART LEARNING HOLDING")*Q$185</f>
        <v/>
      </c>
    </row>
    <row r="76" s="83">
      <c r="A76" s="5" t="inlineStr">
        <is>
          <t>研发支出</t>
        </is>
      </c>
      <c r="B76" s="6" t="inlineStr">
        <is>
          <t>产品开发-MAX</t>
        </is>
      </c>
      <c r="D76" s="5" t="inlineStr">
        <is>
          <t>唤醒功能开发</t>
        </is>
      </c>
      <c r="E76" s="6" t="inlineStr">
        <is>
          <t>Q1207</t>
        </is>
      </c>
      <c r="F76" s="89">
        <f>-SUMIFS('1月数据源'!$I:$I,'1月数据源'!$D:$D,$E76,'1月数据源'!$F:$F,"SMART LEARNING HOLDING")*F$185+SUMIFS('1月数据源'!$J:$J,'1月数据源'!$D:$D,$E76,'1月数据源'!$F:$F,"SMART LEARNING HOLDING")*F$185</f>
        <v/>
      </c>
      <c r="G76" s="89">
        <f>-SUMIFS('2月数据源'!$I:$I,'2月数据源'!$D:$D,$E76,'2月数据源'!$F:$F,"SMART LEARNING HOLDING")*G$185+SUMIFS('2月数据源'!$J:$J,'2月数据源'!$D:$D,$E76,'2月数据源'!$F:$F,"SMART LEARNING HOLDING")*G$185</f>
        <v/>
      </c>
      <c r="H76" s="89">
        <f>-SUMIFS('3月数据源'!$I:$I,'3月数据源'!$D:$D,$E76,'3月数据源'!$F:$F,"SMART LEARNING HOLDING")*H$185+SUMIFS('3月数据源'!$J:$J,'3月数据源'!$D:$D,$E76,'3月数据源'!$F:$F,"SMART LEARNING HOLDING")*H$185</f>
        <v/>
      </c>
      <c r="I76" s="89">
        <f>-SUMIFS('4月数据源'!$I:$I,'4月数据源'!$D:$D,$E76,'4月数据源'!$F:$F,"SMART LEARNING HOLDING")*I$185+SUMIFS('4月数据源'!$J:$J,'4月数据源'!$D:$D,$E76,'4月数据源'!$F:$F,"SMART LEARNING HOLDING")*I$185</f>
        <v/>
      </c>
      <c r="J76" s="89">
        <f>-SUMIFS('5月数据源'!$I:$I,'5月数据源'!$D:$D,$E76,'5月数据源'!$F:$F,"SMART LEARNING HOLDING")*J$185+SUMIFS('5月数据源'!$J:$J,'5月数据源'!$D:$D,$E76,'5月数据源'!$F:$F,"SMART LEARNING HOLDING")*J$185</f>
        <v/>
      </c>
      <c r="K76" s="89">
        <f>-SUMIFS('6月数据源'!$I:$I,'6月数据源'!$D:$D,$E76,'6月数据源'!$F:$F,"SMART LEARNING HOLDING")*K$185+SUMIFS('6月数据源'!$J:$J,'6月数据源'!$D:$D,$E76,'6月数据源'!$F:$F,"SMART LEARNING HOLDING")*K$185</f>
        <v/>
      </c>
      <c r="L76" s="89">
        <f>-SUMIFS('7月数据源'!$I:$I,'7月数据源'!$D:$D,$E76,'7月数据源'!$F:$F,"SMART LEARNING HOLDING")*L$185+SUMIFS('7月数据源'!$J:$J,'7月数据源'!$D:$D,$E76,'7月数据源'!$F:$F,"SMART LEARNING HOLDING")*L$185</f>
        <v/>
      </c>
      <c r="M76" s="89">
        <f>-SUMIFS('8月数据源'!$I:$I,'8月数据源'!$D:$D,$E76,'8月数据源'!$F:$F,"SMART LEARNING HOLDING")*M$185+SUMIFS('8月数据源'!$J:$J,'8月数据源'!$D:$D,$E76,'8月数据源'!$F:$F,"SMART LEARNING HOLDING")*M$185</f>
        <v/>
      </c>
      <c r="N76" s="89">
        <f>-SUMIFS('9月数据源'!$I:$I,'9月数据源'!$D:$D,$E76,'9月数据源'!$F:$F,"SMART LEARNING HOLDING")*N$185+SUMIFS('9月数据源'!$J:$J,'9月数据源'!$D:$D,$E76,'9月数据源'!$F:$F,"SMART LEARNING HOLDING")*N$185</f>
        <v/>
      </c>
      <c r="O76" s="89">
        <f>-SUMIFS('10月数据源'!$I:$I,'10月数据源'!$D:$D,$E76,'10月数据源'!$F:$F,"SMART LEARNING HOLDING")*O$185+SUMIFS('10月数据源'!$J:$J,'10月数据源'!$D:$D,$E76,'10月数据源'!$F:$F,"SMART LEARNING HOLDING")*O$185</f>
        <v/>
      </c>
      <c r="P76" s="89">
        <f>-SUMIFS('11月数据源'!$I:$I,'11月数据源'!$D:$D,$E76,'11月数据源'!$F:$F,"SMART LEARNING HOLDING")*P$185+SUMIFS('11月数据源'!$J:$J,'11月数据源'!$D:$D,$E76,'11月数据源'!$F:$F,"SMART LEARNING HOLDING")*P$185</f>
        <v/>
      </c>
      <c r="Q76" s="89">
        <f>-SUMIFS('12月数据源'!$I:$I,'12月数据源'!$D:$D,$E76,'12月数据源'!$F:$F,"SMART LEARNING HOLDING")*Q$185+SUMIFS('12月数据源'!$J:$J,'12月数据源'!$D:$D,$E76,'12月数据源'!$F:$F,"SMART LEARNING HOLDING")*Q$185</f>
        <v/>
      </c>
    </row>
    <row r="77" s="83">
      <c r="A77" s="5" t="inlineStr">
        <is>
          <t>研发支出</t>
        </is>
      </c>
      <c r="B77" s="6" t="inlineStr">
        <is>
          <t>产品开发-MAX</t>
        </is>
      </c>
      <c r="D77" s="5" t="inlineStr">
        <is>
          <t>题库费</t>
        </is>
      </c>
      <c r="E77" s="6" t="inlineStr">
        <is>
          <t>Q1208</t>
        </is>
      </c>
      <c r="F77" s="89">
        <f>-SUMIFS('1月数据源'!$I:$I,'1月数据源'!$D:$D,$E77,'1月数据源'!$F:$F,"SMART LEARNING HOLDING")*F$185+SUMIFS('1月数据源'!$J:$J,'1月数据源'!$D:$D,$E77,'1月数据源'!$F:$F,"SMART LEARNING HOLDING")*F$185</f>
        <v/>
      </c>
      <c r="G77" s="89">
        <f>-SUMIFS('2月数据源'!$I:$I,'2月数据源'!$D:$D,$E77,'2月数据源'!$F:$F,"SMART LEARNING HOLDING")*G$185+SUMIFS('2月数据源'!$J:$J,'2月数据源'!$D:$D,$E77,'2月数据源'!$F:$F,"SMART LEARNING HOLDING")*G$185</f>
        <v/>
      </c>
      <c r="H77" s="89">
        <f>-SUMIFS('3月数据源'!$I:$I,'3月数据源'!$D:$D,$E77,'3月数据源'!$F:$F,"SMART LEARNING HOLDING")*H$185+SUMIFS('3月数据源'!$J:$J,'3月数据源'!$D:$D,$E77,'3月数据源'!$F:$F,"SMART LEARNING HOLDING")*H$185</f>
        <v/>
      </c>
      <c r="I77" s="89">
        <f>-SUMIFS('4月数据源'!$I:$I,'4月数据源'!$D:$D,$E77,'4月数据源'!$F:$F,"SMART LEARNING HOLDING")*I$185+SUMIFS('4月数据源'!$J:$J,'4月数据源'!$D:$D,$E77,'4月数据源'!$F:$F,"SMART LEARNING HOLDING")*I$185</f>
        <v/>
      </c>
      <c r="J77" s="89">
        <f>-SUMIFS('5月数据源'!$I:$I,'5月数据源'!$D:$D,$E77,'5月数据源'!$F:$F,"SMART LEARNING HOLDING")*J$185+SUMIFS('5月数据源'!$J:$J,'5月数据源'!$D:$D,$E77,'5月数据源'!$F:$F,"SMART LEARNING HOLDING")*J$185</f>
        <v/>
      </c>
      <c r="K77" s="89">
        <f>-SUMIFS('6月数据源'!$I:$I,'6月数据源'!$D:$D,$E77,'6月数据源'!$F:$F,"SMART LEARNING HOLDING")*K$185+SUMIFS('6月数据源'!$J:$J,'6月数据源'!$D:$D,$E77,'6月数据源'!$F:$F,"SMART LEARNING HOLDING")*K$185</f>
        <v/>
      </c>
      <c r="L77" s="89">
        <f>-SUMIFS('7月数据源'!$I:$I,'7月数据源'!$D:$D,$E77,'7月数据源'!$F:$F,"SMART LEARNING HOLDING")*L$185+SUMIFS('7月数据源'!$J:$J,'7月数据源'!$D:$D,$E77,'7月数据源'!$F:$F,"SMART LEARNING HOLDING")*L$185</f>
        <v/>
      </c>
      <c r="M77" s="89">
        <f>-SUMIFS('8月数据源'!$I:$I,'8月数据源'!$D:$D,$E77,'8月数据源'!$F:$F,"SMART LEARNING HOLDING")*M$185+SUMIFS('8月数据源'!$J:$J,'8月数据源'!$D:$D,$E77,'8月数据源'!$F:$F,"SMART LEARNING HOLDING")*M$185</f>
        <v/>
      </c>
      <c r="N77" s="89">
        <f>-SUMIFS('9月数据源'!$I:$I,'9月数据源'!$D:$D,$E77,'9月数据源'!$F:$F,"SMART LEARNING HOLDING")*N$185+SUMIFS('9月数据源'!$J:$J,'9月数据源'!$D:$D,$E77,'9月数据源'!$F:$F,"SMART LEARNING HOLDING")*N$185</f>
        <v/>
      </c>
      <c r="O77" s="89">
        <f>-SUMIFS('10月数据源'!$I:$I,'10月数据源'!$D:$D,$E77,'10月数据源'!$F:$F,"SMART LEARNING HOLDING")*O$185+SUMIFS('10月数据源'!$J:$J,'10月数据源'!$D:$D,$E77,'10月数据源'!$F:$F,"SMART LEARNING HOLDING")*O$185</f>
        <v/>
      </c>
      <c r="P77" s="89">
        <f>-SUMIFS('11月数据源'!$I:$I,'11月数据源'!$D:$D,$E77,'11月数据源'!$F:$F,"SMART LEARNING HOLDING")*P$185+SUMIFS('11月数据源'!$J:$J,'11月数据源'!$D:$D,$E77,'11月数据源'!$F:$F,"SMART LEARNING HOLDING")*P$185</f>
        <v/>
      </c>
      <c r="Q77" s="89">
        <f>-SUMIFS('12月数据源'!$I:$I,'12月数据源'!$D:$D,$E77,'12月数据源'!$F:$F,"SMART LEARNING HOLDING")*Q$185+SUMIFS('12月数据源'!$J:$J,'12月数据源'!$D:$D,$E77,'12月数据源'!$F:$F,"SMART LEARNING HOLDING")*Q$185</f>
        <v/>
      </c>
    </row>
    <row r="78" s="83">
      <c r="A78" s="5" t="inlineStr">
        <is>
          <t>研发支出</t>
        </is>
      </c>
      <c r="B78" s="6" t="inlineStr">
        <is>
          <t>产品开发-PRO</t>
        </is>
      </c>
      <c r="C78" s="6" t="inlineStr">
        <is>
          <t>产品开发-PRO</t>
        </is>
      </c>
      <c r="D78" s="5" t="inlineStr">
        <is>
          <t>检测费</t>
        </is>
      </c>
      <c r="E78" s="6" t="inlineStr">
        <is>
          <t>Q1301</t>
        </is>
      </c>
      <c r="F78" s="89">
        <f>-SUMIFS('1月数据源'!$I:$I,'1月数据源'!$D:$D,$E78,'1月数据源'!$F:$F,"SMART LEARNING HOLDING")*F$185+SUMIFS('1月数据源'!$J:$J,'1月数据源'!$D:$D,$E78,'1月数据源'!$F:$F,"SMART LEARNING HOLDING")*F$185</f>
        <v/>
      </c>
      <c r="G78" s="89">
        <f>-SUMIFS('2月数据源'!$I:$I,'2月数据源'!$D:$D,$E78,'2月数据源'!$F:$F,"SMART LEARNING HOLDING")*G$185+SUMIFS('2月数据源'!$J:$J,'2月数据源'!$D:$D,$E78,'2月数据源'!$F:$F,"SMART LEARNING HOLDING")*G$185</f>
        <v/>
      </c>
      <c r="H78" s="89">
        <f>-SUMIFS('3月数据源'!$I:$I,'3月数据源'!$D:$D,$E78,'3月数据源'!$F:$F,"SMART LEARNING HOLDING")*H$185+SUMIFS('3月数据源'!$J:$J,'3月数据源'!$D:$D,$E78,'3月数据源'!$F:$F,"SMART LEARNING HOLDING")*H$185</f>
        <v/>
      </c>
      <c r="I78" s="89">
        <f>-SUMIFS('4月数据源'!$I:$I,'4月数据源'!$D:$D,$E78,'4月数据源'!$F:$F,"SMART LEARNING HOLDING")*I$185+SUMIFS('4月数据源'!$J:$J,'4月数据源'!$D:$D,$E78,'4月数据源'!$F:$F,"SMART LEARNING HOLDING")*I$185</f>
        <v/>
      </c>
      <c r="J78" s="89">
        <f>-SUMIFS('5月数据源'!$I:$I,'5月数据源'!$D:$D,$E78,'5月数据源'!$F:$F,"SMART LEARNING HOLDING")*J$185+SUMIFS('5月数据源'!$J:$J,'5月数据源'!$D:$D,$E78,'5月数据源'!$F:$F,"SMART LEARNING HOLDING")*J$185</f>
        <v/>
      </c>
      <c r="K78" s="89">
        <f>-SUMIFS('6月数据源'!$I:$I,'6月数据源'!$D:$D,$E78,'6月数据源'!$F:$F,"SMART LEARNING HOLDING")*K$185+SUMIFS('6月数据源'!$J:$J,'6月数据源'!$D:$D,$E78,'6月数据源'!$F:$F,"SMART LEARNING HOLDING")*K$185</f>
        <v/>
      </c>
      <c r="L78" s="89">
        <f>-SUMIFS('7月数据源'!$I:$I,'7月数据源'!$D:$D,$E78,'7月数据源'!$F:$F,"SMART LEARNING HOLDING")*L$185+SUMIFS('7月数据源'!$J:$J,'7月数据源'!$D:$D,$E78,'7月数据源'!$F:$F,"SMART LEARNING HOLDING")*L$185</f>
        <v/>
      </c>
      <c r="M78" s="89">
        <f>-SUMIFS('8月数据源'!$I:$I,'8月数据源'!$D:$D,$E78,'8月数据源'!$F:$F,"SMART LEARNING HOLDING")*M$185+SUMIFS('8月数据源'!$J:$J,'8月数据源'!$D:$D,$E78,'8月数据源'!$F:$F,"SMART LEARNING HOLDING")*M$185</f>
        <v/>
      </c>
      <c r="N78" s="89">
        <f>-SUMIFS('9月数据源'!$I:$I,'9月数据源'!$D:$D,$E78,'9月数据源'!$F:$F,"SMART LEARNING HOLDING")*N$185+SUMIFS('9月数据源'!$J:$J,'9月数据源'!$D:$D,$E78,'9月数据源'!$F:$F,"SMART LEARNING HOLDING")*N$185</f>
        <v/>
      </c>
      <c r="O78" s="89">
        <f>-SUMIFS('10月数据源'!$I:$I,'10月数据源'!$D:$D,$E78,'10月数据源'!$F:$F,"SMART LEARNING HOLDING")*O$185+SUMIFS('10月数据源'!$J:$J,'10月数据源'!$D:$D,$E78,'10月数据源'!$F:$F,"SMART LEARNING HOLDING")*O$185</f>
        <v/>
      </c>
      <c r="P78" s="89">
        <f>-SUMIFS('11月数据源'!$I:$I,'11月数据源'!$D:$D,$E78,'11月数据源'!$F:$F,"SMART LEARNING HOLDING")*P$185+SUMIFS('11月数据源'!$J:$J,'11月数据源'!$D:$D,$E78,'11月数据源'!$F:$F,"SMART LEARNING HOLDING")*P$185</f>
        <v/>
      </c>
      <c r="Q78" s="89">
        <f>-SUMIFS('12月数据源'!$I:$I,'12月数据源'!$D:$D,$E78,'12月数据源'!$F:$F,"SMART LEARNING HOLDING")*Q$185+SUMIFS('12月数据源'!$J:$J,'12月数据源'!$D:$D,$E78,'12月数据源'!$F:$F,"SMART LEARNING HOLDING")*Q$185</f>
        <v/>
      </c>
    </row>
    <row r="79" s="83">
      <c r="A79" s="5" t="inlineStr">
        <is>
          <t>研发支出</t>
        </is>
      </c>
      <c r="B79" s="6" t="inlineStr">
        <is>
          <t>产品开发-PRO</t>
        </is>
      </c>
      <c r="D79" s="5" t="inlineStr">
        <is>
          <t>认证费</t>
        </is>
      </c>
      <c r="E79" s="6" t="inlineStr">
        <is>
          <t>Q1302</t>
        </is>
      </c>
      <c r="F79" s="89">
        <f>-SUMIFS('1月数据源'!$I:$I,'1月数据源'!$D:$D,$E79,'1月数据源'!$F:$F,"SMART LEARNING HOLDING")*F$185+SUMIFS('1月数据源'!$J:$J,'1月数据源'!$D:$D,$E79,'1月数据源'!$F:$F,"SMART LEARNING HOLDING")*F$185</f>
        <v/>
      </c>
      <c r="G79" s="89">
        <f>-SUMIFS('2月数据源'!$I:$I,'2月数据源'!$D:$D,$E79,'2月数据源'!$F:$F,"SMART LEARNING HOLDING")*G$185+SUMIFS('2月数据源'!$J:$J,'2月数据源'!$D:$D,$E79,'2月数据源'!$F:$F,"SMART LEARNING HOLDING")*G$185</f>
        <v/>
      </c>
      <c r="H79" s="89">
        <f>-SUMIFS('3月数据源'!$I:$I,'3月数据源'!$D:$D,$E79,'3月数据源'!$F:$F,"SMART LEARNING HOLDING")*H$185+SUMIFS('3月数据源'!$J:$J,'3月数据源'!$D:$D,$E79,'3月数据源'!$F:$F,"SMART LEARNING HOLDING")*H$185</f>
        <v/>
      </c>
      <c r="I79" s="89">
        <f>-SUMIFS('4月数据源'!$I:$I,'4月数据源'!$D:$D,$E79,'4月数据源'!$F:$F,"SMART LEARNING HOLDING")*I$185+SUMIFS('4月数据源'!$J:$J,'4月数据源'!$D:$D,$E79,'4月数据源'!$F:$F,"SMART LEARNING HOLDING")*I$185</f>
        <v/>
      </c>
      <c r="J79" s="89">
        <f>-SUMIFS('5月数据源'!$I:$I,'5月数据源'!$D:$D,$E79,'5月数据源'!$F:$F,"SMART LEARNING HOLDING")*J$185+SUMIFS('5月数据源'!$J:$J,'5月数据源'!$D:$D,$E79,'5月数据源'!$F:$F,"SMART LEARNING HOLDING")*J$185</f>
        <v/>
      </c>
      <c r="K79" s="89">
        <f>-SUMIFS('6月数据源'!$I:$I,'6月数据源'!$D:$D,$E79,'6月数据源'!$F:$F,"SMART LEARNING HOLDING")*K$185+SUMIFS('6月数据源'!$J:$J,'6月数据源'!$D:$D,$E79,'6月数据源'!$F:$F,"SMART LEARNING HOLDING")*K$185</f>
        <v/>
      </c>
      <c r="L79" s="89">
        <f>-SUMIFS('7月数据源'!$I:$I,'7月数据源'!$D:$D,$E79,'7月数据源'!$F:$F,"SMART LEARNING HOLDING")*L$185+SUMIFS('7月数据源'!$J:$J,'7月数据源'!$D:$D,$E79,'7月数据源'!$F:$F,"SMART LEARNING HOLDING")*L$185</f>
        <v/>
      </c>
      <c r="M79" s="89">
        <f>-SUMIFS('8月数据源'!$I:$I,'8月数据源'!$D:$D,$E79,'8月数据源'!$F:$F,"SMART LEARNING HOLDING")*M$185+SUMIFS('8月数据源'!$J:$J,'8月数据源'!$D:$D,$E79,'8月数据源'!$F:$F,"SMART LEARNING HOLDING")*M$185</f>
        <v/>
      </c>
      <c r="N79" s="89">
        <f>-SUMIFS('9月数据源'!$I:$I,'9月数据源'!$D:$D,$E79,'9月数据源'!$F:$F,"SMART LEARNING HOLDING")*N$185+SUMIFS('9月数据源'!$J:$J,'9月数据源'!$D:$D,$E79,'9月数据源'!$F:$F,"SMART LEARNING HOLDING")*N$185</f>
        <v/>
      </c>
      <c r="O79" s="89">
        <f>-SUMIFS('10月数据源'!$I:$I,'10月数据源'!$D:$D,$E79,'10月数据源'!$F:$F,"SMART LEARNING HOLDING")*O$185+SUMIFS('10月数据源'!$J:$J,'10月数据源'!$D:$D,$E79,'10月数据源'!$F:$F,"SMART LEARNING HOLDING")*O$185</f>
        <v/>
      </c>
      <c r="P79" s="89">
        <f>-SUMIFS('11月数据源'!$I:$I,'11月数据源'!$D:$D,$E79,'11月数据源'!$F:$F,"SMART LEARNING HOLDING")*P$185+SUMIFS('11月数据源'!$J:$J,'11月数据源'!$D:$D,$E79,'11月数据源'!$F:$F,"SMART LEARNING HOLDING")*P$185</f>
        <v/>
      </c>
      <c r="Q79" s="89">
        <f>-SUMIFS('12月数据源'!$I:$I,'12月数据源'!$D:$D,$E79,'12月数据源'!$F:$F,"SMART LEARNING HOLDING")*Q$185+SUMIFS('12月数据源'!$J:$J,'12月数据源'!$D:$D,$E79,'12月数据源'!$F:$F,"SMART LEARNING HOLDING")*Q$185</f>
        <v/>
      </c>
    </row>
    <row r="80" s="83">
      <c r="A80" s="5" t="inlineStr">
        <is>
          <t>研发支出</t>
        </is>
      </c>
      <c r="B80" s="6" t="inlineStr">
        <is>
          <t>产品开发-PRO</t>
        </is>
      </c>
      <c r="D80" s="5" t="inlineStr">
        <is>
          <t>设计费</t>
        </is>
      </c>
      <c r="E80" s="6" t="inlineStr">
        <is>
          <t>Q1303</t>
        </is>
      </c>
      <c r="F80" s="89">
        <f>-SUMIFS('1月数据源'!$I:$I,'1月数据源'!$D:$D,$E80,'1月数据源'!$F:$F,"SMART LEARNING HOLDING")*F$185+SUMIFS('1月数据源'!$J:$J,'1月数据源'!$D:$D,$E80,'1月数据源'!$F:$F,"SMART LEARNING HOLDING")*F$185</f>
        <v/>
      </c>
      <c r="G80" s="89">
        <f>-SUMIFS('2月数据源'!$I:$I,'2月数据源'!$D:$D,$E80,'2月数据源'!$F:$F,"SMART LEARNING HOLDING")*G$185+SUMIFS('2月数据源'!$J:$J,'2月数据源'!$D:$D,$E80,'2月数据源'!$F:$F,"SMART LEARNING HOLDING")*G$185</f>
        <v/>
      </c>
      <c r="H80" s="89">
        <f>-SUMIFS('3月数据源'!$I:$I,'3月数据源'!$D:$D,$E80,'3月数据源'!$F:$F,"SMART LEARNING HOLDING")*H$185+SUMIFS('3月数据源'!$J:$J,'3月数据源'!$D:$D,$E80,'3月数据源'!$F:$F,"SMART LEARNING HOLDING")*H$185</f>
        <v/>
      </c>
      <c r="I80" s="89">
        <f>-SUMIFS('4月数据源'!$I:$I,'4月数据源'!$D:$D,$E80,'4月数据源'!$F:$F,"SMART LEARNING HOLDING")*I$185+SUMIFS('4月数据源'!$J:$J,'4月数据源'!$D:$D,$E80,'4月数据源'!$F:$F,"SMART LEARNING HOLDING")*I$185</f>
        <v/>
      </c>
      <c r="J80" s="89">
        <f>-SUMIFS('5月数据源'!$I:$I,'5月数据源'!$D:$D,$E80,'5月数据源'!$F:$F,"SMART LEARNING HOLDING")*J$185+SUMIFS('5月数据源'!$J:$J,'5月数据源'!$D:$D,$E80,'5月数据源'!$F:$F,"SMART LEARNING HOLDING")*J$185</f>
        <v/>
      </c>
      <c r="K80" s="89">
        <f>-SUMIFS('6月数据源'!$I:$I,'6月数据源'!$D:$D,$E80,'6月数据源'!$F:$F,"SMART LEARNING HOLDING")*K$185+SUMIFS('6月数据源'!$J:$J,'6月数据源'!$D:$D,$E80,'6月数据源'!$F:$F,"SMART LEARNING HOLDING")*K$185</f>
        <v/>
      </c>
      <c r="L80" s="89">
        <f>-SUMIFS('7月数据源'!$I:$I,'7月数据源'!$D:$D,$E80,'7月数据源'!$F:$F,"SMART LEARNING HOLDING")*L$185+SUMIFS('7月数据源'!$J:$J,'7月数据源'!$D:$D,$E80,'7月数据源'!$F:$F,"SMART LEARNING HOLDING")*L$185</f>
        <v/>
      </c>
      <c r="M80" s="89">
        <f>-SUMIFS('8月数据源'!$I:$I,'8月数据源'!$D:$D,$E80,'8月数据源'!$F:$F,"SMART LEARNING HOLDING")*M$185+SUMIFS('8月数据源'!$J:$J,'8月数据源'!$D:$D,$E80,'8月数据源'!$F:$F,"SMART LEARNING HOLDING")*M$185</f>
        <v/>
      </c>
      <c r="N80" s="89">
        <f>-SUMIFS('9月数据源'!$I:$I,'9月数据源'!$D:$D,$E80,'9月数据源'!$F:$F,"SMART LEARNING HOLDING")*N$185+SUMIFS('9月数据源'!$J:$J,'9月数据源'!$D:$D,$E80,'9月数据源'!$F:$F,"SMART LEARNING HOLDING")*N$185</f>
        <v/>
      </c>
      <c r="O80" s="89">
        <f>-SUMIFS('10月数据源'!$I:$I,'10月数据源'!$D:$D,$E80,'10月数据源'!$F:$F,"SMART LEARNING HOLDING")*O$185+SUMIFS('10月数据源'!$J:$J,'10月数据源'!$D:$D,$E80,'10月数据源'!$F:$F,"SMART LEARNING HOLDING")*O$185</f>
        <v/>
      </c>
      <c r="P80" s="89">
        <f>-SUMIFS('11月数据源'!$I:$I,'11月数据源'!$D:$D,$E80,'11月数据源'!$F:$F,"SMART LEARNING HOLDING")*P$185+SUMIFS('11月数据源'!$J:$J,'11月数据源'!$D:$D,$E80,'11月数据源'!$F:$F,"SMART LEARNING HOLDING")*P$185</f>
        <v/>
      </c>
      <c r="Q80" s="89">
        <f>-SUMIFS('12月数据源'!$I:$I,'12月数据源'!$D:$D,$E80,'12月数据源'!$F:$F,"SMART LEARNING HOLDING")*Q$185+SUMIFS('12月数据源'!$J:$J,'12月数据源'!$D:$D,$E80,'12月数据源'!$F:$F,"SMART LEARNING HOLDING")*Q$185</f>
        <v/>
      </c>
    </row>
    <row r="81" s="83">
      <c r="A81" s="5" t="inlineStr">
        <is>
          <t>研发支出</t>
        </is>
      </c>
      <c r="B81" s="6" t="inlineStr">
        <is>
          <t>产品开发-PRO</t>
        </is>
      </c>
      <c r="D81" s="5" t="inlineStr">
        <is>
          <t>OTA费用</t>
        </is>
      </c>
      <c r="E81" s="6" t="inlineStr">
        <is>
          <t>Q1304</t>
        </is>
      </c>
      <c r="F81" s="89">
        <f>-SUMIFS('1月数据源'!$I:$I,'1月数据源'!$D:$D,$E81,'1月数据源'!$F:$F,"SMART LEARNING HOLDING")*F$185+SUMIFS('1月数据源'!$J:$J,'1月数据源'!$D:$D,$E81,'1月数据源'!$F:$F,"SMART LEARNING HOLDING")*F$185</f>
        <v/>
      </c>
      <c r="G81" s="89">
        <f>-SUMIFS('2月数据源'!$I:$I,'2月数据源'!$D:$D,$E81,'2月数据源'!$F:$F,"SMART LEARNING HOLDING")*G$185+SUMIFS('2月数据源'!$J:$J,'2月数据源'!$D:$D,$E81,'2月数据源'!$F:$F,"SMART LEARNING HOLDING")*G$185</f>
        <v/>
      </c>
      <c r="H81" s="89">
        <f>-SUMIFS('3月数据源'!$I:$I,'3月数据源'!$D:$D,$E81,'3月数据源'!$F:$F,"SMART LEARNING HOLDING")*H$185+SUMIFS('3月数据源'!$J:$J,'3月数据源'!$D:$D,$E81,'3月数据源'!$F:$F,"SMART LEARNING HOLDING")*H$185</f>
        <v/>
      </c>
      <c r="I81" s="89">
        <f>-SUMIFS('4月数据源'!$I:$I,'4月数据源'!$D:$D,$E81,'4月数据源'!$F:$F,"SMART LEARNING HOLDING")*I$185+SUMIFS('4月数据源'!$J:$J,'4月数据源'!$D:$D,$E81,'4月数据源'!$F:$F,"SMART LEARNING HOLDING")*I$185</f>
        <v/>
      </c>
      <c r="J81" s="89">
        <f>-SUMIFS('5月数据源'!$I:$I,'5月数据源'!$D:$D,$E81,'5月数据源'!$F:$F,"SMART LEARNING HOLDING")*J$185+SUMIFS('5月数据源'!$J:$J,'5月数据源'!$D:$D,$E81,'5月数据源'!$F:$F,"SMART LEARNING HOLDING")*J$185</f>
        <v/>
      </c>
      <c r="K81" s="89">
        <f>-SUMIFS('6月数据源'!$I:$I,'6月数据源'!$D:$D,$E81,'6月数据源'!$F:$F,"SMART LEARNING HOLDING")*K$185+SUMIFS('6月数据源'!$J:$J,'6月数据源'!$D:$D,$E81,'6月数据源'!$F:$F,"SMART LEARNING HOLDING")*K$185</f>
        <v/>
      </c>
      <c r="L81" s="89">
        <f>-SUMIFS('7月数据源'!$I:$I,'7月数据源'!$D:$D,$E81,'7月数据源'!$F:$F,"SMART LEARNING HOLDING")*L$185+SUMIFS('7月数据源'!$J:$J,'7月数据源'!$D:$D,$E81,'7月数据源'!$F:$F,"SMART LEARNING HOLDING")*L$185</f>
        <v/>
      </c>
      <c r="M81" s="89">
        <f>-SUMIFS('8月数据源'!$I:$I,'8月数据源'!$D:$D,$E81,'8月数据源'!$F:$F,"SMART LEARNING HOLDING")*M$185+SUMIFS('8月数据源'!$J:$J,'8月数据源'!$D:$D,$E81,'8月数据源'!$F:$F,"SMART LEARNING HOLDING")*M$185</f>
        <v/>
      </c>
      <c r="N81" s="89">
        <f>-SUMIFS('9月数据源'!$I:$I,'9月数据源'!$D:$D,$E81,'9月数据源'!$F:$F,"SMART LEARNING HOLDING")*N$185+SUMIFS('9月数据源'!$J:$J,'9月数据源'!$D:$D,$E81,'9月数据源'!$F:$F,"SMART LEARNING HOLDING")*N$185</f>
        <v/>
      </c>
      <c r="O81" s="89">
        <f>-SUMIFS('10月数据源'!$I:$I,'10月数据源'!$D:$D,$E81,'10月数据源'!$F:$F,"SMART LEARNING HOLDING")*O$185+SUMIFS('10月数据源'!$J:$J,'10月数据源'!$D:$D,$E81,'10月数据源'!$F:$F,"SMART LEARNING HOLDING")*O$185</f>
        <v/>
      </c>
      <c r="P81" s="89">
        <f>-SUMIFS('11月数据源'!$I:$I,'11月数据源'!$D:$D,$E81,'11月数据源'!$F:$F,"SMART LEARNING HOLDING")*P$185+SUMIFS('11月数据源'!$J:$J,'11月数据源'!$D:$D,$E81,'11月数据源'!$F:$F,"SMART LEARNING HOLDING")*P$185</f>
        <v/>
      </c>
      <c r="Q81" s="89">
        <f>-SUMIFS('12月数据源'!$I:$I,'12月数据源'!$D:$D,$E81,'12月数据源'!$F:$F,"SMART LEARNING HOLDING")*Q$185+SUMIFS('12月数据源'!$J:$J,'12月数据源'!$D:$D,$E81,'12月数据源'!$F:$F,"SMART LEARNING HOLDING")*Q$185</f>
        <v/>
      </c>
    </row>
    <row r="82" s="83">
      <c r="A82" s="5" t="inlineStr">
        <is>
          <t>研发支出</t>
        </is>
      </c>
      <c r="B82" s="6" t="inlineStr">
        <is>
          <t>产品开发-PRO</t>
        </is>
      </c>
      <c r="D82" s="5" t="inlineStr">
        <is>
          <t>模具费用</t>
        </is>
      </c>
      <c r="E82" s="6" t="inlineStr">
        <is>
          <t>Q1305</t>
        </is>
      </c>
      <c r="F82" s="89">
        <f>-SUMIFS('1月数据源'!$I:$I,'1月数据源'!$D:$D,$E82,'1月数据源'!$F:$F,"SMART LEARNING HOLDING")*F$185+SUMIFS('1月数据源'!$J:$J,'1月数据源'!$D:$D,$E82,'1月数据源'!$F:$F,"SMART LEARNING HOLDING")*F$185</f>
        <v/>
      </c>
      <c r="G82" s="89">
        <f>-SUMIFS('2月数据源'!$I:$I,'2月数据源'!$D:$D,$E82,'2月数据源'!$F:$F,"SMART LEARNING HOLDING")*G$185+SUMIFS('2月数据源'!$J:$J,'2月数据源'!$D:$D,$E82,'2月数据源'!$F:$F,"SMART LEARNING HOLDING")*G$185</f>
        <v/>
      </c>
      <c r="H82" s="89">
        <f>-SUMIFS('3月数据源'!$I:$I,'3月数据源'!$D:$D,$E82,'3月数据源'!$F:$F,"SMART LEARNING HOLDING")*H$185+SUMIFS('3月数据源'!$J:$J,'3月数据源'!$D:$D,$E82,'3月数据源'!$F:$F,"SMART LEARNING HOLDING")*H$185</f>
        <v/>
      </c>
      <c r="I82" s="89">
        <f>-SUMIFS('4月数据源'!$I:$I,'4月数据源'!$D:$D,$E82,'4月数据源'!$F:$F,"SMART LEARNING HOLDING")*I$185+SUMIFS('4月数据源'!$J:$J,'4月数据源'!$D:$D,$E82,'4月数据源'!$F:$F,"SMART LEARNING HOLDING")*I$185</f>
        <v/>
      </c>
      <c r="J82" s="89">
        <f>-SUMIFS('5月数据源'!$I:$I,'5月数据源'!$D:$D,$E82,'5月数据源'!$F:$F,"SMART LEARNING HOLDING")*J$185+SUMIFS('5月数据源'!$J:$J,'5月数据源'!$D:$D,$E82,'5月数据源'!$F:$F,"SMART LEARNING HOLDING")*J$185</f>
        <v/>
      </c>
      <c r="K82" s="89">
        <f>-SUMIFS('6月数据源'!$I:$I,'6月数据源'!$D:$D,$E82,'6月数据源'!$F:$F,"SMART LEARNING HOLDING")*K$185+SUMIFS('6月数据源'!$J:$J,'6月数据源'!$D:$D,$E82,'6月数据源'!$F:$F,"SMART LEARNING HOLDING")*K$185</f>
        <v/>
      </c>
      <c r="L82" s="89">
        <f>-SUMIFS('7月数据源'!$I:$I,'7月数据源'!$D:$D,$E82,'7月数据源'!$F:$F,"SMART LEARNING HOLDING")*L$185+SUMIFS('7月数据源'!$J:$J,'7月数据源'!$D:$D,$E82,'7月数据源'!$F:$F,"SMART LEARNING HOLDING")*L$185</f>
        <v/>
      </c>
      <c r="M82" s="89">
        <f>-SUMIFS('8月数据源'!$I:$I,'8月数据源'!$D:$D,$E82,'8月数据源'!$F:$F,"SMART LEARNING HOLDING")*M$185+SUMIFS('8月数据源'!$J:$J,'8月数据源'!$D:$D,$E82,'8月数据源'!$F:$F,"SMART LEARNING HOLDING")*M$185</f>
        <v/>
      </c>
      <c r="N82" s="89">
        <f>-SUMIFS('9月数据源'!$I:$I,'9月数据源'!$D:$D,$E82,'9月数据源'!$F:$F,"SMART LEARNING HOLDING")*N$185+SUMIFS('9月数据源'!$J:$J,'9月数据源'!$D:$D,$E82,'9月数据源'!$F:$F,"SMART LEARNING HOLDING")*N$185</f>
        <v/>
      </c>
      <c r="O82" s="89">
        <f>-SUMIFS('10月数据源'!$I:$I,'10月数据源'!$D:$D,$E82,'10月数据源'!$F:$F,"SMART LEARNING HOLDING")*O$185+SUMIFS('10月数据源'!$J:$J,'10月数据源'!$D:$D,$E82,'10月数据源'!$F:$F,"SMART LEARNING HOLDING")*O$185</f>
        <v/>
      </c>
      <c r="P82" s="89">
        <f>-SUMIFS('11月数据源'!$I:$I,'11月数据源'!$D:$D,$E82,'11月数据源'!$F:$F,"SMART LEARNING HOLDING")*P$185+SUMIFS('11月数据源'!$J:$J,'11月数据源'!$D:$D,$E82,'11月数据源'!$F:$F,"SMART LEARNING HOLDING")*P$185</f>
        <v/>
      </c>
      <c r="Q82" s="89">
        <f>-SUMIFS('12月数据源'!$I:$I,'12月数据源'!$D:$D,$E82,'12月数据源'!$F:$F,"SMART LEARNING HOLDING")*Q$185+SUMIFS('12月数据源'!$J:$J,'12月数据源'!$D:$D,$E82,'12月数据源'!$F:$F,"SMART LEARNING HOLDING")*Q$185</f>
        <v/>
      </c>
    </row>
    <row r="83" s="83">
      <c r="A83" s="5" t="inlineStr">
        <is>
          <t>研发支出</t>
        </is>
      </c>
      <c r="B83" s="6" t="inlineStr">
        <is>
          <t>产品开发-PRO</t>
        </is>
      </c>
      <c r="D83" s="5" t="inlineStr">
        <is>
          <t>BOE研发费</t>
        </is>
      </c>
      <c r="E83" s="6" t="inlineStr">
        <is>
          <t>Q1306</t>
        </is>
      </c>
      <c r="F83" s="89">
        <f>-SUMIFS('1月数据源'!$I:$I,'1月数据源'!$D:$D,$E83,'1月数据源'!$F:$F,"SMART LEARNING HOLDING")*F$185+SUMIFS('1月数据源'!$J:$J,'1月数据源'!$D:$D,$E83,'1月数据源'!$F:$F,"SMART LEARNING HOLDING")*F$185</f>
        <v/>
      </c>
      <c r="G83" s="89">
        <f>-SUMIFS('2月数据源'!$I:$I,'2月数据源'!$D:$D,$E83,'2月数据源'!$F:$F,"SMART LEARNING HOLDING")*G$185+SUMIFS('2月数据源'!$J:$J,'2月数据源'!$D:$D,$E83,'2月数据源'!$F:$F,"SMART LEARNING HOLDING")*G$185</f>
        <v/>
      </c>
      <c r="H83" s="89">
        <f>-SUMIFS('3月数据源'!$I:$I,'3月数据源'!$D:$D,$E83,'3月数据源'!$F:$F,"SMART LEARNING HOLDING")*H$185+SUMIFS('3月数据源'!$J:$J,'3月数据源'!$D:$D,$E83,'3月数据源'!$F:$F,"SMART LEARNING HOLDING")*H$185</f>
        <v/>
      </c>
      <c r="I83" s="89">
        <f>-SUMIFS('4月数据源'!$I:$I,'4月数据源'!$D:$D,$E83,'4月数据源'!$F:$F,"SMART LEARNING HOLDING")*I$185+SUMIFS('4月数据源'!$J:$J,'4月数据源'!$D:$D,$E83,'4月数据源'!$F:$F,"SMART LEARNING HOLDING")*I$185</f>
        <v/>
      </c>
      <c r="J83" s="89">
        <f>-SUMIFS('5月数据源'!$I:$I,'5月数据源'!$D:$D,$E83,'5月数据源'!$F:$F,"SMART LEARNING HOLDING")*J$185+SUMIFS('5月数据源'!$J:$J,'5月数据源'!$D:$D,$E83,'5月数据源'!$F:$F,"SMART LEARNING HOLDING")*J$185</f>
        <v/>
      </c>
      <c r="K83" s="89">
        <f>-SUMIFS('6月数据源'!$I:$I,'6月数据源'!$D:$D,$E83,'6月数据源'!$F:$F,"SMART LEARNING HOLDING")*K$185+SUMIFS('6月数据源'!$J:$J,'6月数据源'!$D:$D,$E83,'6月数据源'!$F:$F,"SMART LEARNING HOLDING")*K$185</f>
        <v/>
      </c>
      <c r="L83" s="89">
        <f>-SUMIFS('7月数据源'!$I:$I,'7月数据源'!$D:$D,$E83,'7月数据源'!$F:$F,"SMART LEARNING HOLDING")*L$185+SUMIFS('7月数据源'!$J:$J,'7月数据源'!$D:$D,$E83,'7月数据源'!$F:$F,"SMART LEARNING HOLDING")*L$185</f>
        <v/>
      </c>
      <c r="M83" s="89">
        <f>-SUMIFS('8月数据源'!$I:$I,'8月数据源'!$D:$D,$E83,'8月数据源'!$F:$F,"SMART LEARNING HOLDING")*M$185+SUMIFS('8月数据源'!$J:$J,'8月数据源'!$D:$D,$E83,'8月数据源'!$F:$F,"SMART LEARNING HOLDING")*M$185</f>
        <v/>
      </c>
      <c r="N83" s="89">
        <f>-SUMIFS('9月数据源'!$I:$I,'9月数据源'!$D:$D,$E83,'9月数据源'!$F:$F,"SMART LEARNING HOLDING")*N$185+SUMIFS('9月数据源'!$J:$J,'9月数据源'!$D:$D,$E83,'9月数据源'!$F:$F,"SMART LEARNING HOLDING")*N$185</f>
        <v/>
      </c>
      <c r="O83" s="89">
        <f>-SUMIFS('10月数据源'!$I:$I,'10月数据源'!$D:$D,$E83,'10月数据源'!$F:$F,"SMART LEARNING HOLDING")*O$185+SUMIFS('10月数据源'!$J:$J,'10月数据源'!$D:$D,$E83,'10月数据源'!$F:$F,"SMART LEARNING HOLDING")*O$185</f>
        <v/>
      </c>
      <c r="P83" s="89">
        <f>-SUMIFS('11月数据源'!$I:$I,'11月数据源'!$D:$D,$E83,'11月数据源'!$F:$F,"SMART LEARNING HOLDING")*P$185+SUMIFS('11月数据源'!$J:$J,'11月数据源'!$D:$D,$E83,'11月数据源'!$F:$F,"SMART LEARNING HOLDING")*P$185</f>
        <v/>
      </c>
      <c r="Q83" s="89">
        <f>-SUMIFS('12月数据源'!$I:$I,'12月数据源'!$D:$D,$E83,'12月数据源'!$F:$F,"SMART LEARNING HOLDING")*Q$185+SUMIFS('12月数据源'!$J:$J,'12月数据源'!$D:$D,$E83,'12月数据源'!$F:$F,"SMART LEARNING HOLDING")*Q$185</f>
        <v/>
      </c>
    </row>
    <row r="84" s="83">
      <c r="A84" s="5" t="inlineStr">
        <is>
          <t>研发支出</t>
        </is>
      </c>
      <c r="B84" s="6" t="inlineStr">
        <is>
          <t>产品开发-PRO</t>
        </is>
      </c>
      <c r="D84" s="5" t="inlineStr">
        <is>
          <t>题库费</t>
        </is>
      </c>
      <c r="E84" s="6" t="inlineStr">
        <is>
          <t>Q1307</t>
        </is>
      </c>
      <c r="F84" s="89">
        <f>-SUMIFS('1月数据源'!$I:$I,'1月数据源'!$D:$D,$E84,'1月数据源'!$F:$F,"SMART LEARNING HOLDING")*F$185+SUMIFS('1月数据源'!$J:$J,'1月数据源'!$D:$D,$E84,'1月数据源'!$F:$F,"SMART LEARNING HOLDING")*F$185</f>
        <v/>
      </c>
      <c r="G84" s="89">
        <f>-SUMIFS('2月数据源'!$I:$I,'2月数据源'!$D:$D,$E84,'2月数据源'!$F:$F,"SMART LEARNING HOLDING")*G$185+SUMIFS('2月数据源'!$J:$J,'2月数据源'!$D:$D,$E84,'2月数据源'!$F:$F,"SMART LEARNING HOLDING")*G$185</f>
        <v/>
      </c>
      <c r="H84" s="89">
        <f>-SUMIFS('3月数据源'!$I:$I,'3月数据源'!$D:$D,$E84,'3月数据源'!$F:$F,"SMART LEARNING HOLDING")*H$185+SUMIFS('3月数据源'!$J:$J,'3月数据源'!$D:$D,$E84,'3月数据源'!$F:$F,"SMART LEARNING HOLDING")*H$185</f>
        <v/>
      </c>
      <c r="I84" s="89">
        <f>-SUMIFS('4月数据源'!$I:$I,'4月数据源'!$D:$D,$E84,'4月数据源'!$F:$F,"SMART LEARNING HOLDING")*I$185+SUMIFS('4月数据源'!$J:$J,'4月数据源'!$D:$D,$E84,'4月数据源'!$F:$F,"SMART LEARNING HOLDING")*I$185</f>
        <v/>
      </c>
      <c r="J84" s="89">
        <f>-SUMIFS('5月数据源'!$I:$I,'5月数据源'!$D:$D,$E84,'5月数据源'!$F:$F,"SMART LEARNING HOLDING")*J$185+SUMIFS('5月数据源'!$J:$J,'5月数据源'!$D:$D,$E84,'5月数据源'!$F:$F,"SMART LEARNING HOLDING")*J$185</f>
        <v/>
      </c>
      <c r="K84" s="89">
        <f>-SUMIFS('6月数据源'!$I:$I,'6月数据源'!$D:$D,$E84,'6月数据源'!$F:$F,"SMART LEARNING HOLDING")*K$185+SUMIFS('6月数据源'!$J:$J,'6月数据源'!$D:$D,$E84,'6月数据源'!$F:$F,"SMART LEARNING HOLDING")*K$185</f>
        <v/>
      </c>
      <c r="L84" s="89">
        <f>-SUMIFS('7月数据源'!$I:$I,'7月数据源'!$D:$D,$E84,'7月数据源'!$F:$F,"SMART LEARNING HOLDING")*L$185+SUMIFS('7月数据源'!$J:$J,'7月数据源'!$D:$D,$E84,'7月数据源'!$F:$F,"SMART LEARNING HOLDING")*L$185</f>
        <v/>
      </c>
      <c r="M84" s="89">
        <f>-SUMIFS('8月数据源'!$I:$I,'8月数据源'!$D:$D,$E84,'8月数据源'!$F:$F,"SMART LEARNING HOLDING")*M$185+SUMIFS('8月数据源'!$J:$J,'8月数据源'!$D:$D,$E84,'8月数据源'!$F:$F,"SMART LEARNING HOLDING")*M$185</f>
        <v/>
      </c>
      <c r="N84" s="89">
        <f>-SUMIFS('9月数据源'!$I:$I,'9月数据源'!$D:$D,$E84,'9月数据源'!$F:$F,"SMART LEARNING HOLDING")*N$185+SUMIFS('9月数据源'!$J:$J,'9月数据源'!$D:$D,$E84,'9月数据源'!$F:$F,"SMART LEARNING HOLDING")*N$185</f>
        <v/>
      </c>
      <c r="O84" s="89">
        <f>-SUMIFS('10月数据源'!$I:$I,'10月数据源'!$D:$D,$E84,'10月数据源'!$F:$F,"SMART LEARNING HOLDING")*O$185+SUMIFS('10月数据源'!$J:$J,'10月数据源'!$D:$D,$E84,'10月数据源'!$F:$F,"SMART LEARNING HOLDING")*O$185</f>
        <v/>
      </c>
      <c r="P84" s="89">
        <f>-SUMIFS('11月数据源'!$I:$I,'11月数据源'!$D:$D,$E84,'11月数据源'!$F:$F,"SMART LEARNING HOLDING")*P$185+SUMIFS('11月数据源'!$J:$J,'11月数据源'!$D:$D,$E84,'11月数据源'!$F:$F,"SMART LEARNING HOLDING")*P$185</f>
        <v/>
      </c>
      <c r="Q84" s="89">
        <f>-SUMIFS('12月数据源'!$I:$I,'12月数据源'!$D:$D,$E84,'12月数据源'!$F:$F,"SMART LEARNING HOLDING")*Q$185+SUMIFS('12月数据源'!$J:$J,'12月数据源'!$D:$D,$E84,'12月数据源'!$F:$F,"SMART LEARNING HOLDING")*Q$185</f>
        <v/>
      </c>
    </row>
    <row r="85" s="83">
      <c r="A85" s="5" t="inlineStr">
        <is>
          <t>研发支出</t>
        </is>
      </c>
      <c r="B85" s="6" t="inlineStr">
        <is>
          <t>其他产品开发</t>
        </is>
      </c>
      <c r="C85" s="6" t="inlineStr">
        <is>
          <t>其他产品开发</t>
        </is>
      </c>
      <c r="D85" s="5" t="inlineStr">
        <is>
          <t>产品开发-员工报销</t>
        </is>
      </c>
      <c r="E85" s="6" t="inlineStr">
        <is>
          <t>Q1402</t>
        </is>
      </c>
      <c r="F85" s="89">
        <f>-SUMIFS('1月数据源'!$I:$I,'1月数据源'!$D:$D,$E85,'1月数据源'!$F:$F,"SMART LEARNING HOLDING")*F$185+SUMIFS('1月数据源'!$J:$J,'1月数据源'!$D:$D,$E85,'1月数据源'!$F:$F,"SMART LEARNING HOLDING")*F$185</f>
        <v/>
      </c>
      <c r="G85" s="89">
        <f>-SUMIFS('2月数据源'!$I:$I,'2月数据源'!$D:$D,$E85,'2月数据源'!$F:$F,"SMART LEARNING HOLDING")*G$185+SUMIFS('2月数据源'!$J:$J,'2月数据源'!$D:$D,$E85,'2月数据源'!$F:$F,"SMART LEARNING HOLDING")*G$185</f>
        <v/>
      </c>
      <c r="H85" s="89">
        <f>-SUMIFS('3月数据源'!$I:$I,'3月数据源'!$D:$D,$E85,'3月数据源'!$F:$F,"SMART LEARNING HOLDING")*H$185+SUMIFS('3月数据源'!$J:$J,'3月数据源'!$D:$D,$E85,'3月数据源'!$F:$F,"SMART LEARNING HOLDING")*H$185</f>
        <v/>
      </c>
      <c r="I85" s="89">
        <f>-SUMIFS('4月数据源'!$I:$I,'4月数据源'!$D:$D,$E85,'4月数据源'!$F:$F,"SMART LEARNING HOLDING")*I$185+SUMIFS('4月数据源'!$J:$J,'4月数据源'!$D:$D,$E85,'4月数据源'!$F:$F,"SMART LEARNING HOLDING")*I$185</f>
        <v/>
      </c>
      <c r="J85" s="89">
        <f>-SUMIFS('5月数据源'!$I:$I,'5月数据源'!$D:$D,$E85,'5月数据源'!$F:$F,"SMART LEARNING HOLDING")*J$185+SUMIFS('5月数据源'!$J:$J,'5月数据源'!$D:$D,$E85,'5月数据源'!$F:$F,"SMART LEARNING HOLDING")*J$185</f>
        <v/>
      </c>
      <c r="K85" s="89">
        <f>-SUMIFS('6月数据源'!$I:$I,'6月数据源'!$D:$D,$E85,'6月数据源'!$F:$F,"SMART LEARNING HOLDING")*K$185+SUMIFS('6月数据源'!$J:$J,'6月数据源'!$D:$D,$E85,'6月数据源'!$F:$F,"SMART LEARNING HOLDING")*K$185</f>
        <v/>
      </c>
      <c r="L85" s="89">
        <f>-SUMIFS('7月数据源'!$I:$I,'7月数据源'!$D:$D,$E85,'7月数据源'!$F:$F,"SMART LEARNING HOLDING")*L$185+SUMIFS('7月数据源'!$J:$J,'7月数据源'!$D:$D,$E85,'7月数据源'!$F:$F,"SMART LEARNING HOLDING")*L$185</f>
        <v/>
      </c>
      <c r="M85" s="89">
        <f>-SUMIFS('8月数据源'!$I:$I,'8月数据源'!$D:$D,$E85,'8月数据源'!$F:$F,"SMART LEARNING HOLDING")*M$185+SUMIFS('8月数据源'!$J:$J,'8月数据源'!$D:$D,$E85,'8月数据源'!$F:$F,"SMART LEARNING HOLDING")*M$185</f>
        <v/>
      </c>
      <c r="N85" s="89">
        <f>-SUMIFS('9月数据源'!$I:$I,'9月数据源'!$D:$D,$E85,'9月数据源'!$F:$F,"SMART LEARNING HOLDING")*N$185+SUMIFS('9月数据源'!$J:$J,'9月数据源'!$D:$D,$E85,'9月数据源'!$F:$F,"SMART LEARNING HOLDING")*N$185</f>
        <v/>
      </c>
      <c r="O85" s="89">
        <f>-SUMIFS('10月数据源'!$I:$I,'10月数据源'!$D:$D,$E85,'10月数据源'!$F:$F,"SMART LEARNING HOLDING")*O$185+SUMIFS('10月数据源'!$J:$J,'10月数据源'!$D:$D,$E85,'10月数据源'!$F:$F,"SMART LEARNING HOLDING")*O$185</f>
        <v/>
      </c>
      <c r="P85" s="89">
        <f>-SUMIFS('11月数据源'!$I:$I,'11月数据源'!$D:$D,$E85,'11月数据源'!$F:$F,"SMART LEARNING HOLDING")*P$185+SUMIFS('11月数据源'!$J:$J,'11月数据源'!$D:$D,$E85,'11月数据源'!$F:$F,"SMART LEARNING HOLDING")*P$185</f>
        <v/>
      </c>
      <c r="Q85" s="89">
        <f>-SUMIFS('12月数据源'!$I:$I,'12月数据源'!$D:$D,$E85,'12月数据源'!$F:$F,"SMART LEARNING HOLDING")*Q$185+SUMIFS('12月数据源'!$J:$J,'12月数据源'!$D:$D,$E85,'12月数据源'!$F:$F,"SMART LEARNING HOLDING")*Q$185</f>
        <v/>
      </c>
    </row>
    <row r="86" s="83">
      <c r="A86" s="5" t="inlineStr">
        <is>
          <t>研发支出</t>
        </is>
      </c>
      <c r="B86" s="6" t="inlineStr">
        <is>
          <t>其他产品开发</t>
        </is>
      </c>
      <c r="D86" s="5" t="inlineStr">
        <is>
          <t>软件使用费</t>
        </is>
      </c>
      <c r="E86" s="6" t="inlineStr">
        <is>
          <t>Q1401</t>
        </is>
      </c>
      <c r="F86" s="89">
        <f>-SUMIFS('1月数据源'!$I:$I,'1月数据源'!$D:$D,$E86,'1月数据源'!$F:$F,"SMART LEARNING HOLDING")*F$185+SUMIFS('1月数据源'!$J:$J,'1月数据源'!$D:$D,$E86,'1月数据源'!$F:$F,"SMART LEARNING HOLDING")*F$185</f>
        <v/>
      </c>
      <c r="G86" s="89">
        <f>-SUMIFS('2月数据源'!$I:$I,'2月数据源'!$D:$D,$E86,'2月数据源'!$F:$F,"SMART LEARNING HOLDING")*G$185+SUMIFS('2月数据源'!$J:$J,'2月数据源'!$D:$D,$E86,'2月数据源'!$F:$F,"SMART LEARNING HOLDING")*G$185</f>
        <v/>
      </c>
      <c r="H86" s="89">
        <f>-SUMIFS('3月数据源'!$I:$I,'3月数据源'!$D:$D,$E86,'3月数据源'!$F:$F,"SMART LEARNING HOLDING")*H$185+SUMIFS('3月数据源'!$J:$J,'3月数据源'!$D:$D,$E86,'3月数据源'!$F:$F,"SMART LEARNING HOLDING")*H$185</f>
        <v/>
      </c>
      <c r="I86" s="89">
        <f>-SUMIFS('4月数据源'!$I:$I,'4月数据源'!$D:$D,$E86,'4月数据源'!$F:$F,"SMART LEARNING HOLDING")*I$185+SUMIFS('4月数据源'!$J:$J,'4月数据源'!$D:$D,$E86,'4月数据源'!$F:$F,"SMART LEARNING HOLDING")*I$185</f>
        <v/>
      </c>
      <c r="J86" s="89">
        <f>-SUMIFS('5月数据源'!$I:$I,'5月数据源'!$D:$D,$E86,'5月数据源'!$F:$F,"SMART LEARNING HOLDING")*J$185+SUMIFS('5月数据源'!$J:$J,'5月数据源'!$D:$D,$E86,'5月数据源'!$F:$F,"SMART LEARNING HOLDING")*J$185</f>
        <v/>
      </c>
      <c r="K86" s="89">
        <f>-SUMIFS('6月数据源'!$I:$I,'6月数据源'!$D:$D,$E86,'6月数据源'!$F:$F,"SMART LEARNING HOLDING")*K$185+SUMIFS('6月数据源'!$J:$J,'6月数据源'!$D:$D,$E86,'6月数据源'!$F:$F,"SMART LEARNING HOLDING")*K$185</f>
        <v/>
      </c>
      <c r="L86" s="89">
        <f>-SUMIFS('7月数据源'!$I:$I,'7月数据源'!$D:$D,$E86,'7月数据源'!$F:$F,"SMART LEARNING HOLDING")*L$185+SUMIFS('7月数据源'!$J:$J,'7月数据源'!$D:$D,$E86,'7月数据源'!$F:$F,"SMART LEARNING HOLDING")*L$185</f>
        <v/>
      </c>
      <c r="M86" s="89">
        <f>-SUMIFS('8月数据源'!$I:$I,'8月数据源'!$D:$D,$E86,'8月数据源'!$F:$F,"SMART LEARNING HOLDING")*M$185+SUMIFS('8月数据源'!$J:$J,'8月数据源'!$D:$D,$E86,'8月数据源'!$F:$F,"SMART LEARNING HOLDING")*M$185</f>
        <v/>
      </c>
      <c r="N86" s="89">
        <f>-SUMIFS('9月数据源'!$I:$I,'9月数据源'!$D:$D,$E86,'9月数据源'!$F:$F,"SMART LEARNING HOLDING")*N$185+SUMIFS('9月数据源'!$J:$J,'9月数据源'!$D:$D,$E86,'9月数据源'!$F:$F,"SMART LEARNING HOLDING")*N$185</f>
        <v/>
      </c>
      <c r="O86" s="89">
        <f>-SUMIFS('10月数据源'!$I:$I,'10月数据源'!$D:$D,$E86,'10月数据源'!$F:$F,"SMART LEARNING HOLDING")*O$185+SUMIFS('10月数据源'!$J:$J,'10月数据源'!$D:$D,$E86,'10月数据源'!$F:$F,"SMART LEARNING HOLDING")*O$185</f>
        <v/>
      </c>
      <c r="P86" s="89">
        <f>-SUMIFS('11月数据源'!$I:$I,'11月数据源'!$D:$D,$E86,'11月数据源'!$F:$F,"SMART LEARNING HOLDING")*P$185+SUMIFS('11月数据源'!$J:$J,'11月数据源'!$D:$D,$E86,'11月数据源'!$F:$F,"SMART LEARNING HOLDING")*P$185</f>
        <v/>
      </c>
      <c r="Q86" s="89">
        <f>-SUMIFS('12月数据源'!$I:$I,'12月数据源'!$D:$D,$E86,'12月数据源'!$F:$F,"SMART LEARNING HOLDING")*Q$185+SUMIFS('12月数据源'!$J:$J,'12月数据源'!$D:$D,$E86,'12月数据源'!$F:$F,"SMART LEARNING HOLDING")*Q$185</f>
        <v/>
      </c>
    </row>
    <row r="87" s="83">
      <c r="A87" s="5" t="inlineStr">
        <is>
          <t>研发支出</t>
        </is>
      </c>
      <c r="B87" s="6" t="inlineStr">
        <is>
          <t>服务器算法充值</t>
        </is>
      </c>
      <c r="C87" s="6" t="inlineStr">
        <is>
          <t>服务器算法充值</t>
        </is>
      </c>
      <c r="D87" s="5" t="inlineStr">
        <is>
          <t>阿里云充值费用</t>
        </is>
      </c>
      <c r="E87" s="6" t="inlineStr">
        <is>
          <t>Q1501</t>
        </is>
      </c>
      <c r="F87" s="89">
        <f>-SUMIFS('1月数据源'!$I:$I,'1月数据源'!$D:$D,$E87,'1月数据源'!$F:$F,"SMART LEARNING HOLDING")*F$185+SUMIFS('1月数据源'!$J:$J,'1月数据源'!$D:$D,$E87,'1月数据源'!$F:$F,"SMART LEARNING HOLDING")*F$185</f>
        <v/>
      </c>
      <c r="G87" s="89">
        <f>-SUMIFS('2月数据源'!$I:$I,'2月数据源'!$D:$D,$E87,'2月数据源'!$F:$F,"SMART LEARNING HOLDING")*G$185+SUMIFS('2月数据源'!$J:$J,'2月数据源'!$D:$D,$E87,'2月数据源'!$F:$F,"SMART LEARNING HOLDING")*G$185</f>
        <v/>
      </c>
      <c r="H87" s="89">
        <f>-SUMIFS('3月数据源'!$I:$I,'3月数据源'!$D:$D,$E87,'3月数据源'!$F:$F,"SMART LEARNING HOLDING")*H$185+SUMIFS('3月数据源'!$J:$J,'3月数据源'!$D:$D,$E87,'3月数据源'!$F:$F,"SMART LEARNING HOLDING")*H$185</f>
        <v/>
      </c>
      <c r="I87" s="89">
        <f>-SUMIFS('4月数据源'!$I:$I,'4月数据源'!$D:$D,$E87,'4月数据源'!$F:$F,"SMART LEARNING HOLDING")*I$185+SUMIFS('4月数据源'!$J:$J,'4月数据源'!$D:$D,$E87,'4月数据源'!$F:$F,"SMART LEARNING HOLDING")*I$185</f>
        <v/>
      </c>
      <c r="J87" s="89">
        <f>-SUMIFS('5月数据源'!$I:$I,'5月数据源'!$D:$D,$E87,'5月数据源'!$F:$F,"SMART LEARNING HOLDING")*J$185+SUMIFS('5月数据源'!$J:$J,'5月数据源'!$D:$D,$E87,'5月数据源'!$F:$F,"SMART LEARNING HOLDING")*J$185</f>
        <v/>
      </c>
      <c r="K87" s="89">
        <f>-SUMIFS('6月数据源'!$I:$I,'6月数据源'!$D:$D,$E87,'6月数据源'!$F:$F,"SMART LEARNING HOLDING")*K$185+SUMIFS('6月数据源'!$J:$J,'6月数据源'!$D:$D,$E87,'6月数据源'!$F:$F,"SMART LEARNING HOLDING")*K$185</f>
        <v/>
      </c>
      <c r="L87" s="89">
        <f>-SUMIFS('7月数据源'!$I:$I,'7月数据源'!$D:$D,$E87,'7月数据源'!$F:$F,"SMART LEARNING HOLDING")*L$185+SUMIFS('7月数据源'!$J:$J,'7月数据源'!$D:$D,$E87,'7月数据源'!$F:$F,"SMART LEARNING HOLDING")*L$185</f>
        <v/>
      </c>
      <c r="M87" s="89">
        <f>-SUMIFS('8月数据源'!$I:$I,'8月数据源'!$D:$D,$E87,'8月数据源'!$F:$F,"SMART LEARNING HOLDING")*M$185+SUMIFS('8月数据源'!$J:$J,'8月数据源'!$D:$D,$E87,'8月数据源'!$F:$F,"SMART LEARNING HOLDING")*M$185</f>
        <v/>
      </c>
      <c r="N87" s="89">
        <f>-SUMIFS('9月数据源'!$I:$I,'9月数据源'!$D:$D,$E87,'9月数据源'!$F:$F,"SMART LEARNING HOLDING")*N$185+SUMIFS('9月数据源'!$J:$J,'9月数据源'!$D:$D,$E87,'9月数据源'!$F:$F,"SMART LEARNING HOLDING")*N$185</f>
        <v/>
      </c>
      <c r="O87" s="89">
        <f>-SUMIFS('10月数据源'!$I:$I,'10月数据源'!$D:$D,$E87,'10月数据源'!$F:$F,"SMART LEARNING HOLDING")*O$185+SUMIFS('10月数据源'!$J:$J,'10月数据源'!$D:$D,$E87,'10月数据源'!$F:$F,"SMART LEARNING HOLDING")*O$185</f>
        <v/>
      </c>
      <c r="P87" s="89">
        <f>-SUMIFS('11月数据源'!$I:$I,'11月数据源'!$D:$D,$E87,'11月数据源'!$F:$F,"SMART LEARNING HOLDING")*P$185+SUMIFS('11月数据源'!$J:$J,'11月数据源'!$D:$D,$E87,'11月数据源'!$F:$F,"SMART LEARNING HOLDING")*P$185</f>
        <v/>
      </c>
      <c r="Q87" s="89">
        <f>-SUMIFS('12月数据源'!$I:$I,'12月数据源'!$D:$D,$E87,'12月数据源'!$F:$F,"SMART LEARNING HOLDING")*Q$185+SUMIFS('12月数据源'!$J:$J,'12月数据源'!$D:$D,$E87,'12月数据源'!$F:$F,"SMART LEARNING HOLDING")*Q$185</f>
        <v/>
      </c>
    </row>
    <row r="88" s="83">
      <c r="A88" s="5" t="inlineStr">
        <is>
          <t>研发支出</t>
        </is>
      </c>
      <c r="B88" s="6" t="inlineStr">
        <is>
          <t>服务器算法充值</t>
        </is>
      </c>
      <c r="D88" s="5" t="inlineStr">
        <is>
          <t>微软充值费用</t>
        </is>
      </c>
      <c r="E88" s="6" t="inlineStr">
        <is>
          <t>Q1502</t>
        </is>
      </c>
      <c r="F88" s="89">
        <f>-SUMIFS('1月数据源'!$I:$I,'1月数据源'!$D:$D,$E88,'1月数据源'!$F:$F,"SMART LEARNING HOLDING")*F$185+SUMIFS('1月数据源'!$J:$J,'1月数据源'!$D:$D,$E88,'1月数据源'!$F:$F,"SMART LEARNING HOLDING")*F$185</f>
        <v/>
      </c>
      <c r="G88" s="89">
        <f>-SUMIFS('2月数据源'!$I:$I,'2月数据源'!$D:$D,$E88,'2月数据源'!$F:$F,"SMART LEARNING HOLDING")*G$185+SUMIFS('2月数据源'!$J:$J,'2月数据源'!$D:$D,$E88,'2月数据源'!$F:$F,"SMART LEARNING HOLDING")*G$185</f>
        <v/>
      </c>
      <c r="H88" s="89">
        <f>-SUMIFS('3月数据源'!$I:$I,'3月数据源'!$D:$D,$E88,'3月数据源'!$F:$F,"SMART LEARNING HOLDING")*H$185+SUMIFS('3月数据源'!$J:$J,'3月数据源'!$D:$D,$E88,'3月数据源'!$F:$F,"SMART LEARNING HOLDING")*H$185</f>
        <v/>
      </c>
      <c r="I88" s="89">
        <f>-SUMIFS('4月数据源'!$I:$I,'4月数据源'!$D:$D,$E88,'4月数据源'!$F:$F,"SMART LEARNING HOLDING")*I$185+SUMIFS('4月数据源'!$J:$J,'4月数据源'!$D:$D,$E88,'4月数据源'!$F:$F,"SMART LEARNING HOLDING")*I$185</f>
        <v/>
      </c>
      <c r="J88" s="89">
        <f>-SUMIFS('5月数据源'!$I:$I,'5月数据源'!$D:$D,$E88,'5月数据源'!$F:$F,"SMART LEARNING HOLDING")*J$185+SUMIFS('5月数据源'!$J:$J,'5月数据源'!$D:$D,$E88,'5月数据源'!$F:$F,"SMART LEARNING HOLDING")*J$185</f>
        <v/>
      </c>
      <c r="K88" s="89">
        <f>-SUMIFS('6月数据源'!$I:$I,'6月数据源'!$D:$D,$E88,'6月数据源'!$F:$F,"SMART LEARNING HOLDING")*K$185+SUMIFS('6月数据源'!$J:$J,'6月数据源'!$D:$D,$E88,'6月数据源'!$F:$F,"SMART LEARNING HOLDING")*K$185</f>
        <v/>
      </c>
      <c r="L88" s="89">
        <f>-SUMIFS('7月数据源'!$I:$I,'7月数据源'!$D:$D,$E88,'7月数据源'!$F:$F,"SMART LEARNING HOLDING")*L$185+SUMIFS('7月数据源'!$J:$J,'7月数据源'!$D:$D,$E88,'7月数据源'!$F:$F,"SMART LEARNING HOLDING")*L$185</f>
        <v/>
      </c>
      <c r="M88" s="89">
        <f>-SUMIFS('8月数据源'!$I:$I,'8月数据源'!$D:$D,$E88,'8月数据源'!$F:$F,"SMART LEARNING HOLDING")*M$185+SUMIFS('8月数据源'!$J:$J,'8月数据源'!$D:$D,$E88,'8月数据源'!$F:$F,"SMART LEARNING HOLDING")*M$185</f>
        <v/>
      </c>
      <c r="N88" s="89">
        <f>-SUMIFS('9月数据源'!$I:$I,'9月数据源'!$D:$D,$E88,'9月数据源'!$F:$F,"SMART LEARNING HOLDING")*N$185+SUMIFS('9月数据源'!$J:$J,'9月数据源'!$D:$D,$E88,'9月数据源'!$F:$F,"SMART LEARNING HOLDING")*N$185</f>
        <v/>
      </c>
      <c r="O88" s="89">
        <f>-SUMIFS('10月数据源'!$I:$I,'10月数据源'!$D:$D,$E88,'10月数据源'!$F:$F,"SMART LEARNING HOLDING")*O$185+SUMIFS('10月数据源'!$J:$J,'10月数据源'!$D:$D,$E88,'10月数据源'!$F:$F,"SMART LEARNING HOLDING")*O$185</f>
        <v/>
      </c>
      <c r="P88" s="89">
        <f>-SUMIFS('11月数据源'!$I:$I,'11月数据源'!$D:$D,$E88,'11月数据源'!$F:$F,"SMART LEARNING HOLDING")*P$185+SUMIFS('11月数据源'!$J:$J,'11月数据源'!$D:$D,$E88,'11月数据源'!$F:$F,"SMART LEARNING HOLDING")*P$185</f>
        <v/>
      </c>
      <c r="Q88" s="89">
        <f>-SUMIFS('12月数据源'!$I:$I,'12月数据源'!$D:$D,$E88,'12月数据源'!$F:$F,"SMART LEARNING HOLDING")*Q$185+SUMIFS('12月数据源'!$J:$J,'12月数据源'!$D:$D,$E88,'12月数据源'!$F:$F,"SMART LEARNING HOLDING")*Q$185</f>
        <v/>
      </c>
    </row>
    <row r="89" s="83">
      <c r="A89" s="5" t="inlineStr">
        <is>
          <t>研发支出</t>
        </is>
      </c>
      <c r="B89" s="6" t="inlineStr">
        <is>
          <t>服务器算法充值</t>
        </is>
      </c>
      <c r="D89" s="5" t="inlineStr">
        <is>
          <t>kimi充值费用</t>
        </is>
      </c>
      <c r="E89" s="6" t="inlineStr">
        <is>
          <t>Q1503</t>
        </is>
      </c>
      <c r="F89" s="89">
        <f>-SUMIFS('1月数据源'!$I:$I,'1月数据源'!$D:$D,$E89,'1月数据源'!$F:$F,"SMART LEARNING HOLDING")*F$185+SUMIFS('1月数据源'!$J:$J,'1月数据源'!$D:$D,$E89,'1月数据源'!$F:$F,"SMART LEARNING HOLDING")*F$185</f>
        <v/>
      </c>
      <c r="G89" s="89">
        <f>-SUMIFS('2月数据源'!$I:$I,'2月数据源'!$D:$D,$E89,'2月数据源'!$F:$F,"SMART LEARNING HOLDING")*G$185+SUMIFS('2月数据源'!$J:$J,'2月数据源'!$D:$D,$E89,'2月数据源'!$F:$F,"SMART LEARNING HOLDING")*G$185</f>
        <v/>
      </c>
      <c r="H89" s="89">
        <f>-SUMIFS('3月数据源'!$I:$I,'3月数据源'!$D:$D,$E89,'3月数据源'!$F:$F,"SMART LEARNING HOLDING")*H$185+SUMIFS('3月数据源'!$J:$J,'3月数据源'!$D:$D,$E89,'3月数据源'!$F:$F,"SMART LEARNING HOLDING")*H$185</f>
        <v/>
      </c>
      <c r="I89" s="89">
        <f>-SUMIFS('4月数据源'!$I:$I,'4月数据源'!$D:$D,$E89,'4月数据源'!$F:$F,"SMART LEARNING HOLDING")*I$185+SUMIFS('4月数据源'!$J:$J,'4月数据源'!$D:$D,$E89,'4月数据源'!$F:$F,"SMART LEARNING HOLDING")*I$185</f>
        <v/>
      </c>
      <c r="J89" s="89">
        <f>-SUMIFS('5月数据源'!$I:$I,'5月数据源'!$D:$D,$E89,'5月数据源'!$F:$F,"SMART LEARNING HOLDING")*J$185+SUMIFS('5月数据源'!$J:$J,'5月数据源'!$D:$D,$E89,'5月数据源'!$F:$F,"SMART LEARNING HOLDING")*J$185</f>
        <v/>
      </c>
      <c r="K89" s="89">
        <f>-SUMIFS('6月数据源'!$I:$I,'6月数据源'!$D:$D,$E89,'6月数据源'!$F:$F,"SMART LEARNING HOLDING")*K$185+SUMIFS('6月数据源'!$J:$J,'6月数据源'!$D:$D,$E89,'6月数据源'!$F:$F,"SMART LEARNING HOLDING")*K$185</f>
        <v/>
      </c>
      <c r="L89" s="89">
        <f>-SUMIFS('7月数据源'!$I:$I,'7月数据源'!$D:$D,$E89,'7月数据源'!$F:$F,"SMART LEARNING HOLDING")*L$185+SUMIFS('7月数据源'!$J:$J,'7月数据源'!$D:$D,$E89,'7月数据源'!$F:$F,"SMART LEARNING HOLDING")*L$185</f>
        <v/>
      </c>
      <c r="M89" s="89">
        <f>-SUMIFS('8月数据源'!$I:$I,'8月数据源'!$D:$D,$E89,'8月数据源'!$F:$F,"SMART LEARNING HOLDING")*M$185+SUMIFS('8月数据源'!$J:$J,'8月数据源'!$D:$D,$E89,'8月数据源'!$F:$F,"SMART LEARNING HOLDING")*M$185</f>
        <v/>
      </c>
      <c r="N89" s="89">
        <f>-SUMIFS('9月数据源'!$I:$I,'9月数据源'!$D:$D,$E89,'9月数据源'!$F:$F,"SMART LEARNING HOLDING")*N$185+SUMIFS('9月数据源'!$J:$J,'9月数据源'!$D:$D,$E89,'9月数据源'!$F:$F,"SMART LEARNING HOLDING")*N$185</f>
        <v/>
      </c>
      <c r="O89" s="89">
        <f>-SUMIFS('10月数据源'!$I:$I,'10月数据源'!$D:$D,$E89,'10月数据源'!$F:$F,"SMART LEARNING HOLDING")*O$185+SUMIFS('10月数据源'!$J:$J,'10月数据源'!$D:$D,$E89,'10月数据源'!$F:$F,"SMART LEARNING HOLDING")*O$185</f>
        <v/>
      </c>
      <c r="P89" s="89">
        <f>-SUMIFS('11月数据源'!$I:$I,'11月数据源'!$D:$D,$E89,'11月数据源'!$F:$F,"SMART LEARNING HOLDING")*P$185+SUMIFS('11月数据源'!$J:$J,'11月数据源'!$D:$D,$E89,'11月数据源'!$F:$F,"SMART LEARNING HOLDING")*P$185</f>
        <v/>
      </c>
      <c r="Q89" s="89">
        <f>-SUMIFS('12月数据源'!$I:$I,'12月数据源'!$D:$D,$E89,'12月数据源'!$F:$F,"SMART LEARNING HOLDING")*Q$185+SUMIFS('12月数据源'!$J:$J,'12月数据源'!$D:$D,$E89,'12月数据源'!$F:$F,"SMART LEARNING HOLDING")*Q$185</f>
        <v/>
      </c>
    </row>
    <row r="90" s="83">
      <c r="A90" s="5" t="inlineStr">
        <is>
          <t>研发支出</t>
        </is>
      </c>
      <c r="B90" s="6" t="inlineStr">
        <is>
          <t>服务器算法充值</t>
        </is>
      </c>
      <c r="D90" s="5" t="inlineStr">
        <is>
          <t>智普AI充值费用</t>
        </is>
      </c>
      <c r="E90" s="6" t="inlineStr">
        <is>
          <t>Q1504</t>
        </is>
      </c>
      <c r="F90" s="89">
        <f>-SUMIFS('1月数据源'!$I:$I,'1月数据源'!$D:$D,$E90,'1月数据源'!$F:$F,"SMART LEARNING HOLDING")*F$185+SUMIFS('1月数据源'!$J:$J,'1月数据源'!$D:$D,$E90,'1月数据源'!$F:$F,"SMART LEARNING HOLDING")*F$185</f>
        <v/>
      </c>
      <c r="G90" s="89">
        <f>-SUMIFS('2月数据源'!$I:$I,'2月数据源'!$D:$D,$E90,'2月数据源'!$F:$F,"SMART LEARNING HOLDING")*G$185+SUMIFS('2月数据源'!$J:$J,'2月数据源'!$D:$D,$E90,'2月数据源'!$F:$F,"SMART LEARNING HOLDING")*G$185</f>
        <v/>
      </c>
      <c r="H90" s="89">
        <f>-SUMIFS('3月数据源'!$I:$I,'3月数据源'!$D:$D,$E90,'3月数据源'!$F:$F,"SMART LEARNING HOLDING")*H$185+SUMIFS('3月数据源'!$J:$J,'3月数据源'!$D:$D,$E90,'3月数据源'!$F:$F,"SMART LEARNING HOLDING")*H$185</f>
        <v/>
      </c>
      <c r="I90" s="89">
        <f>-SUMIFS('4月数据源'!$I:$I,'4月数据源'!$D:$D,$E90,'4月数据源'!$F:$F,"SMART LEARNING HOLDING")*I$185+SUMIFS('4月数据源'!$J:$J,'4月数据源'!$D:$D,$E90,'4月数据源'!$F:$F,"SMART LEARNING HOLDING")*I$185</f>
        <v/>
      </c>
      <c r="J90" s="89">
        <f>-SUMIFS('5月数据源'!$I:$I,'5月数据源'!$D:$D,$E90,'5月数据源'!$F:$F,"SMART LEARNING HOLDING")*J$185+SUMIFS('5月数据源'!$J:$J,'5月数据源'!$D:$D,$E90,'5月数据源'!$F:$F,"SMART LEARNING HOLDING")*J$185</f>
        <v/>
      </c>
      <c r="K90" s="89">
        <f>-SUMIFS('6月数据源'!$I:$I,'6月数据源'!$D:$D,$E90,'6月数据源'!$F:$F,"SMART LEARNING HOLDING")*K$185+SUMIFS('6月数据源'!$J:$J,'6月数据源'!$D:$D,$E90,'6月数据源'!$F:$F,"SMART LEARNING HOLDING")*K$185</f>
        <v/>
      </c>
      <c r="L90" s="89">
        <f>-SUMIFS('7月数据源'!$I:$I,'7月数据源'!$D:$D,$E90,'7月数据源'!$F:$F,"SMART LEARNING HOLDING")*L$185+SUMIFS('7月数据源'!$J:$J,'7月数据源'!$D:$D,$E90,'7月数据源'!$F:$F,"SMART LEARNING HOLDING")*L$185</f>
        <v/>
      </c>
      <c r="M90" s="89">
        <f>-SUMIFS('8月数据源'!$I:$I,'8月数据源'!$D:$D,$E90,'8月数据源'!$F:$F,"SMART LEARNING HOLDING")*M$185+SUMIFS('8月数据源'!$J:$J,'8月数据源'!$D:$D,$E90,'8月数据源'!$F:$F,"SMART LEARNING HOLDING")*M$185</f>
        <v/>
      </c>
      <c r="N90" s="89">
        <f>-SUMIFS('9月数据源'!$I:$I,'9月数据源'!$D:$D,$E90,'9月数据源'!$F:$F,"SMART LEARNING HOLDING")*N$185+SUMIFS('9月数据源'!$J:$J,'9月数据源'!$D:$D,$E90,'9月数据源'!$F:$F,"SMART LEARNING HOLDING")*N$185</f>
        <v/>
      </c>
      <c r="O90" s="89">
        <f>-SUMIFS('10月数据源'!$I:$I,'10月数据源'!$D:$D,$E90,'10月数据源'!$F:$F,"SMART LEARNING HOLDING")*O$185+SUMIFS('10月数据源'!$J:$J,'10月数据源'!$D:$D,$E90,'10月数据源'!$F:$F,"SMART LEARNING HOLDING")*O$185</f>
        <v/>
      </c>
      <c r="P90" s="89">
        <f>-SUMIFS('11月数据源'!$I:$I,'11月数据源'!$D:$D,$E90,'11月数据源'!$F:$F,"SMART LEARNING HOLDING")*P$185+SUMIFS('11月数据源'!$J:$J,'11月数据源'!$D:$D,$E90,'11月数据源'!$F:$F,"SMART LEARNING HOLDING")*P$185</f>
        <v/>
      </c>
      <c r="Q90" s="89">
        <f>-SUMIFS('12月数据源'!$I:$I,'12月数据源'!$D:$D,$E90,'12月数据源'!$F:$F,"SMART LEARNING HOLDING")*Q$185+SUMIFS('12月数据源'!$J:$J,'12月数据源'!$D:$D,$E90,'12月数据源'!$F:$F,"SMART LEARNING HOLDING")*Q$185</f>
        <v/>
      </c>
    </row>
    <row r="91" s="83">
      <c r="A91" s="5" t="inlineStr">
        <is>
          <t>研发支出</t>
        </is>
      </c>
      <c r="B91" s="6" t="inlineStr">
        <is>
          <t>服务器算法充值</t>
        </is>
      </c>
      <c r="D91" s="5" t="inlineStr">
        <is>
          <t>硅基流动充值费用</t>
        </is>
      </c>
      <c r="E91" s="6" t="inlineStr">
        <is>
          <t>Q1506</t>
        </is>
      </c>
      <c r="F91" s="89">
        <f>-SUMIFS('1月数据源'!$I:$I,'1月数据源'!$D:$D,$E91,'1月数据源'!$F:$F,"SMART LEARNING HOLDING")*F$185+SUMIFS('1月数据源'!$J:$J,'1月数据源'!$D:$D,$E91,'1月数据源'!$F:$F,"SMART LEARNING HOLDING")*F$185</f>
        <v/>
      </c>
      <c r="G91" s="89">
        <f>-SUMIFS('2月数据源'!$I:$I,'2月数据源'!$D:$D,$E91,'2月数据源'!$F:$F,"SMART LEARNING HOLDING")*G$185+SUMIFS('2月数据源'!$J:$J,'2月数据源'!$D:$D,$E91,'2月数据源'!$F:$F,"SMART LEARNING HOLDING")*G$185</f>
        <v/>
      </c>
      <c r="H91" s="89">
        <f>-SUMIFS('3月数据源'!$I:$I,'3月数据源'!$D:$D,$E91,'3月数据源'!$F:$F,"SMART LEARNING HOLDING")*H$185+SUMIFS('3月数据源'!$J:$J,'3月数据源'!$D:$D,$E91,'3月数据源'!$F:$F,"SMART LEARNING HOLDING")*H$185</f>
        <v/>
      </c>
      <c r="I91" s="89">
        <f>-SUMIFS('4月数据源'!$I:$I,'4月数据源'!$D:$D,$E91,'4月数据源'!$F:$F,"SMART LEARNING HOLDING")*I$185+SUMIFS('4月数据源'!$J:$J,'4月数据源'!$D:$D,$E91,'4月数据源'!$F:$F,"SMART LEARNING HOLDING")*I$185</f>
        <v/>
      </c>
      <c r="J91" s="89">
        <f>-SUMIFS('5月数据源'!$I:$I,'5月数据源'!$D:$D,$E91,'5月数据源'!$F:$F,"SMART LEARNING HOLDING")*J$185+SUMIFS('5月数据源'!$J:$J,'5月数据源'!$D:$D,$E91,'5月数据源'!$F:$F,"SMART LEARNING HOLDING")*J$185</f>
        <v/>
      </c>
      <c r="K91" s="89">
        <f>-SUMIFS('6月数据源'!$I:$I,'6月数据源'!$D:$D,$E91,'6月数据源'!$F:$F,"SMART LEARNING HOLDING")*K$185+SUMIFS('6月数据源'!$J:$J,'6月数据源'!$D:$D,$E91,'6月数据源'!$F:$F,"SMART LEARNING HOLDING")*K$185</f>
        <v/>
      </c>
      <c r="L91" s="89">
        <f>-SUMIFS('7月数据源'!$I:$I,'7月数据源'!$D:$D,$E91,'7月数据源'!$F:$F,"SMART LEARNING HOLDING")*L$185+SUMIFS('7月数据源'!$J:$J,'7月数据源'!$D:$D,$E91,'7月数据源'!$F:$F,"SMART LEARNING HOLDING")*L$185</f>
        <v/>
      </c>
      <c r="M91" s="89">
        <f>-SUMIFS('8月数据源'!$I:$I,'8月数据源'!$D:$D,$E91,'8月数据源'!$F:$F,"SMART LEARNING HOLDING")*M$185+SUMIFS('8月数据源'!$J:$J,'8月数据源'!$D:$D,$E91,'8月数据源'!$F:$F,"SMART LEARNING HOLDING")*M$185</f>
        <v/>
      </c>
      <c r="N91" s="89">
        <f>-SUMIFS('9月数据源'!$I:$I,'9月数据源'!$D:$D,$E91,'9月数据源'!$F:$F,"SMART LEARNING HOLDING")*N$185+SUMIFS('9月数据源'!$J:$J,'9月数据源'!$D:$D,$E91,'9月数据源'!$F:$F,"SMART LEARNING HOLDING")*N$185</f>
        <v/>
      </c>
      <c r="O91" s="89">
        <f>-SUMIFS('10月数据源'!$I:$I,'10月数据源'!$D:$D,$E91,'10月数据源'!$F:$F,"SMART LEARNING HOLDING")*O$185+SUMIFS('10月数据源'!$J:$J,'10月数据源'!$D:$D,$E91,'10月数据源'!$F:$F,"SMART LEARNING HOLDING")*O$185</f>
        <v/>
      </c>
      <c r="P91" s="89">
        <f>-SUMIFS('11月数据源'!$I:$I,'11月数据源'!$D:$D,$E91,'11月数据源'!$F:$F,"SMART LEARNING HOLDING")*P$185+SUMIFS('11月数据源'!$J:$J,'11月数据源'!$D:$D,$E91,'11月数据源'!$F:$F,"SMART LEARNING HOLDING")*P$185</f>
        <v/>
      </c>
      <c r="Q91" s="89">
        <f>-SUMIFS('12月数据源'!$I:$I,'12月数据源'!$D:$D,$E91,'12月数据源'!$F:$F,"SMART LEARNING HOLDING")*Q$185+SUMIFS('12月数据源'!$J:$J,'12月数据源'!$D:$D,$E91,'12月数据源'!$F:$F,"SMART LEARNING HOLDING")*Q$185</f>
        <v/>
      </c>
    </row>
    <row r="92" s="83">
      <c r="A92" s="5" t="inlineStr">
        <is>
          <t>研发支出</t>
        </is>
      </c>
      <c r="B92" s="6" t="inlineStr">
        <is>
          <t>服务器算法充值</t>
        </is>
      </c>
      <c r="D92" s="5" t="inlineStr">
        <is>
          <t>无问芯穹充值费用</t>
        </is>
      </c>
      <c r="E92" s="6" t="inlineStr">
        <is>
          <t>Q1507</t>
        </is>
      </c>
      <c r="F92" s="89">
        <f>-SUMIFS('1月数据源'!$I:$I,'1月数据源'!$D:$D,$E92,'1月数据源'!$F:$F,"SMART LEARNING HOLDING")*F$185+SUMIFS('1月数据源'!$J:$J,'1月数据源'!$D:$D,$E92,'1月数据源'!$F:$F,"SMART LEARNING HOLDING")*F$185</f>
        <v/>
      </c>
      <c r="G92" s="89">
        <f>-SUMIFS('2月数据源'!$I:$I,'2月数据源'!$D:$D,$E92,'2月数据源'!$F:$F,"SMART LEARNING HOLDING")*G$185+SUMIFS('2月数据源'!$J:$J,'2月数据源'!$D:$D,$E92,'2月数据源'!$F:$F,"SMART LEARNING HOLDING")*G$185</f>
        <v/>
      </c>
      <c r="H92" s="89">
        <f>-SUMIFS('3月数据源'!$I:$I,'3月数据源'!$D:$D,$E92,'3月数据源'!$F:$F,"SMART LEARNING HOLDING")*H$185+SUMIFS('3月数据源'!$J:$J,'3月数据源'!$D:$D,$E92,'3月数据源'!$F:$F,"SMART LEARNING HOLDING")*H$185</f>
        <v/>
      </c>
      <c r="I92" s="89">
        <f>-SUMIFS('4月数据源'!$I:$I,'4月数据源'!$D:$D,$E92,'4月数据源'!$F:$F,"SMART LEARNING HOLDING")*I$185+SUMIFS('4月数据源'!$J:$J,'4月数据源'!$D:$D,$E92,'4月数据源'!$F:$F,"SMART LEARNING HOLDING")*I$185</f>
        <v/>
      </c>
      <c r="J92" s="89">
        <f>-SUMIFS('5月数据源'!$I:$I,'5月数据源'!$D:$D,$E92,'5月数据源'!$F:$F,"SMART LEARNING HOLDING")*J$185+SUMIFS('5月数据源'!$J:$J,'5月数据源'!$D:$D,$E92,'5月数据源'!$F:$F,"SMART LEARNING HOLDING")*J$185</f>
        <v/>
      </c>
      <c r="K92" s="89">
        <f>-SUMIFS('6月数据源'!$I:$I,'6月数据源'!$D:$D,$E92,'6月数据源'!$F:$F,"SMART LEARNING HOLDING")*K$185+SUMIFS('6月数据源'!$J:$J,'6月数据源'!$D:$D,$E92,'6月数据源'!$F:$F,"SMART LEARNING HOLDING")*K$185</f>
        <v/>
      </c>
      <c r="L92" s="89">
        <f>-SUMIFS('7月数据源'!$I:$I,'7月数据源'!$D:$D,$E92,'7月数据源'!$F:$F,"SMART LEARNING HOLDING")*L$185+SUMIFS('7月数据源'!$J:$J,'7月数据源'!$D:$D,$E92,'7月数据源'!$F:$F,"SMART LEARNING HOLDING")*L$185</f>
        <v/>
      </c>
      <c r="M92" s="89">
        <f>-SUMIFS('8月数据源'!$I:$I,'8月数据源'!$D:$D,$E92,'8月数据源'!$F:$F,"SMART LEARNING HOLDING")*M$185+SUMIFS('8月数据源'!$J:$J,'8月数据源'!$D:$D,$E92,'8月数据源'!$F:$F,"SMART LEARNING HOLDING")*M$185</f>
        <v/>
      </c>
      <c r="N92" s="89">
        <f>-SUMIFS('9月数据源'!$I:$I,'9月数据源'!$D:$D,$E92,'9月数据源'!$F:$F,"SMART LEARNING HOLDING")*N$185+SUMIFS('9月数据源'!$J:$J,'9月数据源'!$D:$D,$E92,'9月数据源'!$F:$F,"SMART LEARNING HOLDING")*N$185</f>
        <v/>
      </c>
      <c r="O92" s="89">
        <f>-SUMIFS('10月数据源'!$I:$I,'10月数据源'!$D:$D,$E92,'10月数据源'!$F:$F,"SMART LEARNING HOLDING")*O$185+SUMIFS('10月数据源'!$J:$J,'10月数据源'!$D:$D,$E92,'10月数据源'!$F:$F,"SMART LEARNING HOLDING")*O$185</f>
        <v/>
      </c>
      <c r="P92" s="89">
        <f>-SUMIFS('11月数据源'!$I:$I,'11月数据源'!$D:$D,$E92,'11月数据源'!$F:$F,"SMART LEARNING HOLDING")*P$185+SUMIFS('11月数据源'!$J:$J,'11月数据源'!$D:$D,$E92,'11月数据源'!$F:$F,"SMART LEARNING HOLDING")*P$185</f>
        <v/>
      </c>
      <c r="Q92" s="89">
        <f>-SUMIFS('12月数据源'!$I:$I,'12月数据源'!$D:$D,$E92,'12月数据源'!$F:$F,"SMART LEARNING HOLDING")*Q$185+SUMIFS('12月数据源'!$J:$J,'12月数据源'!$D:$D,$E92,'12月数据源'!$F:$F,"SMART LEARNING HOLDING")*Q$185</f>
        <v/>
      </c>
    </row>
    <row r="93" s="83">
      <c r="A93" s="5" t="inlineStr">
        <is>
          <t>研发支出</t>
        </is>
      </c>
      <c r="B93" s="6" t="inlineStr">
        <is>
          <t>服务器算法充值</t>
        </is>
      </c>
      <c r="D93" s="5" t="inlineStr">
        <is>
          <t>其他服务器算法充值</t>
        </is>
      </c>
      <c r="E93" s="6" t="inlineStr">
        <is>
          <t>Q1505</t>
        </is>
      </c>
      <c r="F93" s="89">
        <f>-SUMIFS('1月数据源'!$I:$I,'1月数据源'!$D:$D,$E93,'1月数据源'!$F:$F,"SMART LEARNING HOLDING")*F$185+SUMIFS('1月数据源'!$J:$J,'1月数据源'!$D:$D,$E93,'1月数据源'!$F:$F,"SMART LEARNING HOLDING")*F$185</f>
        <v/>
      </c>
      <c r="G93" s="89">
        <f>-SUMIFS('2月数据源'!$I:$I,'2月数据源'!$D:$D,$E93,'2月数据源'!$F:$F,"SMART LEARNING HOLDING")*G$185+SUMIFS('2月数据源'!$J:$J,'2月数据源'!$D:$D,$E93,'2月数据源'!$F:$F,"SMART LEARNING HOLDING")*G$185</f>
        <v/>
      </c>
      <c r="H93" s="89">
        <f>-SUMIFS('3月数据源'!$I:$I,'3月数据源'!$D:$D,$E93,'3月数据源'!$F:$F,"SMART LEARNING HOLDING")*H$185+SUMIFS('3月数据源'!$J:$J,'3月数据源'!$D:$D,$E93,'3月数据源'!$F:$F,"SMART LEARNING HOLDING")*H$185</f>
        <v/>
      </c>
      <c r="I93" s="89">
        <f>-SUMIFS('4月数据源'!$I:$I,'4月数据源'!$D:$D,$E93,'4月数据源'!$F:$F,"SMART LEARNING HOLDING")*I$185+SUMIFS('4月数据源'!$J:$J,'4月数据源'!$D:$D,$E93,'4月数据源'!$F:$F,"SMART LEARNING HOLDING")*I$185</f>
        <v/>
      </c>
      <c r="J93" s="89">
        <f>-SUMIFS('5月数据源'!$I:$I,'5月数据源'!$D:$D,$E93,'5月数据源'!$F:$F,"SMART LEARNING HOLDING")*J$185+SUMIFS('5月数据源'!$J:$J,'5月数据源'!$D:$D,$E93,'5月数据源'!$F:$F,"SMART LEARNING HOLDING")*J$185</f>
        <v/>
      </c>
      <c r="K93" s="89">
        <f>-SUMIFS('6月数据源'!$I:$I,'6月数据源'!$D:$D,$E93,'6月数据源'!$F:$F,"SMART LEARNING HOLDING")*K$185+SUMIFS('6月数据源'!$J:$J,'6月数据源'!$D:$D,$E93,'6月数据源'!$F:$F,"SMART LEARNING HOLDING")*K$185</f>
        <v/>
      </c>
      <c r="L93" s="89">
        <f>-SUMIFS('7月数据源'!$I:$I,'7月数据源'!$D:$D,$E93,'7月数据源'!$F:$F,"SMART LEARNING HOLDING")*L$185+SUMIFS('7月数据源'!$J:$J,'7月数据源'!$D:$D,$E93,'7月数据源'!$F:$F,"SMART LEARNING HOLDING")*L$185</f>
        <v/>
      </c>
      <c r="M93" s="89">
        <f>-SUMIFS('8月数据源'!$I:$I,'8月数据源'!$D:$D,$E93,'8月数据源'!$F:$F,"SMART LEARNING HOLDING")*M$185+SUMIFS('8月数据源'!$J:$J,'8月数据源'!$D:$D,$E93,'8月数据源'!$F:$F,"SMART LEARNING HOLDING")*M$185</f>
        <v/>
      </c>
      <c r="N93" s="89">
        <f>-SUMIFS('9月数据源'!$I:$I,'9月数据源'!$D:$D,$E93,'9月数据源'!$F:$F,"SMART LEARNING HOLDING")*N$185+SUMIFS('9月数据源'!$J:$J,'9月数据源'!$D:$D,$E93,'9月数据源'!$F:$F,"SMART LEARNING HOLDING")*N$185</f>
        <v/>
      </c>
      <c r="O93" s="89">
        <f>-SUMIFS('10月数据源'!$I:$I,'10月数据源'!$D:$D,$E93,'10月数据源'!$F:$F,"SMART LEARNING HOLDING")*O$185+SUMIFS('10月数据源'!$J:$J,'10月数据源'!$D:$D,$E93,'10月数据源'!$F:$F,"SMART LEARNING HOLDING")*O$185</f>
        <v/>
      </c>
      <c r="P93" s="89">
        <f>-SUMIFS('11月数据源'!$I:$I,'11月数据源'!$D:$D,$E93,'11月数据源'!$F:$F,"SMART LEARNING HOLDING")*P$185+SUMIFS('11月数据源'!$J:$J,'11月数据源'!$D:$D,$E93,'11月数据源'!$F:$F,"SMART LEARNING HOLDING")*P$185</f>
        <v/>
      </c>
      <c r="Q93" s="89">
        <f>-SUMIFS('12月数据源'!$I:$I,'12月数据源'!$D:$D,$E93,'12月数据源'!$F:$F,"SMART LEARNING HOLDING")*Q$185+SUMIFS('12月数据源'!$J:$J,'12月数据源'!$D:$D,$E93,'12月数据源'!$F:$F,"SMART LEARNING HOLDING")*Q$185</f>
        <v/>
      </c>
    </row>
    <row r="94" s="83">
      <c r="A94" s="5" t="inlineStr">
        <is>
          <t>研发支出</t>
        </is>
      </c>
      <c r="B94" s="6" t="inlineStr">
        <is>
          <t>研发-服务费</t>
        </is>
      </c>
      <c r="C94" s="6" t="inlineStr">
        <is>
          <t>研发-服务费</t>
        </is>
      </c>
      <c r="D94" s="5" t="inlineStr">
        <is>
          <t>设计外包服务费</t>
        </is>
      </c>
      <c r="E94" s="6" t="inlineStr">
        <is>
          <t>Q1601</t>
        </is>
      </c>
      <c r="F94" s="89">
        <f>-SUMIFS('1月数据源'!$I:$I,'1月数据源'!$D:$D,$E94,'1月数据源'!$F:$F,"SMART LEARNING HOLDING")*F$185+SUMIFS('1月数据源'!$J:$J,'1月数据源'!$D:$D,$E94,'1月数据源'!$F:$F,"SMART LEARNING HOLDING")*F$185</f>
        <v/>
      </c>
      <c r="G94" s="89">
        <f>-SUMIFS('2月数据源'!$I:$I,'2月数据源'!$D:$D,$E94,'2月数据源'!$F:$F,"SMART LEARNING HOLDING")*G$185+SUMIFS('2月数据源'!$J:$J,'2月数据源'!$D:$D,$E94,'2月数据源'!$F:$F,"SMART LEARNING HOLDING")*G$185</f>
        <v/>
      </c>
      <c r="H94" s="89">
        <f>-SUMIFS('3月数据源'!$I:$I,'3月数据源'!$D:$D,$E94,'3月数据源'!$F:$F,"SMART LEARNING HOLDING")*H$185+SUMIFS('3月数据源'!$J:$J,'3月数据源'!$D:$D,$E94,'3月数据源'!$F:$F,"SMART LEARNING HOLDING")*H$185</f>
        <v/>
      </c>
      <c r="I94" s="89">
        <f>-SUMIFS('4月数据源'!$I:$I,'4月数据源'!$D:$D,$E94,'4月数据源'!$F:$F,"SMART LEARNING HOLDING")*I$185+SUMIFS('4月数据源'!$J:$J,'4月数据源'!$D:$D,$E94,'4月数据源'!$F:$F,"SMART LEARNING HOLDING")*I$185</f>
        <v/>
      </c>
      <c r="J94" s="89">
        <f>-SUMIFS('5月数据源'!$I:$I,'5月数据源'!$D:$D,$E94,'5月数据源'!$F:$F,"SMART LEARNING HOLDING")*J$185+SUMIFS('5月数据源'!$J:$J,'5月数据源'!$D:$D,$E94,'5月数据源'!$F:$F,"SMART LEARNING HOLDING")*J$185</f>
        <v/>
      </c>
      <c r="K94" s="89">
        <f>-SUMIFS('6月数据源'!$I:$I,'6月数据源'!$D:$D,$E94,'6月数据源'!$F:$F,"SMART LEARNING HOLDING")*K$185+SUMIFS('6月数据源'!$J:$J,'6月数据源'!$D:$D,$E94,'6月数据源'!$F:$F,"SMART LEARNING HOLDING")*K$185</f>
        <v/>
      </c>
      <c r="L94" s="89">
        <f>-SUMIFS('7月数据源'!$I:$I,'7月数据源'!$D:$D,$E94,'7月数据源'!$F:$F,"SMART LEARNING HOLDING")*L$185+SUMIFS('7月数据源'!$J:$J,'7月数据源'!$D:$D,$E94,'7月数据源'!$F:$F,"SMART LEARNING HOLDING")*L$185</f>
        <v/>
      </c>
      <c r="M94" s="89">
        <f>-SUMIFS('8月数据源'!$I:$I,'8月数据源'!$D:$D,$E94,'8月数据源'!$F:$F,"SMART LEARNING HOLDING")*M$185+SUMIFS('8月数据源'!$J:$J,'8月数据源'!$D:$D,$E94,'8月数据源'!$F:$F,"SMART LEARNING HOLDING")*M$185</f>
        <v/>
      </c>
      <c r="N94" s="89">
        <f>-SUMIFS('9月数据源'!$I:$I,'9月数据源'!$D:$D,$E94,'9月数据源'!$F:$F,"SMART LEARNING HOLDING")*N$185+SUMIFS('9月数据源'!$J:$J,'9月数据源'!$D:$D,$E94,'9月数据源'!$F:$F,"SMART LEARNING HOLDING")*N$185</f>
        <v/>
      </c>
      <c r="O94" s="89">
        <f>-SUMIFS('10月数据源'!$I:$I,'10月数据源'!$D:$D,$E94,'10月数据源'!$F:$F,"SMART LEARNING HOLDING")*O$185+SUMIFS('10月数据源'!$J:$J,'10月数据源'!$D:$D,$E94,'10月数据源'!$F:$F,"SMART LEARNING HOLDING")*O$185</f>
        <v/>
      </c>
      <c r="P94" s="89">
        <f>-SUMIFS('11月数据源'!$I:$I,'11月数据源'!$D:$D,$E94,'11月数据源'!$F:$F,"SMART LEARNING HOLDING")*P$185+SUMIFS('11月数据源'!$J:$J,'11月数据源'!$D:$D,$E94,'11月数据源'!$F:$F,"SMART LEARNING HOLDING")*P$185</f>
        <v/>
      </c>
      <c r="Q94" s="89">
        <f>-SUMIFS('12月数据源'!$I:$I,'12月数据源'!$D:$D,$E94,'12月数据源'!$F:$F,"SMART LEARNING HOLDING")*Q$185+SUMIFS('12月数据源'!$J:$J,'12月数据源'!$D:$D,$E94,'12月数据源'!$F:$F,"SMART LEARNING HOLDING")*Q$185</f>
        <v/>
      </c>
    </row>
    <row r="95" s="83">
      <c r="A95" s="5" t="inlineStr">
        <is>
          <t>研发支出</t>
        </is>
      </c>
      <c r="B95" s="6" t="inlineStr">
        <is>
          <t>研发-服务费</t>
        </is>
      </c>
      <c r="D95" s="5" t="inlineStr">
        <is>
          <t>AI技术外包服务费</t>
        </is>
      </c>
      <c r="E95" s="6" t="inlineStr">
        <is>
          <t>Q1602</t>
        </is>
      </c>
      <c r="F95" s="89">
        <f>-SUMIFS('1月数据源'!$I:$I,'1月数据源'!$D:$D,$E95,'1月数据源'!$F:$F,"SMART LEARNING HOLDING")*F$185+SUMIFS('1月数据源'!$J:$J,'1月数据源'!$D:$D,$E95,'1月数据源'!$F:$F,"SMART LEARNING HOLDING")*F$185</f>
        <v/>
      </c>
      <c r="G95" s="89">
        <f>-SUMIFS('2月数据源'!$I:$I,'2月数据源'!$D:$D,$E95,'2月数据源'!$F:$F,"SMART LEARNING HOLDING")*G$185+SUMIFS('2月数据源'!$J:$J,'2月数据源'!$D:$D,$E95,'2月数据源'!$F:$F,"SMART LEARNING HOLDING")*G$185</f>
        <v/>
      </c>
      <c r="H95" s="89">
        <f>-SUMIFS('3月数据源'!$I:$I,'3月数据源'!$D:$D,$E95,'3月数据源'!$F:$F,"SMART LEARNING HOLDING")*H$185+SUMIFS('3月数据源'!$J:$J,'3月数据源'!$D:$D,$E95,'3月数据源'!$F:$F,"SMART LEARNING HOLDING")*H$185</f>
        <v/>
      </c>
      <c r="I95" s="89">
        <f>-SUMIFS('4月数据源'!$I:$I,'4月数据源'!$D:$D,$E95,'4月数据源'!$F:$F,"SMART LEARNING HOLDING")*I$185+SUMIFS('4月数据源'!$J:$J,'4月数据源'!$D:$D,$E95,'4月数据源'!$F:$F,"SMART LEARNING HOLDING")*I$185</f>
        <v/>
      </c>
      <c r="J95" s="89">
        <f>-SUMIFS('5月数据源'!$I:$I,'5月数据源'!$D:$D,$E95,'5月数据源'!$F:$F,"SMART LEARNING HOLDING")*J$185+SUMIFS('5月数据源'!$J:$J,'5月数据源'!$D:$D,$E95,'5月数据源'!$F:$F,"SMART LEARNING HOLDING")*J$185</f>
        <v/>
      </c>
      <c r="K95" s="89">
        <f>-SUMIFS('6月数据源'!$I:$I,'6月数据源'!$D:$D,$E95,'6月数据源'!$F:$F,"SMART LEARNING HOLDING")*K$185+SUMIFS('6月数据源'!$J:$J,'6月数据源'!$D:$D,$E95,'6月数据源'!$F:$F,"SMART LEARNING HOLDING")*K$185</f>
        <v/>
      </c>
      <c r="L95" s="89">
        <f>-SUMIFS('7月数据源'!$I:$I,'7月数据源'!$D:$D,$E95,'7月数据源'!$F:$F,"SMART LEARNING HOLDING")*L$185+SUMIFS('7月数据源'!$J:$J,'7月数据源'!$D:$D,$E95,'7月数据源'!$F:$F,"SMART LEARNING HOLDING")*L$185</f>
        <v/>
      </c>
      <c r="M95" s="89">
        <f>-SUMIFS('8月数据源'!$I:$I,'8月数据源'!$D:$D,$E95,'8月数据源'!$F:$F,"SMART LEARNING HOLDING")*M$185+SUMIFS('8月数据源'!$J:$J,'8月数据源'!$D:$D,$E95,'8月数据源'!$F:$F,"SMART LEARNING HOLDING")*M$185</f>
        <v/>
      </c>
      <c r="N95" s="89">
        <f>-SUMIFS('9月数据源'!$I:$I,'9月数据源'!$D:$D,$E95,'9月数据源'!$F:$F,"SMART LEARNING HOLDING")*N$185+SUMIFS('9月数据源'!$J:$J,'9月数据源'!$D:$D,$E95,'9月数据源'!$F:$F,"SMART LEARNING HOLDING")*N$185</f>
        <v/>
      </c>
      <c r="O95" s="89">
        <f>-SUMIFS('10月数据源'!$I:$I,'10月数据源'!$D:$D,$E95,'10月数据源'!$F:$F,"SMART LEARNING HOLDING")*O$185+SUMIFS('10月数据源'!$J:$J,'10月数据源'!$D:$D,$E95,'10月数据源'!$F:$F,"SMART LEARNING HOLDING")*O$185</f>
        <v/>
      </c>
      <c r="P95" s="89">
        <f>-SUMIFS('11月数据源'!$I:$I,'11月数据源'!$D:$D,$E95,'11月数据源'!$F:$F,"SMART LEARNING HOLDING")*P$185+SUMIFS('11月数据源'!$J:$J,'11月数据源'!$D:$D,$E95,'11月数据源'!$F:$F,"SMART LEARNING HOLDING")*P$185</f>
        <v/>
      </c>
      <c r="Q95" s="89">
        <f>-SUMIFS('12月数据源'!$I:$I,'12月数据源'!$D:$D,$E95,'12月数据源'!$F:$F,"SMART LEARNING HOLDING")*Q$185+SUMIFS('12月数据源'!$J:$J,'12月数据源'!$D:$D,$E95,'12月数据源'!$F:$F,"SMART LEARNING HOLDING")*Q$185</f>
        <v/>
      </c>
    </row>
    <row r="96" s="83">
      <c r="A96" s="5" t="inlineStr">
        <is>
          <t>研发支出</t>
        </is>
      </c>
      <c r="B96" s="6" t="inlineStr">
        <is>
          <t>研发-服务费</t>
        </is>
      </c>
      <c r="D96" s="5" t="inlineStr">
        <is>
          <t>知识产权服务费</t>
        </is>
      </c>
      <c r="E96" s="6" t="inlineStr">
        <is>
          <t>Q1603</t>
        </is>
      </c>
      <c r="F96" s="89">
        <f>-SUMIFS('1月数据源'!$I:$I,'1月数据源'!$D:$D,$E96,'1月数据源'!$F:$F,"SMART LEARNING HOLDING")*F$185+SUMIFS('1月数据源'!$J:$J,'1月数据源'!$D:$D,$E96,'1月数据源'!$F:$F,"SMART LEARNING HOLDING")*F$185</f>
        <v/>
      </c>
      <c r="G96" s="89">
        <f>-SUMIFS('2月数据源'!$I:$I,'2月数据源'!$D:$D,$E96,'2月数据源'!$F:$F,"SMART LEARNING HOLDING")*G$185+SUMIFS('2月数据源'!$J:$J,'2月数据源'!$D:$D,$E96,'2月数据源'!$F:$F,"SMART LEARNING HOLDING")*G$185</f>
        <v/>
      </c>
      <c r="H96" s="89">
        <f>-SUMIFS('3月数据源'!$I:$I,'3月数据源'!$D:$D,$E96,'3月数据源'!$F:$F,"SMART LEARNING HOLDING")*H$185+SUMIFS('3月数据源'!$J:$J,'3月数据源'!$D:$D,$E96,'3月数据源'!$F:$F,"SMART LEARNING HOLDING")*H$185</f>
        <v/>
      </c>
      <c r="I96" s="89">
        <f>-SUMIFS('4月数据源'!$I:$I,'4月数据源'!$D:$D,$E96,'4月数据源'!$F:$F,"SMART LEARNING HOLDING")*I$185+SUMIFS('4月数据源'!$J:$J,'4月数据源'!$D:$D,$E96,'4月数据源'!$F:$F,"SMART LEARNING HOLDING")*I$185</f>
        <v/>
      </c>
      <c r="J96" s="89">
        <f>-SUMIFS('5月数据源'!$I:$I,'5月数据源'!$D:$D,$E96,'5月数据源'!$F:$F,"SMART LEARNING HOLDING")*J$185+SUMIFS('5月数据源'!$J:$J,'5月数据源'!$D:$D,$E96,'5月数据源'!$F:$F,"SMART LEARNING HOLDING")*J$185</f>
        <v/>
      </c>
      <c r="K96" s="89">
        <f>-SUMIFS('6月数据源'!$I:$I,'6月数据源'!$D:$D,$E96,'6月数据源'!$F:$F,"SMART LEARNING HOLDING")*K$185+SUMIFS('6月数据源'!$J:$J,'6月数据源'!$D:$D,$E96,'6月数据源'!$F:$F,"SMART LEARNING HOLDING")*K$185</f>
        <v/>
      </c>
      <c r="L96" s="89">
        <f>-SUMIFS('7月数据源'!$I:$I,'7月数据源'!$D:$D,$E96,'7月数据源'!$F:$F,"SMART LEARNING HOLDING")*L$185+SUMIFS('7月数据源'!$J:$J,'7月数据源'!$D:$D,$E96,'7月数据源'!$F:$F,"SMART LEARNING HOLDING")*L$185</f>
        <v/>
      </c>
      <c r="M96" s="89">
        <f>-SUMIFS('8月数据源'!$I:$I,'8月数据源'!$D:$D,$E96,'8月数据源'!$F:$F,"SMART LEARNING HOLDING")*M$185+SUMIFS('8月数据源'!$J:$J,'8月数据源'!$D:$D,$E96,'8月数据源'!$F:$F,"SMART LEARNING HOLDING")*M$185</f>
        <v/>
      </c>
      <c r="N96" s="89">
        <f>-SUMIFS('9月数据源'!$I:$I,'9月数据源'!$D:$D,$E96,'9月数据源'!$F:$F,"SMART LEARNING HOLDING")*N$185+SUMIFS('9月数据源'!$J:$J,'9月数据源'!$D:$D,$E96,'9月数据源'!$F:$F,"SMART LEARNING HOLDING")*N$185</f>
        <v/>
      </c>
      <c r="O96" s="89">
        <f>-SUMIFS('10月数据源'!$I:$I,'10月数据源'!$D:$D,$E96,'10月数据源'!$F:$F,"SMART LEARNING HOLDING")*O$185+SUMIFS('10月数据源'!$J:$J,'10月数据源'!$D:$D,$E96,'10月数据源'!$F:$F,"SMART LEARNING HOLDING")*O$185</f>
        <v/>
      </c>
      <c r="P96" s="89">
        <f>-SUMIFS('11月数据源'!$I:$I,'11月数据源'!$D:$D,$E96,'11月数据源'!$F:$F,"SMART LEARNING HOLDING")*P$185+SUMIFS('11月数据源'!$J:$J,'11月数据源'!$D:$D,$E96,'11月数据源'!$F:$F,"SMART LEARNING HOLDING")*P$185</f>
        <v/>
      </c>
      <c r="Q96" s="89">
        <f>-SUMIFS('12月数据源'!$I:$I,'12月数据源'!$D:$D,$E96,'12月数据源'!$F:$F,"SMART LEARNING HOLDING")*Q$185+SUMIFS('12月数据源'!$J:$J,'12月数据源'!$D:$D,$E96,'12月数据源'!$F:$F,"SMART LEARNING HOLDING")*Q$185</f>
        <v/>
      </c>
    </row>
    <row r="97" s="83">
      <c r="A97" s="5" t="inlineStr">
        <is>
          <t>研发支出</t>
        </is>
      </c>
      <c r="B97" s="6" t="inlineStr">
        <is>
          <t>研发-费用报销</t>
        </is>
      </c>
      <c r="C97" s="6" t="inlineStr">
        <is>
          <t>研发-费用报销</t>
        </is>
      </c>
      <c r="D97" s="5" t="inlineStr">
        <is>
          <t>研发员工报销</t>
        </is>
      </c>
      <c r="E97" s="6" t="inlineStr">
        <is>
          <t>Q1701</t>
        </is>
      </c>
      <c r="F97" s="89">
        <f>-SUMIFS('1月数据源'!$I:$I,'1月数据源'!$D:$D,$E97,'1月数据源'!$F:$F,"SMART LEARNING HOLDING")*F$185+SUMIFS('1月数据源'!$J:$J,'1月数据源'!$D:$D,$E97,'1月数据源'!$F:$F,"SMART LEARNING HOLDING")*F$185</f>
        <v/>
      </c>
      <c r="G97" s="89">
        <f>-SUMIFS('2月数据源'!$I:$I,'2月数据源'!$D:$D,$E97,'2月数据源'!$F:$F,"SMART LEARNING HOLDING")*G$185+SUMIFS('2月数据源'!$J:$J,'2月数据源'!$D:$D,$E97,'2月数据源'!$F:$F,"SMART LEARNING HOLDING")*G$185</f>
        <v/>
      </c>
      <c r="H97" s="89">
        <f>-SUMIFS('3月数据源'!$I:$I,'3月数据源'!$D:$D,$E97,'3月数据源'!$F:$F,"SMART LEARNING HOLDING")*H$185+SUMIFS('3月数据源'!$J:$J,'3月数据源'!$D:$D,$E97,'3月数据源'!$F:$F,"SMART LEARNING HOLDING")*H$185</f>
        <v/>
      </c>
      <c r="I97" s="89">
        <f>-SUMIFS('4月数据源'!$I:$I,'4月数据源'!$D:$D,$E97,'4月数据源'!$F:$F,"SMART LEARNING HOLDING")*I$185+SUMIFS('4月数据源'!$J:$J,'4月数据源'!$D:$D,$E97,'4月数据源'!$F:$F,"SMART LEARNING HOLDING")*I$185</f>
        <v/>
      </c>
      <c r="J97" s="89">
        <f>-SUMIFS('5月数据源'!$I:$I,'5月数据源'!$D:$D,$E97,'5月数据源'!$F:$F,"SMART LEARNING HOLDING")*J$185+SUMIFS('5月数据源'!$J:$J,'5月数据源'!$D:$D,$E97,'5月数据源'!$F:$F,"SMART LEARNING HOLDING")*J$185</f>
        <v/>
      </c>
      <c r="K97" s="89">
        <f>-SUMIFS('6月数据源'!$I:$I,'6月数据源'!$D:$D,$E97,'6月数据源'!$F:$F,"SMART LEARNING HOLDING")*K$185+SUMIFS('6月数据源'!$J:$J,'6月数据源'!$D:$D,$E97,'6月数据源'!$F:$F,"SMART LEARNING HOLDING")*K$185</f>
        <v/>
      </c>
      <c r="L97" s="89">
        <f>-SUMIFS('7月数据源'!$I:$I,'7月数据源'!$D:$D,$E97,'7月数据源'!$F:$F,"SMART LEARNING HOLDING")*L$185+SUMIFS('7月数据源'!$J:$J,'7月数据源'!$D:$D,$E97,'7月数据源'!$F:$F,"SMART LEARNING HOLDING")*L$185</f>
        <v/>
      </c>
      <c r="M97" s="89">
        <f>-SUMIFS('8月数据源'!$I:$I,'8月数据源'!$D:$D,$E97,'8月数据源'!$F:$F,"SMART LEARNING HOLDING")*M$185+SUMIFS('8月数据源'!$J:$J,'8月数据源'!$D:$D,$E97,'8月数据源'!$F:$F,"SMART LEARNING HOLDING")*M$185</f>
        <v/>
      </c>
      <c r="N97" s="89">
        <f>-SUMIFS('9月数据源'!$I:$I,'9月数据源'!$D:$D,$E97,'9月数据源'!$F:$F,"SMART LEARNING HOLDING")*N$185+SUMIFS('9月数据源'!$J:$J,'9月数据源'!$D:$D,$E97,'9月数据源'!$F:$F,"SMART LEARNING HOLDING")*N$185</f>
        <v/>
      </c>
      <c r="O97" s="89">
        <f>-SUMIFS('10月数据源'!$I:$I,'10月数据源'!$D:$D,$E97,'10月数据源'!$F:$F,"SMART LEARNING HOLDING")*O$185+SUMIFS('10月数据源'!$J:$J,'10月数据源'!$D:$D,$E97,'10月数据源'!$F:$F,"SMART LEARNING HOLDING")*O$185</f>
        <v/>
      </c>
      <c r="P97" s="89">
        <f>-SUMIFS('11月数据源'!$I:$I,'11月数据源'!$D:$D,$E97,'11月数据源'!$F:$F,"SMART LEARNING HOLDING")*P$185+SUMIFS('11月数据源'!$J:$J,'11月数据源'!$D:$D,$E97,'11月数据源'!$F:$F,"SMART LEARNING HOLDING")*P$185</f>
        <v/>
      </c>
      <c r="Q97" s="89">
        <f>-SUMIFS('12月数据源'!$I:$I,'12月数据源'!$D:$D,$E97,'12月数据源'!$F:$F,"SMART LEARNING HOLDING")*Q$185+SUMIFS('12月数据源'!$J:$J,'12月数据源'!$D:$D,$E97,'12月数据源'!$F:$F,"SMART LEARNING HOLDING")*Q$185</f>
        <v/>
      </c>
    </row>
    <row r="98" s="83">
      <c r="A98" s="49" t="inlineStr">
        <is>
          <t>研发支出合计</t>
        </is>
      </c>
      <c r="B98" s="50" t="n"/>
      <c r="C98" s="50" t="n"/>
      <c r="D98" s="49" t="n"/>
      <c r="E98" s="49" t="n"/>
      <c r="F98" s="89">
        <f>SUM(F70:F97)</f>
        <v/>
      </c>
      <c r="G98" s="89">
        <f>SUM(G70:G97)</f>
        <v/>
      </c>
      <c r="H98" s="89">
        <f>SUM(H70:H97)</f>
        <v/>
      </c>
      <c r="I98" s="89">
        <f>SUM(I70:I97)</f>
        <v/>
      </c>
      <c r="J98" s="89">
        <f>SUM(J70:J97)</f>
        <v/>
      </c>
      <c r="K98" s="89">
        <f>SUM(K70:K97)</f>
        <v/>
      </c>
      <c r="L98" s="89">
        <f>SUM(L70:L97)</f>
        <v/>
      </c>
      <c r="M98" s="89">
        <f>SUM(M70:M97)</f>
        <v/>
      </c>
      <c r="N98" s="89">
        <f>SUM(N70:N97)</f>
        <v/>
      </c>
      <c r="O98" s="89">
        <f>SUM(O70:O97)</f>
        <v/>
      </c>
      <c r="P98" s="89">
        <f>SUM(P70:P97)</f>
        <v/>
      </c>
      <c r="Q98" s="89">
        <f>SUM(Q70:Q97)</f>
        <v/>
      </c>
    </row>
    <row r="99" s="83">
      <c r="A99" s="5" t="inlineStr">
        <is>
          <t>销售费用</t>
        </is>
      </c>
      <c r="B99" s="6" t="inlineStr">
        <is>
          <t>品牌建设</t>
        </is>
      </c>
      <c r="C99" s="6" t="inlineStr">
        <is>
          <t>品牌建设</t>
        </is>
      </c>
      <c r="D99" s="5" t="inlineStr">
        <is>
          <t>媒体采购</t>
        </is>
      </c>
      <c r="E99" s="6" t="inlineStr">
        <is>
          <t>Q1801</t>
        </is>
      </c>
      <c r="F99" s="89">
        <f>-SUMIFS('1月数据源'!$I:$I,'1月数据源'!$D:$D,$E99,'1月数据源'!$F:$F,"SMART LEARNING HOLDING")*F$185+SUMIFS('1月数据源'!$J:$J,'1月数据源'!$D:$D,$E99,'1月数据源'!$F:$F,"SMART LEARNING HOLDING")*F$185</f>
        <v/>
      </c>
      <c r="G99" s="89">
        <f>-SUMIFS('2月数据源'!$I:$I,'2月数据源'!$D:$D,$E99,'2月数据源'!$F:$F,"SMART LEARNING HOLDING")*G$185+SUMIFS('2月数据源'!$J:$J,'2月数据源'!$D:$D,$E99,'2月数据源'!$F:$F,"SMART LEARNING HOLDING")*G$185</f>
        <v/>
      </c>
      <c r="H99" s="89">
        <f>-SUMIFS('3月数据源'!$I:$I,'3月数据源'!$D:$D,$E99,'3月数据源'!$F:$F,"SMART LEARNING HOLDING")*H$185+SUMIFS('3月数据源'!$J:$J,'3月数据源'!$D:$D,$E99,'3月数据源'!$F:$F,"SMART LEARNING HOLDING")*H$185</f>
        <v/>
      </c>
      <c r="I99" s="89">
        <f>-SUMIFS('4月数据源'!$I:$I,'4月数据源'!$D:$D,$E99,'4月数据源'!$F:$F,"SMART LEARNING HOLDING")*I$185+SUMIFS('4月数据源'!$J:$J,'4月数据源'!$D:$D,$E99,'4月数据源'!$F:$F,"SMART LEARNING HOLDING")*I$185</f>
        <v/>
      </c>
      <c r="J99" s="89">
        <f>-SUMIFS('5月数据源'!$I:$I,'5月数据源'!$D:$D,$E99,'5月数据源'!$F:$F,"SMART LEARNING HOLDING")*J$185+SUMIFS('5月数据源'!$J:$J,'5月数据源'!$D:$D,$E99,'5月数据源'!$F:$F,"SMART LEARNING HOLDING")*J$185</f>
        <v/>
      </c>
      <c r="K99" s="89">
        <f>-SUMIFS('6月数据源'!$I:$I,'6月数据源'!$D:$D,$E99,'6月数据源'!$F:$F,"SMART LEARNING HOLDING")*K$185+SUMIFS('6月数据源'!$J:$J,'6月数据源'!$D:$D,$E99,'6月数据源'!$F:$F,"SMART LEARNING HOLDING")*K$185</f>
        <v/>
      </c>
      <c r="L99" s="89">
        <f>-SUMIFS('7月数据源'!$I:$I,'7月数据源'!$D:$D,$E99,'7月数据源'!$F:$F,"SMART LEARNING HOLDING")*L$185+SUMIFS('7月数据源'!$J:$J,'7月数据源'!$D:$D,$E99,'7月数据源'!$F:$F,"SMART LEARNING HOLDING")*L$185</f>
        <v/>
      </c>
      <c r="M99" s="89">
        <f>-SUMIFS('8月数据源'!$I:$I,'8月数据源'!$D:$D,$E99,'8月数据源'!$F:$F,"SMART LEARNING HOLDING")*M$185+SUMIFS('8月数据源'!$J:$J,'8月数据源'!$D:$D,$E99,'8月数据源'!$F:$F,"SMART LEARNING HOLDING")*M$185</f>
        <v/>
      </c>
      <c r="N99" s="89">
        <f>-SUMIFS('9月数据源'!$I:$I,'9月数据源'!$D:$D,$E99,'9月数据源'!$F:$F,"SMART LEARNING HOLDING")*N$185+SUMIFS('9月数据源'!$J:$J,'9月数据源'!$D:$D,$E99,'9月数据源'!$F:$F,"SMART LEARNING HOLDING")*N$185</f>
        <v/>
      </c>
      <c r="O99" s="89">
        <f>-SUMIFS('10月数据源'!$I:$I,'10月数据源'!$D:$D,$E99,'10月数据源'!$F:$F,"SMART LEARNING HOLDING")*O$185+SUMIFS('10月数据源'!$J:$J,'10月数据源'!$D:$D,$E99,'10月数据源'!$F:$F,"SMART LEARNING HOLDING")*O$185</f>
        <v/>
      </c>
      <c r="P99" s="89">
        <f>-SUMIFS('11月数据源'!$I:$I,'11月数据源'!$D:$D,$E99,'11月数据源'!$F:$F,"SMART LEARNING HOLDING")*P$185+SUMIFS('11月数据源'!$J:$J,'11月数据源'!$D:$D,$E99,'11月数据源'!$F:$F,"SMART LEARNING HOLDING")*P$185</f>
        <v/>
      </c>
      <c r="Q99" s="89">
        <f>-SUMIFS('12月数据源'!$I:$I,'12月数据源'!$D:$D,$E99,'12月数据源'!$F:$F,"SMART LEARNING HOLDING")*Q$185+SUMIFS('12月数据源'!$J:$J,'12月数据源'!$D:$D,$E99,'12月数据源'!$F:$F,"SMART LEARNING HOLDING")*Q$185</f>
        <v/>
      </c>
    </row>
    <row r="100" s="83">
      <c r="A100" s="5" t="inlineStr">
        <is>
          <t>销售费用</t>
        </is>
      </c>
      <c r="B100" s="6" t="inlineStr">
        <is>
          <t>品牌建设</t>
        </is>
      </c>
      <c r="D100" s="5" t="inlineStr">
        <is>
          <t>舆情服务</t>
        </is>
      </c>
      <c r="E100" s="6" t="inlineStr">
        <is>
          <t>Q1802</t>
        </is>
      </c>
      <c r="F100" s="89">
        <f>-SUMIFS('1月数据源'!$I:$I,'1月数据源'!$D:$D,$E100,'1月数据源'!$F:$F,"SMART LEARNING HOLDING")*F$185+SUMIFS('1月数据源'!$J:$J,'1月数据源'!$D:$D,$E100,'1月数据源'!$F:$F,"SMART LEARNING HOLDING")*F$185</f>
        <v/>
      </c>
      <c r="G100" s="89">
        <f>-SUMIFS('2月数据源'!$I:$I,'2月数据源'!$D:$D,$E100,'2月数据源'!$F:$F,"SMART LEARNING HOLDING")*G$185+SUMIFS('2月数据源'!$J:$J,'2月数据源'!$D:$D,$E100,'2月数据源'!$F:$F,"SMART LEARNING HOLDING")*G$185</f>
        <v/>
      </c>
      <c r="H100" s="89">
        <f>-SUMIFS('3月数据源'!$I:$I,'3月数据源'!$D:$D,$E100,'3月数据源'!$F:$F,"SMART LEARNING HOLDING")*H$185+SUMIFS('3月数据源'!$J:$J,'3月数据源'!$D:$D,$E100,'3月数据源'!$F:$F,"SMART LEARNING HOLDING")*H$185</f>
        <v/>
      </c>
      <c r="I100" s="89">
        <f>-SUMIFS('4月数据源'!$I:$I,'4月数据源'!$D:$D,$E100,'4月数据源'!$F:$F,"SMART LEARNING HOLDING")*I$185+SUMIFS('4月数据源'!$J:$J,'4月数据源'!$D:$D,$E100,'4月数据源'!$F:$F,"SMART LEARNING HOLDING")*I$185</f>
        <v/>
      </c>
      <c r="J100" s="89">
        <f>-SUMIFS('5月数据源'!$I:$I,'5月数据源'!$D:$D,$E100,'5月数据源'!$F:$F,"SMART LEARNING HOLDING")*J$185+SUMIFS('5月数据源'!$J:$J,'5月数据源'!$D:$D,$E100,'5月数据源'!$F:$F,"SMART LEARNING HOLDING")*J$185</f>
        <v/>
      </c>
      <c r="K100" s="89">
        <f>-SUMIFS('6月数据源'!$I:$I,'6月数据源'!$D:$D,$E100,'6月数据源'!$F:$F,"SMART LEARNING HOLDING")*K$185+SUMIFS('6月数据源'!$J:$J,'6月数据源'!$D:$D,$E100,'6月数据源'!$F:$F,"SMART LEARNING HOLDING")*K$185</f>
        <v/>
      </c>
      <c r="L100" s="89">
        <f>-SUMIFS('7月数据源'!$I:$I,'7月数据源'!$D:$D,$E100,'7月数据源'!$F:$F,"SMART LEARNING HOLDING")*L$185+SUMIFS('7月数据源'!$J:$J,'7月数据源'!$D:$D,$E100,'7月数据源'!$F:$F,"SMART LEARNING HOLDING")*L$185</f>
        <v/>
      </c>
      <c r="M100" s="89">
        <f>-SUMIFS('8月数据源'!$I:$I,'8月数据源'!$D:$D,$E100,'8月数据源'!$F:$F,"SMART LEARNING HOLDING")*M$185+SUMIFS('8月数据源'!$J:$J,'8月数据源'!$D:$D,$E100,'8月数据源'!$F:$F,"SMART LEARNING HOLDING")*M$185</f>
        <v/>
      </c>
      <c r="N100" s="89">
        <f>-SUMIFS('9月数据源'!$I:$I,'9月数据源'!$D:$D,$E100,'9月数据源'!$F:$F,"SMART LEARNING HOLDING")*N$185+SUMIFS('9月数据源'!$J:$J,'9月数据源'!$D:$D,$E100,'9月数据源'!$F:$F,"SMART LEARNING HOLDING")*N$185</f>
        <v/>
      </c>
      <c r="O100" s="89">
        <f>-SUMIFS('10月数据源'!$I:$I,'10月数据源'!$D:$D,$E100,'10月数据源'!$F:$F,"SMART LEARNING HOLDING")*O$185+SUMIFS('10月数据源'!$J:$J,'10月数据源'!$D:$D,$E100,'10月数据源'!$F:$F,"SMART LEARNING HOLDING")*O$185</f>
        <v/>
      </c>
      <c r="P100" s="89">
        <f>-SUMIFS('11月数据源'!$I:$I,'11月数据源'!$D:$D,$E100,'11月数据源'!$F:$F,"SMART LEARNING HOLDING")*P$185+SUMIFS('11月数据源'!$J:$J,'11月数据源'!$D:$D,$E100,'11月数据源'!$F:$F,"SMART LEARNING HOLDING")*P$185</f>
        <v/>
      </c>
      <c r="Q100" s="89">
        <f>-SUMIFS('12月数据源'!$I:$I,'12月数据源'!$D:$D,$E100,'12月数据源'!$F:$F,"SMART LEARNING HOLDING")*Q$185+SUMIFS('12月数据源'!$J:$J,'12月数据源'!$D:$D,$E100,'12月数据源'!$F:$F,"SMART LEARNING HOLDING")*Q$185</f>
        <v/>
      </c>
    </row>
    <row r="101" s="83">
      <c r="A101" s="5" t="inlineStr">
        <is>
          <t>销售费用</t>
        </is>
      </c>
      <c r="B101" s="6" t="inlineStr">
        <is>
          <t>品牌建设</t>
        </is>
      </c>
      <c r="D101" s="5" t="inlineStr">
        <is>
          <t>会务服务</t>
        </is>
      </c>
      <c r="E101" s="6" t="inlineStr">
        <is>
          <t>Q1803</t>
        </is>
      </c>
      <c r="F101" s="89">
        <f>-SUMIFS('1月数据源'!$I:$I,'1月数据源'!$D:$D,$E101,'1月数据源'!$F:$F,"SMART LEARNING HOLDING")*F$185+SUMIFS('1月数据源'!$J:$J,'1月数据源'!$D:$D,$E101,'1月数据源'!$F:$F,"SMART LEARNING HOLDING")*F$185</f>
        <v/>
      </c>
      <c r="G101" s="89">
        <f>-SUMIFS('2月数据源'!$I:$I,'2月数据源'!$D:$D,$E101,'2月数据源'!$F:$F,"SMART LEARNING HOLDING")*G$185+SUMIFS('2月数据源'!$J:$J,'2月数据源'!$D:$D,$E101,'2月数据源'!$F:$F,"SMART LEARNING HOLDING")*G$185</f>
        <v/>
      </c>
      <c r="H101" s="89">
        <f>-SUMIFS('3月数据源'!$I:$I,'3月数据源'!$D:$D,$E101,'3月数据源'!$F:$F,"SMART LEARNING HOLDING")*H$185+SUMIFS('3月数据源'!$J:$J,'3月数据源'!$D:$D,$E101,'3月数据源'!$F:$F,"SMART LEARNING HOLDING")*H$185</f>
        <v/>
      </c>
      <c r="I101" s="89">
        <f>-SUMIFS('4月数据源'!$I:$I,'4月数据源'!$D:$D,$E101,'4月数据源'!$F:$F,"SMART LEARNING HOLDING")*I$185+SUMIFS('4月数据源'!$J:$J,'4月数据源'!$D:$D,$E101,'4月数据源'!$F:$F,"SMART LEARNING HOLDING")*I$185</f>
        <v/>
      </c>
      <c r="J101" s="89">
        <f>-SUMIFS('5月数据源'!$I:$I,'5月数据源'!$D:$D,$E101,'5月数据源'!$F:$F,"SMART LEARNING HOLDING")*J$185+SUMIFS('5月数据源'!$J:$J,'5月数据源'!$D:$D,$E101,'5月数据源'!$F:$F,"SMART LEARNING HOLDING")*J$185</f>
        <v/>
      </c>
      <c r="K101" s="89">
        <f>-SUMIFS('6月数据源'!$I:$I,'6月数据源'!$D:$D,$E101,'6月数据源'!$F:$F,"SMART LEARNING HOLDING")*K$185+SUMIFS('6月数据源'!$J:$J,'6月数据源'!$D:$D,$E101,'6月数据源'!$F:$F,"SMART LEARNING HOLDING")*K$185</f>
        <v/>
      </c>
      <c r="L101" s="89">
        <f>-SUMIFS('7月数据源'!$I:$I,'7月数据源'!$D:$D,$E101,'7月数据源'!$F:$F,"SMART LEARNING HOLDING")*L$185+SUMIFS('7月数据源'!$J:$J,'7月数据源'!$D:$D,$E101,'7月数据源'!$F:$F,"SMART LEARNING HOLDING")*L$185</f>
        <v/>
      </c>
      <c r="M101" s="89">
        <f>-SUMIFS('8月数据源'!$I:$I,'8月数据源'!$D:$D,$E101,'8月数据源'!$F:$F,"SMART LEARNING HOLDING")*M$185+SUMIFS('8月数据源'!$J:$J,'8月数据源'!$D:$D,$E101,'8月数据源'!$F:$F,"SMART LEARNING HOLDING")*M$185</f>
        <v/>
      </c>
      <c r="N101" s="89">
        <f>-SUMIFS('9月数据源'!$I:$I,'9月数据源'!$D:$D,$E101,'9月数据源'!$F:$F,"SMART LEARNING HOLDING")*N$185+SUMIFS('9月数据源'!$J:$J,'9月数据源'!$D:$D,$E101,'9月数据源'!$F:$F,"SMART LEARNING HOLDING")*N$185</f>
        <v/>
      </c>
      <c r="O101" s="89">
        <f>-SUMIFS('10月数据源'!$I:$I,'10月数据源'!$D:$D,$E101,'10月数据源'!$F:$F,"SMART LEARNING HOLDING")*O$185+SUMIFS('10月数据源'!$J:$J,'10月数据源'!$D:$D,$E101,'10月数据源'!$F:$F,"SMART LEARNING HOLDING")*O$185</f>
        <v/>
      </c>
      <c r="P101" s="89">
        <f>-SUMIFS('11月数据源'!$I:$I,'11月数据源'!$D:$D,$E101,'11月数据源'!$F:$F,"SMART LEARNING HOLDING")*P$185+SUMIFS('11月数据源'!$J:$J,'11月数据源'!$D:$D,$E101,'11月数据源'!$F:$F,"SMART LEARNING HOLDING")*P$185</f>
        <v/>
      </c>
      <c r="Q101" s="89">
        <f>-SUMIFS('12月数据源'!$I:$I,'12月数据源'!$D:$D,$E101,'12月数据源'!$F:$F,"SMART LEARNING HOLDING")*Q$185+SUMIFS('12月数据源'!$J:$J,'12月数据源'!$D:$D,$E101,'12月数据源'!$F:$F,"SMART LEARNING HOLDING")*Q$185</f>
        <v/>
      </c>
    </row>
    <row r="102" s="83">
      <c r="A102" s="5" t="inlineStr">
        <is>
          <t>销售费用</t>
        </is>
      </c>
      <c r="B102" s="6" t="inlineStr">
        <is>
          <t>品牌建设</t>
        </is>
      </c>
      <c r="D102" s="5" t="inlineStr">
        <is>
          <t>场地搭建</t>
        </is>
      </c>
      <c r="E102" s="6" t="inlineStr">
        <is>
          <t>Q1804</t>
        </is>
      </c>
      <c r="F102" s="89">
        <f>-SUMIFS('1月数据源'!$I:$I,'1月数据源'!$D:$D,$E102,'1月数据源'!$F:$F,"SMART LEARNING HOLDING")*F$185+SUMIFS('1月数据源'!$J:$J,'1月数据源'!$D:$D,$E102,'1月数据源'!$F:$F,"SMART LEARNING HOLDING")*F$185</f>
        <v/>
      </c>
      <c r="G102" s="89">
        <f>-SUMIFS('2月数据源'!$I:$I,'2月数据源'!$D:$D,$E102,'2月数据源'!$F:$F,"SMART LEARNING HOLDING")*G$185+SUMIFS('2月数据源'!$J:$J,'2月数据源'!$D:$D,$E102,'2月数据源'!$F:$F,"SMART LEARNING HOLDING")*G$185</f>
        <v/>
      </c>
      <c r="H102" s="89">
        <f>-SUMIFS('3月数据源'!$I:$I,'3月数据源'!$D:$D,$E102,'3月数据源'!$F:$F,"SMART LEARNING HOLDING")*H$185+SUMIFS('3月数据源'!$J:$J,'3月数据源'!$D:$D,$E102,'3月数据源'!$F:$F,"SMART LEARNING HOLDING")*H$185</f>
        <v/>
      </c>
      <c r="I102" s="89">
        <f>-SUMIFS('4月数据源'!$I:$I,'4月数据源'!$D:$D,$E102,'4月数据源'!$F:$F,"SMART LEARNING HOLDING")*I$185+SUMIFS('4月数据源'!$J:$J,'4月数据源'!$D:$D,$E102,'4月数据源'!$F:$F,"SMART LEARNING HOLDING")*I$185</f>
        <v/>
      </c>
      <c r="J102" s="89">
        <f>-SUMIFS('5月数据源'!$I:$I,'5月数据源'!$D:$D,$E102,'5月数据源'!$F:$F,"SMART LEARNING HOLDING")*J$185+SUMIFS('5月数据源'!$J:$J,'5月数据源'!$D:$D,$E102,'5月数据源'!$F:$F,"SMART LEARNING HOLDING")*J$185</f>
        <v/>
      </c>
      <c r="K102" s="89">
        <f>-SUMIFS('6月数据源'!$I:$I,'6月数据源'!$D:$D,$E102,'6月数据源'!$F:$F,"SMART LEARNING HOLDING")*K$185+SUMIFS('6月数据源'!$J:$J,'6月数据源'!$D:$D,$E102,'6月数据源'!$F:$F,"SMART LEARNING HOLDING")*K$185</f>
        <v/>
      </c>
      <c r="L102" s="89">
        <f>-SUMIFS('7月数据源'!$I:$I,'7月数据源'!$D:$D,$E102,'7月数据源'!$F:$F,"SMART LEARNING HOLDING")*L$185+SUMIFS('7月数据源'!$J:$J,'7月数据源'!$D:$D,$E102,'7月数据源'!$F:$F,"SMART LEARNING HOLDING")*L$185</f>
        <v/>
      </c>
      <c r="M102" s="89">
        <f>-SUMIFS('8月数据源'!$I:$I,'8月数据源'!$D:$D,$E102,'8月数据源'!$F:$F,"SMART LEARNING HOLDING")*M$185+SUMIFS('8月数据源'!$J:$J,'8月数据源'!$D:$D,$E102,'8月数据源'!$F:$F,"SMART LEARNING HOLDING")*M$185</f>
        <v/>
      </c>
      <c r="N102" s="89">
        <f>-SUMIFS('9月数据源'!$I:$I,'9月数据源'!$D:$D,$E102,'9月数据源'!$F:$F,"SMART LEARNING HOLDING")*N$185+SUMIFS('9月数据源'!$J:$J,'9月数据源'!$D:$D,$E102,'9月数据源'!$F:$F,"SMART LEARNING HOLDING")*N$185</f>
        <v/>
      </c>
      <c r="O102" s="89">
        <f>-SUMIFS('10月数据源'!$I:$I,'10月数据源'!$D:$D,$E102,'10月数据源'!$F:$F,"SMART LEARNING HOLDING")*O$185+SUMIFS('10月数据源'!$J:$J,'10月数据源'!$D:$D,$E102,'10月数据源'!$F:$F,"SMART LEARNING HOLDING")*O$185</f>
        <v/>
      </c>
      <c r="P102" s="89">
        <f>-SUMIFS('11月数据源'!$I:$I,'11月数据源'!$D:$D,$E102,'11月数据源'!$F:$F,"SMART LEARNING HOLDING")*P$185+SUMIFS('11月数据源'!$J:$J,'11月数据源'!$D:$D,$E102,'11月数据源'!$F:$F,"SMART LEARNING HOLDING")*P$185</f>
        <v/>
      </c>
      <c r="Q102" s="89">
        <f>-SUMIFS('12月数据源'!$I:$I,'12月数据源'!$D:$D,$E102,'12月数据源'!$F:$F,"SMART LEARNING HOLDING")*Q$185+SUMIFS('12月数据源'!$J:$J,'12月数据源'!$D:$D,$E102,'12月数据源'!$F:$F,"SMART LEARNING HOLDING")*Q$185</f>
        <v/>
      </c>
    </row>
    <row r="103" s="83">
      <c r="A103" s="5" t="inlineStr">
        <is>
          <t>销售费用</t>
        </is>
      </c>
      <c r="B103" s="6" t="inlineStr">
        <is>
          <t>品牌建设</t>
        </is>
      </c>
      <c r="D103" s="5" t="inlineStr">
        <is>
          <t>素材拍摄</t>
        </is>
      </c>
      <c r="E103" s="6" t="inlineStr">
        <is>
          <t>Q1805</t>
        </is>
      </c>
      <c r="F103" s="89">
        <f>-SUMIFS('1月数据源'!$I:$I,'1月数据源'!$D:$D,$E103,'1月数据源'!$F:$F,"SMART LEARNING HOLDING")*F$185+SUMIFS('1月数据源'!$J:$J,'1月数据源'!$D:$D,$E103,'1月数据源'!$F:$F,"SMART LEARNING HOLDING")*F$185</f>
        <v/>
      </c>
      <c r="G103" s="89">
        <f>-SUMIFS('2月数据源'!$I:$I,'2月数据源'!$D:$D,$E103,'2月数据源'!$F:$F,"SMART LEARNING HOLDING")*G$185+SUMIFS('2月数据源'!$J:$J,'2月数据源'!$D:$D,$E103,'2月数据源'!$F:$F,"SMART LEARNING HOLDING")*G$185</f>
        <v/>
      </c>
      <c r="H103" s="89">
        <f>-SUMIFS('3月数据源'!$I:$I,'3月数据源'!$D:$D,$E103,'3月数据源'!$F:$F,"SMART LEARNING HOLDING")*H$185+SUMIFS('3月数据源'!$J:$J,'3月数据源'!$D:$D,$E103,'3月数据源'!$F:$F,"SMART LEARNING HOLDING")*H$185</f>
        <v/>
      </c>
      <c r="I103" s="89">
        <f>-SUMIFS('4月数据源'!$I:$I,'4月数据源'!$D:$D,$E103,'4月数据源'!$F:$F,"SMART LEARNING HOLDING")*I$185+SUMIFS('4月数据源'!$J:$J,'4月数据源'!$D:$D,$E103,'4月数据源'!$F:$F,"SMART LEARNING HOLDING")*I$185</f>
        <v/>
      </c>
      <c r="J103" s="89">
        <f>-SUMIFS('5月数据源'!$I:$I,'5月数据源'!$D:$D,$E103,'5月数据源'!$F:$F,"SMART LEARNING HOLDING")*J$185+SUMIFS('5月数据源'!$J:$J,'5月数据源'!$D:$D,$E103,'5月数据源'!$F:$F,"SMART LEARNING HOLDING")*J$185</f>
        <v/>
      </c>
      <c r="K103" s="89">
        <f>-SUMIFS('6月数据源'!$I:$I,'6月数据源'!$D:$D,$E103,'6月数据源'!$F:$F,"SMART LEARNING HOLDING")*K$185+SUMIFS('6月数据源'!$J:$J,'6月数据源'!$D:$D,$E103,'6月数据源'!$F:$F,"SMART LEARNING HOLDING")*K$185</f>
        <v/>
      </c>
      <c r="L103" s="89">
        <f>-SUMIFS('7月数据源'!$I:$I,'7月数据源'!$D:$D,$E103,'7月数据源'!$F:$F,"SMART LEARNING HOLDING")*L$185+SUMIFS('7月数据源'!$J:$J,'7月数据源'!$D:$D,$E103,'7月数据源'!$F:$F,"SMART LEARNING HOLDING")*L$185</f>
        <v/>
      </c>
      <c r="M103" s="89">
        <f>-SUMIFS('8月数据源'!$I:$I,'8月数据源'!$D:$D,$E103,'8月数据源'!$F:$F,"SMART LEARNING HOLDING")*M$185+SUMIFS('8月数据源'!$J:$J,'8月数据源'!$D:$D,$E103,'8月数据源'!$F:$F,"SMART LEARNING HOLDING")*M$185</f>
        <v/>
      </c>
      <c r="N103" s="89">
        <f>-SUMIFS('9月数据源'!$I:$I,'9月数据源'!$D:$D,$E103,'9月数据源'!$F:$F,"SMART LEARNING HOLDING")*N$185+SUMIFS('9月数据源'!$J:$J,'9月数据源'!$D:$D,$E103,'9月数据源'!$F:$F,"SMART LEARNING HOLDING")*N$185</f>
        <v/>
      </c>
      <c r="O103" s="89">
        <f>-SUMIFS('10月数据源'!$I:$I,'10月数据源'!$D:$D,$E103,'10月数据源'!$F:$F,"SMART LEARNING HOLDING")*O$185+SUMIFS('10月数据源'!$J:$J,'10月数据源'!$D:$D,$E103,'10月数据源'!$F:$F,"SMART LEARNING HOLDING")*O$185</f>
        <v/>
      </c>
      <c r="P103" s="89">
        <f>-SUMIFS('11月数据源'!$I:$I,'11月数据源'!$D:$D,$E103,'11月数据源'!$F:$F,"SMART LEARNING HOLDING")*P$185+SUMIFS('11月数据源'!$J:$J,'11月数据源'!$D:$D,$E103,'11月数据源'!$F:$F,"SMART LEARNING HOLDING")*P$185</f>
        <v/>
      </c>
      <c r="Q103" s="89">
        <f>-SUMIFS('12月数据源'!$I:$I,'12月数据源'!$D:$D,$E103,'12月数据源'!$F:$F,"SMART LEARNING HOLDING")*Q$185+SUMIFS('12月数据源'!$J:$J,'12月数据源'!$D:$D,$E103,'12月数据源'!$F:$F,"SMART LEARNING HOLDING")*Q$185</f>
        <v/>
      </c>
    </row>
    <row r="104" s="83">
      <c r="A104" s="5" t="inlineStr">
        <is>
          <t>销售费用</t>
        </is>
      </c>
      <c r="B104" s="6" t="inlineStr">
        <is>
          <t>品牌建设</t>
        </is>
      </c>
      <c r="D104" s="5" t="inlineStr">
        <is>
          <t>背书合作费用</t>
        </is>
      </c>
      <c r="E104" s="6" t="inlineStr">
        <is>
          <t>Q1806</t>
        </is>
      </c>
      <c r="F104" s="89">
        <f>-SUMIFS('1月数据源'!$I:$I,'1月数据源'!$D:$D,$E104,'1月数据源'!$F:$F,"SMART LEARNING HOLDING")*F$185+SUMIFS('1月数据源'!$J:$J,'1月数据源'!$D:$D,$E104,'1月数据源'!$F:$F,"SMART LEARNING HOLDING")*F$185</f>
        <v/>
      </c>
      <c r="G104" s="89">
        <f>-SUMIFS('2月数据源'!$I:$I,'2月数据源'!$D:$D,$E104,'2月数据源'!$F:$F,"SMART LEARNING HOLDING")*G$185+SUMIFS('2月数据源'!$J:$J,'2月数据源'!$D:$D,$E104,'2月数据源'!$F:$F,"SMART LEARNING HOLDING")*G$185</f>
        <v/>
      </c>
      <c r="H104" s="89">
        <f>-SUMIFS('3月数据源'!$I:$I,'3月数据源'!$D:$D,$E104,'3月数据源'!$F:$F,"SMART LEARNING HOLDING")*H$185+SUMIFS('3月数据源'!$J:$J,'3月数据源'!$D:$D,$E104,'3月数据源'!$F:$F,"SMART LEARNING HOLDING")*H$185</f>
        <v/>
      </c>
      <c r="I104" s="89">
        <f>-SUMIFS('4月数据源'!$I:$I,'4月数据源'!$D:$D,$E104,'4月数据源'!$F:$F,"SMART LEARNING HOLDING")*I$185+SUMIFS('4月数据源'!$J:$J,'4月数据源'!$D:$D,$E104,'4月数据源'!$F:$F,"SMART LEARNING HOLDING")*I$185</f>
        <v/>
      </c>
      <c r="J104" s="89">
        <f>-SUMIFS('5月数据源'!$I:$I,'5月数据源'!$D:$D,$E104,'5月数据源'!$F:$F,"SMART LEARNING HOLDING")*J$185+SUMIFS('5月数据源'!$J:$J,'5月数据源'!$D:$D,$E104,'5月数据源'!$F:$F,"SMART LEARNING HOLDING")*J$185</f>
        <v/>
      </c>
      <c r="K104" s="89">
        <f>-SUMIFS('6月数据源'!$I:$I,'6月数据源'!$D:$D,$E104,'6月数据源'!$F:$F,"SMART LEARNING HOLDING")*K$185+SUMIFS('6月数据源'!$J:$J,'6月数据源'!$D:$D,$E104,'6月数据源'!$F:$F,"SMART LEARNING HOLDING")*K$185</f>
        <v/>
      </c>
      <c r="L104" s="89">
        <f>-SUMIFS('7月数据源'!$I:$I,'7月数据源'!$D:$D,$E104,'7月数据源'!$F:$F,"SMART LEARNING HOLDING")*L$185+SUMIFS('7月数据源'!$J:$J,'7月数据源'!$D:$D,$E104,'7月数据源'!$F:$F,"SMART LEARNING HOLDING")*L$185</f>
        <v/>
      </c>
      <c r="M104" s="89">
        <f>-SUMIFS('8月数据源'!$I:$I,'8月数据源'!$D:$D,$E104,'8月数据源'!$F:$F,"SMART LEARNING HOLDING")*M$185+SUMIFS('8月数据源'!$J:$J,'8月数据源'!$D:$D,$E104,'8月数据源'!$F:$F,"SMART LEARNING HOLDING")*M$185</f>
        <v/>
      </c>
      <c r="N104" s="89">
        <f>-SUMIFS('9月数据源'!$I:$I,'9月数据源'!$D:$D,$E104,'9月数据源'!$F:$F,"SMART LEARNING HOLDING")*N$185+SUMIFS('9月数据源'!$J:$J,'9月数据源'!$D:$D,$E104,'9月数据源'!$F:$F,"SMART LEARNING HOLDING")*N$185</f>
        <v/>
      </c>
      <c r="O104" s="89">
        <f>-SUMIFS('10月数据源'!$I:$I,'10月数据源'!$D:$D,$E104,'10月数据源'!$F:$F,"SMART LEARNING HOLDING")*O$185+SUMIFS('10月数据源'!$J:$J,'10月数据源'!$D:$D,$E104,'10月数据源'!$F:$F,"SMART LEARNING HOLDING")*O$185</f>
        <v/>
      </c>
      <c r="P104" s="89">
        <f>-SUMIFS('11月数据源'!$I:$I,'11月数据源'!$D:$D,$E104,'11月数据源'!$F:$F,"SMART LEARNING HOLDING")*P$185+SUMIFS('11月数据源'!$J:$J,'11月数据源'!$D:$D,$E104,'11月数据源'!$F:$F,"SMART LEARNING HOLDING")*P$185</f>
        <v/>
      </c>
      <c r="Q104" s="89">
        <f>-SUMIFS('12月数据源'!$I:$I,'12月数据源'!$D:$D,$E104,'12月数据源'!$F:$F,"SMART LEARNING HOLDING")*Q$185+SUMIFS('12月数据源'!$J:$J,'12月数据源'!$D:$D,$E104,'12月数据源'!$F:$F,"SMART LEARNING HOLDING")*Q$185</f>
        <v/>
      </c>
    </row>
    <row r="105" s="83">
      <c r="A105" s="5" t="inlineStr">
        <is>
          <t>销售费用</t>
        </is>
      </c>
      <c r="B105" s="6" t="inlineStr">
        <is>
          <t>内容种草</t>
        </is>
      </c>
      <c r="C105" s="6" t="inlineStr">
        <is>
          <t>内容种草</t>
        </is>
      </c>
      <c r="D105" s="5" t="inlineStr">
        <is>
          <t>抖音平台种草-GD广告</t>
        </is>
      </c>
      <c r="E105" s="6" t="inlineStr">
        <is>
          <t>Q1901</t>
        </is>
      </c>
      <c r="F105" s="89">
        <f>-SUMIFS('1月数据源'!$I:$I,'1月数据源'!$D:$D,$E105,'1月数据源'!$F:$F,"SMART LEARNING HOLDING")*F$185+SUMIFS('1月数据源'!$J:$J,'1月数据源'!$D:$D,$E105,'1月数据源'!$F:$F,"SMART LEARNING HOLDING")*F$185</f>
        <v/>
      </c>
      <c r="G105" s="89">
        <f>-SUMIFS('2月数据源'!$I:$I,'2月数据源'!$D:$D,$E105,'2月数据源'!$F:$F,"SMART LEARNING HOLDING")*G$185+SUMIFS('2月数据源'!$J:$J,'2月数据源'!$D:$D,$E105,'2月数据源'!$F:$F,"SMART LEARNING HOLDING")*G$185</f>
        <v/>
      </c>
      <c r="H105" s="89">
        <f>-SUMIFS('3月数据源'!$I:$I,'3月数据源'!$D:$D,$E105,'3月数据源'!$F:$F,"SMART LEARNING HOLDING")*H$185+SUMIFS('3月数据源'!$J:$J,'3月数据源'!$D:$D,$E105,'3月数据源'!$F:$F,"SMART LEARNING HOLDING")*H$185</f>
        <v/>
      </c>
      <c r="I105" s="89">
        <f>-SUMIFS('4月数据源'!$I:$I,'4月数据源'!$D:$D,$E105,'4月数据源'!$F:$F,"SMART LEARNING HOLDING")*I$185+SUMIFS('4月数据源'!$J:$J,'4月数据源'!$D:$D,$E105,'4月数据源'!$F:$F,"SMART LEARNING HOLDING")*I$185</f>
        <v/>
      </c>
      <c r="J105" s="89">
        <f>-SUMIFS('5月数据源'!$I:$I,'5月数据源'!$D:$D,$E105,'5月数据源'!$F:$F,"SMART LEARNING HOLDING")*J$185+SUMIFS('5月数据源'!$J:$J,'5月数据源'!$D:$D,$E105,'5月数据源'!$F:$F,"SMART LEARNING HOLDING")*J$185</f>
        <v/>
      </c>
      <c r="K105" s="89">
        <f>-SUMIFS('6月数据源'!$I:$I,'6月数据源'!$D:$D,$E105,'6月数据源'!$F:$F,"SMART LEARNING HOLDING")*K$185+SUMIFS('6月数据源'!$J:$J,'6月数据源'!$D:$D,$E105,'6月数据源'!$F:$F,"SMART LEARNING HOLDING")*K$185</f>
        <v/>
      </c>
      <c r="L105" s="89">
        <f>-SUMIFS('7月数据源'!$I:$I,'7月数据源'!$D:$D,$E105,'7月数据源'!$F:$F,"SMART LEARNING HOLDING")*L$185+SUMIFS('7月数据源'!$J:$J,'7月数据源'!$D:$D,$E105,'7月数据源'!$F:$F,"SMART LEARNING HOLDING")*L$185</f>
        <v/>
      </c>
      <c r="M105" s="89">
        <f>-SUMIFS('8月数据源'!$I:$I,'8月数据源'!$D:$D,$E105,'8月数据源'!$F:$F,"SMART LEARNING HOLDING")*M$185+SUMIFS('8月数据源'!$J:$J,'8月数据源'!$D:$D,$E105,'8月数据源'!$F:$F,"SMART LEARNING HOLDING")*M$185</f>
        <v/>
      </c>
      <c r="N105" s="89">
        <f>-SUMIFS('9月数据源'!$I:$I,'9月数据源'!$D:$D,$E105,'9月数据源'!$F:$F,"SMART LEARNING HOLDING")*N$185+SUMIFS('9月数据源'!$J:$J,'9月数据源'!$D:$D,$E105,'9月数据源'!$F:$F,"SMART LEARNING HOLDING")*N$185</f>
        <v/>
      </c>
      <c r="O105" s="89">
        <f>-SUMIFS('10月数据源'!$I:$I,'10月数据源'!$D:$D,$E105,'10月数据源'!$F:$F,"SMART LEARNING HOLDING")*O$185+SUMIFS('10月数据源'!$J:$J,'10月数据源'!$D:$D,$E105,'10月数据源'!$F:$F,"SMART LEARNING HOLDING")*O$185</f>
        <v/>
      </c>
      <c r="P105" s="89">
        <f>-SUMIFS('11月数据源'!$I:$I,'11月数据源'!$D:$D,$E105,'11月数据源'!$F:$F,"SMART LEARNING HOLDING")*P$185+SUMIFS('11月数据源'!$J:$J,'11月数据源'!$D:$D,$E105,'11月数据源'!$F:$F,"SMART LEARNING HOLDING")*P$185</f>
        <v/>
      </c>
      <c r="Q105" s="89">
        <f>-SUMIFS('12月数据源'!$I:$I,'12月数据源'!$D:$D,$E105,'12月数据源'!$F:$F,"SMART LEARNING HOLDING")*Q$185+SUMIFS('12月数据源'!$J:$J,'12月数据源'!$D:$D,$E105,'12月数据源'!$F:$F,"SMART LEARNING HOLDING")*Q$185</f>
        <v/>
      </c>
    </row>
    <row r="106" s="83">
      <c r="A106" s="5" t="inlineStr">
        <is>
          <t>销售费用</t>
        </is>
      </c>
      <c r="B106" s="6" t="inlineStr">
        <is>
          <t>内容种草</t>
        </is>
      </c>
      <c r="D106" s="5" t="inlineStr">
        <is>
          <t>抖音平台种草-种草通</t>
        </is>
      </c>
      <c r="E106" s="6" t="inlineStr">
        <is>
          <t>Q1902</t>
        </is>
      </c>
      <c r="F106" s="89">
        <f>-SUMIFS('1月数据源'!$I:$I,'1月数据源'!$D:$D,$E106,'1月数据源'!$F:$F,"SMART LEARNING HOLDING")*F$185+SUMIFS('1月数据源'!$J:$J,'1月数据源'!$D:$D,$E106,'1月数据源'!$F:$F,"SMART LEARNING HOLDING")*F$185</f>
        <v/>
      </c>
      <c r="G106" s="89">
        <f>-SUMIFS('2月数据源'!$I:$I,'2月数据源'!$D:$D,$E106,'2月数据源'!$F:$F,"SMART LEARNING HOLDING")*G$185+SUMIFS('2月数据源'!$J:$J,'2月数据源'!$D:$D,$E106,'2月数据源'!$F:$F,"SMART LEARNING HOLDING")*G$185</f>
        <v/>
      </c>
      <c r="H106" s="89">
        <f>-SUMIFS('3月数据源'!$I:$I,'3月数据源'!$D:$D,$E106,'3月数据源'!$F:$F,"SMART LEARNING HOLDING")*H$185+SUMIFS('3月数据源'!$J:$J,'3月数据源'!$D:$D,$E106,'3月数据源'!$F:$F,"SMART LEARNING HOLDING")*H$185</f>
        <v/>
      </c>
      <c r="I106" s="89">
        <f>-SUMIFS('4月数据源'!$I:$I,'4月数据源'!$D:$D,$E106,'4月数据源'!$F:$F,"SMART LEARNING HOLDING")*I$185+SUMIFS('4月数据源'!$J:$J,'4月数据源'!$D:$D,$E106,'4月数据源'!$F:$F,"SMART LEARNING HOLDING")*I$185</f>
        <v/>
      </c>
      <c r="J106" s="89">
        <f>-SUMIFS('5月数据源'!$I:$I,'5月数据源'!$D:$D,$E106,'5月数据源'!$F:$F,"SMART LEARNING HOLDING")*J$185+SUMIFS('5月数据源'!$J:$J,'5月数据源'!$D:$D,$E106,'5月数据源'!$F:$F,"SMART LEARNING HOLDING")*J$185</f>
        <v/>
      </c>
      <c r="K106" s="89">
        <f>-SUMIFS('6月数据源'!$I:$I,'6月数据源'!$D:$D,$E106,'6月数据源'!$F:$F,"SMART LEARNING HOLDING")*K$185+SUMIFS('6月数据源'!$J:$J,'6月数据源'!$D:$D,$E106,'6月数据源'!$F:$F,"SMART LEARNING HOLDING")*K$185</f>
        <v/>
      </c>
      <c r="L106" s="89">
        <f>-SUMIFS('7月数据源'!$I:$I,'7月数据源'!$D:$D,$E106,'7月数据源'!$F:$F,"SMART LEARNING HOLDING")*L$185+SUMIFS('7月数据源'!$J:$J,'7月数据源'!$D:$D,$E106,'7月数据源'!$F:$F,"SMART LEARNING HOLDING")*L$185</f>
        <v/>
      </c>
      <c r="M106" s="89">
        <f>-SUMIFS('8月数据源'!$I:$I,'8月数据源'!$D:$D,$E106,'8月数据源'!$F:$F,"SMART LEARNING HOLDING")*M$185+SUMIFS('8月数据源'!$J:$J,'8月数据源'!$D:$D,$E106,'8月数据源'!$F:$F,"SMART LEARNING HOLDING")*M$185</f>
        <v/>
      </c>
      <c r="N106" s="89">
        <f>-SUMIFS('9月数据源'!$I:$I,'9月数据源'!$D:$D,$E106,'9月数据源'!$F:$F,"SMART LEARNING HOLDING")*N$185+SUMIFS('9月数据源'!$J:$J,'9月数据源'!$D:$D,$E106,'9月数据源'!$F:$F,"SMART LEARNING HOLDING")*N$185</f>
        <v/>
      </c>
      <c r="O106" s="89">
        <f>-SUMIFS('10月数据源'!$I:$I,'10月数据源'!$D:$D,$E106,'10月数据源'!$F:$F,"SMART LEARNING HOLDING")*O$185+SUMIFS('10月数据源'!$J:$J,'10月数据源'!$D:$D,$E106,'10月数据源'!$F:$F,"SMART LEARNING HOLDING")*O$185</f>
        <v/>
      </c>
      <c r="P106" s="89">
        <f>-SUMIFS('11月数据源'!$I:$I,'11月数据源'!$D:$D,$E106,'11月数据源'!$F:$F,"SMART LEARNING HOLDING")*P$185+SUMIFS('11月数据源'!$J:$J,'11月数据源'!$D:$D,$E106,'11月数据源'!$F:$F,"SMART LEARNING HOLDING")*P$185</f>
        <v/>
      </c>
      <c r="Q106" s="89">
        <f>-SUMIFS('12月数据源'!$I:$I,'12月数据源'!$D:$D,$E106,'12月数据源'!$F:$F,"SMART LEARNING HOLDING")*Q$185+SUMIFS('12月数据源'!$J:$J,'12月数据源'!$D:$D,$E106,'12月数据源'!$F:$F,"SMART LEARNING HOLDING")*Q$185</f>
        <v/>
      </c>
    </row>
    <row r="107" s="83">
      <c r="A107" s="5" t="inlineStr">
        <is>
          <t>销售费用</t>
        </is>
      </c>
      <c r="B107" s="6" t="inlineStr">
        <is>
          <t>内容种草</t>
        </is>
      </c>
      <c r="D107" s="5" t="inlineStr">
        <is>
          <t>抖音平台种草-达人合作</t>
        </is>
      </c>
      <c r="E107" s="6" t="inlineStr">
        <is>
          <t>Q1903</t>
        </is>
      </c>
      <c r="F107" s="89">
        <f>-SUMIFS('1月数据源'!$I:$I,'1月数据源'!$D:$D,$E107,'1月数据源'!$F:$F,"SMART LEARNING HOLDING")*F$185+SUMIFS('1月数据源'!$J:$J,'1月数据源'!$D:$D,$E107,'1月数据源'!$F:$F,"SMART LEARNING HOLDING")*F$185</f>
        <v/>
      </c>
      <c r="G107" s="89">
        <f>-SUMIFS('2月数据源'!$I:$I,'2月数据源'!$D:$D,$E107,'2月数据源'!$F:$F,"SMART LEARNING HOLDING")*G$185+SUMIFS('2月数据源'!$J:$J,'2月数据源'!$D:$D,$E107,'2月数据源'!$F:$F,"SMART LEARNING HOLDING")*G$185</f>
        <v/>
      </c>
      <c r="H107" s="89">
        <f>-SUMIFS('3月数据源'!$I:$I,'3月数据源'!$D:$D,$E107,'3月数据源'!$F:$F,"SMART LEARNING HOLDING")*H$185+SUMIFS('3月数据源'!$J:$J,'3月数据源'!$D:$D,$E107,'3月数据源'!$F:$F,"SMART LEARNING HOLDING")*H$185</f>
        <v/>
      </c>
      <c r="I107" s="89">
        <f>-SUMIFS('4月数据源'!$I:$I,'4月数据源'!$D:$D,$E107,'4月数据源'!$F:$F,"SMART LEARNING HOLDING")*I$185+SUMIFS('4月数据源'!$J:$J,'4月数据源'!$D:$D,$E107,'4月数据源'!$F:$F,"SMART LEARNING HOLDING")*I$185</f>
        <v/>
      </c>
      <c r="J107" s="89">
        <f>-SUMIFS('5月数据源'!$I:$I,'5月数据源'!$D:$D,$E107,'5月数据源'!$F:$F,"SMART LEARNING HOLDING")*J$185+SUMIFS('5月数据源'!$J:$J,'5月数据源'!$D:$D,$E107,'5月数据源'!$F:$F,"SMART LEARNING HOLDING")*J$185</f>
        <v/>
      </c>
      <c r="K107" s="89">
        <f>-SUMIFS('6月数据源'!$I:$I,'6月数据源'!$D:$D,$E107,'6月数据源'!$F:$F,"SMART LEARNING HOLDING")*K$185+SUMIFS('6月数据源'!$J:$J,'6月数据源'!$D:$D,$E107,'6月数据源'!$F:$F,"SMART LEARNING HOLDING")*K$185</f>
        <v/>
      </c>
      <c r="L107" s="89">
        <f>-SUMIFS('7月数据源'!$I:$I,'7月数据源'!$D:$D,$E107,'7月数据源'!$F:$F,"SMART LEARNING HOLDING")*L$185+SUMIFS('7月数据源'!$J:$J,'7月数据源'!$D:$D,$E107,'7月数据源'!$F:$F,"SMART LEARNING HOLDING")*L$185</f>
        <v/>
      </c>
      <c r="M107" s="89">
        <f>-SUMIFS('8月数据源'!$I:$I,'8月数据源'!$D:$D,$E107,'8月数据源'!$F:$F,"SMART LEARNING HOLDING")*M$185+SUMIFS('8月数据源'!$J:$J,'8月数据源'!$D:$D,$E107,'8月数据源'!$F:$F,"SMART LEARNING HOLDING")*M$185</f>
        <v/>
      </c>
      <c r="N107" s="89">
        <f>-SUMIFS('9月数据源'!$I:$I,'9月数据源'!$D:$D,$E107,'9月数据源'!$F:$F,"SMART LEARNING HOLDING")*N$185+SUMIFS('9月数据源'!$J:$J,'9月数据源'!$D:$D,$E107,'9月数据源'!$F:$F,"SMART LEARNING HOLDING")*N$185</f>
        <v/>
      </c>
      <c r="O107" s="89">
        <f>-SUMIFS('10月数据源'!$I:$I,'10月数据源'!$D:$D,$E107,'10月数据源'!$F:$F,"SMART LEARNING HOLDING")*O$185+SUMIFS('10月数据源'!$J:$J,'10月数据源'!$D:$D,$E107,'10月数据源'!$F:$F,"SMART LEARNING HOLDING")*O$185</f>
        <v/>
      </c>
      <c r="P107" s="89">
        <f>-SUMIFS('11月数据源'!$I:$I,'11月数据源'!$D:$D,$E107,'11月数据源'!$F:$F,"SMART LEARNING HOLDING")*P$185+SUMIFS('11月数据源'!$J:$J,'11月数据源'!$D:$D,$E107,'11月数据源'!$F:$F,"SMART LEARNING HOLDING")*P$185</f>
        <v/>
      </c>
      <c r="Q107" s="89">
        <f>-SUMIFS('12月数据源'!$I:$I,'12月数据源'!$D:$D,$E107,'12月数据源'!$F:$F,"SMART LEARNING HOLDING")*Q$185+SUMIFS('12月数据源'!$J:$J,'12月数据源'!$D:$D,$E107,'12月数据源'!$F:$F,"SMART LEARNING HOLDING")*Q$185</f>
        <v/>
      </c>
    </row>
    <row r="108" s="83">
      <c r="A108" s="5" t="inlineStr">
        <is>
          <t>销售费用</t>
        </is>
      </c>
      <c r="B108" s="6" t="inlineStr">
        <is>
          <t>内容种草</t>
        </is>
      </c>
      <c r="D108" s="5" t="inlineStr">
        <is>
          <t>小红书平台种草-达人合作</t>
        </is>
      </c>
      <c r="E108" s="6" t="inlineStr">
        <is>
          <t>Q1904</t>
        </is>
      </c>
      <c r="F108" s="89">
        <f>-SUMIFS('1月数据源'!$I:$I,'1月数据源'!$D:$D,$E108,'1月数据源'!$F:$F,"SMART LEARNING HOLDING")*F$185+SUMIFS('1月数据源'!$J:$J,'1月数据源'!$D:$D,$E108,'1月数据源'!$F:$F,"SMART LEARNING HOLDING")*F$185</f>
        <v/>
      </c>
      <c r="G108" s="89">
        <f>-SUMIFS('2月数据源'!$I:$I,'2月数据源'!$D:$D,$E108,'2月数据源'!$F:$F,"SMART LEARNING HOLDING")*G$185+SUMIFS('2月数据源'!$J:$J,'2月数据源'!$D:$D,$E108,'2月数据源'!$F:$F,"SMART LEARNING HOLDING")*G$185</f>
        <v/>
      </c>
      <c r="H108" s="89">
        <f>-SUMIFS('3月数据源'!$I:$I,'3月数据源'!$D:$D,$E108,'3月数据源'!$F:$F,"SMART LEARNING HOLDING")*H$185+SUMIFS('3月数据源'!$J:$J,'3月数据源'!$D:$D,$E108,'3月数据源'!$F:$F,"SMART LEARNING HOLDING")*H$185</f>
        <v/>
      </c>
      <c r="I108" s="89">
        <f>-SUMIFS('4月数据源'!$I:$I,'4月数据源'!$D:$D,$E108,'4月数据源'!$F:$F,"SMART LEARNING HOLDING")*I$185+SUMIFS('4月数据源'!$J:$J,'4月数据源'!$D:$D,$E108,'4月数据源'!$F:$F,"SMART LEARNING HOLDING")*I$185</f>
        <v/>
      </c>
      <c r="J108" s="89">
        <f>-SUMIFS('5月数据源'!$I:$I,'5月数据源'!$D:$D,$E108,'5月数据源'!$F:$F,"SMART LEARNING HOLDING")*J$185+SUMIFS('5月数据源'!$J:$J,'5月数据源'!$D:$D,$E108,'5月数据源'!$F:$F,"SMART LEARNING HOLDING")*J$185</f>
        <v/>
      </c>
      <c r="K108" s="89">
        <f>-SUMIFS('6月数据源'!$I:$I,'6月数据源'!$D:$D,$E108,'6月数据源'!$F:$F,"SMART LEARNING HOLDING")*K$185+SUMIFS('6月数据源'!$J:$J,'6月数据源'!$D:$D,$E108,'6月数据源'!$F:$F,"SMART LEARNING HOLDING")*K$185</f>
        <v/>
      </c>
      <c r="L108" s="89">
        <f>-SUMIFS('7月数据源'!$I:$I,'7月数据源'!$D:$D,$E108,'7月数据源'!$F:$F,"SMART LEARNING HOLDING")*L$185+SUMIFS('7月数据源'!$J:$J,'7月数据源'!$D:$D,$E108,'7月数据源'!$F:$F,"SMART LEARNING HOLDING")*L$185</f>
        <v/>
      </c>
      <c r="M108" s="89">
        <f>-SUMIFS('8月数据源'!$I:$I,'8月数据源'!$D:$D,$E108,'8月数据源'!$F:$F,"SMART LEARNING HOLDING")*M$185+SUMIFS('8月数据源'!$J:$J,'8月数据源'!$D:$D,$E108,'8月数据源'!$F:$F,"SMART LEARNING HOLDING")*M$185</f>
        <v/>
      </c>
      <c r="N108" s="89">
        <f>-SUMIFS('9月数据源'!$I:$I,'9月数据源'!$D:$D,$E108,'9月数据源'!$F:$F,"SMART LEARNING HOLDING")*N$185+SUMIFS('9月数据源'!$J:$J,'9月数据源'!$D:$D,$E108,'9月数据源'!$F:$F,"SMART LEARNING HOLDING")*N$185</f>
        <v/>
      </c>
      <c r="O108" s="89">
        <f>-SUMIFS('10月数据源'!$I:$I,'10月数据源'!$D:$D,$E108,'10月数据源'!$F:$F,"SMART LEARNING HOLDING")*O$185+SUMIFS('10月数据源'!$J:$J,'10月数据源'!$D:$D,$E108,'10月数据源'!$F:$F,"SMART LEARNING HOLDING")*O$185</f>
        <v/>
      </c>
      <c r="P108" s="89">
        <f>-SUMIFS('11月数据源'!$I:$I,'11月数据源'!$D:$D,$E108,'11月数据源'!$F:$F,"SMART LEARNING HOLDING")*P$185+SUMIFS('11月数据源'!$J:$J,'11月数据源'!$D:$D,$E108,'11月数据源'!$F:$F,"SMART LEARNING HOLDING")*P$185</f>
        <v/>
      </c>
      <c r="Q108" s="89">
        <f>-SUMIFS('12月数据源'!$I:$I,'12月数据源'!$D:$D,$E108,'12月数据源'!$F:$F,"SMART LEARNING HOLDING")*Q$185+SUMIFS('12月数据源'!$J:$J,'12月数据源'!$D:$D,$E108,'12月数据源'!$F:$F,"SMART LEARNING HOLDING")*Q$185</f>
        <v/>
      </c>
    </row>
    <row r="109" s="83">
      <c r="A109" s="5" t="inlineStr">
        <is>
          <t>销售费用</t>
        </is>
      </c>
      <c r="B109" s="6" t="inlineStr">
        <is>
          <t>内容种草</t>
        </is>
      </c>
      <c r="D109" s="5" t="inlineStr">
        <is>
          <t>全平台种草-达人合作</t>
        </is>
      </c>
      <c r="E109" s="6" t="inlineStr">
        <is>
          <t>Q1905</t>
        </is>
      </c>
      <c r="F109" s="89">
        <f>-SUMIFS('1月数据源'!$I:$I,'1月数据源'!$D:$D,$E109,'1月数据源'!$F:$F,"SMART LEARNING HOLDING")*F$185+SUMIFS('1月数据源'!$J:$J,'1月数据源'!$D:$D,$E109,'1月数据源'!$F:$F,"SMART LEARNING HOLDING")*F$185</f>
        <v/>
      </c>
      <c r="G109" s="89">
        <f>-SUMIFS('2月数据源'!$I:$I,'2月数据源'!$D:$D,$E109,'2月数据源'!$F:$F,"SMART LEARNING HOLDING")*G$185+SUMIFS('2月数据源'!$J:$J,'2月数据源'!$D:$D,$E109,'2月数据源'!$F:$F,"SMART LEARNING HOLDING")*G$185</f>
        <v/>
      </c>
      <c r="H109" s="89">
        <f>-SUMIFS('3月数据源'!$I:$I,'3月数据源'!$D:$D,$E109,'3月数据源'!$F:$F,"SMART LEARNING HOLDING")*H$185+SUMIFS('3月数据源'!$J:$J,'3月数据源'!$D:$D,$E109,'3月数据源'!$F:$F,"SMART LEARNING HOLDING")*H$185</f>
        <v/>
      </c>
      <c r="I109" s="89">
        <f>-SUMIFS('4月数据源'!$I:$I,'4月数据源'!$D:$D,$E109,'4月数据源'!$F:$F,"SMART LEARNING HOLDING")*I$185+SUMIFS('4月数据源'!$J:$J,'4月数据源'!$D:$D,$E109,'4月数据源'!$F:$F,"SMART LEARNING HOLDING")*I$185</f>
        <v/>
      </c>
      <c r="J109" s="89">
        <f>-SUMIFS('5月数据源'!$I:$I,'5月数据源'!$D:$D,$E109,'5月数据源'!$F:$F,"SMART LEARNING HOLDING")*J$185+SUMIFS('5月数据源'!$J:$J,'5月数据源'!$D:$D,$E109,'5月数据源'!$F:$F,"SMART LEARNING HOLDING")*J$185</f>
        <v/>
      </c>
      <c r="K109" s="89">
        <f>-SUMIFS('6月数据源'!$I:$I,'6月数据源'!$D:$D,$E109,'6月数据源'!$F:$F,"SMART LEARNING HOLDING")*K$185+SUMIFS('6月数据源'!$J:$J,'6月数据源'!$D:$D,$E109,'6月数据源'!$F:$F,"SMART LEARNING HOLDING")*K$185</f>
        <v/>
      </c>
      <c r="L109" s="89">
        <f>-SUMIFS('7月数据源'!$I:$I,'7月数据源'!$D:$D,$E109,'7月数据源'!$F:$F,"SMART LEARNING HOLDING")*L$185+SUMIFS('7月数据源'!$J:$J,'7月数据源'!$D:$D,$E109,'7月数据源'!$F:$F,"SMART LEARNING HOLDING")*L$185</f>
        <v/>
      </c>
      <c r="M109" s="89">
        <f>-SUMIFS('8月数据源'!$I:$I,'8月数据源'!$D:$D,$E109,'8月数据源'!$F:$F,"SMART LEARNING HOLDING")*M$185+SUMIFS('8月数据源'!$J:$J,'8月数据源'!$D:$D,$E109,'8月数据源'!$F:$F,"SMART LEARNING HOLDING")*M$185</f>
        <v/>
      </c>
      <c r="N109" s="89">
        <f>-SUMIFS('9月数据源'!$I:$I,'9月数据源'!$D:$D,$E109,'9月数据源'!$F:$F,"SMART LEARNING HOLDING")*N$185+SUMIFS('9月数据源'!$J:$J,'9月数据源'!$D:$D,$E109,'9月数据源'!$F:$F,"SMART LEARNING HOLDING")*N$185</f>
        <v/>
      </c>
      <c r="O109" s="89">
        <f>-SUMIFS('10月数据源'!$I:$I,'10月数据源'!$D:$D,$E109,'10月数据源'!$F:$F,"SMART LEARNING HOLDING")*O$185+SUMIFS('10月数据源'!$J:$J,'10月数据源'!$D:$D,$E109,'10月数据源'!$F:$F,"SMART LEARNING HOLDING")*O$185</f>
        <v/>
      </c>
      <c r="P109" s="89">
        <f>-SUMIFS('11月数据源'!$I:$I,'11月数据源'!$D:$D,$E109,'11月数据源'!$F:$F,"SMART LEARNING HOLDING")*P$185+SUMIFS('11月数据源'!$J:$J,'11月数据源'!$D:$D,$E109,'11月数据源'!$F:$F,"SMART LEARNING HOLDING")*P$185</f>
        <v/>
      </c>
      <c r="Q109" s="89">
        <f>-SUMIFS('12月数据源'!$I:$I,'12月数据源'!$D:$D,$E109,'12月数据源'!$F:$F,"SMART LEARNING HOLDING")*Q$185+SUMIFS('12月数据源'!$J:$J,'12月数据源'!$D:$D,$E109,'12月数据源'!$F:$F,"SMART LEARNING HOLDING")*Q$185</f>
        <v/>
      </c>
    </row>
    <row r="110" s="83">
      <c r="A110" s="5" t="inlineStr">
        <is>
          <t>销售费用</t>
        </is>
      </c>
      <c r="B110" s="6" t="inlineStr">
        <is>
          <t>内容种草</t>
        </is>
      </c>
      <c r="D110" s="5" t="inlineStr">
        <is>
          <t>小红书种草充值</t>
        </is>
      </c>
      <c r="E110" s="6" t="inlineStr">
        <is>
          <t>Q1906</t>
        </is>
      </c>
      <c r="F110" s="89">
        <f>-SUMIFS('1月数据源'!$I:$I,'1月数据源'!$D:$D,$E110,'1月数据源'!$F:$F,"SMART LEARNING HOLDING")*F$185+SUMIFS('1月数据源'!$J:$J,'1月数据源'!$D:$D,$E110,'1月数据源'!$F:$F,"SMART LEARNING HOLDING")*F$185</f>
        <v/>
      </c>
      <c r="G110" s="89">
        <f>-SUMIFS('2月数据源'!$I:$I,'2月数据源'!$D:$D,$E110,'2月数据源'!$F:$F,"SMART LEARNING HOLDING")*G$185+SUMIFS('2月数据源'!$J:$J,'2月数据源'!$D:$D,$E110,'2月数据源'!$F:$F,"SMART LEARNING HOLDING")*G$185</f>
        <v/>
      </c>
      <c r="H110" s="89">
        <f>-SUMIFS('3月数据源'!$I:$I,'3月数据源'!$D:$D,$E110,'3月数据源'!$F:$F,"SMART LEARNING HOLDING")*H$185+SUMIFS('3月数据源'!$J:$J,'3月数据源'!$D:$D,$E110,'3月数据源'!$F:$F,"SMART LEARNING HOLDING")*H$185</f>
        <v/>
      </c>
      <c r="I110" s="89">
        <f>-SUMIFS('4月数据源'!$I:$I,'4月数据源'!$D:$D,$E110,'4月数据源'!$F:$F,"SMART LEARNING HOLDING")*I$185+SUMIFS('4月数据源'!$J:$J,'4月数据源'!$D:$D,$E110,'4月数据源'!$F:$F,"SMART LEARNING HOLDING")*I$185</f>
        <v/>
      </c>
      <c r="J110" s="89">
        <f>-SUMIFS('5月数据源'!$I:$I,'5月数据源'!$D:$D,$E110,'5月数据源'!$F:$F,"SMART LEARNING HOLDING")*J$185+SUMIFS('5月数据源'!$J:$J,'5月数据源'!$D:$D,$E110,'5月数据源'!$F:$F,"SMART LEARNING HOLDING")*J$185</f>
        <v/>
      </c>
      <c r="K110" s="89">
        <f>-SUMIFS('6月数据源'!$I:$I,'6月数据源'!$D:$D,$E110,'6月数据源'!$F:$F,"SMART LEARNING HOLDING")*K$185+SUMIFS('6月数据源'!$J:$J,'6月数据源'!$D:$D,$E110,'6月数据源'!$F:$F,"SMART LEARNING HOLDING")*K$185</f>
        <v/>
      </c>
      <c r="L110" s="89">
        <f>-SUMIFS('7月数据源'!$I:$I,'7月数据源'!$D:$D,$E110,'7月数据源'!$F:$F,"SMART LEARNING HOLDING")*L$185+SUMIFS('7月数据源'!$J:$J,'7月数据源'!$D:$D,$E110,'7月数据源'!$F:$F,"SMART LEARNING HOLDING")*L$185</f>
        <v/>
      </c>
      <c r="M110" s="89">
        <f>-SUMIFS('8月数据源'!$I:$I,'8月数据源'!$D:$D,$E110,'8月数据源'!$F:$F,"SMART LEARNING HOLDING")*M$185+SUMIFS('8月数据源'!$J:$J,'8月数据源'!$D:$D,$E110,'8月数据源'!$F:$F,"SMART LEARNING HOLDING")*M$185</f>
        <v/>
      </c>
      <c r="N110" s="89">
        <f>-SUMIFS('9月数据源'!$I:$I,'9月数据源'!$D:$D,$E110,'9月数据源'!$F:$F,"SMART LEARNING HOLDING")*N$185+SUMIFS('9月数据源'!$J:$J,'9月数据源'!$D:$D,$E110,'9月数据源'!$F:$F,"SMART LEARNING HOLDING")*N$185</f>
        <v/>
      </c>
      <c r="O110" s="89">
        <f>-SUMIFS('10月数据源'!$I:$I,'10月数据源'!$D:$D,$E110,'10月数据源'!$F:$F,"SMART LEARNING HOLDING")*O$185+SUMIFS('10月数据源'!$J:$J,'10月数据源'!$D:$D,$E110,'10月数据源'!$F:$F,"SMART LEARNING HOLDING")*O$185</f>
        <v/>
      </c>
      <c r="P110" s="89">
        <f>-SUMIFS('11月数据源'!$I:$I,'11月数据源'!$D:$D,$E110,'11月数据源'!$F:$F,"SMART LEARNING HOLDING")*P$185+SUMIFS('11月数据源'!$J:$J,'11月数据源'!$D:$D,$E110,'11月数据源'!$F:$F,"SMART LEARNING HOLDING")*P$185</f>
        <v/>
      </c>
      <c r="Q110" s="89">
        <f>-SUMIFS('12月数据源'!$I:$I,'12月数据源'!$D:$D,$E110,'12月数据源'!$F:$F,"SMART LEARNING HOLDING")*Q$185+SUMIFS('12月数据源'!$J:$J,'12月数据源'!$D:$D,$E110,'12月数据源'!$F:$F,"SMART LEARNING HOLDING")*Q$185</f>
        <v/>
      </c>
    </row>
    <row r="111" s="83">
      <c r="A111" s="5" t="inlineStr">
        <is>
          <t>销售费用</t>
        </is>
      </c>
      <c r="B111" s="6" t="inlineStr">
        <is>
          <t>投放转化</t>
        </is>
      </c>
      <c r="C111" s="6" t="inlineStr">
        <is>
          <t>投放转化</t>
        </is>
      </c>
      <c r="D111" s="5" t="inlineStr">
        <is>
          <t>信息流视频制作</t>
        </is>
      </c>
      <c r="E111" s="6" t="inlineStr">
        <is>
          <t>Q2001</t>
        </is>
      </c>
      <c r="F111" s="89">
        <f>-SUMIFS('1月数据源'!$I:$I,'1月数据源'!$D:$D,$E111,'1月数据源'!$F:$F,"SMART LEARNING HOLDING")*F$185+SUMIFS('1月数据源'!$J:$J,'1月数据源'!$D:$D,$E111,'1月数据源'!$F:$F,"SMART LEARNING HOLDING")*F$185</f>
        <v/>
      </c>
      <c r="G111" s="89">
        <f>-SUMIFS('2月数据源'!$I:$I,'2月数据源'!$D:$D,$E111,'2月数据源'!$F:$F,"SMART LEARNING HOLDING")*G$185+SUMIFS('2月数据源'!$J:$J,'2月数据源'!$D:$D,$E111,'2月数据源'!$F:$F,"SMART LEARNING HOLDING")*G$185</f>
        <v/>
      </c>
      <c r="H111" s="89">
        <f>-SUMIFS('3月数据源'!$I:$I,'3月数据源'!$D:$D,$E111,'3月数据源'!$F:$F,"SMART LEARNING HOLDING")*H$185+SUMIFS('3月数据源'!$J:$J,'3月数据源'!$D:$D,$E111,'3月数据源'!$F:$F,"SMART LEARNING HOLDING")*H$185</f>
        <v/>
      </c>
      <c r="I111" s="89">
        <f>-SUMIFS('4月数据源'!$I:$I,'4月数据源'!$D:$D,$E111,'4月数据源'!$F:$F,"SMART LEARNING HOLDING")*I$185+SUMIFS('4月数据源'!$J:$J,'4月数据源'!$D:$D,$E111,'4月数据源'!$F:$F,"SMART LEARNING HOLDING")*I$185</f>
        <v/>
      </c>
      <c r="J111" s="89">
        <f>-SUMIFS('5月数据源'!$I:$I,'5月数据源'!$D:$D,$E111,'5月数据源'!$F:$F,"SMART LEARNING HOLDING")*J$185+SUMIFS('5月数据源'!$J:$J,'5月数据源'!$D:$D,$E111,'5月数据源'!$F:$F,"SMART LEARNING HOLDING")*J$185</f>
        <v/>
      </c>
      <c r="K111" s="89">
        <f>-SUMIFS('6月数据源'!$I:$I,'6月数据源'!$D:$D,$E111,'6月数据源'!$F:$F,"SMART LEARNING HOLDING")*K$185+SUMIFS('6月数据源'!$J:$J,'6月数据源'!$D:$D,$E111,'6月数据源'!$F:$F,"SMART LEARNING HOLDING")*K$185</f>
        <v/>
      </c>
      <c r="L111" s="89">
        <f>-SUMIFS('7月数据源'!$I:$I,'7月数据源'!$D:$D,$E111,'7月数据源'!$F:$F,"SMART LEARNING HOLDING")*L$185+SUMIFS('7月数据源'!$J:$J,'7月数据源'!$D:$D,$E111,'7月数据源'!$F:$F,"SMART LEARNING HOLDING")*L$185</f>
        <v/>
      </c>
      <c r="M111" s="89">
        <f>-SUMIFS('8月数据源'!$I:$I,'8月数据源'!$D:$D,$E111,'8月数据源'!$F:$F,"SMART LEARNING HOLDING")*M$185+SUMIFS('8月数据源'!$J:$J,'8月数据源'!$D:$D,$E111,'8月数据源'!$F:$F,"SMART LEARNING HOLDING")*M$185</f>
        <v/>
      </c>
      <c r="N111" s="89">
        <f>-SUMIFS('9月数据源'!$I:$I,'9月数据源'!$D:$D,$E111,'9月数据源'!$F:$F,"SMART LEARNING HOLDING")*N$185+SUMIFS('9月数据源'!$J:$J,'9月数据源'!$D:$D,$E111,'9月数据源'!$F:$F,"SMART LEARNING HOLDING")*N$185</f>
        <v/>
      </c>
      <c r="O111" s="89">
        <f>-SUMIFS('10月数据源'!$I:$I,'10月数据源'!$D:$D,$E111,'10月数据源'!$F:$F,"SMART LEARNING HOLDING")*O$185+SUMIFS('10月数据源'!$J:$J,'10月数据源'!$D:$D,$E111,'10月数据源'!$F:$F,"SMART LEARNING HOLDING")*O$185</f>
        <v/>
      </c>
      <c r="P111" s="89">
        <f>-SUMIFS('11月数据源'!$I:$I,'11月数据源'!$D:$D,$E111,'11月数据源'!$F:$F,"SMART LEARNING HOLDING")*P$185+SUMIFS('11月数据源'!$J:$J,'11月数据源'!$D:$D,$E111,'11月数据源'!$F:$F,"SMART LEARNING HOLDING")*P$185</f>
        <v/>
      </c>
      <c r="Q111" s="89">
        <f>-SUMIFS('12月数据源'!$I:$I,'12月数据源'!$D:$D,$E111,'12月数据源'!$F:$F,"SMART LEARNING HOLDING")*Q$185+SUMIFS('12月数据源'!$J:$J,'12月数据源'!$D:$D,$E111,'12月数据源'!$F:$F,"SMART LEARNING HOLDING")*Q$185</f>
        <v/>
      </c>
    </row>
    <row r="112" s="83">
      <c r="A112" s="5" t="inlineStr">
        <is>
          <t>销售费用</t>
        </is>
      </c>
      <c r="B112" s="6" t="inlineStr">
        <is>
          <t>投放转化</t>
        </is>
      </c>
      <c r="D112" s="5" t="inlineStr">
        <is>
          <t>抖音投放充值</t>
        </is>
      </c>
      <c r="E112" s="6" t="inlineStr">
        <is>
          <t>Q2002</t>
        </is>
      </c>
      <c r="F112" s="89">
        <f>-SUMIFS('1月数据源'!$I:$I,'1月数据源'!$D:$D,$E112,'1月数据源'!$F:$F,"SMART LEARNING HOLDING")*F$185+SUMIFS('1月数据源'!$J:$J,'1月数据源'!$D:$D,$E112,'1月数据源'!$F:$F,"SMART LEARNING HOLDING")*F$185</f>
        <v/>
      </c>
      <c r="G112" s="89">
        <f>-SUMIFS('2月数据源'!$I:$I,'2月数据源'!$D:$D,$E112,'2月数据源'!$F:$F,"SMART LEARNING HOLDING")*G$185+SUMIFS('2月数据源'!$J:$J,'2月数据源'!$D:$D,$E112,'2月数据源'!$F:$F,"SMART LEARNING HOLDING")*G$185</f>
        <v/>
      </c>
      <c r="H112" s="89">
        <f>-SUMIFS('3月数据源'!$I:$I,'3月数据源'!$D:$D,$E112,'3月数据源'!$F:$F,"SMART LEARNING HOLDING")*H$185+SUMIFS('3月数据源'!$J:$J,'3月数据源'!$D:$D,$E112,'3月数据源'!$F:$F,"SMART LEARNING HOLDING")*H$185</f>
        <v/>
      </c>
      <c r="I112" s="89">
        <f>-SUMIFS('4月数据源'!$I:$I,'4月数据源'!$D:$D,$E112,'4月数据源'!$F:$F,"SMART LEARNING HOLDING")*I$185+SUMIFS('4月数据源'!$J:$J,'4月数据源'!$D:$D,$E112,'4月数据源'!$F:$F,"SMART LEARNING HOLDING")*I$185</f>
        <v/>
      </c>
      <c r="J112" s="89">
        <f>-SUMIFS('5月数据源'!$I:$I,'5月数据源'!$D:$D,$E112,'5月数据源'!$F:$F,"SMART LEARNING HOLDING")*J$185+SUMIFS('5月数据源'!$J:$J,'5月数据源'!$D:$D,$E112,'5月数据源'!$F:$F,"SMART LEARNING HOLDING")*J$185</f>
        <v/>
      </c>
      <c r="K112" s="89">
        <f>-SUMIFS('6月数据源'!$I:$I,'6月数据源'!$D:$D,$E112,'6月数据源'!$F:$F,"SMART LEARNING HOLDING")*K$185+SUMIFS('6月数据源'!$J:$J,'6月数据源'!$D:$D,$E112,'6月数据源'!$F:$F,"SMART LEARNING HOLDING")*K$185</f>
        <v/>
      </c>
      <c r="L112" s="89">
        <f>-SUMIFS('7月数据源'!$I:$I,'7月数据源'!$D:$D,$E112,'7月数据源'!$F:$F,"SMART LEARNING HOLDING")*L$185+SUMIFS('7月数据源'!$J:$J,'7月数据源'!$D:$D,$E112,'7月数据源'!$F:$F,"SMART LEARNING HOLDING")*L$185</f>
        <v/>
      </c>
      <c r="M112" s="89">
        <f>-SUMIFS('8月数据源'!$I:$I,'8月数据源'!$D:$D,$E112,'8月数据源'!$F:$F,"SMART LEARNING HOLDING")*M$185+SUMIFS('8月数据源'!$J:$J,'8月数据源'!$D:$D,$E112,'8月数据源'!$F:$F,"SMART LEARNING HOLDING")*M$185</f>
        <v/>
      </c>
      <c r="N112" s="89">
        <f>-SUMIFS('9月数据源'!$I:$I,'9月数据源'!$D:$D,$E112,'9月数据源'!$F:$F,"SMART LEARNING HOLDING")*N$185+SUMIFS('9月数据源'!$J:$J,'9月数据源'!$D:$D,$E112,'9月数据源'!$F:$F,"SMART LEARNING HOLDING")*N$185</f>
        <v/>
      </c>
      <c r="O112" s="89">
        <f>-SUMIFS('10月数据源'!$I:$I,'10月数据源'!$D:$D,$E112,'10月数据源'!$F:$F,"SMART LEARNING HOLDING")*O$185+SUMIFS('10月数据源'!$J:$J,'10月数据源'!$D:$D,$E112,'10月数据源'!$F:$F,"SMART LEARNING HOLDING")*O$185</f>
        <v/>
      </c>
      <c r="P112" s="89">
        <f>-SUMIFS('11月数据源'!$I:$I,'11月数据源'!$D:$D,$E112,'11月数据源'!$F:$F,"SMART LEARNING HOLDING")*P$185+SUMIFS('11月数据源'!$J:$J,'11月数据源'!$D:$D,$E112,'11月数据源'!$F:$F,"SMART LEARNING HOLDING")*P$185</f>
        <v/>
      </c>
      <c r="Q112" s="89">
        <f>-SUMIFS('12月数据源'!$I:$I,'12月数据源'!$D:$D,$E112,'12月数据源'!$F:$F,"SMART LEARNING HOLDING")*Q$185+SUMIFS('12月数据源'!$J:$J,'12月数据源'!$D:$D,$E112,'12月数据源'!$F:$F,"SMART LEARNING HOLDING")*Q$185</f>
        <v/>
      </c>
    </row>
    <row r="113" s="83">
      <c r="A113" s="5" t="inlineStr">
        <is>
          <t>销售费用</t>
        </is>
      </c>
      <c r="B113" s="6" t="inlineStr">
        <is>
          <t>投放转化</t>
        </is>
      </c>
      <c r="D113" s="5" t="inlineStr">
        <is>
          <t>京东平台投放充值</t>
        </is>
      </c>
      <c r="E113" s="6" t="inlineStr">
        <is>
          <t>Q2003</t>
        </is>
      </c>
      <c r="F113" s="89">
        <f>-SUMIFS('1月数据源'!$I:$I,'1月数据源'!$D:$D,$E113,'1月数据源'!$F:$F,"SMART LEARNING HOLDING")*F$185+SUMIFS('1月数据源'!$J:$J,'1月数据源'!$D:$D,$E113,'1月数据源'!$F:$F,"SMART LEARNING HOLDING")*F$185</f>
        <v/>
      </c>
      <c r="G113" s="89">
        <f>-SUMIFS('2月数据源'!$I:$I,'2月数据源'!$D:$D,$E113,'2月数据源'!$F:$F,"SMART LEARNING HOLDING")*G$185+SUMIFS('2月数据源'!$J:$J,'2月数据源'!$D:$D,$E113,'2月数据源'!$F:$F,"SMART LEARNING HOLDING")*G$185</f>
        <v/>
      </c>
      <c r="H113" s="89">
        <f>-SUMIFS('3月数据源'!$I:$I,'3月数据源'!$D:$D,$E113,'3月数据源'!$F:$F,"SMART LEARNING HOLDING")*H$185+SUMIFS('3月数据源'!$J:$J,'3月数据源'!$D:$D,$E113,'3月数据源'!$F:$F,"SMART LEARNING HOLDING")*H$185</f>
        <v/>
      </c>
      <c r="I113" s="89">
        <f>-SUMIFS('4月数据源'!$I:$I,'4月数据源'!$D:$D,$E113,'4月数据源'!$F:$F,"SMART LEARNING HOLDING")*I$185+SUMIFS('4月数据源'!$J:$J,'4月数据源'!$D:$D,$E113,'4月数据源'!$F:$F,"SMART LEARNING HOLDING")*I$185</f>
        <v/>
      </c>
      <c r="J113" s="89">
        <f>-SUMIFS('5月数据源'!$I:$I,'5月数据源'!$D:$D,$E113,'5月数据源'!$F:$F,"SMART LEARNING HOLDING")*J$185+SUMIFS('5月数据源'!$J:$J,'5月数据源'!$D:$D,$E113,'5月数据源'!$F:$F,"SMART LEARNING HOLDING")*J$185</f>
        <v/>
      </c>
      <c r="K113" s="89">
        <f>-SUMIFS('6月数据源'!$I:$I,'6月数据源'!$D:$D,$E113,'6月数据源'!$F:$F,"SMART LEARNING HOLDING")*K$185+SUMIFS('6月数据源'!$J:$J,'6月数据源'!$D:$D,$E113,'6月数据源'!$F:$F,"SMART LEARNING HOLDING")*K$185</f>
        <v/>
      </c>
      <c r="L113" s="89">
        <f>-SUMIFS('7月数据源'!$I:$I,'7月数据源'!$D:$D,$E113,'7月数据源'!$F:$F,"SMART LEARNING HOLDING")*L$185+SUMIFS('7月数据源'!$J:$J,'7月数据源'!$D:$D,$E113,'7月数据源'!$F:$F,"SMART LEARNING HOLDING")*L$185</f>
        <v/>
      </c>
      <c r="M113" s="89">
        <f>-SUMIFS('8月数据源'!$I:$I,'8月数据源'!$D:$D,$E113,'8月数据源'!$F:$F,"SMART LEARNING HOLDING")*M$185+SUMIFS('8月数据源'!$J:$J,'8月数据源'!$D:$D,$E113,'8月数据源'!$F:$F,"SMART LEARNING HOLDING")*M$185</f>
        <v/>
      </c>
      <c r="N113" s="89">
        <f>-SUMIFS('9月数据源'!$I:$I,'9月数据源'!$D:$D,$E113,'9月数据源'!$F:$F,"SMART LEARNING HOLDING")*N$185+SUMIFS('9月数据源'!$J:$J,'9月数据源'!$D:$D,$E113,'9月数据源'!$F:$F,"SMART LEARNING HOLDING")*N$185</f>
        <v/>
      </c>
      <c r="O113" s="89">
        <f>-SUMIFS('10月数据源'!$I:$I,'10月数据源'!$D:$D,$E113,'10月数据源'!$F:$F,"SMART LEARNING HOLDING")*O$185+SUMIFS('10月数据源'!$J:$J,'10月数据源'!$D:$D,$E113,'10月数据源'!$F:$F,"SMART LEARNING HOLDING")*O$185</f>
        <v/>
      </c>
      <c r="P113" s="89">
        <f>-SUMIFS('11月数据源'!$I:$I,'11月数据源'!$D:$D,$E113,'11月数据源'!$F:$F,"SMART LEARNING HOLDING")*P$185+SUMIFS('11月数据源'!$J:$J,'11月数据源'!$D:$D,$E113,'11月数据源'!$F:$F,"SMART LEARNING HOLDING")*P$185</f>
        <v/>
      </c>
      <c r="Q113" s="89">
        <f>-SUMIFS('12月数据源'!$I:$I,'12月数据源'!$D:$D,$E113,'12月数据源'!$F:$F,"SMART LEARNING HOLDING")*Q$185+SUMIFS('12月数据源'!$J:$J,'12月数据源'!$D:$D,$E113,'12月数据源'!$F:$F,"SMART LEARNING HOLDING")*Q$185</f>
        <v/>
      </c>
    </row>
    <row r="114" s="83">
      <c r="A114" s="5" t="inlineStr">
        <is>
          <t>销售费用</t>
        </is>
      </c>
      <c r="B114" s="6" t="inlineStr">
        <is>
          <t>投放转化</t>
        </is>
      </c>
      <c r="D114" s="5" t="inlineStr">
        <is>
          <t>视频号投放充值</t>
        </is>
      </c>
      <c r="E114" s="6" t="inlineStr">
        <is>
          <t>Q2004</t>
        </is>
      </c>
      <c r="F114" s="89">
        <f>-SUMIFS('1月数据源'!$I:$I,'1月数据源'!$D:$D,$E114,'1月数据源'!$F:$F,"SMART LEARNING HOLDING")*F$185+SUMIFS('1月数据源'!$J:$J,'1月数据源'!$D:$D,$E114,'1月数据源'!$F:$F,"SMART LEARNING HOLDING")*F$185</f>
        <v/>
      </c>
      <c r="G114" s="89">
        <f>-SUMIFS('2月数据源'!$I:$I,'2月数据源'!$D:$D,$E114,'2月数据源'!$F:$F,"SMART LEARNING HOLDING")*G$185+SUMIFS('2月数据源'!$J:$J,'2月数据源'!$D:$D,$E114,'2月数据源'!$F:$F,"SMART LEARNING HOLDING")*G$185</f>
        <v/>
      </c>
      <c r="H114" s="89">
        <f>-SUMIFS('3月数据源'!$I:$I,'3月数据源'!$D:$D,$E114,'3月数据源'!$F:$F,"SMART LEARNING HOLDING")*H$185+SUMIFS('3月数据源'!$J:$J,'3月数据源'!$D:$D,$E114,'3月数据源'!$F:$F,"SMART LEARNING HOLDING")*H$185</f>
        <v/>
      </c>
      <c r="I114" s="89">
        <f>-SUMIFS('4月数据源'!$I:$I,'4月数据源'!$D:$D,$E114,'4月数据源'!$F:$F,"SMART LEARNING HOLDING")*I$185+SUMIFS('4月数据源'!$J:$J,'4月数据源'!$D:$D,$E114,'4月数据源'!$F:$F,"SMART LEARNING HOLDING")*I$185</f>
        <v/>
      </c>
      <c r="J114" s="89">
        <f>-SUMIFS('5月数据源'!$I:$I,'5月数据源'!$D:$D,$E114,'5月数据源'!$F:$F,"SMART LEARNING HOLDING")*J$185+SUMIFS('5月数据源'!$J:$J,'5月数据源'!$D:$D,$E114,'5月数据源'!$F:$F,"SMART LEARNING HOLDING")*J$185</f>
        <v/>
      </c>
      <c r="K114" s="89">
        <f>-SUMIFS('6月数据源'!$I:$I,'6月数据源'!$D:$D,$E114,'6月数据源'!$F:$F,"SMART LEARNING HOLDING")*K$185+SUMIFS('6月数据源'!$J:$J,'6月数据源'!$D:$D,$E114,'6月数据源'!$F:$F,"SMART LEARNING HOLDING")*K$185</f>
        <v/>
      </c>
      <c r="L114" s="89">
        <f>-SUMIFS('7月数据源'!$I:$I,'7月数据源'!$D:$D,$E114,'7月数据源'!$F:$F,"SMART LEARNING HOLDING")*L$185+SUMIFS('7月数据源'!$J:$J,'7月数据源'!$D:$D,$E114,'7月数据源'!$F:$F,"SMART LEARNING HOLDING")*L$185</f>
        <v/>
      </c>
      <c r="M114" s="89">
        <f>-SUMIFS('8月数据源'!$I:$I,'8月数据源'!$D:$D,$E114,'8月数据源'!$F:$F,"SMART LEARNING HOLDING")*M$185+SUMIFS('8月数据源'!$J:$J,'8月数据源'!$D:$D,$E114,'8月数据源'!$F:$F,"SMART LEARNING HOLDING")*M$185</f>
        <v/>
      </c>
      <c r="N114" s="89">
        <f>-SUMIFS('9月数据源'!$I:$I,'9月数据源'!$D:$D,$E114,'9月数据源'!$F:$F,"SMART LEARNING HOLDING")*N$185+SUMIFS('9月数据源'!$J:$J,'9月数据源'!$D:$D,$E114,'9月数据源'!$F:$F,"SMART LEARNING HOLDING")*N$185</f>
        <v/>
      </c>
      <c r="O114" s="89">
        <f>-SUMIFS('10月数据源'!$I:$I,'10月数据源'!$D:$D,$E114,'10月数据源'!$F:$F,"SMART LEARNING HOLDING")*O$185+SUMIFS('10月数据源'!$J:$J,'10月数据源'!$D:$D,$E114,'10月数据源'!$F:$F,"SMART LEARNING HOLDING")*O$185</f>
        <v/>
      </c>
      <c r="P114" s="89">
        <f>-SUMIFS('11月数据源'!$I:$I,'11月数据源'!$D:$D,$E114,'11月数据源'!$F:$F,"SMART LEARNING HOLDING")*P$185+SUMIFS('11月数据源'!$J:$J,'11月数据源'!$D:$D,$E114,'11月数据源'!$F:$F,"SMART LEARNING HOLDING")*P$185</f>
        <v/>
      </c>
      <c r="Q114" s="89">
        <f>-SUMIFS('12月数据源'!$I:$I,'12月数据源'!$D:$D,$E114,'12月数据源'!$F:$F,"SMART LEARNING HOLDING")*Q$185+SUMIFS('12月数据源'!$J:$J,'12月数据源'!$D:$D,$E114,'12月数据源'!$F:$F,"SMART LEARNING HOLDING")*Q$185</f>
        <v/>
      </c>
    </row>
    <row r="115" s="83">
      <c r="A115" s="5" t="inlineStr">
        <is>
          <t>销售费用</t>
        </is>
      </c>
      <c r="B115" s="6" t="inlineStr">
        <is>
          <t>投放转化</t>
        </is>
      </c>
      <c r="D115" s="5" t="inlineStr">
        <is>
          <t>天猫平台投放充值</t>
        </is>
      </c>
      <c r="E115" s="6" t="inlineStr">
        <is>
          <t>Q2005</t>
        </is>
      </c>
      <c r="F115" s="89">
        <f>-SUMIFS('1月数据源'!$I:$I,'1月数据源'!$D:$D,$E115,'1月数据源'!$F:$F,"SMART LEARNING HOLDING")*F$185+SUMIFS('1月数据源'!$J:$J,'1月数据源'!$D:$D,$E115,'1月数据源'!$F:$F,"SMART LEARNING HOLDING")*F$185</f>
        <v/>
      </c>
      <c r="G115" s="89">
        <f>-SUMIFS('2月数据源'!$I:$I,'2月数据源'!$D:$D,$E115,'2月数据源'!$F:$F,"SMART LEARNING HOLDING")*G$185+SUMIFS('2月数据源'!$J:$J,'2月数据源'!$D:$D,$E115,'2月数据源'!$F:$F,"SMART LEARNING HOLDING")*G$185</f>
        <v/>
      </c>
      <c r="H115" s="89">
        <f>-SUMIFS('3月数据源'!$I:$I,'3月数据源'!$D:$D,$E115,'3月数据源'!$F:$F,"SMART LEARNING HOLDING")*H$185+SUMIFS('3月数据源'!$J:$J,'3月数据源'!$D:$D,$E115,'3月数据源'!$F:$F,"SMART LEARNING HOLDING")*H$185</f>
        <v/>
      </c>
      <c r="I115" s="89">
        <f>-SUMIFS('4月数据源'!$I:$I,'4月数据源'!$D:$D,$E115,'4月数据源'!$F:$F,"SMART LEARNING HOLDING")*I$185+SUMIFS('4月数据源'!$J:$J,'4月数据源'!$D:$D,$E115,'4月数据源'!$F:$F,"SMART LEARNING HOLDING")*I$185</f>
        <v/>
      </c>
      <c r="J115" s="89">
        <f>-SUMIFS('5月数据源'!$I:$I,'5月数据源'!$D:$D,$E115,'5月数据源'!$F:$F,"SMART LEARNING HOLDING")*J$185+SUMIFS('5月数据源'!$J:$J,'5月数据源'!$D:$D,$E115,'5月数据源'!$F:$F,"SMART LEARNING HOLDING")*J$185</f>
        <v/>
      </c>
      <c r="K115" s="89">
        <f>-SUMIFS('6月数据源'!$I:$I,'6月数据源'!$D:$D,$E115,'6月数据源'!$F:$F,"SMART LEARNING HOLDING")*K$185+SUMIFS('6月数据源'!$J:$J,'6月数据源'!$D:$D,$E115,'6月数据源'!$F:$F,"SMART LEARNING HOLDING")*K$185</f>
        <v/>
      </c>
      <c r="L115" s="89">
        <f>-SUMIFS('7月数据源'!$I:$I,'7月数据源'!$D:$D,$E115,'7月数据源'!$F:$F,"SMART LEARNING HOLDING")*L$185+SUMIFS('7月数据源'!$J:$J,'7月数据源'!$D:$D,$E115,'7月数据源'!$F:$F,"SMART LEARNING HOLDING")*L$185</f>
        <v/>
      </c>
      <c r="M115" s="89">
        <f>-SUMIFS('8月数据源'!$I:$I,'8月数据源'!$D:$D,$E115,'8月数据源'!$F:$F,"SMART LEARNING HOLDING")*M$185+SUMIFS('8月数据源'!$J:$J,'8月数据源'!$D:$D,$E115,'8月数据源'!$F:$F,"SMART LEARNING HOLDING")*M$185</f>
        <v/>
      </c>
      <c r="N115" s="89">
        <f>-SUMIFS('9月数据源'!$I:$I,'9月数据源'!$D:$D,$E115,'9月数据源'!$F:$F,"SMART LEARNING HOLDING")*N$185+SUMIFS('9月数据源'!$J:$J,'9月数据源'!$D:$D,$E115,'9月数据源'!$F:$F,"SMART LEARNING HOLDING")*N$185</f>
        <v/>
      </c>
      <c r="O115" s="89">
        <f>-SUMIFS('10月数据源'!$I:$I,'10月数据源'!$D:$D,$E115,'10月数据源'!$F:$F,"SMART LEARNING HOLDING")*O$185+SUMIFS('10月数据源'!$J:$J,'10月数据源'!$D:$D,$E115,'10月数据源'!$F:$F,"SMART LEARNING HOLDING")*O$185</f>
        <v/>
      </c>
      <c r="P115" s="89">
        <f>-SUMIFS('11月数据源'!$I:$I,'11月数据源'!$D:$D,$E115,'11月数据源'!$F:$F,"SMART LEARNING HOLDING")*P$185+SUMIFS('11月数据源'!$J:$J,'11月数据源'!$D:$D,$E115,'11月数据源'!$F:$F,"SMART LEARNING HOLDING")*P$185</f>
        <v/>
      </c>
      <c r="Q115" s="89">
        <f>-SUMIFS('12月数据源'!$I:$I,'12月数据源'!$D:$D,$E115,'12月数据源'!$F:$F,"SMART LEARNING HOLDING")*Q$185+SUMIFS('12月数据源'!$J:$J,'12月数据源'!$D:$D,$E115,'12月数据源'!$F:$F,"SMART LEARNING HOLDING")*Q$185</f>
        <v/>
      </c>
    </row>
    <row r="116" s="83">
      <c r="A116" s="5" t="inlineStr">
        <is>
          <t>销售费用</t>
        </is>
      </c>
      <c r="B116" s="6" t="inlineStr">
        <is>
          <t>直播间运营</t>
        </is>
      </c>
      <c r="C116" s="6" t="inlineStr">
        <is>
          <t>直播间运营</t>
        </is>
      </c>
      <c r="D116" s="5" t="inlineStr">
        <is>
          <t>DP-有熊团队服务费</t>
        </is>
      </c>
      <c r="E116" s="6" t="inlineStr">
        <is>
          <t>Q2101</t>
        </is>
      </c>
      <c r="F116" s="89">
        <f>-SUMIFS('1月数据源'!$I:$I,'1月数据源'!$D:$D,$E116,'1月数据源'!$F:$F,"SMART LEARNING HOLDING")*F$185+SUMIFS('1月数据源'!$J:$J,'1月数据源'!$D:$D,$E116,'1月数据源'!$F:$F,"SMART LEARNING HOLDING")*F$185</f>
        <v/>
      </c>
      <c r="G116" s="89">
        <f>-SUMIFS('2月数据源'!$I:$I,'2月数据源'!$D:$D,$E116,'2月数据源'!$F:$F,"SMART LEARNING HOLDING")*G$185+SUMIFS('2月数据源'!$J:$J,'2月数据源'!$D:$D,$E116,'2月数据源'!$F:$F,"SMART LEARNING HOLDING")*G$185</f>
        <v/>
      </c>
      <c r="H116" s="89">
        <f>-SUMIFS('3月数据源'!$I:$I,'3月数据源'!$D:$D,$E116,'3月数据源'!$F:$F,"SMART LEARNING HOLDING")*H$185+SUMIFS('3月数据源'!$J:$J,'3月数据源'!$D:$D,$E116,'3月数据源'!$F:$F,"SMART LEARNING HOLDING")*H$185</f>
        <v/>
      </c>
      <c r="I116" s="89">
        <f>-SUMIFS('4月数据源'!$I:$I,'4月数据源'!$D:$D,$E116,'4月数据源'!$F:$F,"SMART LEARNING HOLDING")*I$185+SUMIFS('4月数据源'!$J:$J,'4月数据源'!$D:$D,$E116,'4月数据源'!$F:$F,"SMART LEARNING HOLDING")*I$185</f>
        <v/>
      </c>
      <c r="J116" s="89">
        <f>-SUMIFS('5月数据源'!$I:$I,'5月数据源'!$D:$D,$E116,'5月数据源'!$F:$F,"SMART LEARNING HOLDING")*J$185+SUMIFS('5月数据源'!$J:$J,'5月数据源'!$D:$D,$E116,'5月数据源'!$F:$F,"SMART LEARNING HOLDING")*J$185</f>
        <v/>
      </c>
      <c r="K116" s="89">
        <f>-SUMIFS('6月数据源'!$I:$I,'6月数据源'!$D:$D,$E116,'6月数据源'!$F:$F,"SMART LEARNING HOLDING")*K$185+SUMIFS('6月数据源'!$J:$J,'6月数据源'!$D:$D,$E116,'6月数据源'!$F:$F,"SMART LEARNING HOLDING")*K$185</f>
        <v/>
      </c>
      <c r="L116" s="89">
        <f>-SUMIFS('7月数据源'!$I:$I,'7月数据源'!$D:$D,$E116,'7月数据源'!$F:$F,"SMART LEARNING HOLDING")*L$185+SUMIFS('7月数据源'!$J:$J,'7月数据源'!$D:$D,$E116,'7月数据源'!$F:$F,"SMART LEARNING HOLDING")*L$185</f>
        <v/>
      </c>
      <c r="M116" s="89">
        <f>-SUMIFS('8月数据源'!$I:$I,'8月数据源'!$D:$D,$E116,'8月数据源'!$F:$F,"SMART LEARNING HOLDING")*M$185+SUMIFS('8月数据源'!$J:$J,'8月数据源'!$D:$D,$E116,'8月数据源'!$F:$F,"SMART LEARNING HOLDING")*M$185</f>
        <v/>
      </c>
      <c r="N116" s="89">
        <f>-SUMIFS('9月数据源'!$I:$I,'9月数据源'!$D:$D,$E116,'9月数据源'!$F:$F,"SMART LEARNING HOLDING")*N$185+SUMIFS('9月数据源'!$J:$J,'9月数据源'!$D:$D,$E116,'9月数据源'!$F:$F,"SMART LEARNING HOLDING")*N$185</f>
        <v/>
      </c>
      <c r="O116" s="89">
        <f>-SUMIFS('10月数据源'!$I:$I,'10月数据源'!$D:$D,$E116,'10月数据源'!$F:$F,"SMART LEARNING HOLDING")*O$185+SUMIFS('10月数据源'!$J:$J,'10月数据源'!$D:$D,$E116,'10月数据源'!$F:$F,"SMART LEARNING HOLDING")*O$185</f>
        <v/>
      </c>
      <c r="P116" s="89">
        <f>-SUMIFS('11月数据源'!$I:$I,'11月数据源'!$D:$D,$E116,'11月数据源'!$F:$F,"SMART LEARNING HOLDING")*P$185+SUMIFS('11月数据源'!$J:$J,'11月数据源'!$D:$D,$E116,'11月数据源'!$F:$F,"SMART LEARNING HOLDING")*P$185</f>
        <v/>
      </c>
      <c r="Q116" s="89">
        <f>-SUMIFS('12月数据源'!$I:$I,'12月数据源'!$D:$D,$E116,'12月数据源'!$F:$F,"SMART LEARNING HOLDING")*Q$185+SUMIFS('12月数据源'!$J:$J,'12月数据源'!$D:$D,$E116,'12月数据源'!$F:$F,"SMART LEARNING HOLDING")*Q$185</f>
        <v/>
      </c>
    </row>
    <row r="117" s="83">
      <c r="A117" s="5" t="inlineStr">
        <is>
          <t>销售费用</t>
        </is>
      </c>
      <c r="B117" s="6" t="inlineStr">
        <is>
          <t>直播间运营</t>
        </is>
      </c>
      <c r="D117" s="5" t="inlineStr">
        <is>
          <t>DP-黑哥团队服务费</t>
        </is>
      </c>
      <c r="E117" s="6" t="inlineStr">
        <is>
          <t>Q2102</t>
        </is>
      </c>
      <c r="F117" s="89">
        <f>-SUMIFS('1月数据源'!$I:$I,'1月数据源'!$D:$D,$E117,'1月数据源'!$F:$F,"SMART LEARNING HOLDING")*F$185+SUMIFS('1月数据源'!$J:$J,'1月数据源'!$D:$D,$E117,'1月数据源'!$F:$F,"SMART LEARNING HOLDING")*F$185</f>
        <v/>
      </c>
      <c r="G117" s="89">
        <f>-SUMIFS('2月数据源'!$I:$I,'2月数据源'!$D:$D,$E117,'2月数据源'!$F:$F,"SMART LEARNING HOLDING")*G$185+SUMIFS('2月数据源'!$J:$J,'2月数据源'!$D:$D,$E117,'2月数据源'!$F:$F,"SMART LEARNING HOLDING")*G$185</f>
        <v/>
      </c>
      <c r="H117" s="89">
        <f>-SUMIFS('3月数据源'!$I:$I,'3月数据源'!$D:$D,$E117,'3月数据源'!$F:$F,"SMART LEARNING HOLDING")*H$185+SUMIFS('3月数据源'!$J:$J,'3月数据源'!$D:$D,$E117,'3月数据源'!$F:$F,"SMART LEARNING HOLDING")*H$185</f>
        <v/>
      </c>
      <c r="I117" s="89">
        <f>-SUMIFS('4月数据源'!$I:$I,'4月数据源'!$D:$D,$E117,'4月数据源'!$F:$F,"SMART LEARNING HOLDING")*I$185+SUMIFS('4月数据源'!$J:$J,'4月数据源'!$D:$D,$E117,'4月数据源'!$F:$F,"SMART LEARNING HOLDING")*I$185</f>
        <v/>
      </c>
      <c r="J117" s="89">
        <f>-SUMIFS('5月数据源'!$I:$I,'5月数据源'!$D:$D,$E117,'5月数据源'!$F:$F,"SMART LEARNING HOLDING")*J$185+SUMIFS('5月数据源'!$J:$J,'5月数据源'!$D:$D,$E117,'5月数据源'!$F:$F,"SMART LEARNING HOLDING")*J$185</f>
        <v/>
      </c>
      <c r="K117" s="89">
        <f>-SUMIFS('6月数据源'!$I:$I,'6月数据源'!$D:$D,$E117,'6月数据源'!$F:$F,"SMART LEARNING HOLDING")*K$185+SUMIFS('6月数据源'!$J:$J,'6月数据源'!$D:$D,$E117,'6月数据源'!$F:$F,"SMART LEARNING HOLDING")*K$185</f>
        <v/>
      </c>
      <c r="L117" s="89">
        <f>-SUMIFS('7月数据源'!$I:$I,'7月数据源'!$D:$D,$E117,'7月数据源'!$F:$F,"SMART LEARNING HOLDING")*L$185+SUMIFS('7月数据源'!$J:$J,'7月数据源'!$D:$D,$E117,'7月数据源'!$F:$F,"SMART LEARNING HOLDING")*L$185</f>
        <v/>
      </c>
      <c r="M117" s="89">
        <f>-SUMIFS('8月数据源'!$I:$I,'8月数据源'!$D:$D,$E117,'8月数据源'!$F:$F,"SMART LEARNING HOLDING")*M$185+SUMIFS('8月数据源'!$J:$J,'8月数据源'!$D:$D,$E117,'8月数据源'!$F:$F,"SMART LEARNING HOLDING")*M$185</f>
        <v/>
      </c>
      <c r="N117" s="89">
        <f>-SUMIFS('9月数据源'!$I:$I,'9月数据源'!$D:$D,$E117,'9月数据源'!$F:$F,"SMART LEARNING HOLDING")*N$185+SUMIFS('9月数据源'!$J:$J,'9月数据源'!$D:$D,$E117,'9月数据源'!$F:$F,"SMART LEARNING HOLDING")*N$185</f>
        <v/>
      </c>
      <c r="O117" s="89">
        <f>-SUMIFS('10月数据源'!$I:$I,'10月数据源'!$D:$D,$E117,'10月数据源'!$F:$F,"SMART LEARNING HOLDING")*O$185+SUMIFS('10月数据源'!$J:$J,'10月数据源'!$D:$D,$E117,'10月数据源'!$F:$F,"SMART LEARNING HOLDING")*O$185</f>
        <v/>
      </c>
      <c r="P117" s="89">
        <f>-SUMIFS('11月数据源'!$I:$I,'11月数据源'!$D:$D,$E117,'11月数据源'!$F:$F,"SMART LEARNING HOLDING")*P$185+SUMIFS('11月数据源'!$J:$J,'11月数据源'!$D:$D,$E117,'11月数据源'!$F:$F,"SMART LEARNING HOLDING")*P$185</f>
        <v/>
      </c>
      <c r="Q117" s="89">
        <f>-SUMIFS('12月数据源'!$I:$I,'12月数据源'!$D:$D,$E117,'12月数据源'!$F:$F,"SMART LEARNING HOLDING")*Q$185+SUMIFS('12月数据源'!$J:$J,'12月数据源'!$D:$D,$E117,'12月数据源'!$F:$F,"SMART LEARNING HOLDING")*Q$185</f>
        <v/>
      </c>
    </row>
    <row r="118" s="83">
      <c r="A118" s="5" t="inlineStr">
        <is>
          <t>销售费用</t>
        </is>
      </c>
      <c r="B118" s="6" t="inlineStr">
        <is>
          <t>直播间运营</t>
        </is>
      </c>
      <c r="D118" s="5" t="inlineStr">
        <is>
          <t>DP-小太阳团队服务费</t>
        </is>
      </c>
      <c r="E118" s="6" t="inlineStr">
        <is>
          <t>Q2103</t>
        </is>
      </c>
      <c r="F118" s="89">
        <f>-SUMIFS('1月数据源'!$I:$I,'1月数据源'!$D:$D,$E118,'1月数据源'!$F:$F,"SMART LEARNING HOLDING")*F$185+SUMIFS('1月数据源'!$J:$J,'1月数据源'!$D:$D,$E118,'1月数据源'!$F:$F,"SMART LEARNING HOLDING")*F$185</f>
        <v/>
      </c>
      <c r="G118" s="89">
        <f>-SUMIFS('2月数据源'!$I:$I,'2月数据源'!$D:$D,$E118,'2月数据源'!$F:$F,"SMART LEARNING HOLDING")*G$185+SUMIFS('2月数据源'!$J:$J,'2月数据源'!$D:$D,$E118,'2月数据源'!$F:$F,"SMART LEARNING HOLDING")*G$185</f>
        <v/>
      </c>
      <c r="H118" s="89">
        <f>-SUMIFS('3月数据源'!$I:$I,'3月数据源'!$D:$D,$E118,'3月数据源'!$F:$F,"SMART LEARNING HOLDING")*H$185+SUMIFS('3月数据源'!$J:$J,'3月数据源'!$D:$D,$E118,'3月数据源'!$F:$F,"SMART LEARNING HOLDING")*H$185</f>
        <v/>
      </c>
      <c r="I118" s="89">
        <f>-SUMIFS('4月数据源'!$I:$I,'4月数据源'!$D:$D,$E118,'4月数据源'!$F:$F,"SMART LEARNING HOLDING")*I$185+SUMIFS('4月数据源'!$J:$J,'4月数据源'!$D:$D,$E118,'4月数据源'!$F:$F,"SMART LEARNING HOLDING")*I$185</f>
        <v/>
      </c>
      <c r="J118" s="89">
        <f>-SUMIFS('5月数据源'!$I:$I,'5月数据源'!$D:$D,$E118,'5月数据源'!$F:$F,"SMART LEARNING HOLDING")*J$185+SUMIFS('5月数据源'!$J:$J,'5月数据源'!$D:$D,$E118,'5月数据源'!$F:$F,"SMART LEARNING HOLDING")*J$185</f>
        <v/>
      </c>
      <c r="K118" s="89">
        <f>-SUMIFS('6月数据源'!$I:$I,'6月数据源'!$D:$D,$E118,'6月数据源'!$F:$F,"SMART LEARNING HOLDING")*K$185+SUMIFS('6月数据源'!$J:$J,'6月数据源'!$D:$D,$E118,'6月数据源'!$F:$F,"SMART LEARNING HOLDING")*K$185</f>
        <v/>
      </c>
      <c r="L118" s="89">
        <f>-SUMIFS('7月数据源'!$I:$I,'7月数据源'!$D:$D,$E118,'7月数据源'!$F:$F,"SMART LEARNING HOLDING")*L$185+SUMIFS('7月数据源'!$J:$J,'7月数据源'!$D:$D,$E118,'7月数据源'!$F:$F,"SMART LEARNING HOLDING")*L$185</f>
        <v/>
      </c>
      <c r="M118" s="89">
        <f>-SUMIFS('8月数据源'!$I:$I,'8月数据源'!$D:$D,$E118,'8月数据源'!$F:$F,"SMART LEARNING HOLDING")*M$185+SUMIFS('8月数据源'!$J:$J,'8月数据源'!$D:$D,$E118,'8月数据源'!$F:$F,"SMART LEARNING HOLDING")*M$185</f>
        <v/>
      </c>
      <c r="N118" s="89">
        <f>-SUMIFS('9月数据源'!$I:$I,'9月数据源'!$D:$D,$E118,'9月数据源'!$F:$F,"SMART LEARNING HOLDING")*N$185+SUMIFS('9月数据源'!$J:$J,'9月数据源'!$D:$D,$E118,'9月数据源'!$F:$F,"SMART LEARNING HOLDING")*N$185</f>
        <v/>
      </c>
      <c r="O118" s="89">
        <f>-SUMIFS('10月数据源'!$I:$I,'10月数据源'!$D:$D,$E118,'10月数据源'!$F:$F,"SMART LEARNING HOLDING")*O$185+SUMIFS('10月数据源'!$J:$J,'10月数据源'!$D:$D,$E118,'10月数据源'!$F:$F,"SMART LEARNING HOLDING")*O$185</f>
        <v/>
      </c>
      <c r="P118" s="89">
        <f>-SUMIFS('11月数据源'!$I:$I,'11月数据源'!$D:$D,$E118,'11月数据源'!$F:$F,"SMART LEARNING HOLDING")*P$185+SUMIFS('11月数据源'!$J:$J,'11月数据源'!$D:$D,$E118,'11月数据源'!$F:$F,"SMART LEARNING HOLDING")*P$185</f>
        <v/>
      </c>
      <c r="Q118" s="89">
        <f>-SUMIFS('12月数据源'!$I:$I,'12月数据源'!$D:$D,$E118,'12月数据源'!$F:$F,"SMART LEARNING HOLDING")*Q$185+SUMIFS('12月数据源'!$J:$J,'12月数据源'!$D:$D,$E118,'12月数据源'!$F:$F,"SMART LEARNING HOLDING")*Q$185</f>
        <v/>
      </c>
    </row>
    <row r="119" s="83">
      <c r="A119" s="5" t="inlineStr">
        <is>
          <t>销售费用</t>
        </is>
      </c>
      <c r="B119" s="6" t="inlineStr">
        <is>
          <t>直播间运营</t>
        </is>
      </c>
      <c r="D119" s="5" t="inlineStr">
        <is>
          <t>直播间搭建费用</t>
        </is>
      </c>
      <c r="E119" s="6" t="inlineStr">
        <is>
          <t>Q2104</t>
        </is>
      </c>
      <c r="F119" s="89">
        <f>-SUMIFS('1月数据源'!$I:$I,'1月数据源'!$D:$D,$E119,'1月数据源'!$F:$F,"SMART LEARNING HOLDING")*F$185+SUMIFS('1月数据源'!$J:$J,'1月数据源'!$D:$D,$E119,'1月数据源'!$F:$F,"SMART LEARNING HOLDING")*F$185</f>
        <v/>
      </c>
      <c r="G119" s="89">
        <f>-SUMIFS('2月数据源'!$I:$I,'2月数据源'!$D:$D,$E119,'2月数据源'!$F:$F,"SMART LEARNING HOLDING")*G$185+SUMIFS('2月数据源'!$J:$J,'2月数据源'!$D:$D,$E119,'2月数据源'!$F:$F,"SMART LEARNING HOLDING")*G$185</f>
        <v/>
      </c>
      <c r="H119" s="89">
        <f>-SUMIFS('3月数据源'!$I:$I,'3月数据源'!$D:$D,$E119,'3月数据源'!$F:$F,"SMART LEARNING HOLDING")*H$185+SUMIFS('3月数据源'!$J:$J,'3月数据源'!$D:$D,$E119,'3月数据源'!$F:$F,"SMART LEARNING HOLDING")*H$185</f>
        <v/>
      </c>
      <c r="I119" s="89">
        <f>-SUMIFS('4月数据源'!$I:$I,'4月数据源'!$D:$D,$E119,'4月数据源'!$F:$F,"SMART LEARNING HOLDING")*I$185+SUMIFS('4月数据源'!$J:$J,'4月数据源'!$D:$D,$E119,'4月数据源'!$F:$F,"SMART LEARNING HOLDING")*I$185</f>
        <v/>
      </c>
      <c r="J119" s="89">
        <f>-SUMIFS('5月数据源'!$I:$I,'5月数据源'!$D:$D,$E119,'5月数据源'!$F:$F,"SMART LEARNING HOLDING")*J$185+SUMIFS('5月数据源'!$J:$J,'5月数据源'!$D:$D,$E119,'5月数据源'!$F:$F,"SMART LEARNING HOLDING")*J$185</f>
        <v/>
      </c>
      <c r="K119" s="89">
        <f>-SUMIFS('6月数据源'!$I:$I,'6月数据源'!$D:$D,$E119,'6月数据源'!$F:$F,"SMART LEARNING HOLDING")*K$185+SUMIFS('6月数据源'!$J:$J,'6月数据源'!$D:$D,$E119,'6月数据源'!$F:$F,"SMART LEARNING HOLDING")*K$185</f>
        <v/>
      </c>
      <c r="L119" s="89">
        <f>-SUMIFS('7月数据源'!$I:$I,'7月数据源'!$D:$D,$E119,'7月数据源'!$F:$F,"SMART LEARNING HOLDING")*L$185+SUMIFS('7月数据源'!$J:$J,'7月数据源'!$D:$D,$E119,'7月数据源'!$F:$F,"SMART LEARNING HOLDING")*L$185</f>
        <v/>
      </c>
      <c r="M119" s="89">
        <f>-SUMIFS('8月数据源'!$I:$I,'8月数据源'!$D:$D,$E119,'8月数据源'!$F:$F,"SMART LEARNING HOLDING")*M$185+SUMIFS('8月数据源'!$J:$J,'8月数据源'!$D:$D,$E119,'8月数据源'!$F:$F,"SMART LEARNING HOLDING")*M$185</f>
        <v/>
      </c>
      <c r="N119" s="89">
        <f>-SUMIFS('9月数据源'!$I:$I,'9月数据源'!$D:$D,$E119,'9月数据源'!$F:$F,"SMART LEARNING HOLDING")*N$185+SUMIFS('9月数据源'!$J:$J,'9月数据源'!$D:$D,$E119,'9月数据源'!$F:$F,"SMART LEARNING HOLDING")*N$185</f>
        <v/>
      </c>
      <c r="O119" s="89">
        <f>-SUMIFS('10月数据源'!$I:$I,'10月数据源'!$D:$D,$E119,'10月数据源'!$F:$F,"SMART LEARNING HOLDING")*O$185+SUMIFS('10月数据源'!$J:$J,'10月数据源'!$D:$D,$E119,'10月数据源'!$F:$F,"SMART LEARNING HOLDING")*O$185</f>
        <v/>
      </c>
      <c r="P119" s="89">
        <f>-SUMIFS('11月数据源'!$I:$I,'11月数据源'!$D:$D,$E119,'11月数据源'!$F:$F,"SMART LEARNING HOLDING")*P$185+SUMIFS('11月数据源'!$J:$J,'11月数据源'!$D:$D,$E119,'11月数据源'!$F:$F,"SMART LEARNING HOLDING")*P$185</f>
        <v/>
      </c>
      <c r="Q119" s="89">
        <f>-SUMIFS('12月数据源'!$I:$I,'12月数据源'!$D:$D,$E119,'12月数据源'!$F:$F,"SMART LEARNING HOLDING")*Q$185+SUMIFS('12月数据源'!$J:$J,'12月数据源'!$D:$D,$E119,'12月数据源'!$F:$F,"SMART LEARNING HOLDING")*Q$185</f>
        <v/>
      </c>
    </row>
    <row r="120" s="83">
      <c r="A120" s="5" t="inlineStr">
        <is>
          <t>销售费用</t>
        </is>
      </c>
      <c r="B120" s="6" t="inlineStr">
        <is>
          <t>平台运营</t>
        </is>
      </c>
      <c r="C120" s="6" t="inlineStr">
        <is>
          <t>平台运营</t>
        </is>
      </c>
      <c r="D120" s="5" t="inlineStr">
        <is>
          <t>分期服务费</t>
        </is>
      </c>
      <c r="E120" s="6" t="inlineStr">
        <is>
          <t>Q2204</t>
        </is>
      </c>
      <c r="F120" s="89">
        <f>-SUMIFS('1月数据源'!$I:$I,'1月数据源'!$D:$D,$E120,'1月数据源'!$F:$F,"SMART LEARNING HOLDING")*F$185+SUMIFS('1月数据源'!$J:$J,'1月数据源'!$D:$D,$E120,'1月数据源'!$F:$F,"SMART LEARNING HOLDING")*F$185</f>
        <v/>
      </c>
      <c r="G120" s="89">
        <f>-SUMIFS('2月数据源'!$I:$I,'2月数据源'!$D:$D,$E120,'2月数据源'!$F:$F,"SMART LEARNING HOLDING")*G$185+SUMIFS('2月数据源'!$J:$J,'2月数据源'!$D:$D,$E120,'2月数据源'!$F:$F,"SMART LEARNING HOLDING")*G$185</f>
        <v/>
      </c>
      <c r="H120" s="89">
        <f>-SUMIFS('3月数据源'!$I:$I,'3月数据源'!$D:$D,$E120,'3月数据源'!$F:$F,"SMART LEARNING HOLDING")*H$185+SUMIFS('3月数据源'!$J:$J,'3月数据源'!$D:$D,$E120,'3月数据源'!$F:$F,"SMART LEARNING HOLDING")*H$185</f>
        <v/>
      </c>
      <c r="I120" s="89">
        <f>-SUMIFS('4月数据源'!$I:$I,'4月数据源'!$D:$D,$E120,'4月数据源'!$F:$F,"SMART LEARNING HOLDING")*I$185+SUMIFS('4月数据源'!$J:$J,'4月数据源'!$D:$D,$E120,'4月数据源'!$F:$F,"SMART LEARNING HOLDING")*I$185</f>
        <v/>
      </c>
      <c r="J120" s="89">
        <f>-SUMIFS('5月数据源'!$I:$I,'5月数据源'!$D:$D,$E120,'5月数据源'!$F:$F,"SMART LEARNING HOLDING")*J$185+SUMIFS('5月数据源'!$J:$J,'5月数据源'!$D:$D,$E120,'5月数据源'!$F:$F,"SMART LEARNING HOLDING")*J$185</f>
        <v/>
      </c>
      <c r="K120" s="89">
        <f>-SUMIFS('6月数据源'!$I:$I,'6月数据源'!$D:$D,$E120,'6月数据源'!$F:$F,"SMART LEARNING HOLDING")*K$185+SUMIFS('6月数据源'!$J:$J,'6月数据源'!$D:$D,$E120,'6月数据源'!$F:$F,"SMART LEARNING HOLDING")*K$185</f>
        <v/>
      </c>
      <c r="L120" s="89">
        <f>-SUMIFS('7月数据源'!$I:$I,'7月数据源'!$D:$D,$E120,'7月数据源'!$F:$F,"SMART LEARNING HOLDING")*L$185+SUMIFS('7月数据源'!$J:$J,'7月数据源'!$D:$D,$E120,'7月数据源'!$F:$F,"SMART LEARNING HOLDING")*L$185</f>
        <v/>
      </c>
      <c r="M120" s="89">
        <f>-SUMIFS('8月数据源'!$I:$I,'8月数据源'!$D:$D,$E120,'8月数据源'!$F:$F,"SMART LEARNING HOLDING")*M$185+SUMIFS('8月数据源'!$J:$J,'8月数据源'!$D:$D,$E120,'8月数据源'!$F:$F,"SMART LEARNING HOLDING")*M$185</f>
        <v/>
      </c>
      <c r="N120" s="89">
        <f>-SUMIFS('9月数据源'!$I:$I,'9月数据源'!$D:$D,$E120,'9月数据源'!$F:$F,"SMART LEARNING HOLDING")*N$185+SUMIFS('9月数据源'!$J:$J,'9月数据源'!$D:$D,$E120,'9月数据源'!$F:$F,"SMART LEARNING HOLDING")*N$185</f>
        <v/>
      </c>
      <c r="O120" s="89">
        <f>-SUMIFS('10月数据源'!$I:$I,'10月数据源'!$D:$D,$E120,'10月数据源'!$F:$F,"SMART LEARNING HOLDING")*O$185+SUMIFS('10月数据源'!$J:$J,'10月数据源'!$D:$D,$E120,'10月数据源'!$F:$F,"SMART LEARNING HOLDING")*O$185</f>
        <v/>
      </c>
      <c r="P120" s="89">
        <f>-SUMIFS('11月数据源'!$I:$I,'11月数据源'!$D:$D,$E120,'11月数据源'!$F:$F,"SMART LEARNING HOLDING")*P$185+SUMIFS('11月数据源'!$J:$J,'11月数据源'!$D:$D,$E120,'11月数据源'!$F:$F,"SMART LEARNING HOLDING")*P$185</f>
        <v/>
      </c>
      <c r="Q120" s="89">
        <f>-SUMIFS('12月数据源'!$I:$I,'12月数据源'!$D:$D,$E120,'12月数据源'!$F:$F,"SMART LEARNING HOLDING")*Q$185+SUMIFS('12月数据源'!$J:$J,'12月数据源'!$D:$D,$E120,'12月数据源'!$F:$F,"SMART LEARNING HOLDING")*Q$185</f>
        <v/>
      </c>
    </row>
    <row r="121" s="83">
      <c r="A121" s="5" t="inlineStr">
        <is>
          <t>销售费用</t>
        </is>
      </c>
      <c r="B121" s="6" t="inlineStr">
        <is>
          <t>平台运营</t>
        </is>
      </c>
      <c r="D121" s="5" t="inlineStr">
        <is>
          <t>平台服务费</t>
        </is>
      </c>
      <c r="E121" s="6" t="inlineStr">
        <is>
          <t>Q2201</t>
        </is>
      </c>
      <c r="F121" s="89">
        <f>-SUMIFS('1月数据源'!$I:$I,'1月数据源'!$D:$D,$E121,'1月数据源'!$F:$F,"SMART LEARNING HOLDING")*F$185+SUMIFS('1月数据源'!$J:$J,'1月数据源'!$D:$D,$E121,'1月数据源'!$F:$F,"SMART LEARNING HOLDING")*F$185</f>
        <v/>
      </c>
      <c r="G121" s="89">
        <f>-SUMIFS('2月数据源'!$I:$I,'2月数据源'!$D:$D,$E121,'2月数据源'!$F:$F,"SMART LEARNING HOLDING")*G$185+SUMIFS('2月数据源'!$J:$J,'2月数据源'!$D:$D,$E121,'2月数据源'!$F:$F,"SMART LEARNING HOLDING")*G$185</f>
        <v/>
      </c>
      <c r="H121" s="89">
        <f>-SUMIFS('3月数据源'!$I:$I,'3月数据源'!$D:$D,$E121,'3月数据源'!$F:$F,"SMART LEARNING HOLDING")*H$185+SUMIFS('3月数据源'!$J:$J,'3月数据源'!$D:$D,$E121,'3月数据源'!$F:$F,"SMART LEARNING HOLDING")*H$185</f>
        <v/>
      </c>
      <c r="I121" s="89">
        <f>-SUMIFS('4月数据源'!$I:$I,'4月数据源'!$D:$D,$E121,'4月数据源'!$F:$F,"SMART LEARNING HOLDING")*I$185+SUMIFS('4月数据源'!$J:$J,'4月数据源'!$D:$D,$E121,'4月数据源'!$F:$F,"SMART LEARNING HOLDING")*I$185</f>
        <v/>
      </c>
      <c r="J121" s="89">
        <f>-SUMIFS('5月数据源'!$I:$I,'5月数据源'!$D:$D,$E121,'5月数据源'!$F:$F,"SMART LEARNING HOLDING")*J$185+SUMIFS('5月数据源'!$J:$J,'5月数据源'!$D:$D,$E121,'5月数据源'!$F:$F,"SMART LEARNING HOLDING")*J$185</f>
        <v/>
      </c>
      <c r="K121" s="89">
        <f>-SUMIFS('6月数据源'!$I:$I,'6月数据源'!$D:$D,$E121,'6月数据源'!$F:$F,"SMART LEARNING HOLDING")*K$185+SUMIFS('6月数据源'!$J:$J,'6月数据源'!$D:$D,$E121,'6月数据源'!$F:$F,"SMART LEARNING HOLDING")*K$185</f>
        <v/>
      </c>
      <c r="L121" s="89">
        <f>-SUMIFS('7月数据源'!$I:$I,'7月数据源'!$D:$D,$E121,'7月数据源'!$F:$F,"SMART LEARNING HOLDING")*L$185+SUMIFS('7月数据源'!$J:$J,'7月数据源'!$D:$D,$E121,'7月数据源'!$F:$F,"SMART LEARNING HOLDING")*L$185</f>
        <v/>
      </c>
      <c r="M121" s="89">
        <f>-SUMIFS('8月数据源'!$I:$I,'8月数据源'!$D:$D,$E121,'8月数据源'!$F:$F,"SMART LEARNING HOLDING")*M$185+SUMIFS('8月数据源'!$J:$J,'8月数据源'!$D:$D,$E121,'8月数据源'!$F:$F,"SMART LEARNING HOLDING")*M$185</f>
        <v/>
      </c>
      <c r="N121" s="89">
        <f>-SUMIFS('9月数据源'!$I:$I,'9月数据源'!$D:$D,$E121,'9月数据源'!$F:$F,"SMART LEARNING HOLDING")*N$185+SUMIFS('9月数据源'!$J:$J,'9月数据源'!$D:$D,$E121,'9月数据源'!$F:$F,"SMART LEARNING HOLDING")*N$185</f>
        <v/>
      </c>
      <c r="O121" s="89">
        <f>-SUMIFS('10月数据源'!$I:$I,'10月数据源'!$D:$D,$E121,'10月数据源'!$F:$F,"SMART LEARNING HOLDING")*O$185+SUMIFS('10月数据源'!$J:$J,'10月数据源'!$D:$D,$E121,'10月数据源'!$F:$F,"SMART LEARNING HOLDING")*O$185</f>
        <v/>
      </c>
      <c r="P121" s="89">
        <f>-SUMIFS('11月数据源'!$I:$I,'11月数据源'!$D:$D,$E121,'11月数据源'!$F:$F,"SMART LEARNING HOLDING")*P$185+SUMIFS('11月数据源'!$J:$J,'11月数据源'!$D:$D,$E121,'11月数据源'!$F:$F,"SMART LEARNING HOLDING")*P$185</f>
        <v/>
      </c>
      <c r="Q121" s="89">
        <f>-SUMIFS('12月数据源'!$I:$I,'12月数据源'!$D:$D,$E121,'12月数据源'!$F:$F,"SMART LEARNING HOLDING")*Q$185+SUMIFS('12月数据源'!$J:$J,'12月数据源'!$D:$D,$E121,'12月数据源'!$F:$F,"SMART LEARNING HOLDING")*Q$185</f>
        <v/>
      </c>
    </row>
    <row r="122" s="83">
      <c r="A122" s="5" t="inlineStr">
        <is>
          <t>销售费用</t>
        </is>
      </c>
      <c r="B122" s="6" t="inlineStr">
        <is>
          <t>平台运营</t>
        </is>
      </c>
      <c r="D122" s="5" t="inlineStr">
        <is>
          <t>权益保险</t>
        </is>
      </c>
      <c r="E122" s="6" t="inlineStr">
        <is>
          <t>Q2205</t>
        </is>
      </c>
      <c r="F122" s="89">
        <f>-SUMIFS('1月数据源'!$I:$I,'1月数据源'!$D:$D,$E122,'1月数据源'!$F:$F,"SMART LEARNING HOLDING")*F$185+SUMIFS('1月数据源'!$J:$J,'1月数据源'!$D:$D,$E122,'1月数据源'!$F:$F,"SMART LEARNING HOLDING")*F$185</f>
        <v/>
      </c>
      <c r="G122" s="89">
        <f>-SUMIFS('2月数据源'!$I:$I,'2月数据源'!$D:$D,$E122,'2月数据源'!$F:$F,"SMART LEARNING HOLDING")*G$185+SUMIFS('2月数据源'!$J:$J,'2月数据源'!$D:$D,$E122,'2月数据源'!$F:$F,"SMART LEARNING HOLDING")*G$185</f>
        <v/>
      </c>
      <c r="H122" s="89">
        <f>-SUMIFS('3月数据源'!$I:$I,'3月数据源'!$D:$D,$E122,'3月数据源'!$F:$F,"SMART LEARNING HOLDING")*H$185+SUMIFS('3月数据源'!$J:$J,'3月数据源'!$D:$D,$E122,'3月数据源'!$F:$F,"SMART LEARNING HOLDING")*H$185</f>
        <v/>
      </c>
      <c r="I122" s="89">
        <f>-SUMIFS('4月数据源'!$I:$I,'4月数据源'!$D:$D,$E122,'4月数据源'!$F:$F,"SMART LEARNING HOLDING")*I$185+SUMIFS('4月数据源'!$J:$J,'4月数据源'!$D:$D,$E122,'4月数据源'!$F:$F,"SMART LEARNING HOLDING")*I$185</f>
        <v/>
      </c>
      <c r="J122" s="89">
        <f>-SUMIFS('5月数据源'!$I:$I,'5月数据源'!$D:$D,$E122,'5月数据源'!$F:$F,"SMART LEARNING HOLDING")*J$185+SUMIFS('5月数据源'!$J:$J,'5月数据源'!$D:$D,$E122,'5月数据源'!$F:$F,"SMART LEARNING HOLDING")*J$185</f>
        <v/>
      </c>
      <c r="K122" s="89">
        <f>-SUMIFS('6月数据源'!$I:$I,'6月数据源'!$D:$D,$E122,'6月数据源'!$F:$F,"SMART LEARNING HOLDING")*K$185+SUMIFS('6月数据源'!$J:$J,'6月数据源'!$D:$D,$E122,'6月数据源'!$F:$F,"SMART LEARNING HOLDING")*K$185</f>
        <v/>
      </c>
      <c r="L122" s="89">
        <f>-SUMIFS('7月数据源'!$I:$I,'7月数据源'!$D:$D,$E122,'7月数据源'!$F:$F,"SMART LEARNING HOLDING")*L$185+SUMIFS('7月数据源'!$J:$J,'7月数据源'!$D:$D,$E122,'7月数据源'!$F:$F,"SMART LEARNING HOLDING")*L$185</f>
        <v/>
      </c>
      <c r="M122" s="89">
        <f>-SUMIFS('8月数据源'!$I:$I,'8月数据源'!$D:$D,$E122,'8月数据源'!$F:$F,"SMART LEARNING HOLDING")*M$185+SUMIFS('8月数据源'!$J:$J,'8月数据源'!$D:$D,$E122,'8月数据源'!$F:$F,"SMART LEARNING HOLDING")*M$185</f>
        <v/>
      </c>
      <c r="N122" s="89">
        <f>-SUMIFS('9月数据源'!$I:$I,'9月数据源'!$D:$D,$E122,'9月数据源'!$F:$F,"SMART LEARNING HOLDING")*N$185+SUMIFS('9月数据源'!$J:$J,'9月数据源'!$D:$D,$E122,'9月数据源'!$F:$F,"SMART LEARNING HOLDING")*N$185</f>
        <v/>
      </c>
      <c r="O122" s="89">
        <f>-SUMIFS('10月数据源'!$I:$I,'10月数据源'!$D:$D,$E122,'10月数据源'!$F:$F,"SMART LEARNING HOLDING")*O$185+SUMIFS('10月数据源'!$J:$J,'10月数据源'!$D:$D,$E122,'10月数据源'!$F:$F,"SMART LEARNING HOLDING")*O$185</f>
        <v/>
      </c>
      <c r="P122" s="89">
        <f>-SUMIFS('11月数据源'!$I:$I,'11月数据源'!$D:$D,$E122,'11月数据源'!$F:$F,"SMART LEARNING HOLDING")*P$185+SUMIFS('11月数据源'!$J:$J,'11月数据源'!$D:$D,$E122,'11月数据源'!$F:$F,"SMART LEARNING HOLDING")*P$185</f>
        <v/>
      </c>
      <c r="Q122" s="89">
        <f>-SUMIFS('12月数据源'!$I:$I,'12月数据源'!$D:$D,$E122,'12月数据源'!$F:$F,"SMART LEARNING HOLDING")*Q$185+SUMIFS('12月数据源'!$J:$J,'12月数据源'!$D:$D,$E122,'12月数据源'!$F:$F,"SMART LEARNING HOLDING")*Q$185</f>
        <v/>
      </c>
    </row>
    <row r="123" s="83">
      <c r="A123" s="5" t="inlineStr">
        <is>
          <t>销售费用</t>
        </is>
      </c>
      <c r="B123" s="6" t="inlineStr">
        <is>
          <t>平台运营</t>
        </is>
      </c>
      <c r="D123" s="5" t="inlineStr">
        <is>
          <t>消费者赔付</t>
        </is>
      </c>
      <c r="E123" s="6" t="inlineStr">
        <is>
          <t>Q2206</t>
        </is>
      </c>
      <c r="F123" s="89">
        <f>-SUMIFS('1月数据源'!$I:$I,'1月数据源'!$D:$D,$E123,'1月数据源'!$F:$F,"SMART LEARNING HOLDING")*F$185+SUMIFS('1月数据源'!$J:$J,'1月数据源'!$D:$D,$E123,'1月数据源'!$F:$F,"SMART LEARNING HOLDING")*F$185</f>
        <v/>
      </c>
      <c r="G123" s="89">
        <f>-SUMIFS('2月数据源'!$I:$I,'2月数据源'!$D:$D,$E123,'2月数据源'!$F:$F,"SMART LEARNING HOLDING")*G$185+SUMIFS('2月数据源'!$J:$J,'2月数据源'!$D:$D,$E123,'2月数据源'!$F:$F,"SMART LEARNING HOLDING")*G$185</f>
        <v/>
      </c>
      <c r="H123" s="89">
        <f>-SUMIFS('3月数据源'!$I:$I,'3月数据源'!$D:$D,$E123,'3月数据源'!$F:$F,"SMART LEARNING HOLDING")*H$185+SUMIFS('3月数据源'!$J:$J,'3月数据源'!$D:$D,$E123,'3月数据源'!$F:$F,"SMART LEARNING HOLDING")*H$185</f>
        <v/>
      </c>
      <c r="I123" s="89">
        <f>-SUMIFS('4月数据源'!$I:$I,'4月数据源'!$D:$D,$E123,'4月数据源'!$F:$F,"SMART LEARNING HOLDING")*I$185+SUMIFS('4月数据源'!$J:$J,'4月数据源'!$D:$D,$E123,'4月数据源'!$F:$F,"SMART LEARNING HOLDING")*I$185</f>
        <v/>
      </c>
      <c r="J123" s="89">
        <f>-SUMIFS('5月数据源'!$I:$I,'5月数据源'!$D:$D,$E123,'5月数据源'!$F:$F,"SMART LEARNING HOLDING")*J$185+SUMIFS('5月数据源'!$J:$J,'5月数据源'!$D:$D,$E123,'5月数据源'!$F:$F,"SMART LEARNING HOLDING")*J$185</f>
        <v/>
      </c>
      <c r="K123" s="89">
        <f>-SUMIFS('6月数据源'!$I:$I,'6月数据源'!$D:$D,$E123,'6月数据源'!$F:$F,"SMART LEARNING HOLDING")*K$185+SUMIFS('6月数据源'!$J:$J,'6月数据源'!$D:$D,$E123,'6月数据源'!$F:$F,"SMART LEARNING HOLDING")*K$185</f>
        <v/>
      </c>
      <c r="L123" s="89">
        <f>-SUMIFS('7月数据源'!$I:$I,'7月数据源'!$D:$D,$E123,'7月数据源'!$F:$F,"SMART LEARNING HOLDING")*L$185+SUMIFS('7月数据源'!$J:$J,'7月数据源'!$D:$D,$E123,'7月数据源'!$F:$F,"SMART LEARNING HOLDING")*L$185</f>
        <v/>
      </c>
      <c r="M123" s="89">
        <f>-SUMIFS('8月数据源'!$I:$I,'8月数据源'!$D:$D,$E123,'8月数据源'!$F:$F,"SMART LEARNING HOLDING")*M$185+SUMIFS('8月数据源'!$J:$J,'8月数据源'!$D:$D,$E123,'8月数据源'!$F:$F,"SMART LEARNING HOLDING")*M$185</f>
        <v/>
      </c>
      <c r="N123" s="89">
        <f>-SUMIFS('9月数据源'!$I:$I,'9月数据源'!$D:$D,$E123,'9月数据源'!$F:$F,"SMART LEARNING HOLDING")*N$185+SUMIFS('9月数据源'!$J:$J,'9月数据源'!$D:$D,$E123,'9月数据源'!$F:$F,"SMART LEARNING HOLDING")*N$185</f>
        <v/>
      </c>
      <c r="O123" s="89">
        <f>-SUMIFS('10月数据源'!$I:$I,'10月数据源'!$D:$D,$E123,'10月数据源'!$F:$F,"SMART LEARNING HOLDING")*O$185+SUMIFS('10月数据源'!$J:$J,'10月数据源'!$D:$D,$E123,'10月数据源'!$F:$F,"SMART LEARNING HOLDING")*O$185</f>
        <v/>
      </c>
      <c r="P123" s="89">
        <f>-SUMIFS('11月数据源'!$I:$I,'11月数据源'!$D:$D,$E123,'11月数据源'!$F:$F,"SMART LEARNING HOLDING")*P$185+SUMIFS('11月数据源'!$J:$J,'11月数据源'!$D:$D,$E123,'11月数据源'!$F:$F,"SMART LEARNING HOLDING")*P$185</f>
        <v/>
      </c>
      <c r="Q123" s="89">
        <f>-SUMIFS('12月数据源'!$I:$I,'12月数据源'!$D:$D,$E123,'12月数据源'!$F:$F,"SMART LEARNING HOLDING")*Q$185+SUMIFS('12月数据源'!$J:$J,'12月数据源'!$D:$D,$E123,'12月数据源'!$F:$F,"SMART LEARNING HOLDING")*Q$185</f>
        <v/>
      </c>
    </row>
    <row r="124" s="83">
      <c r="A124" s="5" t="inlineStr">
        <is>
          <t>销售费用</t>
        </is>
      </c>
      <c r="B124" s="6" t="inlineStr">
        <is>
          <t>平台运营</t>
        </is>
      </c>
      <c r="D124" s="5" t="inlineStr">
        <is>
          <t>平台积分扣款</t>
        </is>
      </c>
      <c r="E124" s="6" t="inlineStr">
        <is>
          <t>Q2207</t>
        </is>
      </c>
      <c r="F124" s="89">
        <f>-SUMIFS('1月数据源'!$I:$I,'1月数据源'!$D:$D,$E124,'1月数据源'!$F:$F,"SMART LEARNING HOLDING")*F$185+SUMIFS('1月数据源'!$J:$J,'1月数据源'!$D:$D,$E124,'1月数据源'!$F:$F,"SMART LEARNING HOLDING")*F$185</f>
        <v/>
      </c>
      <c r="G124" s="89">
        <f>-SUMIFS('2月数据源'!$I:$I,'2月数据源'!$D:$D,$E124,'2月数据源'!$F:$F,"SMART LEARNING HOLDING")*G$185+SUMIFS('2月数据源'!$J:$J,'2月数据源'!$D:$D,$E124,'2月数据源'!$F:$F,"SMART LEARNING HOLDING")*G$185</f>
        <v/>
      </c>
      <c r="H124" s="89">
        <f>-SUMIFS('3月数据源'!$I:$I,'3月数据源'!$D:$D,$E124,'3月数据源'!$F:$F,"SMART LEARNING HOLDING")*H$185+SUMIFS('3月数据源'!$J:$J,'3月数据源'!$D:$D,$E124,'3月数据源'!$F:$F,"SMART LEARNING HOLDING")*H$185</f>
        <v/>
      </c>
      <c r="I124" s="89">
        <f>-SUMIFS('4月数据源'!$I:$I,'4月数据源'!$D:$D,$E124,'4月数据源'!$F:$F,"SMART LEARNING HOLDING")*I$185+SUMIFS('4月数据源'!$J:$J,'4月数据源'!$D:$D,$E124,'4月数据源'!$F:$F,"SMART LEARNING HOLDING")*I$185</f>
        <v/>
      </c>
      <c r="J124" s="89">
        <f>-SUMIFS('5月数据源'!$I:$I,'5月数据源'!$D:$D,$E124,'5月数据源'!$F:$F,"SMART LEARNING HOLDING")*J$185+SUMIFS('5月数据源'!$J:$J,'5月数据源'!$D:$D,$E124,'5月数据源'!$F:$F,"SMART LEARNING HOLDING")*J$185</f>
        <v/>
      </c>
      <c r="K124" s="89">
        <f>-SUMIFS('6月数据源'!$I:$I,'6月数据源'!$D:$D,$E124,'6月数据源'!$F:$F,"SMART LEARNING HOLDING")*K$185+SUMIFS('6月数据源'!$J:$J,'6月数据源'!$D:$D,$E124,'6月数据源'!$F:$F,"SMART LEARNING HOLDING")*K$185</f>
        <v/>
      </c>
      <c r="L124" s="89">
        <f>-SUMIFS('7月数据源'!$I:$I,'7月数据源'!$D:$D,$E124,'7月数据源'!$F:$F,"SMART LEARNING HOLDING")*L$185+SUMIFS('7月数据源'!$J:$J,'7月数据源'!$D:$D,$E124,'7月数据源'!$F:$F,"SMART LEARNING HOLDING")*L$185</f>
        <v/>
      </c>
      <c r="M124" s="89">
        <f>-SUMIFS('8月数据源'!$I:$I,'8月数据源'!$D:$D,$E124,'8月数据源'!$F:$F,"SMART LEARNING HOLDING")*M$185+SUMIFS('8月数据源'!$J:$J,'8月数据源'!$D:$D,$E124,'8月数据源'!$F:$F,"SMART LEARNING HOLDING")*M$185</f>
        <v/>
      </c>
      <c r="N124" s="89">
        <f>-SUMIFS('9月数据源'!$I:$I,'9月数据源'!$D:$D,$E124,'9月数据源'!$F:$F,"SMART LEARNING HOLDING")*N$185+SUMIFS('9月数据源'!$J:$J,'9月数据源'!$D:$D,$E124,'9月数据源'!$F:$F,"SMART LEARNING HOLDING")*N$185</f>
        <v/>
      </c>
      <c r="O124" s="89">
        <f>-SUMIFS('10月数据源'!$I:$I,'10月数据源'!$D:$D,$E124,'10月数据源'!$F:$F,"SMART LEARNING HOLDING")*O$185+SUMIFS('10月数据源'!$J:$J,'10月数据源'!$D:$D,$E124,'10月数据源'!$F:$F,"SMART LEARNING HOLDING")*O$185</f>
        <v/>
      </c>
      <c r="P124" s="89">
        <f>-SUMIFS('11月数据源'!$I:$I,'11月数据源'!$D:$D,$E124,'11月数据源'!$F:$F,"SMART LEARNING HOLDING")*P$185+SUMIFS('11月数据源'!$J:$J,'11月数据源'!$D:$D,$E124,'11月数据源'!$F:$F,"SMART LEARNING HOLDING")*P$185</f>
        <v/>
      </c>
      <c r="Q124" s="89">
        <f>-SUMIFS('12月数据源'!$I:$I,'12月数据源'!$D:$D,$E124,'12月数据源'!$F:$F,"SMART LEARNING HOLDING")*Q$185+SUMIFS('12月数据源'!$J:$J,'12月数据源'!$D:$D,$E124,'12月数据源'!$F:$F,"SMART LEARNING HOLDING")*Q$185</f>
        <v/>
      </c>
    </row>
    <row r="125" s="83">
      <c r="A125" s="5" t="inlineStr">
        <is>
          <t>销售费用</t>
        </is>
      </c>
      <c r="B125" s="6" t="inlineStr">
        <is>
          <t>平台运营</t>
        </is>
      </c>
      <c r="D125" s="5" t="inlineStr">
        <is>
          <t>平台推荐佣金</t>
        </is>
      </c>
      <c r="E125" s="6" t="inlineStr">
        <is>
          <t>Q2208</t>
        </is>
      </c>
      <c r="F125" s="89">
        <f>-SUMIFS('1月数据源'!$I:$I,'1月数据源'!$D:$D,$E125,'1月数据源'!$F:$F,"SMART LEARNING HOLDING")*F$185+SUMIFS('1月数据源'!$J:$J,'1月数据源'!$D:$D,$E125,'1月数据源'!$F:$F,"SMART LEARNING HOLDING")*F$185</f>
        <v/>
      </c>
      <c r="G125" s="89">
        <f>-SUMIFS('2月数据源'!$I:$I,'2月数据源'!$D:$D,$E125,'2月数据源'!$F:$F,"SMART LEARNING HOLDING")*G$185+SUMIFS('2月数据源'!$J:$J,'2月数据源'!$D:$D,$E125,'2月数据源'!$F:$F,"SMART LEARNING HOLDING")*G$185</f>
        <v/>
      </c>
      <c r="H125" s="89">
        <f>-SUMIFS('3月数据源'!$I:$I,'3月数据源'!$D:$D,$E125,'3月数据源'!$F:$F,"SMART LEARNING HOLDING")*H$185+SUMIFS('3月数据源'!$J:$J,'3月数据源'!$D:$D,$E125,'3月数据源'!$F:$F,"SMART LEARNING HOLDING")*H$185</f>
        <v/>
      </c>
      <c r="I125" s="89">
        <f>-SUMIFS('4月数据源'!$I:$I,'4月数据源'!$D:$D,$E125,'4月数据源'!$F:$F,"SMART LEARNING HOLDING")*I$185+SUMIFS('4月数据源'!$J:$J,'4月数据源'!$D:$D,$E125,'4月数据源'!$F:$F,"SMART LEARNING HOLDING")*I$185</f>
        <v/>
      </c>
      <c r="J125" s="89">
        <f>-SUMIFS('5月数据源'!$I:$I,'5月数据源'!$D:$D,$E125,'5月数据源'!$F:$F,"SMART LEARNING HOLDING")*J$185+SUMIFS('5月数据源'!$J:$J,'5月数据源'!$D:$D,$E125,'5月数据源'!$F:$F,"SMART LEARNING HOLDING")*J$185</f>
        <v/>
      </c>
      <c r="K125" s="89">
        <f>-SUMIFS('6月数据源'!$I:$I,'6月数据源'!$D:$D,$E125,'6月数据源'!$F:$F,"SMART LEARNING HOLDING")*K$185+SUMIFS('6月数据源'!$J:$J,'6月数据源'!$D:$D,$E125,'6月数据源'!$F:$F,"SMART LEARNING HOLDING")*K$185</f>
        <v/>
      </c>
      <c r="L125" s="89">
        <f>-SUMIFS('7月数据源'!$I:$I,'7月数据源'!$D:$D,$E125,'7月数据源'!$F:$F,"SMART LEARNING HOLDING")*L$185+SUMIFS('7月数据源'!$J:$J,'7月数据源'!$D:$D,$E125,'7月数据源'!$F:$F,"SMART LEARNING HOLDING")*L$185</f>
        <v/>
      </c>
      <c r="M125" s="89">
        <f>-SUMIFS('8月数据源'!$I:$I,'8月数据源'!$D:$D,$E125,'8月数据源'!$F:$F,"SMART LEARNING HOLDING")*M$185+SUMIFS('8月数据源'!$J:$J,'8月数据源'!$D:$D,$E125,'8月数据源'!$F:$F,"SMART LEARNING HOLDING")*M$185</f>
        <v/>
      </c>
      <c r="N125" s="89">
        <f>-SUMIFS('9月数据源'!$I:$I,'9月数据源'!$D:$D,$E125,'9月数据源'!$F:$F,"SMART LEARNING HOLDING")*N$185+SUMIFS('9月数据源'!$J:$J,'9月数据源'!$D:$D,$E125,'9月数据源'!$F:$F,"SMART LEARNING HOLDING")*N$185</f>
        <v/>
      </c>
      <c r="O125" s="89">
        <f>-SUMIFS('10月数据源'!$I:$I,'10月数据源'!$D:$D,$E125,'10月数据源'!$F:$F,"SMART LEARNING HOLDING")*O$185+SUMIFS('10月数据源'!$J:$J,'10月数据源'!$D:$D,$E125,'10月数据源'!$F:$F,"SMART LEARNING HOLDING")*O$185</f>
        <v/>
      </c>
      <c r="P125" s="89">
        <f>-SUMIFS('11月数据源'!$I:$I,'11月数据源'!$D:$D,$E125,'11月数据源'!$F:$F,"SMART LEARNING HOLDING")*P$185+SUMIFS('11月数据源'!$J:$J,'11月数据源'!$D:$D,$E125,'11月数据源'!$F:$F,"SMART LEARNING HOLDING")*P$185</f>
        <v/>
      </c>
      <c r="Q125" s="89">
        <f>-SUMIFS('12月数据源'!$I:$I,'12月数据源'!$D:$D,$E125,'12月数据源'!$F:$F,"SMART LEARNING HOLDING")*Q$185+SUMIFS('12月数据源'!$J:$J,'12月数据源'!$D:$D,$E125,'12月数据源'!$F:$F,"SMART LEARNING HOLDING")*Q$185</f>
        <v/>
      </c>
    </row>
    <row r="126" s="83">
      <c r="A126" s="5" t="inlineStr">
        <is>
          <t>销售费用</t>
        </is>
      </c>
      <c r="B126" s="6" t="inlineStr">
        <is>
          <t>平台运营</t>
        </is>
      </c>
      <c r="D126" s="5" t="inlineStr">
        <is>
          <t>保证金及认证费用</t>
        </is>
      </c>
      <c r="E126" s="6" t="inlineStr">
        <is>
          <t>Q2202</t>
        </is>
      </c>
      <c r="F126" s="89">
        <f>-SUMIFS('1月数据源'!$I:$I,'1月数据源'!$D:$D,$E126,'1月数据源'!$F:$F,"SMART LEARNING HOLDING")*F$185+SUMIFS('1月数据源'!$J:$J,'1月数据源'!$D:$D,$E126,'1月数据源'!$F:$F,"SMART LEARNING HOLDING")*F$185</f>
        <v/>
      </c>
      <c r="G126" s="89">
        <f>-SUMIFS('2月数据源'!$I:$I,'2月数据源'!$D:$D,$E126,'2月数据源'!$F:$F,"SMART LEARNING HOLDING")*G$185+SUMIFS('2月数据源'!$J:$J,'2月数据源'!$D:$D,$E126,'2月数据源'!$F:$F,"SMART LEARNING HOLDING")*G$185</f>
        <v/>
      </c>
      <c r="H126" s="89">
        <f>-SUMIFS('3月数据源'!$I:$I,'3月数据源'!$D:$D,$E126,'3月数据源'!$F:$F,"SMART LEARNING HOLDING")*H$185+SUMIFS('3月数据源'!$J:$J,'3月数据源'!$D:$D,$E126,'3月数据源'!$F:$F,"SMART LEARNING HOLDING")*H$185</f>
        <v/>
      </c>
      <c r="I126" s="89">
        <f>-SUMIFS('4月数据源'!$I:$I,'4月数据源'!$D:$D,$E126,'4月数据源'!$F:$F,"SMART LEARNING HOLDING")*I$185+SUMIFS('4月数据源'!$J:$J,'4月数据源'!$D:$D,$E126,'4月数据源'!$F:$F,"SMART LEARNING HOLDING")*I$185</f>
        <v/>
      </c>
      <c r="J126" s="89">
        <f>-SUMIFS('5月数据源'!$I:$I,'5月数据源'!$D:$D,$E126,'5月数据源'!$F:$F,"SMART LEARNING HOLDING")*J$185+SUMIFS('5月数据源'!$J:$J,'5月数据源'!$D:$D,$E126,'5月数据源'!$F:$F,"SMART LEARNING HOLDING")*J$185</f>
        <v/>
      </c>
      <c r="K126" s="89">
        <f>-SUMIFS('6月数据源'!$I:$I,'6月数据源'!$D:$D,$E126,'6月数据源'!$F:$F,"SMART LEARNING HOLDING")*K$185+SUMIFS('6月数据源'!$J:$J,'6月数据源'!$D:$D,$E126,'6月数据源'!$F:$F,"SMART LEARNING HOLDING")*K$185</f>
        <v/>
      </c>
      <c r="L126" s="89">
        <f>-SUMIFS('7月数据源'!$I:$I,'7月数据源'!$D:$D,$E126,'7月数据源'!$F:$F,"SMART LEARNING HOLDING")*L$185+SUMIFS('7月数据源'!$J:$J,'7月数据源'!$D:$D,$E126,'7月数据源'!$F:$F,"SMART LEARNING HOLDING")*L$185</f>
        <v/>
      </c>
      <c r="M126" s="89">
        <f>-SUMIFS('8月数据源'!$I:$I,'8月数据源'!$D:$D,$E126,'8月数据源'!$F:$F,"SMART LEARNING HOLDING")*M$185+SUMIFS('8月数据源'!$J:$J,'8月数据源'!$D:$D,$E126,'8月数据源'!$F:$F,"SMART LEARNING HOLDING")*M$185</f>
        <v/>
      </c>
      <c r="N126" s="89">
        <f>-SUMIFS('9月数据源'!$I:$I,'9月数据源'!$D:$D,$E126,'9月数据源'!$F:$F,"SMART LEARNING HOLDING")*N$185+SUMIFS('9月数据源'!$J:$J,'9月数据源'!$D:$D,$E126,'9月数据源'!$F:$F,"SMART LEARNING HOLDING")*N$185</f>
        <v/>
      </c>
      <c r="O126" s="89">
        <f>-SUMIFS('10月数据源'!$I:$I,'10月数据源'!$D:$D,$E126,'10月数据源'!$F:$F,"SMART LEARNING HOLDING")*O$185+SUMIFS('10月数据源'!$J:$J,'10月数据源'!$D:$D,$E126,'10月数据源'!$F:$F,"SMART LEARNING HOLDING")*O$185</f>
        <v/>
      </c>
      <c r="P126" s="89">
        <f>-SUMIFS('11月数据源'!$I:$I,'11月数据源'!$D:$D,$E126,'11月数据源'!$F:$F,"SMART LEARNING HOLDING")*P$185+SUMIFS('11月数据源'!$J:$J,'11月数据源'!$D:$D,$E126,'11月数据源'!$F:$F,"SMART LEARNING HOLDING")*P$185</f>
        <v/>
      </c>
      <c r="Q126" s="89">
        <f>-SUMIFS('12月数据源'!$I:$I,'12月数据源'!$D:$D,$E126,'12月数据源'!$F:$F,"SMART LEARNING HOLDING")*Q$185+SUMIFS('12月数据源'!$J:$J,'12月数据源'!$D:$D,$E126,'12月数据源'!$F:$F,"SMART LEARNING HOLDING")*Q$185</f>
        <v/>
      </c>
    </row>
    <row r="127" s="83">
      <c r="A127" s="5" t="inlineStr">
        <is>
          <t>销售费用</t>
        </is>
      </c>
      <c r="B127" s="6" t="inlineStr">
        <is>
          <t>平台运营</t>
        </is>
      </c>
      <c r="D127" s="5" t="inlineStr">
        <is>
          <t>品专支出</t>
        </is>
      </c>
      <c r="E127" s="6" t="inlineStr">
        <is>
          <t>Q2203</t>
        </is>
      </c>
      <c r="F127" s="89">
        <f>-SUMIFS('1月数据源'!$I:$I,'1月数据源'!$D:$D,$E127,'1月数据源'!$F:$F,"SMART LEARNING HOLDING")*F$185+SUMIFS('1月数据源'!$J:$J,'1月数据源'!$D:$D,$E127,'1月数据源'!$F:$F,"SMART LEARNING HOLDING")*F$185</f>
        <v/>
      </c>
      <c r="G127" s="89">
        <f>-SUMIFS('2月数据源'!$I:$I,'2月数据源'!$D:$D,$E127,'2月数据源'!$F:$F,"SMART LEARNING HOLDING")*G$185+SUMIFS('2月数据源'!$J:$J,'2月数据源'!$D:$D,$E127,'2月数据源'!$F:$F,"SMART LEARNING HOLDING")*G$185</f>
        <v/>
      </c>
      <c r="H127" s="89">
        <f>-SUMIFS('3月数据源'!$I:$I,'3月数据源'!$D:$D,$E127,'3月数据源'!$F:$F,"SMART LEARNING HOLDING")*H$185+SUMIFS('3月数据源'!$J:$J,'3月数据源'!$D:$D,$E127,'3月数据源'!$F:$F,"SMART LEARNING HOLDING")*H$185</f>
        <v/>
      </c>
      <c r="I127" s="89">
        <f>-SUMIFS('4月数据源'!$I:$I,'4月数据源'!$D:$D,$E127,'4月数据源'!$F:$F,"SMART LEARNING HOLDING")*I$185+SUMIFS('4月数据源'!$J:$J,'4月数据源'!$D:$D,$E127,'4月数据源'!$F:$F,"SMART LEARNING HOLDING")*I$185</f>
        <v/>
      </c>
      <c r="J127" s="89">
        <f>-SUMIFS('5月数据源'!$I:$I,'5月数据源'!$D:$D,$E127,'5月数据源'!$F:$F,"SMART LEARNING HOLDING")*J$185+SUMIFS('5月数据源'!$J:$J,'5月数据源'!$D:$D,$E127,'5月数据源'!$F:$F,"SMART LEARNING HOLDING")*J$185</f>
        <v/>
      </c>
      <c r="K127" s="89">
        <f>-SUMIFS('6月数据源'!$I:$I,'6月数据源'!$D:$D,$E127,'6月数据源'!$F:$F,"SMART LEARNING HOLDING")*K$185+SUMIFS('6月数据源'!$J:$J,'6月数据源'!$D:$D,$E127,'6月数据源'!$F:$F,"SMART LEARNING HOLDING")*K$185</f>
        <v/>
      </c>
      <c r="L127" s="89">
        <f>-SUMIFS('7月数据源'!$I:$I,'7月数据源'!$D:$D,$E127,'7月数据源'!$F:$F,"SMART LEARNING HOLDING")*L$185+SUMIFS('7月数据源'!$J:$J,'7月数据源'!$D:$D,$E127,'7月数据源'!$F:$F,"SMART LEARNING HOLDING")*L$185</f>
        <v/>
      </c>
      <c r="M127" s="89">
        <f>-SUMIFS('8月数据源'!$I:$I,'8月数据源'!$D:$D,$E127,'8月数据源'!$F:$F,"SMART LEARNING HOLDING")*M$185+SUMIFS('8月数据源'!$J:$J,'8月数据源'!$D:$D,$E127,'8月数据源'!$F:$F,"SMART LEARNING HOLDING")*M$185</f>
        <v/>
      </c>
      <c r="N127" s="89">
        <f>-SUMIFS('9月数据源'!$I:$I,'9月数据源'!$D:$D,$E127,'9月数据源'!$F:$F,"SMART LEARNING HOLDING")*N$185+SUMIFS('9月数据源'!$J:$J,'9月数据源'!$D:$D,$E127,'9月数据源'!$F:$F,"SMART LEARNING HOLDING")*N$185</f>
        <v/>
      </c>
      <c r="O127" s="89">
        <f>-SUMIFS('10月数据源'!$I:$I,'10月数据源'!$D:$D,$E127,'10月数据源'!$F:$F,"SMART LEARNING HOLDING")*O$185+SUMIFS('10月数据源'!$J:$J,'10月数据源'!$D:$D,$E127,'10月数据源'!$F:$F,"SMART LEARNING HOLDING")*O$185</f>
        <v/>
      </c>
      <c r="P127" s="89">
        <f>-SUMIFS('11月数据源'!$I:$I,'11月数据源'!$D:$D,$E127,'11月数据源'!$F:$F,"SMART LEARNING HOLDING")*P$185+SUMIFS('11月数据源'!$J:$J,'11月数据源'!$D:$D,$E127,'11月数据源'!$F:$F,"SMART LEARNING HOLDING")*P$185</f>
        <v/>
      </c>
      <c r="Q127" s="89">
        <f>-SUMIFS('12月数据源'!$I:$I,'12月数据源'!$D:$D,$E127,'12月数据源'!$F:$F,"SMART LEARNING HOLDING")*Q$185+SUMIFS('12月数据源'!$J:$J,'12月数据源'!$D:$D,$E127,'12月数据源'!$F:$F,"SMART LEARNING HOLDING")*Q$185</f>
        <v/>
      </c>
    </row>
    <row r="128" s="83">
      <c r="A128" s="5" t="inlineStr">
        <is>
          <t>销售费用</t>
        </is>
      </c>
      <c r="B128" s="6" t="inlineStr">
        <is>
          <t>平台运营</t>
        </is>
      </c>
      <c r="D128" s="5" t="inlineStr">
        <is>
          <t>其他平台扣款</t>
        </is>
      </c>
      <c r="E128" s="6" t="inlineStr">
        <is>
          <t>Q2209</t>
        </is>
      </c>
      <c r="F128" s="89">
        <f>-SUMIFS('1月数据源'!$I:$I,'1月数据源'!$D:$D,$E128,'1月数据源'!$F:$F,"SMART LEARNING HOLDING")*F$185+SUMIFS('1月数据源'!$J:$J,'1月数据源'!$D:$D,$E128,'1月数据源'!$F:$F,"SMART LEARNING HOLDING")*F$185</f>
        <v/>
      </c>
      <c r="G128" s="89">
        <f>-SUMIFS('2月数据源'!$I:$I,'2月数据源'!$D:$D,$E128,'2月数据源'!$F:$F,"SMART LEARNING HOLDING")*G$185+SUMIFS('2月数据源'!$J:$J,'2月数据源'!$D:$D,$E128,'2月数据源'!$F:$F,"SMART LEARNING HOLDING")*G$185</f>
        <v/>
      </c>
      <c r="H128" s="89">
        <f>-SUMIFS('3月数据源'!$I:$I,'3月数据源'!$D:$D,$E128,'3月数据源'!$F:$F,"SMART LEARNING HOLDING")*H$185+SUMIFS('3月数据源'!$J:$J,'3月数据源'!$D:$D,$E128,'3月数据源'!$F:$F,"SMART LEARNING HOLDING")*H$185</f>
        <v/>
      </c>
      <c r="I128" s="89">
        <f>-SUMIFS('4月数据源'!$I:$I,'4月数据源'!$D:$D,$E128,'4月数据源'!$F:$F,"SMART LEARNING HOLDING")*I$185+SUMIFS('4月数据源'!$J:$J,'4月数据源'!$D:$D,$E128,'4月数据源'!$F:$F,"SMART LEARNING HOLDING")*I$185</f>
        <v/>
      </c>
      <c r="J128" s="89">
        <f>-SUMIFS('5月数据源'!$I:$I,'5月数据源'!$D:$D,$E128,'5月数据源'!$F:$F,"SMART LEARNING HOLDING")*J$185+SUMIFS('5月数据源'!$J:$J,'5月数据源'!$D:$D,$E128,'5月数据源'!$F:$F,"SMART LEARNING HOLDING")*J$185</f>
        <v/>
      </c>
      <c r="K128" s="89">
        <f>-SUMIFS('6月数据源'!$I:$I,'6月数据源'!$D:$D,$E128,'6月数据源'!$F:$F,"SMART LEARNING HOLDING")*K$185+SUMIFS('6月数据源'!$J:$J,'6月数据源'!$D:$D,$E128,'6月数据源'!$F:$F,"SMART LEARNING HOLDING")*K$185</f>
        <v/>
      </c>
      <c r="L128" s="89">
        <f>-SUMIFS('7月数据源'!$I:$I,'7月数据源'!$D:$D,$E128,'7月数据源'!$F:$F,"SMART LEARNING HOLDING")*L$185+SUMIFS('7月数据源'!$J:$J,'7月数据源'!$D:$D,$E128,'7月数据源'!$F:$F,"SMART LEARNING HOLDING")*L$185</f>
        <v/>
      </c>
      <c r="M128" s="89">
        <f>-SUMIFS('8月数据源'!$I:$I,'8月数据源'!$D:$D,$E128,'8月数据源'!$F:$F,"SMART LEARNING HOLDING")*M$185+SUMIFS('8月数据源'!$J:$J,'8月数据源'!$D:$D,$E128,'8月数据源'!$F:$F,"SMART LEARNING HOLDING")*M$185</f>
        <v/>
      </c>
      <c r="N128" s="89">
        <f>-SUMIFS('9月数据源'!$I:$I,'9月数据源'!$D:$D,$E128,'9月数据源'!$F:$F,"SMART LEARNING HOLDING")*N$185+SUMIFS('9月数据源'!$J:$J,'9月数据源'!$D:$D,$E128,'9月数据源'!$F:$F,"SMART LEARNING HOLDING")*N$185</f>
        <v/>
      </c>
      <c r="O128" s="89">
        <f>-SUMIFS('10月数据源'!$I:$I,'10月数据源'!$D:$D,$E128,'10月数据源'!$F:$F,"SMART LEARNING HOLDING")*O$185+SUMIFS('10月数据源'!$J:$J,'10月数据源'!$D:$D,$E128,'10月数据源'!$F:$F,"SMART LEARNING HOLDING")*O$185</f>
        <v/>
      </c>
      <c r="P128" s="89">
        <f>-SUMIFS('11月数据源'!$I:$I,'11月数据源'!$D:$D,$E128,'11月数据源'!$F:$F,"SMART LEARNING HOLDING")*P$185+SUMIFS('11月数据源'!$J:$J,'11月数据源'!$D:$D,$E128,'11月数据源'!$F:$F,"SMART LEARNING HOLDING")*P$185</f>
        <v/>
      </c>
      <c r="Q128" s="89">
        <f>-SUMIFS('12月数据源'!$I:$I,'12月数据源'!$D:$D,$E128,'12月数据源'!$F:$F,"SMART LEARNING HOLDING")*Q$185+SUMIFS('12月数据源'!$J:$J,'12月数据源'!$D:$D,$E128,'12月数据源'!$F:$F,"SMART LEARNING HOLDING")*Q$185</f>
        <v/>
      </c>
    </row>
    <row r="129" s="83">
      <c r="A129" s="5" t="inlineStr">
        <is>
          <t>销售费用</t>
        </is>
      </c>
      <c r="B129" s="6" t="inlineStr">
        <is>
          <t>私域运营</t>
        </is>
      </c>
      <c r="C129" s="6" t="inlineStr">
        <is>
          <t>私域运营</t>
        </is>
      </c>
      <c r="D129" s="5" t="inlineStr">
        <is>
          <t>返现活动</t>
        </is>
      </c>
      <c r="E129" s="6" t="inlineStr">
        <is>
          <t>Q2301</t>
        </is>
      </c>
      <c r="F129" s="89">
        <f>-SUMIFS('1月数据源'!$I:$I,'1月数据源'!$D:$D,$E129,'1月数据源'!$F:$F,"SMART LEARNING HOLDING")*F$185+SUMIFS('1月数据源'!$J:$J,'1月数据源'!$D:$D,$E129,'1月数据源'!$F:$F,"SMART LEARNING HOLDING")*F$185</f>
        <v/>
      </c>
      <c r="G129" s="89">
        <f>-SUMIFS('2月数据源'!$I:$I,'2月数据源'!$D:$D,$E129,'2月数据源'!$F:$F,"SMART LEARNING HOLDING")*G$185+SUMIFS('2月数据源'!$J:$J,'2月数据源'!$D:$D,$E129,'2月数据源'!$F:$F,"SMART LEARNING HOLDING")*G$185</f>
        <v/>
      </c>
      <c r="H129" s="89">
        <f>-SUMIFS('3月数据源'!$I:$I,'3月数据源'!$D:$D,$E129,'3月数据源'!$F:$F,"SMART LEARNING HOLDING")*H$185+SUMIFS('3月数据源'!$J:$J,'3月数据源'!$D:$D,$E129,'3月数据源'!$F:$F,"SMART LEARNING HOLDING")*H$185</f>
        <v/>
      </c>
      <c r="I129" s="89">
        <f>-SUMIFS('4月数据源'!$I:$I,'4月数据源'!$D:$D,$E129,'4月数据源'!$F:$F,"SMART LEARNING HOLDING")*I$185+SUMIFS('4月数据源'!$J:$J,'4月数据源'!$D:$D,$E129,'4月数据源'!$F:$F,"SMART LEARNING HOLDING")*I$185</f>
        <v/>
      </c>
      <c r="J129" s="89">
        <f>-SUMIFS('5月数据源'!$I:$I,'5月数据源'!$D:$D,$E129,'5月数据源'!$F:$F,"SMART LEARNING HOLDING")*J$185+SUMIFS('5月数据源'!$J:$J,'5月数据源'!$D:$D,$E129,'5月数据源'!$F:$F,"SMART LEARNING HOLDING")*J$185</f>
        <v/>
      </c>
      <c r="K129" s="89">
        <f>-SUMIFS('6月数据源'!$I:$I,'6月数据源'!$D:$D,$E129,'6月数据源'!$F:$F,"SMART LEARNING HOLDING")*K$185+SUMIFS('6月数据源'!$J:$J,'6月数据源'!$D:$D,$E129,'6月数据源'!$F:$F,"SMART LEARNING HOLDING")*K$185</f>
        <v/>
      </c>
      <c r="L129" s="89">
        <f>-SUMIFS('7月数据源'!$I:$I,'7月数据源'!$D:$D,$E129,'7月数据源'!$F:$F,"SMART LEARNING HOLDING")*L$185+SUMIFS('7月数据源'!$J:$J,'7月数据源'!$D:$D,$E129,'7月数据源'!$F:$F,"SMART LEARNING HOLDING")*L$185</f>
        <v/>
      </c>
      <c r="M129" s="89">
        <f>-SUMIFS('8月数据源'!$I:$I,'8月数据源'!$D:$D,$E129,'8月数据源'!$F:$F,"SMART LEARNING HOLDING")*M$185+SUMIFS('8月数据源'!$J:$J,'8月数据源'!$D:$D,$E129,'8月数据源'!$F:$F,"SMART LEARNING HOLDING")*M$185</f>
        <v/>
      </c>
      <c r="N129" s="89">
        <f>-SUMIFS('9月数据源'!$I:$I,'9月数据源'!$D:$D,$E129,'9月数据源'!$F:$F,"SMART LEARNING HOLDING")*N$185+SUMIFS('9月数据源'!$J:$J,'9月数据源'!$D:$D,$E129,'9月数据源'!$F:$F,"SMART LEARNING HOLDING")*N$185</f>
        <v/>
      </c>
      <c r="O129" s="89">
        <f>-SUMIFS('10月数据源'!$I:$I,'10月数据源'!$D:$D,$E129,'10月数据源'!$F:$F,"SMART LEARNING HOLDING")*O$185+SUMIFS('10月数据源'!$J:$J,'10月数据源'!$D:$D,$E129,'10月数据源'!$F:$F,"SMART LEARNING HOLDING")*O$185</f>
        <v/>
      </c>
      <c r="P129" s="89">
        <f>-SUMIFS('11月数据源'!$I:$I,'11月数据源'!$D:$D,$E129,'11月数据源'!$F:$F,"SMART LEARNING HOLDING")*P$185+SUMIFS('11月数据源'!$J:$J,'11月数据源'!$D:$D,$E129,'11月数据源'!$F:$F,"SMART LEARNING HOLDING")*P$185</f>
        <v/>
      </c>
      <c r="Q129" s="89">
        <f>-SUMIFS('12月数据源'!$I:$I,'12月数据源'!$D:$D,$E129,'12月数据源'!$F:$F,"SMART LEARNING HOLDING")*Q$185+SUMIFS('12月数据源'!$J:$J,'12月数据源'!$D:$D,$E129,'12月数据源'!$F:$F,"SMART LEARNING HOLDING")*Q$185</f>
        <v/>
      </c>
    </row>
    <row r="130" s="83">
      <c r="A130" s="5" t="inlineStr">
        <is>
          <t>销售费用</t>
        </is>
      </c>
      <c r="B130" s="6" t="inlineStr">
        <is>
          <t>私域运营</t>
        </is>
      </c>
      <c r="D130" s="5" t="inlineStr">
        <is>
          <t>转介绍佣金</t>
        </is>
      </c>
      <c r="E130" s="6" t="inlineStr">
        <is>
          <t>Q2302</t>
        </is>
      </c>
      <c r="F130" s="89">
        <f>-SUMIFS('1月数据源'!$I:$I,'1月数据源'!$D:$D,$E130,'1月数据源'!$F:$F,"SMART LEARNING HOLDING")*F$185+SUMIFS('1月数据源'!$J:$J,'1月数据源'!$D:$D,$E130,'1月数据源'!$F:$F,"SMART LEARNING HOLDING")*F$185</f>
        <v/>
      </c>
      <c r="G130" s="89">
        <f>-SUMIFS('2月数据源'!$I:$I,'2月数据源'!$D:$D,$E130,'2月数据源'!$F:$F,"SMART LEARNING HOLDING")*G$185+SUMIFS('2月数据源'!$J:$J,'2月数据源'!$D:$D,$E130,'2月数据源'!$F:$F,"SMART LEARNING HOLDING")*G$185</f>
        <v/>
      </c>
      <c r="H130" s="89">
        <f>-SUMIFS('3月数据源'!$I:$I,'3月数据源'!$D:$D,$E130,'3月数据源'!$F:$F,"SMART LEARNING HOLDING")*H$185+SUMIFS('3月数据源'!$J:$J,'3月数据源'!$D:$D,$E130,'3月数据源'!$F:$F,"SMART LEARNING HOLDING")*H$185</f>
        <v/>
      </c>
      <c r="I130" s="89">
        <f>-SUMIFS('4月数据源'!$I:$I,'4月数据源'!$D:$D,$E130,'4月数据源'!$F:$F,"SMART LEARNING HOLDING")*I$185+SUMIFS('4月数据源'!$J:$J,'4月数据源'!$D:$D,$E130,'4月数据源'!$F:$F,"SMART LEARNING HOLDING")*I$185</f>
        <v/>
      </c>
      <c r="J130" s="89">
        <f>-SUMIFS('5月数据源'!$I:$I,'5月数据源'!$D:$D,$E130,'5月数据源'!$F:$F,"SMART LEARNING HOLDING")*J$185+SUMIFS('5月数据源'!$J:$J,'5月数据源'!$D:$D,$E130,'5月数据源'!$F:$F,"SMART LEARNING HOLDING")*J$185</f>
        <v/>
      </c>
      <c r="K130" s="89">
        <f>-SUMIFS('6月数据源'!$I:$I,'6月数据源'!$D:$D,$E130,'6月数据源'!$F:$F,"SMART LEARNING HOLDING")*K$185+SUMIFS('6月数据源'!$J:$J,'6月数据源'!$D:$D,$E130,'6月数据源'!$F:$F,"SMART LEARNING HOLDING")*K$185</f>
        <v/>
      </c>
      <c r="L130" s="89">
        <f>-SUMIFS('7月数据源'!$I:$I,'7月数据源'!$D:$D,$E130,'7月数据源'!$F:$F,"SMART LEARNING HOLDING")*L$185+SUMIFS('7月数据源'!$J:$J,'7月数据源'!$D:$D,$E130,'7月数据源'!$F:$F,"SMART LEARNING HOLDING")*L$185</f>
        <v/>
      </c>
      <c r="M130" s="89">
        <f>-SUMIFS('8月数据源'!$I:$I,'8月数据源'!$D:$D,$E130,'8月数据源'!$F:$F,"SMART LEARNING HOLDING")*M$185+SUMIFS('8月数据源'!$J:$J,'8月数据源'!$D:$D,$E130,'8月数据源'!$F:$F,"SMART LEARNING HOLDING")*M$185</f>
        <v/>
      </c>
      <c r="N130" s="89">
        <f>-SUMIFS('9月数据源'!$I:$I,'9月数据源'!$D:$D,$E130,'9月数据源'!$F:$F,"SMART LEARNING HOLDING")*N$185+SUMIFS('9月数据源'!$J:$J,'9月数据源'!$D:$D,$E130,'9月数据源'!$F:$F,"SMART LEARNING HOLDING")*N$185</f>
        <v/>
      </c>
      <c r="O130" s="89">
        <f>-SUMIFS('10月数据源'!$I:$I,'10月数据源'!$D:$D,$E130,'10月数据源'!$F:$F,"SMART LEARNING HOLDING")*O$185+SUMIFS('10月数据源'!$J:$J,'10月数据源'!$D:$D,$E130,'10月数据源'!$F:$F,"SMART LEARNING HOLDING")*O$185</f>
        <v/>
      </c>
      <c r="P130" s="89">
        <f>-SUMIFS('11月数据源'!$I:$I,'11月数据源'!$D:$D,$E130,'11月数据源'!$F:$F,"SMART LEARNING HOLDING")*P$185+SUMIFS('11月数据源'!$J:$J,'11月数据源'!$D:$D,$E130,'11月数据源'!$F:$F,"SMART LEARNING HOLDING")*P$185</f>
        <v/>
      </c>
      <c r="Q130" s="89">
        <f>-SUMIFS('12月数据源'!$I:$I,'12月数据源'!$D:$D,$E130,'12月数据源'!$F:$F,"SMART LEARNING HOLDING")*Q$185+SUMIFS('12月数据源'!$J:$J,'12月数据源'!$D:$D,$E130,'12月数据源'!$F:$F,"SMART LEARNING HOLDING")*Q$185</f>
        <v/>
      </c>
    </row>
    <row r="131" s="83">
      <c r="A131" s="5" t="inlineStr">
        <is>
          <t>销售费用</t>
        </is>
      </c>
      <c r="B131" s="6" t="inlineStr">
        <is>
          <t>达人带货</t>
        </is>
      </c>
      <c r="C131" s="6" t="inlineStr">
        <is>
          <t>达人带货</t>
        </is>
      </c>
      <c r="D131" s="5" t="inlineStr">
        <is>
          <t>坑位费</t>
        </is>
      </c>
      <c r="E131" s="6" t="inlineStr">
        <is>
          <t>Q2401</t>
        </is>
      </c>
      <c r="F131" s="89">
        <f>-SUMIFS('1月数据源'!$I:$I,'1月数据源'!$D:$D,$E131,'1月数据源'!$F:$F,"SMART LEARNING HOLDING")*F$185+SUMIFS('1月数据源'!$J:$J,'1月数据源'!$D:$D,$E131,'1月数据源'!$F:$F,"SMART LEARNING HOLDING")*F$185</f>
        <v/>
      </c>
      <c r="G131" s="89">
        <f>-SUMIFS('2月数据源'!$I:$I,'2月数据源'!$D:$D,$E131,'2月数据源'!$F:$F,"SMART LEARNING HOLDING")*G$185+SUMIFS('2月数据源'!$J:$J,'2月数据源'!$D:$D,$E131,'2月数据源'!$F:$F,"SMART LEARNING HOLDING")*G$185</f>
        <v/>
      </c>
      <c r="H131" s="89">
        <f>-SUMIFS('3月数据源'!$I:$I,'3月数据源'!$D:$D,$E131,'3月数据源'!$F:$F,"SMART LEARNING HOLDING")*H$185+SUMIFS('3月数据源'!$J:$J,'3月数据源'!$D:$D,$E131,'3月数据源'!$F:$F,"SMART LEARNING HOLDING")*H$185</f>
        <v/>
      </c>
      <c r="I131" s="89">
        <f>-SUMIFS('4月数据源'!$I:$I,'4月数据源'!$D:$D,$E131,'4月数据源'!$F:$F,"SMART LEARNING HOLDING")*I$185+SUMIFS('4月数据源'!$J:$J,'4月数据源'!$D:$D,$E131,'4月数据源'!$F:$F,"SMART LEARNING HOLDING")*I$185</f>
        <v/>
      </c>
      <c r="J131" s="89">
        <f>-SUMIFS('5月数据源'!$I:$I,'5月数据源'!$D:$D,$E131,'5月数据源'!$F:$F,"SMART LEARNING HOLDING")*J$185+SUMIFS('5月数据源'!$J:$J,'5月数据源'!$D:$D,$E131,'5月数据源'!$F:$F,"SMART LEARNING HOLDING")*J$185</f>
        <v/>
      </c>
      <c r="K131" s="89">
        <f>-SUMIFS('6月数据源'!$I:$I,'6月数据源'!$D:$D,$E131,'6月数据源'!$F:$F,"SMART LEARNING HOLDING")*K$185+SUMIFS('6月数据源'!$J:$J,'6月数据源'!$D:$D,$E131,'6月数据源'!$F:$F,"SMART LEARNING HOLDING")*K$185</f>
        <v/>
      </c>
      <c r="L131" s="89">
        <f>-SUMIFS('7月数据源'!$I:$I,'7月数据源'!$D:$D,$E131,'7月数据源'!$F:$F,"SMART LEARNING HOLDING")*L$185+SUMIFS('7月数据源'!$J:$J,'7月数据源'!$D:$D,$E131,'7月数据源'!$F:$F,"SMART LEARNING HOLDING")*L$185</f>
        <v/>
      </c>
      <c r="M131" s="89">
        <f>-SUMIFS('8月数据源'!$I:$I,'8月数据源'!$D:$D,$E131,'8月数据源'!$F:$F,"SMART LEARNING HOLDING")*M$185+SUMIFS('8月数据源'!$J:$J,'8月数据源'!$D:$D,$E131,'8月数据源'!$F:$F,"SMART LEARNING HOLDING")*M$185</f>
        <v/>
      </c>
      <c r="N131" s="89">
        <f>-SUMIFS('9月数据源'!$I:$I,'9月数据源'!$D:$D,$E131,'9月数据源'!$F:$F,"SMART LEARNING HOLDING")*N$185+SUMIFS('9月数据源'!$J:$J,'9月数据源'!$D:$D,$E131,'9月数据源'!$F:$F,"SMART LEARNING HOLDING")*N$185</f>
        <v/>
      </c>
      <c r="O131" s="89">
        <f>-SUMIFS('10月数据源'!$I:$I,'10月数据源'!$D:$D,$E131,'10月数据源'!$F:$F,"SMART LEARNING HOLDING")*O$185+SUMIFS('10月数据源'!$J:$J,'10月数据源'!$D:$D,$E131,'10月数据源'!$F:$F,"SMART LEARNING HOLDING")*O$185</f>
        <v/>
      </c>
      <c r="P131" s="89">
        <f>-SUMIFS('11月数据源'!$I:$I,'11月数据源'!$D:$D,$E131,'11月数据源'!$F:$F,"SMART LEARNING HOLDING")*P$185+SUMIFS('11月数据源'!$J:$J,'11月数据源'!$D:$D,$E131,'11月数据源'!$F:$F,"SMART LEARNING HOLDING")*P$185</f>
        <v/>
      </c>
      <c r="Q131" s="89">
        <f>-SUMIFS('12月数据源'!$I:$I,'12月数据源'!$D:$D,$E131,'12月数据源'!$F:$F,"SMART LEARNING HOLDING")*Q$185+SUMIFS('12月数据源'!$J:$J,'12月数据源'!$D:$D,$E131,'12月数据源'!$F:$F,"SMART LEARNING HOLDING")*Q$185</f>
        <v/>
      </c>
    </row>
    <row r="132" s="83">
      <c r="A132" s="5" t="inlineStr">
        <is>
          <t>销售费用</t>
        </is>
      </c>
      <c r="B132" s="6" t="inlineStr">
        <is>
          <t>达人带货</t>
        </is>
      </c>
      <c r="D132" s="5" t="inlineStr">
        <is>
          <t>佣金</t>
        </is>
      </c>
      <c r="E132" s="6" t="inlineStr">
        <is>
          <t>Q2402</t>
        </is>
      </c>
      <c r="F132" s="89">
        <f>-SUMIFS('1月数据源'!$I:$I,'1月数据源'!$D:$D,$E132,'1月数据源'!$F:$F,"SMART LEARNING HOLDING")*F$185+SUMIFS('1月数据源'!$J:$J,'1月数据源'!$D:$D,$E132,'1月数据源'!$F:$F,"SMART LEARNING HOLDING")*F$185</f>
        <v/>
      </c>
      <c r="G132" s="89">
        <f>-SUMIFS('2月数据源'!$I:$I,'2月数据源'!$D:$D,$E132,'2月数据源'!$F:$F,"SMART LEARNING HOLDING")*G$185+SUMIFS('2月数据源'!$J:$J,'2月数据源'!$D:$D,$E132,'2月数据源'!$F:$F,"SMART LEARNING HOLDING")*G$185</f>
        <v/>
      </c>
      <c r="H132" s="89">
        <f>-SUMIFS('3月数据源'!$I:$I,'3月数据源'!$D:$D,$E132,'3月数据源'!$F:$F,"SMART LEARNING HOLDING")*H$185+SUMIFS('3月数据源'!$J:$J,'3月数据源'!$D:$D,$E132,'3月数据源'!$F:$F,"SMART LEARNING HOLDING")*H$185</f>
        <v/>
      </c>
      <c r="I132" s="89">
        <f>-SUMIFS('4月数据源'!$I:$I,'4月数据源'!$D:$D,$E132,'4月数据源'!$F:$F,"SMART LEARNING HOLDING")*I$185+SUMIFS('4月数据源'!$J:$J,'4月数据源'!$D:$D,$E132,'4月数据源'!$F:$F,"SMART LEARNING HOLDING")*I$185</f>
        <v/>
      </c>
      <c r="J132" s="89">
        <f>-SUMIFS('5月数据源'!$I:$I,'5月数据源'!$D:$D,$E132,'5月数据源'!$F:$F,"SMART LEARNING HOLDING")*J$185+SUMIFS('5月数据源'!$J:$J,'5月数据源'!$D:$D,$E132,'5月数据源'!$F:$F,"SMART LEARNING HOLDING")*J$185</f>
        <v/>
      </c>
      <c r="K132" s="89">
        <f>-SUMIFS('6月数据源'!$I:$I,'6月数据源'!$D:$D,$E132,'6月数据源'!$F:$F,"SMART LEARNING HOLDING")*K$185+SUMIFS('6月数据源'!$J:$J,'6月数据源'!$D:$D,$E132,'6月数据源'!$F:$F,"SMART LEARNING HOLDING")*K$185</f>
        <v/>
      </c>
      <c r="L132" s="89">
        <f>-SUMIFS('7月数据源'!$I:$I,'7月数据源'!$D:$D,$E132,'7月数据源'!$F:$F,"SMART LEARNING HOLDING")*L$185+SUMIFS('7月数据源'!$J:$J,'7月数据源'!$D:$D,$E132,'7月数据源'!$F:$F,"SMART LEARNING HOLDING")*L$185</f>
        <v/>
      </c>
      <c r="M132" s="89">
        <f>-SUMIFS('8月数据源'!$I:$I,'8月数据源'!$D:$D,$E132,'8月数据源'!$F:$F,"SMART LEARNING HOLDING")*M$185+SUMIFS('8月数据源'!$J:$J,'8月数据源'!$D:$D,$E132,'8月数据源'!$F:$F,"SMART LEARNING HOLDING")*M$185</f>
        <v/>
      </c>
      <c r="N132" s="89">
        <f>-SUMIFS('9月数据源'!$I:$I,'9月数据源'!$D:$D,$E132,'9月数据源'!$F:$F,"SMART LEARNING HOLDING")*N$185+SUMIFS('9月数据源'!$J:$J,'9月数据源'!$D:$D,$E132,'9月数据源'!$F:$F,"SMART LEARNING HOLDING")*N$185</f>
        <v/>
      </c>
      <c r="O132" s="89">
        <f>-SUMIFS('10月数据源'!$I:$I,'10月数据源'!$D:$D,$E132,'10月数据源'!$F:$F,"SMART LEARNING HOLDING")*O$185+SUMIFS('10月数据源'!$J:$J,'10月数据源'!$D:$D,$E132,'10月数据源'!$F:$F,"SMART LEARNING HOLDING")*O$185</f>
        <v/>
      </c>
      <c r="P132" s="89">
        <f>-SUMIFS('11月数据源'!$I:$I,'11月数据源'!$D:$D,$E132,'11月数据源'!$F:$F,"SMART LEARNING HOLDING")*P$185+SUMIFS('11月数据源'!$J:$J,'11月数据源'!$D:$D,$E132,'11月数据源'!$F:$F,"SMART LEARNING HOLDING")*P$185</f>
        <v/>
      </c>
      <c r="Q132" s="89">
        <f>-SUMIFS('12月数据源'!$I:$I,'12月数据源'!$D:$D,$E132,'12月数据源'!$F:$F,"SMART LEARNING HOLDING")*Q$185+SUMIFS('12月数据源'!$J:$J,'12月数据源'!$D:$D,$E132,'12月数据源'!$F:$F,"SMART LEARNING HOLDING")*Q$185</f>
        <v/>
      </c>
    </row>
    <row r="133" s="83">
      <c r="A133" s="5" t="inlineStr">
        <is>
          <t>销售费用</t>
        </is>
      </c>
      <c r="B133" s="6" t="inlineStr">
        <is>
          <t>达人带货</t>
        </is>
      </c>
      <c r="D133" s="5" t="inlineStr">
        <is>
          <t>助播费用</t>
        </is>
      </c>
      <c r="E133" s="6" t="inlineStr">
        <is>
          <t>Q2403</t>
        </is>
      </c>
      <c r="F133" s="89">
        <f>-SUMIFS('1月数据源'!$I:$I,'1月数据源'!$D:$D,$E133,'1月数据源'!$F:$F,"SMART LEARNING HOLDING")*F$185+SUMIFS('1月数据源'!$J:$J,'1月数据源'!$D:$D,$E133,'1月数据源'!$F:$F,"SMART LEARNING HOLDING")*F$185</f>
        <v/>
      </c>
      <c r="G133" s="89">
        <f>-SUMIFS('2月数据源'!$I:$I,'2月数据源'!$D:$D,$E133,'2月数据源'!$F:$F,"SMART LEARNING HOLDING")*G$185+SUMIFS('2月数据源'!$J:$J,'2月数据源'!$D:$D,$E133,'2月数据源'!$F:$F,"SMART LEARNING HOLDING")*G$185</f>
        <v/>
      </c>
      <c r="H133" s="89">
        <f>-SUMIFS('3月数据源'!$I:$I,'3月数据源'!$D:$D,$E133,'3月数据源'!$F:$F,"SMART LEARNING HOLDING")*H$185+SUMIFS('3月数据源'!$J:$J,'3月数据源'!$D:$D,$E133,'3月数据源'!$F:$F,"SMART LEARNING HOLDING")*H$185</f>
        <v/>
      </c>
      <c r="I133" s="89">
        <f>-SUMIFS('4月数据源'!$I:$I,'4月数据源'!$D:$D,$E133,'4月数据源'!$F:$F,"SMART LEARNING HOLDING")*I$185+SUMIFS('4月数据源'!$J:$J,'4月数据源'!$D:$D,$E133,'4月数据源'!$F:$F,"SMART LEARNING HOLDING")*I$185</f>
        <v/>
      </c>
      <c r="J133" s="89">
        <f>-SUMIFS('5月数据源'!$I:$I,'5月数据源'!$D:$D,$E133,'5月数据源'!$F:$F,"SMART LEARNING HOLDING")*J$185+SUMIFS('5月数据源'!$J:$J,'5月数据源'!$D:$D,$E133,'5月数据源'!$F:$F,"SMART LEARNING HOLDING")*J$185</f>
        <v/>
      </c>
      <c r="K133" s="89">
        <f>-SUMIFS('6月数据源'!$I:$I,'6月数据源'!$D:$D,$E133,'6月数据源'!$F:$F,"SMART LEARNING HOLDING")*K$185+SUMIFS('6月数据源'!$J:$J,'6月数据源'!$D:$D,$E133,'6月数据源'!$F:$F,"SMART LEARNING HOLDING")*K$185</f>
        <v/>
      </c>
      <c r="L133" s="89">
        <f>-SUMIFS('7月数据源'!$I:$I,'7月数据源'!$D:$D,$E133,'7月数据源'!$F:$F,"SMART LEARNING HOLDING")*L$185+SUMIFS('7月数据源'!$J:$J,'7月数据源'!$D:$D,$E133,'7月数据源'!$F:$F,"SMART LEARNING HOLDING")*L$185</f>
        <v/>
      </c>
      <c r="M133" s="89">
        <f>-SUMIFS('8月数据源'!$I:$I,'8月数据源'!$D:$D,$E133,'8月数据源'!$F:$F,"SMART LEARNING HOLDING")*M$185+SUMIFS('8月数据源'!$J:$J,'8月数据源'!$D:$D,$E133,'8月数据源'!$F:$F,"SMART LEARNING HOLDING")*M$185</f>
        <v/>
      </c>
      <c r="N133" s="89">
        <f>-SUMIFS('9月数据源'!$I:$I,'9月数据源'!$D:$D,$E133,'9月数据源'!$F:$F,"SMART LEARNING HOLDING")*N$185+SUMIFS('9月数据源'!$J:$J,'9月数据源'!$D:$D,$E133,'9月数据源'!$F:$F,"SMART LEARNING HOLDING")*N$185</f>
        <v/>
      </c>
      <c r="O133" s="89">
        <f>-SUMIFS('10月数据源'!$I:$I,'10月数据源'!$D:$D,$E133,'10月数据源'!$F:$F,"SMART LEARNING HOLDING")*O$185+SUMIFS('10月数据源'!$J:$J,'10月数据源'!$D:$D,$E133,'10月数据源'!$F:$F,"SMART LEARNING HOLDING")*O$185</f>
        <v/>
      </c>
      <c r="P133" s="89">
        <f>-SUMIFS('11月数据源'!$I:$I,'11月数据源'!$D:$D,$E133,'11月数据源'!$F:$F,"SMART LEARNING HOLDING")*P$185+SUMIFS('11月数据源'!$J:$J,'11月数据源'!$D:$D,$E133,'11月数据源'!$F:$F,"SMART LEARNING HOLDING")*P$185</f>
        <v/>
      </c>
      <c r="Q133" s="89">
        <f>-SUMIFS('12月数据源'!$I:$I,'12月数据源'!$D:$D,$E133,'12月数据源'!$F:$F,"SMART LEARNING HOLDING")*Q$185+SUMIFS('12月数据源'!$J:$J,'12月数据源'!$D:$D,$E133,'12月数据源'!$F:$F,"SMART LEARNING HOLDING")*Q$185</f>
        <v/>
      </c>
    </row>
    <row r="134" s="83">
      <c r="A134" s="5" t="inlineStr">
        <is>
          <t>销售费用</t>
        </is>
      </c>
      <c r="B134" s="6" t="inlineStr">
        <is>
          <t>发货成本</t>
        </is>
      </c>
      <c r="C134" s="6" t="inlineStr">
        <is>
          <t>发货成本</t>
        </is>
      </c>
      <c r="D134" s="5" t="inlineStr">
        <is>
          <t>快递费</t>
        </is>
      </c>
      <c r="E134" s="6" t="inlineStr">
        <is>
          <t>Q2501</t>
        </is>
      </c>
      <c r="F134" s="89">
        <f>-SUMIFS('1月数据源'!$I:$I,'1月数据源'!$D:$D,$E134,'1月数据源'!$F:$F,"SMART LEARNING HOLDING")*F$185+SUMIFS('1月数据源'!$J:$J,'1月数据源'!$D:$D,$E134,'1月数据源'!$F:$F,"SMART LEARNING HOLDING")*F$185</f>
        <v/>
      </c>
      <c r="G134" s="89">
        <f>-SUMIFS('2月数据源'!$I:$I,'2月数据源'!$D:$D,$E134,'2月数据源'!$F:$F,"SMART LEARNING HOLDING")*G$185+SUMIFS('2月数据源'!$J:$J,'2月数据源'!$D:$D,$E134,'2月数据源'!$F:$F,"SMART LEARNING HOLDING")*G$185</f>
        <v/>
      </c>
      <c r="H134" s="89">
        <f>-SUMIFS('3月数据源'!$I:$I,'3月数据源'!$D:$D,$E134,'3月数据源'!$F:$F,"SMART LEARNING HOLDING")*H$185+SUMIFS('3月数据源'!$J:$J,'3月数据源'!$D:$D,$E134,'3月数据源'!$F:$F,"SMART LEARNING HOLDING")*H$185</f>
        <v/>
      </c>
      <c r="I134" s="89">
        <f>-SUMIFS('4月数据源'!$I:$I,'4月数据源'!$D:$D,$E134,'4月数据源'!$F:$F,"SMART LEARNING HOLDING")*I$185+SUMIFS('4月数据源'!$J:$J,'4月数据源'!$D:$D,$E134,'4月数据源'!$F:$F,"SMART LEARNING HOLDING")*I$185</f>
        <v/>
      </c>
      <c r="J134" s="89">
        <f>-SUMIFS('5月数据源'!$I:$I,'5月数据源'!$D:$D,$E134,'5月数据源'!$F:$F,"SMART LEARNING HOLDING")*J$185+SUMIFS('5月数据源'!$J:$J,'5月数据源'!$D:$D,$E134,'5月数据源'!$F:$F,"SMART LEARNING HOLDING")*J$185</f>
        <v/>
      </c>
      <c r="K134" s="89">
        <f>-SUMIFS('6月数据源'!$I:$I,'6月数据源'!$D:$D,$E134,'6月数据源'!$F:$F,"SMART LEARNING HOLDING")*K$185+SUMIFS('6月数据源'!$J:$J,'6月数据源'!$D:$D,$E134,'6月数据源'!$F:$F,"SMART LEARNING HOLDING")*K$185</f>
        <v/>
      </c>
      <c r="L134" s="89">
        <f>-SUMIFS('7月数据源'!$I:$I,'7月数据源'!$D:$D,$E134,'7月数据源'!$F:$F,"SMART LEARNING HOLDING")*L$185+SUMIFS('7月数据源'!$J:$J,'7月数据源'!$D:$D,$E134,'7月数据源'!$F:$F,"SMART LEARNING HOLDING")*L$185</f>
        <v/>
      </c>
      <c r="M134" s="89">
        <f>-SUMIFS('8月数据源'!$I:$I,'8月数据源'!$D:$D,$E134,'8月数据源'!$F:$F,"SMART LEARNING HOLDING")*M$185+SUMIFS('8月数据源'!$J:$J,'8月数据源'!$D:$D,$E134,'8月数据源'!$F:$F,"SMART LEARNING HOLDING")*M$185</f>
        <v/>
      </c>
      <c r="N134" s="89">
        <f>-SUMIFS('9月数据源'!$I:$I,'9月数据源'!$D:$D,$E134,'9月数据源'!$F:$F,"SMART LEARNING HOLDING")*N$185+SUMIFS('9月数据源'!$J:$J,'9月数据源'!$D:$D,$E134,'9月数据源'!$F:$F,"SMART LEARNING HOLDING")*N$185</f>
        <v/>
      </c>
      <c r="O134" s="89">
        <f>-SUMIFS('10月数据源'!$I:$I,'10月数据源'!$D:$D,$E134,'10月数据源'!$F:$F,"SMART LEARNING HOLDING")*O$185+SUMIFS('10月数据源'!$J:$J,'10月数据源'!$D:$D,$E134,'10月数据源'!$F:$F,"SMART LEARNING HOLDING")*O$185</f>
        <v/>
      </c>
      <c r="P134" s="89">
        <f>-SUMIFS('11月数据源'!$I:$I,'11月数据源'!$D:$D,$E134,'11月数据源'!$F:$F,"SMART LEARNING HOLDING")*P$185+SUMIFS('11月数据源'!$J:$J,'11月数据源'!$D:$D,$E134,'11月数据源'!$F:$F,"SMART LEARNING HOLDING")*P$185</f>
        <v/>
      </c>
      <c r="Q134" s="89">
        <f>-SUMIFS('12月数据源'!$I:$I,'12月数据源'!$D:$D,$E134,'12月数据源'!$F:$F,"SMART LEARNING HOLDING")*Q$185+SUMIFS('12月数据源'!$J:$J,'12月数据源'!$D:$D,$E134,'12月数据源'!$F:$F,"SMART LEARNING HOLDING")*Q$185</f>
        <v/>
      </c>
    </row>
    <row r="135" s="83">
      <c r="A135" s="5" t="inlineStr">
        <is>
          <t>销售费用</t>
        </is>
      </c>
      <c r="B135" s="6" t="inlineStr">
        <is>
          <t>发货成本</t>
        </is>
      </c>
      <c r="D135" s="5" t="inlineStr">
        <is>
          <t>云仓租金</t>
        </is>
      </c>
      <c r="E135" s="6" t="inlineStr">
        <is>
          <t>Q2502</t>
        </is>
      </c>
      <c r="F135" s="89">
        <f>-SUMIFS('1月数据源'!$I:$I,'1月数据源'!$D:$D,$E135,'1月数据源'!$F:$F,"SMART LEARNING HOLDING")*F$185+SUMIFS('1月数据源'!$J:$J,'1月数据源'!$D:$D,$E135,'1月数据源'!$F:$F,"SMART LEARNING HOLDING")*F$185</f>
        <v/>
      </c>
      <c r="G135" s="89">
        <f>-SUMIFS('2月数据源'!$I:$I,'2月数据源'!$D:$D,$E135,'2月数据源'!$F:$F,"SMART LEARNING HOLDING")*G$185+SUMIFS('2月数据源'!$J:$J,'2月数据源'!$D:$D,$E135,'2月数据源'!$F:$F,"SMART LEARNING HOLDING")*G$185</f>
        <v/>
      </c>
      <c r="H135" s="89">
        <f>-SUMIFS('3月数据源'!$I:$I,'3月数据源'!$D:$D,$E135,'3月数据源'!$F:$F,"SMART LEARNING HOLDING")*H$185+SUMIFS('3月数据源'!$J:$J,'3月数据源'!$D:$D,$E135,'3月数据源'!$F:$F,"SMART LEARNING HOLDING")*H$185</f>
        <v/>
      </c>
      <c r="I135" s="89">
        <f>-SUMIFS('4月数据源'!$I:$I,'4月数据源'!$D:$D,$E135,'4月数据源'!$F:$F,"SMART LEARNING HOLDING")*I$185+SUMIFS('4月数据源'!$J:$J,'4月数据源'!$D:$D,$E135,'4月数据源'!$F:$F,"SMART LEARNING HOLDING")*I$185</f>
        <v/>
      </c>
      <c r="J135" s="89">
        <f>-SUMIFS('5月数据源'!$I:$I,'5月数据源'!$D:$D,$E135,'5月数据源'!$F:$F,"SMART LEARNING HOLDING")*J$185+SUMIFS('5月数据源'!$J:$J,'5月数据源'!$D:$D,$E135,'5月数据源'!$F:$F,"SMART LEARNING HOLDING")*J$185</f>
        <v/>
      </c>
      <c r="K135" s="89">
        <f>-SUMIFS('6月数据源'!$I:$I,'6月数据源'!$D:$D,$E135,'6月数据源'!$F:$F,"SMART LEARNING HOLDING")*K$185+SUMIFS('6月数据源'!$J:$J,'6月数据源'!$D:$D,$E135,'6月数据源'!$F:$F,"SMART LEARNING HOLDING")*K$185</f>
        <v/>
      </c>
      <c r="L135" s="89">
        <f>-SUMIFS('7月数据源'!$I:$I,'7月数据源'!$D:$D,$E135,'7月数据源'!$F:$F,"SMART LEARNING HOLDING")*L$185+SUMIFS('7月数据源'!$J:$J,'7月数据源'!$D:$D,$E135,'7月数据源'!$F:$F,"SMART LEARNING HOLDING")*L$185</f>
        <v/>
      </c>
      <c r="M135" s="89">
        <f>-SUMIFS('8月数据源'!$I:$I,'8月数据源'!$D:$D,$E135,'8月数据源'!$F:$F,"SMART LEARNING HOLDING")*M$185+SUMIFS('8月数据源'!$J:$J,'8月数据源'!$D:$D,$E135,'8月数据源'!$F:$F,"SMART LEARNING HOLDING")*M$185</f>
        <v/>
      </c>
      <c r="N135" s="89">
        <f>-SUMIFS('9月数据源'!$I:$I,'9月数据源'!$D:$D,$E135,'9月数据源'!$F:$F,"SMART LEARNING HOLDING")*N$185+SUMIFS('9月数据源'!$J:$J,'9月数据源'!$D:$D,$E135,'9月数据源'!$F:$F,"SMART LEARNING HOLDING")*N$185</f>
        <v/>
      </c>
      <c r="O135" s="89">
        <f>-SUMIFS('10月数据源'!$I:$I,'10月数据源'!$D:$D,$E135,'10月数据源'!$F:$F,"SMART LEARNING HOLDING")*O$185+SUMIFS('10月数据源'!$J:$J,'10月数据源'!$D:$D,$E135,'10月数据源'!$F:$F,"SMART LEARNING HOLDING")*O$185</f>
        <v/>
      </c>
      <c r="P135" s="89">
        <f>-SUMIFS('11月数据源'!$I:$I,'11月数据源'!$D:$D,$E135,'11月数据源'!$F:$F,"SMART LEARNING HOLDING")*P$185+SUMIFS('11月数据源'!$J:$J,'11月数据源'!$D:$D,$E135,'11月数据源'!$F:$F,"SMART LEARNING HOLDING")*P$185</f>
        <v/>
      </c>
      <c r="Q135" s="89">
        <f>-SUMIFS('12月数据源'!$I:$I,'12月数据源'!$D:$D,$E135,'12月数据源'!$F:$F,"SMART LEARNING HOLDING")*Q$185+SUMIFS('12月数据源'!$J:$J,'12月数据源'!$D:$D,$E135,'12月数据源'!$F:$F,"SMART LEARNING HOLDING")*Q$185</f>
        <v/>
      </c>
    </row>
    <row r="136" s="83">
      <c r="A136" s="5" t="inlineStr">
        <is>
          <t>销售费用</t>
        </is>
      </c>
      <c r="B136" s="6" t="inlineStr">
        <is>
          <t>品销-费用报销</t>
        </is>
      </c>
      <c r="C136" s="6" t="inlineStr">
        <is>
          <t>品销-费用报销</t>
        </is>
      </c>
      <c r="D136" s="5" t="inlineStr">
        <is>
          <t>品销员工报销</t>
        </is>
      </c>
      <c r="E136" s="6" t="inlineStr">
        <is>
          <t>Q2601</t>
        </is>
      </c>
      <c r="F136" s="89">
        <f>-SUMIFS('1月数据源'!$I:$I,'1月数据源'!$D:$D,$E136,'1月数据源'!$F:$F,"SMART LEARNING HOLDING")*F$185+SUMIFS('1月数据源'!$J:$J,'1月数据源'!$D:$D,$E136,'1月数据源'!$F:$F,"SMART LEARNING HOLDING")*F$185</f>
        <v/>
      </c>
      <c r="G136" s="89">
        <f>-SUMIFS('2月数据源'!$I:$I,'2月数据源'!$D:$D,$E136,'2月数据源'!$F:$F,"SMART LEARNING HOLDING")*G$185+SUMIFS('2月数据源'!$J:$J,'2月数据源'!$D:$D,$E136,'2月数据源'!$F:$F,"SMART LEARNING HOLDING")*G$185</f>
        <v/>
      </c>
      <c r="H136" s="89">
        <f>-SUMIFS('3月数据源'!$I:$I,'3月数据源'!$D:$D,$E136,'3月数据源'!$F:$F,"SMART LEARNING HOLDING")*H$185+SUMIFS('3月数据源'!$J:$J,'3月数据源'!$D:$D,$E136,'3月数据源'!$F:$F,"SMART LEARNING HOLDING")*H$185</f>
        <v/>
      </c>
      <c r="I136" s="89">
        <f>-SUMIFS('4月数据源'!$I:$I,'4月数据源'!$D:$D,$E136,'4月数据源'!$F:$F,"SMART LEARNING HOLDING")*I$185+SUMIFS('4月数据源'!$J:$J,'4月数据源'!$D:$D,$E136,'4月数据源'!$F:$F,"SMART LEARNING HOLDING")*I$185</f>
        <v/>
      </c>
      <c r="J136" s="89">
        <f>-SUMIFS('5月数据源'!$I:$I,'5月数据源'!$D:$D,$E136,'5月数据源'!$F:$F,"SMART LEARNING HOLDING")*J$185+SUMIFS('5月数据源'!$J:$J,'5月数据源'!$D:$D,$E136,'5月数据源'!$F:$F,"SMART LEARNING HOLDING")*J$185</f>
        <v/>
      </c>
      <c r="K136" s="89">
        <f>-SUMIFS('6月数据源'!$I:$I,'6月数据源'!$D:$D,$E136,'6月数据源'!$F:$F,"SMART LEARNING HOLDING")*K$185+SUMIFS('6月数据源'!$J:$J,'6月数据源'!$D:$D,$E136,'6月数据源'!$F:$F,"SMART LEARNING HOLDING")*K$185</f>
        <v/>
      </c>
      <c r="L136" s="89">
        <f>-SUMIFS('7月数据源'!$I:$I,'7月数据源'!$D:$D,$E136,'7月数据源'!$F:$F,"SMART LEARNING HOLDING")*L$185+SUMIFS('7月数据源'!$J:$J,'7月数据源'!$D:$D,$E136,'7月数据源'!$F:$F,"SMART LEARNING HOLDING")*L$185</f>
        <v/>
      </c>
      <c r="M136" s="89">
        <f>-SUMIFS('8月数据源'!$I:$I,'8月数据源'!$D:$D,$E136,'8月数据源'!$F:$F,"SMART LEARNING HOLDING")*M$185+SUMIFS('8月数据源'!$J:$J,'8月数据源'!$D:$D,$E136,'8月数据源'!$F:$F,"SMART LEARNING HOLDING")*M$185</f>
        <v/>
      </c>
      <c r="N136" s="89">
        <f>-SUMIFS('9月数据源'!$I:$I,'9月数据源'!$D:$D,$E136,'9月数据源'!$F:$F,"SMART LEARNING HOLDING")*N$185+SUMIFS('9月数据源'!$J:$J,'9月数据源'!$D:$D,$E136,'9月数据源'!$F:$F,"SMART LEARNING HOLDING")*N$185</f>
        <v/>
      </c>
      <c r="O136" s="89">
        <f>-SUMIFS('10月数据源'!$I:$I,'10月数据源'!$D:$D,$E136,'10月数据源'!$F:$F,"SMART LEARNING HOLDING")*O$185+SUMIFS('10月数据源'!$J:$J,'10月数据源'!$D:$D,$E136,'10月数据源'!$F:$F,"SMART LEARNING HOLDING")*O$185</f>
        <v/>
      </c>
      <c r="P136" s="89">
        <f>-SUMIFS('11月数据源'!$I:$I,'11月数据源'!$D:$D,$E136,'11月数据源'!$F:$F,"SMART LEARNING HOLDING")*P$185+SUMIFS('11月数据源'!$J:$J,'11月数据源'!$D:$D,$E136,'11月数据源'!$F:$F,"SMART LEARNING HOLDING")*P$185</f>
        <v/>
      </c>
      <c r="Q136" s="89">
        <f>-SUMIFS('12月数据源'!$I:$I,'12月数据源'!$D:$D,$E136,'12月数据源'!$F:$F,"SMART LEARNING HOLDING")*Q$185+SUMIFS('12月数据源'!$J:$J,'12月数据源'!$D:$D,$E136,'12月数据源'!$F:$F,"SMART LEARNING HOLDING")*Q$185</f>
        <v/>
      </c>
    </row>
    <row r="137" s="83">
      <c r="A137" s="49" t="inlineStr">
        <is>
          <t>销售费用合计</t>
        </is>
      </c>
      <c r="B137" s="50" t="n"/>
      <c r="C137" s="50" t="n"/>
      <c r="D137" s="49" t="n"/>
      <c r="E137" s="49" t="n"/>
      <c r="F137" s="89">
        <f>SUM(F99:F136)</f>
        <v/>
      </c>
      <c r="G137" s="89">
        <f>SUM(G99:G136)</f>
        <v/>
      </c>
      <c r="H137" s="89">
        <f>SUM(H99:H136)</f>
        <v/>
      </c>
      <c r="I137" s="89">
        <f>SUM(I99:I136)</f>
        <v/>
      </c>
      <c r="J137" s="89">
        <f>SUM(J99:J136)</f>
        <v/>
      </c>
      <c r="K137" s="89">
        <f>SUM(K99:K136)</f>
        <v/>
      </c>
      <c r="L137" s="89">
        <f>SUM(L99:L136)</f>
        <v/>
      </c>
      <c r="M137" s="89">
        <f>SUM(M99:M136)</f>
        <v/>
      </c>
      <c r="N137" s="89">
        <f>SUM(N99:N136)</f>
        <v/>
      </c>
      <c r="O137" s="89">
        <f>SUM(O99:O136)</f>
        <v/>
      </c>
      <c r="P137" s="89">
        <f>SUM(P99:P136)</f>
        <v/>
      </c>
      <c r="Q137" s="89">
        <f>SUM(Q99:Q136)</f>
        <v/>
      </c>
    </row>
    <row r="138" s="83">
      <c r="A138" s="5" t="inlineStr">
        <is>
          <t>管理费用</t>
        </is>
      </c>
      <c r="B138" s="6" t="inlineStr">
        <is>
          <t>办公场地使用费</t>
        </is>
      </c>
      <c r="C138" s="6" t="inlineStr">
        <is>
          <t>办公场地使用费</t>
        </is>
      </c>
      <c r="D138" s="5" t="inlineStr">
        <is>
          <t>西溪首座办公场地租金</t>
        </is>
      </c>
      <c r="E138" s="6" t="inlineStr">
        <is>
          <t>Q2702</t>
        </is>
      </c>
      <c r="F138" s="89">
        <f>-SUMIFS('1月数据源'!$I:$I,'1月数据源'!$D:$D,$E138,'1月数据源'!$F:$F,"SMART LEARNING HOLDING")*F$185+SUMIFS('1月数据源'!$J:$J,'1月数据源'!$D:$D,$E138,'1月数据源'!$F:$F,"SMART LEARNING HOLDING")*F$185</f>
        <v/>
      </c>
      <c r="G138" s="89">
        <f>-SUMIFS('2月数据源'!$I:$I,'2月数据源'!$D:$D,$E138,'2月数据源'!$F:$F,"SMART LEARNING HOLDING")*G$185+SUMIFS('2月数据源'!$J:$J,'2月数据源'!$D:$D,$E138,'2月数据源'!$F:$F,"SMART LEARNING HOLDING")*G$185</f>
        <v/>
      </c>
      <c r="H138" s="89">
        <f>-SUMIFS('3月数据源'!$I:$I,'3月数据源'!$D:$D,$E138,'3月数据源'!$F:$F,"SMART LEARNING HOLDING")*H$185+SUMIFS('3月数据源'!$J:$J,'3月数据源'!$D:$D,$E138,'3月数据源'!$F:$F,"SMART LEARNING HOLDING")*H$185</f>
        <v/>
      </c>
      <c r="I138" s="89">
        <f>-SUMIFS('4月数据源'!$I:$I,'4月数据源'!$D:$D,$E138,'4月数据源'!$F:$F,"SMART LEARNING HOLDING")*I$185+SUMIFS('4月数据源'!$J:$J,'4月数据源'!$D:$D,$E138,'4月数据源'!$F:$F,"SMART LEARNING HOLDING")*I$185</f>
        <v/>
      </c>
      <c r="J138" s="89">
        <f>-SUMIFS('5月数据源'!$I:$I,'5月数据源'!$D:$D,$E138,'5月数据源'!$F:$F,"SMART LEARNING HOLDING")*J$185+SUMIFS('5月数据源'!$J:$J,'5月数据源'!$D:$D,$E138,'5月数据源'!$F:$F,"SMART LEARNING HOLDING")*J$185</f>
        <v/>
      </c>
      <c r="K138" s="89">
        <f>-SUMIFS('6月数据源'!$I:$I,'6月数据源'!$D:$D,$E138,'6月数据源'!$F:$F,"SMART LEARNING HOLDING")*K$185+SUMIFS('6月数据源'!$J:$J,'6月数据源'!$D:$D,$E138,'6月数据源'!$F:$F,"SMART LEARNING HOLDING")*K$185</f>
        <v/>
      </c>
      <c r="L138" s="89">
        <f>-SUMIFS('7月数据源'!$I:$I,'7月数据源'!$D:$D,$E138,'7月数据源'!$F:$F,"SMART LEARNING HOLDING")*L$185+SUMIFS('7月数据源'!$J:$J,'7月数据源'!$D:$D,$E138,'7月数据源'!$F:$F,"SMART LEARNING HOLDING")*L$185</f>
        <v/>
      </c>
      <c r="M138" s="89">
        <f>-SUMIFS('8月数据源'!$I:$I,'8月数据源'!$D:$D,$E138,'8月数据源'!$F:$F,"SMART LEARNING HOLDING")*M$185+SUMIFS('8月数据源'!$J:$J,'8月数据源'!$D:$D,$E138,'8月数据源'!$F:$F,"SMART LEARNING HOLDING")*M$185</f>
        <v/>
      </c>
      <c r="N138" s="89">
        <f>-SUMIFS('9月数据源'!$I:$I,'9月数据源'!$D:$D,$E138,'9月数据源'!$F:$F,"SMART LEARNING HOLDING")*N$185+SUMIFS('9月数据源'!$J:$J,'9月数据源'!$D:$D,$E138,'9月数据源'!$F:$F,"SMART LEARNING HOLDING")*N$185</f>
        <v/>
      </c>
      <c r="O138" s="89">
        <f>-SUMIFS('10月数据源'!$I:$I,'10月数据源'!$D:$D,$E138,'10月数据源'!$F:$F,"SMART LEARNING HOLDING")*O$185+SUMIFS('10月数据源'!$J:$J,'10月数据源'!$D:$D,$E138,'10月数据源'!$F:$F,"SMART LEARNING HOLDING")*O$185</f>
        <v/>
      </c>
      <c r="P138" s="89">
        <f>-SUMIFS('11月数据源'!$I:$I,'11月数据源'!$D:$D,$E138,'11月数据源'!$F:$F,"SMART LEARNING HOLDING")*P$185+SUMIFS('11月数据源'!$J:$J,'11月数据源'!$D:$D,$E138,'11月数据源'!$F:$F,"SMART LEARNING HOLDING")*P$185</f>
        <v/>
      </c>
      <c r="Q138" s="89">
        <f>-SUMIFS('12月数据源'!$I:$I,'12月数据源'!$D:$D,$E138,'12月数据源'!$F:$F,"SMART LEARNING HOLDING")*Q$185+SUMIFS('12月数据源'!$J:$J,'12月数据源'!$D:$D,$E138,'12月数据源'!$F:$F,"SMART LEARNING HOLDING")*Q$185</f>
        <v/>
      </c>
    </row>
    <row r="139" s="83">
      <c r="A139" s="5" t="inlineStr">
        <is>
          <t>管理费用</t>
        </is>
      </c>
      <c r="B139" s="6" t="inlineStr">
        <is>
          <t>办公场地使用费</t>
        </is>
      </c>
      <c r="D139" s="5" t="inlineStr">
        <is>
          <t>西溪首座办公场地装修费</t>
        </is>
      </c>
      <c r="E139" s="6" t="inlineStr">
        <is>
          <t>Q2701</t>
        </is>
      </c>
      <c r="F139" s="89">
        <f>-SUMIFS('1月数据源'!$I:$I,'1月数据源'!$D:$D,$E139,'1月数据源'!$F:$F,"SMART LEARNING HOLDING")*F$185+SUMIFS('1月数据源'!$J:$J,'1月数据源'!$D:$D,$E139,'1月数据源'!$F:$F,"SMART LEARNING HOLDING")*F$185</f>
        <v/>
      </c>
      <c r="G139" s="89">
        <f>-SUMIFS('2月数据源'!$I:$I,'2月数据源'!$D:$D,$E139,'2月数据源'!$F:$F,"SMART LEARNING HOLDING")*G$185+SUMIFS('2月数据源'!$J:$J,'2月数据源'!$D:$D,$E139,'2月数据源'!$F:$F,"SMART LEARNING HOLDING")*G$185</f>
        <v/>
      </c>
      <c r="H139" s="89">
        <f>-SUMIFS('3月数据源'!$I:$I,'3月数据源'!$D:$D,$E139,'3月数据源'!$F:$F,"SMART LEARNING HOLDING")*H$185+SUMIFS('3月数据源'!$J:$J,'3月数据源'!$D:$D,$E139,'3月数据源'!$F:$F,"SMART LEARNING HOLDING")*H$185</f>
        <v/>
      </c>
      <c r="I139" s="89">
        <f>-SUMIFS('4月数据源'!$I:$I,'4月数据源'!$D:$D,$E139,'4月数据源'!$F:$F,"SMART LEARNING HOLDING")*I$185+SUMIFS('4月数据源'!$J:$J,'4月数据源'!$D:$D,$E139,'4月数据源'!$F:$F,"SMART LEARNING HOLDING")*I$185</f>
        <v/>
      </c>
      <c r="J139" s="89">
        <f>-SUMIFS('5月数据源'!$I:$I,'5月数据源'!$D:$D,$E139,'5月数据源'!$F:$F,"SMART LEARNING HOLDING")*J$185+SUMIFS('5月数据源'!$J:$J,'5月数据源'!$D:$D,$E139,'5月数据源'!$F:$F,"SMART LEARNING HOLDING")*J$185</f>
        <v/>
      </c>
      <c r="K139" s="89">
        <f>-SUMIFS('6月数据源'!$I:$I,'6月数据源'!$D:$D,$E139,'6月数据源'!$F:$F,"SMART LEARNING HOLDING")*K$185+SUMIFS('6月数据源'!$J:$J,'6月数据源'!$D:$D,$E139,'6月数据源'!$F:$F,"SMART LEARNING HOLDING")*K$185</f>
        <v/>
      </c>
      <c r="L139" s="89">
        <f>-SUMIFS('7月数据源'!$I:$I,'7月数据源'!$D:$D,$E139,'7月数据源'!$F:$F,"SMART LEARNING HOLDING")*L$185+SUMIFS('7月数据源'!$J:$J,'7月数据源'!$D:$D,$E139,'7月数据源'!$F:$F,"SMART LEARNING HOLDING")*L$185</f>
        <v/>
      </c>
      <c r="M139" s="89">
        <f>-SUMIFS('8月数据源'!$I:$I,'8月数据源'!$D:$D,$E139,'8月数据源'!$F:$F,"SMART LEARNING HOLDING")*M$185+SUMIFS('8月数据源'!$J:$J,'8月数据源'!$D:$D,$E139,'8月数据源'!$F:$F,"SMART LEARNING HOLDING")*M$185</f>
        <v/>
      </c>
      <c r="N139" s="89">
        <f>-SUMIFS('9月数据源'!$I:$I,'9月数据源'!$D:$D,$E139,'9月数据源'!$F:$F,"SMART LEARNING HOLDING")*N$185+SUMIFS('9月数据源'!$J:$J,'9月数据源'!$D:$D,$E139,'9月数据源'!$F:$F,"SMART LEARNING HOLDING")*N$185</f>
        <v/>
      </c>
      <c r="O139" s="89">
        <f>-SUMIFS('10月数据源'!$I:$I,'10月数据源'!$D:$D,$E139,'10月数据源'!$F:$F,"SMART LEARNING HOLDING")*O$185+SUMIFS('10月数据源'!$J:$J,'10月数据源'!$D:$D,$E139,'10月数据源'!$F:$F,"SMART LEARNING HOLDING")*O$185</f>
        <v/>
      </c>
      <c r="P139" s="89">
        <f>-SUMIFS('11月数据源'!$I:$I,'11月数据源'!$D:$D,$E139,'11月数据源'!$F:$F,"SMART LEARNING HOLDING")*P$185+SUMIFS('11月数据源'!$J:$J,'11月数据源'!$D:$D,$E139,'11月数据源'!$F:$F,"SMART LEARNING HOLDING")*P$185</f>
        <v/>
      </c>
      <c r="Q139" s="89">
        <f>-SUMIFS('12月数据源'!$I:$I,'12月数据源'!$D:$D,$E139,'12月数据源'!$F:$F,"SMART LEARNING HOLDING")*Q$185+SUMIFS('12月数据源'!$J:$J,'12月数据源'!$D:$D,$E139,'12月数据源'!$F:$F,"SMART LEARNING HOLDING")*Q$185</f>
        <v/>
      </c>
    </row>
    <row r="140" s="83">
      <c r="A140" s="5" t="inlineStr">
        <is>
          <t>管理费用</t>
        </is>
      </c>
      <c r="B140" s="6" t="inlineStr">
        <is>
          <t>办公场地使用费</t>
        </is>
      </c>
      <c r="D140" s="5" t="inlineStr">
        <is>
          <t>西溪首座办公室物业水电费</t>
        </is>
      </c>
      <c r="E140" s="6" t="inlineStr">
        <is>
          <t>Q2703</t>
        </is>
      </c>
      <c r="F140" s="89">
        <f>-SUMIFS('1月数据源'!$I:$I,'1月数据源'!$D:$D,$E140,'1月数据源'!$F:$F,"SMART LEARNING HOLDING")*F$185+SUMIFS('1月数据源'!$J:$J,'1月数据源'!$D:$D,$E140,'1月数据源'!$F:$F,"SMART LEARNING HOLDING")*F$185</f>
        <v/>
      </c>
      <c r="G140" s="89">
        <f>-SUMIFS('2月数据源'!$I:$I,'2月数据源'!$D:$D,$E140,'2月数据源'!$F:$F,"SMART LEARNING HOLDING")*G$185+SUMIFS('2月数据源'!$J:$J,'2月数据源'!$D:$D,$E140,'2月数据源'!$F:$F,"SMART LEARNING HOLDING")*G$185</f>
        <v/>
      </c>
      <c r="H140" s="89">
        <f>-SUMIFS('3月数据源'!$I:$I,'3月数据源'!$D:$D,$E140,'3月数据源'!$F:$F,"SMART LEARNING HOLDING")*H$185+SUMIFS('3月数据源'!$J:$J,'3月数据源'!$D:$D,$E140,'3月数据源'!$F:$F,"SMART LEARNING HOLDING")*H$185</f>
        <v/>
      </c>
      <c r="I140" s="89">
        <f>-SUMIFS('4月数据源'!$I:$I,'4月数据源'!$D:$D,$E140,'4月数据源'!$F:$F,"SMART LEARNING HOLDING")*I$185+SUMIFS('4月数据源'!$J:$J,'4月数据源'!$D:$D,$E140,'4月数据源'!$F:$F,"SMART LEARNING HOLDING")*I$185</f>
        <v/>
      </c>
      <c r="J140" s="89">
        <f>-SUMIFS('5月数据源'!$I:$I,'5月数据源'!$D:$D,$E140,'5月数据源'!$F:$F,"SMART LEARNING HOLDING")*J$185+SUMIFS('5月数据源'!$J:$J,'5月数据源'!$D:$D,$E140,'5月数据源'!$F:$F,"SMART LEARNING HOLDING")*J$185</f>
        <v/>
      </c>
      <c r="K140" s="89">
        <f>-SUMIFS('6月数据源'!$I:$I,'6月数据源'!$D:$D,$E140,'6月数据源'!$F:$F,"SMART LEARNING HOLDING")*K$185+SUMIFS('6月数据源'!$J:$J,'6月数据源'!$D:$D,$E140,'6月数据源'!$F:$F,"SMART LEARNING HOLDING")*K$185</f>
        <v/>
      </c>
      <c r="L140" s="89">
        <f>-SUMIFS('7月数据源'!$I:$I,'7月数据源'!$D:$D,$E140,'7月数据源'!$F:$F,"SMART LEARNING HOLDING")*L$185+SUMIFS('7月数据源'!$J:$J,'7月数据源'!$D:$D,$E140,'7月数据源'!$F:$F,"SMART LEARNING HOLDING")*L$185</f>
        <v/>
      </c>
      <c r="M140" s="89">
        <f>-SUMIFS('8月数据源'!$I:$I,'8月数据源'!$D:$D,$E140,'8月数据源'!$F:$F,"SMART LEARNING HOLDING")*M$185+SUMIFS('8月数据源'!$J:$J,'8月数据源'!$D:$D,$E140,'8月数据源'!$F:$F,"SMART LEARNING HOLDING")*M$185</f>
        <v/>
      </c>
      <c r="N140" s="89">
        <f>-SUMIFS('9月数据源'!$I:$I,'9月数据源'!$D:$D,$E140,'9月数据源'!$F:$F,"SMART LEARNING HOLDING")*N$185+SUMIFS('9月数据源'!$J:$J,'9月数据源'!$D:$D,$E140,'9月数据源'!$F:$F,"SMART LEARNING HOLDING")*N$185</f>
        <v/>
      </c>
      <c r="O140" s="89">
        <f>-SUMIFS('10月数据源'!$I:$I,'10月数据源'!$D:$D,$E140,'10月数据源'!$F:$F,"SMART LEARNING HOLDING")*O$185+SUMIFS('10月数据源'!$J:$J,'10月数据源'!$D:$D,$E140,'10月数据源'!$F:$F,"SMART LEARNING HOLDING")*O$185</f>
        <v/>
      </c>
      <c r="P140" s="89">
        <f>-SUMIFS('11月数据源'!$I:$I,'11月数据源'!$D:$D,$E140,'11月数据源'!$F:$F,"SMART LEARNING HOLDING")*P$185+SUMIFS('11月数据源'!$J:$J,'11月数据源'!$D:$D,$E140,'11月数据源'!$F:$F,"SMART LEARNING HOLDING")*P$185</f>
        <v/>
      </c>
      <c r="Q140" s="89">
        <f>-SUMIFS('12月数据源'!$I:$I,'12月数据源'!$D:$D,$E140,'12月数据源'!$F:$F,"SMART LEARNING HOLDING")*Q$185+SUMIFS('12月数据源'!$J:$J,'12月数据源'!$D:$D,$E140,'12月数据源'!$F:$F,"SMART LEARNING HOLDING")*Q$185</f>
        <v/>
      </c>
    </row>
    <row r="141" s="83">
      <c r="A141" s="5" t="inlineStr">
        <is>
          <t>管理费用</t>
        </is>
      </c>
      <c r="B141" s="6" t="inlineStr">
        <is>
          <t>办公场地使用费</t>
        </is>
      </c>
      <c r="D141" s="5" t="inlineStr">
        <is>
          <t>合肥办公室租金</t>
        </is>
      </c>
      <c r="E141" s="6" t="inlineStr">
        <is>
          <t>Q2704</t>
        </is>
      </c>
      <c r="F141" s="89">
        <f>-SUMIFS('1月数据源'!$I:$I,'1月数据源'!$D:$D,$E141,'1月数据源'!$F:$F,"SMART LEARNING HOLDING")*F$185+SUMIFS('1月数据源'!$J:$J,'1月数据源'!$D:$D,$E141,'1月数据源'!$F:$F,"SMART LEARNING HOLDING")*F$185</f>
        <v/>
      </c>
      <c r="G141" s="89">
        <f>-SUMIFS('2月数据源'!$I:$I,'2月数据源'!$D:$D,$E141,'2月数据源'!$F:$F,"SMART LEARNING HOLDING")*G$185+SUMIFS('2月数据源'!$J:$J,'2月数据源'!$D:$D,$E141,'2月数据源'!$F:$F,"SMART LEARNING HOLDING")*G$185</f>
        <v/>
      </c>
      <c r="H141" s="89">
        <f>-SUMIFS('3月数据源'!$I:$I,'3月数据源'!$D:$D,$E141,'3月数据源'!$F:$F,"SMART LEARNING HOLDING")*H$185+SUMIFS('3月数据源'!$J:$J,'3月数据源'!$D:$D,$E141,'3月数据源'!$F:$F,"SMART LEARNING HOLDING")*H$185</f>
        <v/>
      </c>
      <c r="I141" s="89">
        <f>-SUMIFS('4月数据源'!$I:$I,'4月数据源'!$D:$D,$E141,'4月数据源'!$F:$F,"SMART LEARNING HOLDING")*I$185+SUMIFS('4月数据源'!$J:$J,'4月数据源'!$D:$D,$E141,'4月数据源'!$F:$F,"SMART LEARNING HOLDING")*I$185</f>
        <v/>
      </c>
      <c r="J141" s="89">
        <f>-SUMIFS('5月数据源'!$I:$I,'5月数据源'!$D:$D,$E141,'5月数据源'!$F:$F,"SMART LEARNING HOLDING")*J$185+SUMIFS('5月数据源'!$J:$J,'5月数据源'!$D:$D,$E141,'5月数据源'!$F:$F,"SMART LEARNING HOLDING")*J$185</f>
        <v/>
      </c>
      <c r="K141" s="89">
        <f>-SUMIFS('6月数据源'!$I:$I,'6月数据源'!$D:$D,$E141,'6月数据源'!$F:$F,"SMART LEARNING HOLDING")*K$185+SUMIFS('6月数据源'!$J:$J,'6月数据源'!$D:$D,$E141,'6月数据源'!$F:$F,"SMART LEARNING HOLDING")*K$185</f>
        <v/>
      </c>
      <c r="L141" s="89">
        <f>-SUMIFS('7月数据源'!$I:$I,'7月数据源'!$D:$D,$E141,'7月数据源'!$F:$F,"SMART LEARNING HOLDING")*L$185+SUMIFS('7月数据源'!$J:$J,'7月数据源'!$D:$D,$E141,'7月数据源'!$F:$F,"SMART LEARNING HOLDING")*L$185</f>
        <v/>
      </c>
      <c r="M141" s="89">
        <f>-SUMIFS('8月数据源'!$I:$I,'8月数据源'!$D:$D,$E141,'8月数据源'!$F:$F,"SMART LEARNING HOLDING")*M$185+SUMIFS('8月数据源'!$J:$J,'8月数据源'!$D:$D,$E141,'8月数据源'!$F:$F,"SMART LEARNING HOLDING")*M$185</f>
        <v/>
      </c>
      <c r="N141" s="89">
        <f>-SUMIFS('9月数据源'!$I:$I,'9月数据源'!$D:$D,$E141,'9月数据源'!$F:$F,"SMART LEARNING HOLDING")*N$185+SUMIFS('9月数据源'!$J:$J,'9月数据源'!$D:$D,$E141,'9月数据源'!$F:$F,"SMART LEARNING HOLDING")*N$185</f>
        <v/>
      </c>
      <c r="O141" s="89">
        <f>-SUMIFS('10月数据源'!$I:$I,'10月数据源'!$D:$D,$E141,'10月数据源'!$F:$F,"SMART LEARNING HOLDING")*O$185+SUMIFS('10月数据源'!$J:$J,'10月数据源'!$D:$D,$E141,'10月数据源'!$F:$F,"SMART LEARNING HOLDING")*O$185</f>
        <v/>
      </c>
      <c r="P141" s="89">
        <f>-SUMIFS('11月数据源'!$I:$I,'11月数据源'!$D:$D,$E141,'11月数据源'!$F:$F,"SMART LEARNING HOLDING")*P$185+SUMIFS('11月数据源'!$J:$J,'11月数据源'!$D:$D,$E141,'11月数据源'!$F:$F,"SMART LEARNING HOLDING")*P$185</f>
        <v/>
      </c>
      <c r="Q141" s="89">
        <f>-SUMIFS('12月数据源'!$I:$I,'12月数据源'!$D:$D,$E141,'12月数据源'!$F:$F,"SMART LEARNING HOLDING")*Q$185+SUMIFS('12月数据源'!$J:$J,'12月数据源'!$D:$D,$E141,'12月数据源'!$F:$F,"SMART LEARNING HOLDING")*Q$185</f>
        <v/>
      </c>
    </row>
    <row r="142" s="83">
      <c r="A142" s="5" t="inlineStr">
        <is>
          <t>管理费用</t>
        </is>
      </c>
      <c r="B142" s="6" t="inlineStr">
        <is>
          <t>办公场地使用费</t>
        </is>
      </c>
      <c r="D142" s="5" t="inlineStr">
        <is>
          <t>合肥办公室物业水电费</t>
        </is>
      </c>
      <c r="E142" s="6" t="inlineStr">
        <is>
          <t>Q2705</t>
        </is>
      </c>
      <c r="F142" s="89">
        <f>-SUMIFS('1月数据源'!$I:$I,'1月数据源'!$D:$D,$E142,'1月数据源'!$F:$F,"SMART LEARNING HOLDING")*F$185+SUMIFS('1月数据源'!$J:$J,'1月数据源'!$D:$D,$E142,'1月数据源'!$F:$F,"SMART LEARNING HOLDING")*F$185</f>
        <v/>
      </c>
      <c r="G142" s="89">
        <f>-SUMIFS('2月数据源'!$I:$I,'2月数据源'!$D:$D,$E142,'2月数据源'!$F:$F,"SMART LEARNING HOLDING")*G$185+SUMIFS('2月数据源'!$J:$J,'2月数据源'!$D:$D,$E142,'2月数据源'!$F:$F,"SMART LEARNING HOLDING")*G$185</f>
        <v/>
      </c>
      <c r="H142" s="89">
        <f>-SUMIFS('3月数据源'!$I:$I,'3月数据源'!$D:$D,$E142,'3月数据源'!$F:$F,"SMART LEARNING HOLDING")*H$185+SUMIFS('3月数据源'!$J:$J,'3月数据源'!$D:$D,$E142,'3月数据源'!$F:$F,"SMART LEARNING HOLDING")*H$185</f>
        <v/>
      </c>
      <c r="I142" s="89">
        <f>-SUMIFS('4月数据源'!$I:$I,'4月数据源'!$D:$D,$E142,'4月数据源'!$F:$F,"SMART LEARNING HOLDING")*I$185+SUMIFS('4月数据源'!$J:$J,'4月数据源'!$D:$D,$E142,'4月数据源'!$F:$F,"SMART LEARNING HOLDING")*I$185</f>
        <v/>
      </c>
      <c r="J142" s="89">
        <f>-SUMIFS('5月数据源'!$I:$I,'5月数据源'!$D:$D,$E142,'5月数据源'!$F:$F,"SMART LEARNING HOLDING")*J$185+SUMIFS('5月数据源'!$J:$J,'5月数据源'!$D:$D,$E142,'5月数据源'!$F:$F,"SMART LEARNING HOLDING")*J$185</f>
        <v/>
      </c>
      <c r="K142" s="89">
        <f>-SUMIFS('6月数据源'!$I:$I,'6月数据源'!$D:$D,$E142,'6月数据源'!$F:$F,"SMART LEARNING HOLDING")*K$185+SUMIFS('6月数据源'!$J:$J,'6月数据源'!$D:$D,$E142,'6月数据源'!$F:$F,"SMART LEARNING HOLDING")*K$185</f>
        <v/>
      </c>
      <c r="L142" s="89">
        <f>-SUMIFS('7月数据源'!$I:$I,'7月数据源'!$D:$D,$E142,'7月数据源'!$F:$F,"SMART LEARNING HOLDING")*L$185+SUMIFS('7月数据源'!$J:$J,'7月数据源'!$D:$D,$E142,'7月数据源'!$F:$F,"SMART LEARNING HOLDING")*L$185</f>
        <v/>
      </c>
      <c r="M142" s="89">
        <f>-SUMIFS('8月数据源'!$I:$I,'8月数据源'!$D:$D,$E142,'8月数据源'!$F:$F,"SMART LEARNING HOLDING")*M$185+SUMIFS('8月数据源'!$J:$J,'8月数据源'!$D:$D,$E142,'8月数据源'!$F:$F,"SMART LEARNING HOLDING")*M$185</f>
        <v/>
      </c>
      <c r="N142" s="89">
        <f>-SUMIFS('9月数据源'!$I:$I,'9月数据源'!$D:$D,$E142,'9月数据源'!$F:$F,"SMART LEARNING HOLDING")*N$185+SUMIFS('9月数据源'!$J:$J,'9月数据源'!$D:$D,$E142,'9月数据源'!$F:$F,"SMART LEARNING HOLDING")*N$185</f>
        <v/>
      </c>
      <c r="O142" s="89">
        <f>-SUMIFS('10月数据源'!$I:$I,'10月数据源'!$D:$D,$E142,'10月数据源'!$F:$F,"SMART LEARNING HOLDING")*O$185+SUMIFS('10月数据源'!$J:$J,'10月数据源'!$D:$D,$E142,'10月数据源'!$F:$F,"SMART LEARNING HOLDING")*O$185</f>
        <v/>
      </c>
      <c r="P142" s="89">
        <f>-SUMIFS('11月数据源'!$I:$I,'11月数据源'!$D:$D,$E142,'11月数据源'!$F:$F,"SMART LEARNING HOLDING")*P$185+SUMIFS('11月数据源'!$J:$J,'11月数据源'!$D:$D,$E142,'11月数据源'!$F:$F,"SMART LEARNING HOLDING")*P$185</f>
        <v/>
      </c>
      <c r="Q142" s="89">
        <f>-SUMIFS('12月数据源'!$I:$I,'12月数据源'!$D:$D,$E142,'12月数据源'!$F:$F,"SMART LEARNING HOLDING")*Q$185+SUMIFS('12月数据源'!$J:$J,'12月数据源'!$D:$D,$E142,'12月数据源'!$F:$F,"SMART LEARNING HOLDING")*Q$185</f>
        <v/>
      </c>
    </row>
    <row r="143" s="83">
      <c r="A143" s="5" t="inlineStr">
        <is>
          <t>管理费用</t>
        </is>
      </c>
      <c r="B143" s="6" t="inlineStr">
        <is>
          <t>办公场地使用费</t>
        </is>
      </c>
      <c r="D143" s="5" t="inlineStr">
        <is>
          <t>其他办公场地使用费</t>
        </is>
      </c>
      <c r="E143" s="6" t="inlineStr">
        <is>
          <t>Q2706</t>
        </is>
      </c>
      <c r="F143" s="89">
        <f>-SUMIFS('1月数据源'!$I:$I,'1月数据源'!$D:$D,$E143,'1月数据源'!$F:$F,"SMART LEARNING HOLDING")*F$185+SUMIFS('1月数据源'!$J:$J,'1月数据源'!$D:$D,$E143,'1月数据源'!$F:$F,"SMART LEARNING HOLDING")*F$185</f>
        <v/>
      </c>
      <c r="G143" s="89">
        <f>-SUMIFS('2月数据源'!$I:$I,'2月数据源'!$D:$D,$E143,'2月数据源'!$F:$F,"SMART LEARNING HOLDING")*G$185+SUMIFS('2月数据源'!$J:$J,'2月数据源'!$D:$D,$E143,'2月数据源'!$F:$F,"SMART LEARNING HOLDING")*G$185</f>
        <v/>
      </c>
      <c r="H143" s="89">
        <f>-SUMIFS('3月数据源'!$I:$I,'3月数据源'!$D:$D,$E143,'3月数据源'!$F:$F,"SMART LEARNING HOLDING")*H$185+SUMIFS('3月数据源'!$J:$J,'3月数据源'!$D:$D,$E143,'3月数据源'!$F:$F,"SMART LEARNING HOLDING")*H$185</f>
        <v/>
      </c>
      <c r="I143" s="89">
        <f>-SUMIFS('4月数据源'!$I:$I,'4月数据源'!$D:$D,$E143,'4月数据源'!$F:$F,"SMART LEARNING HOLDING")*I$185+SUMIFS('4月数据源'!$J:$J,'4月数据源'!$D:$D,$E143,'4月数据源'!$F:$F,"SMART LEARNING HOLDING")*I$185</f>
        <v/>
      </c>
      <c r="J143" s="89">
        <f>-SUMIFS('5月数据源'!$I:$I,'5月数据源'!$D:$D,$E143,'5月数据源'!$F:$F,"SMART LEARNING HOLDING")*J$185+SUMIFS('5月数据源'!$J:$J,'5月数据源'!$D:$D,$E143,'5月数据源'!$F:$F,"SMART LEARNING HOLDING")*J$185</f>
        <v/>
      </c>
      <c r="K143" s="89">
        <f>-SUMIFS('6月数据源'!$I:$I,'6月数据源'!$D:$D,$E143,'6月数据源'!$F:$F,"SMART LEARNING HOLDING")*K$185+SUMIFS('6月数据源'!$J:$J,'6月数据源'!$D:$D,$E143,'6月数据源'!$F:$F,"SMART LEARNING HOLDING")*K$185</f>
        <v/>
      </c>
      <c r="L143" s="89">
        <f>-SUMIFS('7月数据源'!$I:$I,'7月数据源'!$D:$D,$E143,'7月数据源'!$F:$F,"SMART LEARNING HOLDING")*L$185+SUMIFS('7月数据源'!$J:$J,'7月数据源'!$D:$D,$E143,'7月数据源'!$F:$F,"SMART LEARNING HOLDING")*L$185</f>
        <v/>
      </c>
      <c r="M143" s="89">
        <f>-SUMIFS('8月数据源'!$I:$I,'8月数据源'!$D:$D,$E143,'8月数据源'!$F:$F,"SMART LEARNING HOLDING")*M$185+SUMIFS('8月数据源'!$J:$J,'8月数据源'!$D:$D,$E143,'8月数据源'!$F:$F,"SMART LEARNING HOLDING")*M$185</f>
        <v/>
      </c>
      <c r="N143" s="89">
        <f>-SUMIFS('9月数据源'!$I:$I,'9月数据源'!$D:$D,$E143,'9月数据源'!$F:$F,"SMART LEARNING HOLDING")*N$185+SUMIFS('9月数据源'!$J:$J,'9月数据源'!$D:$D,$E143,'9月数据源'!$F:$F,"SMART LEARNING HOLDING")*N$185</f>
        <v/>
      </c>
      <c r="O143" s="89">
        <f>-SUMIFS('10月数据源'!$I:$I,'10月数据源'!$D:$D,$E143,'10月数据源'!$F:$F,"SMART LEARNING HOLDING")*O$185+SUMIFS('10月数据源'!$J:$J,'10月数据源'!$D:$D,$E143,'10月数据源'!$F:$F,"SMART LEARNING HOLDING")*O$185</f>
        <v/>
      </c>
      <c r="P143" s="89">
        <f>-SUMIFS('11月数据源'!$I:$I,'11月数据源'!$D:$D,$E143,'11月数据源'!$F:$F,"SMART LEARNING HOLDING")*P$185+SUMIFS('11月数据源'!$J:$J,'11月数据源'!$D:$D,$E143,'11月数据源'!$F:$F,"SMART LEARNING HOLDING")*P$185</f>
        <v/>
      </c>
      <c r="Q143" s="89">
        <f>-SUMIFS('12月数据源'!$I:$I,'12月数据源'!$D:$D,$E143,'12月数据源'!$F:$F,"SMART LEARNING HOLDING")*Q$185+SUMIFS('12月数据源'!$J:$J,'12月数据源'!$D:$D,$E143,'12月数据源'!$F:$F,"SMART LEARNING HOLDING")*Q$185</f>
        <v/>
      </c>
    </row>
    <row r="144" s="83">
      <c r="A144" s="5" t="inlineStr">
        <is>
          <t>管理费用</t>
        </is>
      </c>
      <c r="B144" s="6" t="inlineStr">
        <is>
          <t>办公场地使用费</t>
        </is>
      </c>
      <c r="D144" s="5" t="inlineStr">
        <is>
          <t>其他办公场地物业水电费</t>
        </is>
      </c>
      <c r="E144" s="6" t="inlineStr">
        <is>
          <t>Q2708</t>
        </is>
      </c>
      <c r="F144" s="89">
        <f>-SUMIFS('1月数据源'!$I:$I,'1月数据源'!$D:$D,$E144,'1月数据源'!$F:$F,"SMART LEARNING HOLDING")*F$185+SUMIFS('1月数据源'!$J:$J,'1月数据源'!$D:$D,$E144,'1月数据源'!$F:$F,"SMART LEARNING HOLDING")*F$185</f>
        <v/>
      </c>
      <c r="G144" s="89">
        <f>-SUMIFS('2月数据源'!$I:$I,'2月数据源'!$D:$D,$E144,'2月数据源'!$F:$F,"SMART LEARNING HOLDING")*G$185+SUMIFS('2月数据源'!$J:$J,'2月数据源'!$D:$D,$E144,'2月数据源'!$F:$F,"SMART LEARNING HOLDING")*G$185</f>
        <v/>
      </c>
      <c r="H144" s="89">
        <f>-SUMIFS('3月数据源'!$I:$I,'3月数据源'!$D:$D,$E144,'3月数据源'!$F:$F,"SMART LEARNING HOLDING")*H$185+SUMIFS('3月数据源'!$J:$J,'3月数据源'!$D:$D,$E144,'3月数据源'!$F:$F,"SMART LEARNING HOLDING")*H$185</f>
        <v/>
      </c>
      <c r="I144" s="89">
        <f>-SUMIFS('4月数据源'!$I:$I,'4月数据源'!$D:$D,$E144,'4月数据源'!$F:$F,"SMART LEARNING HOLDING")*I$185+SUMIFS('4月数据源'!$J:$J,'4月数据源'!$D:$D,$E144,'4月数据源'!$F:$F,"SMART LEARNING HOLDING")*I$185</f>
        <v/>
      </c>
      <c r="J144" s="89">
        <f>-SUMIFS('5月数据源'!$I:$I,'5月数据源'!$D:$D,$E144,'5月数据源'!$F:$F,"SMART LEARNING HOLDING")*J$185+SUMIFS('5月数据源'!$J:$J,'5月数据源'!$D:$D,$E144,'5月数据源'!$F:$F,"SMART LEARNING HOLDING")*J$185</f>
        <v/>
      </c>
      <c r="K144" s="89">
        <f>-SUMIFS('6月数据源'!$I:$I,'6月数据源'!$D:$D,$E144,'6月数据源'!$F:$F,"SMART LEARNING HOLDING")*K$185+SUMIFS('6月数据源'!$J:$J,'6月数据源'!$D:$D,$E144,'6月数据源'!$F:$F,"SMART LEARNING HOLDING")*K$185</f>
        <v/>
      </c>
      <c r="L144" s="89">
        <f>-SUMIFS('7月数据源'!$I:$I,'7月数据源'!$D:$D,$E144,'7月数据源'!$F:$F,"SMART LEARNING HOLDING")*L$185+SUMIFS('7月数据源'!$J:$J,'7月数据源'!$D:$D,$E144,'7月数据源'!$F:$F,"SMART LEARNING HOLDING")*L$185</f>
        <v/>
      </c>
      <c r="M144" s="89">
        <f>-SUMIFS('8月数据源'!$I:$I,'8月数据源'!$D:$D,$E144,'8月数据源'!$F:$F,"SMART LEARNING HOLDING")*M$185+SUMIFS('8月数据源'!$J:$J,'8月数据源'!$D:$D,$E144,'8月数据源'!$F:$F,"SMART LEARNING HOLDING")*M$185</f>
        <v/>
      </c>
      <c r="N144" s="89">
        <f>-SUMIFS('9月数据源'!$I:$I,'9月数据源'!$D:$D,$E144,'9月数据源'!$F:$F,"SMART LEARNING HOLDING")*N$185+SUMIFS('9月数据源'!$J:$J,'9月数据源'!$D:$D,$E144,'9月数据源'!$F:$F,"SMART LEARNING HOLDING")*N$185</f>
        <v/>
      </c>
      <c r="O144" s="89">
        <f>-SUMIFS('10月数据源'!$I:$I,'10月数据源'!$D:$D,$E144,'10月数据源'!$F:$F,"SMART LEARNING HOLDING")*O$185+SUMIFS('10月数据源'!$J:$J,'10月数据源'!$D:$D,$E144,'10月数据源'!$F:$F,"SMART LEARNING HOLDING")*O$185</f>
        <v/>
      </c>
      <c r="P144" s="89">
        <f>-SUMIFS('11月数据源'!$I:$I,'11月数据源'!$D:$D,$E144,'11月数据源'!$F:$F,"SMART LEARNING HOLDING")*P$185+SUMIFS('11月数据源'!$J:$J,'11月数据源'!$D:$D,$E144,'11月数据源'!$F:$F,"SMART LEARNING HOLDING")*P$185</f>
        <v/>
      </c>
      <c r="Q144" s="89">
        <f>-SUMIFS('12月数据源'!$I:$I,'12月数据源'!$D:$D,$E144,'12月数据源'!$F:$F,"SMART LEARNING HOLDING")*Q$185+SUMIFS('12月数据源'!$J:$J,'12月数据源'!$D:$D,$E144,'12月数据源'!$F:$F,"SMART LEARNING HOLDING")*Q$185</f>
        <v/>
      </c>
    </row>
    <row r="145" s="83">
      <c r="A145" s="5" t="inlineStr">
        <is>
          <t>管理费用</t>
        </is>
      </c>
      <c r="B145" s="6" t="inlineStr">
        <is>
          <t>办公场地使用费</t>
        </is>
      </c>
      <c r="D145" s="5" t="inlineStr">
        <is>
          <t>押金</t>
        </is>
      </c>
      <c r="E145" s="6" t="inlineStr">
        <is>
          <t>Q2707</t>
        </is>
      </c>
      <c r="F145" s="89">
        <f>-SUMIFS('1月数据源'!$I:$I,'1月数据源'!$D:$D,$E145,'1月数据源'!$F:$F,"SMART LEARNING HOLDING")*F$185+SUMIFS('1月数据源'!$J:$J,'1月数据源'!$D:$D,$E145,'1月数据源'!$F:$F,"SMART LEARNING HOLDING")*F$185</f>
        <v/>
      </c>
      <c r="G145" s="89">
        <f>-SUMIFS('2月数据源'!$I:$I,'2月数据源'!$D:$D,$E145,'2月数据源'!$F:$F,"SMART LEARNING HOLDING")*G$185+SUMIFS('2月数据源'!$J:$J,'2月数据源'!$D:$D,$E145,'2月数据源'!$F:$F,"SMART LEARNING HOLDING")*G$185</f>
        <v/>
      </c>
      <c r="H145" s="89">
        <f>-SUMIFS('3月数据源'!$I:$I,'3月数据源'!$D:$D,$E145,'3月数据源'!$F:$F,"SMART LEARNING HOLDING")*H$185+SUMIFS('3月数据源'!$J:$J,'3月数据源'!$D:$D,$E145,'3月数据源'!$F:$F,"SMART LEARNING HOLDING")*H$185</f>
        <v/>
      </c>
      <c r="I145" s="89">
        <f>-SUMIFS('4月数据源'!$I:$I,'4月数据源'!$D:$D,$E145,'4月数据源'!$F:$F,"SMART LEARNING HOLDING")*I$185+SUMIFS('4月数据源'!$J:$J,'4月数据源'!$D:$D,$E145,'4月数据源'!$F:$F,"SMART LEARNING HOLDING")*I$185</f>
        <v/>
      </c>
      <c r="J145" s="89">
        <f>-SUMIFS('5月数据源'!$I:$I,'5月数据源'!$D:$D,$E145,'5月数据源'!$F:$F,"SMART LEARNING HOLDING")*J$185+SUMIFS('5月数据源'!$J:$J,'5月数据源'!$D:$D,$E145,'5月数据源'!$F:$F,"SMART LEARNING HOLDING")*J$185</f>
        <v/>
      </c>
      <c r="K145" s="89">
        <f>-SUMIFS('6月数据源'!$I:$I,'6月数据源'!$D:$D,$E145,'6月数据源'!$F:$F,"SMART LEARNING HOLDING")*K$185+SUMIFS('6月数据源'!$J:$J,'6月数据源'!$D:$D,$E145,'6月数据源'!$F:$F,"SMART LEARNING HOLDING")*K$185</f>
        <v/>
      </c>
      <c r="L145" s="89">
        <f>-SUMIFS('7月数据源'!$I:$I,'7月数据源'!$D:$D,$E145,'7月数据源'!$F:$F,"SMART LEARNING HOLDING")*L$185+SUMIFS('7月数据源'!$J:$J,'7月数据源'!$D:$D,$E145,'7月数据源'!$F:$F,"SMART LEARNING HOLDING")*L$185</f>
        <v/>
      </c>
      <c r="M145" s="89">
        <f>-SUMIFS('8月数据源'!$I:$I,'8月数据源'!$D:$D,$E145,'8月数据源'!$F:$F,"SMART LEARNING HOLDING")*M$185+SUMIFS('8月数据源'!$J:$J,'8月数据源'!$D:$D,$E145,'8月数据源'!$F:$F,"SMART LEARNING HOLDING")*M$185</f>
        <v/>
      </c>
      <c r="N145" s="89">
        <f>-SUMIFS('9月数据源'!$I:$I,'9月数据源'!$D:$D,$E145,'9月数据源'!$F:$F,"SMART LEARNING HOLDING")*N$185+SUMIFS('9月数据源'!$J:$J,'9月数据源'!$D:$D,$E145,'9月数据源'!$F:$F,"SMART LEARNING HOLDING")*N$185</f>
        <v/>
      </c>
      <c r="O145" s="89">
        <f>-SUMIFS('10月数据源'!$I:$I,'10月数据源'!$D:$D,$E145,'10月数据源'!$F:$F,"SMART LEARNING HOLDING")*O$185+SUMIFS('10月数据源'!$J:$J,'10月数据源'!$D:$D,$E145,'10月数据源'!$F:$F,"SMART LEARNING HOLDING")*O$185</f>
        <v/>
      </c>
      <c r="P145" s="89">
        <f>-SUMIFS('11月数据源'!$I:$I,'11月数据源'!$D:$D,$E145,'11月数据源'!$F:$F,"SMART LEARNING HOLDING")*P$185+SUMIFS('11月数据源'!$J:$J,'11月数据源'!$D:$D,$E145,'11月数据源'!$F:$F,"SMART LEARNING HOLDING")*P$185</f>
        <v/>
      </c>
      <c r="Q145" s="89">
        <f>-SUMIFS('12月数据源'!$I:$I,'12月数据源'!$D:$D,$E145,'12月数据源'!$F:$F,"SMART LEARNING HOLDING")*Q$185+SUMIFS('12月数据源'!$J:$J,'12月数据源'!$D:$D,$E145,'12月数据源'!$F:$F,"SMART LEARNING HOLDING")*Q$185</f>
        <v/>
      </c>
    </row>
    <row r="146" s="83">
      <c r="A146" s="5" t="inlineStr">
        <is>
          <t>管理费用</t>
        </is>
      </c>
      <c r="B146" s="6" t="inlineStr">
        <is>
          <t>服务费</t>
        </is>
      </c>
      <c r="C146" s="6" t="inlineStr">
        <is>
          <t>服务费</t>
        </is>
      </c>
      <c r="D146" s="5" t="inlineStr">
        <is>
          <t>律师费</t>
        </is>
      </c>
      <c r="E146" s="6" t="inlineStr">
        <is>
          <t>Q2801</t>
        </is>
      </c>
      <c r="F146" s="89">
        <f>-SUMIFS('1月数据源'!$I:$I,'1月数据源'!$D:$D,$E146,'1月数据源'!$F:$F,"SMART LEARNING HOLDING")*F$185+SUMIFS('1月数据源'!$J:$J,'1月数据源'!$D:$D,$E146,'1月数据源'!$F:$F,"SMART LEARNING HOLDING")*F$185</f>
        <v/>
      </c>
      <c r="G146" s="89">
        <f>-SUMIFS('2月数据源'!$I:$I,'2月数据源'!$D:$D,$E146,'2月数据源'!$F:$F,"SMART LEARNING HOLDING")*G$185+SUMIFS('2月数据源'!$J:$J,'2月数据源'!$D:$D,$E146,'2月数据源'!$F:$F,"SMART LEARNING HOLDING")*G$185</f>
        <v/>
      </c>
      <c r="H146" s="89">
        <f>-SUMIFS('3月数据源'!$I:$I,'3月数据源'!$D:$D,$E146,'3月数据源'!$F:$F,"SMART LEARNING HOLDING")*H$185+SUMIFS('3月数据源'!$J:$J,'3月数据源'!$D:$D,$E146,'3月数据源'!$F:$F,"SMART LEARNING HOLDING")*H$185</f>
        <v/>
      </c>
      <c r="I146" s="89">
        <f>-SUMIFS('4月数据源'!$I:$I,'4月数据源'!$D:$D,$E146,'4月数据源'!$F:$F,"SMART LEARNING HOLDING")*I$185+SUMIFS('4月数据源'!$J:$J,'4月数据源'!$D:$D,$E146,'4月数据源'!$F:$F,"SMART LEARNING HOLDING")*I$185</f>
        <v/>
      </c>
      <c r="J146" s="89">
        <f>-SUMIFS('5月数据源'!$I:$I,'5月数据源'!$D:$D,$E146,'5月数据源'!$F:$F,"SMART LEARNING HOLDING")*J$185+SUMIFS('5月数据源'!$J:$J,'5月数据源'!$D:$D,$E146,'5月数据源'!$F:$F,"SMART LEARNING HOLDING")*J$185</f>
        <v/>
      </c>
      <c r="K146" s="89">
        <f>-SUMIFS('6月数据源'!$I:$I,'6月数据源'!$D:$D,$E146,'6月数据源'!$F:$F,"SMART LEARNING HOLDING")*K$185+SUMIFS('6月数据源'!$J:$J,'6月数据源'!$D:$D,$E146,'6月数据源'!$F:$F,"SMART LEARNING HOLDING")*K$185</f>
        <v/>
      </c>
      <c r="L146" s="89">
        <f>-SUMIFS('7月数据源'!$I:$I,'7月数据源'!$D:$D,$E146,'7月数据源'!$F:$F,"SMART LEARNING HOLDING")*L$185+SUMIFS('7月数据源'!$J:$J,'7月数据源'!$D:$D,$E146,'7月数据源'!$F:$F,"SMART LEARNING HOLDING")*L$185</f>
        <v/>
      </c>
      <c r="M146" s="89">
        <f>-SUMIFS('8月数据源'!$I:$I,'8月数据源'!$D:$D,$E146,'8月数据源'!$F:$F,"SMART LEARNING HOLDING")*M$185+SUMIFS('8月数据源'!$J:$J,'8月数据源'!$D:$D,$E146,'8月数据源'!$F:$F,"SMART LEARNING HOLDING")*M$185</f>
        <v/>
      </c>
      <c r="N146" s="89">
        <f>-SUMIFS('9月数据源'!$I:$I,'9月数据源'!$D:$D,$E146,'9月数据源'!$F:$F,"SMART LEARNING HOLDING")*N$185+SUMIFS('9月数据源'!$J:$J,'9月数据源'!$D:$D,$E146,'9月数据源'!$F:$F,"SMART LEARNING HOLDING")*N$185</f>
        <v/>
      </c>
      <c r="O146" s="89">
        <f>-SUMIFS('10月数据源'!$I:$I,'10月数据源'!$D:$D,$E146,'10月数据源'!$F:$F,"SMART LEARNING HOLDING")*O$185+SUMIFS('10月数据源'!$J:$J,'10月数据源'!$D:$D,$E146,'10月数据源'!$F:$F,"SMART LEARNING HOLDING")*O$185</f>
        <v/>
      </c>
      <c r="P146" s="89">
        <f>-SUMIFS('11月数据源'!$I:$I,'11月数据源'!$D:$D,$E146,'11月数据源'!$F:$F,"SMART LEARNING HOLDING")*P$185+SUMIFS('11月数据源'!$J:$J,'11月数据源'!$D:$D,$E146,'11月数据源'!$F:$F,"SMART LEARNING HOLDING")*P$185</f>
        <v/>
      </c>
      <c r="Q146" s="89">
        <f>-SUMIFS('12月数据源'!$I:$I,'12月数据源'!$D:$D,$E146,'12月数据源'!$F:$F,"SMART LEARNING HOLDING")*Q$185+SUMIFS('12月数据源'!$J:$J,'12月数据源'!$D:$D,$E146,'12月数据源'!$F:$F,"SMART LEARNING HOLDING")*Q$185</f>
        <v/>
      </c>
    </row>
    <row r="147" s="83">
      <c r="A147" s="5" t="inlineStr">
        <is>
          <t>管理费用</t>
        </is>
      </c>
      <c r="B147" s="6" t="inlineStr">
        <is>
          <t>服务费</t>
        </is>
      </c>
      <c r="D147" s="5" t="inlineStr">
        <is>
          <t>中介代理费用</t>
        </is>
      </c>
      <c r="E147" s="6" t="inlineStr">
        <is>
          <t>Q2802</t>
        </is>
      </c>
      <c r="F147" s="89">
        <f>-SUMIFS('1月数据源'!$I:$I,'1月数据源'!$D:$D,$E147,'1月数据源'!$F:$F,"SMART LEARNING HOLDING")*F$185+SUMIFS('1月数据源'!$J:$J,'1月数据源'!$D:$D,$E147,'1月数据源'!$F:$F,"SMART LEARNING HOLDING")*F$185</f>
        <v/>
      </c>
      <c r="G147" s="89">
        <f>-SUMIFS('2月数据源'!$I:$I,'2月数据源'!$D:$D,$E147,'2月数据源'!$F:$F,"SMART LEARNING HOLDING")*G$185+SUMIFS('2月数据源'!$J:$J,'2月数据源'!$D:$D,$E147,'2月数据源'!$F:$F,"SMART LEARNING HOLDING")*G$185</f>
        <v/>
      </c>
      <c r="H147" s="89">
        <f>-SUMIFS('3月数据源'!$I:$I,'3月数据源'!$D:$D,$E147,'3月数据源'!$F:$F,"SMART LEARNING HOLDING")*H$185+SUMIFS('3月数据源'!$J:$J,'3月数据源'!$D:$D,$E147,'3月数据源'!$F:$F,"SMART LEARNING HOLDING")*H$185</f>
        <v/>
      </c>
      <c r="I147" s="89">
        <f>-SUMIFS('4月数据源'!$I:$I,'4月数据源'!$D:$D,$E147,'4月数据源'!$F:$F,"SMART LEARNING HOLDING")*I$185+SUMIFS('4月数据源'!$J:$J,'4月数据源'!$D:$D,$E147,'4月数据源'!$F:$F,"SMART LEARNING HOLDING")*I$185</f>
        <v/>
      </c>
      <c r="J147" s="89">
        <f>-SUMIFS('5月数据源'!$I:$I,'5月数据源'!$D:$D,$E147,'5月数据源'!$F:$F,"SMART LEARNING HOLDING")*J$185+SUMIFS('5月数据源'!$J:$J,'5月数据源'!$D:$D,$E147,'5月数据源'!$F:$F,"SMART LEARNING HOLDING")*J$185</f>
        <v/>
      </c>
      <c r="K147" s="89">
        <f>-SUMIFS('6月数据源'!$I:$I,'6月数据源'!$D:$D,$E147,'6月数据源'!$F:$F,"SMART LEARNING HOLDING")*K$185+SUMIFS('6月数据源'!$J:$J,'6月数据源'!$D:$D,$E147,'6月数据源'!$F:$F,"SMART LEARNING HOLDING")*K$185</f>
        <v/>
      </c>
      <c r="L147" s="89">
        <f>-SUMIFS('7月数据源'!$I:$I,'7月数据源'!$D:$D,$E147,'7月数据源'!$F:$F,"SMART LEARNING HOLDING")*L$185+SUMIFS('7月数据源'!$J:$J,'7月数据源'!$D:$D,$E147,'7月数据源'!$F:$F,"SMART LEARNING HOLDING")*L$185</f>
        <v/>
      </c>
      <c r="M147" s="89">
        <f>-SUMIFS('8月数据源'!$I:$I,'8月数据源'!$D:$D,$E147,'8月数据源'!$F:$F,"SMART LEARNING HOLDING")*M$185+SUMIFS('8月数据源'!$J:$J,'8月数据源'!$D:$D,$E147,'8月数据源'!$F:$F,"SMART LEARNING HOLDING")*M$185</f>
        <v/>
      </c>
      <c r="N147" s="89">
        <f>-SUMIFS('9月数据源'!$I:$I,'9月数据源'!$D:$D,$E147,'9月数据源'!$F:$F,"SMART LEARNING HOLDING")*N$185+SUMIFS('9月数据源'!$J:$J,'9月数据源'!$D:$D,$E147,'9月数据源'!$F:$F,"SMART LEARNING HOLDING")*N$185</f>
        <v/>
      </c>
      <c r="O147" s="89">
        <f>-SUMIFS('10月数据源'!$I:$I,'10月数据源'!$D:$D,$E147,'10月数据源'!$F:$F,"SMART LEARNING HOLDING")*O$185+SUMIFS('10月数据源'!$J:$J,'10月数据源'!$D:$D,$E147,'10月数据源'!$F:$F,"SMART LEARNING HOLDING")*O$185</f>
        <v/>
      </c>
      <c r="P147" s="89">
        <f>-SUMIFS('11月数据源'!$I:$I,'11月数据源'!$D:$D,$E147,'11月数据源'!$F:$F,"SMART LEARNING HOLDING")*P$185+SUMIFS('11月数据源'!$J:$J,'11月数据源'!$D:$D,$E147,'11月数据源'!$F:$F,"SMART LEARNING HOLDING")*P$185</f>
        <v/>
      </c>
      <c r="Q147" s="89">
        <f>-SUMIFS('12月数据源'!$I:$I,'12月数据源'!$D:$D,$E147,'12月数据源'!$F:$F,"SMART LEARNING HOLDING")*Q$185+SUMIFS('12月数据源'!$J:$J,'12月数据源'!$D:$D,$E147,'12月数据源'!$F:$F,"SMART LEARNING HOLDING")*Q$185</f>
        <v/>
      </c>
    </row>
    <row r="148" s="83">
      <c r="A148" s="5" t="inlineStr">
        <is>
          <t>管理费用</t>
        </is>
      </c>
      <c r="B148" s="6" t="inlineStr">
        <is>
          <t>服务费</t>
        </is>
      </c>
      <c r="D148" s="5" t="inlineStr">
        <is>
          <t>财务咨询费</t>
        </is>
      </c>
      <c r="E148" s="6" t="inlineStr">
        <is>
          <t>Q2803</t>
        </is>
      </c>
      <c r="F148" s="89">
        <f>-SUMIFS('1月数据源'!$I:$I,'1月数据源'!$D:$D,$E148,'1月数据源'!$F:$F,"SMART LEARNING HOLDING")*F$185+SUMIFS('1月数据源'!$J:$J,'1月数据源'!$D:$D,$E148,'1月数据源'!$F:$F,"SMART LEARNING HOLDING")*F$185</f>
        <v/>
      </c>
      <c r="G148" s="89">
        <f>-SUMIFS('2月数据源'!$I:$I,'2月数据源'!$D:$D,$E148,'2月数据源'!$F:$F,"SMART LEARNING HOLDING")*G$185+SUMIFS('2月数据源'!$J:$J,'2月数据源'!$D:$D,$E148,'2月数据源'!$F:$F,"SMART LEARNING HOLDING")*G$185</f>
        <v/>
      </c>
      <c r="H148" s="89">
        <f>-SUMIFS('3月数据源'!$I:$I,'3月数据源'!$D:$D,$E148,'3月数据源'!$F:$F,"SMART LEARNING HOLDING")*H$185+SUMIFS('3月数据源'!$J:$J,'3月数据源'!$D:$D,$E148,'3月数据源'!$F:$F,"SMART LEARNING HOLDING")*H$185</f>
        <v/>
      </c>
      <c r="I148" s="89">
        <f>-SUMIFS('4月数据源'!$I:$I,'4月数据源'!$D:$D,$E148,'4月数据源'!$F:$F,"SMART LEARNING HOLDING")*I$185+SUMIFS('4月数据源'!$J:$J,'4月数据源'!$D:$D,$E148,'4月数据源'!$F:$F,"SMART LEARNING HOLDING")*I$185</f>
        <v/>
      </c>
      <c r="J148" s="89">
        <f>-SUMIFS('5月数据源'!$I:$I,'5月数据源'!$D:$D,$E148,'5月数据源'!$F:$F,"SMART LEARNING HOLDING")*J$185+SUMIFS('5月数据源'!$J:$J,'5月数据源'!$D:$D,$E148,'5月数据源'!$F:$F,"SMART LEARNING HOLDING")*J$185</f>
        <v/>
      </c>
      <c r="K148" s="89">
        <f>-SUMIFS('6月数据源'!$I:$I,'6月数据源'!$D:$D,$E148,'6月数据源'!$F:$F,"SMART LEARNING HOLDING")*K$185+SUMIFS('6月数据源'!$J:$J,'6月数据源'!$D:$D,$E148,'6月数据源'!$F:$F,"SMART LEARNING HOLDING")*K$185</f>
        <v/>
      </c>
      <c r="L148" s="89">
        <f>-SUMIFS('7月数据源'!$I:$I,'7月数据源'!$D:$D,$E148,'7月数据源'!$F:$F,"SMART LEARNING HOLDING")*L$185+SUMIFS('7月数据源'!$J:$J,'7月数据源'!$D:$D,$E148,'7月数据源'!$F:$F,"SMART LEARNING HOLDING")*L$185</f>
        <v/>
      </c>
      <c r="M148" s="89">
        <f>-SUMIFS('8月数据源'!$I:$I,'8月数据源'!$D:$D,$E148,'8月数据源'!$F:$F,"SMART LEARNING HOLDING")*M$185+SUMIFS('8月数据源'!$J:$J,'8月数据源'!$D:$D,$E148,'8月数据源'!$F:$F,"SMART LEARNING HOLDING")*M$185</f>
        <v/>
      </c>
      <c r="N148" s="89">
        <f>-SUMIFS('9月数据源'!$I:$I,'9月数据源'!$D:$D,$E148,'9月数据源'!$F:$F,"SMART LEARNING HOLDING")*N$185+SUMIFS('9月数据源'!$J:$J,'9月数据源'!$D:$D,$E148,'9月数据源'!$F:$F,"SMART LEARNING HOLDING")*N$185</f>
        <v/>
      </c>
      <c r="O148" s="89">
        <f>-SUMIFS('10月数据源'!$I:$I,'10月数据源'!$D:$D,$E148,'10月数据源'!$F:$F,"SMART LEARNING HOLDING")*O$185+SUMIFS('10月数据源'!$J:$J,'10月数据源'!$D:$D,$E148,'10月数据源'!$F:$F,"SMART LEARNING HOLDING")*O$185</f>
        <v/>
      </c>
      <c r="P148" s="89">
        <f>-SUMIFS('11月数据源'!$I:$I,'11月数据源'!$D:$D,$E148,'11月数据源'!$F:$F,"SMART LEARNING HOLDING")*P$185+SUMIFS('11月数据源'!$J:$J,'11月数据源'!$D:$D,$E148,'11月数据源'!$F:$F,"SMART LEARNING HOLDING")*P$185</f>
        <v/>
      </c>
      <c r="Q148" s="89">
        <f>-SUMIFS('12月数据源'!$I:$I,'12月数据源'!$D:$D,$E148,'12月数据源'!$F:$F,"SMART LEARNING HOLDING")*Q$185+SUMIFS('12月数据源'!$J:$J,'12月数据源'!$D:$D,$E148,'12月数据源'!$F:$F,"SMART LEARNING HOLDING")*Q$185</f>
        <v/>
      </c>
    </row>
    <row r="149" s="83">
      <c r="A149" s="5" t="inlineStr">
        <is>
          <t>管理费用</t>
        </is>
      </c>
      <c r="B149" s="6" t="inlineStr">
        <is>
          <t>服务费</t>
        </is>
      </c>
      <c r="D149" s="5" t="inlineStr">
        <is>
          <t>审计费</t>
        </is>
      </c>
      <c r="E149" s="6" t="inlineStr">
        <is>
          <t>Q2804</t>
        </is>
      </c>
      <c r="F149" s="89">
        <f>-SUMIFS('1月数据源'!$I:$I,'1月数据源'!$D:$D,$E149,'1月数据源'!$F:$F,"SMART LEARNING HOLDING")*F$185+SUMIFS('1月数据源'!$J:$J,'1月数据源'!$D:$D,$E149,'1月数据源'!$F:$F,"SMART LEARNING HOLDING")*F$185</f>
        <v/>
      </c>
      <c r="G149" s="89">
        <f>-SUMIFS('2月数据源'!$I:$I,'2月数据源'!$D:$D,$E149,'2月数据源'!$F:$F,"SMART LEARNING HOLDING")*G$185+SUMIFS('2月数据源'!$J:$J,'2月数据源'!$D:$D,$E149,'2月数据源'!$F:$F,"SMART LEARNING HOLDING")*G$185</f>
        <v/>
      </c>
      <c r="H149" s="89">
        <f>-SUMIFS('3月数据源'!$I:$I,'3月数据源'!$D:$D,$E149,'3月数据源'!$F:$F,"SMART LEARNING HOLDING")*H$185+SUMIFS('3月数据源'!$J:$J,'3月数据源'!$D:$D,$E149,'3月数据源'!$F:$F,"SMART LEARNING HOLDING")*H$185</f>
        <v/>
      </c>
      <c r="I149" s="89">
        <f>-SUMIFS('4月数据源'!$I:$I,'4月数据源'!$D:$D,$E149,'4月数据源'!$F:$F,"SMART LEARNING HOLDING")*I$185+SUMIFS('4月数据源'!$J:$J,'4月数据源'!$D:$D,$E149,'4月数据源'!$F:$F,"SMART LEARNING HOLDING")*I$185</f>
        <v/>
      </c>
      <c r="J149" s="89">
        <f>-SUMIFS('5月数据源'!$I:$I,'5月数据源'!$D:$D,$E149,'5月数据源'!$F:$F,"SMART LEARNING HOLDING")*J$185+SUMIFS('5月数据源'!$J:$J,'5月数据源'!$D:$D,$E149,'5月数据源'!$F:$F,"SMART LEARNING HOLDING")*J$185</f>
        <v/>
      </c>
      <c r="K149" s="89">
        <f>-SUMIFS('6月数据源'!$I:$I,'6月数据源'!$D:$D,$E149,'6月数据源'!$F:$F,"SMART LEARNING HOLDING")*K$185+SUMIFS('6月数据源'!$J:$J,'6月数据源'!$D:$D,$E149,'6月数据源'!$F:$F,"SMART LEARNING HOLDING")*K$185</f>
        <v/>
      </c>
      <c r="L149" s="89">
        <f>-SUMIFS('7月数据源'!$I:$I,'7月数据源'!$D:$D,$E149,'7月数据源'!$F:$F,"SMART LEARNING HOLDING")*L$185+SUMIFS('7月数据源'!$J:$J,'7月数据源'!$D:$D,$E149,'7月数据源'!$F:$F,"SMART LEARNING HOLDING")*L$185</f>
        <v/>
      </c>
      <c r="M149" s="89">
        <f>-SUMIFS('8月数据源'!$I:$I,'8月数据源'!$D:$D,$E149,'8月数据源'!$F:$F,"SMART LEARNING HOLDING")*M$185+SUMIFS('8月数据源'!$J:$J,'8月数据源'!$D:$D,$E149,'8月数据源'!$F:$F,"SMART LEARNING HOLDING")*M$185</f>
        <v/>
      </c>
      <c r="N149" s="89">
        <f>-SUMIFS('9月数据源'!$I:$I,'9月数据源'!$D:$D,$E149,'9月数据源'!$F:$F,"SMART LEARNING HOLDING")*N$185+SUMIFS('9月数据源'!$J:$J,'9月数据源'!$D:$D,$E149,'9月数据源'!$F:$F,"SMART LEARNING HOLDING")*N$185</f>
        <v/>
      </c>
      <c r="O149" s="89">
        <f>-SUMIFS('10月数据源'!$I:$I,'10月数据源'!$D:$D,$E149,'10月数据源'!$F:$F,"SMART LEARNING HOLDING")*O$185+SUMIFS('10月数据源'!$J:$J,'10月数据源'!$D:$D,$E149,'10月数据源'!$F:$F,"SMART LEARNING HOLDING")*O$185</f>
        <v/>
      </c>
      <c r="P149" s="89">
        <f>-SUMIFS('11月数据源'!$I:$I,'11月数据源'!$D:$D,$E149,'11月数据源'!$F:$F,"SMART LEARNING HOLDING")*P$185+SUMIFS('11月数据源'!$J:$J,'11月数据源'!$D:$D,$E149,'11月数据源'!$F:$F,"SMART LEARNING HOLDING")*P$185</f>
        <v/>
      </c>
      <c r="Q149" s="89">
        <f>-SUMIFS('12月数据源'!$I:$I,'12月数据源'!$D:$D,$E149,'12月数据源'!$F:$F,"SMART LEARNING HOLDING")*Q$185+SUMIFS('12月数据源'!$J:$J,'12月数据源'!$D:$D,$E149,'12月数据源'!$F:$F,"SMART LEARNING HOLDING")*Q$185</f>
        <v/>
      </c>
    </row>
    <row r="150" s="83">
      <c r="A150" s="5" t="inlineStr">
        <is>
          <t>管理费用</t>
        </is>
      </c>
      <c r="B150" s="6" t="inlineStr">
        <is>
          <t>服务费</t>
        </is>
      </c>
      <c r="D150" s="5" t="inlineStr">
        <is>
          <t>招聘费用</t>
        </is>
      </c>
      <c r="E150" s="6" t="inlineStr">
        <is>
          <t>Q2805</t>
        </is>
      </c>
      <c r="F150" s="89">
        <f>-SUMIFS('1月数据源'!$I:$I,'1月数据源'!$D:$D,$E150,'1月数据源'!$F:$F,"SMART LEARNING HOLDING")*F$185+SUMIFS('1月数据源'!$J:$J,'1月数据源'!$D:$D,$E150,'1月数据源'!$F:$F,"SMART LEARNING HOLDING")*F$185</f>
        <v/>
      </c>
      <c r="G150" s="89">
        <f>-SUMIFS('2月数据源'!$I:$I,'2月数据源'!$D:$D,$E150,'2月数据源'!$F:$F,"SMART LEARNING HOLDING")*G$185+SUMIFS('2月数据源'!$J:$J,'2月数据源'!$D:$D,$E150,'2月数据源'!$F:$F,"SMART LEARNING HOLDING")*G$185</f>
        <v/>
      </c>
      <c r="H150" s="89">
        <f>-SUMIFS('3月数据源'!$I:$I,'3月数据源'!$D:$D,$E150,'3月数据源'!$F:$F,"SMART LEARNING HOLDING")*H$185+SUMIFS('3月数据源'!$J:$J,'3月数据源'!$D:$D,$E150,'3月数据源'!$F:$F,"SMART LEARNING HOLDING")*H$185</f>
        <v/>
      </c>
      <c r="I150" s="89">
        <f>-SUMIFS('4月数据源'!$I:$I,'4月数据源'!$D:$D,$E150,'4月数据源'!$F:$F,"SMART LEARNING HOLDING")*I$185+SUMIFS('4月数据源'!$J:$J,'4月数据源'!$D:$D,$E150,'4月数据源'!$F:$F,"SMART LEARNING HOLDING")*I$185</f>
        <v/>
      </c>
      <c r="J150" s="89">
        <f>-SUMIFS('5月数据源'!$I:$I,'5月数据源'!$D:$D,$E150,'5月数据源'!$F:$F,"SMART LEARNING HOLDING")*J$185+SUMIFS('5月数据源'!$J:$J,'5月数据源'!$D:$D,$E150,'5月数据源'!$F:$F,"SMART LEARNING HOLDING")*J$185</f>
        <v/>
      </c>
      <c r="K150" s="89">
        <f>-SUMIFS('6月数据源'!$I:$I,'6月数据源'!$D:$D,$E150,'6月数据源'!$F:$F,"SMART LEARNING HOLDING")*K$185+SUMIFS('6月数据源'!$J:$J,'6月数据源'!$D:$D,$E150,'6月数据源'!$F:$F,"SMART LEARNING HOLDING")*K$185</f>
        <v/>
      </c>
      <c r="L150" s="89">
        <f>-SUMIFS('7月数据源'!$I:$I,'7月数据源'!$D:$D,$E150,'7月数据源'!$F:$F,"SMART LEARNING HOLDING")*L$185+SUMIFS('7月数据源'!$J:$J,'7月数据源'!$D:$D,$E150,'7月数据源'!$F:$F,"SMART LEARNING HOLDING")*L$185</f>
        <v/>
      </c>
      <c r="M150" s="89">
        <f>-SUMIFS('8月数据源'!$I:$I,'8月数据源'!$D:$D,$E150,'8月数据源'!$F:$F,"SMART LEARNING HOLDING")*M$185+SUMIFS('8月数据源'!$J:$J,'8月数据源'!$D:$D,$E150,'8月数据源'!$F:$F,"SMART LEARNING HOLDING")*M$185</f>
        <v/>
      </c>
      <c r="N150" s="89">
        <f>-SUMIFS('9月数据源'!$I:$I,'9月数据源'!$D:$D,$E150,'9月数据源'!$F:$F,"SMART LEARNING HOLDING")*N$185+SUMIFS('9月数据源'!$J:$J,'9月数据源'!$D:$D,$E150,'9月数据源'!$F:$F,"SMART LEARNING HOLDING")*N$185</f>
        <v/>
      </c>
      <c r="O150" s="89">
        <f>-SUMIFS('10月数据源'!$I:$I,'10月数据源'!$D:$D,$E150,'10月数据源'!$F:$F,"SMART LEARNING HOLDING")*O$185+SUMIFS('10月数据源'!$J:$J,'10月数据源'!$D:$D,$E150,'10月数据源'!$F:$F,"SMART LEARNING HOLDING")*O$185</f>
        <v/>
      </c>
      <c r="P150" s="89">
        <f>-SUMIFS('11月数据源'!$I:$I,'11月数据源'!$D:$D,$E150,'11月数据源'!$F:$F,"SMART LEARNING HOLDING")*P$185+SUMIFS('11月数据源'!$J:$J,'11月数据源'!$D:$D,$E150,'11月数据源'!$F:$F,"SMART LEARNING HOLDING")*P$185</f>
        <v/>
      </c>
      <c r="Q150" s="89">
        <f>-SUMIFS('12月数据源'!$I:$I,'12月数据源'!$D:$D,$E150,'12月数据源'!$F:$F,"SMART LEARNING HOLDING")*Q$185+SUMIFS('12月数据源'!$J:$J,'12月数据源'!$D:$D,$E150,'12月数据源'!$F:$F,"SMART LEARNING HOLDING")*Q$185</f>
        <v/>
      </c>
    </row>
    <row r="151" s="83">
      <c r="A151" s="5" t="inlineStr">
        <is>
          <t>管理费用</t>
        </is>
      </c>
      <c r="B151" s="6" t="inlineStr">
        <is>
          <t>服务费</t>
        </is>
      </c>
      <c r="D151" s="5" t="inlineStr">
        <is>
          <t>软件服务费</t>
        </is>
      </c>
      <c r="E151" s="6" t="inlineStr">
        <is>
          <t>Q2807</t>
        </is>
      </c>
      <c r="F151" s="89">
        <f>-SUMIFS('1月数据源'!$I:$I,'1月数据源'!$D:$D,$E151,'1月数据源'!$F:$F,"SMART LEARNING HOLDING")*F$185+SUMIFS('1月数据源'!$J:$J,'1月数据源'!$D:$D,$E151,'1月数据源'!$F:$F,"SMART LEARNING HOLDING")*F$185</f>
        <v/>
      </c>
      <c r="G151" s="89">
        <f>-SUMIFS('2月数据源'!$I:$I,'2月数据源'!$D:$D,$E151,'2月数据源'!$F:$F,"SMART LEARNING HOLDING")*G$185+SUMIFS('2月数据源'!$J:$J,'2月数据源'!$D:$D,$E151,'2月数据源'!$F:$F,"SMART LEARNING HOLDING")*G$185</f>
        <v/>
      </c>
      <c r="H151" s="89">
        <f>-SUMIFS('3月数据源'!$I:$I,'3月数据源'!$D:$D,$E151,'3月数据源'!$F:$F,"SMART LEARNING HOLDING")*H$185+SUMIFS('3月数据源'!$J:$J,'3月数据源'!$D:$D,$E151,'3月数据源'!$F:$F,"SMART LEARNING HOLDING")*H$185</f>
        <v/>
      </c>
      <c r="I151" s="89">
        <f>-SUMIFS('4月数据源'!$I:$I,'4月数据源'!$D:$D,$E151,'4月数据源'!$F:$F,"SMART LEARNING HOLDING")*I$185+SUMIFS('4月数据源'!$J:$J,'4月数据源'!$D:$D,$E151,'4月数据源'!$F:$F,"SMART LEARNING HOLDING")*I$185</f>
        <v/>
      </c>
      <c r="J151" s="89">
        <f>-SUMIFS('5月数据源'!$I:$I,'5月数据源'!$D:$D,$E151,'5月数据源'!$F:$F,"SMART LEARNING HOLDING")*J$185+SUMIFS('5月数据源'!$J:$J,'5月数据源'!$D:$D,$E151,'5月数据源'!$F:$F,"SMART LEARNING HOLDING")*J$185</f>
        <v/>
      </c>
      <c r="K151" s="89">
        <f>-SUMIFS('6月数据源'!$I:$I,'6月数据源'!$D:$D,$E151,'6月数据源'!$F:$F,"SMART LEARNING HOLDING")*K$185+SUMIFS('6月数据源'!$J:$J,'6月数据源'!$D:$D,$E151,'6月数据源'!$F:$F,"SMART LEARNING HOLDING")*K$185</f>
        <v/>
      </c>
      <c r="L151" s="89">
        <f>-SUMIFS('7月数据源'!$I:$I,'7月数据源'!$D:$D,$E151,'7月数据源'!$F:$F,"SMART LEARNING HOLDING")*L$185+SUMIFS('7月数据源'!$J:$J,'7月数据源'!$D:$D,$E151,'7月数据源'!$F:$F,"SMART LEARNING HOLDING")*L$185</f>
        <v/>
      </c>
      <c r="M151" s="89">
        <f>-SUMIFS('8月数据源'!$I:$I,'8月数据源'!$D:$D,$E151,'8月数据源'!$F:$F,"SMART LEARNING HOLDING")*M$185+SUMIFS('8月数据源'!$J:$J,'8月数据源'!$D:$D,$E151,'8月数据源'!$F:$F,"SMART LEARNING HOLDING")*M$185</f>
        <v/>
      </c>
      <c r="N151" s="89">
        <f>-SUMIFS('9月数据源'!$I:$I,'9月数据源'!$D:$D,$E151,'9月数据源'!$F:$F,"SMART LEARNING HOLDING")*N$185+SUMIFS('9月数据源'!$J:$J,'9月数据源'!$D:$D,$E151,'9月数据源'!$F:$F,"SMART LEARNING HOLDING")*N$185</f>
        <v/>
      </c>
      <c r="O151" s="89">
        <f>-SUMIFS('10月数据源'!$I:$I,'10月数据源'!$D:$D,$E151,'10月数据源'!$F:$F,"SMART LEARNING HOLDING")*O$185+SUMIFS('10月数据源'!$J:$J,'10月数据源'!$D:$D,$E151,'10月数据源'!$F:$F,"SMART LEARNING HOLDING")*O$185</f>
        <v/>
      </c>
      <c r="P151" s="89">
        <f>-SUMIFS('11月数据源'!$I:$I,'11月数据源'!$D:$D,$E151,'11月数据源'!$F:$F,"SMART LEARNING HOLDING")*P$185+SUMIFS('11月数据源'!$J:$J,'11月数据源'!$D:$D,$E151,'11月数据源'!$F:$F,"SMART LEARNING HOLDING")*P$185</f>
        <v/>
      </c>
      <c r="Q151" s="89">
        <f>-SUMIFS('12月数据源'!$I:$I,'12月数据源'!$D:$D,$E151,'12月数据源'!$F:$F,"SMART LEARNING HOLDING")*Q$185+SUMIFS('12月数据源'!$J:$J,'12月数据源'!$D:$D,$E151,'12月数据源'!$F:$F,"SMART LEARNING HOLDING")*Q$185</f>
        <v/>
      </c>
    </row>
    <row r="152" s="83">
      <c r="A152" s="5" t="inlineStr">
        <is>
          <t>管理费用</t>
        </is>
      </c>
      <c r="B152" s="6" t="inlineStr">
        <is>
          <t>服务费</t>
        </is>
      </c>
      <c r="D152" s="5" t="inlineStr">
        <is>
          <t>其他服务费</t>
        </is>
      </c>
      <c r="E152" s="6" t="inlineStr">
        <is>
          <t>Q2806</t>
        </is>
      </c>
      <c r="F152" s="89">
        <f>-SUMIFS('1月数据源'!$I:$I,'1月数据源'!$D:$D,$E152,'1月数据源'!$F:$F,"SMART LEARNING HOLDING")*F$185+SUMIFS('1月数据源'!$J:$J,'1月数据源'!$D:$D,$E152,'1月数据源'!$F:$F,"SMART LEARNING HOLDING")*F$185</f>
        <v/>
      </c>
      <c r="G152" s="89">
        <f>-SUMIFS('2月数据源'!$I:$I,'2月数据源'!$D:$D,$E152,'2月数据源'!$F:$F,"SMART LEARNING HOLDING")*G$185+SUMIFS('2月数据源'!$J:$J,'2月数据源'!$D:$D,$E152,'2月数据源'!$F:$F,"SMART LEARNING HOLDING")*G$185</f>
        <v/>
      </c>
      <c r="H152" s="89">
        <f>-SUMIFS('3月数据源'!$I:$I,'3月数据源'!$D:$D,$E152,'3月数据源'!$F:$F,"SMART LEARNING HOLDING")*H$185+SUMIFS('3月数据源'!$J:$J,'3月数据源'!$D:$D,$E152,'3月数据源'!$F:$F,"SMART LEARNING HOLDING")*H$185</f>
        <v/>
      </c>
      <c r="I152" s="89">
        <f>-SUMIFS('4月数据源'!$I:$I,'4月数据源'!$D:$D,$E152,'4月数据源'!$F:$F,"SMART LEARNING HOLDING")*I$185+SUMIFS('4月数据源'!$J:$J,'4月数据源'!$D:$D,$E152,'4月数据源'!$F:$F,"SMART LEARNING HOLDING")*I$185</f>
        <v/>
      </c>
      <c r="J152" s="89">
        <f>-SUMIFS('5月数据源'!$I:$I,'5月数据源'!$D:$D,$E152,'5月数据源'!$F:$F,"SMART LEARNING HOLDING")*J$185+SUMIFS('5月数据源'!$J:$J,'5月数据源'!$D:$D,$E152,'5月数据源'!$F:$F,"SMART LEARNING HOLDING")*J$185</f>
        <v/>
      </c>
      <c r="K152" s="89">
        <f>-SUMIFS('6月数据源'!$I:$I,'6月数据源'!$D:$D,$E152,'6月数据源'!$F:$F,"SMART LEARNING HOLDING")*K$185+SUMIFS('6月数据源'!$J:$J,'6月数据源'!$D:$D,$E152,'6月数据源'!$F:$F,"SMART LEARNING HOLDING")*K$185</f>
        <v/>
      </c>
      <c r="L152" s="89">
        <f>-SUMIFS('7月数据源'!$I:$I,'7月数据源'!$D:$D,$E152,'7月数据源'!$F:$F,"SMART LEARNING HOLDING")*L$185+SUMIFS('7月数据源'!$J:$J,'7月数据源'!$D:$D,$E152,'7月数据源'!$F:$F,"SMART LEARNING HOLDING")*L$185</f>
        <v/>
      </c>
      <c r="M152" s="89">
        <f>-SUMIFS('8月数据源'!$I:$I,'8月数据源'!$D:$D,$E152,'8月数据源'!$F:$F,"SMART LEARNING HOLDING")*M$185+SUMIFS('8月数据源'!$J:$J,'8月数据源'!$D:$D,$E152,'8月数据源'!$F:$F,"SMART LEARNING HOLDING")*M$185</f>
        <v/>
      </c>
      <c r="N152" s="89">
        <f>-SUMIFS('9月数据源'!$I:$I,'9月数据源'!$D:$D,$E152,'9月数据源'!$F:$F,"SMART LEARNING HOLDING")*N$185+SUMIFS('9月数据源'!$J:$J,'9月数据源'!$D:$D,$E152,'9月数据源'!$F:$F,"SMART LEARNING HOLDING")*N$185</f>
        <v/>
      </c>
      <c r="O152" s="89">
        <f>-SUMIFS('10月数据源'!$I:$I,'10月数据源'!$D:$D,$E152,'10月数据源'!$F:$F,"SMART LEARNING HOLDING")*O$185+SUMIFS('10月数据源'!$J:$J,'10月数据源'!$D:$D,$E152,'10月数据源'!$F:$F,"SMART LEARNING HOLDING")*O$185</f>
        <v/>
      </c>
      <c r="P152" s="89">
        <f>-SUMIFS('11月数据源'!$I:$I,'11月数据源'!$D:$D,$E152,'11月数据源'!$F:$F,"SMART LEARNING HOLDING")*P$185+SUMIFS('11月数据源'!$J:$J,'11月数据源'!$D:$D,$E152,'11月数据源'!$F:$F,"SMART LEARNING HOLDING")*P$185</f>
        <v/>
      </c>
      <c r="Q152" s="89">
        <f>-SUMIFS('12月数据源'!$I:$I,'12月数据源'!$D:$D,$E152,'12月数据源'!$F:$F,"SMART LEARNING HOLDING")*Q$185+SUMIFS('12月数据源'!$J:$J,'12月数据源'!$D:$D,$E152,'12月数据源'!$F:$F,"SMART LEARNING HOLDING")*Q$185</f>
        <v/>
      </c>
    </row>
    <row r="153" s="83">
      <c r="A153" s="5" t="inlineStr">
        <is>
          <t>管理费用</t>
        </is>
      </c>
      <c r="B153" s="6" t="inlineStr">
        <is>
          <t>办公费用</t>
        </is>
      </c>
      <c r="C153" s="6" t="inlineStr">
        <is>
          <t>办公费用</t>
        </is>
      </c>
      <c r="D153" s="5" t="inlineStr">
        <is>
          <t>固定资产采购</t>
        </is>
      </c>
      <c r="E153" s="6" t="inlineStr">
        <is>
          <t>Q2901</t>
        </is>
      </c>
      <c r="F153" s="89">
        <f>-SUMIFS('1月数据源'!$I:$I,'1月数据源'!$D:$D,$E153,'1月数据源'!$F:$F,"SMART LEARNING HOLDING")*F$185+SUMIFS('1月数据源'!$J:$J,'1月数据源'!$D:$D,$E153,'1月数据源'!$F:$F,"SMART LEARNING HOLDING")*F$185</f>
        <v/>
      </c>
      <c r="G153" s="89">
        <f>-SUMIFS('2月数据源'!$I:$I,'2月数据源'!$D:$D,$E153,'2月数据源'!$F:$F,"SMART LEARNING HOLDING")*G$185+SUMIFS('2月数据源'!$J:$J,'2月数据源'!$D:$D,$E153,'2月数据源'!$F:$F,"SMART LEARNING HOLDING")*G$185</f>
        <v/>
      </c>
      <c r="H153" s="89">
        <f>-SUMIFS('3月数据源'!$I:$I,'3月数据源'!$D:$D,$E153,'3月数据源'!$F:$F,"SMART LEARNING HOLDING")*H$185+SUMIFS('3月数据源'!$J:$J,'3月数据源'!$D:$D,$E153,'3月数据源'!$F:$F,"SMART LEARNING HOLDING")*H$185</f>
        <v/>
      </c>
      <c r="I153" s="89">
        <f>-SUMIFS('4月数据源'!$I:$I,'4月数据源'!$D:$D,$E153,'4月数据源'!$F:$F,"SMART LEARNING HOLDING")*I$185+SUMIFS('4月数据源'!$J:$J,'4月数据源'!$D:$D,$E153,'4月数据源'!$F:$F,"SMART LEARNING HOLDING")*I$185</f>
        <v/>
      </c>
      <c r="J153" s="89">
        <f>-SUMIFS('5月数据源'!$I:$I,'5月数据源'!$D:$D,$E153,'5月数据源'!$F:$F,"SMART LEARNING HOLDING")*J$185+SUMIFS('5月数据源'!$J:$J,'5月数据源'!$D:$D,$E153,'5月数据源'!$F:$F,"SMART LEARNING HOLDING")*J$185</f>
        <v/>
      </c>
      <c r="K153" s="89">
        <f>-SUMIFS('6月数据源'!$I:$I,'6月数据源'!$D:$D,$E153,'6月数据源'!$F:$F,"SMART LEARNING HOLDING")*K$185+SUMIFS('6月数据源'!$J:$J,'6月数据源'!$D:$D,$E153,'6月数据源'!$F:$F,"SMART LEARNING HOLDING")*K$185</f>
        <v/>
      </c>
      <c r="L153" s="89">
        <f>-SUMIFS('7月数据源'!$I:$I,'7月数据源'!$D:$D,$E153,'7月数据源'!$F:$F,"SMART LEARNING HOLDING")*L$185+SUMIFS('7月数据源'!$J:$J,'7月数据源'!$D:$D,$E153,'7月数据源'!$F:$F,"SMART LEARNING HOLDING")*L$185</f>
        <v/>
      </c>
      <c r="M153" s="89">
        <f>-SUMIFS('8月数据源'!$I:$I,'8月数据源'!$D:$D,$E153,'8月数据源'!$F:$F,"SMART LEARNING HOLDING")*M$185+SUMIFS('8月数据源'!$J:$J,'8月数据源'!$D:$D,$E153,'8月数据源'!$F:$F,"SMART LEARNING HOLDING")*M$185</f>
        <v/>
      </c>
      <c r="N153" s="89">
        <f>-SUMIFS('9月数据源'!$I:$I,'9月数据源'!$D:$D,$E153,'9月数据源'!$F:$F,"SMART LEARNING HOLDING")*N$185+SUMIFS('9月数据源'!$J:$J,'9月数据源'!$D:$D,$E153,'9月数据源'!$F:$F,"SMART LEARNING HOLDING")*N$185</f>
        <v/>
      </c>
      <c r="O153" s="89">
        <f>-SUMIFS('10月数据源'!$I:$I,'10月数据源'!$D:$D,$E153,'10月数据源'!$F:$F,"SMART LEARNING HOLDING")*O$185+SUMIFS('10月数据源'!$J:$J,'10月数据源'!$D:$D,$E153,'10月数据源'!$F:$F,"SMART LEARNING HOLDING")*O$185</f>
        <v/>
      </c>
      <c r="P153" s="89">
        <f>-SUMIFS('11月数据源'!$I:$I,'11月数据源'!$D:$D,$E153,'11月数据源'!$F:$F,"SMART LEARNING HOLDING")*P$185+SUMIFS('11月数据源'!$J:$J,'11月数据源'!$D:$D,$E153,'11月数据源'!$F:$F,"SMART LEARNING HOLDING")*P$185</f>
        <v/>
      </c>
      <c r="Q153" s="89">
        <f>-SUMIFS('12月数据源'!$I:$I,'12月数据源'!$D:$D,$E153,'12月数据源'!$F:$F,"SMART LEARNING HOLDING")*Q$185+SUMIFS('12月数据源'!$J:$J,'12月数据源'!$D:$D,$E153,'12月数据源'!$F:$F,"SMART LEARNING HOLDING")*Q$185</f>
        <v/>
      </c>
    </row>
    <row r="154" s="83">
      <c r="A154" s="5" t="inlineStr">
        <is>
          <t>管理费用</t>
        </is>
      </c>
      <c r="B154" s="6" t="inlineStr">
        <is>
          <t>办公费用</t>
        </is>
      </c>
      <c r="D154" s="5" t="inlineStr">
        <is>
          <t>办公用品采购</t>
        </is>
      </c>
      <c r="E154" s="6" t="inlineStr">
        <is>
          <t>Q2902</t>
        </is>
      </c>
      <c r="F154" s="89">
        <f>-SUMIFS('1月数据源'!$I:$I,'1月数据源'!$D:$D,$E154,'1月数据源'!$F:$F,"SMART LEARNING HOLDING")*F$185+SUMIFS('1月数据源'!$J:$J,'1月数据源'!$D:$D,$E154,'1月数据源'!$F:$F,"SMART LEARNING HOLDING")*F$185</f>
        <v/>
      </c>
      <c r="G154" s="89">
        <f>-SUMIFS('2月数据源'!$I:$I,'2月数据源'!$D:$D,$E154,'2月数据源'!$F:$F,"SMART LEARNING HOLDING")*G$185+SUMIFS('2月数据源'!$J:$J,'2月数据源'!$D:$D,$E154,'2月数据源'!$F:$F,"SMART LEARNING HOLDING")*G$185</f>
        <v/>
      </c>
      <c r="H154" s="89">
        <f>-SUMIFS('3月数据源'!$I:$I,'3月数据源'!$D:$D,$E154,'3月数据源'!$F:$F,"SMART LEARNING HOLDING")*H$185+SUMIFS('3月数据源'!$J:$J,'3月数据源'!$D:$D,$E154,'3月数据源'!$F:$F,"SMART LEARNING HOLDING")*H$185</f>
        <v/>
      </c>
      <c r="I154" s="89">
        <f>-SUMIFS('4月数据源'!$I:$I,'4月数据源'!$D:$D,$E154,'4月数据源'!$F:$F,"SMART LEARNING HOLDING")*I$185+SUMIFS('4月数据源'!$J:$J,'4月数据源'!$D:$D,$E154,'4月数据源'!$F:$F,"SMART LEARNING HOLDING")*I$185</f>
        <v/>
      </c>
      <c r="J154" s="89">
        <f>-SUMIFS('5月数据源'!$I:$I,'5月数据源'!$D:$D,$E154,'5月数据源'!$F:$F,"SMART LEARNING HOLDING")*J$185+SUMIFS('5月数据源'!$J:$J,'5月数据源'!$D:$D,$E154,'5月数据源'!$F:$F,"SMART LEARNING HOLDING")*J$185</f>
        <v/>
      </c>
      <c r="K154" s="89">
        <f>-SUMIFS('6月数据源'!$I:$I,'6月数据源'!$D:$D,$E154,'6月数据源'!$F:$F,"SMART LEARNING HOLDING")*K$185+SUMIFS('6月数据源'!$J:$J,'6月数据源'!$D:$D,$E154,'6月数据源'!$F:$F,"SMART LEARNING HOLDING")*K$185</f>
        <v/>
      </c>
      <c r="L154" s="89">
        <f>-SUMIFS('7月数据源'!$I:$I,'7月数据源'!$D:$D,$E154,'7月数据源'!$F:$F,"SMART LEARNING HOLDING")*L$185+SUMIFS('7月数据源'!$J:$J,'7月数据源'!$D:$D,$E154,'7月数据源'!$F:$F,"SMART LEARNING HOLDING")*L$185</f>
        <v/>
      </c>
      <c r="M154" s="89">
        <f>-SUMIFS('8月数据源'!$I:$I,'8月数据源'!$D:$D,$E154,'8月数据源'!$F:$F,"SMART LEARNING HOLDING")*M$185+SUMIFS('8月数据源'!$J:$J,'8月数据源'!$D:$D,$E154,'8月数据源'!$F:$F,"SMART LEARNING HOLDING")*M$185</f>
        <v/>
      </c>
      <c r="N154" s="89">
        <f>-SUMIFS('9月数据源'!$I:$I,'9月数据源'!$D:$D,$E154,'9月数据源'!$F:$F,"SMART LEARNING HOLDING")*N$185+SUMIFS('9月数据源'!$J:$J,'9月数据源'!$D:$D,$E154,'9月数据源'!$F:$F,"SMART LEARNING HOLDING")*N$185</f>
        <v/>
      </c>
      <c r="O154" s="89">
        <f>-SUMIFS('10月数据源'!$I:$I,'10月数据源'!$D:$D,$E154,'10月数据源'!$F:$F,"SMART LEARNING HOLDING")*O$185+SUMIFS('10月数据源'!$J:$J,'10月数据源'!$D:$D,$E154,'10月数据源'!$F:$F,"SMART LEARNING HOLDING")*O$185</f>
        <v/>
      </c>
      <c r="P154" s="89">
        <f>-SUMIFS('11月数据源'!$I:$I,'11月数据源'!$D:$D,$E154,'11月数据源'!$F:$F,"SMART LEARNING HOLDING")*P$185+SUMIFS('11月数据源'!$J:$J,'11月数据源'!$D:$D,$E154,'11月数据源'!$F:$F,"SMART LEARNING HOLDING")*P$185</f>
        <v/>
      </c>
      <c r="Q154" s="89">
        <f>-SUMIFS('12月数据源'!$I:$I,'12月数据源'!$D:$D,$E154,'12月数据源'!$F:$F,"SMART LEARNING HOLDING")*Q$185+SUMIFS('12月数据源'!$J:$J,'12月数据源'!$D:$D,$E154,'12月数据源'!$F:$F,"SMART LEARNING HOLDING")*Q$185</f>
        <v/>
      </c>
    </row>
    <row r="155" s="83">
      <c r="A155" s="5" t="inlineStr">
        <is>
          <t>管理费用</t>
        </is>
      </c>
      <c r="B155" s="6" t="inlineStr">
        <is>
          <t>办公费用</t>
        </is>
      </c>
      <c r="D155" s="5" t="inlineStr">
        <is>
          <t>网络费</t>
        </is>
      </c>
      <c r="E155" s="6" t="inlineStr">
        <is>
          <t>Q2903</t>
        </is>
      </c>
      <c r="F155" s="89">
        <f>-SUMIFS('1月数据源'!$I:$I,'1月数据源'!$D:$D,$E155,'1月数据源'!$F:$F,"SMART LEARNING HOLDING")*F$185+SUMIFS('1月数据源'!$J:$J,'1月数据源'!$D:$D,$E155,'1月数据源'!$F:$F,"SMART LEARNING HOLDING")*F$185</f>
        <v/>
      </c>
      <c r="G155" s="89">
        <f>-SUMIFS('2月数据源'!$I:$I,'2月数据源'!$D:$D,$E155,'2月数据源'!$F:$F,"SMART LEARNING HOLDING")*G$185+SUMIFS('2月数据源'!$J:$J,'2月数据源'!$D:$D,$E155,'2月数据源'!$F:$F,"SMART LEARNING HOLDING")*G$185</f>
        <v/>
      </c>
      <c r="H155" s="89">
        <f>-SUMIFS('3月数据源'!$I:$I,'3月数据源'!$D:$D,$E155,'3月数据源'!$F:$F,"SMART LEARNING HOLDING")*H$185+SUMIFS('3月数据源'!$J:$J,'3月数据源'!$D:$D,$E155,'3月数据源'!$F:$F,"SMART LEARNING HOLDING")*H$185</f>
        <v/>
      </c>
      <c r="I155" s="89">
        <f>-SUMIFS('4月数据源'!$I:$I,'4月数据源'!$D:$D,$E155,'4月数据源'!$F:$F,"SMART LEARNING HOLDING")*I$185+SUMIFS('4月数据源'!$J:$J,'4月数据源'!$D:$D,$E155,'4月数据源'!$F:$F,"SMART LEARNING HOLDING")*I$185</f>
        <v/>
      </c>
      <c r="J155" s="89">
        <f>-SUMIFS('5月数据源'!$I:$I,'5月数据源'!$D:$D,$E155,'5月数据源'!$F:$F,"SMART LEARNING HOLDING")*J$185+SUMIFS('5月数据源'!$J:$J,'5月数据源'!$D:$D,$E155,'5月数据源'!$F:$F,"SMART LEARNING HOLDING")*J$185</f>
        <v/>
      </c>
      <c r="K155" s="89">
        <f>-SUMIFS('6月数据源'!$I:$I,'6月数据源'!$D:$D,$E155,'6月数据源'!$F:$F,"SMART LEARNING HOLDING")*K$185+SUMIFS('6月数据源'!$J:$J,'6月数据源'!$D:$D,$E155,'6月数据源'!$F:$F,"SMART LEARNING HOLDING")*K$185</f>
        <v/>
      </c>
      <c r="L155" s="89">
        <f>-SUMIFS('7月数据源'!$I:$I,'7月数据源'!$D:$D,$E155,'7月数据源'!$F:$F,"SMART LEARNING HOLDING")*L$185+SUMIFS('7月数据源'!$J:$J,'7月数据源'!$D:$D,$E155,'7月数据源'!$F:$F,"SMART LEARNING HOLDING")*L$185</f>
        <v/>
      </c>
      <c r="M155" s="89">
        <f>-SUMIFS('8月数据源'!$I:$I,'8月数据源'!$D:$D,$E155,'8月数据源'!$F:$F,"SMART LEARNING HOLDING")*M$185+SUMIFS('8月数据源'!$J:$J,'8月数据源'!$D:$D,$E155,'8月数据源'!$F:$F,"SMART LEARNING HOLDING")*M$185</f>
        <v/>
      </c>
      <c r="N155" s="89">
        <f>-SUMIFS('9月数据源'!$I:$I,'9月数据源'!$D:$D,$E155,'9月数据源'!$F:$F,"SMART LEARNING HOLDING")*N$185+SUMIFS('9月数据源'!$J:$J,'9月数据源'!$D:$D,$E155,'9月数据源'!$F:$F,"SMART LEARNING HOLDING")*N$185</f>
        <v/>
      </c>
      <c r="O155" s="89">
        <f>-SUMIFS('10月数据源'!$I:$I,'10月数据源'!$D:$D,$E155,'10月数据源'!$F:$F,"SMART LEARNING HOLDING")*O$185+SUMIFS('10月数据源'!$J:$J,'10月数据源'!$D:$D,$E155,'10月数据源'!$F:$F,"SMART LEARNING HOLDING")*O$185</f>
        <v/>
      </c>
      <c r="P155" s="89">
        <f>-SUMIFS('11月数据源'!$I:$I,'11月数据源'!$D:$D,$E155,'11月数据源'!$F:$F,"SMART LEARNING HOLDING")*P$185+SUMIFS('11月数据源'!$J:$J,'11月数据源'!$D:$D,$E155,'11月数据源'!$F:$F,"SMART LEARNING HOLDING")*P$185</f>
        <v/>
      </c>
      <c r="Q155" s="89">
        <f>-SUMIFS('12月数据源'!$I:$I,'12月数据源'!$D:$D,$E155,'12月数据源'!$F:$F,"SMART LEARNING HOLDING")*Q$185+SUMIFS('12月数据源'!$J:$J,'12月数据源'!$D:$D,$E155,'12月数据源'!$F:$F,"SMART LEARNING HOLDING")*Q$185</f>
        <v/>
      </c>
    </row>
    <row r="156" s="83">
      <c r="A156" s="5" t="inlineStr">
        <is>
          <t>管理费用</t>
        </is>
      </c>
      <c r="B156" s="6" t="inlineStr">
        <is>
          <t>办公费用</t>
        </is>
      </c>
      <c r="D156" s="5" t="inlineStr">
        <is>
          <t>通讯费</t>
        </is>
      </c>
      <c r="E156" s="6" t="inlineStr">
        <is>
          <t>Q2904</t>
        </is>
      </c>
      <c r="F156" s="89">
        <f>-SUMIFS('1月数据源'!$I:$I,'1月数据源'!$D:$D,$E156,'1月数据源'!$F:$F,"SMART LEARNING HOLDING")*F$185+SUMIFS('1月数据源'!$J:$J,'1月数据源'!$D:$D,$E156,'1月数据源'!$F:$F,"SMART LEARNING HOLDING")*F$185</f>
        <v/>
      </c>
      <c r="G156" s="89">
        <f>-SUMIFS('2月数据源'!$I:$I,'2月数据源'!$D:$D,$E156,'2月数据源'!$F:$F,"SMART LEARNING HOLDING")*G$185+SUMIFS('2月数据源'!$J:$J,'2月数据源'!$D:$D,$E156,'2月数据源'!$F:$F,"SMART LEARNING HOLDING")*G$185</f>
        <v/>
      </c>
      <c r="H156" s="89">
        <f>-SUMIFS('3月数据源'!$I:$I,'3月数据源'!$D:$D,$E156,'3月数据源'!$F:$F,"SMART LEARNING HOLDING")*H$185+SUMIFS('3月数据源'!$J:$J,'3月数据源'!$D:$D,$E156,'3月数据源'!$F:$F,"SMART LEARNING HOLDING")*H$185</f>
        <v/>
      </c>
      <c r="I156" s="89">
        <f>-SUMIFS('4月数据源'!$I:$I,'4月数据源'!$D:$D,$E156,'4月数据源'!$F:$F,"SMART LEARNING HOLDING")*I$185+SUMIFS('4月数据源'!$J:$J,'4月数据源'!$D:$D,$E156,'4月数据源'!$F:$F,"SMART LEARNING HOLDING")*I$185</f>
        <v/>
      </c>
      <c r="J156" s="89">
        <f>-SUMIFS('5月数据源'!$I:$I,'5月数据源'!$D:$D,$E156,'5月数据源'!$F:$F,"SMART LEARNING HOLDING")*J$185+SUMIFS('5月数据源'!$J:$J,'5月数据源'!$D:$D,$E156,'5月数据源'!$F:$F,"SMART LEARNING HOLDING")*J$185</f>
        <v/>
      </c>
      <c r="K156" s="89">
        <f>-SUMIFS('6月数据源'!$I:$I,'6月数据源'!$D:$D,$E156,'6月数据源'!$F:$F,"SMART LEARNING HOLDING")*K$185+SUMIFS('6月数据源'!$J:$J,'6月数据源'!$D:$D,$E156,'6月数据源'!$F:$F,"SMART LEARNING HOLDING")*K$185</f>
        <v/>
      </c>
      <c r="L156" s="89">
        <f>-SUMIFS('7月数据源'!$I:$I,'7月数据源'!$D:$D,$E156,'7月数据源'!$F:$F,"SMART LEARNING HOLDING")*L$185+SUMIFS('7月数据源'!$J:$J,'7月数据源'!$D:$D,$E156,'7月数据源'!$F:$F,"SMART LEARNING HOLDING")*L$185</f>
        <v/>
      </c>
      <c r="M156" s="89">
        <f>-SUMIFS('8月数据源'!$I:$I,'8月数据源'!$D:$D,$E156,'8月数据源'!$F:$F,"SMART LEARNING HOLDING")*M$185+SUMIFS('8月数据源'!$J:$J,'8月数据源'!$D:$D,$E156,'8月数据源'!$F:$F,"SMART LEARNING HOLDING")*M$185</f>
        <v/>
      </c>
      <c r="N156" s="89">
        <f>-SUMIFS('9月数据源'!$I:$I,'9月数据源'!$D:$D,$E156,'9月数据源'!$F:$F,"SMART LEARNING HOLDING")*N$185+SUMIFS('9月数据源'!$J:$J,'9月数据源'!$D:$D,$E156,'9月数据源'!$F:$F,"SMART LEARNING HOLDING")*N$185</f>
        <v/>
      </c>
      <c r="O156" s="89">
        <f>-SUMIFS('10月数据源'!$I:$I,'10月数据源'!$D:$D,$E156,'10月数据源'!$F:$F,"SMART LEARNING HOLDING")*O$185+SUMIFS('10月数据源'!$J:$J,'10月数据源'!$D:$D,$E156,'10月数据源'!$F:$F,"SMART LEARNING HOLDING")*O$185</f>
        <v/>
      </c>
      <c r="P156" s="89">
        <f>-SUMIFS('11月数据源'!$I:$I,'11月数据源'!$D:$D,$E156,'11月数据源'!$F:$F,"SMART LEARNING HOLDING")*P$185+SUMIFS('11月数据源'!$J:$J,'11月数据源'!$D:$D,$E156,'11月数据源'!$F:$F,"SMART LEARNING HOLDING")*P$185</f>
        <v/>
      </c>
      <c r="Q156" s="89">
        <f>-SUMIFS('12月数据源'!$I:$I,'12月数据源'!$D:$D,$E156,'12月数据源'!$F:$F,"SMART LEARNING HOLDING")*Q$185+SUMIFS('12月数据源'!$J:$J,'12月数据源'!$D:$D,$E156,'12月数据源'!$F:$F,"SMART LEARNING HOLDING")*Q$185</f>
        <v/>
      </c>
    </row>
    <row r="157" s="83">
      <c r="A157" s="5" t="inlineStr">
        <is>
          <t>管理费用</t>
        </is>
      </c>
      <c r="B157" s="6" t="inlineStr">
        <is>
          <t>办公费用</t>
        </is>
      </c>
      <c r="D157" s="5" t="inlineStr">
        <is>
          <t>快递费</t>
        </is>
      </c>
      <c r="E157" s="6" t="inlineStr">
        <is>
          <t>Q2905</t>
        </is>
      </c>
      <c r="F157" s="89">
        <f>-SUMIFS('1月数据源'!$I:$I,'1月数据源'!$D:$D,$E157,'1月数据源'!$F:$F,"SMART LEARNING HOLDING")*F$185+SUMIFS('1月数据源'!$J:$J,'1月数据源'!$D:$D,$E157,'1月数据源'!$F:$F,"SMART LEARNING HOLDING")*F$185</f>
        <v/>
      </c>
      <c r="G157" s="89">
        <f>-SUMIFS('2月数据源'!$I:$I,'2月数据源'!$D:$D,$E157,'2月数据源'!$F:$F,"SMART LEARNING HOLDING")*G$185+SUMIFS('2月数据源'!$J:$J,'2月数据源'!$D:$D,$E157,'2月数据源'!$F:$F,"SMART LEARNING HOLDING")*G$185</f>
        <v/>
      </c>
      <c r="H157" s="89">
        <f>-SUMIFS('3月数据源'!$I:$I,'3月数据源'!$D:$D,$E157,'3月数据源'!$F:$F,"SMART LEARNING HOLDING")*H$185+SUMIFS('3月数据源'!$J:$J,'3月数据源'!$D:$D,$E157,'3月数据源'!$F:$F,"SMART LEARNING HOLDING")*H$185</f>
        <v/>
      </c>
      <c r="I157" s="89">
        <f>-SUMIFS('4月数据源'!$I:$I,'4月数据源'!$D:$D,$E157,'4月数据源'!$F:$F,"SMART LEARNING HOLDING")*I$185+SUMIFS('4月数据源'!$J:$J,'4月数据源'!$D:$D,$E157,'4月数据源'!$F:$F,"SMART LEARNING HOLDING")*I$185</f>
        <v/>
      </c>
      <c r="J157" s="89">
        <f>-SUMIFS('5月数据源'!$I:$I,'5月数据源'!$D:$D,$E157,'5月数据源'!$F:$F,"SMART LEARNING HOLDING")*J$185+SUMIFS('5月数据源'!$J:$J,'5月数据源'!$D:$D,$E157,'5月数据源'!$F:$F,"SMART LEARNING HOLDING")*J$185</f>
        <v/>
      </c>
      <c r="K157" s="89">
        <f>-SUMIFS('6月数据源'!$I:$I,'6月数据源'!$D:$D,$E157,'6月数据源'!$F:$F,"SMART LEARNING HOLDING")*K$185+SUMIFS('6月数据源'!$J:$J,'6月数据源'!$D:$D,$E157,'6月数据源'!$F:$F,"SMART LEARNING HOLDING")*K$185</f>
        <v/>
      </c>
      <c r="L157" s="89">
        <f>-SUMIFS('7月数据源'!$I:$I,'7月数据源'!$D:$D,$E157,'7月数据源'!$F:$F,"SMART LEARNING HOLDING")*L$185+SUMIFS('7月数据源'!$J:$J,'7月数据源'!$D:$D,$E157,'7月数据源'!$F:$F,"SMART LEARNING HOLDING")*L$185</f>
        <v/>
      </c>
      <c r="M157" s="89">
        <f>-SUMIFS('8月数据源'!$I:$I,'8月数据源'!$D:$D,$E157,'8月数据源'!$F:$F,"SMART LEARNING HOLDING")*M$185+SUMIFS('8月数据源'!$J:$J,'8月数据源'!$D:$D,$E157,'8月数据源'!$F:$F,"SMART LEARNING HOLDING")*M$185</f>
        <v/>
      </c>
      <c r="N157" s="89">
        <f>-SUMIFS('9月数据源'!$I:$I,'9月数据源'!$D:$D,$E157,'9月数据源'!$F:$F,"SMART LEARNING HOLDING")*N$185+SUMIFS('9月数据源'!$J:$J,'9月数据源'!$D:$D,$E157,'9月数据源'!$F:$F,"SMART LEARNING HOLDING")*N$185</f>
        <v/>
      </c>
      <c r="O157" s="89">
        <f>-SUMIFS('10月数据源'!$I:$I,'10月数据源'!$D:$D,$E157,'10月数据源'!$F:$F,"SMART LEARNING HOLDING")*O$185+SUMIFS('10月数据源'!$J:$J,'10月数据源'!$D:$D,$E157,'10月数据源'!$F:$F,"SMART LEARNING HOLDING")*O$185</f>
        <v/>
      </c>
      <c r="P157" s="89">
        <f>-SUMIFS('11月数据源'!$I:$I,'11月数据源'!$D:$D,$E157,'11月数据源'!$F:$F,"SMART LEARNING HOLDING")*P$185+SUMIFS('11月数据源'!$J:$J,'11月数据源'!$D:$D,$E157,'11月数据源'!$F:$F,"SMART LEARNING HOLDING")*P$185</f>
        <v/>
      </c>
      <c r="Q157" s="89">
        <f>-SUMIFS('12月数据源'!$I:$I,'12月数据源'!$D:$D,$E157,'12月数据源'!$F:$F,"SMART LEARNING HOLDING")*Q$185+SUMIFS('12月数据源'!$J:$J,'12月数据源'!$D:$D,$E157,'12月数据源'!$F:$F,"SMART LEARNING HOLDING")*Q$185</f>
        <v/>
      </c>
    </row>
    <row r="158" s="83">
      <c r="A158" s="5" t="inlineStr">
        <is>
          <t>管理费用</t>
        </is>
      </c>
      <c r="B158" s="6" t="inlineStr">
        <is>
          <t>办公费用</t>
        </is>
      </c>
      <c r="D158" s="5" t="inlineStr">
        <is>
          <t>其他员工报销</t>
        </is>
      </c>
      <c r="E158" s="6" t="inlineStr">
        <is>
          <t>Q2907</t>
        </is>
      </c>
      <c r="F158" s="89">
        <f>-SUMIFS('1月数据源'!$I:$I,'1月数据源'!$D:$D,$E158,'1月数据源'!$F:$F,"SMART LEARNING HOLDING")*F$185+SUMIFS('1月数据源'!$J:$J,'1月数据源'!$D:$D,$E158,'1月数据源'!$F:$F,"SMART LEARNING HOLDING")*F$185</f>
        <v/>
      </c>
      <c r="G158" s="89">
        <f>-SUMIFS('2月数据源'!$I:$I,'2月数据源'!$D:$D,$E158,'2月数据源'!$F:$F,"SMART LEARNING HOLDING")*G$185+SUMIFS('2月数据源'!$J:$J,'2月数据源'!$D:$D,$E158,'2月数据源'!$F:$F,"SMART LEARNING HOLDING")*G$185</f>
        <v/>
      </c>
      <c r="H158" s="89">
        <f>-SUMIFS('3月数据源'!$I:$I,'3月数据源'!$D:$D,$E158,'3月数据源'!$F:$F,"SMART LEARNING HOLDING")*H$185+SUMIFS('3月数据源'!$J:$J,'3月数据源'!$D:$D,$E158,'3月数据源'!$F:$F,"SMART LEARNING HOLDING")*H$185</f>
        <v/>
      </c>
      <c r="I158" s="89">
        <f>-SUMIFS('4月数据源'!$I:$I,'4月数据源'!$D:$D,$E158,'4月数据源'!$F:$F,"SMART LEARNING HOLDING")*I$185+SUMIFS('4月数据源'!$J:$J,'4月数据源'!$D:$D,$E158,'4月数据源'!$F:$F,"SMART LEARNING HOLDING")*I$185</f>
        <v/>
      </c>
      <c r="J158" s="89">
        <f>-SUMIFS('5月数据源'!$I:$I,'5月数据源'!$D:$D,$E158,'5月数据源'!$F:$F,"SMART LEARNING HOLDING")*J$185+SUMIFS('5月数据源'!$J:$J,'5月数据源'!$D:$D,$E158,'5月数据源'!$F:$F,"SMART LEARNING HOLDING")*J$185</f>
        <v/>
      </c>
      <c r="K158" s="89">
        <f>-SUMIFS('6月数据源'!$I:$I,'6月数据源'!$D:$D,$E158,'6月数据源'!$F:$F,"SMART LEARNING HOLDING")*K$185+SUMIFS('6月数据源'!$J:$J,'6月数据源'!$D:$D,$E158,'6月数据源'!$F:$F,"SMART LEARNING HOLDING")*K$185</f>
        <v/>
      </c>
      <c r="L158" s="89">
        <f>-SUMIFS('7月数据源'!$I:$I,'7月数据源'!$D:$D,$E158,'7月数据源'!$F:$F,"SMART LEARNING HOLDING")*L$185+SUMIFS('7月数据源'!$J:$J,'7月数据源'!$D:$D,$E158,'7月数据源'!$F:$F,"SMART LEARNING HOLDING")*L$185</f>
        <v/>
      </c>
      <c r="M158" s="89">
        <f>-SUMIFS('8月数据源'!$I:$I,'8月数据源'!$D:$D,$E158,'8月数据源'!$F:$F,"SMART LEARNING HOLDING")*M$185+SUMIFS('8月数据源'!$J:$J,'8月数据源'!$D:$D,$E158,'8月数据源'!$F:$F,"SMART LEARNING HOLDING")*M$185</f>
        <v/>
      </c>
      <c r="N158" s="89">
        <f>-SUMIFS('9月数据源'!$I:$I,'9月数据源'!$D:$D,$E158,'9月数据源'!$F:$F,"SMART LEARNING HOLDING")*N$185+SUMIFS('9月数据源'!$J:$J,'9月数据源'!$D:$D,$E158,'9月数据源'!$F:$F,"SMART LEARNING HOLDING")*N$185</f>
        <v/>
      </c>
      <c r="O158" s="89">
        <f>-SUMIFS('10月数据源'!$I:$I,'10月数据源'!$D:$D,$E158,'10月数据源'!$F:$F,"SMART LEARNING HOLDING")*O$185+SUMIFS('10月数据源'!$J:$J,'10月数据源'!$D:$D,$E158,'10月数据源'!$F:$F,"SMART LEARNING HOLDING")*O$185</f>
        <v/>
      </c>
      <c r="P158" s="89">
        <f>-SUMIFS('11月数据源'!$I:$I,'11月数据源'!$D:$D,$E158,'11月数据源'!$F:$F,"SMART LEARNING HOLDING")*P$185+SUMIFS('11月数据源'!$J:$J,'11月数据源'!$D:$D,$E158,'11月数据源'!$F:$F,"SMART LEARNING HOLDING")*P$185</f>
        <v/>
      </c>
      <c r="Q158" s="89">
        <f>-SUMIFS('12月数据源'!$I:$I,'12月数据源'!$D:$D,$E158,'12月数据源'!$F:$F,"SMART LEARNING HOLDING")*Q$185+SUMIFS('12月数据源'!$J:$J,'12月数据源'!$D:$D,$E158,'12月数据源'!$F:$F,"SMART LEARNING HOLDING")*Q$185</f>
        <v/>
      </c>
    </row>
    <row r="159" s="83">
      <c r="A159" s="5" t="inlineStr">
        <is>
          <t>管理费用</t>
        </is>
      </c>
      <c r="B159" s="6" t="inlineStr">
        <is>
          <t>办公费用</t>
        </is>
      </c>
      <c r="D159" s="5" t="inlineStr">
        <is>
          <t>办公设备租赁费</t>
        </is>
      </c>
      <c r="E159" s="6" t="inlineStr">
        <is>
          <t>Q2908</t>
        </is>
      </c>
      <c r="F159" s="89">
        <f>-SUMIFS('1月数据源'!$I:$I,'1月数据源'!$D:$D,$E159,'1月数据源'!$F:$F,"SMART LEARNING HOLDING")*F$185+SUMIFS('1月数据源'!$J:$J,'1月数据源'!$D:$D,$E159,'1月数据源'!$F:$F,"SMART LEARNING HOLDING")*F$185</f>
        <v/>
      </c>
      <c r="G159" s="89">
        <f>-SUMIFS('2月数据源'!$I:$I,'2月数据源'!$D:$D,$E159,'2月数据源'!$F:$F,"SMART LEARNING HOLDING")*G$185+SUMIFS('2月数据源'!$J:$J,'2月数据源'!$D:$D,$E159,'2月数据源'!$F:$F,"SMART LEARNING HOLDING")*G$185</f>
        <v/>
      </c>
      <c r="H159" s="89">
        <f>-SUMIFS('3月数据源'!$I:$I,'3月数据源'!$D:$D,$E159,'3月数据源'!$F:$F,"SMART LEARNING HOLDING")*H$185+SUMIFS('3月数据源'!$J:$J,'3月数据源'!$D:$D,$E159,'3月数据源'!$F:$F,"SMART LEARNING HOLDING")*H$185</f>
        <v/>
      </c>
      <c r="I159" s="89">
        <f>-SUMIFS('4月数据源'!$I:$I,'4月数据源'!$D:$D,$E159,'4月数据源'!$F:$F,"SMART LEARNING HOLDING")*I$185+SUMIFS('4月数据源'!$J:$J,'4月数据源'!$D:$D,$E159,'4月数据源'!$F:$F,"SMART LEARNING HOLDING")*I$185</f>
        <v/>
      </c>
      <c r="J159" s="89">
        <f>-SUMIFS('5月数据源'!$I:$I,'5月数据源'!$D:$D,$E159,'5月数据源'!$F:$F,"SMART LEARNING HOLDING")*J$185+SUMIFS('5月数据源'!$J:$J,'5月数据源'!$D:$D,$E159,'5月数据源'!$F:$F,"SMART LEARNING HOLDING")*J$185</f>
        <v/>
      </c>
      <c r="K159" s="89">
        <f>-SUMIFS('6月数据源'!$I:$I,'6月数据源'!$D:$D,$E159,'6月数据源'!$F:$F,"SMART LEARNING HOLDING")*K$185+SUMIFS('6月数据源'!$J:$J,'6月数据源'!$D:$D,$E159,'6月数据源'!$F:$F,"SMART LEARNING HOLDING")*K$185</f>
        <v/>
      </c>
      <c r="L159" s="89">
        <f>-SUMIFS('7月数据源'!$I:$I,'7月数据源'!$D:$D,$E159,'7月数据源'!$F:$F,"SMART LEARNING HOLDING")*L$185+SUMIFS('7月数据源'!$J:$J,'7月数据源'!$D:$D,$E159,'7月数据源'!$F:$F,"SMART LEARNING HOLDING")*L$185</f>
        <v/>
      </c>
      <c r="M159" s="89">
        <f>-SUMIFS('8月数据源'!$I:$I,'8月数据源'!$D:$D,$E159,'8月数据源'!$F:$F,"SMART LEARNING HOLDING")*M$185+SUMIFS('8月数据源'!$J:$J,'8月数据源'!$D:$D,$E159,'8月数据源'!$F:$F,"SMART LEARNING HOLDING")*M$185</f>
        <v/>
      </c>
      <c r="N159" s="89">
        <f>-SUMIFS('9月数据源'!$I:$I,'9月数据源'!$D:$D,$E159,'9月数据源'!$F:$F,"SMART LEARNING HOLDING")*N$185+SUMIFS('9月数据源'!$J:$J,'9月数据源'!$D:$D,$E159,'9月数据源'!$F:$F,"SMART LEARNING HOLDING")*N$185</f>
        <v/>
      </c>
      <c r="O159" s="89">
        <f>-SUMIFS('10月数据源'!$I:$I,'10月数据源'!$D:$D,$E159,'10月数据源'!$F:$F,"SMART LEARNING HOLDING")*O$185+SUMIFS('10月数据源'!$J:$J,'10月数据源'!$D:$D,$E159,'10月数据源'!$F:$F,"SMART LEARNING HOLDING")*O$185</f>
        <v/>
      </c>
      <c r="P159" s="89">
        <f>-SUMIFS('11月数据源'!$I:$I,'11月数据源'!$D:$D,$E159,'11月数据源'!$F:$F,"SMART LEARNING HOLDING")*P$185+SUMIFS('11月数据源'!$J:$J,'11月数据源'!$D:$D,$E159,'11月数据源'!$F:$F,"SMART LEARNING HOLDING")*P$185</f>
        <v/>
      </c>
      <c r="Q159" s="89">
        <f>-SUMIFS('12月数据源'!$I:$I,'12月数据源'!$D:$D,$E159,'12月数据源'!$F:$F,"SMART LEARNING HOLDING")*Q$185+SUMIFS('12月数据源'!$J:$J,'12月数据源'!$D:$D,$E159,'12月数据源'!$F:$F,"SMART LEARNING HOLDING")*Q$185</f>
        <v/>
      </c>
    </row>
    <row r="160" s="83">
      <c r="A160" s="5" t="inlineStr">
        <is>
          <t>管理费用</t>
        </is>
      </c>
      <c r="B160" s="6" t="inlineStr">
        <is>
          <t>办公费用</t>
        </is>
      </c>
      <c r="D160" s="5" t="inlineStr">
        <is>
          <t>总经办报销费用</t>
        </is>
      </c>
      <c r="E160" s="6" t="inlineStr">
        <is>
          <t>Q2909</t>
        </is>
      </c>
      <c r="F160" s="89">
        <f>-SUMIFS('1月数据源'!$I:$I,'1月数据源'!$D:$D,$E160,'1月数据源'!$F:$F,"SMART LEARNING HOLDING")*F$185+SUMIFS('1月数据源'!$J:$J,'1月数据源'!$D:$D,$E160,'1月数据源'!$F:$F,"SMART LEARNING HOLDING")*F$185</f>
        <v/>
      </c>
      <c r="G160" s="89">
        <f>-SUMIFS('2月数据源'!$I:$I,'2月数据源'!$D:$D,$E160,'2月数据源'!$F:$F,"SMART LEARNING HOLDING")*G$185+SUMIFS('2月数据源'!$J:$J,'2月数据源'!$D:$D,$E160,'2月数据源'!$F:$F,"SMART LEARNING HOLDING")*G$185</f>
        <v/>
      </c>
      <c r="H160" s="89">
        <f>-SUMIFS('3月数据源'!$I:$I,'3月数据源'!$D:$D,$E160,'3月数据源'!$F:$F,"SMART LEARNING HOLDING")*H$185+SUMIFS('3月数据源'!$J:$J,'3月数据源'!$D:$D,$E160,'3月数据源'!$F:$F,"SMART LEARNING HOLDING")*H$185</f>
        <v/>
      </c>
      <c r="I160" s="89">
        <f>-SUMIFS('4月数据源'!$I:$I,'4月数据源'!$D:$D,$E160,'4月数据源'!$F:$F,"SMART LEARNING HOLDING")*I$185+SUMIFS('4月数据源'!$J:$J,'4月数据源'!$D:$D,$E160,'4月数据源'!$F:$F,"SMART LEARNING HOLDING")*I$185</f>
        <v/>
      </c>
      <c r="J160" s="89">
        <f>-SUMIFS('5月数据源'!$I:$I,'5月数据源'!$D:$D,$E160,'5月数据源'!$F:$F,"SMART LEARNING HOLDING")*J$185+SUMIFS('5月数据源'!$J:$J,'5月数据源'!$D:$D,$E160,'5月数据源'!$F:$F,"SMART LEARNING HOLDING")*J$185</f>
        <v/>
      </c>
      <c r="K160" s="89">
        <f>-SUMIFS('6月数据源'!$I:$I,'6月数据源'!$D:$D,$E160,'6月数据源'!$F:$F,"SMART LEARNING HOLDING")*K$185+SUMIFS('6月数据源'!$J:$J,'6月数据源'!$D:$D,$E160,'6月数据源'!$F:$F,"SMART LEARNING HOLDING")*K$185</f>
        <v/>
      </c>
      <c r="L160" s="89">
        <f>-SUMIFS('7月数据源'!$I:$I,'7月数据源'!$D:$D,$E160,'7月数据源'!$F:$F,"SMART LEARNING HOLDING")*L$185+SUMIFS('7月数据源'!$J:$J,'7月数据源'!$D:$D,$E160,'7月数据源'!$F:$F,"SMART LEARNING HOLDING")*L$185</f>
        <v/>
      </c>
      <c r="M160" s="89">
        <f>-SUMIFS('8月数据源'!$I:$I,'8月数据源'!$D:$D,$E160,'8月数据源'!$F:$F,"SMART LEARNING HOLDING")*M$185+SUMIFS('8月数据源'!$J:$J,'8月数据源'!$D:$D,$E160,'8月数据源'!$F:$F,"SMART LEARNING HOLDING")*M$185</f>
        <v/>
      </c>
      <c r="N160" s="89">
        <f>-SUMIFS('9月数据源'!$I:$I,'9月数据源'!$D:$D,$E160,'9月数据源'!$F:$F,"SMART LEARNING HOLDING")*N$185+SUMIFS('9月数据源'!$J:$J,'9月数据源'!$D:$D,$E160,'9月数据源'!$F:$F,"SMART LEARNING HOLDING")*N$185</f>
        <v/>
      </c>
      <c r="O160" s="89">
        <f>-SUMIFS('10月数据源'!$I:$I,'10月数据源'!$D:$D,$E160,'10月数据源'!$F:$F,"SMART LEARNING HOLDING")*O$185+SUMIFS('10月数据源'!$J:$J,'10月数据源'!$D:$D,$E160,'10月数据源'!$F:$F,"SMART LEARNING HOLDING")*O$185</f>
        <v/>
      </c>
      <c r="P160" s="89">
        <f>-SUMIFS('11月数据源'!$I:$I,'11月数据源'!$D:$D,$E160,'11月数据源'!$F:$F,"SMART LEARNING HOLDING")*P$185+SUMIFS('11月数据源'!$J:$J,'11月数据源'!$D:$D,$E160,'11月数据源'!$F:$F,"SMART LEARNING HOLDING")*P$185</f>
        <v/>
      </c>
      <c r="Q160" s="89">
        <f>-SUMIFS('12月数据源'!$I:$I,'12月数据源'!$D:$D,$E160,'12月数据源'!$F:$F,"SMART LEARNING HOLDING")*Q$185+SUMIFS('12月数据源'!$J:$J,'12月数据源'!$D:$D,$E160,'12月数据源'!$F:$F,"SMART LEARNING HOLDING")*Q$185</f>
        <v/>
      </c>
    </row>
    <row r="161" s="83">
      <c r="A161" s="5" t="inlineStr">
        <is>
          <t>管理费用</t>
        </is>
      </c>
      <c r="B161" s="6" t="inlineStr">
        <is>
          <t>办公费用</t>
        </is>
      </c>
      <c r="D161" s="5" t="inlineStr">
        <is>
          <t>其他办公费用</t>
        </is>
      </c>
      <c r="E161" s="6" t="inlineStr">
        <is>
          <t>Q29010</t>
        </is>
      </c>
      <c r="F161" s="89">
        <f>-SUMIFS('1月数据源'!$I:$I,'1月数据源'!$D:$D,$E161,'1月数据源'!$F:$F,"SMART LEARNING HOLDING")*F$185+SUMIFS('1月数据源'!$J:$J,'1月数据源'!$D:$D,$E161,'1月数据源'!$F:$F,"SMART LEARNING HOLDING")*F$185</f>
        <v/>
      </c>
      <c r="G161" s="89">
        <f>-SUMIFS('2月数据源'!$I:$I,'2月数据源'!$D:$D,$E161,'2月数据源'!$F:$F,"SMART LEARNING HOLDING")*G$185+SUMIFS('2月数据源'!$J:$J,'2月数据源'!$D:$D,$E161,'2月数据源'!$F:$F,"SMART LEARNING HOLDING")*G$185</f>
        <v/>
      </c>
      <c r="H161" s="89">
        <f>-SUMIFS('3月数据源'!$I:$I,'3月数据源'!$D:$D,$E161,'3月数据源'!$F:$F,"SMART LEARNING HOLDING")*H$185+SUMIFS('3月数据源'!$J:$J,'3月数据源'!$D:$D,$E161,'3月数据源'!$F:$F,"SMART LEARNING HOLDING")*H$185</f>
        <v/>
      </c>
      <c r="I161" s="89">
        <f>-SUMIFS('4月数据源'!$I:$I,'4月数据源'!$D:$D,$E161,'4月数据源'!$F:$F,"SMART LEARNING HOLDING")*I$185+SUMIFS('4月数据源'!$J:$J,'4月数据源'!$D:$D,$E161,'4月数据源'!$F:$F,"SMART LEARNING HOLDING")*I$185</f>
        <v/>
      </c>
      <c r="J161" s="89">
        <f>-SUMIFS('5月数据源'!$I:$I,'5月数据源'!$D:$D,$E161,'5月数据源'!$F:$F,"SMART LEARNING HOLDING")*J$185+SUMIFS('5月数据源'!$J:$J,'5月数据源'!$D:$D,$E161,'5月数据源'!$F:$F,"SMART LEARNING HOLDING")*J$185</f>
        <v/>
      </c>
      <c r="K161" s="89">
        <f>-SUMIFS('6月数据源'!$I:$I,'6月数据源'!$D:$D,$E161,'6月数据源'!$F:$F,"SMART LEARNING HOLDING")*K$185+SUMIFS('6月数据源'!$J:$J,'6月数据源'!$D:$D,$E161,'6月数据源'!$F:$F,"SMART LEARNING HOLDING")*K$185</f>
        <v/>
      </c>
      <c r="L161" s="89">
        <f>-SUMIFS('7月数据源'!$I:$I,'7月数据源'!$D:$D,$E161,'7月数据源'!$F:$F,"SMART LEARNING HOLDING")*L$185+SUMIFS('7月数据源'!$J:$J,'7月数据源'!$D:$D,$E161,'7月数据源'!$F:$F,"SMART LEARNING HOLDING")*L$185</f>
        <v/>
      </c>
      <c r="M161" s="89">
        <f>-SUMIFS('8月数据源'!$I:$I,'8月数据源'!$D:$D,$E161,'8月数据源'!$F:$F,"SMART LEARNING HOLDING")*M$185+SUMIFS('8月数据源'!$J:$J,'8月数据源'!$D:$D,$E161,'8月数据源'!$F:$F,"SMART LEARNING HOLDING")*M$185</f>
        <v/>
      </c>
      <c r="N161" s="89">
        <f>-SUMIFS('9月数据源'!$I:$I,'9月数据源'!$D:$D,$E161,'9月数据源'!$F:$F,"SMART LEARNING HOLDING")*N$185+SUMIFS('9月数据源'!$J:$J,'9月数据源'!$D:$D,$E161,'9月数据源'!$F:$F,"SMART LEARNING HOLDING")*N$185</f>
        <v/>
      </c>
      <c r="O161" s="89">
        <f>-SUMIFS('10月数据源'!$I:$I,'10月数据源'!$D:$D,$E161,'10月数据源'!$F:$F,"SMART LEARNING HOLDING")*O$185+SUMIFS('10月数据源'!$J:$J,'10月数据源'!$D:$D,$E161,'10月数据源'!$F:$F,"SMART LEARNING HOLDING")*O$185</f>
        <v/>
      </c>
      <c r="P161" s="89">
        <f>-SUMIFS('11月数据源'!$I:$I,'11月数据源'!$D:$D,$E161,'11月数据源'!$F:$F,"SMART LEARNING HOLDING")*P$185+SUMIFS('11月数据源'!$J:$J,'11月数据源'!$D:$D,$E161,'11月数据源'!$F:$F,"SMART LEARNING HOLDING")*P$185</f>
        <v/>
      </c>
      <c r="Q161" s="89">
        <f>-SUMIFS('12月数据源'!$I:$I,'12月数据源'!$D:$D,$E161,'12月数据源'!$F:$F,"SMART LEARNING HOLDING")*Q$185+SUMIFS('12月数据源'!$J:$J,'12月数据源'!$D:$D,$E161,'12月数据源'!$F:$F,"SMART LEARNING HOLDING")*Q$185</f>
        <v/>
      </c>
    </row>
    <row r="162" s="83">
      <c r="A162" s="49" t="inlineStr">
        <is>
          <t>管理费用合计</t>
        </is>
      </c>
      <c r="B162" s="50" t="n"/>
      <c r="C162" s="50" t="n"/>
      <c r="D162" s="49" t="n"/>
      <c r="E162" s="49" t="n"/>
      <c r="F162" s="89">
        <f>SUM(F138:F161)</f>
        <v/>
      </c>
      <c r="G162" s="89">
        <f>SUM(G138:G161)</f>
        <v/>
      </c>
      <c r="H162" s="89">
        <f>SUM(H138:H161)</f>
        <v/>
      </c>
      <c r="I162" s="89">
        <f>SUM(I138:I161)</f>
        <v/>
      </c>
      <c r="J162" s="89">
        <f>SUM(J138:J161)</f>
        <v/>
      </c>
      <c r="K162" s="89">
        <f>SUM(K138:K161)</f>
        <v/>
      </c>
      <c r="L162" s="89">
        <f>SUM(L138:L161)</f>
        <v/>
      </c>
      <c r="M162" s="89">
        <f>SUM(M138:M161)</f>
        <v/>
      </c>
      <c r="N162" s="89">
        <f>SUM(N138:N161)</f>
        <v/>
      </c>
      <c r="O162" s="89">
        <f>SUM(O138:O161)</f>
        <v/>
      </c>
      <c r="P162" s="89">
        <f>SUM(P138:P161)</f>
        <v/>
      </c>
      <c r="Q162" s="89">
        <f>SUM(Q138:Q161)</f>
        <v/>
      </c>
    </row>
    <row r="163" s="83">
      <c r="A163" s="5" t="inlineStr">
        <is>
          <t>税费成本</t>
        </is>
      </c>
      <c r="B163" s="6" t="inlineStr">
        <is>
          <t>税费成本</t>
        </is>
      </c>
      <c r="C163" s="6" t="inlineStr">
        <is>
          <t>税费成本</t>
        </is>
      </c>
      <c r="D163" s="5" t="inlineStr">
        <is>
          <t>增值税</t>
        </is>
      </c>
      <c r="E163" s="6" t="inlineStr">
        <is>
          <t>Q3001</t>
        </is>
      </c>
      <c r="F163" s="89">
        <f>-SUMIFS('1月数据源'!$I:$I,'1月数据源'!$D:$D,$E163,'1月数据源'!$F:$F,"SMART LEARNING HOLDING")*F$185+SUMIFS('1月数据源'!$J:$J,'1月数据源'!$D:$D,$E163,'1月数据源'!$F:$F,"SMART LEARNING HOLDING")*F$185</f>
        <v/>
      </c>
      <c r="G163" s="89">
        <f>-SUMIFS('2月数据源'!$I:$I,'2月数据源'!$D:$D,$E163,'2月数据源'!$F:$F,"SMART LEARNING HOLDING")*G$185+SUMIFS('2月数据源'!$J:$J,'2月数据源'!$D:$D,$E163,'2月数据源'!$F:$F,"SMART LEARNING HOLDING")*G$185</f>
        <v/>
      </c>
      <c r="H163" s="89">
        <f>-SUMIFS('3月数据源'!$I:$I,'3月数据源'!$D:$D,$E163,'3月数据源'!$F:$F,"SMART LEARNING HOLDING")*H$185+SUMIFS('3月数据源'!$J:$J,'3月数据源'!$D:$D,$E163,'3月数据源'!$F:$F,"SMART LEARNING HOLDING")*H$185</f>
        <v/>
      </c>
      <c r="I163" s="89">
        <f>-SUMIFS('4月数据源'!$I:$I,'4月数据源'!$D:$D,$E163,'4月数据源'!$F:$F,"SMART LEARNING HOLDING")*I$185+SUMIFS('4月数据源'!$J:$J,'4月数据源'!$D:$D,$E163,'4月数据源'!$F:$F,"SMART LEARNING HOLDING")*I$185</f>
        <v/>
      </c>
      <c r="J163" s="89">
        <f>-SUMIFS('5月数据源'!$I:$I,'5月数据源'!$D:$D,$E163,'5月数据源'!$F:$F,"SMART LEARNING HOLDING")*J$185+SUMIFS('5月数据源'!$J:$J,'5月数据源'!$D:$D,$E163,'5月数据源'!$F:$F,"SMART LEARNING HOLDING")*J$185</f>
        <v/>
      </c>
      <c r="K163" s="89">
        <f>-SUMIFS('6月数据源'!$I:$I,'6月数据源'!$D:$D,$E163,'6月数据源'!$F:$F,"SMART LEARNING HOLDING")*K$185+SUMIFS('6月数据源'!$J:$J,'6月数据源'!$D:$D,$E163,'6月数据源'!$F:$F,"SMART LEARNING HOLDING")*K$185</f>
        <v/>
      </c>
      <c r="L163" s="89">
        <f>-SUMIFS('7月数据源'!$I:$I,'7月数据源'!$D:$D,$E163,'7月数据源'!$F:$F,"SMART LEARNING HOLDING")*L$185+SUMIFS('7月数据源'!$J:$J,'7月数据源'!$D:$D,$E163,'7月数据源'!$F:$F,"SMART LEARNING HOLDING")*L$185</f>
        <v/>
      </c>
      <c r="M163" s="89">
        <f>-SUMIFS('8月数据源'!$I:$I,'8月数据源'!$D:$D,$E163,'8月数据源'!$F:$F,"SMART LEARNING HOLDING")*M$185+SUMIFS('8月数据源'!$J:$J,'8月数据源'!$D:$D,$E163,'8月数据源'!$F:$F,"SMART LEARNING HOLDING")*M$185</f>
        <v/>
      </c>
      <c r="N163" s="89">
        <f>-SUMIFS('9月数据源'!$I:$I,'9月数据源'!$D:$D,$E163,'9月数据源'!$F:$F,"SMART LEARNING HOLDING")*N$185+SUMIFS('9月数据源'!$J:$J,'9月数据源'!$D:$D,$E163,'9月数据源'!$F:$F,"SMART LEARNING HOLDING")*N$185</f>
        <v/>
      </c>
      <c r="O163" s="89">
        <f>-SUMIFS('10月数据源'!$I:$I,'10月数据源'!$D:$D,$E163,'10月数据源'!$F:$F,"SMART LEARNING HOLDING")*O$185+SUMIFS('10月数据源'!$J:$J,'10月数据源'!$D:$D,$E163,'10月数据源'!$F:$F,"SMART LEARNING HOLDING")*O$185</f>
        <v/>
      </c>
      <c r="P163" s="89">
        <f>-SUMIFS('11月数据源'!$I:$I,'11月数据源'!$D:$D,$E163,'11月数据源'!$F:$F,"SMART LEARNING HOLDING")*P$185+SUMIFS('11月数据源'!$J:$J,'11月数据源'!$D:$D,$E163,'11月数据源'!$F:$F,"SMART LEARNING HOLDING")*P$185</f>
        <v/>
      </c>
      <c r="Q163" s="89">
        <f>-SUMIFS('12月数据源'!$I:$I,'12月数据源'!$D:$D,$E163,'12月数据源'!$F:$F,"SMART LEARNING HOLDING")*Q$185+SUMIFS('12月数据源'!$J:$J,'12月数据源'!$D:$D,$E163,'12月数据源'!$F:$F,"SMART LEARNING HOLDING")*Q$185</f>
        <v/>
      </c>
    </row>
    <row r="164" s="83">
      <c r="A164" s="5" t="inlineStr">
        <is>
          <t>税费成本</t>
        </is>
      </c>
      <c r="B164" s="6" t="inlineStr">
        <is>
          <t>税费成本</t>
        </is>
      </c>
      <c r="D164" s="5" t="inlineStr">
        <is>
          <t>附加税</t>
        </is>
      </c>
      <c r="E164" s="6" t="inlineStr">
        <is>
          <t>Q3002</t>
        </is>
      </c>
      <c r="F164" s="89">
        <f>-SUMIFS('1月数据源'!$I:$I,'1月数据源'!$D:$D,$E164,'1月数据源'!$F:$F,"SMART LEARNING HOLDING")*F$185+SUMIFS('1月数据源'!$J:$J,'1月数据源'!$D:$D,$E164,'1月数据源'!$F:$F,"SMART LEARNING HOLDING")*F$185</f>
        <v/>
      </c>
      <c r="G164" s="89">
        <f>-SUMIFS('2月数据源'!$I:$I,'2月数据源'!$D:$D,$E164,'2月数据源'!$F:$F,"SMART LEARNING HOLDING")*G$185+SUMIFS('2月数据源'!$J:$J,'2月数据源'!$D:$D,$E164,'2月数据源'!$F:$F,"SMART LEARNING HOLDING")*G$185</f>
        <v/>
      </c>
      <c r="H164" s="89">
        <f>-SUMIFS('3月数据源'!$I:$I,'3月数据源'!$D:$D,$E164,'3月数据源'!$F:$F,"SMART LEARNING HOLDING")*H$185+SUMIFS('3月数据源'!$J:$J,'3月数据源'!$D:$D,$E164,'3月数据源'!$F:$F,"SMART LEARNING HOLDING")*H$185</f>
        <v/>
      </c>
      <c r="I164" s="89">
        <f>-SUMIFS('4月数据源'!$I:$I,'4月数据源'!$D:$D,$E164,'4月数据源'!$F:$F,"SMART LEARNING HOLDING")*I$185+SUMIFS('4月数据源'!$J:$J,'4月数据源'!$D:$D,$E164,'4月数据源'!$F:$F,"SMART LEARNING HOLDING")*I$185</f>
        <v/>
      </c>
      <c r="J164" s="89">
        <f>-SUMIFS('5月数据源'!$I:$I,'5月数据源'!$D:$D,$E164,'5月数据源'!$F:$F,"SMART LEARNING HOLDING")*J$185+SUMIFS('5月数据源'!$J:$J,'5月数据源'!$D:$D,$E164,'5月数据源'!$F:$F,"SMART LEARNING HOLDING")*J$185</f>
        <v/>
      </c>
      <c r="K164" s="89">
        <f>-SUMIFS('6月数据源'!$I:$I,'6月数据源'!$D:$D,$E164,'6月数据源'!$F:$F,"SMART LEARNING HOLDING")*K$185+SUMIFS('6月数据源'!$J:$J,'6月数据源'!$D:$D,$E164,'6月数据源'!$F:$F,"SMART LEARNING HOLDING")*K$185</f>
        <v/>
      </c>
      <c r="L164" s="89">
        <f>-SUMIFS('7月数据源'!$I:$I,'7月数据源'!$D:$D,$E164,'7月数据源'!$F:$F,"SMART LEARNING HOLDING")*L$185+SUMIFS('7月数据源'!$J:$J,'7月数据源'!$D:$D,$E164,'7月数据源'!$F:$F,"SMART LEARNING HOLDING")*L$185</f>
        <v/>
      </c>
      <c r="M164" s="89">
        <f>-SUMIFS('8月数据源'!$I:$I,'8月数据源'!$D:$D,$E164,'8月数据源'!$F:$F,"SMART LEARNING HOLDING")*M$185+SUMIFS('8月数据源'!$J:$J,'8月数据源'!$D:$D,$E164,'8月数据源'!$F:$F,"SMART LEARNING HOLDING")*M$185</f>
        <v/>
      </c>
      <c r="N164" s="89">
        <f>-SUMIFS('9月数据源'!$I:$I,'9月数据源'!$D:$D,$E164,'9月数据源'!$F:$F,"SMART LEARNING HOLDING")*N$185+SUMIFS('9月数据源'!$J:$J,'9月数据源'!$D:$D,$E164,'9月数据源'!$F:$F,"SMART LEARNING HOLDING")*N$185</f>
        <v/>
      </c>
      <c r="O164" s="89">
        <f>-SUMIFS('10月数据源'!$I:$I,'10月数据源'!$D:$D,$E164,'10月数据源'!$F:$F,"SMART LEARNING HOLDING")*O$185+SUMIFS('10月数据源'!$J:$J,'10月数据源'!$D:$D,$E164,'10月数据源'!$F:$F,"SMART LEARNING HOLDING")*O$185</f>
        <v/>
      </c>
      <c r="P164" s="89">
        <f>-SUMIFS('11月数据源'!$I:$I,'11月数据源'!$D:$D,$E164,'11月数据源'!$F:$F,"SMART LEARNING HOLDING")*P$185+SUMIFS('11月数据源'!$J:$J,'11月数据源'!$D:$D,$E164,'11月数据源'!$F:$F,"SMART LEARNING HOLDING")*P$185</f>
        <v/>
      </c>
      <c r="Q164" s="89">
        <f>-SUMIFS('12月数据源'!$I:$I,'12月数据源'!$D:$D,$E164,'12月数据源'!$F:$F,"SMART LEARNING HOLDING")*Q$185+SUMIFS('12月数据源'!$J:$J,'12月数据源'!$D:$D,$E164,'12月数据源'!$F:$F,"SMART LEARNING HOLDING")*Q$185</f>
        <v/>
      </c>
    </row>
    <row r="165" s="83">
      <c r="A165" s="5" t="inlineStr">
        <is>
          <t>税费成本</t>
        </is>
      </c>
      <c r="B165" s="6" t="inlineStr">
        <is>
          <t>税费成本</t>
        </is>
      </c>
      <c r="D165" s="5" t="inlineStr">
        <is>
          <t>印花税</t>
        </is>
      </c>
      <c r="E165" s="6" t="inlineStr">
        <is>
          <t>Q3003</t>
        </is>
      </c>
      <c r="F165" s="89">
        <f>-SUMIFS('1月数据源'!$I:$I,'1月数据源'!$D:$D,$E165,'1月数据源'!$F:$F,"SMART LEARNING HOLDING")*F$185+SUMIFS('1月数据源'!$J:$J,'1月数据源'!$D:$D,$E165,'1月数据源'!$F:$F,"SMART LEARNING HOLDING")*F$185</f>
        <v/>
      </c>
      <c r="G165" s="89">
        <f>-SUMIFS('2月数据源'!$I:$I,'2月数据源'!$D:$D,$E165,'2月数据源'!$F:$F,"SMART LEARNING HOLDING")*G$185+SUMIFS('2月数据源'!$J:$J,'2月数据源'!$D:$D,$E165,'2月数据源'!$F:$F,"SMART LEARNING HOLDING")*G$185</f>
        <v/>
      </c>
      <c r="H165" s="89">
        <f>-SUMIFS('3月数据源'!$I:$I,'3月数据源'!$D:$D,$E165,'3月数据源'!$F:$F,"SMART LEARNING HOLDING")*H$185+SUMIFS('3月数据源'!$J:$J,'3月数据源'!$D:$D,$E165,'3月数据源'!$F:$F,"SMART LEARNING HOLDING")*H$185</f>
        <v/>
      </c>
      <c r="I165" s="89">
        <f>-SUMIFS('4月数据源'!$I:$I,'4月数据源'!$D:$D,$E165,'4月数据源'!$F:$F,"SMART LEARNING HOLDING")*I$185+SUMIFS('4月数据源'!$J:$J,'4月数据源'!$D:$D,$E165,'4月数据源'!$F:$F,"SMART LEARNING HOLDING")*I$185</f>
        <v/>
      </c>
      <c r="J165" s="89">
        <f>-SUMIFS('5月数据源'!$I:$I,'5月数据源'!$D:$D,$E165,'5月数据源'!$F:$F,"SMART LEARNING HOLDING")*J$185+SUMIFS('5月数据源'!$J:$J,'5月数据源'!$D:$D,$E165,'5月数据源'!$F:$F,"SMART LEARNING HOLDING")*J$185</f>
        <v/>
      </c>
      <c r="K165" s="89">
        <f>-SUMIFS('6月数据源'!$I:$I,'6月数据源'!$D:$D,$E165,'6月数据源'!$F:$F,"SMART LEARNING HOLDING")*K$185+SUMIFS('6月数据源'!$J:$J,'6月数据源'!$D:$D,$E165,'6月数据源'!$F:$F,"SMART LEARNING HOLDING")*K$185</f>
        <v/>
      </c>
      <c r="L165" s="89">
        <f>-SUMIFS('7月数据源'!$I:$I,'7月数据源'!$D:$D,$E165,'7月数据源'!$F:$F,"SMART LEARNING HOLDING")*L$185+SUMIFS('7月数据源'!$J:$J,'7月数据源'!$D:$D,$E165,'7月数据源'!$F:$F,"SMART LEARNING HOLDING")*L$185</f>
        <v/>
      </c>
      <c r="M165" s="89">
        <f>-SUMIFS('8月数据源'!$I:$I,'8月数据源'!$D:$D,$E165,'8月数据源'!$F:$F,"SMART LEARNING HOLDING")*M$185+SUMIFS('8月数据源'!$J:$J,'8月数据源'!$D:$D,$E165,'8月数据源'!$F:$F,"SMART LEARNING HOLDING")*M$185</f>
        <v/>
      </c>
      <c r="N165" s="89">
        <f>-SUMIFS('9月数据源'!$I:$I,'9月数据源'!$D:$D,$E165,'9月数据源'!$F:$F,"SMART LEARNING HOLDING")*N$185+SUMIFS('9月数据源'!$J:$J,'9月数据源'!$D:$D,$E165,'9月数据源'!$F:$F,"SMART LEARNING HOLDING")*N$185</f>
        <v/>
      </c>
      <c r="O165" s="89">
        <f>-SUMIFS('10月数据源'!$I:$I,'10月数据源'!$D:$D,$E165,'10月数据源'!$F:$F,"SMART LEARNING HOLDING")*O$185+SUMIFS('10月数据源'!$J:$J,'10月数据源'!$D:$D,$E165,'10月数据源'!$F:$F,"SMART LEARNING HOLDING")*O$185</f>
        <v/>
      </c>
      <c r="P165" s="89">
        <f>-SUMIFS('11月数据源'!$I:$I,'11月数据源'!$D:$D,$E165,'11月数据源'!$F:$F,"SMART LEARNING HOLDING")*P$185+SUMIFS('11月数据源'!$J:$J,'11月数据源'!$D:$D,$E165,'11月数据源'!$F:$F,"SMART LEARNING HOLDING")*P$185</f>
        <v/>
      </c>
      <c r="Q165" s="89">
        <f>-SUMIFS('12月数据源'!$I:$I,'12月数据源'!$D:$D,$E165,'12月数据源'!$F:$F,"SMART LEARNING HOLDING")*Q$185+SUMIFS('12月数据源'!$J:$J,'12月数据源'!$D:$D,$E165,'12月数据源'!$F:$F,"SMART LEARNING HOLDING")*Q$185</f>
        <v/>
      </c>
    </row>
    <row r="166" s="83">
      <c r="A166" s="5" t="inlineStr">
        <is>
          <t>税费成本</t>
        </is>
      </c>
      <c r="B166" s="6" t="inlineStr">
        <is>
          <t>税费成本</t>
        </is>
      </c>
      <c r="D166" s="5" t="inlineStr">
        <is>
          <t>企业所得税</t>
        </is>
      </c>
      <c r="E166" s="6" t="inlineStr">
        <is>
          <t>Q3004</t>
        </is>
      </c>
      <c r="F166" s="89">
        <f>-SUMIFS('1月数据源'!$I:$I,'1月数据源'!$D:$D,$E166,'1月数据源'!$F:$F,"SMART LEARNING HOLDING")*F$185+SUMIFS('1月数据源'!$J:$J,'1月数据源'!$D:$D,$E166,'1月数据源'!$F:$F,"SMART LEARNING HOLDING")*F$185</f>
        <v/>
      </c>
      <c r="G166" s="89">
        <f>-SUMIFS('2月数据源'!$I:$I,'2月数据源'!$D:$D,$E166,'2月数据源'!$F:$F,"SMART LEARNING HOLDING")*G$185+SUMIFS('2月数据源'!$J:$J,'2月数据源'!$D:$D,$E166,'2月数据源'!$F:$F,"SMART LEARNING HOLDING")*G$185</f>
        <v/>
      </c>
      <c r="H166" s="89">
        <f>-SUMIFS('3月数据源'!$I:$I,'3月数据源'!$D:$D,$E166,'3月数据源'!$F:$F,"SMART LEARNING HOLDING")*H$185+SUMIFS('3月数据源'!$J:$J,'3月数据源'!$D:$D,$E166,'3月数据源'!$F:$F,"SMART LEARNING HOLDING")*H$185</f>
        <v/>
      </c>
      <c r="I166" s="89">
        <f>-SUMIFS('4月数据源'!$I:$I,'4月数据源'!$D:$D,$E166,'4月数据源'!$F:$F,"SMART LEARNING HOLDING")*I$185+SUMIFS('4月数据源'!$J:$J,'4月数据源'!$D:$D,$E166,'4月数据源'!$F:$F,"SMART LEARNING HOLDING")*I$185</f>
        <v/>
      </c>
      <c r="J166" s="89">
        <f>-SUMIFS('5月数据源'!$I:$I,'5月数据源'!$D:$D,$E166,'5月数据源'!$F:$F,"SMART LEARNING HOLDING")*J$185+SUMIFS('5月数据源'!$J:$J,'5月数据源'!$D:$D,$E166,'5月数据源'!$F:$F,"SMART LEARNING HOLDING")*J$185</f>
        <v/>
      </c>
      <c r="K166" s="89">
        <f>-SUMIFS('6月数据源'!$I:$I,'6月数据源'!$D:$D,$E166,'6月数据源'!$F:$F,"SMART LEARNING HOLDING")*K$185+SUMIFS('6月数据源'!$J:$J,'6月数据源'!$D:$D,$E166,'6月数据源'!$F:$F,"SMART LEARNING HOLDING")*K$185</f>
        <v/>
      </c>
      <c r="L166" s="89">
        <f>-SUMIFS('7月数据源'!$I:$I,'7月数据源'!$D:$D,$E166,'7月数据源'!$F:$F,"SMART LEARNING HOLDING")*L$185+SUMIFS('7月数据源'!$J:$J,'7月数据源'!$D:$D,$E166,'7月数据源'!$F:$F,"SMART LEARNING HOLDING")*L$185</f>
        <v/>
      </c>
      <c r="M166" s="89">
        <f>-SUMIFS('8月数据源'!$I:$I,'8月数据源'!$D:$D,$E166,'8月数据源'!$F:$F,"SMART LEARNING HOLDING")*M$185+SUMIFS('8月数据源'!$J:$J,'8月数据源'!$D:$D,$E166,'8月数据源'!$F:$F,"SMART LEARNING HOLDING")*M$185</f>
        <v/>
      </c>
      <c r="N166" s="89">
        <f>-SUMIFS('9月数据源'!$I:$I,'9月数据源'!$D:$D,$E166,'9月数据源'!$F:$F,"SMART LEARNING HOLDING")*N$185+SUMIFS('9月数据源'!$J:$J,'9月数据源'!$D:$D,$E166,'9月数据源'!$F:$F,"SMART LEARNING HOLDING")*N$185</f>
        <v/>
      </c>
      <c r="O166" s="89">
        <f>-SUMIFS('10月数据源'!$I:$I,'10月数据源'!$D:$D,$E166,'10月数据源'!$F:$F,"SMART LEARNING HOLDING")*O$185+SUMIFS('10月数据源'!$J:$J,'10月数据源'!$D:$D,$E166,'10月数据源'!$F:$F,"SMART LEARNING HOLDING")*O$185</f>
        <v/>
      </c>
      <c r="P166" s="89">
        <f>-SUMIFS('11月数据源'!$I:$I,'11月数据源'!$D:$D,$E166,'11月数据源'!$F:$F,"SMART LEARNING HOLDING")*P$185+SUMIFS('11月数据源'!$J:$J,'11月数据源'!$D:$D,$E166,'11月数据源'!$F:$F,"SMART LEARNING HOLDING")*P$185</f>
        <v/>
      </c>
      <c r="Q166" s="89">
        <f>-SUMIFS('12月数据源'!$I:$I,'12月数据源'!$D:$D,$E166,'12月数据源'!$F:$F,"SMART LEARNING HOLDING")*Q$185+SUMIFS('12月数据源'!$J:$J,'12月数据源'!$D:$D,$E166,'12月数据源'!$F:$F,"SMART LEARNING HOLDING")*Q$185</f>
        <v/>
      </c>
    </row>
    <row r="167" s="83">
      <c r="A167" s="49" t="inlineStr">
        <is>
          <t>税费成本合计</t>
        </is>
      </c>
      <c r="B167" s="50" t="n"/>
      <c r="C167" s="50" t="n"/>
      <c r="D167" s="49" t="n"/>
      <c r="E167" s="49" t="n"/>
      <c r="F167" s="89">
        <f>SUM(F163:F166)</f>
        <v/>
      </c>
      <c r="G167" s="89">
        <f>SUM(G163:G166)</f>
        <v/>
      </c>
      <c r="H167" s="89">
        <f>SUM(H163:H166)</f>
        <v/>
      </c>
      <c r="I167" s="89">
        <f>SUM(I163:I166)</f>
        <v/>
      </c>
      <c r="J167" s="89">
        <f>SUM(J163:J166)</f>
        <v/>
      </c>
      <c r="K167" s="89">
        <f>SUM(K163:K166)</f>
        <v/>
      </c>
      <c r="L167" s="89">
        <f>SUM(L163:L166)</f>
        <v/>
      </c>
      <c r="M167" s="89">
        <f>SUM(M163:M166)</f>
        <v/>
      </c>
      <c r="N167" s="89">
        <f>SUM(N163:N166)</f>
        <v/>
      </c>
      <c r="O167" s="89">
        <f>SUM(O163:O166)</f>
        <v/>
      </c>
      <c r="P167" s="89">
        <f>SUM(P163:P166)</f>
        <v/>
      </c>
      <c r="Q167" s="89">
        <f>SUM(Q163:Q166)</f>
        <v/>
      </c>
    </row>
    <row r="168" s="83">
      <c r="A168" s="5" t="inlineStr">
        <is>
          <t>营业外支出</t>
        </is>
      </c>
      <c r="B168" s="6" t="inlineStr">
        <is>
          <t>营业外支出</t>
        </is>
      </c>
      <c r="C168" s="34" t="inlineStr">
        <is>
          <t>营业外支出</t>
        </is>
      </c>
      <c r="D168" s="5" t="inlineStr">
        <is>
          <t>手续费</t>
        </is>
      </c>
      <c r="E168" s="6" t="inlineStr">
        <is>
          <t>Q3101</t>
        </is>
      </c>
      <c r="F168" s="89">
        <f>-SUMIFS('1月数据源'!$I:$I,'1月数据源'!$D:$D,$E168,'1月数据源'!$F:$F,"SMART LEARNING HOLDING")*F$185+SUMIFS('1月数据源'!$J:$J,'1月数据源'!$D:$D,$E168,'1月数据源'!$F:$F,"SMART LEARNING HOLDING")*F$185</f>
        <v/>
      </c>
      <c r="G168" s="89">
        <f>-SUMIFS('2月数据源'!$I:$I,'2月数据源'!$D:$D,$E168,'2月数据源'!$F:$F,"SMART LEARNING HOLDING")*G$185+SUMIFS('2月数据源'!$J:$J,'2月数据源'!$D:$D,$E168,'2月数据源'!$F:$F,"SMART LEARNING HOLDING")*G$185</f>
        <v/>
      </c>
      <c r="H168" s="89">
        <f>-SUMIFS('3月数据源'!$I:$I,'3月数据源'!$D:$D,$E168,'3月数据源'!$F:$F,"SMART LEARNING HOLDING")*H$185+SUMIFS('3月数据源'!$J:$J,'3月数据源'!$D:$D,$E168,'3月数据源'!$F:$F,"SMART LEARNING HOLDING")*H$185</f>
        <v/>
      </c>
      <c r="I168" s="89">
        <f>-SUMIFS('4月数据源'!$I:$I,'4月数据源'!$D:$D,$E168,'4月数据源'!$F:$F,"SMART LEARNING HOLDING")*I$185+SUMIFS('4月数据源'!$J:$J,'4月数据源'!$D:$D,$E168,'4月数据源'!$F:$F,"SMART LEARNING HOLDING")*I$185</f>
        <v/>
      </c>
      <c r="J168" s="89">
        <f>-SUMIFS('5月数据源'!$I:$I,'5月数据源'!$D:$D,$E168,'5月数据源'!$F:$F,"SMART LEARNING HOLDING")*J$185+SUMIFS('5月数据源'!$J:$J,'5月数据源'!$D:$D,$E168,'5月数据源'!$F:$F,"SMART LEARNING HOLDING")*J$185</f>
        <v/>
      </c>
      <c r="K168" s="89">
        <f>-SUMIFS('6月数据源'!$I:$I,'6月数据源'!$D:$D,$E168,'6月数据源'!$F:$F,"SMART LEARNING HOLDING")*K$185+SUMIFS('6月数据源'!$J:$J,'6月数据源'!$D:$D,$E168,'6月数据源'!$F:$F,"SMART LEARNING HOLDING")*K$185</f>
        <v/>
      </c>
      <c r="L168" s="89">
        <f>-SUMIFS('7月数据源'!$I:$I,'7月数据源'!$D:$D,$E168,'7月数据源'!$F:$F,"SMART LEARNING HOLDING")*L$185+SUMIFS('7月数据源'!$J:$J,'7月数据源'!$D:$D,$E168,'7月数据源'!$F:$F,"SMART LEARNING HOLDING")*L$185</f>
        <v/>
      </c>
      <c r="M168" s="89">
        <f>-SUMIFS('8月数据源'!$I:$I,'8月数据源'!$D:$D,$E168,'8月数据源'!$F:$F,"SMART LEARNING HOLDING")*M$185+SUMIFS('8月数据源'!$J:$J,'8月数据源'!$D:$D,$E168,'8月数据源'!$F:$F,"SMART LEARNING HOLDING")*M$185</f>
        <v/>
      </c>
      <c r="N168" s="89">
        <f>-SUMIFS('9月数据源'!$I:$I,'9月数据源'!$D:$D,$E168,'9月数据源'!$F:$F,"SMART LEARNING HOLDING")*N$185+SUMIFS('9月数据源'!$J:$J,'9月数据源'!$D:$D,$E168,'9月数据源'!$F:$F,"SMART LEARNING HOLDING")*N$185</f>
        <v/>
      </c>
      <c r="O168" s="89">
        <f>-SUMIFS('10月数据源'!$I:$I,'10月数据源'!$D:$D,$E168,'10月数据源'!$F:$F,"SMART LEARNING HOLDING")*O$185+SUMIFS('10月数据源'!$J:$J,'10月数据源'!$D:$D,$E168,'10月数据源'!$F:$F,"SMART LEARNING HOLDING")*O$185</f>
        <v/>
      </c>
      <c r="P168" s="89">
        <f>-SUMIFS('11月数据源'!$I:$I,'11月数据源'!$D:$D,$E168,'11月数据源'!$F:$F,"SMART LEARNING HOLDING")*P$185+SUMIFS('11月数据源'!$J:$J,'11月数据源'!$D:$D,$E168,'11月数据源'!$F:$F,"SMART LEARNING HOLDING")*P$185</f>
        <v/>
      </c>
      <c r="Q168" s="89">
        <f>-SUMIFS('12月数据源'!$I:$I,'12月数据源'!$D:$D,$E168,'12月数据源'!$F:$F,"SMART LEARNING HOLDING")*Q$185+SUMIFS('12月数据源'!$J:$J,'12月数据源'!$D:$D,$E168,'12月数据源'!$F:$F,"SMART LEARNING HOLDING")*Q$185</f>
        <v/>
      </c>
    </row>
    <row r="169" s="83">
      <c r="A169" s="5" t="inlineStr">
        <is>
          <t>营业外支出</t>
        </is>
      </c>
      <c r="B169" s="6" t="inlineStr">
        <is>
          <t>营业外支出</t>
        </is>
      </c>
      <c r="D169" s="5" t="inlineStr">
        <is>
          <t>罚款支出</t>
        </is>
      </c>
      <c r="E169" s="6" t="inlineStr">
        <is>
          <t>Q3102</t>
        </is>
      </c>
      <c r="F169" s="89">
        <f>-SUMIFS('1月数据源'!$I:$I,'1月数据源'!$D:$D,$E169,'1月数据源'!$F:$F,"SMART LEARNING HOLDING")*F$185+SUMIFS('1月数据源'!$J:$J,'1月数据源'!$D:$D,$E169,'1月数据源'!$F:$F,"SMART LEARNING HOLDING")*F$185</f>
        <v/>
      </c>
      <c r="G169" s="89">
        <f>-SUMIFS('2月数据源'!$I:$I,'2月数据源'!$D:$D,$E169,'2月数据源'!$F:$F,"SMART LEARNING HOLDING")*G$185+SUMIFS('2月数据源'!$J:$J,'2月数据源'!$D:$D,$E169,'2月数据源'!$F:$F,"SMART LEARNING HOLDING")*G$185</f>
        <v/>
      </c>
      <c r="H169" s="89">
        <f>-SUMIFS('3月数据源'!$I:$I,'3月数据源'!$D:$D,$E169,'3月数据源'!$F:$F,"SMART LEARNING HOLDING")*H$185+SUMIFS('3月数据源'!$J:$J,'3月数据源'!$D:$D,$E169,'3月数据源'!$F:$F,"SMART LEARNING HOLDING")*H$185</f>
        <v/>
      </c>
      <c r="I169" s="89">
        <f>-SUMIFS('4月数据源'!$I:$I,'4月数据源'!$D:$D,$E169,'4月数据源'!$F:$F,"SMART LEARNING HOLDING")*I$185+SUMIFS('4月数据源'!$J:$J,'4月数据源'!$D:$D,$E169,'4月数据源'!$F:$F,"SMART LEARNING HOLDING")*I$185</f>
        <v/>
      </c>
      <c r="J169" s="89">
        <f>-SUMIFS('5月数据源'!$I:$I,'5月数据源'!$D:$D,$E169,'5月数据源'!$F:$F,"SMART LEARNING HOLDING")*J$185+SUMIFS('5月数据源'!$J:$J,'5月数据源'!$D:$D,$E169,'5月数据源'!$F:$F,"SMART LEARNING HOLDING")*J$185</f>
        <v/>
      </c>
      <c r="K169" s="89">
        <f>-SUMIFS('6月数据源'!$I:$I,'6月数据源'!$D:$D,$E169,'6月数据源'!$F:$F,"SMART LEARNING HOLDING")*K$185+SUMIFS('6月数据源'!$J:$J,'6月数据源'!$D:$D,$E169,'6月数据源'!$F:$F,"SMART LEARNING HOLDING")*K$185</f>
        <v/>
      </c>
      <c r="L169" s="89">
        <f>-SUMIFS('7月数据源'!$I:$I,'7月数据源'!$D:$D,$E169,'7月数据源'!$F:$F,"SMART LEARNING HOLDING")*L$185+SUMIFS('7月数据源'!$J:$J,'7月数据源'!$D:$D,$E169,'7月数据源'!$F:$F,"SMART LEARNING HOLDING")*L$185</f>
        <v/>
      </c>
      <c r="M169" s="89">
        <f>-SUMIFS('8月数据源'!$I:$I,'8月数据源'!$D:$D,$E169,'8月数据源'!$F:$F,"SMART LEARNING HOLDING")*M$185+SUMIFS('8月数据源'!$J:$J,'8月数据源'!$D:$D,$E169,'8月数据源'!$F:$F,"SMART LEARNING HOLDING")*M$185</f>
        <v/>
      </c>
      <c r="N169" s="89">
        <f>-SUMIFS('9月数据源'!$I:$I,'9月数据源'!$D:$D,$E169,'9月数据源'!$F:$F,"SMART LEARNING HOLDING")*N$185+SUMIFS('9月数据源'!$J:$J,'9月数据源'!$D:$D,$E169,'9月数据源'!$F:$F,"SMART LEARNING HOLDING")*N$185</f>
        <v/>
      </c>
      <c r="O169" s="89">
        <f>-SUMIFS('10月数据源'!$I:$I,'10月数据源'!$D:$D,$E169,'10月数据源'!$F:$F,"SMART LEARNING HOLDING")*O$185+SUMIFS('10月数据源'!$J:$J,'10月数据源'!$D:$D,$E169,'10月数据源'!$F:$F,"SMART LEARNING HOLDING")*O$185</f>
        <v/>
      </c>
      <c r="P169" s="89">
        <f>-SUMIFS('11月数据源'!$I:$I,'11月数据源'!$D:$D,$E169,'11月数据源'!$F:$F,"SMART LEARNING HOLDING")*P$185+SUMIFS('11月数据源'!$J:$J,'11月数据源'!$D:$D,$E169,'11月数据源'!$F:$F,"SMART LEARNING HOLDING")*P$185</f>
        <v/>
      </c>
      <c r="Q169" s="89">
        <f>-SUMIFS('12月数据源'!$I:$I,'12月数据源'!$D:$D,$E169,'12月数据源'!$F:$F,"SMART LEARNING HOLDING")*Q$185+SUMIFS('12月数据源'!$J:$J,'12月数据源'!$D:$D,$E169,'12月数据源'!$F:$F,"SMART LEARNING HOLDING")*Q$185</f>
        <v/>
      </c>
    </row>
    <row r="170" s="83">
      <c r="A170" s="5" t="inlineStr">
        <is>
          <t>营业外支出</t>
        </is>
      </c>
      <c r="B170" s="6" t="inlineStr">
        <is>
          <t>营业外支出</t>
        </is>
      </c>
      <c r="D170" s="5" t="inlineStr">
        <is>
          <t>违约金支出</t>
        </is>
      </c>
      <c r="E170" s="6" t="inlineStr">
        <is>
          <t>Q3104</t>
        </is>
      </c>
      <c r="F170" s="89">
        <f>-SUMIFS('1月数据源'!$I:$I,'1月数据源'!$D:$D,$E170,'1月数据源'!$F:$F,"SMART LEARNING HOLDING")*F$185+SUMIFS('1月数据源'!$J:$J,'1月数据源'!$D:$D,$E170,'1月数据源'!$F:$F,"SMART LEARNING HOLDING")*F$185</f>
        <v/>
      </c>
      <c r="G170" s="89">
        <f>-SUMIFS('2月数据源'!$I:$I,'2月数据源'!$D:$D,$E170,'2月数据源'!$F:$F,"SMART LEARNING HOLDING")*G$185+SUMIFS('2月数据源'!$J:$J,'2月数据源'!$D:$D,$E170,'2月数据源'!$F:$F,"SMART LEARNING HOLDING")*G$185</f>
        <v/>
      </c>
      <c r="H170" s="89">
        <f>-SUMIFS('3月数据源'!$I:$I,'3月数据源'!$D:$D,$E170,'3月数据源'!$F:$F,"SMART LEARNING HOLDING")*H$185+SUMIFS('3月数据源'!$J:$J,'3月数据源'!$D:$D,$E170,'3月数据源'!$F:$F,"SMART LEARNING HOLDING")*H$185</f>
        <v/>
      </c>
      <c r="I170" s="89">
        <f>-SUMIFS('4月数据源'!$I:$I,'4月数据源'!$D:$D,$E170,'4月数据源'!$F:$F,"SMART LEARNING HOLDING")*I$185+SUMIFS('4月数据源'!$J:$J,'4月数据源'!$D:$D,$E170,'4月数据源'!$F:$F,"SMART LEARNING HOLDING")*I$185</f>
        <v/>
      </c>
      <c r="J170" s="89">
        <f>-SUMIFS('5月数据源'!$I:$I,'5月数据源'!$D:$D,$E170,'5月数据源'!$F:$F,"SMART LEARNING HOLDING")*J$185+SUMIFS('5月数据源'!$J:$J,'5月数据源'!$D:$D,$E170,'5月数据源'!$F:$F,"SMART LEARNING HOLDING")*J$185</f>
        <v/>
      </c>
      <c r="K170" s="89">
        <f>-SUMIFS('6月数据源'!$I:$I,'6月数据源'!$D:$D,$E170,'6月数据源'!$F:$F,"SMART LEARNING HOLDING")*K$185+SUMIFS('6月数据源'!$J:$J,'6月数据源'!$D:$D,$E170,'6月数据源'!$F:$F,"SMART LEARNING HOLDING")*K$185</f>
        <v/>
      </c>
      <c r="L170" s="89">
        <f>-SUMIFS('7月数据源'!$I:$I,'7月数据源'!$D:$D,$E170,'7月数据源'!$F:$F,"SMART LEARNING HOLDING")*L$185+SUMIFS('7月数据源'!$J:$J,'7月数据源'!$D:$D,$E170,'7月数据源'!$F:$F,"SMART LEARNING HOLDING")*L$185</f>
        <v/>
      </c>
      <c r="M170" s="89">
        <f>-SUMIFS('8月数据源'!$I:$I,'8月数据源'!$D:$D,$E170,'8月数据源'!$F:$F,"SMART LEARNING HOLDING")*M$185+SUMIFS('8月数据源'!$J:$J,'8月数据源'!$D:$D,$E170,'8月数据源'!$F:$F,"SMART LEARNING HOLDING")*M$185</f>
        <v/>
      </c>
      <c r="N170" s="89">
        <f>-SUMIFS('9月数据源'!$I:$I,'9月数据源'!$D:$D,$E170,'9月数据源'!$F:$F,"SMART LEARNING HOLDING")*N$185+SUMIFS('9月数据源'!$J:$J,'9月数据源'!$D:$D,$E170,'9月数据源'!$F:$F,"SMART LEARNING HOLDING")*N$185</f>
        <v/>
      </c>
      <c r="O170" s="89">
        <f>-SUMIFS('10月数据源'!$I:$I,'10月数据源'!$D:$D,$E170,'10月数据源'!$F:$F,"SMART LEARNING HOLDING")*O$185+SUMIFS('10月数据源'!$J:$J,'10月数据源'!$D:$D,$E170,'10月数据源'!$F:$F,"SMART LEARNING HOLDING")*O$185</f>
        <v/>
      </c>
      <c r="P170" s="89">
        <f>-SUMIFS('11月数据源'!$I:$I,'11月数据源'!$D:$D,$E170,'11月数据源'!$F:$F,"SMART LEARNING HOLDING")*P$185+SUMIFS('11月数据源'!$J:$J,'11月数据源'!$D:$D,$E170,'11月数据源'!$F:$F,"SMART LEARNING HOLDING")*P$185</f>
        <v/>
      </c>
      <c r="Q170" s="89">
        <f>-SUMIFS('12月数据源'!$I:$I,'12月数据源'!$D:$D,$E170,'12月数据源'!$F:$F,"SMART LEARNING HOLDING")*Q$185+SUMIFS('12月数据源'!$J:$J,'12月数据源'!$D:$D,$E170,'12月数据源'!$F:$F,"SMART LEARNING HOLDING")*Q$185</f>
        <v/>
      </c>
    </row>
    <row r="171" s="83">
      <c r="A171" s="5" t="inlineStr">
        <is>
          <t>营业外支出</t>
        </is>
      </c>
      <c r="B171" s="6" t="inlineStr">
        <is>
          <t>营业外支出</t>
        </is>
      </c>
      <c r="D171" s="5" t="inlineStr">
        <is>
          <t>滞纳金支出</t>
        </is>
      </c>
      <c r="E171" s="6" t="inlineStr">
        <is>
          <t>Q3103</t>
        </is>
      </c>
      <c r="F171" s="89">
        <f>-SUMIFS('1月数据源'!$I:$I,'1月数据源'!$D:$D,$E171,'1月数据源'!$F:$F,"SMART LEARNING HOLDING")*F$185+SUMIFS('1月数据源'!$J:$J,'1月数据源'!$D:$D,$E171,'1月数据源'!$F:$F,"SMART LEARNING HOLDING")*F$185</f>
        <v/>
      </c>
      <c r="G171" s="89">
        <f>-SUMIFS('2月数据源'!$I:$I,'2月数据源'!$D:$D,$E171,'2月数据源'!$F:$F,"SMART LEARNING HOLDING")*G$185+SUMIFS('2月数据源'!$J:$J,'2月数据源'!$D:$D,$E171,'2月数据源'!$F:$F,"SMART LEARNING HOLDING")*G$185</f>
        <v/>
      </c>
      <c r="H171" s="89">
        <f>-SUMIFS('3月数据源'!$I:$I,'3月数据源'!$D:$D,$E171,'3月数据源'!$F:$F,"SMART LEARNING HOLDING")*H$185+SUMIFS('3月数据源'!$J:$J,'3月数据源'!$D:$D,$E171,'3月数据源'!$F:$F,"SMART LEARNING HOLDING")*H$185</f>
        <v/>
      </c>
      <c r="I171" s="89">
        <f>-SUMIFS('4月数据源'!$I:$I,'4月数据源'!$D:$D,$E171,'4月数据源'!$F:$F,"SMART LEARNING HOLDING")*I$185+SUMIFS('4月数据源'!$J:$J,'4月数据源'!$D:$D,$E171,'4月数据源'!$F:$F,"SMART LEARNING HOLDING")*I$185</f>
        <v/>
      </c>
      <c r="J171" s="89">
        <f>-SUMIFS('5月数据源'!$I:$I,'5月数据源'!$D:$D,$E171,'5月数据源'!$F:$F,"SMART LEARNING HOLDING")*J$185+SUMIFS('5月数据源'!$J:$J,'5月数据源'!$D:$D,$E171,'5月数据源'!$F:$F,"SMART LEARNING HOLDING")*J$185</f>
        <v/>
      </c>
      <c r="K171" s="89">
        <f>-SUMIFS('6月数据源'!$I:$I,'6月数据源'!$D:$D,$E171,'6月数据源'!$F:$F,"SMART LEARNING HOLDING")*K$185+SUMIFS('6月数据源'!$J:$J,'6月数据源'!$D:$D,$E171,'6月数据源'!$F:$F,"SMART LEARNING HOLDING")*K$185</f>
        <v/>
      </c>
      <c r="L171" s="89">
        <f>-SUMIFS('7月数据源'!$I:$I,'7月数据源'!$D:$D,$E171,'7月数据源'!$F:$F,"SMART LEARNING HOLDING")*L$185+SUMIFS('7月数据源'!$J:$J,'7月数据源'!$D:$D,$E171,'7月数据源'!$F:$F,"SMART LEARNING HOLDING")*L$185</f>
        <v/>
      </c>
      <c r="M171" s="89">
        <f>-SUMIFS('8月数据源'!$I:$I,'8月数据源'!$D:$D,$E171,'8月数据源'!$F:$F,"SMART LEARNING HOLDING")*M$185+SUMIFS('8月数据源'!$J:$J,'8月数据源'!$D:$D,$E171,'8月数据源'!$F:$F,"SMART LEARNING HOLDING")*M$185</f>
        <v/>
      </c>
      <c r="N171" s="89">
        <f>-SUMIFS('9月数据源'!$I:$I,'9月数据源'!$D:$D,$E171,'9月数据源'!$F:$F,"SMART LEARNING HOLDING")*N$185+SUMIFS('9月数据源'!$J:$J,'9月数据源'!$D:$D,$E171,'9月数据源'!$F:$F,"SMART LEARNING HOLDING")*N$185</f>
        <v/>
      </c>
      <c r="O171" s="89">
        <f>-SUMIFS('10月数据源'!$I:$I,'10月数据源'!$D:$D,$E171,'10月数据源'!$F:$F,"SMART LEARNING HOLDING")*O$185+SUMIFS('10月数据源'!$J:$J,'10月数据源'!$D:$D,$E171,'10月数据源'!$F:$F,"SMART LEARNING HOLDING")*O$185</f>
        <v/>
      </c>
      <c r="P171" s="89">
        <f>-SUMIFS('11月数据源'!$I:$I,'11月数据源'!$D:$D,$E171,'11月数据源'!$F:$F,"SMART LEARNING HOLDING")*P$185+SUMIFS('11月数据源'!$J:$J,'11月数据源'!$D:$D,$E171,'11月数据源'!$F:$F,"SMART LEARNING HOLDING")*P$185</f>
        <v/>
      </c>
      <c r="Q171" s="89">
        <f>-SUMIFS('12月数据源'!$I:$I,'12月数据源'!$D:$D,$E171,'12月数据源'!$F:$F,"SMART LEARNING HOLDING")*Q$185+SUMIFS('12月数据源'!$J:$J,'12月数据源'!$D:$D,$E171,'12月数据源'!$F:$F,"SMART LEARNING HOLDING")*Q$185</f>
        <v/>
      </c>
    </row>
    <row r="172" s="83">
      <c r="A172" s="5" t="inlineStr">
        <is>
          <t>营业外支出</t>
        </is>
      </c>
      <c r="B172" s="6" t="inlineStr">
        <is>
          <t>营业外支出</t>
        </is>
      </c>
      <c r="D172" s="5" t="inlineStr">
        <is>
          <t>汇兑损益</t>
        </is>
      </c>
      <c r="E172" s="6" t="inlineStr">
        <is>
          <t>Q3105</t>
        </is>
      </c>
      <c r="F172" s="89" t="n">
        <v>-5803.16</v>
      </c>
      <c r="G172" s="89" t="n">
        <v>5365.19</v>
      </c>
      <c r="H172" s="89" t="n">
        <v>3423.6</v>
      </c>
      <c r="I172" s="89" t="n">
        <v>225345.09</v>
      </c>
      <c r="J172" s="89" t="n">
        <v>150163.69</v>
      </c>
      <c r="K172" s="89" t="n">
        <v>48920.48</v>
      </c>
      <c r="L172" s="89" t="n"/>
      <c r="M172" s="89" t="n"/>
      <c r="N172" s="89" t="n"/>
      <c r="O172" s="89" t="n"/>
      <c r="P172" s="89" t="n"/>
      <c r="Q172" s="89" t="n"/>
    </row>
    <row r="173" s="83">
      <c r="A173" s="49" t="inlineStr">
        <is>
          <t>营业外支出合计</t>
        </is>
      </c>
      <c r="B173" s="50" t="n"/>
      <c r="C173" s="50" t="n"/>
      <c r="D173" s="49" t="n"/>
      <c r="E173" s="49" t="n"/>
      <c r="F173" s="89">
        <f>SUM(F168:F172)</f>
        <v/>
      </c>
      <c r="G173" s="89">
        <f>SUM(G168:G172)</f>
        <v/>
      </c>
      <c r="H173" s="89">
        <f>SUM(H168:H172)</f>
        <v/>
      </c>
      <c r="I173" s="89">
        <f>SUM(I168:I172)</f>
        <v/>
      </c>
      <c r="J173" s="89">
        <f>SUM(J168:J172)</f>
        <v/>
      </c>
      <c r="K173" s="89">
        <f>SUM(K168:K172)</f>
        <v/>
      </c>
      <c r="L173" s="89">
        <f>SUM(L168:L172)</f>
        <v/>
      </c>
      <c r="M173" s="89">
        <f>SUM(M168:M172)</f>
        <v/>
      </c>
      <c r="N173" s="89">
        <f>SUM(N168:N172)</f>
        <v/>
      </c>
      <c r="O173" s="89">
        <f>SUM(O168:O172)</f>
        <v/>
      </c>
      <c r="P173" s="89">
        <f>SUM(P168:P172)</f>
        <v/>
      </c>
      <c r="Q173" s="89">
        <f>SUM(Q168:Q172)</f>
        <v/>
      </c>
    </row>
    <row r="174" s="83">
      <c r="A174" s="5" t="inlineStr">
        <is>
          <t>理财收支</t>
        </is>
      </c>
      <c r="B174" s="6" t="inlineStr">
        <is>
          <t>理财收支</t>
        </is>
      </c>
      <c r="C174" s="6" t="inlineStr">
        <is>
          <t>理财支出</t>
        </is>
      </c>
      <c r="D174" s="5" t="inlineStr">
        <is>
          <t>理财收支</t>
        </is>
      </c>
      <c r="E174" s="6" t="inlineStr">
        <is>
          <t>Q3301</t>
        </is>
      </c>
      <c r="F174" s="89">
        <f>-SUMIFS('1月数据源'!$I:$I,'1月数据源'!$D:$D,$E174,'1月数据源'!$F:$F,"SMART LEARNING HOLDING")*F$185+SUMIFS('1月数据源'!$J:$J,'1月数据源'!$D:$D,$E174,'1月数据源'!$F:$F,"SMART LEARNING HOLDING")*F$185</f>
        <v/>
      </c>
      <c r="G174" s="89">
        <f>-SUMIFS('2月数据源'!$I:$I,'2月数据源'!$D:$D,$E174,'2月数据源'!$F:$F,"SMART LEARNING HOLDING")*G$185+SUMIFS('2月数据源'!$J:$J,'2月数据源'!$D:$D,$E174,'2月数据源'!$F:$F,"SMART LEARNING HOLDING")*G$185</f>
        <v/>
      </c>
      <c r="H174" s="89">
        <f>-SUMIFS('3月数据源'!$I:$I,'3月数据源'!$D:$D,$E174,'3月数据源'!$F:$F,"SMART LEARNING HOLDING")*H$185+SUMIFS('3月数据源'!$J:$J,'3月数据源'!$D:$D,$E174,'3月数据源'!$F:$F,"SMART LEARNING HOLDING")*H$185</f>
        <v/>
      </c>
      <c r="I174" s="89">
        <f>-SUMIFS('4月数据源'!$I:$I,'4月数据源'!$D:$D,$E174,'4月数据源'!$F:$F,"SMART LEARNING HOLDING")*I$185+SUMIFS('4月数据源'!$J:$J,'4月数据源'!$D:$D,$E174,'4月数据源'!$F:$F,"SMART LEARNING HOLDING")*I$185</f>
        <v/>
      </c>
      <c r="J174" s="89">
        <f>-SUMIFS('5月数据源'!$I:$I,'5月数据源'!$D:$D,$E174,'5月数据源'!$F:$F,"SMART LEARNING HOLDING")*J$185+SUMIFS('5月数据源'!$J:$J,'5月数据源'!$D:$D,$E174,'5月数据源'!$F:$F,"SMART LEARNING HOLDING")*J$185</f>
        <v/>
      </c>
      <c r="K174" s="89">
        <f>-SUMIFS('6月数据源'!$I:$I,'6月数据源'!$D:$D,$E174,'6月数据源'!$F:$F,"SMART LEARNING HOLDING")*K$185+SUMIFS('6月数据源'!$J:$J,'6月数据源'!$D:$D,$E174,'6月数据源'!$F:$F,"SMART LEARNING HOLDING")*K$185</f>
        <v/>
      </c>
      <c r="L174" s="89">
        <f>-SUMIFS('7月数据源'!$I:$I,'7月数据源'!$D:$D,$E174,'7月数据源'!$F:$F,"SMART LEARNING HOLDING")*L$185+SUMIFS('7月数据源'!$J:$J,'7月数据源'!$D:$D,$E174,'7月数据源'!$F:$F,"SMART LEARNING HOLDING")*L$185</f>
        <v/>
      </c>
      <c r="M174" s="89">
        <f>-SUMIFS('8月数据源'!$I:$I,'8月数据源'!$D:$D,$E174,'8月数据源'!$F:$F,"SMART LEARNING HOLDING")*M$185+SUMIFS('8月数据源'!$J:$J,'8月数据源'!$D:$D,$E174,'8月数据源'!$F:$F,"SMART LEARNING HOLDING")*M$185</f>
        <v/>
      </c>
      <c r="N174" s="89">
        <f>-SUMIFS('9月数据源'!$I:$I,'9月数据源'!$D:$D,$E174,'9月数据源'!$F:$F,"SMART LEARNING HOLDING")*N$185+SUMIFS('9月数据源'!$J:$J,'9月数据源'!$D:$D,$E174,'9月数据源'!$F:$F,"SMART LEARNING HOLDING")*N$185</f>
        <v/>
      </c>
      <c r="O174" s="89">
        <f>-SUMIFS('10月数据源'!$I:$I,'10月数据源'!$D:$D,$E174,'10月数据源'!$F:$F,"SMART LEARNING HOLDING")*O$185+SUMIFS('10月数据源'!$J:$J,'10月数据源'!$D:$D,$E174,'10月数据源'!$F:$F,"SMART LEARNING HOLDING")*O$185</f>
        <v/>
      </c>
      <c r="P174" s="89">
        <f>-SUMIFS('11月数据源'!$I:$I,'11月数据源'!$D:$D,$E174,'11月数据源'!$F:$F,"SMART LEARNING HOLDING")*P$185+SUMIFS('11月数据源'!$J:$J,'11月数据源'!$D:$D,$E174,'11月数据源'!$F:$F,"SMART LEARNING HOLDING")*P$185</f>
        <v/>
      </c>
      <c r="Q174" s="89">
        <f>-SUMIFS('12月数据源'!$I:$I,'12月数据源'!$D:$D,$E174,'12月数据源'!$F:$F,"SMART LEARNING HOLDING")*Q$185+SUMIFS('12月数据源'!$J:$J,'12月数据源'!$D:$D,$E174,'12月数据源'!$F:$F,"SMART LEARNING HOLDING")*Q$185</f>
        <v/>
      </c>
    </row>
    <row r="175" s="83">
      <c r="A175" s="49" t="inlineStr">
        <is>
          <t>理财收支合计</t>
        </is>
      </c>
      <c r="B175" s="50" t="n"/>
      <c r="C175" s="50" t="n"/>
      <c r="D175" s="49" t="n"/>
      <c r="E175" s="49" t="n"/>
      <c r="F175" s="89">
        <f>SUM(F174:F174)</f>
        <v/>
      </c>
      <c r="G175" s="89">
        <f>SUM(G174:G174)</f>
        <v/>
      </c>
      <c r="H175" s="89">
        <f>SUM(H174:H174)</f>
        <v/>
      </c>
      <c r="I175" s="89">
        <f>SUM(I174:I174)</f>
        <v/>
      </c>
      <c r="J175" s="89">
        <f>SUM(J174:J174)</f>
        <v/>
      </c>
      <c r="K175" s="89">
        <f>SUM(K174:K174)</f>
        <v/>
      </c>
      <c r="L175" s="89">
        <f>SUM(L174:L174)</f>
        <v/>
      </c>
      <c r="M175" s="89">
        <f>SUM(M174:M174)</f>
        <v/>
      </c>
      <c r="N175" s="89">
        <f>SUM(N174:N174)</f>
        <v/>
      </c>
      <c r="O175" s="89">
        <f>SUM(O174:O174)</f>
        <v/>
      </c>
      <c r="P175" s="89">
        <f>SUM(P174:P174)</f>
        <v/>
      </c>
      <c r="Q175" s="89">
        <f>SUM(Q174:Q174)</f>
        <v/>
      </c>
    </row>
    <row r="176" s="83">
      <c r="A176" s="51" t="inlineStr">
        <is>
          <t>付款合计</t>
        </is>
      </c>
      <c r="B176" s="52" t="n"/>
      <c r="C176" s="52" t="n"/>
      <c r="D176" s="51" t="n"/>
      <c r="E176" s="51" t="n"/>
      <c r="F176" s="89">
        <f>ROUND(F22+F24+F35+F50+F63+F98+F137+F162+F167+F173+F175,2)</f>
        <v/>
      </c>
      <c r="G176" s="89">
        <f>ROUND(G22+G24+G35+G50+G63+G98+G137+G162+G167+G173+G175,2)</f>
        <v/>
      </c>
      <c r="H176" s="89">
        <f>ROUND(H22+H24+H35+H50+H63+H98+H137+H162+H167+H173+H175,2)</f>
        <v/>
      </c>
      <c r="I176" s="89">
        <f>ROUND(I22+I24+I35+I50+I63+I98+I137+I162+I167+I173+I175,2)</f>
        <v/>
      </c>
      <c r="J176" s="89">
        <f>ROUND(J22+J24+J35+J50+J63+J98+J137+J162+J167+J173+J175,2)</f>
        <v/>
      </c>
      <c r="K176" s="89">
        <f>ROUND(K22+K24+K35+K50+K63+K98+K137+K162+K167+K173+K175,2)</f>
        <v/>
      </c>
      <c r="L176" s="89">
        <f>ROUND(L22+L24+L35+L50+L63+L98+L137+L162+L167+L173+L175,2)</f>
        <v/>
      </c>
      <c r="M176" s="89">
        <f>ROUND(M22+M24+M35+M50+M63+M98+M137+M162+M167+M173+M175,2)</f>
        <v/>
      </c>
      <c r="N176" s="89">
        <f>ROUND(N22+N24+N35+N50+N63+N98+N137+N162+N167+N173+N175,2)</f>
        <v/>
      </c>
      <c r="O176" s="89">
        <f>ROUND(O22+O24+O35+O50+O63+O98+O137+O162+O167+O173+O175,2)</f>
        <v/>
      </c>
      <c r="P176" s="89">
        <f>ROUND(P22+P24+P35+P50+P63+P98+P137+P162+P167+P173+P175,2)</f>
        <v/>
      </c>
      <c r="Q176" s="89">
        <f>ROUND(Q22+Q24+Q35+Q50+Q63+Q98+Q137+Q162+Q167+Q173+Q175,2)</f>
        <v/>
      </c>
    </row>
    <row r="177" s="83">
      <c r="A177" s="51" t="inlineStr">
        <is>
          <t>现金净流入</t>
        </is>
      </c>
      <c r="B177" s="54" t="n"/>
      <c r="C177" s="54" t="n"/>
      <c r="D177" s="51" t="n"/>
      <c r="E177" s="51" t="n"/>
      <c r="F177" s="89">
        <f>ROUND(F19-F176,2)</f>
        <v/>
      </c>
      <c r="G177" s="89">
        <f>ROUND(G19-G176,2)</f>
        <v/>
      </c>
      <c r="H177" s="89">
        <f>ROUND(H19-H176,2)</f>
        <v/>
      </c>
      <c r="I177" s="89">
        <f>ROUND(I19-I176,2)</f>
        <v/>
      </c>
      <c r="J177" s="89">
        <f>ROUND(J19-J176,2)</f>
        <v/>
      </c>
      <c r="K177" s="89">
        <f>ROUND(K19-K176,2)</f>
        <v/>
      </c>
      <c r="L177" s="89">
        <f>ROUND(L19-L176,2)</f>
        <v/>
      </c>
      <c r="M177" s="89">
        <f>ROUND(M19-M176,2)</f>
        <v/>
      </c>
      <c r="N177" s="89">
        <f>ROUND(N19-N176,2)</f>
        <v/>
      </c>
      <c r="O177" s="89">
        <f>ROUND(O19-O176,2)</f>
        <v/>
      </c>
      <c r="P177" s="89">
        <f>ROUND(P19-P176,2)</f>
        <v/>
      </c>
      <c r="Q177" s="89">
        <f>ROUND(Q19-Q176,2)</f>
        <v/>
      </c>
    </row>
    <row r="178" s="83">
      <c r="A178" s="51" t="inlineStr">
        <is>
          <t>现金期初数</t>
        </is>
      </c>
      <c r="B178" s="54" t="n"/>
      <c r="C178" s="54" t="n"/>
      <c r="D178" s="51" t="n"/>
      <c r="E178" s="51" t="n"/>
      <c r="F178" s="89" t="n">
        <v>34917151.78</v>
      </c>
      <c r="G178" s="89">
        <f>F179</f>
        <v/>
      </c>
      <c r="H178" s="89">
        <f>G179</f>
        <v/>
      </c>
      <c r="I178" s="89">
        <f>H179</f>
        <v/>
      </c>
      <c r="J178" s="89">
        <f>I179</f>
        <v/>
      </c>
      <c r="K178" s="89">
        <f>J179</f>
        <v/>
      </c>
      <c r="L178" s="89">
        <f>K179</f>
        <v/>
      </c>
      <c r="M178" s="89">
        <f>L179</f>
        <v/>
      </c>
      <c r="N178" s="89">
        <f>M179</f>
        <v/>
      </c>
      <c r="O178" s="89">
        <f>N179</f>
        <v/>
      </c>
      <c r="P178" s="89">
        <f>O179</f>
        <v/>
      </c>
      <c r="Q178" s="89">
        <f>P179</f>
        <v/>
      </c>
    </row>
    <row r="179" s="83">
      <c r="A179" s="51" t="inlineStr">
        <is>
          <t>现金期末数</t>
        </is>
      </c>
      <c r="B179" s="54" t="n"/>
      <c r="C179" s="54" t="n"/>
      <c r="D179" s="51" t="n"/>
      <c r="E179" s="51" t="n"/>
      <c r="F179" s="89">
        <f>ROUND(F178+F177,2)</f>
        <v/>
      </c>
      <c r="G179" s="89">
        <f>ROUND(G178+G177,2)</f>
        <v/>
      </c>
      <c r="H179" s="89">
        <f>ROUND(H178+H177,2)</f>
        <v/>
      </c>
      <c r="I179" s="89">
        <f>ROUND(I178+I177,2)</f>
        <v/>
      </c>
      <c r="J179" s="89">
        <f>ROUND(J178+J177,2)</f>
        <v/>
      </c>
      <c r="K179" s="89">
        <f>ROUND(K178+K177,2)</f>
        <v/>
      </c>
      <c r="L179" s="89">
        <f>ROUND(L178+L177,2)</f>
        <v/>
      </c>
      <c r="M179" s="89">
        <f>ROUND(M178+M177,2)</f>
        <v/>
      </c>
      <c r="N179" s="89">
        <f>ROUND(N178+N177,2)</f>
        <v/>
      </c>
      <c r="O179" s="89">
        <f>ROUND(O178+O177,2)</f>
        <v/>
      </c>
      <c r="P179" s="89">
        <f>ROUND(P178+P177,2)</f>
        <v/>
      </c>
      <c r="Q179" s="89">
        <f>ROUND(Q178+Q177,2)</f>
        <v/>
      </c>
    </row>
    <row r="180" s="83">
      <c r="A180" s="51" t="inlineStr">
        <is>
          <t>报表期末数</t>
        </is>
      </c>
      <c r="B180" s="54" t="n"/>
      <c r="C180" s="54" t="n"/>
      <c r="D180" s="51" t="n"/>
      <c r="E180" s="51" t="n"/>
      <c r="F180" s="89">
        <f>ROUND(4880126.8*F185,2)</f>
        <v/>
      </c>
      <c r="G180" s="89">
        <f>ROUND(4882262.99*G185,2)</f>
        <v/>
      </c>
      <c r="H180" s="89">
        <f>ROUND(4879359.07*H185,2)</f>
        <v/>
      </c>
      <c r="I180" s="89">
        <f>ROUND(3334421.32*I185,2)</f>
        <v/>
      </c>
      <c r="J180" s="89">
        <f>ROUND(1322079.66*J185,2)</f>
        <v/>
      </c>
      <c r="K180" s="89">
        <f>ROUND(117552.65*K185,2)</f>
        <v/>
      </c>
      <c r="L180" s="89" t="n"/>
      <c r="M180" s="89" t="n"/>
      <c r="N180" s="89" t="n"/>
      <c r="O180" s="89" t="n"/>
      <c r="P180" s="89" t="n"/>
      <c r="Q180" s="89" t="n"/>
    </row>
    <row r="181" s="83">
      <c r="A181" s="51" t="inlineStr">
        <is>
          <t>check</t>
        </is>
      </c>
      <c r="B181" s="54" t="n"/>
      <c r="C181" s="54" t="n"/>
      <c r="D181" s="51" t="n"/>
      <c r="E181" s="51" t="n"/>
      <c r="F181" s="89">
        <f>F180-F179</f>
        <v/>
      </c>
      <c r="G181" s="89">
        <f>G180-G179</f>
        <v/>
      </c>
      <c r="H181" s="89">
        <f>H180-H179</f>
        <v/>
      </c>
      <c r="I181" s="89">
        <f>I180-I179</f>
        <v/>
      </c>
      <c r="J181" s="89">
        <f>J180-J179</f>
        <v/>
      </c>
      <c r="K181" s="89">
        <f>K180-K179</f>
        <v/>
      </c>
      <c r="L181" s="89">
        <f>L180-L179</f>
        <v/>
      </c>
      <c r="M181" s="89">
        <f>M180-M179</f>
        <v/>
      </c>
      <c r="N181" s="89">
        <f>N180-N179</f>
        <v/>
      </c>
      <c r="O181" s="89">
        <f>O180-O179</f>
        <v/>
      </c>
      <c r="P181" s="89">
        <f>P180-P179</f>
        <v/>
      </c>
      <c r="Q181" s="89">
        <f>Q180-Q179</f>
        <v/>
      </c>
    </row>
    <row r="183" s="83">
      <c r="F183" s="92" t="n"/>
      <c r="G183" s="93" t="n"/>
      <c r="H183" s="93" t="n"/>
    </row>
    <row r="184" s="83">
      <c r="F184" s="92" t="n"/>
      <c r="G184" s="93" t="n"/>
      <c r="H184" s="93" t="n"/>
      <c r="I184" s="93" t="n"/>
    </row>
    <row r="185" s="83">
      <c r="E185" s="5" t="inlineStr">
        <is>
          <t>本期末汇率-美元</t>
        </is>
      </c>
      <c r="F185" s="92" t="n">
        <v>7.1698</v>
      </c>
      <c r="G185" s="93" t="n">
        <v>7.1738</v>
      </c>
      <c r="H185" s="93" t="n">
        <v>7.1782</v>
      </c>
      <c r="I185" s="93" t="n">
        <v>7.2014</v>
      </c>
      <c r="J185" s="93" t="n">
        <v>7.1848</v>
      </c>
      <c r="K185" s="93" t="n">
        <v>7.1586</v>
      </c>
      <c r="L185" s="5" t="n">
        <v>7.1494</v>
      </c>
    </row>
    <row r="186" s="83">
      <c r="F186" s="92" t="n"/>
      <c r="G186" s="93" t="n"/>
      <c r="H186" s="93" t="n"/>
      <c r="I186" s="93" t="n"/>
    </row>
    <row r="187" s="83">
      <c r="G187" s="89" t="n"/>
      <c r="H187" s="89" t="n"/>
      <c r="I187" s="89" t="n"/>
      <c r="J187" s="89" t="n"/>
      <c r="K187" s="89" t="n"/>
      <c r="L187" s="89" t="n"/>
      <c r="M187" s="89" t="n"/>
    </row>
    <row r="188" s="83">
      <c r="G188" s="89" t="n"/>
    </row>
    <row r="189" s="83">
      <c r="G189" s="89" t="n"/>
    </row>
    <row r="190" s="83">
      <c r="G190" s="89" t="n"/>
    </row>
    <row r="194" s="83">
      <c r="G194" s="89" t="n"/>
      <c r="H194" s="89" t="n"/>
      <c r="I194" s="89" t="n"/>
      <c r="J194" s="89" t="n"/>
      <c r="K194" s="89" t="n"/>
      <c r="L194" s="89" t="n"/>
      <c r="M194" s="89" t="n"/>
    </row>
    <row r="195" s="83">
      <c r="G195" s="89" t="n"/>
      <c r="H195" s="89" t="n"/>
      <c r="I195" s="89" t="n"/>
      <c r="J195" s="89" t="n"/>
      <c r="K195" s="89" t="n"/>
      <c r="L195" s="89" t="n"/>
      <c r="M195" s="89" t="n"/>
    </row>
  </sheetData>
  <autoFilter ref="A2:R181"/>
  <mergeCells count="30">
    <mergeCell ref="C20:C21"/>
    <mergeCell ref="C131:C133"/>
    <mergeCell ref="C116:C119"/>
    <mergeCell ref="C85:C86"/>
    <mergeCell ref="C134:C135"/>
    <mergeCell ref="C16:C17"/>
    <mergeCell ref="C42:C47"/>
    <mergeCell ref="C78:C84"/>
    <mergeCell ref="C120:C128"/>
    <mergeCell ref="C129:C130"/>
    <mergeCell ref="C111:C115"/>
    <mergeCell ref="C153:C161"/>
    <mergeCell ref="C163:C166"/>
    <mergeCell ref="C87:C93"/>
    <mergeCell ref="C105:C110"/>
    <mergeCell ref="C25:C34"/>
    <mergeCell ref="C99:C104"/>
    <mergeCell ref="C7:C8"/>
    <mergeCell ref="C94:C96"/>
    <mergeCell ref="C36:C41"/>
    <mergeCell ref="C48:C49"/>
    <mergeCell ref="C13:C14"/>
    <mergeCell ref="C70:C77"/>
    <mergeCell ref="C64:C68"/>
    <mergeCell ref="C146:C152"/>
    <mergeCell ref="C138:C145"/>
    <mergeCell ref="C3:C6"/>
    <mergeCell ref="C51:C62"/>
    <mergeCell ref="C168:C172"/>
    <mergeCell ref="C9:C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R189"/>
  <sheetViews>
    <sheetView zoomScale="90" zoomScaleNormal="90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M188" sqref="M188"/>
    </sheetView>
  </sheetViews>
  <sheetFormatPr baseColWidth="8" defaultColWidth="8.838461538461541" defaultRowHeight="16.05" customHeight="1"/>
  <cols>
    <col width="14.6615384615385" customWidth="1" style="5" min="1" max="1"/>
    <col width="14.5" customWidth="1" style="6" min="2" max="2"/>
    <col width="10.8307692307692" customWidth="1" style="6" min="3" max="3"/>
    <col width="19.1615384615385" customWidth="1" style="5" min="4" max="4"/>
    <col width="18.6615384615385" customWidth="1" style="5" min="5" max="5"/>
    <col width="15" customWidth="1" style="89" min="6" max="6"/>
    <col width="15.1615384615385" customWidth="1" style="5" min="7" max="7"/>
    <col width="15.8384615384615" customWidth="1" style="5" min="8" max="8"/>
    <col width="15.1615384615385" customWidth="1" style="5" min="9" max="11"/>
    <col width="13.1615384615385" customWidth="1" style="5" min="12" max="12"/>
    <col width="12.3076923076923" customWidth="1" style="5" min="13" max="17"/>
    <col width="14.8384615384615" customWidth="1" style="5" min="18" max="18"/>
    <col width="8.838461538461541" customWidth="1" style="5" min="19" max="40"/>
  </cols>
  <sheetData>
    <row r="1" s="83">
      <c r="A1" s="6" t="inlineStr">
        <is>
          <t>公司：SMART AI LIMITED</t>
        </is>
      </c>
    </row>
    <row r="2" customFormat="1" s="34">
      <c r="A2" s="34" t="inlineStr">
        <is>
          <t>一级</t>
        </is>
      </c>
      <c r="B2" s="34" t="inlineStr">
        <is>
          <t>二级</t>
        </is>
      </c>
      <c r="C2" s="34" t="inlineStr">
        <is>
          <t>二级</t>
        </is>
      </c>
      <c r="D2" s="34" t="inlineStr">
        <is>
          <t>三级</t>
        </is>
      </c>
      <c r="E2" s="34" t="inlineStr">
        <is>
          <t>三级科目对应编码</t>
        </is>
      </c>
      <c r="F2" s="91" t="inlineStr">
        <is>
          <t>1月</t>
        </is>
      </c>
      <c r="G2" s="34" t="inlineStr">
        <is>
          <t>2月</t>
        </is>
      </c>
      <c r="H2" s="34" t="inlineStr">
        <is>
          <t>3月</t>
        </is>
      </c>
      <c r="I2" s="34" t="inlineStr">
        <is>
          <t>4月</t>
        </is>
      </c>
      <c r="J2" s="34" t="inlineStr">
        <is>
          <t>5月</t>
        </is>
      </c>
      <c r="K2" s="34" t="inlineStr">
        <is>
          <t>6月</t>
        </is>
      </c>
      <c r="L2" s="34" t="inlineStr">
        <is>
          <t>7月</t>
        </is>
      </c>
      <c r="M2" s="34" t="inlineStr">
        <is>
          <t>8月</t>
        </is>
      </c>
      <c r="N2" s="34" t="inlineStr">
        <is>
          <t>9月</t>
        </is>
      </c>
      <c r="O2" s="34" t="inlineStr">
        <is>
          <t>10月</t>
        </is>
      </c>
      <c r="P2" s="34" t="inlineStr">
        <is>
          <t>11月</t>
        </is>
      </c>
      <c r="Q2" s="34" t="inlineStr">
        <is>
          <t>12月</t>
        </is>
      </c>
      <c r="R2" s="34" t="inlineStr">
        <is>
          <t>本年合计</t>
        </is>
      </c>
    </row>
    <row r="3" s="83">
      <c r="A3" s="5" t="inlineStr">
        <is>
          <t>收入</t>
        </is>
      </c>
      <c r="B3" s="6" t="inlineStr">
        <is>
          <t>业务收入</t>
        </is>
      </c>
      <c r="C3" s="6" t="inlineStr">
        <is>
          <t>业务收入</t>
        </is>
      </c>
      <c r="D3" s="6" t="inlineStr">
        <is>
          <t>平台硬件销售收入</t>
        </is>
      </c>
      <c r="E3" s="6" t="inlineStr">
        <is>
          <t>Q0101</t>
        </is>
      </c>
      <c r="F3" s="89">
        <f>SUMIFS('1月数据源'!$I:$I,'1月数据源'!$D:$D,$E3,'1月数据源'!$F:$F,"SMART AI LIMITED")*F$185-SUMIFS('1月数据源'!$J:$J,'1月数据源'!$D:$D,$E3,'1月数据源'!$F:$F,"SMART AI LIMITED")*F$185</f>
        <v/>
      </c>
      <c r="G3" s="89">
        <f>SUMIFS('2月数据源'!$I:$I,'2月数据源'!$D:$D,$E3,'2月数据源'!$F:$F,"SMART AI LIMITED")*G$185-SUMIFS('2月数据源'!$J:$J,'2月数据源'!$D:$D,$E3,'2月数据源'!$F:$F,"SMART AI LIMITED")*G$185</f>
        <v/>
      </c>
      <c r="H3" s="89">
        <f>SUMIFS('3月数据源'!$I:$I,'3月数据源'!$D:$D,$E3,'3月数据源'!$F:$F,"SMART AI LIMITED")*H$185-SUMIFS('3月数据源'!$J:$J,'3月数据源'!$D:$D,$E3,'3月数据源'!$F:$F,"SMART AI LIMITED")*H$185</f>
        <v/>
      </c>
      <c r="I3" s="89">
        <f>SUMIFS('4月数据源'!$I:$I,'4月数据源'!$D:$D,$E3,'4月数据源'!$F:$F,"SMART AI LIMITED")*I$185-SUMIFS('4月数据源'!$J:$J,'4月数据源'!$D:$D,$E3,'4月数据源'!$F:$F,"SMART AI LIMITED")*I$185</f>
        <v/>
      </c>
      <c r="J3" s="89">
        <f>SUMIFS('5月数据源'!$I:$I,'5月数据源'!$D:$D,$E3,'5月数据源'!$F:$F,"SMART AI LIMITED")*J$185-SUMIFS('5月数据源'!$J:$J,'5月数据源'!$D:$D,$E3,'5月数据源'!$F:$F,"SMART AI LIMITED")*J$185</f>
        <v/>
      </c>
      <c r="K3" s="89">
        <f>SUMIFS('6月数据源'!$I:$I,'6月数据源'!$D:$D,$E3,'6月数据源'!$F:$F,"SMART AI LIMITED")*K$185-SUMIFS('6月数据源'!$J:$J,'6月数据源'!$D:$D,$E3,'6月数据源'!$F:$F,"SMART AI LIMITED")*K$185</f>
        <v/>
      </c>
      <c r="L3" s="89">
        <f>SUMIFS('7月数据源'!$I:$I,'7月数据源'!$D:$D,$E3,'7月数据源'!$F:$F,"SMART AI LIMITED")*L$185-SUMIFS('7月数据源'!$J:$J,'7月数据源'!$D:$D,$E3,'7月数据源'!$F:$F,"SMART AI LIMITED")*L$185</f>
        <v/>
      </c>
      <c r="M3" s="89">
        <f>SUMIFS('8月数据源'!$I:$I,'8月数据源'!$D:$D,$E3,'8月数据源'!$F:$F,"SMART AI LIMITED")*M$185-SUMIFS('8月数据源'!$J:$J,'8月数据源'!$D:$D,$E3,'8月数据源'!$F:$F,"SMART AI LIMITED")*M$185</f>
        <v/>
      </c>
      <c r="N3" s="89">
        <f>SUMIFS('9月数据源'!$I:$I,'9月数据源'!$D:$D,$E3,'9月数据源'!$F:$F,"SMART AI LIMITED")*N$185-SUMIFS('9月数据源'!$J:$J,'9月数据源'!$D:$D,$E3,'9月数据源'!$F:$F,"SMART AI LIMITED")*N$185</f>
        <v/>
      </c>
      <c r="O3" s="89">
        <f>SUMIFS('10月数据源'!$I:$I,'10月数据源'!$D:$D,$E3,'10月数据源'!$F:$F,"SMART AI LIMITED")*O$185-SUMIFS('10月数据源'!$J:$J,'10月数据源'!$D:$D,$E3,'10月数据源'!$F:$F,"SMART AI LIMITED")*O$185</f>
        <v/>
      </c>
      <c r="P3" s="89">
        <f>SUMIFS('11月数据源'!$I:$I,'11月数据源'!$D:$D,$E3,'11月数据源'!$F:$F,"SMART AI LIMITED")*P$185-SUMIFS('11月数据源'!$J:$J,'11月数据源'!$D:$D,$E3,'11月数据源'!$F:$F,"SMART AI LIMITED")*P$185</f>
        <v/>
      </c>
      <c r="Q3" s="89">
        <f>SUMIFS('12月数据源'!$I:$I,'12月数据源'!$D:$D,$E3,'12月数据源'!$F:$F,"SMART AI LIMITED")*Q$185-SUMIFS('12月数据源'!$J:$J,'12月数据源'!$D:$D,$E3,'12月数据源'!$F:$F,"SMART AI LIMITED")*Q$185</f>
        <v/>
      </c>
    </row>
    <row r="4" s="83">
      <c r="A4" s="5" t="inlineStr">
        <is>
          <t>收入</t>
        </is>
      </c>
      <c r="B4" s="6" t="inlineStr">
        <is>
          <t>业务收入</t>
        </is>
      </c>
      <c r="D4" s="6" t="inlineStr">
        <is>
          <t>服务收款</t>
        </is>
      </c>
      <c r="E4" s="6" t="inlineStr">
        <is>
          <t>Q0102</t>
        </is>
      </c>
      <c r="F4" s="89">
        <f>SUMIFS('1月数据源'!$I:$I,'1月数据源'!$D:$D,$E4,'1月数据源'!$F:$F,"SMART AI LIMITED")*F$185-SUMIFS('1月数据源'!$J:$J,'1月数据源'!$D:$D,$E4,'1月数据源'!$F:$F,"SMART AI LIMITED")*F$185</f>
        <v/>
      </c>
      <c r="G4" s="89">
        <f>SUMIFS('2月数据源'!$I:$I,'2月数据源'!$D:$D,$E4,'2月数据源'!$F:$F,"SMART AI LIMITED")*G$185-SUMIFS('2月数据源'!$J:$J,'2月数据源'!$D:$D,$E4,'2月数据源'!$F:$F,"SMART AI LIMITED")*G$185</f>
        <v/>
      </c>
      <c r="H4" s="89">
        <f>SUMIFS('3月数据源'!$I:$I,'3月数据源'!$D:$D,$E4,'3月数据源'!$F:$F,"SMART AI LIMITED")*H$185-SUMIFS('3月数据源'!$J:$J,'3月数据源'!$D:$D,$E4,'3月数据源'!$F:$F,"SMART AI LIMITED")*H$185</f>
        <v/>
      </c>
      <c r="I4" s="89">
        <f>SUMIFS('4月数据源'!$I:$I,'4月数据源'!$D:$D,$E4,'4月数据源'!$F:$F,"SMART AI LIMITED")*I$185-SUMIFS('4月数据源'!$J:$J,'4月数据源'!$D:$D,$E4,'4月数据源'!$F:$F,"SMART AI LIMITED")*I$185</f>
        <v/>
      </c>
      <c r="J4" s="89">
        <f>SUMIFS('5月数据源'!$I:$I,'5月数据源'!$D:$D,$E4,'5月数据源'!$F:$F,"SMART AI LIMITED")*J$185-SUMIFS('5月数据源'!$J:$J,'5月数据源'!$D:$D,$E4,'5月数据源'!$F:$F,"SMART AI LIMITED")*J$185</f>
        <v/>
      </c>
      <c r="K4" s="89">
        <f>SUMIFS('6月数据源'!$I:$I,'6月数据源'!$D:$D,$E4,'6月数据源'!$F:$F,"SMART AI LIMITED")*K$185-SUMIFS('6月数据源'!$J:$J,'6月数据源'!$D:$D,$E4,'6月数据源'!$F:$F,"SMART AI LIMITED")*K$185</f>
        <v/>
      </c>
      <c r="L4" s="89">
        <f>SUMIFS('7月数据源'!$I:$I,'7月数据源'!$D:$D,$E4,'7月数据源'!$F:$F,"SMART AI LIMITED")*L$185-SUMIFS('7月数据源'!$J:$J,'7月数据源'!$D:$D,$E4,'7月数据源'!$F:$F,"SMART AI LIMITED")*L$185</f>
        <v/>
      </c>
      <c r="M4" s="89">
        <f>SUMIFS('8月数据源'!$I:$I,'8月数据源'!$D:$D,$E4,'8月数据源'!$F:$F,"SMART AI LIMITED")*M$185-SUMIFS('8月数据源'!$J:$J,'8月数据源'!$D:$D,$E4,'8月数据源'!$F:$F,"SMART AI LIMITED")*M$185</f>
        <v/>
      </c>
      <c r="N4" s="89">
        <f>SUMIFS('9月数据源'!$I:$I,'9月数据源'!$D:$D,$E4,'9月数据源'!$F:$F,"SMART AI LIMITED")*N$185-SUMIFS('9月数据源'!$J:$J,'9月数据源'!$D:$D,$E4,'9月数据源'!$F:$F,"SMART AI LIMITED")*N$185</f>
        <v/>
      </c>
      <c r="O4" s="89">
        <f>SUMIFS('10月数据源'!$I:$I,'10月数据源'!$D:$D,$E4,'10月数据源'!$F:$F,"SMART AI LIMITED")*O$185-SUMIFS('10月数据源'!$J:$J,'10月数据源'!$D:$D,$E4,'10月数据源'!$F:$F,"SMART AI LIMITED")*O$185</f>
        <v/>
      </c>
      <c r="P4" s="89">
        <f>SUMIFS('11月数据源'!$I:$I,'11月数据源'!$D:$D,$E4,'11月数据源'!$F:$F,"SMART AI LIMITED")*P$185-SUMIFS('11月数据源'!$J:$J,'11月数据源'!$D:$D,$E4,'11月数据源'!$F:$F,"SMART AI LIMITED")*P$185</f>
        <v/>
      </c>
      <c r="Q4" s="89">
        <f>SUMIFS('12月数据源'!$I:$I,'12月数据源'!$D:$D,$E4,'12月数据源'!$F:$F,"SMART AI LIMITED")*Q$185-SUMIFS('12月数据源'!$J:$J,'12月数据源'!$D:$D,$E4,'12月数据源'!$F:$F,"SMART AI LIMITED")*Q$185</f>
        <v/>
      </c>
    </row>
    <row r="5" s="83">
      <c r="A5" s="5" t="inlineStr">
        <is>
          <t>收入</t>
        </is>
      </c>
      <c r="B5" s="6" t="inlineStr">
        <is>
          <t>业务收入</t>
        </is>
      </c>
      <c r="D5" s="6" t="inlineStr">
        <is>
          <t>平台补贴收入</t>
        </is>
      </c>
      <c r="E5" s="6" t="inlineStr">
        <is>
          <t>Q0103</t>
        </is>
      </c>
      <c r="F5" s="89">
        <f>SUMIFS('1月数据源'!$I:$I,'1月数据源'!$D:$D,$E5,'1月数据源'!$F:$F,"SMART AI LIMITED")*F$185-SUMIFS('1月数据源'!$J:$J,'1月数据源'!$D:$D,$E5,'1月数据源'!$F:$F,"SMART AI LIMITED")*F$185</f>
        <v/>
      </c>
      <c r="G5" s="89">
        <f>SUMIFS('2月数据源'!$I:$I,'2月数据源'!$D:$D,$E5,'2月数据源'!$F:$F,"SMART AI LIMITED")*G$185-SUMIFS('2月数据源'!$J:$J,'2月数据源'!$D:$D,$E5,'2月数据源'!$F:$F,"SMART AI LIMITED")*G$185</f>
        <v/>
      </c>
      <c r="H5" s="89">
        <f>SUMIFS('3月数据源'!$I:$I,'3月数据源'!$D:$D,$E5,'3月数据源'!$F:$F,"SMART AI LIMITED")*H$185-SUMIFS('3月数据源'!$J:$J,'3月数据源'!$D:$D,$E5,'3月数据源'!$F:$F,"SMART AI LIMITED")*H$185</f>
        <v/>
      </c>
      <c r="I5" s="89">
        <f>SUMIFS('4月数据源'!$I:$I,'4月数据源'!$D:$D,$E5,'4月数据源'!$F:$F,"SMART AI LIMITED")*I$185-SUMIFS('4月数据源'!$J:$J,'4月数据源'!$D:$D,$E5,'4月数据源'!$F:$F,"SMART AI LIMITED")*I$185</f>
        <v/>
      </c>
      <c r="J5" s="89">
        <f>SUMIFS('5月数据源'!$I:$I,'5月数据源'!$D:$D,$E5,'5月数据源'!$F:$F,"SMART AI LIMITED")*J$185-SUMIFS('5月数据源'!$J:$J,'5月数据源'!$D:$D,$E5,'5月数据源'!$F:$F,"SMART AI LIMITED")*J$185</f>
        <v/>
      </c>
      <c r="K5" s="89">
        <f>SUMIFS('6月数据源'!$I:$I,'6月数据源'!$D:$D,$E5,'6月数据源'!$F:$F,"SMART AI LIMITED")*K$185-SUMIFS('6月数据源'!$J:$J,'6月数据源'!$D:$D,$E5,'6月数据源'!$F:$F,"SMART AI LIMITED")*K$185</f>
        <v/>
      </c>
      <c r="L5" s="89">
        <f>SUMIFS('7月数据源'!$I:$I,'7月数据源'!$D:$D,$E5,'7月数据源'!$F:$F,"SMART AI LIMITED")*L$185-SUMIFS('7月数据源'!$J:$J,'7月数据源'!$D:$D,$E5,'7月数据源'!$F:$F,"SMART AI LIMITED")*L$185</f>
        <v/>
      </c>
      <c r="M5" s="89">
        <f>SUMIFS('8月数据源'!$I:$I,'8月数据源'!$D:$D,$E5,'8月数据源'!$F:$F,"SMART AI LIMITED")*M$185-SUMIFS('8月数据源'!$J:$J,'8月数据源'!$D:$D,$E5,'8月数据源'!$F:$F,"SMART AI LIMITED")*M$185</f>
        <v/>
      </c>
      <c r="N5" s="89">
        <f>SUMIFS('9月数据源'!$I:$I,'9月数据源'!$D:$D,$E5,'9月数据源'!$F:$F,"SMART AI LIMITED")*N$185-SUMIFS('9月数据源'!$J:$J,'9月数据源'!$D:$D,$E5,'9月数据源'!$F:$F,"SMART AI LIMITED")*N$185</f>
        <v/>
      </c>
      <c r="O5" s="89">
        <f>SUMIFS('10月数据源'!$I:$I,'10月数据源'!$D:$D,$E5,'10月数据源'!$F:$F,"SMART AI LIMITED")*O$185-SUMIFS('10月数据源'!$J:$J,'10月数据源'!$D:$D,$E5,'10月数据源'!$F:$F,"SMART AI LIMITED")*O$185</f>
        <v/>
      </c>
      <c r="P5" s="89">
        <f>SUMIFS('11月数据源'!$I:$I,'11月数据源'!$D:$D,$E5,'11月数据源'!$F:$F,"SMART AI LIMITED")*P$185-SUMIFS('11月数据源'!$J:$J,'11月数据源'!$D:$D,$E5,'11月数据源'!$F:$F,"SMART AI LIMITED")*P$185</f>
        <v/>
      </c>
      <c r="Q5" s="89">
        <f>SUMIFS('12月数据源'!$I:$I,'12月数据源'!$D:$D,$E5,'12月数据源'!$F:$F,"SMART AI LIMITED")*Q$185-SUMIFS('12月数据源'!$J:$J,'12月数据源'!$D:$D,$E5,'12月数据源'!$F:$F,"SMART AI LIMITED")*Q$185</f>
        <v/>
      </c>
    </row>
    <row r="6" s="83">
      <c r="A6" s="5" t="inlineStr">
        <is>
          <t>收入</t>
        </is>
      </c>
      <c r="B6" s="6" t="inlineStr">
        <is>
          <t>业务收入</t>
        </is>
      </c>
      <c r="D6" s="6" t="inlineStr">
        <is>
          <t>自习室收入</t>
        </is>
      </c>
      <c r="E6" s="6" t="inlineStr">
        <is>
          <t>Q0104</t>
        </is>
      </c>
      <c r="F6" s="89">
        <f>SUMIFS('1月数据源'!$I:$I,'1月数据源'!$D:$D,$E6,'1月数据源'!$F:$F,"SMART AI LIMITED")*F$185-SUMIFS('1月数据源'!$J:$J,'1月数据源'!$D:$D,$E6,'1月数据源'!$F:$F,"SMART AI LIMITED")*F$185</f>
        <v/>
      </c>
      <c r="G6" s="89">
        <f>SUMIFS('2月数据源'!$I:$I,'2月数据源'!$D:$D,$E6,'2月数据源'!$F:$F,"SMART AI LIMITED")*G$185-SUMIFS('2月数据源'!$J:$J,'2月数据源'!$D:$D,$E6,'2月数据源'!$F:$F,"SMART AI LIMITED")*G$185</f>
        <v/>
      </c>
      <c r="H6" s="89">
        <f>SUMIFS('3月数据源'!$I:$I,'3月数据源'!$D:$D,$E6,'3月数据源'!$F:$F,"SMART AI LIMITED")*H$185-SUMIFS('3月数据源'!$J:$J,'3月数据源'!$D:$D,$E6,'3月数据源'!$F:$F,"SMART AI LIMITED")*H$185</f>
        <v/>
      </c>
      <c r="I6" s="89">
        <f>SUMIFS('4月数据源'!$I:$I,'4月数据源'!$D:$D,$E6,'4月数据源'!$F:$F,"SMART AI LIMITED")*I$185-SUMIFS('4月数据源'!$J:$J,'4月数据源'!$D:$D,$E6,'4月数据源'!$F:$F,"SMART AI LIMITED")*I$185</f>
        <v/>
      </c>
      <c r="J6" s="89">
        <f>SUMIFS('5月数据源'!$I:$I,'5月数据源'!$D:$D,$E6,'5月数据源'!$F:$F,"SMART AI LIMITED")*J$185-SUMIFS('5月数据源'!$J:$J,'5月数据源'!$D:$D,$E6,'5月数据源'!$F:$F,"SMART AI LIMITED")*J$185</f>
        <v/>
      </c>
      <c r="K6" s="89">
        <f>SUMIFS('6月数据源'!$I:$I,'6月数据源'!$D:$D,$E6,'6月数据源'!$F:$F,"SMART AI LIMITED")*K$185-SUMIFS('6月数据源'!$J:$J,'6月数据源'!$D:$D,$E6,'6月数据源'!$F:$F,"SMART AI LIMITED")*K$185</f>
        <v/>
      </c>
      <c r="L6" s="89">
        <f>SUMIFS('7月数据源'!$I:$I,'7月数据源'!$D:$D,$E6,'7月数据源'!$F:$F,"SMART AI LIMITED")*L$185-SUMIFS('7月数据源'!$J:$J,'7月数据源'!$D:$D,$E6,'7月数据源'!$F:$F,"SMART AI LIMITED")*L$185</f>
        <v/>
      </c>
      <c r="M6" s="89">
        <f>SUMIFS('8月数据源'!$I:$I,'8月数据源'!$D:$D,$E6,'8月数据源'!$F:$F,"SMART AI LIMITED")*M$185-SUMIFS('8月数据源'!$J:$J,'8月数据源'!$D:$D,$E6,'8月数据源'!$F:$F,"SMART AI LIMITED")*M$185</f>
        <v/>
      </c>
      <c r="N6" s="89">
        <f>SUMIFS('9月数据源'!$I:$I,'9月数据源'!$D:$D,$E6,'9月数据源'!$F:$F,"SMART AI LIMITED")*N$185-SUMIFS('9月数据源'!$J:$J,'9月数据源'!$D:$D,$E6,'9月数据源'!$F:$F,"SMART AI LIMITED")*N$185</f>
        <v/>
      </c>
      <c r="O6" s="89">
        <f>SUMIFS('10月数据源'!$I:$I,'10月数据源'!$D:$D,$E6,'10月数据源'!$F:$F,"SMART AI LIMITED")*O$185-SUMIFS('10月数据源'!$J:$J,'10月数据源'!$D:$D,$E6,'10月数据源'!$F:$F,"SMART AI LIMITED")*O$185</f>
        <v/>
      </c>
      <c r="P6" s="89">
        <f>SUMIFS('11月数据源'!$I:$I,'11月数据源'!$D:$D,$E6,'11月数据源'!$F:$F,"SMART AI LIMITED")*P$185-SUMIFS('11月数据源'!$J:$J,'11月数据源'!$D:$D,$E6,'11月数据源'!$F:$F,"SMART AI LIMITED")*P$185</f>
        <v/>
      </c>
      <c r="Q6" s="89">
        <f>SUMIFS('12月数据源'!$I:$I,'12月数据源'!$D:$D,$E6,'12月数据源'!$F:$F,"SMART AI LIMITED")*Q$185-SUMIFS('12月数据源'!$J:$J,'12月数据源'!$D:$D,$E6,'12月数据源'!$F:$F,"SMART AI LIMITED")*Q$185</f>
        <v/>
      </c>
    </row>
    <row r="7" s="83">
      <c r="A7" s="5" t="inlineStr">
        <is>
          <t>收入</t>
        </is>
      </c>
      <c r="B7" s="6" t="inlineStr">
        <is>
          <t>售后收入</t>
        </is>
      </c>
      <c r="C7" s="6" t="inlineStr">
        <is>
          <t>售后收入</t>
        </is>
      </c>
      <c r="D7" s="6" t="inlineStr">
        <is>
          <t>客户赔偿款</t>
        </is>
      </c>
      <c r="E7" s="6" t="inlineStr">
        <is>
          <t>Q0201</t>
        </is>
      </c>
      <c r="F7" s="89">
        <f>SUMIFS('1月数据源'!$I:$I,'1月数据源'!$D:$D,$E7,'1月数据源'!$F:$F,"SMART AI LIMITED")*F$185-SUMIFS('1月数据源'!$J:$J,'1月数据源'!$D:$D,$E7,'1月数据源'!$F:$F,"SMART AI LIMITED")*F$185</f>
        <v/>
      </c>
      <c r="G7" s="89">
        <f>SUMIFS('2月数据源'!$I:$I,'2月数据源'!$D:$D,$E7,'2月数据源'!$F:$F,"SMART AI LIMITED")*G$185-SUMIFS('2月数据源'!$J:$J,'2月数据源'!$D:$D,$E7,'2月数据源'!$F:$F,"SMART AI LIMITED")*G$185</f>
        <v/>
      </c>
      <c r="H7" s="89">
        <f>SUMIFS('3月数据源'!$I:$I,'3月数据源'!$D:$D,$E7,'3月数据源'!$F:$F,"SMART AI LIMITED")*H$185-SUMIFS('3月数据源'!$J:$J,'3月数据源'!$D:$D,$E7,'3月数据源'!$F:$F,"SMART AI LIMITED")*H$185</f>
        <v/>
      </c>
      <c r="I7" s="89">
        <f>SUMIFS('4月数据源'!$I:$I,'4月数据源'!$D:$D,$E7,'4月数据源'!$F:$F,"SMART AI LIMITED")*I$185-SUMIFS('4月数据源'!$J:$J,'4月数据源'!$D:$D,$E7,'4月数据源'!$F:$F,"SMART AI LIMITED")*I$185</f>
        <v/>
      </c>
      <c r="J7" s="89">
        <f>SUMIFS('5月数据源'!$I:$I,'5月数据源'!$D:$D,$E7,'5月数据源'!$F:$F,"SMART AI LIMITED")*J$185-SUMIFS('5月数据源'!$J:$J,'5月数据源'!$D:$D,$E7,'5月数据源'!$F:$F,"SMART AI LIMITED")*J$185</f>
        <v/>
      </c>
      <c r="K7" s="89">
        <f>SUMIFS('6月数据源'!$I:$I,'6月数据源'!$D:$D,$E7,'6月数据源'!$F:$F,"SMART AI LIMITED")*K$185-SUMIFS('6月数据源'!$J:$J,'6月数据源'!$D:$D,$E7,'6月数据源'!$F:$F,"SMART AI LIMITED")*K$185</f>
        <v/>
      </c>
      <c r="L7" s="89">
        <f>SUMIFS('7月数据源'!$I:$I,'7月数据源'!$D:$D,$E7,'7月数据源'!$F:$F,"SMART AI LIMITED")*L$185-SUMIFS('7月数据源'!$J:$J,'7月数据源'!$D:$D,$E7,'7月数据源'!$F:$F,"SMART AI LIMITED")*L$185</f>
        <v/>
      </c>
      <c r="M7" s="89">
        <f>SUMIFS('8月数据源'!$I:$I,'8月数据源'!$D:$D,$E7,'8月数据源'!$F:$F,"SMART AI LIMITED")*M$185-SUMIFS('8月数据源'!$J:$J,'8月数据源'!$D:$D,$E7,'8月数据源'!$F:$F,"SMART AI LIMITED")*M$185</f>
        <v/>
      </c>
      <c r="N7" s="89">
        <f>SUMIFS('9月数据源'!$I:$I,'9月数据源'!$D:$D,$E7,'9月数据源'!$F:$F,"SMART AI LIMITED")*N$185-SUMIFS('9月数据源'!$J:$J,'9月数据源'!$D:$D,$E7,'9月数据源'!$F:$F,"SMART AI LIMITED")*N$185</f>
        <v/>
      </c>
      <c r="O7" s="89">
        <f>SUMIFS('10月数据源'!$I:$I,'10月数据源'!$D:$D,$E7,'10月数据源'!$F:$F,"SMART AI LIMITED")*O$185-SUMIFS('10月数据源'!$J:$J,'10月数据源'!$D:$D,$E7,'10月数据源'!$F:$F,"SMART AI LIMITED")*O$185</f>
        <v/>
      </c>
      <c r="P7" s="89">
        <f>SUMIFS('11月数据源'!$I:$I,'11月数据源'!$D:$D,$E7,'11月数据源'!$F:$F,"SMART AI LIMITED")*P$185-SUMIFS('11月数据源'!$J:$J,'11月数据源'!$D:$D,$E7,'11月数据源'!$F:$F,"SMART AI LIMITED")*P$185</f>
        <v/>
      </c>
      <c r="Q7" s="89">
        <f>SUMIFS('12月数据源'!$I:$I,'12月数据源'!$D:$D,$E7,'12月数据源'!$F:$F,"SMART AI LIMITED")*Q$185-SUMIFS('12月数据源'!$J:$J,'12月数据源'!$D:$D,$E7,'12月数据源'!$F:$F,"SMART AI LIMITED")*Q$185</f>
        <v/>
      </c>
    </row>
    <row r="8" s="83">
      <c r="A8" s="5" t="inlineStr">
        <is>
          <t>收入</t>
        </is>
      </c>
      <c r="B8" s="6" t="inlineStr">
        <is>
          <t>售后收入</t>
        </is>
      </c>
      <c r="D8" s="6" t="inlineStr">
        <is>
          <t>供应商赔偿款</t>
        </is>
      </c>
      <c r="E8" s="6" t="inlineStr">
        <is>
          <t>Q0202</t>
        </is>
      </c>
      <c r="F8" s="89">
        <f>SUMIFS('1月数据源'!$I:$I,'1月数据源'!$D:$D,$E8,'1月数据源'!$F:$F,"SMART AI LIMITED")*F$185-SUMIFS('1月数据源'!$J:$J,'1月数据源'!$D:$D,$E8,'1月数据源'!$F:$F,"SMART AI LIMITED")*F$185</f>
        <v/>
      </c>
      <c r="G8" s="89">
        <f>SUMIFS('2月数据源'!$I:$I,'2月数据源'!$D:$D,$E8,'2月数据源'!$F:$F,"SMART AI LIMITED")*G$185-SUMIFS('2月数据源'!$J:$J,'2月数据源'!$D:$D,$E8,'2月数据源'!$F:$F,"SMART AI LIMITED")*G$185</f>
        <v/>
      </c>
      <c r="H8" s="89">
        <f>SUMIFS('3月数据源'!$I:$I,'3月数据源'!$D:$D,$E8,'3月数据源'!$F:$F,"SMART AI LIMITED")*H$185-SUMIFS('3月数据源'!$J:$J,'3月数据源'!$D:$D,$E8,'3月数据源'!$F:$F,"SMART AI LIMITED")*H$185</f>
        <v/>
      </c>
      <c r="I8" s="89">
        <f>SUMIFS('4月数据源'!$I:$I,'4月数据源'!$D:$D,$E8,'4月数据源'!$F:$F,"SMART AI LIMITED")*I$185-SUMIFS('4月数据源'!$J:$J,'4月数据源'!$D:$D,$E8,'4月数据源'!$F:$F,"SMART AI LIMITED")*I$185</f>
        <v/>
      </c>
      <c r="J8" s="89">
        <f>SUMIFS('5月数据源'!$I:$I,'5月数据源'!$D:$D,$E8,'5月数据源'!$F:$F,"SMART AI LIMITED")*J$185-SUMIFS('5月数据源'!$J:$J,'5月数据源'!$D:$D,$E8,'5月数据源'!$F:$F,"SMART AI LIMITED")*J$185</f>
        <v/>
      </c>
      <c r="K8" s="89">
        <f>SUMIFS('6月数据源'!$I:$I,'6月数据源'!$D:$D,$E8,'6月数据源'!$F:$F,"SMART AI LIMITED")*K$185-SUMIFS('6月数据源'!$J:$J,'6月数据源'!$D:$D,$E8,'6月数据源'!$F:$F,"SMART AI LIMITED")*K$185</f>
        <v/>
      </c>
      <c r="L8" s="89">
        <f>SUMIFS('7月数据源'!$I:$I,'7月数据源'!$D:$D,$E8,'7月数据源'!$F:$F,"SMART AI LIMITED")*L$185-SUMIFS('7月数据源'!$J:$J,'7月数据源'!$D:$D,$E8,'7月数据源'!$F:$F,"SMART AI LIMITED")*L$185</f>
        <v/>
      </c>
      <c r="M8" s="89">
        <f>SUMIFS('8月数据源'!$I:$I,'8月数据源'!$D:$D,$E8,'8月数据源'!$F:$F,"SMART AI LIMITED")*M$185-SUMIFS('8月数据源'!$J:$J,'8月数据源'!$D:$D,$E8,'8月数据源'!$F:$F,"SMART AI LIMITED")*M$185</f>
        <v/>
      </c>
      <c r="N8" s="89">
        <f>SUMIFS('9月数据源'!$I:$I,'9月数据源'!$D:$D,$E8,'9月数据源'!$F:$F,"SMART AI LIMITED")*N$185-SUMIFS('9月数据源'!$J:$J,'9月数据源'!$D:$D,$E8,'9月数据源'!$F:$F,"SMART AI LIMITED")*N$185</f>
        <v/>
      </c>
      <c r="O8" s="89">
        <f>SUMIFS('10月数据源'!$I:$I,'10月数据源'!$D:$D,$E8,'10月数据源'!$F:$F,"SMART AI LIMITED")*O$185-SUMIFS('10月数据源'!$J:$J,'10月数据源'!$D:$D,$E8,'10月数据源'!$F:$F,"SMART AI LIMITED")*O$185</f>
        <v/>
      </c>
      <c r="P8" s="89">
        <f>SUMIFS('11月数据源'!$I:$I,'11月数据源'!$D:$D,$E8,'11月数据源'!$F:$F,"SMART AI LIMITED")*P$185-SUMIFS('11月数据源'!$J:$J,'11月数据源'!$D:$D,$E8,'11月数据源'!$F:$F,"SMART AI LIMITED")*P$185</f>
        <v/>
      </c>
      <c r="Q8" s="89">
        <f>SUMIFS('12月数据源'!$I:$I,'12月数据源'!$D:$D,$E8,'12月数据源'!$F:$F,"SMART AI LIMITED")*Q$185-SUMIFS('12月数据源'!$J:$J,'12月数据源'!$D:$D,$E8,'12月数据源'!$F:$F,"SMART AI LIMITED")*Q$185</f>
        <v/>
      </c>
    </row>
    <row r="9" s="83">
      <c r="A9" s="5" t="inlineStr">
        <is>
          <t>收入</t>
        </is>
      </c>
      <c r="B9" s="6" t="inlineStr">
        <is>
          <t>营业外收入</t>
        </is>
      </c>
      <c r="C9" s="6" t="inlineStr">
        <is>
          <t>营业外收入</t>
        </is>
      </c>
      <c r="D9" s="6" t="inlineStr">
        <is>
          <t>政府补贴收入</t>
        </is>
      </c>
      <c r="E9" s="6" t="inlineStr">
        <is>
          <t>Q0301</t>
        </is>
      </c>
      <c r="F9" s="89">
        <f>SUMIFS('1月数据源'!$I:$I,'1月数据源'!$D:$D,$E9,'1月数据源'!$F:$F,"SMART AI LIMITED")*F$185-SUMIFS('1月数据源'!$J:$J,'1月数据源'!$D:$D,$E9,'1月数据源'!$F:$F,"SMART AI LIMITED")*F$185</f>
        <v/>
      </c>
      <c r="G9" s="89">
        <f>SUMIFS('2月数据源'!$I:$I,'2月数据源'!$D:$D,$E9,'2月数据源'!$F:$F,"SMART AI LIMITED")*G$185-SUMIFS('2月数据源'!$J:$J,'2月数据源'!$D:$D,$E9,'2月数据源'!$F:$F,"SMART AI LIMITED")*G$185</f>
        <v/>
      </c>
      <c r="H9" s="89">
        <f>SUMIFS('3月数据源'!$I:$I,'3月数据源'!$D:$D,$E9,'3月数据源'!$F:$F,"SMART AI LIMITED")*H$185-SUMIFS('3月数据源'!$J:$J,'3月数据源'!$D:$D,$E9,'3月数据源'!$F:$F,"SMART AI LIMITED")*H$185</f>
        <v/>
      </c>
      <c r="I9" s="89">
        <f>SUMIFS('4月数据源'!$I:$I,'4月数据源'!$D:$D,$E9,'4月数据源'!$F:$F,"SMART AI LIMITED")*I$185-SUMIFS('4月数据源'!$J:$J,'4月数据源'!$D:$D,$E9,'4月数据源'!$F:$F,"SMART AI LIMITED")*I$185</f>
        <v/>
      </c>
      <c r="J9" s="89">
        <f>SUMIFS('5月数据源'!$I:$I,'5月数据源'!$D:$D,$E9,'5月数据源'!$F:$F,"SMART AI LIMITED")*J$185-SUMIFS('5月数据源'!$J:$J,'5月数据源'!$D:$D,$E9,'5月数据源'!$F:$F,"SMART AI LIMITED")*J$185</f>
        <v/>
      </c>
      <c r="K9" s="89">
        <f>SUMIFS('6月数据源'!$I:$I,'6月数据源'!$D:$D,$E9,'6月数据源'!$F:$F,"SMART AI LIMITED")*K$185-SUMIFS('6月数据源'!$J:$J,'6月数据源'!$D:$D,$E9,'6月数据源'!$F:$F,"SMART AI LIMITED")*K$185</f>
        <v/>
      </c>
      <c r="L9" s="89">
        <f>SUMIFS('7月数据源'!$I:$I,'7月数据源'!$D:$D,$E9,'7月数据源'!$F:$F,"SMART AI LIMITED")*L$185-SUMIFS('7月数据源'!$J:$J,'7月数据源'!$D:$D,$E9,'7月数据源'!$F:$F,"SMART AI LIMITED")*L$185</f>
        <v/>
      </c>
      <c r="M9" s="89">
        <f>SUMIFS('8月数据源'!$I:$I,'8月数据源'!$D:$D,$E9,'8月数据源'!$F:$F,"SMART AI LIMITED")*M$185-SUMIFS('8月数据源'!$J:$J,'8月数据源'!$D:$D,$E9,'8月数据源'!$F:$F,"SMART AI LIMITED")*M$185</f>
        <v/>
      </c>
      <c r="N9" s="89">
        <f>SUMIFS('9月数据源'!$I:$I,'9月数据源'!$D:$D,$E9,'9月数据源'!$F:$F,"SMART AI LIMITED")*N$185-SUMIFS('9月数据源'!$J:$J,'9月数据源'!$D:$D,$E9,'9月数据源'!$F:$F,"SMART AI LIMITED")*N$185</f>
        <v/>
      </c>
      <c r="O9" s="89">
        <f>SUMIFS('10月数据源'!$I:$I,'10月数据源'!$D:$D,$E9,'10月数据源'!$F:$F,"SMART AI LIMITED")*O$185-SUMIFS('10月数据源'!$J:$J,'10月数据源'!$D:$D,$E9,'10月数据源'!$F:$F,"SMART AI LIMITED")*O$185</f>
        <v/>
      </c>
      <c r="P9" s="89">
        <f>SUMIFS('11月数据源'!$I:$I,'11月数据源'!$D:$D,$E9,'11月数据源'!$F:$F,"SMART AI LIMITED")*P$185-SUMIFS('11月数据源'!$J:$J,'11月数据源'!$D:$D,$E9,'11月数据源'!$F:$F,"SMART AI LIMITED")*P$185</f>
        <v/>
      </c>
      <c r="Q9" s="89">
        <f>SUMIFS('12月数据源'!$I:$I,'12月数据源'!$D:$D,$E9,'12月数据源'!$F:$F,"SMART AI LIMITED")*Q$185-SUMIFS('12月数据源'!$J:$J,'12月数据源'!$D:$D,$E9,'12月数据源'!$F:$F,"SMART AI LIMITED")*Q$185</f>
        <v/>
      </c>
    </row>
    <row r="10" s="83">
      <c r="A10" s="5" t="inlineStr">
        <is>
          <t>收入</t>
        </is>
      </c>
      <c r="B10" s="6" t="inlineStr">
        <is>
          <t>营业外收入</t>
        </is>
      </c>
      <c r="D10" s="6" t="inlineStr">
        <is>
          <t>利息收入</t>
        </is>
      </c>
      <c r="E10" s="6" t="inlineStr">
        <is>
          <t>Q0302</t>
        </is>
      </c>
      <c r="F10" s="89">
        <f>SUMIFS('1月数据源'!$I:$I,'1月数据源'!$D:$D,$E10,'1月数据源'!$F:$F,"SMART AI LIMITED")*F$185-SUMIFS('1月数据源'!$J:$J,'1月数据源'!$D:$D,$E10,'1月数据源'!$F:$F,"SMART AI LIMITED")*F$185</f>
        <v/>
      </c>
      <c r="G10" s="89">
        <f>SUMIFS('2月数据源'!$I:$I,'2月数据源'!$D:$D,$E10,'2月数据源'!$F:$F,"SMART AI LIMITED")*G$185-SUMIFS('2月数据源'!$J:$J,'2月数据源'!$D:$D,$E10,'2月数据源'!$F:$F,"SMART AI LIMITED")*G$185</f>
        <v/>
      </c>
      <c r="H10" s="89">
        <f>SUMIFS('3月数据源'!$I:$I,'3月数据源'!$D:$D,$E10,'3月数据源'!$F:$F,"SMART AI LIMITED")*H$185-SUMIFS('3月数据源'!$J:$J,'3月数据源'!$D:$D,$E10,'3月数据源'!$F:$F,"SMART AI LIMITED")*H$185</f>
        <v/>
      </c>
      <c r="I10" s="89">
        <f>SUMIFS('4月数据源'!$I:$I,'4月数据源'!$D:$D,$E10,'4月数据源'!$F:$F,"SMART AI LIMITED")*I$185-SUMIFS('4月数据源'!$J:$J,'4月数据源'!$D:$D,$E10,'4月数据源'!$F:$F,"SMART AI LIMITED")*I$185</f>
        <v/>
      </c>
      <c r="J10" s="89">
        <f>SUMIFS('5月数据源'!$I:$I,'5月数据源'!$D:$D,$E10,'5月数据源'!$F:$F,"SMART AI LIMITED")*J$185-SUMIFS('5月数据源'!$J:$J,'5月数据源'!$D:$D,$E10,'5月数据源'!$F:$F,"SMART AI LIMITED")*J$185</f>
        <v/>
      </c>
      <c r="K10" s="89">
        <f>SUMIFS('6月数据源'!$I:$I,'6月数据源'!$D:$D,$E10,'6月数据源'!$F:$F,"SMART AI LIMITED")*K$185-SUMIFS('6月数据源'!$J:$J,'6月数据源'!$D:$D,$E10,'6月数据源'!$F:$F,"SMART AI LIMITED")*K$185</f>
        <v/>
      </c>
      <c r="L10" s="89">
        <f>SUMIFS('7月数据源'!$I:$I,'7月数据源'!$D:$D,$E10,'7月数据源'!$F:$F,"SMART AI LIMITED")*L$185-SUMIFS('7月数据源'!$J:$J,'7月数据源'!$D:$D,$E10,'7月数据源'!$F:$F,"SMART AI LIMITED")*L$185</f>
        <v/>
      </c>
      <c r="M10" s="89">
        <f>SUMIFS('8月数据源'!$I:$I,'8月数据源'!$D:$D,$E10,'8月数据源'!$F:$F,"SMART AI LIMITED")*M$185-SUMIFS('8月数据源'!$J:$J,'8月数据源'!$D:$D,$E10,'8月数据源'!$F:$F,"SMART AI LIMITED")*M$185</f>
        <v/>
      </c>
      <c r="N10" s="89">
        <f>SUMIFS('9月数据源'!$I:$I,'9月数据源'!$D:$D,$E10,'9月数据源'!$F:$F,"SMART AI LIMITED")*N$185-SUMIFS('9月数据源'!$J:$J,'9月数据源'!$D:$D,$E10,'9月数据源'!$F:$F,"SMART AI LIMITED")*N$185</f>
        <v/>
      </c>
      <c r="O10" s="89">
        <f>SUMIFS('10月数据源'!$I:$I,'10月数据源'!$D:$D,$E10,'10月数据源'!$F:$F,"SMART AI LIMITED")*O$185-SUMIFS('10月数据源'!$J:$J,'10月数据源'!$D:$D,$E10,'10月数据源'!$F:$F,"SMART AI LIMITED")*O$185</f>
        <v/>
      </c>
      <c r="P10" s="89">
        <f>SUMIFS('11月数据源'!$I:$I,'11月数据源'!$D:$D,$E10,'11月数据源'!$F:$F,"SMART AI LIMITED")*P$185-SUMIFS('11月数据源'!$J:$J,'11月数据源'!$D:$D,$E10,'11月数据源'!$F:$F,"SMART AI LIMITED")*P$185</f>
        <v/>
      </c>
      <c r="Q10" s="89">
        <f>SUMIFS('12月数据源'!$I:$I,'12月数据源'!$D:$D,$E10,'12月数据源'!$F:$F,"SMART AI LIMITED")*Q$185-SUMIFS('12月数据源'!$J:$J,'12月数据源'!$D:$D,$E10,'12月数据源'!$F:$F,"SMART AI LIMITED")*Q$185</f>
        <v/>
      </c>
    </row>
    <row r="11" s="83">
      <c r="A11" s="5" t="inlineStr">
        <is>
          <t>收入</t>
        </is>
      </c>
      <c r="B11" s="6" t="inlineStr">
        <is>
          <t>营业外收入</t>
        </is>
      </c>
      <c r="D11" s="6" t="inlineStr">
        <is>
          <t>其他收入</t>
        </is>
      </c>
      <c r="E11" s="6" t="inlineStr">
        <is>
          <t>Q0303</t>
        </is>
      </c>
      <c r="F11" s="89">
        <f>SUMIFS('1月数据源'!$I:$I,'1月数据源'!$D:$D,$E11,'1月数据源'!$F:$F,"SMART AI LIMITED")*F$185-SUMIFS('1月数据源'!$J:$J,'1月数据源'!$D:$D,$E11,'1月数据源'!$F:$F,"SMART AI LIMITED")*F$185</f>
        <v/>
      </c>
      <c r="G11" s="89">
        <f>SUMIFS('2月数据源'!$I:$I,'2月数据源'!$D:$D,$E11,'2月数据源'!$F:$F,"SMART AI LIMITED")*G$185-SUMIFS('2月数据源'!$J:$J,'2月数据源'!$D:$D,$E11,'2月数据源'!$F:$F,"SMART AI LIMITED")*G$185</f>
        <v/>
      </c>
      <c r="H11" s="89">
        <f>SUMIFS('3月数据源'!$I:$I,'3月数据源'!$D:$D,$E11,'3月数据源'!$F:$F,"SMART AI LIMITED")*H$185-SUMIFS('3月数据源'!$J:$J,'3月数据源'!$D:$D,$E11,'3月数据源'!$F:$F,"SMART AI LIMITED")*H$185</f>
        <v/>
      </c>
      <c r="I11" s="89">
        <f>SUMIFS('4月数据源'!$I:$I,'4月数据源'!$D:$D,$E11,'4月数据源'!$F:$F,"SMART AI LIMITED")*I$185-SUMIFS('4月数据源'!$J:$J,'4月数据源'!$D:$D,$E11,'4月数据源'!$F:$F,"SMART AI LIMITED")*I$185</f>
        <v/>
      </c>
      <c r="J11" s="89">
        <f>SUMIFS('5月数据源'!$I:$I,'5月数据源'!$D:$D,$E11,'5月数据源'!$F:$F,"SMART AI LIMITED")*J$185-SUMIFS('5月数据源'!$J:$J,'5月数据源'!$D:$D,$E11,'5月数据源'!$F:$F,"SMART AI LIMITED")*J$185</f>
        <v/>
      </c>
      <c r="K11" s="89">
        <f>SUMIFS('6月数据源'!$I:$I,'6月数据源'!$D:$D,$E11,'6月数据源'!$F:$F,"SMART AI LIMITED")*K$185-SUMIFS('6月数据源'!$J:$J,'6月数据源'!$D:$D,$E11,'6月数据源'!$F:$F,"SMART AI LIMITED")*K$185</f>
        <v/>
      </c>
      <c r="L11" s="89">
        <f>SUMIFS('7月数据源'!$I:$I,'7月数据源'!$D:$D,$E11,'7月数据源'!$F:$F,"SMART AI LIMITED")*L$185-SUMIFS('7月数据源'!$J:$J,'7月数据源'!$D:$D,$E11,'7月数据源'!$F:$F,"SMART AI LIMITED")*L$185</f>
        <v/>
      </c>
      <c r="M11" s="89">
        <f>SUMIFS('8月数据源'!$I:$I,'8月数据源'!$D:$D,$E11,'8月数据源'!$F:$F,"SMART AI LIMITED")*M$185-SUMIFS('8月数据源'!$J:$J,'8月数据源'!$D:$D,$E11,'8月数据源'!$F:$F,"SMART AI LIMITED")*M$185</f>
        <v/>
      </c>
      <c r="N11" s="89">
        <f>SUMIFS('9月数据源'!$I:$I,'9月数据源'!$D:$D,$E11,'9月数据源'!$F:$F,"SMART AI LIMITED")*N$185-SUMIFS('9月数据源'!$J:$J,'9月数据源'!$D:$D,$E11,'9月数据源'!$F:$F,"SMART AI LIMITED")*N$185</f>
        <v/>
      </c>
      <c r="O11" s="89">
        <f>SUMIFS('10月数据源'!$I:$I,'10月数据源'!$D:$D,$E11,'10月数据源'!$F:$F,"SMART AI LIMITED")*O$185-SUMIFS('10月数据源'!$J:$J,'10月数据源'!$D:$D,$E11,'10月数据源'!$F:$F,"SMART AI LIMITED")*O$185</f>
        <v/>
      </c>
      <c r="P11" s="89">
        <f>SUMIFS('11月数据源'!$I:$I,'11月数据源'!$D:$D,$E11,'11月数据源'!$F:$F,"SMART AI LIMITED")*P$185-SUMIFS('11月数据源'!$J:$J,'11月数据源'!$D:$D,$E11,'11月数据源'!$F:$F,"SMART AI LIMITED")*P$185</f>
        <v/>
      </c>
      <c r="Q11" s="89">
        <f>SUMIFS('12月数据源'!$I:$I,'12月数据源'!$D:$D,$E11,'12月数据源'!$F:$F,"SMART AI LIMITED")*Q$185-SUMIFS('12月数据源'!$J:$J,'12月数据源'!$D:$D,$E11,'12月数据源'!$F:$F,"SMART AI LIMITED")*Q$185</f>
        <v/>
      </c>
    </row>
    <row r="12" s="83">
      <c r="A12" s="49" t="inlineStr">
        <is>
          <t>收入合计</t>
        </is>
      </c>
      <c r="B12" s="50" t="n"/>
      <c r="C12" s="50" t="n"/>
      <c r="D12" s="49" t="n"/>
      <c r="E12" s="49" t="n"/>
      <c r="F12" s="89">
        <f>SUM(F3:F11)</f>
        <v/>
      </c>
      <c r="G12" s="89">
        <f>SUM(G3:G11)</f>
        <v/>
      </c>
      <c r="H12" s="89">
        <f>SUM(H3:H11)</f>
        <v/>
      </c>
      <c r="I12" s="89">
        <f>SUM(I3:I11)</f>
        <v/>
      </c>
      <c r="J12" s="89">
        <f>SUM(J3:J11)</f>
        <v/>
      </c>
      <c r="K12" s="89">
        <f>SUM(K3:K11)</f>
        <v/>
      </c>
      <c r="L12" s="89">
        <f>SUM(L3:L11)</f>
        <v/>
      </c>
      <c r="M12" s="89">
        <f>SUM(M3:M11)</f>
        <v/>
      </c>
      <c r="N12" s="89">
        <f>SUM(N3:N11)</f>
        <v/>
      </c>
      <c r="O12" s="89">
        <f>SUM(O3:O11)</f>
        <v/>
      </c>
      <c r="P12" s="89">
        <f>SUM(P3:P11)</f>
        <v/>
      </c>
      <c r="Q12" s="89">
        <f>SUM(Q3:Q11)</f>
        <v/>
      </c>
    </row>
    <row r="13" s="83">
      <c r="A13" s="5" t="inlineStr">
        <is>
          <t>往来款项收入</t>
        </is>
      </c>
      <c r="B13" s="6" t="inlineStr">
        <is>
          <t>往来款项收入</t>
        </is>
      </c>
      <c r="C13" s="6" t="inlineStr">
        <is>
          <t>往来款项收入</t>
        </is>
      </c>
      <c r="D13" s="5" t="inlineStr">
        <is>
          <t>内部往来收入</t>
        </is>
      </c>
      <c r="E13" s="6" t="inlineStr">
        <is>
          <t>Q0401</t>
        </is>
      </c>
      <c r="F13" s="89">
        <f>SUMIFS('1月数据源'!$I:$I,'1月数据源'!$D:$D,$E13,'1月数据源'!$F:$F,"SMART AI LIMITED")*F$185-SUMIFS('1月数据源'!$J:$J,'1月数据源'!$D:$D,$E13,'1月数据源'!$F:$F,"SMART AI LIMITED")*F$185</f>
        <v/>
      </c>
      <c r="G13" s="89">
        <f>SUMIFS('2月数据源'!$I:$I,'2月数据源'!$D:$D,$E13,'2月数据源'!$F:$F,"SMART AI LIMITED")*G$185-SUMIFS('2月数据源'!$J:$J,'2月数据源'!$D:$D,$E13,'2月数据源'!$F:$F,"SMART AI LIMITED")*G$185</f>
        <v/>
      </c>
      <c r="H13" s="89">
        <f>SUMIFS('3月数据源'!$I:$I,'3月数据源'!$D:$D,$E13,'3月数据源'!$F:$F,"SMART AI LIMITED")*H$185-SUMIFS('3月数据源'!$J:$J,'3月数据源'!$D:$D,$E13,'3月数据源'!$F:$F,"SMART AI LIMITED")*H$185</f>
        <v/>
      </c>
      <c r="I13" s="89">
        <f>SUMIFS('4月数据源'!$I:$I,'4月数据源'!$D:$D,$E13,'4月数据源'!$F:$F,"SMART AI LIMITED")*I$185-SUMIFS('4月数据源'!$J:$J,'4月数据源'!$D:$D,$E13,'4月数据源'!$F:$F,"SMART AI LIMITED")*I$185</f>
        <v/>
      </c>
      <c r="J13" s="89">
        <f>SUMIFS('5月数据源'!$I:$I,'5月数据源'!$D:$D,$E13,'5月数据源'!$F:$F,"SMART AI LIMITED")*J$185-SUMIFS('5月数据源'!$J:$J,'5月数据源'!$D:$D,$E13,'5月数据源'!$F:$F,"SMART AI LIMITED")*J$185</f>
        <v/>
      </c>
      <c r="K13" s="89">
        <f>SUMIFS('6月数据源'!$I:$I,'6月数据源'!$D:$D,$E13,'6月数据源'!$F:$F,"SMART AI LIMITED")*K$185-SUMIFS('6月数据源'!$J:$J,'6月数据源'!$D:$D,$E13,'6月数据源'!$F:$F,"SMART AI LIMITED")*K$185</f>
        <v/>
      </c>
      <c r="L13" s="89">
        <f>SUMIFS('7月数据源'!$I:$I,'7月数据源'!$D:$D,$E13,'7月数据源'!$F:$F,"SMART AI LIMITED")*L$185-SUMIFS('7月数据源'!$J:$J,'7月数据源'!$D:$D,$E13,'7月数据源'!$F:$F,"SMART AI LIMITED")*L$185</f>
        <v/>
      </c>
      <c r="M13" s="89">
        <f>SUMIFS('8月数据源'!$I:$I,'8月数据源'!$D:$D,$E13,'8月数据源'!$F:$F,"SMART AI LIMITED")*M$185-SUMIFS('8月数据源'!$J:$J,'8月数据源'!$D:$D,$E13,'8月数据源'!$F:$F,"SMART AI LIMITED")*M$185</f>
        <v/>
      </c>
      <c r="N13" s="89">
        <f>SUMIFS('9月数据源'!$I:$I,'9月数据源'!$D:$D,$E13,'9月数据源'!$F:$F,"SMART AI LIMITED")*N$185-SUMIFS('9月数据源'!$J:$J,'9月数据源'!$D:$D,$E13,'9月数据源'!$F:$F,"SMART AI LIMITED")*N$185</f>
        <v/>
      </c>
      <c r="O13" s="89">
        <f>SUMIFS('10月数据源'!$I:$I,'10月数据源'!$D:$D,$E13,'10月数据源'!$F:$F,"SMART AI LIMITED")*O$185-SUMIFS('10月数据源'!$J:$J,'10月数据源'!$D:$D,$E13,'10月数据源'!$F:$F,"SMART AI LIMITED")*O$185</f>
        <v/>
      </c>
      <c r="P13" s="89">
        <f>SUMIFS('11月数据源'!$I:$I,'11月数据源'!$D:$D,$E13,'11月数据源'!$F:$F,"SMART AI LIMITED")*P$185-SUMIFS('11月数据源'!$J:$J,'11月数据源'!$D:$D,$E13,'11月数据源'!$F:$F,"SMART AI LIMITED")*P$185</f>
        <v/>
      </c>
      <c r="Q13" s="89">
        <f>SUMIFS('12月数据源'!$I:$I,'12月数据源'!$D:$D,$E13,'12月数据源'!$F:$F,"SMART AI LIMITED")*Q$185-SUMIFS('12月数据源'!$J:$J,'12月数据源'!$D:$D,$E13,'12月数据源'!$F:$F,"SMART AI LIMITED")*Q$185</f>
        <v/>
      </c>
    </row>
    <row r="14" s="83">
      <c r="A14" s="5" t="inlineStr">
        <is>
          <t>往来款项收入</t>
        </is>
      </c>
      <c r="B14" s="6" t="inlineStr">
        <is>
          <t>往来款项收入</t>
        </is>
      </c>
      <c r="D14" s="5" t="inlineStr">
        <is>
          <t>外部往来收入</t>
        </is>
      </c>
      <c r="E14" s="6" t="inlineStr">
        <is>
          <t>Q0402</t>
        </is>
      </c>
      <c r="F14" s="89">
        <f>SUMIFS('1月数据源'!$I:$I,'1月数据源'!$D:$D,$E14,'1月数据源'!$F:$F,"SMART AI LIMITED")*F$185-SUMIFS('1月数据源'!$J:$J,'1月数据源'!$D:$D,$E14,'1月数据源'!$F:$F,"SMART AI LIMITED")*F$185</f>
        <v/>
      </c>
      <c r="G14" s="89">
        <f>SUMIFS('2月数据源'!$I:$I,'2月数据源'!$D:$D,$E14,'2月数据源'!$F:$F,"SMART AI LIMITED")*G$185-SUMIFS('2月数据源'!$J:$J,'2月数据源'!$D:$D,$E14,'2月数据源'!$F:$F,"SMART AI LIMITED")*G$185</f>
        <v/>
      </c>
      <c r="H14" s="89">
        <f>SUMIFS('3月数据源'!$I:$I,'3月数据源'!$D:$D,$E14,'3月数据源'!$F:$F,"SMART AI LIMITED")*H$185-SUMIFS('3月数据源'!$J:$J,'3月数据源'!$D:$D,$E14,'3月数据源'!$F:$F,"SMART AI LIMITED")*H$185</f>
        <v/>
      </c>
      <c r="I14" s="89">
        <f>SUMIFS('4月数据源'!$I:$I,'4月数据源'!$D:$D,$E14,'4月数据源'!$F:$F,"SMART AI LIMITED")*I$185-SUMIFS('4月数据源'!$J:$J,'4月数据源'!$D:$D,$E14,'4月数据源'!$F:$F,"SMART AI LIMITED")*I$185</f>
        <v/>
      </c>
      <c r="J14" s="89">
        <f>SUMIFS('5月数据源'!$I:$I,'5月数据源'!$D:$D,$E14,'5月数据源'!$F:$F,"SMART AI LIMITED")*J$185-SUMIFS('5月数据源'!$J:$J,'5月数据源'!$D:$D,$E14,'5月数据源'!$F:$F,"SMART AI LIMITED")*J$185</f>
        <v/>
      </c>
      <c r="K14" s="89">
        <f>SUMIFS('6月数据源'!$I:$I,'6月数据源'!$D:$D,$E14,'6月数据源'!$F:$F,"SMART AI LIMITED")*K$185-SUMIFS('6月数据源'!$J:$J,'6月数据源'!$D:$D,$E14,'6月数据源'!$F:$F,"SMART AI LIMITED")*K$185</f>
        <v/>
      </c>
      <c r="L14" s="89">
        <f>SUMIFS('7月数据源'!$I:$I,'7月数据源'!$D:$D,$E14,'7月数据源'!$F:$F,"SMART AI LIMITED")*L$185-SUMIFS('7月数据源'!$J:$J,'7月数据源'!$D:$D,$E14,'7月数据源'!$F:$F,"SMART AI LIMITED")*L$185</f>
        <v/>
      </c>
      <c r="M14" s="89">
        <f>SUMIFS('8月数据源'!$I:$I,'8月数据源'!$D:$D,$E14,'8月数据源'!$F:$F,"SMART AI LIMITED")*M$185-SUMIFS('8月数据源'!$J:$J,'8月数据源'!$D:$D,$E14,'8月数据源'!$F:$F,"SMART AI LIMITED")*M$185</f>
        <v/>
      </c>
      <c r="N14" s="89">
        <f>SUMIFS('9月数据源'!$I:$I,'9月数据源'!$D:$D,$E14,'9月数据源'!$F:$F,"SMART AI LIMITED")*N$185-SUMIFS('9月数据源'!$J:$J,'9月数据源'!$D:$D,$E14,'9月数据源'!$F:$F,"SMART AI LIMITED")*N$185</f>
        <v/>
      </c>
      <c r="O14" s="89">
        <f>SUMIFS('10月数据源'!$I:$I,'10月数据源'!$D:$D,$E14,'10月数据源'!$F:$F,"SMART AI LIMITED")*O$185-SUMIFS('10月数据源'!$J:$J,'10月数据源'!$D:$D,$E14,'10月数据源'!$F:$F,"SMART AI LIMITED")*O$185</f>
        <v/>
      </c>
      <c r="P14" s="89">
        <f>SUMIFS('11月数据源'!$I:$I,'11月数据源'!$D:$D,$E14,'11月数据源'!$F:$F,"SMART AI LIMITED")*P$185-SUMIFS('11月数据源'!$J:$J,'11月数据源'!$D:$D,$E14,'11月数据源'!$F:$F,"SMART AI LIMITED")*P$185</f>
        <v/>
      </c>
      <c r="Q14" s="89">
        <f>SUMIFS('12月数据源'!$I:$I,'12月数据源'!$D:$D,$E14,'12月数据源'!$F:$F,"SMART AI LIMITED")*Q$185-SUMIFS('12月数据源'!$J:$J,'12月数据源'!$D:$D,$E14,'12月数据源'!$F:$F,"SMART AI LIMITED")*Q$185</f>
        <v/>
      </c>
    </row>
    <row r="15" s="83">
      <c r="A15" s="49" t="inlineStr">
        <is>
          <t>往来款项收入合计</t>
        </is>
      </c>
      <c r="B15" s="50" t="n"/>
      <c r="C15" s="50" t="n"/>
      <c r="D15" s="49" t="n"/>
      <c r="E15" s="49" t="n"/>
      <c r="F15" s="89">
        <f>SUM(F13:F14)</f>
        <v/>
      </c>
      <c r="G15" s="89">
        <f>SUM(G13:G14)</f>
        <v/>
      </c>
      <c r="H15" s="89">
        <f>SUM(H13:H14)</f>
        <v/>
      </c>
      <c r="I15" s="89">
        <f>SUM(I13:I14)</f>
        <v/>
      </c>
      <c r="J15" s="89">
        <f>SUM(J13:J14)</f>
        <v/>
      </c>
      <c r="K15" s="89">
        <f>SUM(K13:K14)</f>
        <v/>
      </c>
      <c r="L15" s="89">
        <f>SUM(L13:L14)</f>
        <v/>
      </c>
      <c r="M15" s="89">
        <f>SUM(M13:M14)</f>
        <v/>
      </c>
      <c r="N15" s="89">
        <f>SUM(N13:N14)</f>
        <v/>
      </c>
      <c r="O15" s="89">
        <f>SUM(O13:O14)</f>
        <v/>
      </c>
      <c r="P15" s="89">
        <f>SUM(P13:P14)</f>
        <v/>
      </c>
      <c r="Q15" s="89">
        <f>SUM(Q13:Q14)</f>
        <v/>
      </c>
    </row>
    <row r="16" s="83">
      <c r="A16" s="5" t="inlineStr">
        <is>
          <t>投资款收入</t>
        </is>
      </c>
      <c r="B16" s="6" t="inlineStr">
        <is>
          <t>投资款收入</t>
        </is>
      </c>
      <c r="C16" s="6" t="inlineStr">
        <is>
          <t>投资款收入</t>
        </is>
      </c>
      <c r="D16" s="5" t="inlineStr">
        <is>
          <t>内部投资款收入</t>
        </is>
      </c>
      <c r="E16" s="6" t="inlineStr">
        <is>
          <t>Q0501</t>
        </is>
      </c>
      <c r="F16" s="89" t="n"/>
      <c r="G16" s="89" t="n"/>
      <c r="H16" s="89" t="n"/>
      <c r="I16" s="89" t="n"/>
      <c r="J16" s="89">
        <f>1500000*7.1833+500000*7.1991</f>
        <v/>
      </c>
      <c r="K16" s="89">
        <f>500000*7.1803+700000*7.1729</f>
        <v/>
      </c>
      <c r="L16" s="89" t="n"/>
      <c r="M16" s="89" t="n"/>
      <c r="N16" s="89" t="n"/>
      <c r="O16" s="89" t="n"/>
      <c r="P16" s="89" t="n"/>
      <c r="Q16" s="89" t="n"/>
    </row>
    <row r="17" s="83">
      <c r="A17" s="5" t="inlineStr">
        <is>
          <t>投资款收入</t>
        </is>
      </c>
      <c r="B17" s="6" t="inlineStr">
        <is>
          <t>投资款收入</t>
        </is>
      </c>
      <c r="D17" s="5" t="inlineStr">
        <is>
          <t>外部投资款收入</t>
        </is>
      </c>
      <c r="E17" s="6" t="inlineStr">
        <is>
          <t>Q0502</t>
        </is>
      </c>
      <c r="F17" s="89">
        <f>SUMIFS('1月数据源'!$I:$I,'1月数据源'!$D:$D,$E17,'1月数据源'!$F:$F,"SMART AI LIMITED")*F$185-SUMIFS('1月数据源'!$J:$J,'1月数据源'!$D:$D,$E17,'1月数据源'!$F:$F,"SMART AI LIMITED")*F$185</f>
        <v/>
      </c>
      <c r="G17" s="89">
        <f>SUMIFS('2月数据源'!$I:$I,'2月数据源'!$D:$D,$E17,'2月数据源'!$F:$F,"SMART AI LIMITED")*G$185-SUMIFS('2月数据源'!$J:$J,'2月数据源'!$D:$D,$E17,'2月数据源'!$F:$F,"SMART AI LIMITED")*G$185</f>
        <v/>
      </c>
      <c r="H17" s="89">
        <f>SUMIFS('3月数据源'!$I:$I,'3月数据源'!$D:$D,$E17,'3月数据源'!$F:$F,"SMART AI LIMITED")*H$185-SUMIFS('3月数据源'!$J:$J,'3月数据源'!$D:$D,$E17,'3月数据源'!$F:$F,"SMART AI LIMITED")*H$185</f>
        <v/>
      </c>
      <c r="I17" s="89">
        <f>SUMIFS('4月数据源'!$I:$I,'4月数据源'!$D:$D,$E17,'4月数据源'!$F:$F,"SMART AI LIMITED")*I$185-SUMIFS('4月数据源'!$J:$J,'4月数据源'!$D:$D,$E17,'4月数据源'!$F:$F,"SMART AI LIMITED")*I$185</f>
        <v/>
      </c>
      <c r="J17" s="89">
        <f>SUMIFS('5月数据源'!$I:$I,'5月数据源'!$D:$D,$E17,'5月数据源'!$F:$F,"SMART AI LIMITED")*J$185-SUMIFS('5月数据源'!$J:$J,'5月数据源'!$D:$D,$E17,'5月数据源'!$F:$F,"SMART AI LIMITED")*J$185</f>
        <v/>
      </c>
      <c r="K17" s="89">
        <f>SUMIFS('6月数据源'!$I:$I,'6月数据源'!$D:$D,$E17,'6月数据源'!$F:$F,"SMART AI LIMITED")*K$185-SUMIFS('6月数据源'!$J:$J,'6月数据源'!$D:$D,$E17,'6月数据源'!$F:$F,"SMART AI LIMITED")*K$185</f>
        <v/>
      </c>
      <c r="L17" s="89">
        <f>SUMIFS('7月数据源'!$I:$I,'7月数据源'!$D:$D,$E17,'7月数据源'!$F:$F,"SMART AI LIMITED")*L$185-SUMIFS('7月数据源'!$J:$J,'7月数据源'!$D:$D,$E17,'7月数据源'!$F:$F,"SMART AI LIMITED")*L$185</f>
        <v/>
      </c>
      <c r="M17" s="89">
        <f>SUMIFS('8月数据源'!$I:$I,'8月数据源'!$D:$D,$E17,'8月数据源'!$F:$F,"SMART AI LIMITED")*M$185-SUMIFS('8月数据源'!$J:$J,'8月数据源'!$D:$D,$E17,'8月数据源'!$F:$F,"SMART AI LIMITED")*M$185</f>
        <v/>
      </c>
      <c r="N17" s="89">
        <f>SUMIFS('9月数据源'!$I:$I,'9月数据源'!$D:$D,$E17,'9月数据源'!$F:$F,"SMART AI LIMITED")*N$185-SUMIFS('9月数据源'!$J:$J,'9月数据源'!$D:$D,$E17,'9月数据源'!$F:$F,"SMART AI LIMITED")*N$185</f>
        <v/>
      </c>
      <c r="O17" s="89">
        <f>SUMIFS('10月数据源'!$I:$I,'10月数据源'!$D:$D,$E17,'10月数据源'!$F:$F,"SMART AI LIMITED")*O$185-SUMIFS('10月数据源'!$J:$J,'10月数据源'!$D:$D,$E17,'10月数据源'!$F:$F,"SMART AI LIMITED")*O$185</f>
        <v/>
      </c>
      <c r="P17" s="89">
        <f>SUMIFS('11月数据源'!$I:$I,'11月数据源'!$D:$D,$E17,'11月数据源'!$F:$F,"SMART AI LIMITED")*P$185-SUMIFS('11月数据源'!$J:$J,'11月数据源'!$D:$D,$E17,'11月数据源'!$F:$F,"SMART AI LIMITED")*P$185</f>
        <v/>
      </c>
      <c r="Q17" s="89">
        <f>SUMIFS('12月数据源'!$I:$I,'12月数据源'!$D:$D,$E17,'12月数据源'!$F:$F,"SMART AI LIMITED")*Q$185-SUMIFS('12月数据源'!$J:$J,'12月数据源'!$D:$D,$E17,'12月数据源'!$F:$F,"SMART AI LIMITED")*Q$185</f>
        <v/>
      </c>
    </row>
    <row r="18" s="83">
      <c r="A18" s="49" t="inlineStr">
        <is>
          <t>投资款收入合计</t>
        </is>
      </c>
      <c r="B18" s="50" t="n"/>
      <c r="C18" s="50" t="n"/>
      <c r="D18" s="49" t="n"/>
      <c r="E18" s="49" t="n"/>
      <c r="F18" s="89">
        <f>SUM(F16:F17)</f>
        <v/>
      </c>
      <c r="G18" s="89">
        <f>SUM(G16:G17)</f>
        <v/>
      </c>
      <c r="H18" s="89">
        <f>SUM(H16:H17)</f>
        <v/>
      </c>
      <c r="I18" s="89">
        <f>SUM(I16:I17)</f>
        <v/>
      </c>
      <c r="J18" s="89">
        <f>SUM(J16:J17)</f>
        <v/>
      </c>
      <c r="K18" s="89">
        <f>SUM(K16:K17)</f>
        <v/>
      </c>
      <c r="L18" s="89">
        <f>SUM(L16:L17)</f>
        <v/>
      </c>
      <c r="M18" s="89">
        <f>SUM(M16:M17)</f>
        <v/>
      </c>
      <c r="N18" s="89">
        <f>SUM(N16:N17)</f>
        <v/>
      </c>
      <c r="O18" s="89">
        <f>SUM(O16:O17)</f>
        <v/>
      </c>
      <c r="P18" s="89">
        <f>SUM(P16:P17)</f>
        <v/>
      </c>
      <c r="Q18" s="89">
        <f>SUM(Q16:Q17)</f>
        <v/>
      </c>
    </row>
    <row r="19" s="83">
      <c r="A19" s="51" t="inlineStr">
        <is>
          <t>收款合计</t>
        </is>
      </c>
      <c r="B19" s="52" t="n"/>
      <c r="C19" s="52" t="n"/>
      <c r="D19" s="51" t="n"/>
      <c r="E19" s="51" t="n"/>
      <c r="F19" s="89">
        <f>ROUND(F12+F15+F18,2)</f>
        <v/>
      </c>
      <c r="G19" s="89">
        <f>ROUND(G12+G15+G18,2)</f>
        <v/>
      </c>
      <c r="H19" s="89">
        <f>ROUND(H12+H15+H18,2)</f>
        <v/>
      </c>
      <c r="I19" s="89">
        <f>ROUND(I12+I15+I18,2)</f>
        <v/>
      </c>
      <c r="J19" s="89">
        <f>ROUND(J12+J15+J18,2)</f>
        <v/>
      </c>
      <c r="K19" s="89">
        <f>ROUND(K12+K15+K18,2)</f>
        <v/>
      </c>
      <c r="L19" s="89">
        <f>ROUND(L12+L15+L18,2)</f>
        <v/>
      </c>
      <c r="M19" s="89">
        <f>ROUND(M12+M15+M18,2)</f>
        <v/>
      </c>
      <c r="N19" s="89">
        <f>ROUND(N12+N15+N18,2)</f>
        <v/>
      </c>
      <c r="O19" s="89">
        <f>ROUND(O12+O15+O18,2)</f>
        <v/>
      </c>
      <c r="P19" s="89">
        <f>ROUND(P12+P15+P18,2)</f>
        <v/>
      </c>
      <c r="Q19" s="89">
        <f>ROUND(Q12+Q15+Q18,2)</f>
        <v/>
      </c>
    </row>
    <row r="20" s="83">
      <c r="A20" s="5" t="inlineStr">
        <is>
          <t>往来款项支出</t>
        </is>
      </c>
      <c r="B20" s="6" t="inlineStr">
        <is>
          <t>往来款项支出</t>
        </is>
      </c>
      <c r="C20" s="6" t="inlineStr">
        <is>
          <t>往来款项支出</t>
        </is>
      </c>
      <c r="D20" s="5" t="inlineStr">
        <is>
          <t>内部往来支出</t>
        </is>
      </c>
      <c r="E20" s="6" t="inlineStr">
        <is>
          <t>Q0601</t>
        </is>
      </c>
      <c r="F20" s="89">
        <f>-SUMIFS('1月数据源'!$I:$I,'1月数据源'!$D:$D,$E20,'1月数据源'!$F:$F,"SMART AI LIMITED")*F$185+SUMIFS('1月数据源'!$J:$J,'1月数据源'!$D:$D,$E20,'1月数据源'!$F:$F,"SMART AI LIMITED")*F$185</f>
        <v/>
      </c>
      <c r="G20" s="89">
        <f>-SUMIFS('2月数据源'!$I:$I,'2月数据源'!$D:$D,$E20,'2月数据源'!$F:$F,"SMART AI LIMITED")*G$185+SUMIFS('2月数据源'!$J:$J,'2月数据源'!$D:$D,$E20,'2月数据源'!$F:$F,"SMART AI LIMITED")*G$185</f>
        <v/>
      </c>
      <c r="H20" s="89">
        <f>-SUMIFS('3月数据源'!$I:$I,'3月数据源'!$D:$D,$E20,'3月数据源'!$F:$F,"SMART AI LIMITED")*H$185+SUMIFS('3月数据源'!$J:$J,'3月数据源'!$D:$D,$E20,'3月数据源'!$F:$F,"SMART AI LIMITED")*H$185</f>
        <v/>
      </c>
      <c r="I20" s="89">
        <f>-SUMIFS('4月数据源'!$I:$I,'4月数据源'!$D:$D,$E20,'4月数据源'!$F:$F,"SMART AI LIMITED")*I$185+SUMIFS('4月数据源'!$J:$J,'4月数据源'!$D:$D,$E20,'4月数据源'!$F:$F,"SMART AI LIMITED")*I$185</f>
        <v/>
      </c>
      <c r="J20" s="89">
        <f>-SUMIFS('5月数据源'!$I:$I,'5月数据源'!$D:$D,$E20,'5月数据源'!$F:$F,"SMART AI LIMITED")*J$185+SUMIFS('5月数据源'!$J:$J,'5月数据源'!$D:$D,$E20,'5月数据源'!$F:$F,"SMART AI LIMITED")*J$185</f>
        <v/>
      </c>
      <c r="K20" s="89">
        <f>-SUMIFS('6月数据源'!$I:$I,'6月数据源'!$D:$D,$E20,'6月数据源'!$F:$F,"SMART AI LIMITED")*K$185+SUMIFS('6月数据源'!$J:$J,'6月数据源'!$D:$D,$E20,'6月数据源'!$F:$F,"SMART AI LIMITED")*K$185</f>
        <v/>
      </c>
      <c r="L20" s="89">
        <f>-SUMIFS('7月数据源'!$I:$I,'7月数据源'!$D:$D,$E20,'7月数据源'!$F:$F,"SMART AI LIMITED")*L$185+SUMIFS('7月数据源'!$J:$J,'7月数据源'!$D:$D,$E20,'7月数据源'!$F:$F,"SMART AI LIMITED")*L$185</f>
        <v/>
      </c>
      <c r="M20" s="89">
        <f>-SUMIFS('8月数据源'!$I:$I,'8月数据源'!$D:$D,$E20,'8月数据源'!$F:$F,"SMART AI LIMITED")*M$185+SUMIFS('8月数据源'!$J:$J,'8月数据源'!$D:$D,$E20,'8月数据源'!$F:$F,"SMART AI LIMITED")*M$185</f>
        <v/>
      </c>
      <c r="N20" s="89">
        <f>-SUMIFS('9月数据源'!$I:$I,'9月数据源'!$D:$D,$E20,'9月数据源'!$F:$F,"SMART AI LIMITED")*N$185+SUMIFS('9月数据源'!$J:$J,'9月数据源'!$D:$D,$E20,'9月数据源'!$F:$F,"SMART AI LIMITED")*N$185</f>
        <v/>
      </c>
      <c r="O20" s="89">
        <f>-SUMIFS('10月数据源'!$I:$I,'10月数据源'!$D:$D,$E20,'10月数据源'!$F:$F,"SMART AI LIMITED")*O$185+SUMIFS('10月数据源'!$J:$J,'10月数据源'!$D:$D,$E20,'10月数据源'!$F:$F,"SMART AI LIMITED")*O$185</f>
        <v/>
      </c>
      <c r="P20" s="89">
        <f>-SUMIFS('11月数据源'!$I:$I,'11月数据源'!$D:$D,$E20,'11月数据源'!$F:$F,"SMART AI LIMITED")*P$185+SUMIFS('11月数据源'!$J:$J,'11月数据源'!$D:$D,$E20,'11月数据源'!$F:$F,"SMART AI LIMITED")*P$185</f>
        <v/>
      </c>
      <c r="Q20" s="89">
        <f>-SUMIFS('12月数据源'!$I:$I,'12月数据源'!$D:$D,$E20,'12月数据源'!$F:$F,"SMART AI LIMITED")*Q$185+SUMIFS('12月数据源'!$J:$J,'12月数据源'!$D:$D,$E20,'12月数据源'!$F:$F,"SMART AI LIMITED")*Q$185</f>
        <v/>
      </c>
    </row>
    <row r="21" s="83">
      <c r="A21" s="5" t="inlineStr">
        <is>
          <t>往来款项支出</t>
        </is>
      </c>
      <c r="B21" s="6" t="inlineStr">
        <is>
          <t>往来款项支出</t>
        </is>
      </c>
      <c r="D21" s="5" t="inlineStr">
        <is>
          <t>外部往来支出</t>
        </is>
      </c>
      <c r="E21" s="6" t="inlineStr">
        <is>
          <t>Q0602</t>
        </is>
      </c>
      <c r="F21" s="89">
        <f>-SUMIFS('1月数据源'!$I:$I,'1月数据源'!$D:$D,$E21,'1月数据源'!$F:$F,"SMART AI LIMITED")*F$185+SUMIFS('1月数据源'!$J:$J,'1月数据源'!$D:$D,$E21,'1月数据源'!$F:$F,"SMART AI LIMITED")*F$185</f>
        <v/>
      </c>
      <c r="G21" s="89">
        <f>-SUMIFS('2月数据源'!$I:$I,'2月数据源'!$D:$D,$E21,'2月数据源'!$F:$F,"SMART AI LIMITED")*G$185+SUMIFS('2月数据源'!$J:$J,'2月数据源'!$D:$D,$E21,'2月数据源'!$F:$F,"SMART AI LIMITED")*G$185</f>
        <v/>
      </c>
      <c r="H21" s="89">
        <f>-SUMIFS('3月数据源'!$I:$I,'3月数据源'!$D:$D,$E21,'3月数据源'!$F:$F,"SMART AI LIMITED")*H$185+SUMIFS('3月数据源'!$J:$J,'3月数据源'!$D:$D,$E21,'3月数据源'!$F:$F,"SMART AI LIMITED")*H$185</f>
        <v/>
      </c>
      <c r="I21" s="89">
        <f>-SUMIFS('4月数据源'!$I:$I,'4月数据源'!$D:$D,$E21,'4月数据源'!$F:$F,"SMART AI LIMITED")*I$185+SUMIFS('4月数据源'!$J:$J,'4月数据源'!$D:$D,$E21,'4月数据源'!$F:$F,"SMART AI LIMITED")*I$185</f>
        <v/>
      </c>
      <c r="J21" s="89">
        <f>-SUMIFS('5月数据源'!$I:$I,'5月数据源'!$D:$D,$E21,'5月数据源'!$F:$F,"SMART AI LIMITED")*J$185+SUMIFS('5月数据源'!$J:$J,'5月数据源'!$D:$D,$E21,'5月数据源'!$F:$F,"SMART AI LIMITED")*J$185</f>
        <v/>
      </c>
      <c r="K21" s="89">
        <f>-SUMIFS('6月数据源'!$I:$I,'6月数据源'!$D:$D,$E21,'6月数据源'!$F:$F,"SMART AI LIMITED")*K$185+SUMIFS('6月数据源'!$J:$J,'6月数据源'!$D:$D,$E21,'6月数据源'!$F:$F,"SMART AI LIMITED")*K$185</f>
        <v/>
      </c>
      <c r="L21" s="89">
        <f>-SUMIFS('7月数据源'!$I:$I,'7月数据源'!$D:$D,$E21,'7月数据源'!$F:$F,"SMART AI LIMITED")*L$185+SUMIFS('7月数据源'!$J:$J,'7月数据源'!$D:$D,$E21,'7月数据源'!$F:$F,"SMART AI LIMITED")*L$185</f>
        <v/>
      </c>
      <c r="M21" s="89">
        <f>-SUMIFS('8月数据源'!$I:$I,'8月数据源'!$D:$D,$E21,'8月数据源'!$F:$F,"SMART AI LIMITED")*M$185+SUMIFS('8月数据源'!$J:$J,'8月数据源'!$D:$D,$E21,'8月数据源'!$F:$F,"SMART AI LIMITED")*M$185</f>
        <v/>
      </c>
      <c r="N21" s="89">
        <f>-SUMIFS('9月数据源'!$I:$I,'9月数据源'!$D:$D,$E21,'9月数据源'!$F:$F,"SMART AI LIMITED")*N$185+SUMIFS('9月数据源'!$J:$J,'9月数据源'!$D:$D,$E21,'9月数据源'!$F:$F,"SMART AI LIMITED")*N$185</f>
        <v/>
      </c>
      <c r="O21" s="89">
        <f>-SUMIFS('10月数据源'!$I:$I,'10月数据源'!$D:$D,$E21,'10月数据源'!$F:$F,"SMART AI LIMITED")*O$185+SUMIFS('10月数据源'!$J:$J,'10月数据源'!$D:$D,$E21,'10月数据源'!$F:$F,"SMART AI LIMITED")*O$185</f>
        <v/>
      </c>
      <c r="P21" s="89">
        <f>-SUMIFS('11月数据源'!$I:$I,'11月数据源'!$D:$D,$E21,'11月数据源'!$F:$F,"SMART AI LIMITED")*P$185+SUMIFS('11月数据源'!$J:$J,'11月数据源'!$D:$D,$E21,'11月数据源'!$F:$F,"SMART AI LIMITED")*P$185</f>
        <v/>
      </c>
      <c r="Q21" s="89">
        <f>-SUMIFS('12月数据源'!$I:$I,'12月数据源'!$D:$D,$E21,'12月数据源'!$F:$F,"SMART AI LIMITED")*Q$185+SUMIFS('12月数据源'!$J:$J,'12月数据源'!$D:$D,$E21,'12月数据源'!$F:$F,"SMART AI LIMITED")*Q$185</f>
        <v/>
      </c>
    </row>
    <row r="22" s="83">
      <c r="A22" s="49" t="inlineStr">
        <is>
          <t>往来款项支出合计</t>
        </is>
      </c>
      <c r="B22" s="50" t="n"/>
      <c r="C22" s="50" t="n"/>
      <c r="D22" s="49" t="n"/>
      <c r="E22" s="49" t="n"/>
      <c r="F22" s="89">
        <f>SUM(F20:F21)</f>
        <v/>
      </c>
      <c r="G22" s="89">
        <f>SUM(G20:G21)</f>
        <v/>
      </c>
      <c r="H22" s="89">
        <f>SUM(H20:H21)</f>
        <v/>
      </c>
      <c r="I22" s="89">
        <f>SUM(I20:I21)</f>
        <v/>
      </c>
      <c r="J22" s="89">
        <f>SUM(J20:J21)</f>
        <v/>
      </c>
      <c r="K22" s="89">
        <f>SUM(K20:K21)</f>
        <v/>
      </c>
      <c r="L22" s="89">
        <f>SUM(L20:L21)</f>
        <v/>
      </c>
      <c r="M22" s="89">
        <f>SUM(M20:M21)</f>
        <v/>
      </c>
      <c r="N22" s="89">
        <f>SUM(N20:N21)</f>
        <v/>
      </c>
      <c r="O22" s="89">
        <f>SUM(O20:O21)</f>
        <v/>
      </c>
      <c r="P22" s="89">
        <f>SUM(P20:P21)</f>
        <v/>
      </c>
      <c r="Q22" s="89">
        <f>SUM(Q20:Q21)</f>
        <v/>
      </c>
    </row>
    <row r="23" s="83">
      <c r="A23" s="5" t="inlineStr">
        <is>
          <t>投资款支出</t>
        </is>
      </c>
      <c r="B23" s="6" t="inlineStr">
        <is>
          <t>投资款支出</t>
        </is>
      </c>
      <c r="C23" s="6" t="inlineStr">
        <is>
          <t>投资款支出</t>
        </is>
      </c>
      <c r="D23" s="5" t="inlineStr">
        <is>
          <t>内部投资款支出</t>
        </is>
      </c>
      <c r="E23" s="6" t="inlineStr">
        <is>
          <t>Q0701</t>
        </is>
      </c>
      <c r="F23" s="89" t="n"/>
      <c r="G23" s="89" t="n"/>
      <c r="H23" s="89" t="n"/>
      <c r="I23" s="89" t="n"/>
      <c r="J23" s="89">
        <f>1500000*7.1833+500000*7.1991</f>
        <v/>
      </c>
      <c r="K23" s="89">
        <f>500000*7.1803+700000*7.1729</f>
        <v/>
      </c>
      <c r="L23" s="89" t="n"/>
      <c r="M23" s="89" t="n"/>
      <c r="N23" s="89" t="n"/>
      <c r="O23" s="89" t="n"/>
      <c r="P23" s="89" t="n"/>
      <c r="Q23" s="89" t="n"/>
    </row>
    <row r="24" s="83">
      <c r="A24" s="49" t="inlineStr">
        <is>
          <t>投资款支出合计</t>
        </is>
      </c>
      <c r="B24" s="50" t="n"/>
      <c r="C24" s="50" t="n"/>
      <c r="D24" s="49" t="n"/>
      <c r="E24" s="49" t="n"/>
      <c r="F24" s="89">
        <f>SUM(F23:F23)</f>
        <v/>
      </c>
      <c r="G24" s="89">
        <f>SUM(G23:G23)</f>
        <v/>
      </c>
      <c r="H24" s="89">
        <f>SUM(H23:H23)</f>
        <v/>
      </c>
      <c r="I24" s="89">
        <f>SUM(I23:I23)</f>
        <v/>
      </c>
      <c r="J24" s="89">
        <f>SUM(J23:J23)</f>
        <v/>
      </c>
      <c r="K24" s="89">
        <f>SUM(K23:K23)</f>
        <v/>
      </c>
      <c r="L24" s="89">
        <f>SUM(L23:L23)</f>
        <v/>
      </c>
      <c r="M24" s="89">
        <f>SUM(M23:M23)</f>
        <v/>
      </c>
      <c r="N24" s="89">
        <f>SUM(N23:N23)</f>
        <v/>
      </c>
      <c r="O24" s="89">
        <f>SUM(O23:O23)</f>
        <v/>
      </c>
      <c r="P24" s="89">
        <f>SUM(P23:P23)</f>
        <v/>
      </c>
      <c r="Q24" s="89">
        <f>SUM(Q23:Q23)</f>
        <v/>
      </c>
    </row>
    <row r="25" s="83">
      <c r="A25" s="5" t="inlineStr">
        <is>
          <t>人工成本</t>
        </is>
      </c>
      <c r="B25" s="6" t="inlineStr">
        <is>
          <t>人工成本</t>
        </is>
      </c>
      <c r="C25" s="6" t="inlineStr">
        <is>
          <t>人工成本</t>
        </is>
      </c>
      <c r="D25" s="5" t="inlineStr">
        <is>
          <t>实发工资</t>
        </is>
      </c>
      <c r="E25" s="6" t="inlineStr">
        <is>
          <t>Q0801</t>
        </is>
      </c>
      <c r="F25" s="89">
        <f>-SUMIFS('1月数据源'!$I:$I,'1月数据源'!$D:$D,$E25,'1月数据源'!$F:$F,"SMART AI LIMITED")*F$185+SUMIFS('1月数据源'!$J:$J,'1月数据源'!$D:$D,$E25,'1月数据源'!$F:$F,"SMART AI LIMITED")*F$185</f>
        <v/>
      </c>
      <c r="G25" s="89">
        <f>-SUMIFS('2月数据源'!$I:$I,'2月数据源'!$D:$D,$E25,'2月数据源'!$F:$F,"SMART AI LIMITED")*G$185+SUMIFS('2月数据源'!$J:$J,'2月数据源'!$D:$D,$E25,'2月数据源'!$F:$F,"SMART AI LIMITED")*G$185</f>
        <v/>
      </c>
      <c r="H25" s="89">
        <f>-SUMIFS('3月数据源'!$I:$I,'3月数据源'!$D:$D,$E25,'3月数据源'!$F:$F,"SMART AI LIMITED")*H$185+SUMIFS('3月数据源'!$J:$J,'3月数据源'!$D:$D,$E25,'3月数据源'!$F:$F,"SMART AI LIMITED")*H$185</f>
        <v/>
      </c>
      <c r="I25" s="89">
        <f>-SUMIFS('4月数据源'!$I:$I,'4月数据源'!$D:$D,$E25,'4月数据源'!$F:$F,"SMART AI LIMITED")*I$185+SUMIFS('4月数据源'!$J:$J,'4月数据源'!$D:$D,$E25,'4月数据源'!$F:$F,"SMART AI LIMITED")*I$185</f>
        <v/>
      </c>
      <c r="J25" s="89">
        <f>-SUMIFS('5月数据源'!$I:$I,'5月数据源'!$D:$D,$E25,'5月数据源'!$F:$F,"SMART AI LIMITED")*J$185+SUMIFS('5月数据源'!$J:$J,'5月数据源'!$D:$D,$E25,'5月数据源'!$F:$F,"SMART AI LIMITED")*J$185</f>
        <v/>
      </c>
      <c r="K25" s="89">
        <f>-SUMIFS('6月数据源'!$I:$I,'6月数据源'!$D:$D,$E25,'6月数据源'!$F:$F,"SMART AI LIMITED")*K$185+SUMIFS('6月数据源'!$J:$J,'6月数据源'!$D:$D,$E25,'6月数据源'!$F:$F,"SMART AI LIMITED")*K$185</f>
        <v/>
      </c>
      <c r="L25" s="89">
        <f>-SUMIFS('7月数据源'!$I:$I,'7月数据源'!$D:$D,$E25,'7月数据源'!$F:$F,"SMART AI LIMITED")*L$185+SUMIFS('7月数据源'!$J:$J,'7月数据源'!$D:$D,$E25,'7月数据源'!$F:$F,"SMART AI LIMITED")*L$185</f>
        <v/>
      </c>
      <c r="M25" s="89">
        <f>-SUMIFS('8月数据源'!$I:$I,'8月数据源'!$D:$D,$E25,'8月数据源'!$F:$F,"SMART AI LIMITED")*M$185+SUMIFS('8月数据源'!$J:$J,'8月数据源'!$D:$D,$E25,'8月数据源'!$F:$F,"SMART AI LIMITED")*M$185</f>
        <v/>
      </c>
      <c r="N25" s="89">
        <f>-SUMIFS('9月数据源'!$I:$I,'9月数据源'!$D:$D,$E25,'9月数据源'!$F:$F,"SMART AI LIMITED")*N$185+SUMIFS('9月数据源'!$J:$J,'9月数据源'!$D:$D,$E25,'9月数据源'!$F:$F,"SMART AI LIMITED")*N$185</f>
        <v/>
      </c>
      <c r="O25" s="89">
        <f>-SUMIFS('10月数据源'!$I:$I,'10月数据源'!$D:$D,$E25,'10月数据源'!$F:$F,"SMART AI LIMITED")*O$185+SUMIFS('10月数据源'!$J:$J,'10月数据源'!$D:$D,$E25,'10月数据源'!$F:$F,"SMART AI LIMITED")*O$185</f>
        <v/>
      </c>
      <c r="P25" s="89">
        <f>-SUMIFS('11月数据源'!$I:$I,'11月数据源'!$D:$D,$E25,'11月数据源'!$F:$F,"SMART AI LIMITED")*P$185+SUMIFS('11月数据源'!$J:$J,'11月数据源'!$D:$D,$E25,'11月数据源'!$F:$F,"SMART AI LIMITED")*P$185</f>
        <v/>
      </c>
      <c r="Q25" s="89">
        <f>-SUMIFS('12月数据源'!$I:$I,'12月数据源'!$D:$D,$E25,'12月数据源'!$F:$F,"SMART AI LIMITED")*Q$185+SUMIFS('12月数据源'!$J:$J,'12月数据源'!$D:$D,$E25,'12月数据源'!$F:$F,"SMART AI LIMITED")*Q$185</f>
        <v/>
      </c>
    </row>
    <row r="26" s="83">
      <c r="A26" s="5" t="inlineStr">
        <is>
          <t>人工成本</t>
        </is>
      </c>
      <c r="B26" s="6" t="inlineStr">
        <is>
          <t>人工成本</t>
        </is>
      </c>
      <c r="D26" s="5" t="inlineStr">
        <is>
          <t>奖金</t>
        </is>
      </c>
      <c r="E26" s="6" t="inlineStr">
        <is>
          <t>Q0802</t>
        </is>
      </c>
      <c r="F26" s="89">
        <f>-SUMIFS('1月数据源'!$I:$I,'1月数据源'!$D:$D,$E26,'1月数据源'!$F:$F,"SMART AI LIMITED")*F$185+SUMIFS('1月数据源'!$J:$J,'1月数据源'!$D:$D,$E26,'1月数据源'!$F:$F,"SMART AI LIMITED")*F$185</f>
        <v/>
      </c>
      <c r="G26" s="89">
        <f>-SUMIFS('2月数据源'!$I:$I,'2月数据源'!$D:$D,$E26,'2月数据源'!$F:$F,"SMART AI LIMITED")*G$185+SUMIFS('2月数据源'!$J:$J,'2月数据源'!$D:$D,$E26,'2月数据源'!$F:$F,"SMART AI LIMITED")*G$185</f>
        <v/>
      </c>
      <c r="H26" s="89">
        <f>-SUMIFS('3月数据源'!$I:$I,'3月数据源'!$D:$D,$E26,'3月数据源'!$F:$F,"SMART AI LIMITED")*H$185+SUMIFS('3月数据源'!$J:$J,'3月数据源'!$D:$D,$E26,'3月数据源'!$F:$F,"SMART AI LIMITED")*H$185</f>
        <v/>
      </c>
      <c r="I26" s="89">
        <f>-SUMIFS('4月数据源'!$I:$I,'4月数据源'!$D:$D,$E26,'4月数据源'!$F:$F,"SMART AI LIMITED")*I$185+SUMIFS('4月数据源'!$J:$J,'4月数据源'!$D:$D,$E26,'4月数据源'!$F:$F,"SMART AI LIMITED")*I$185</f>
        <v/>
      </c>
      <c r="J26" s="89">
        <f>-SUMIFS('5月数据源'!$I:$I,'5月数据源'!$D:$D,$E26,'5月数据源'!$F:$F,"SMART AI LIMITED")*J$185+SUMIFS('5月数据源'!$J:$J,'5月数据源'!$D:$D,$E26,'5月数据源'!$F:$F,"SMART AI LIMITED")*J$185</f>
        <v/>
      </c>
      <c r="K26" s="89">
        <f>-SUMIFS('6月数据源'!$I:$I,'6月数据源'!$D:$D,$E26,'6月数据源'!$F:$F,"SMART AI LIMITED")*K$185+SUMIFS('6月数据源'!$J:$J,'6月数据源'!$D:$D,$E26,'6月数据源'!$F:$F,"SMART AI LIMITED")*K$185</f>
        <v/>
      </c>
      <c r="L26" s="89">
        <f>-SUMIFS('7月数据源'!$I:$I,'7月数据源'!$D:$D,$E26,'7月数据源'!$F:$F,"SMART AI LIMITED")*L$185+SUMIFS('7月数据源'!$J:$J,'7月数据源'!$D:$D,$E26,'7月数据源'!$F:$F,"SMART AI LIMITED")*L$185</f>
        <v/>
      </c>
      <c r="M26" s="89">
        <f>-SUMIFS('8月数据源'!$I:$I,'8月数据源'!$D:$D,$E26,'8月数据源'!$F:$F,"SMART AI LIMITED")*M$185+SUMIFS('8月数据源'!$J:$J,'8月数据源'!$D:$D,$E26,'8月数据源'!$F:$F,"SMART AI LIMITED")*M$185</f>
        <v/>
      </c>
      <c r="N26" s="89">
        <f>-SUMIFS('9月数据源'!$I:$I,'9月数据源'!$D:$D,$E26,'9月数据源'!$F:$F,"SMART AI LIMITED")*N$185+SUMIFS('9月数据源'!$J:$J,'9月数据源'!$D:$D,$E26,'9月数据源'!$F:$F,"SMART AI LIMITED")*N$185</f>
        <v/>
      </c>
      <c r="O26" s="89">
        <f>-SUMIFS('10月数据源'!$I:$I,'10月数据源'!$D:$D,$E26,'10月数据源'!$F:$F,"SMART AI LIMITED")*O$185+SUMIFS('10月数据源'!$J:$J,'10月数据源'!$D:$D,$E26,'10月数据源'!$F:$F,"SMART AI LIMITED")*O$185</f>
        <v/>
      </c>
      <c r="P26" s="89">
        <f>-SUMIFS('11月数据源'!$I:$I,'11月数据源'!$D:$D,$E26,'11月数据源'!$F:$F,"SMART AI LIMITED")*P$185+SUMIFS('11月数据源'!$J:$J,'11月数据源'!$D:$D,$E26,'11月数据源'!$F:$F,"SMART AI LIMITED")*P$185</f>
        <v/>
      </c>
      <c r="Q26" s="89">
        <f>-SUMIFS('12月数据源'!$I:$I,'12月数据源'!$D:$D,$E26,'12月数据源'!$F:$F,"SMART AI LIMITED")*Q$185+SUMIFS('12月数据源'!$J:$J,'12月数据源'!$D:$D,$E26,'12月数据源'!$F:$F,"SMART AI LIMITED")*Q$185</f>
        <v/>
      </c>
    </row>
    <row r="27" s="83">
      <c r="A27" s="5" t="inlineStr">
        <is>
          <t>人工成本</t>
        </is>
      </c>
      <c r="B27" s="6" t="inlineStr">
        <is>
          <t>人工成本</t>
        </is>
      </c>
      <c r="D27" s="5" t="inlineStr">
        <is>
          <t>社保（单位+个人）</t>
        </is>
      </c>
      <c r="E27" s="6" t="inlineStr">
        <is>
          <t>Q0803</t>
        </is>
      </c>
      <c r="F27" s="89">
        <f>-SUMIFS('1月数据源'!$I:$I,'1月数据源'!$D:$D,$E27,'1月数据源'!$F:$F,"SMART AI LIMITED")*F$185+SUMIFS('1月数据源'!$J:$J,'1月数据源'!$D:$D,$E27,'1月数据源'!$F:$F,"SMART AI LIMITED")*F$185</f>
        <v/>
      </c>
      <c r="G27" s="89">
        <f>-SUMIFS('2月数据源'!$I:$I,'2月数据源'!$D:$D,$E27,'2月数据源'!$F:$F,"SMART AI LIMITED")*G$185+SUMIFS('2月数据源'!$J:$J,'2月数据源'!$D:$D,$E27,'2月数据源'!$F:$F,"SMART AI LIMITED")*G$185</f>
        <v/>
      </c>
      <c r="H27" s="89">
        <f>-SUMIFS('3月数据源'!$I:$I,'3月数据源'!$D:$D,$E27,'3月数据源'!$F:$F,"SMART AI LIMITED")*H$185+SUMIFS('3月数据源'!$J:$J,'3月数据源'!$D:$D,$E27,'3月数据源'!$F:$F,"SMART AI LIMITED")*H$185</f>
        <v/>
      </c>
      <c r="I27" s="89">
        <f>-SUMIFS('4月数据源'!$I:$I,'4月数据源'!$D:$D,$E27,'4月数据源'!$F:$F,"SMART AI LIMITED")*I$185+SUMIFS('4月数据源'!$J:$J,'4月数据源'!$D:$D,$E27,'4月数据源'!$F:$F,"SMART AI LIMITED")*I$185</f>
        <v/>
      </c>
      <c r="J27" s="89">
        <f>-SUMIFS('5月数据源'!$I:$I,'5月数据源'!$D:$D,$E27,'5月数据源'!$F:$F,"SMART AI LIMITED")*J$185+SUMIFS('5月数据源'!$J:$J,'5月数据源'!$D:$D,$E27,'5月数据源'!$F:$F,"SMART AI LIMITED")*J$185</f>
        <v/>
      </c>
      <c r="K27" s="89">
        <f>-SUMIFS('6月数据源'!$I:$I,'6月数据源'!$D:$D,$E27,'6月数据源'!$F:$F,"SMART AI LIMITED")*K$185+SUMIFS('6月数据源'!$J:$J,'6月数据源'!$D:$D,$E27,'6月数据源'!$F:$F,"SMART AI LIMITED")*K$185</f>
        <v/>
      </c>
      <c r="L27" s="89">
        <f>-SUMIFS('7月数据源'!$I:$I,'7月数据源'!$D:$D,$E27,'7月数据源'!$F:$F,"SMART AI LIMITED")*L$185+SUMIFS('7月数据源'!$J:$J,'7月数据源'!$D:$D,$E27,'7月数据源'!$F:$F,"SMART AI LIMITED")*L$185</f>
        <v/>
      </c>
      <c r="M27" s="89">
        <f>-SUMIFS('8月数据源'!$I:$I,'8月数据源'!$D:$D,$E27,'8月数据源'!$F:$F,"SMART AI LIMITED")*M$185+SUMIFS('8月数据源'!$J:$J,'8月数据源'!$D:$D,$E27,'8月数据源'!$F:$F,"SMART AI LIMITED")*M$185</f>
        <v/>
      </c>
      <c r="N27" s="89">
        <f>-SUMIFS('9月数据源'!$I:$I,'9月数据源'!$D:$D,$E27,'9月数据源'!$F:$F,"SMART AI LIMITED")*N$185+SUMIFS('9月数据源'!$J:$J,'9月数据源'!$D:$D,$E27,'9月数据源'!$F:$F,"SMART AI LIMITED")*N$185</f>
        <v/>
      </c>
      <c r="O27" s="89">
        <f>-SUMIFS('10月数据源'!$I:$I,'10月数据源'!$D:$D,$E27,'10月数据源'!$F:$F,"SMART AI LIMITED")*O$185+SUMIFS('10月数据源'!$J:$J,'10月数据源'!$D:$D,$E27,'10月数据源'!$F:$F,"SMART AI LIMITED")*O$185</f>
        <v/>
      </c>
      <c r="P27" s="89">
        <f>-SUMIFS('11月数据源'!$I:$I,'11月数据源'!$D:$D,$E27,'11月数据源'!$F:$F,"SMART AI LIMITED")*P$185+SUMIFS('11月数据源'!$J:$J,'11月数据源'!$D:$D,$E27,'11月数据源'!$F:$F,"SMART AI LIMITED")*P$185</f>
        <v/>
      </c>
      <c r="Q27" s="89">
        <f>-SUMIFS('12月数据源'!$I:$I,'12月数据源'!$D:$D,$E27,'12月数据源'!$F:$F,"SMART AI LIMITED")*Q$185+SUMIFS('12月数据源'!$J:$J,'12月数据源'!$D:$D,$E27,'12月数据源'!$F:$F,"SMART AI LIMITED")*Q$185</f>
        <v/>
      </c>
    </row>
    <row r="28" s="83">
      <c r="A28" s="5" t="inlineStr">
        <is>
          <t>人工成本</t>
        </is>
      </c>
      <c r="B28" s="6" t="inlineStr">
        <is>
          <t>人工成本</t>
        </is>
      </c>
      <c r="D28" s="5" t="inlineStr">
        <is>
          <t>公积金（单位+个人）</t>
        </is>
      </c>
      <c r="E28" s="6" t="inlineStr">
        <is>
          <t>Q0804</t>
        </is>
      </c>
      <c r="F28" s="89">
        <f>-SUMIFS('1月数据源'!$I:$I,'1月数据源'!$D:$D,$E28,'1月数据源'!$F:$F,"SMART AI LIMITED")*F$185+SUMIFS('1月数据源'!$J:$J,'1月数据源'!$D:$D,$E28,'1月数据源'!$F:$F,"SMART AI LIMITED")*F$185</f>
        <v/>
      </c>
      <c r="G28" s="89">
        <f>-SUMIFS('2月数据源'!$I:$I,'2月数据源'!$D:$D,$E28,'2月数据源'!$F:$F,"SMART AI LIMITED")*G$185+SUMIFS('2月数据源'!$J:$J,'2月数据源'!$D:$D,$E28,'2月数据源'!$F:$F,"SMART AI LIMITED")*G$185</f>
        <v/>
      </c>
      <c r="H28" s="89">
        <f>-SUMIFS('3月数据源'!$I:$I,'3月数据源'!$D:$D,$E28,'3月数据源'!$F:$F,"SMART AI LIMITED")*H$185+SUMIFS('3月数据源'!$J:$J,'3月数据源'!$D:$D,$E28,'3月数据源'!$F:$F,"SMART AI LIMITED")*H$185</f>
        <v/>
      </c>
      <c r="I28" s="89">
        <f>-SUMIFS('4月数据源'!$I:$I,'4月数据源'!$D:$D,$E28,'4月数据源'!$F:$F,"SMART AI LIMITED")*I$185+SUMIFS('4月数据源'!$J:$J,'4月数据源'!$D:$D,$E28,'4月数据源'!$F:$F,"SMART AI LIMITED")*I$185</f>
        <v/>
      </c>
      <c r="J28" s="89">
        <f>-SUMIFS('5月数据源'!$I:$I,'5月数据源'!$D:$D,$E28,'5月数据源'!$F:$F,"SMART AI LIMITED")*J$185+SUMIFS('5月数据源'!$J:$J,'5月数据源'!$D:$D,$E28,'5月数据源'!$F:$F,"SMART AI LIMITED")*J$185</f>
        <v/>
      </c>
      <c r="K28" s="89">
        <f>-SUMIFS('6月数据源'!$I:$I,'6月数据源'!$D:$D,$E28,'6月数据源'!$F:$F,"SMART AI LIMITED")*K$185+SUMIFS('6月数据源'!$J:$J,'6月数据源'!$D:$D,$E28,'6月数据源'!$F:$F,"SMART AI LIMITED")*K$185</f>
        <v/>
      </c>
      <c r="L28" s="89">
        <f>-SUMIFS('7月数据源'!$I:$I,'7月数据源'!$D:$D,$E28,'7月数据源'!$F:$F,"SMART AI LIMITED")*L$185+SUMIFS('7月数据源'!$J:$J,'7月数据源'!$D:$D,$E28,'7月数据源'!$F:$F,"SMART AI LIMITED")*L$185</f>
        <v/>
      </c>
      <c r="M28" s="89">
        <f>-SUMIFS('8月数据源'!$I:$I,'8月数据源'!$D:$D,$E28,'8月数据源'!$F:$F,"SMART AI LIMITED")*M$185+SUMIFS('8月数据源'!$J:$J,'8月数据源'!$D:$D,$E28,'8月数据源'!$F:$F,"SMART AI LIMITED")*M$185</f>
        <v/>
      </c>
      <c r="N28" s="89">
        <f>-SUMIFS('9月数据源'!$I:$I,'9月数据源'!$D:$D,$E28,'9月数据源'!$F:$F,"SMART AI LIMITED")*N$185+SUMIFS('9月数据源'!$J:$J,'9月数据源'!$D:$D,$E28,'9月数据源'!$F:$F,"SMART AI LIMITED")*N$185</f>
        <v/>
      </c>
      <c r="O28" s="89">
        <f>-SUMIFS('10月数据源'!$I:$I,'10月数据源'!$D:$D,$E28,'10月数据源'!$F:$F,"SMART AI LIMITED")*O$185+SUMIFS('10月数据源'!$J:$J,'10月数据源'!$D:$D,$E28,'10月数据源'!$F:$F,"SMART AI LIMITED")*O$185</f>
        <v/>
      </c>
      <c r="P28" s="89">
        <f>-SUMIFS('11月数据源'!$I:$I,'11月数据源'!$D:$D,$E28,'11月数据源'!$F:$F,"SMART AI LIMITED")*P$185+SUMIFS('11月数据源'!$J:$J,'11月数据源'!$D:$D,$E28,'11月数据源'!$F:$F,"SMART AI LIMITED")*P$185</f>
        <v/>
      </c>
      <c r="Q28" s="89">
        <f>-SUMIFS('12月数据源'!$I:$I,'12月数据源'!$D:$D,$E28,'12月数据源'!$F:$F,"SMART AI LIMITED")*Q$185+SUMIFS('12月数据源'!$J:$J,'12月数据源'!$D:$D,$E28,'12月数据源'!$F:$F,"SMART AI LIMITED")*Q$185</f>
        <v/>
      </c>
    </row>
    <row r="29" s="83">
      <c r="A29" s="5" t="inlineStr">
        <is>
          <t>人工成本</t>
        </is>
      </c>
      <c r="B29" s="6" t="inlineStr">
        <is>
          <t>人工成本</t>
        </is>
      </c>
      <c r="D29" s="5" t="inlineStr">
        <is>
          <t>个税</t>
        </is>
      </c>
      <c r="E29" s="6" t="inlineStr">
        <is>
          <t>Q0805</t>
        </is>
      </c>
      <c r="F29" s="89">
        <f>-SUMIFS('1月数据源'!$I:$I,'1月数据源'!$D:$D,$E29,'1月数据源'!$F:$F,"SMART AI LIMITED")*F$185+SUMIFS('1月数据源'!$J:$J,'1月数据源'!$D:$D,$E29,'1月数据源'!$F:$F,"SMART AI LIMITED")*F$185</f>
        <v/>
      </c>
      <c r="G29" s="89">
        <f>-SUMIFS('2月数据源'!$I:$I,'2月数据源'!$D:$D,$E29,'2月数据源'!$F:$F,"SMART AI LIMITED")*G$185+SUMIFS('2月数据源'!$J:$J,'2月数据源'!$D:$D,$E29,'2月数据源'!$F:$F,"SMART AI LIMITED")*G$185</f>
        <v/>
      </c>
      <c r="H29" s="89">
        <f>-SUMIFS('3月数据源'!$I:$I,'3月数据源'!$D:$D,$E29,'3月数据源'!$F:$F,"SMART AI LIMITED")*H$185+SUMIFS('3月数据源'!$J:$J,'3月数据源'!$D:$D,$E29,'3月数据源'!$F:$F,"SMART AI LIMITED")*H$185</f>
        <v/>
      </c>
      <c r="I29" s="89">
        <f>-SUMIFS('4月数据源'!$I:$I,'4月数据源'!$D:$D,$E29,'4月数据源'!$F:$F,"SMART AI LIMITED")*I$185+SUMIFS('4月数据源'!$J:$J,'4月数据源'!$D:$D,$E29,'4月数据源'!$F:$F,"SMART AI LIMITED")*I$185</f>
        <v/>
      </c>
      <c r="J29" s="89">
        <f>-SUMIFS('5月数据源'!$I:$I,'5月数据源'!$D:$D,$E29,'5月数据源'!$F:$F,"SMART AI LIMITED")*J$185+SUMIFS('5月数据源'!$J:$J,'5月数据源'!$D:$D,$E29,'5月数据源'!$F:$F,"SMART AI LIMITED")*J$185</f>
        <v/>
      </c>
      <c r="K29" s="89">
        <f>-SUMIFS('6月数据源'!$I:$I,'6月数据源'!$D:$D,$E29,'6月数据源'!$F:$F,"SMART AI LIMITED")*K$185+SUMIFS('6月数据源'!$J:$J,'6月数据源'!$D:$D,$E29,'6月数据源'!$F:$F,"SMART AI LIMITED")*K$185</f>
        <v/>
      </c>
      <c r="L29" s="89">
        <f>-SUMIFS('7月数据源'!$I:$I,'7月数据源'!$D:$D,$E29,'7月数据源'!$F:$F,"SMART AI LIMITED")*L$185+SUMIFS('7月数据源'!$J:$J,'7月数据源'!$D:$D,$E29,'7月数据源'!$F:$F,"SMART AI LIMITED")*L$185</f>
        <v/>
      </c>
      <c r="M29" s="89">
        <f>-SUMIFS('8月数据源'!$I:$I,'8月数据源'!$D:$D,$E29,'8月数据源'!$F:$F,"SMART AI LIMITED")*M$185+SUMIFS('8月数据源'!$J:$J,'8月数据源'!$D:$D,$E29,'8月数据源'!$F:$F,"SMART AI LIMITED")*M$185</f>
        <v/>
      </c>
      <c r="N29" s="89">
        <f>-SUMIFS('9月数据源'!$I:$I,'9月数据源'!$D:$D,$E29,'9月数据源'!$F:$F,"SMART AI LIMITED")*N$185+SUMIFS('9月数据源'!$J:$J,'9月数据源'!$D:$D,$E29,'9月数据源'!$F:$F,"SMART AI LIMITED")*N$185</f>
        <v/>
      </c>
      <c r="O29" s="89">
        <f>-SUMIFS('10月数据源'!$I:$I,'10月数据源'!$D:$D,$E29,'10月数据源'!$F:$F,"SMART AI LIMITED")*O$185+SUMIFS('10月数据源'!$J:$J,'10月数据源'!$D:$D,$E29,'10月数据源'!$F:$F,"SMART AI LIMITED")*O$185</f>
        <v/>
      </c>
      <c r="P29" s="89">
        <f>-SUMIFS('11月数据源'!$I:$I,'11月数据源'!$D:$D,$E29,'11月数据源'!$F:$F,"SMART AI LIMITED")*P$185+SUMIFS('11月数据源'!$J:$J,'11月数据源'!$D:$D,$E29,'11月数据源'!$F:$F,"SMART AI LIMITED")*P$185</f>
        <v/>
      </c>
      <c r="Q29" s="89">
        <f>-SUMIFS('12月数据源'!$I:$I,'12月数据源'!$D:$D,$E29,'12月数据源'!$F:$F,"SMART AI LIMITED")*Q$185+SUMIFS('12月数据源'!$J:$J,'12月数据源'!$D:$D,$E29,'12月数据源'!$F:$F,"SMART AI LIMITED")*Q$185</f>
        <v/>
      </c>
    </row>
    <row r="30" s="83">
      <c r="A30" s="5" t="inlineStr">
        <is>
          <t>人工成本</t>
        </is>
      </c>
      <c r="B30" s="6" t="inlineStr">
        <is>
          <t>人工成本</t>
        </is>
      </c>
      <c r="D30" s="5" t="inlineStr">
        <is>
          <t>福利费</t>
        </is>
      </c>
      <c r="E30" s="6" t="inlineStr">
        <is>
          <t>Q0806</t>
        </is>
      </c>
      <c r="F30" s="89">
        <f>-SUMIFS('1月数据源'!$I:$I,'1月数据源'!$D:$D,$E30,'1月数据源'!$F:$F,"SMART AI LIMITED")*F$185+SUMIFS('1月数据源'!$J:$J,'1月数据源'!$D:$D,$E30,'1月数据源'!$F:$F,"SMART AI LIMITED")*F$185</f>
        <v/>
      </c>
      <c r="G30" s="89">
        <f>-SUMIFS('2月数据源'!$I:$I,'2月数据源'!$D:$D,$E30,'2月数据源'!$F:$F,"SMART AI LIMITED")*G$185+SUMIFS('2月数据源'!$J:$J,'2月数据源'!$D:$D,$E30,'2月数据源'!$F:$F,"SMART AI LIMITED")*G$185</f>
        <v/>
      </c>
      <c r="H30" s="89">
        <f>-SUMIFS('3月数据源'!$I:$I,'3月数据源'!$D:$D,$E30,'3月数据源'!$F:$F,"SMART AI LIMITED")*H$185+SUMIFS('3月数据源'!$J:$J,'3月数据源'!$D:$D,$E30,'3月数据源'!$F:$F,"SMART AI LIMITED")*H$185</f>
        <v/>
      </c>
      <c r="I30" s="89">
        <f>-SUMIFS('4月数据源'!$I:$I,'4月数据源'!$D:$D,$E30,'4月数据源'!$F:$F,"SMART AI LIMITED")*I$185+SUMIFS('4月数据源'!$J:$J,'4月数据源'!$D:$D,$E30,'4月数据源'!$F:$F,"SMART AI LIMITED")*I$185</f>
        <v/>
      </c>
      <c r="J30" s="89">
        <f>-SUMIFS('5月数据源'!$I:$I,'5月数据源'!$D:$D,$E30,'5月数据源'!$F:$F,"SMART AI LIMITED")*J$185+SUMIFS('5月数据源'!$J:$J,'5月数据源'!$D:$D,$E30,'5月数据源'!$F:$F,"SMART AI LIMITED")*J$185</f>
        <v/>
      </c>
      <c r="K30" s="89">
        <f>-SUMIFS('6月数据源'!$I:$I,'6月数据源'!$D:$D,$E30,'6月数据源'!$F:$F,"SMART AI LIMITED")*K$185+SUMIFS('6月数据源'!$J:$J,'6月数据源'!$D:$D,$E30,'6月数据源'!$F:$F,"SMART AI LIMITED")*K$185</f>
        <v/>
      </c>
      <c r="L30" s="89">
        <f>-SUMIFS('7月数据源'!$I:$I,'7月数据源'!$D:$D,$E30,'7月数据源'!$F:$F,"SMART AI LIMITED")*L$185+SUMIFS('7月数据源'!$J:$J,'7月数据源'!$D:$D,$E30,'7月数据源'!$F:$F,"SMART AI LIMITED")*L$185</f>
        <v/>
      </c>
      <c r="M30" s="89">
        <f>-SUMIFS('8月数据源'!$I:$I,'8月数据源'!$D:$D,$E30,'8月数据源'!$F:$F,"SMART AI LIMITED")*M$185+SUMIFS('8月数据源'!$J:$J,'8月数据源'!$D:$D,$E30,'8月数据源'!$F:$F,"SMART AI LIMITED")*M$185</f>
        <v/>
      </c>
      <c r="N30" s="89">
        <f>-SUMIFS('9月数据源'!$I:$I,'9月数据源'!$D:$D,$E30,'9月数据源'!$F:$F,"SMART AI LIMITED")*N$185+SUMIFS('9月数据源'!$J:$J,'9月数据源'!$D:$D,$E30,'9月数据源'!$F:$F,"SMART AI LIMITED")*N$185</f>
        <v/>
      </c>
      <c r="O30" s="89">
        <f>-SUMIFS('10月数据源'!$I:$I,'10月数据源'!$D:$D,$E30,'10月数据源'!$F:$F,"SMART AI LIMITED")*O$185+SUMIFS('10月数据源'!$J:$J,'10月数据源'!$D:$D,$E30,'10月数据源'!$F:$F,"SMART AI LIMITED")*O$185</f>
        <v/>
      </c>
      <c r="P30" s="89">
        <f>-SUMIFS('11月数据源'!$I:$I,'11月数据源'!$D:$D,$E30,'11月数据源'!$F:$F,"SMART AI LIMITED")*P$185+SUMIFS('11月数据源'!$J:$J,'11月数据源'!$D:$D,$E30,'11月数据源'!$F:$F,"SMART AI LIMITED")*P$185</f>
        <v/>
      </c>
      <c r="Q30" s="89">
        <f>-SUMIFS('12月数据源'!$I:$I,'12月数据源'!$D:$D,$E30,'12月数据源'!$F:$F,"SMART AI LIMITED")*Q$185+SUMIFS('12月数据源'!$J:$J,'12月数据源'!$D:$D,$E30,'12月数据源'!$F:$F,"SMART AI LIMITED")*Q$185</f>
        <v/>
      </c>
    </row>
    <row r="31" s="83">
      <c r="A31" s="5" t="inlineStr">
        <is>
          <t>人工成本</t>
        </is>
      </c>
      <c r="B31" s="6" t="inlineStr">
        <is>
          <t>人工成本</t>
        </is>
      </c>
      <c r="D31" s="5" t="inlineStr">
        <is>
          <t>补偿金</t>
        </is>
      </c>
      <c r="E31" s="6" t="inlineStr">
        <is>
          <t>Q0807</t>
        </is>
      </c>
      <c r="F31" s="89">
        <f>-SUMIFS('1月数据源'!$I:$I,'1月数据源'!$D:$D,$E31,'1月数据源'!$F:$F,"SMART AI LIMITED")*F$185+SUMIFS('1月数据源'!$J:$J,'1月数据源'!$D:$D,$E31,'1月数据源'!$F:$F,"SMART AI LIMITED")*F$185</f>
        <v/>
      </c>
      <c r="G31" s="89">
        <f>-SUMIFS('2月数据源'!$I:$I,'2月数据源'!$D:$D,$E31,'2月数据源'!$F:$F,"SMART AI LIMITED")*G$185+SUMIFS('2月数据源'!$J:$J,'2月数据源'!$D:$D,$E31,'2月数据源'!$F:$F,"SMART AI LIMITED")*G$185</f>
        <v/>
      </c>
      <c r="H31" s="89">
        <f>-SUMIFS('3月数据源'!$I:$I,'3月数据源'!$D:$D,$E31,'3月数据源'!$F:$F,"SMART AI LIMITED")*H$185+SUMIFS('3月数据源'!$J:$J,'3月数据源'!$D:$D,$E31,'3月数据源'!$F:$F,"SMART AI LIMITED")*H$185</f>
        <v/>
      </c>
      <c r="I31" s="89">
        <f>-SUMIFS('4月数据源'!$I:$I,'4月数据源'!$D:$D,$E31,'4月数据源'!$F:$F,"SMART AI LIMITED")*I$185+SUMIFS('4月数据源'!$J:$J,'4月数据源'!$D:$D,$E31,'4月数据源'!$F:$F,"SMART AI LIMITED")*I$185</f>
        <v/>
      </c>
      <c r="J31" s="89">
        <f>-SUMIFS('5月数据源'!$I:$I,'5月数据源'!$D:$D,$E31,'5月数据源'!$F:$F,"SMART AI LIMITED")*J$185+SUMIFS('5月数据源'!$J:$J,'5月数据源'!$D:$D,$E31,'5月数据源'!$F:$F,"SMART AI LIMITED")*J$185</f>
        <v/>
      </c>
      <c r="K31" s="89">
        <f>-SUMIFS('6月数据源'!$I:$I,'6月数据源'!$D:$D,$E31,'6月数据源'!$F:$F,"SMART AI LIMITED")*K$185+SUMIFS('6月数据源'!$J:$J,'6月数据源'!$D:$D,$E31,'6月数据源'!$F:$F,"SMART AI LIMITED")*K$185</f>
        <v/>
      </c>
      <c r="L31" s="89">
        <f>-SUMIFS('7月数据源'!$I:$I,'7月数据源'!$D:$D,$E31,'7月数据源'!$F:$F,"SMART AI LIMITED")*L$185+SUMIFS('7月数据源'!$J:$J,'7月数据源'!$D:$D,$E31,'7月数据源'!$F:$F,"SMART AI LIMITED")*L$185</f>
        <v/>
      </c>
      <c r="M31" s="89">
        <f>-SUMIFS('8月数据源'!$I:$I,'8月数据源'!$D:$D,$E31,'8月数据源'!$F:$F,"SMART AI LIMITED")*M$185+SUMIFS('8月数据源'!$J:$J,'8月数据源'!$D:$D,$E31,'8月数据源'!$F:$F,"SMART AI LIMITED")*M$185</f>
        <v/>
      </c>
      <c r="N31" s="89">
        <f>-SUMIFS('9月数据源'!$I:$I,'9月数据源'!$D:$D,$E31,'9月数据源'!$F:$F,"SMART AI LIMITED")*N$185+SUMIFS('9月数据源'!$J:$J,'9月数据源'!$D:$D,$E31,'9月数据源'!$F:$F,"SMART AI LIMITED")*N$185</f>
        <v/>
      </c>
      <c r="O31" s="89">
        <f>-SUMIFS('10月数据源'!$I:$I,'10月数据源'!$D:$D,$E31,'10月数据源'!$F:$F,"SMART AI LIMITED")*O$185+SUMIFS('10月数据源'!$J:$J,'10月数据源'!$D:$D,$E31,'10月数据源'!$F:$F,"SMART AI LIMITED")*O$185</f>
        <v/>
      </c>
      <c r="P31" s="89">
        <f>-SUMIFS('11月数据源'!$I:$I,'11月数据源'!$D:$D,$E31,'11月数据源'!$F:$F,"SMART AI LIMITED")*P$185+SUMIFS('11月数据源'!$J:$J,'11月数据源'!$D:$D,$E31,'11月数据源'!$F:$F,"SMART AI LIMITED")*P$185</f>
        <v/>
      </c>
      <c r="Q31" s="89">
        <f>-SUMIFS('12月数据源'!$I:$I,'12月数据源'!$D:$D,$E31,'12月数据源'!$F:$F,"SMART AI LIMITED")*Q$185+SUMIFS('12月数据源'!$J:$J,'12月数据源'!$D:$D,$E31,'12月数据源'!$F:$F,"SMART AI LIMITED")*Q$185</f>
        <v/>
      </c>
    </row>
    <row r="32" s="83">
      <c r="A32" s="5" t="inlineStr">
        <is>
          <t>人工成本</t>
        </is>
      </c>
      <c r="B32" s="6" t="inlineStr">
        <is>
          <t>人工成本</t>
        </is>
      </c>
      <c r="D32" s="5" t="inlineStr">
        <is>
          <t>派遣费用</t>
        </is>
      </c>
      <c r="E32" s="6" t="inlineStr">
        <is>
          <t>Q0808</t>
        </is>
      </c>
      <c r="F32" s="89">
        <f>-SUMIFS('1月数据源'!$I:$I,'1月数据源'!$D:$D,$E32,'1月数据源'!$F:$F,"SMART AI LIMITED")*F$185+SUMIFS('1月数据源'!$J:$J,'1月数据源'!$D:$D,$E32,'1月数据源'!$F:$F,"SMART AI LIMITED")*F$185</f>
        <v/>
      </c>
      <c r="G32" s="89">
        <f>-SUMIFS('2月数据源'!$I:$I,'2月数据源'!$D:$D,$E32,'2月数据源'!$F:$F,"SMART AI LIMITED")*G$185+SUMIFS('2月数据源'!$J:$J,'2月数据源'!$D:$D,$E32,'2月数据源'!$F:$F,"SMART AI LIMITED")*G$185</f>
        <v/>
      </c>
      <c r="H32" s="89">
        <f>-SUMIFS('3月数据源'!$I:$I,'3月数据源'!$D:$D,$E32,'3月数据源'!$F:$F,"SMART AI LIMITED")*H$185+SUMIFS('3月数据源'!$J:$J,'3月数据源'!$D:$D,$E32,'3月数据源'!$F:$F,"SMART AI LIMITED")*H$185</f>
        <v/>
      </c>
      <c r="I32" s="89">
        <f>-SUMIFS('4月数据源'!$I:$I,'4月数据源'!$D:$D,$E32,'4月数据源'!$F:$F,"SMART AI LIMITED")*I$185+SUMIFS('4月数据源'!$J:$J,'4月数据源'!$D:$D,$E32,'4月数据源'!$F:$F,"SMART AI LIMITED")*I$185</f>
        <v/>
      </c>
      <c r="J32" s="89">
        <f>-SUMIFS('5月数据源'!$I:$I,'5月数据源'!$D:$D,$E32,'5月数据源'!$F:$F,"SMART AI LIMITED")*J$185+SUMIFS('5月数据源'!$J:$J,'5月数据源'!$D:$D,$E32,'5月数据源'!$F:$F,"SMART AI LIMITED")*J$185</f>
        <v/>
      </c>
      <c r="K32" s="89">
        <f>-SUMIFS('6月数据源'!$I:$I,'6月数据源'!$D:$D,$E32,'6月数据源'!$F:$F,"SMART AI LIMITED")*K$185+SUMIFS('6月数据源'!$J:$J,'6月数据源'!$D:$D,$E32,'6月数据源'!$F:$F,"SMART AI LIMITED")*K$185</f>
        <v/>
      </c>
      <c r="L32" s="89">
        <f>-SUMIFS('7月数据源'!$I:$I,'7月数据源'!$D:$D,$E32,'7月数据源'!$F:$F,"SMART AI LIMITED")*L$185+SUMIFS('7月数据源'!$J:$J,'7月数据源'!$D:$D,$E32,'7月数据源'!$F:$F,"SMART AI LIMITED")*L$185</f>
        <v/>
      </c>
      <c r="M32" s="89">
        <f>-SUMIFS('8月数据源'!$I:$I,'8月数据源'!$D:$D,$E32,'8月数据源'!$F:$F,"SMART AI LIMITED")*M$185+SUMIFS('8月数据源'!$J:$J,'8月数据源'!$D:$D,$E32,'8月数据源'!$F:$F,"SMART AI LIMITED")*M$185</f>
        <v/>
      </c>
      <c r="N32" s="89">
        <f>-SUMIFS('9月数据源'!$I:$I,'9月数据源'!$D:$D,$E32,'9月数据源'!$F:$F,"SMART AI LIMITED")*N$185+SUMIFS('9月数据源'!$J:$J,'9月数据源'!$D:$D,$E32,'9月数据源'!$F:$F,"SMART AI LIMITED")*N$185</f>
        <v/>
      </c>
      <c r="O32" s="89">
        <f>-SUMIFS('10月数据源'!$I:$I,'10月数据源'!$D:$D,$E32,'10月数据源'!$F:$F,"SMART AI LIMITED")*O$185+SUMIFS('10月数据源'!$J:$J,'10月数据源'!$D:$D,$E32,'10月数据源'!$F:$F,"SMART AI LIMITED")*O$185</f>
        <v/>
      </c>
      <c r="P32" s="89">
        <f>-SUMIFS('11月数据源'!$I:$I,'11月数据源'!$D:$D,$E32,'11月数据源'!$F:$F,"SMART AI LIMITED")*P$185+SUMIFS('11月数据源'!$J:$J,'11月数据源'!$D:$D,$E32,'11月数据源'!$F:$F,"SMART AI LIMITED")*P$185</f>
        <v/>
      </c>
      <c r="Q32" s="89">
        <f>-SUMIFS('12月数据源'!$I:$I,'12月数据源'!$D:$D,$E32,'12月数据源'!$F:$F,"SMART AI LIMITED")*Q$185+SUMIFS('12月数据源'!$J:$J,'12月数据源'!$D:$D,$E32,'12月数据源'!$F:$F,"SMART AI LIMITED")*Q$185</f>
        <v/>
      </c>
    </row>
    <row r="33" s="83">
      <c r="A33" s="5" t="inlineStr">
        <is>
          <t>人工成本</t>
        </is>
      </c>
      <c r="B33" s="6" t="inlineStr">
        <is>
          <t>人工成本</t>
        </is>
      </c>
      <c r="D33" s="5" t="inlineStr">
        <is>
          <t>顾问费</t>
        </is>
      </c>
      <c r="E33" s="6" t="inlineStr">
        <is>
          <t>Q0809</t>
        </is>
      </c>
      <c r="F33" s="89">
        <f>-SUMIFS('1月数据源'!$I:$I,'1月数据源'!$D:$D,$E33,'1月数据源'!$F:$F,"SMART AI LIMITED")*F$185+SUMIFS('1月数据源'!$J:$J,'1月数据源'!$D:$D,$E33,'1月数据源'!$F:$F,"SMART AI LIMITED")*F$185</f>
        <v/>
      </c>
      <c r="G33" s="89">
        <f>-SUMIFS('2月数据源'!$I:$I,'2月数据源'!$D:$D,$E33,'2月数据源'!$F:$F,"SMART AI LIMITED")*G$185+SUMIFS('2月数据源'!$J:$J,'2月数据源'!$D:$D,$E33,'2月数据源'!$F:$F,"SMART AI LIMITED")*G$185</f>
        <v/>
      </c>
      <c r="H33" s="89">
        <f>-SUMIFS('3月数据源'!$I:$I,'3月数据源'!$D:$D,$E33,'3月数据源'!$F:$F,"SMART AI LIMITED")*H$185+SUMIFS('3月数据源'!$J:$J,'3月数据源'!$D:$D,$E33,'3月数据源'!$F:$F,"SMART AI LIMITED")*H$185</f>
        <v/>
      </c>
      <c r="I33" s="89">
        <f>-SUMIFS('4月数据源'!$I:$I,'4月数据源'!$D:$D,$E33,'4月数据源'!$F:$F,"SMART AI LIMITED")*I$185+SUMIFS('4月数据源'!$J:$J,'4月数据源'!$D:$D,$E33,'4月数据源'!$F:$F,"SMART AI LIMITED")*I$185</f>
        <v/>
      </c>
      <c r="J33" s="89">
        <f>-SUMIFS('5月数据源'!$I:$I,'5月数据源'!$D:$D,$E33,'5月数据源'!$F:$F,"SMART AI LIMITED")*J$185+SUMIFS('5月数据源'!$J:$J,'5月数据源'!$D:$D,$E33,'5月数据源'!$F:$F,"SMART AI LIMITED")*J$185</f>
        <v/>
      </c>
      <c r="K33" s="89">
        <f>-SUMIFS('6月数据源'!$I:$I,'6月数据源'!$D:$D,$E33,'6月数据源'!$F:$F,"SMART AI LIMITED")*K$185+SUMIFS('6月数据源'!$J:$J,'6月数据源'!$D:$D,$E33,'6月数据源'!$F:$F,"SMART AI LIMITED")*K$185</f>
        <v/>
      </c>
      <c r="L33" s="89">
        <f>-SUMIFS('7月数据源'!$I:$I,'7月数据源'!$D:$D,$E33,'7月数据源'!$F:$F,"SMART AI LIMITED")*L$185+SUMIFS('7月数据源'!$J:$J,'7月数据源'!$D:$D,$E33,'7月数据源'!$F:$F,"SMART AI LIMITED")*L$185</f>
        <v/>
      </c>
      <c r="M33" s="89">
        <f>-SUMIFS('8月数据源'!$I:$I,'8月数据源'!$D:$D,$E33,'8月数据源'!$F:$F,"SMART AI LIMITED")*M$185+SUMIFS('8月数据源'!$J:$J,'8月数据源'!$D:$D,$E33,'8月数据源'!$F:$F,"SMART AI LIMITED")*M$185</f>
        <v/>
      </c>
      <c r="N33" s="89">
        <f>-SUMIFS('9月数据源'!$I:$I,'9月数据源'!$D:$D,$E33,'9月数据源'!$F:$F,"SMART AI LIMITED")*N$185+SUMIFS('9月数据源'!$J:$J,'9月数据源'!$D:$D,$E33,'9月数据源'!$F:$F,"SMART AI LIMITED")*N$185</f>
        <v/>
      </c>
      <c r="O33" s="89">
        <f>-SUMIFS('10月数据源'!$I:$I,'10月数据源'!$D:$D,$E33,'10月数据源'!$F:$F,"SMART AI LIMITED")*O$185+SUMIFS('10月数据源'!$J:$J,'10月数据源'!$D:$D,$E33,'10月数据源'!$F:$F,"SMART AI LIMITED")*O$185</f>
        <v/>
      </c>
      <c r="P33" s="89">
        <f>-SUMIFS('11月数据源'!$I:$I,'11月数据源'!$D:$D,$E33,'11月数据源'!$F:$F,"SMART AI LIMITED")*P$185+SUMIFS('11月数据源'!$J:$J,'11月数据源'!$D:$D,$E33,'11月数据源'!$F:$F,"SMART AI LIMITED")*P$185</f>
        <v/>
      </c>
      <c r="Q33" s="89">
        <f>-SUMIFS('12月数据源'!$I:$I,'12月数据源'!$D:$D,$E33,'12月数据源'!$F:$F,"SMART AI LIMITED")*Q$185+SUMIFS('12月数据源'!$J:$J,'12月数据源'!$D:$D,$E33,'12月数据源'!$F:$F,"SMART AI LIMITED")*Q$185</f>
        <v/>
      </c>
    </row>
    <row r="34" s="83">
      <c r="A34" s="5" t="inlineStr">
        <is>
          <t>人工成本</t>
        </is>
      </c>
      <c r="B34" s="6" t="inlineStr">
        <is>
          <t>人工成本</t>
        </is>
      </c>
      <c r="D34" s="5" t="inlineStr">
        <is>
          <t>其他人工成本</t>
        </is>
      </c>
      <c r="E34" s="6" t="inlineStr">
        <is>
          <t>Q08010</t>
        </is>
      </c>
      <c r="F34" s="89">
        <f>-SUMIFS('1月数据源'!$I:$I,'1月数据源'!$D:$D,$E34,'1月数据源'!$F:$F,"SMART AI LIMITED")*F$185+SUMIFS('1月数据源'!$J:$J,'1月数据源'!$D:$D,$E34,'1月数据源'!$F:$F,"SMART AI LIMITED")*F$185</f>
        <v/>
      </c>
      <c r="G34" s="89">
        <f>-SUMIFS('2月数据源'!$I:$I,'2月数据源'!$D:$D,$E34,'2月数据源'!$F:$F,"SMART AI LIMITED")*G$185+SUMIFS('2月数据源'!$J:$J,'2月数据源'!$D:$D,$E34,'2月数据源'!$F:$F,"SMART AI LIMITED")*G$185</f>
        <v/>
      </c>
      <c r="H34" s="89">
        <f>-SUMIFS('3月数据源'!$I:$I,'3月数据源'!$D:$D,$E34,'3月数据源'!$F:$F,"SMART AI LIMITED")*H$185+SUMIFS('3月数据源'!$J:$J,'3月数据源'!$D:$D,$E34,'3月数据源'!$F:$F,"SMART AI LIMITED")*H$185</f>
        <v/>
      </c>
      <c r="I34" s="89">
        <f>-SUMIFS('4月数据源'!$I:$I,'4月数据源'!$D:$D,$E34,'4月数据源'!$F:$F,"SMART AI LIMITED")*I$185+SUMIFS('4月数据源'!$J:$J,'4月数据源'!$D:$D,$E34,'4月数据源'!$F:$F,"SMART AI LIMITED")*I$185</f>
        <v/>
      </c>
      <c r="J34" s="89">
        <f>-SUMIFS('5月数据源'!$I:$I,'5月数据源'!$D:$D,$E34,'5月数据源'!$F:$F,"SMART AI LIMITED")*J$185+SUMIFS('5月数据源'!$J:$J,'5月数据源'!$D:$D,$E34,'5月数据源'!$F:$F,"SMART AI LIMITED")*J$185</f>
        <v/>
      </c>
      <c r="K34" s="89">
        <f>-SUMIFS('6月数据源'!$I:$I,'6月数据源'!$D:$D,$E34,'6月数据源'!$F:$F,"SMART AI LIMITED")*K$185+SUMIFS('6月数据源'!$J:$J,'6月数据源'!$D:$D,$E34,'6月数据源'!$F:$F,"SMART AI LIMITED")*K$185</f>
        <v/>
      </c>
      <c r="L34" s="89">
        <f>-SUMIFS('7月数据源'!$I:$I,'7月数据源'!$D:$D,$E34,'7月数据源'!$F:$F,"SMART AI LIMITED")*L$185+SUMIFS('7月数据源'!$J:$J,'7月数据源'!$D:$D,$E34,'7月数据源'!$F:$F,"SMART AI LIMITED")*L$185</f>
        <v/>
      </c>
      <c r="M34" s="89">
        <f>-SUMIFS('8月数据源'!$I:$I,'8月数据源'!$D:$D,$E34,'8月数据源'!$F:$F,"SMART AI LIMITED")*M$185+SUMIFS('8月数据源'!$J:$J,'8月数据源'!$D:$D,$E34,'8月数据源'!$F:$F,"SMART AI LIMITED")*M$185</f>
        <v/>
      </c>
      <c r="N34" s="89">
        <f>-SUMIFS('9月数据源'!$I:$I,'9月数据源'!$D:$D,$E34,'9月数据源'!$F:$F,"SMART AI LIMITED")*N$185+SUMIFS('9月数据源'!$J:$J,'9月数据源'!$D:$D,$E34,'9月数据源'!$F:$F,"SMART AI LIMITED")*N$185</f>
        <v/>
      </c>
      <c r="O34" s="89">
        <f>-SUMIFS('10月数据源'!$I:$I,'10月数据源'!$D:$D,$E34,'10月数据源'!$F:$F,"SMART AI LIMITED")*O$185+SUMIFS('10月数据源'!$J:$J,'10月数据源'!$D:$D,$E34,'10月数据源'!$F:$F,"SMART AI LIMITED")*O$185</f>
        <v/>
      </c>
      <c r="P34" s="89">
        <f>-SUMIFS('11月数据源'!$I:$I,'11月数据源'!$D:$D,$E34,'11月数据源'!$F:$F,"SMART AI LIMITED")*P$185+SUMIFS('11月数据源'!$J:$J,'11月数据源'!$D:$D,$E34,'11月数据源'!$F:$F,"SMART AI LIMITED")*P$185</f>
        <v/>
      </c>
      <c r="Q34" s="89">
        <f>-SUMIFS('12月数据源'!$I:$I,'12月数据源'!$D:$D,$E34,'12月数据源'!$F:$F,"SMART AI LIMITED")*Q$185+SUMIFS('12月数据源'!$J:$J,'12月数据源'!$D:$D,$E34,'12月数据源'!$F:$F,"SMART AI LIMITED")*Q$185</f>
        <v/>
      </c>
    </row>
    <row r="35" s="83">
      <c r="A35" s="49" t="inlineStr">
        <is>
          <t>人工成本合计</t>
        </is>
      </c>
      <c r="B35" s="50" t="n"/>
      <c r="C35" s="50" t="n"/>
      <c r="D35" s="49" t="n"/>
      <c r="E35" s="49" t="n"/>
      <c r="F35" s="89">
        <f>SUM(F25:F34)</f>
        <v/>
      </c>
      <c r="G35" s="89">
        <f>SUM(G25:G34)</f>
        <v/>
      </c>
      <c r="H35" s="89">
        <f>SUM(H25:H34)</f>
        <v/>
      </c>
      <c r="I35" s="89">
        <f>SUM(I25:I34)</f>
        <v/>
      </c>
      <c r="J35" s="89">
        <f>SUM(J25:J34)</f>
        <v/>
      </c>
      <c r="K35" s="89">
        <f>SUM(K25:K34)</f>
        <v/>
      </c>
      <c r="L35" s="89">
        <f>SUM(L25:L34)</f>
        <v/>
      </c>
      <c r="M35" s="89">
        <f>SUM(M25:M34)</f>
        <v/>
      </c>
      <c r="N35" s="89">
        <f>SUM(N25:N34)</f>
        <v/>
      </c>
      <c r="O35" s="89">
        <f>SUM(O25:O34)</f>
        <v/>
      </c>
      <c r="P35" s="89">
        <f>SUM(P25:P34)</f>
        <v/>
      </c>
      <c r="Q35" s="89">
        <f>SUM(Q25:Q34)</f>
        <v/>
      </c>
    </row>
    <row r="36" s="83">
      <c r="A36" s="5" t="inlineStr">
        <is>
          <t>硬件支出</t>
        </is>
      </c>
      <c r="B36" s="6" t="inlineStr">
        <is>
          <t>BONG MAX</t>
        </is>
      </c>
      <c r="C36" s="6" t="inlineStr">
        <is>
          <t>BONG MAX</t>
        </is>
      </c>
      <c r="D36" s="5" t="inlineStr">
        <is>
          <t>TCL平板电脑款项</t>
        </is>
      </c>
      <c r="E36" s="6" t="inlineStr">
        <is>
          <t>Q0901</t>
        </is>
      </c>
      <c r="F36" s="89">
        <f>-SUMIFS('1月数据源'!$I:$I,'1月数据源'!$D:$D,$E36,'1月数据源'!$F:$F,"SMART AI LIMITED")*F$185+SUMIFS('1月数据源'!$J:$J,'1月数据源'!$D:$D,$E36,'1月数据源'!$F:$F,"SMART AI LIMITED")*F$185</f>
        <v/>
      </c>
      <c r="G36" s="89">
        <f>-SUMIFS('2月数据源'!$I:$I,'2月数据源'!$D:$D,$E36,'2月数据源'!$F:$F,"SMART AI LIMITED")*G$185+SUMIFS('2月数据源'!$J:$J,'2月数据源'!$D:$D,$E36,'2月数据源'!$F:$F,"SMART AI LIMITED")*G$185</f>
        <v/>
      </c>
      <c r="H36" s="89">
        <f>-SUMIFS('3月数据源'!$I:$I,'3月数据源'!$D:$D,$E36,'3月数据源'!$F:$F,"SMART AI LIMITED")*H$185+SUMIFS('3月数据源'!$J:$J,'3月数据源'!$D:$D,$E36,'3月数据源'!$F:$F,"SMART AI LIMITED")*H$185</f>
        <v/>
      </c>
      <c r="I36" s="89">
        <f>-SUMIFS('4月数据源'!$I:$I,'4月数据源'!$D:$D,$E36,'4月数据源'!$F:$F,"SMART AI LIMITED")*I$185+SUMIFS('4月数据源'!$J:$J,'4月数据源'!$D:$D,$E36,'4月数据源'!$F:$F,"SMART AI LIMITED")*I$185</f>
        <v/>
      </c>
      <c r="J36" s="89">
        <f>-SUMIFS('5月数据源'!$I:$I,'5月数据源'!$D:$D,$E36,'5月数据源'!$F:$F,"SMART AI LIMITED")*J$185+SUMIFS('5月数据源'!$J:$J,'5月数据源'!$D:$D,$E36,'5月数据源'!$F:$F,"SMART AI LIMITED")*J$185</f>
        <v/>
      </c>
      <c r="K36" s="89">
        <f>-SUMIFS('6月数据源'!$I:$I,'6月数据源'!$D:$D,$E36,'6月数据源'!$F:$F,"SMART AI LIMITED")*K$185+SUMIFS('6月数据源'!$J:$J,'6月数据源'!$D:$D,$E36,'6月数据源'!$F:$F,"SMART AI LIMITED")*K$185</f>
        <v/>
      </c>
      <c r="L36" s="89">
        <f>-SUMIFS('7月数据源'!$I:$I,'7月数据源'!$D:$D,$E36,'7月数据源'!$F:$F,"SMART AI LIMITED")*L$185+SUMIFS('7月数据源'!$J:$J,'7月数据源'!$D:$D,$E36,'7月数据源'!$F:$F,"SMART AI LIMITED")*L$185</f>
        <v/>
      </c>
      <c r="M36" s="89">
        <f>-SUMIFS('8月数据源'!$I:$I,'8月数据源'!$D:$D,$E36,'8月数据源'!$F:$F,"SMART AI LIMITED")*M$185+SUMIFS('8月数据源'!$J:$J,'8月数据源'!$D:$D,$E36,'8月数据源'!$F:$F,"SMART AI LIMITED")*M$185</f>
        <v/>
      </c>
      <c r="N36" s="89">
        <f>-SUMIFS('9月数据源'!$I:$I,'9月数据源'!$D:$D,$E36,'9月数据源'!$F:$F,"SMART AI LIMITED")*N$185+SUMIFS('9月数据源'!$J:$J,'9月数据源'!$D:$D,$E36,'9月数据源'!$F:$F,"SMART AI LIMITED")*N$185</f>
        <v/>
      </c>
      <c r="O36" s="89">
        <f>-SUMIFS('10月数据源'!$I:$I,'10月数据源'!$D:$D,$E36,'10月数据源'!$F:$F,"SMART AI LIMITED")*O$185+SUMIFS('10月数据源'!$J:$J,'10月数据源'!$D:$D,$E36,'10月数据源'!$F:$F,"SMART AI LIMITED")*O$185</f>
        <v/>
      </c>
      <c r="P36" s="89">
        <f>-SUMIFS('11月数据源'!$I:$I,'11月数据源'!$D:$D,$E36,'11月数据源'!$F:$F,"SMART AI LIMITED")*P$185+SUMIFS('11月数据源'!$J:$J,'11月数据源'!$D:$D,$E36,'11月数据源'!$F:$F,"SMART AI LIMITED")*P$185</f>
        <v/>
      </c>
      <c r="Q36" s="89">
        <f>-SUMIFS('12月数据源'!$I:$I,'12月数据源'!$D:$D,$E36,'12月数据源'!$F:$F,"SMART AI LIMITED")*Q$185+SUMIFS('12月数据源'!$J:$J,'12月数据源'!$D:$D,$E36,'12月数据源'!$F:$F,"SMART AI LIMITED")*Q$185</f>
        <v/>
      </c>
    </row>
    <row r="37" s="83">
      <c r="A37" s="5" t="inlineStr">
        <is>
          <t>硬件支出</t>
        </is>
      </c>
      <c r="B37" s="6" t="inlineStr">
        <is>
          <t>BONG MAX</t>
        </is>
      </c>
      <c r="D37" s="5" t="inlineStr">
        <is>
          <t>保护套</t>
        </is>
      </c>
      <c r="E37" s="6" t="inlineStr">
        <is>
          <t>Q0902</t>
        </is>
      </c>
      <c r="F37" s="89">
        <f>-SUMIFS('1月数据源'!$I:$I,'1月数据源'!$D:$D,$E37,'1月数据源'!$F:$F,"SMART AI LIMITED")*F$185+SUMIFS('1月数据源'!$J:$J,'1月数据源'!$D:$D,$E37,'1月数据源'!$F:$F,"SMART AI LIMITED")*F$185</f>
        <v/>
      </c>
      <c r="G37" s="89">
        <f>-SUMIFS('2月数据源'!$I:$I,'2月数据源'!$D:$D,$E37,'2月数据源'!$F:$F,"SMART AI LIMITED")*G$185+SUMIFS('2月数据源'!$J:$J,'2月数据源'!$D:$D,$E37,'2月数据源'!$F:$F,"SMART AI LIMITED")*G$185</f>
        <v/>
      </c>
      <c r="H37" s="89">
        <f>-SUMIFS('3月数据源'!$I:$I,'3月数据源'!$D:$D,$E37,'3月数据源'!$F:$F,"SMART AI LIMITED")*H$185+SUMIFS('3月数据源'!$J:$J,'3月数据源'!$D:$D,$E37,'3月数据源'!$F:$F,"SMART AI LIMITED")*H$185</f>
        <v/>
      </c>
      <c r="I37" s="89">
        <f>-SUMIFS('4月数据源'!$I:$I,'4月数据源'!$D:$D,$E37,'4月数据源'!$F:$F,"SMART AI LIMITED")*I$185+SUMIFS('4月数据源'!$J:$J,'4月数据源'!$D:$D,$E37,'4月数据源'!$F:$F,"SMART AI LIMITED")*I$185</f>
        <v/>
      </c>
      <c r="J37" s="89">
        <f>-SUMIFS('5月数据源'!$I:$I,'5月数据源'!$D:$D,$E37,'5月数据源'!$F:$F,"SMART AI LIMITED")*J$185+SUMIFS('5月数据源'!$J:$J,'5月数据源'!$D:$D,$E37,'5月数据源'!$F:$F,"SMART AI LIMITED")*J$185</f>
        <v/>
      </c>
      <c r="K37" s="89">
        <f>-SUMIFS('6月数据源'!$I:$I,'6月数据源'!$D:$D,$E37,'6月数据源'!$F:$F,"SMART AI LIMITED")*K$185+SUMIFS('6月数据源'!$J:$J,'6月数据源'!$D:$D,$E37,'6月数据源'!$F:$F,"SMART AI LIMITED")*K$185</f>
        <v/>
      </c>
      <c r="L37" s="89">
        <f>-SUMIFS('7月数据源'!$I:$I,'7月数据源'!$D:$D,$E37,'7月数据源'!$F:$F,"SMART AI LIMITED")*L$185+SUMIFS('7月数据源'!$J:$J,'7月数据源'!$D:$D,$E37,'7月数据源'!$F:$F,"SMART AI LIMITED")*L$185</f>
        <v/>
      </c>
      <c r="M37" s="89">
        <f>-SUMIFS('8月数据源'!$I:$I,'8月数据源'!$D:$D,$E37,'8月数据源'!$F:$F,"SMART AI LIMITED")*M$185+SUMIFS('8月数据源'!$J:$J,'8月数据源'!$D:$D,$E37,'8月数据源'!$F:$F,"SMART AI LIMITED")*M$185</f>
        <v/>
      </c>
      <c r="N37" s="89">
        <f>-SUMIFS('9月数据源'!$I:$I,'9月数据源'!$D:$D,$E37,'9月数据源'!$F:$F,"SMART AI LIMITED")*N$185+SUMIFS('9月数据源'!$J:$J,'9月数据源'!$D:$D,$E37,'9月数据源'!$F:$F,"SMART AI LIMITED")*N$185</f>
        <v/>
      </c>
      <c r="O37" s="89">
        <f>-SUMIFS('10月数据源'!$I:$I,'10月数据源'!$D:$D,$E37,'10月数据源'!$F:$F,"SMART AI LIMITED")*O$185+SUMIFS('10月数据源'!$J:$J,'10月数据源'!$D:$D,$E37,'10月数据源'!$F:$F,"SMART AI LIMITED")*O$185</f>
        <v/>
      </c>
      <c r="P37" s="89">
        <f>-SUMIFS('11月数据源'!$I:$I,'11月数据源'!$D:$D,$E37,'11月数据源'!$F:$F,"SMART AI LIMITED")*P$185+SUMIFS('11月数据源'!$J:$J,'11月数据源'!$D:$D,$E37,'11月数据源'!$F:$F,"SMART AI LIMITED")*P$185</f>
        <v/>
      </c>
      <c r="Q37" s="89">
        <f>-SUMIFS('12月数据源'!$I:$I,'12月数据源'!$D:$D,$E37,'12月数据源'!$F:$F,"SMART AI LIMITED")*Q$185+SUMIFS('12月数据源'!$J:$J,'12月数据源'!$D:$D,$E37,'12月数据源'!$F:$F,"SMART AI LIMITED")*Q$185</f>
        <v/>
      </c>
    </row>
    <row r="38" s="83">
      <c r="A38" s="5" t="inlineStr">
        <is>
          <t>硬件支出</t>
        </is>
      </c>
      <c r="B38" s="6" t="inlineStr">
        <is>
          <t>BONG MAX</t>
        </is>
      </c>
      <c r="D38" s="5" t="inlineStr">
        <is>
          <t>包装盒</t>
        </is>
      </c>
      <c r="E38" s="6" t="inlineStr">
        <is>
          <t>Q0903</t>
        </is>
      </c>
      <c r="F38" s="89">
        <f>-SUMIFS('1月数据源'!$I:$I,'1月数据源'!$D:$D,$E38,'1月数据源'!$F:$F,"SMART AI LIMITED")*F$185+SUMIFS('1月数据源'!$J:$J,'1月数据源'!$D:$D,$E38,'1月数据源'!$F:$F,"SMART AI LIMITED")*F$185</f>
        <v/>
      </c>
      <c r="G38" s="89">
        <f>-SUMIFS('2月数据源'!$I:$I,'2月数据源'!$D:$D,$E38,'2月数据源'!$F:$F,"SMART AI LIMITED")*G$185+SUMIFS('2月数据源'!$J:$J,'2月数据源'!$D:$D,$E38,'2月数据源'!$F:$F,"SMART AI LIMITED")*G$185</f>
        <v/>
      </c>
      <c r="H38" s="89">
        <f>-SUMIFS('3月数据源'!$I:$I,'3月数据源'!$D:$D,$E38,'3月数据源'!$F:$F,"SMART AI LIMITED")*H$185+SUMIFS('3月数据源'!$J:$J,'3月数据源'!$D:$D,$E38,'3月数据源'!$F:$F,"SMART AI LIMITED")*H$185</f>
        <v/>
      </c>
      <c r="I38" s="89">
        <f>-SUMIFS('4月数据源'!$I:$I,'4月数据源'!$D:$D,$E38,'4月数据源'!$F:$F,"SMART AI LIMITED")*I$185+SUMIFS('4月数据源'!$J:$J,'4月数据源'!$D:$D,$E38,'4月数据源'!$F:$F,"SMART AI LIMITED")*I$185</f>
        <v/>
      </c>
      <c r="J38" s="89">
        <f>-SUMIFS('5月数据源'!$I:$I,'5月数据源'!$D:$D,$E38,'5月数据源'!$F:$F,"SMART AI LIMITED")*J$185+SUMIFS('5月数据源'!$J:$J,'5月数据源'!$D:$D,$E38,'5月数据源'!$F:$F,"SMART AI LIMITED")*J$185</f>
        <v/>
      </c>
      <c r="K38" s="89">
        <f>-SUMIFS('6月数据源'!$I:$I,'6月数据源'!$D:$D,$E38,'6月数据源'!$F:$F,"SMART AI LIMITED")*K$185+SUMIFS('6月数据源'!$J:$J,'6月数据源'!$D:$D,$E38,'6月数据源'!$F:$F,"SMART AI LIMITED")*K$185</f>
        <v/>
      </c>
      <c r="L38" s="89">
        <f>-SUMIFS('7月数据源'!$I:$I,'7月数据源'!$D:$D,$E38,'7月数据源'!$F:$F,"SMART AI LIMITED")*L$185+SUMIFS('7月数据源'!$J:$J,'7月数据源'!$D:$D,$E38,'7月数据源'!$F:$F,"SMART AI LIMITED")*L$185</f>
        <v/>
      </c>
      <c r="M38" s="89">
        <f>-SUMIFS('8月数据源'!$I:$I,'8月数据源'!$D:$D,$E38,'8月数据源'!$F:$F,"SMART AI LIMITED")*M$185+SUMIFS('8月数据源'!$J:$J,'8月数据源'!$D:$D,$E38,'8月数据源'!$F:$F,"SMART AI LIMITED")*M$185</f>
        <v/>
      </c>
      <c r="N38" s="89">
        <f>-SUMIFS('9月数据源'!$I:$I,'9月数据源'!$D:$D,$E38,'9月数据源'!$F:$F,"SMART AI LIMITED")*N$185+SUMIFS('9月数据源'!$J:$J,'9月数据源'!$D:$D,$E38,'9月数据源'!$F:$F,"SMART AI LIMITED")*N$185</f>
        <v/>
      </c>
      <c r="O38" s="89">
        <f>-SUMIFS('10月数据源'!$I:$I,'10月数据源'!$D:$D,$E38,'10月数据源'!$F:$F,"SMART AI LIMITED")*O$185+SUMIFS('10月数据源'!$J:$J,'10月数据源'!$D:$D,$E38,'10月数据源'!$F:$F,"SMART AI LIMITED")*O$185</f>
        <v/>
      </c>
      <c r="P38" s="89">
        <f>-SUMIFS('11月数据源'!$I:$I,'11月数据源'!$D:$D,$E38,'11月数据源'!$F:$F,"SMART AI LIMITED")*P$185+SUMIFS('11月数据源'!$J:$J,'11月数据源'!$D:$D,$E38,'11月数据源'!$F:$F,"SMART AI LIMITED")*P$185</f>
        <v/>
      </c>
      <c r="Q38" s="89">
        <f>-SUMIFS('12月数据源'!$I:$I,'12月数据源'!$D:$D,$E38,'12月数据源'!$F:$F,"SMART AI LIMITED")*Q$185+SUMIFS('12月数据源'!$J:$J,'12月数据源'!$D:$D,$E38,'12月数据源'!$F:$F,"SMART AI LIMITED")*Q$185</f>
        <v/>
      </c>
    </row>
    <row r="39" s="83">
      <c r="A39" s="5" t="inlineStr">
        <is>
          <t>硬件支出</t>
        </is>
      </c>
      <c r="B39" s="6" t="inlineStr">
        <is>
          <t>BONG MAX</t>
        </is>
      </c>
      <c r="D39" s="5" t="inlineStr">
        <is>
          <t>充电器</t>
        </is>
      </c>
      <c r="E39" s="6" t="inlineStr">
        <is>
          <t>Q0904</t>
        </is>
      </c>
      <c r="F39" s="89">
        <f>-SUMIFS('1月数据源'!$I:$I,'1月数据源'!$D:$D,$E39,'1月数据源'!$F:$F,"SMART AI LIMITED")*F$185+SUMIFS('1月数据源'!$J:$J,'1月数据源'!$D:$D,$E39,'1月数据源'!$F:$F,"SMART AI LIMITED")*F$185</f>
        <v/>
      </c>
      <c r="G39" s="89">
        <f>-SUMIFS('2月数据源'!$I:$I,'2月数据源'!$D:$D,$E39,'2月数据源'!$F:$F,"SMART AI LIMITED")*G$185+SUMIFS('2月数据源'!$J:$J,'2月数据源'!$D:$D,$E39,'2月数据源'!$F:$F,"SMART AI LIMITED")*G$185</f>
        <v/>
      </c>
      <c r="H39" s="89">
        <f>-SUMIFS('3月数据源'!$I:$I,'3月数据源'!$D:$D,$E39,'3月数据源'!$F:$F,"SMART AI LIMITED")*H$185+SUMIFS('3月数据源'!$J:$J,'3月数据源'!$D:$D,$E39,'3月数据源'!$F:$F,"SMART AI LIMITED")*H$185</f>
        <v/>
      </c>
      <c r="I39" s="89">
        <f>-SUMIFS('4月数据源'!$I:$I,'4月数据源'!$D:$D,$E39,'4月数据源'!$F:$F,"SMART AI LIMITED")*I$185+SUMIFS('4月数据源'!$J:$J,'4月数据源'!$D:$D,$E39,'4月数据源'!$F:$F,"SMART AI LIMITED")*I$185</f>
        <v/>
      </c>
      <c r="J39" s="89">
        <f>-SUMIFS('5月数据源'!$I:$I,'5月数据源'!$D:$D,$E39,'5月数据源'!$F:$F,"SMART AI LIMITED")*J$185+SUMIFS('5月数据源'!$J:$J,'5月数据源'!$D:$D,$E39,'5月数据源'!$F:$F,"SMART AI LIMITED")*J$185</f>
        <v/>
      </c>
      <c r="K39" s="89">
        <f>-SUMIFS('6月数据源'!$I:$I,'6月数据源'!$D:$D,$E39,'6月数据源'!$F:$F,"SMART AI LIMITED")*K$185+SUMIFS('6月数据源'!$J:$J,'6月数据源'!$D:$D,$E39,'6月数据源'!$F:$F,"SMART AI LIMITED")*K$185</f>
        <v/>
      </c>
      <c r="L39" s="89">
        <f>-SUMIFS('7月数据源'!$I:$I,'7月数据源'!$D:$D,$E39,'7月数据源'!$F:$F,"SMART AI LIMITED")*L$185+SUMIFS('7月数据源'!$J:$J,'7月数据源'!$D:$D,$E39,'7月数据源'!$F:$F,"SMART AI LIMITED")*L$185</f>
        <v/>
      </c>
      <c r="M39" s="89">
        <f>-SUMIFS('8月数据源'!$I:$I,'8月数据源'!$D:$D,$E39,'8月数据源'!$F:$F,"SMART AI LIMITED")*M$185+SUMIFS('8月数据源'!$J:$J,'8月数据源'!$D:$D,$E39,'8月数据源'!$F:$F,"SMART AI LIMITED")*M$185</f>
        <v/>
      </c>
      <c r="N39" s="89">
        <f>-SUMIFS('9月数据源'!$I:$I,'9月数据源'!$D:$D,$E39,'9月数据源'!$F:$F,"SMART AI LIMITED")*N$185+SUMIFS('9月数据源'!$J:$J,'9月数据源'!$D:$D,$E39,'9月数据源'!$F:$F,"SMART AI LIMITED")*N$185</f>
        <v/>
      </c>
      <c r="O39" s="89">
        <f>-SUMIFS('10月数据源'!$I:$I,'10月数据源'!$D:$D,$E39,'10月数据源'!$F:$F,"SMART AI LIMITED")*O$185+SUMIFS('10月数据源'!$J:$J,'10月数据源'!$D:$D,$E39,'10月数据源'!$F:$F,"SMART AI LIMITED")*O$185</f>
        <v/>
      </c>
      <c r="P39" s="89">
        <f>-SUMIFS('11月数据源'!$I:$I,'11月数据源'!$D:$D,$E39,'11月数据源'!$F:$F,"SMART AI LIMITED")*P$185+SUMIFS('11月数据源'!$J:$J,'11月数据源'!$D:$D,$E39,'11月数据源'!$F:$F,"SMART AI LIMITED")*P$185</f>
        <v/>
      </c>
      <c r="Q39" s="89">
        <f>-SUMIFS('12月数据源'!$I:$I,'12月数据源'!$D:$D,$E39,'12月数据源'!$F:$F,"SMART AI LIMITED")*Q$185+SUMIFS('12月数据源'!$J:$J,'12月数据源'!$D:$D,$E39,'12月数据源'!$F:$F,"SMART AI LIMITED")*Q$185</f>
        <v/>
      </c>
    </row>
    <row r="40" s="83">
      <c r="A40" s="5" t="inlineStr">
        <is>
          <t>硬件支出</t>
        </is>
      </c>
      <c r="B40" s="6" t="inlineStr">
        <is>
          <t>BONG MAX</t>
        </is>
      </c>
      <c r="D40" s="5" t="inlineStr">
        <is>
          <t>指学镜</t>
        </is>
      </c>
      <c r="E40" s="6" t="inlineStr">
        <is>
          <t>Q0905</t>
        </is>
      </c>
      <c r="F40" s="89">
        <f>-SUMIFS('1月数据源'!$I:$I,'1月数据源'!$D:$D,$E40,'1月数据源'!$F:$F,"SMART AI LIMITED")*F$185+SUMIFS('1月数据源'!$J:$J,'1月数据源'!$D:$D,$E40,'1月数据源'!$F:$F,"SMART AI LIMITED")*F$185</f>
        <v/>
      </c>
      <c r="G40" s="89">
        <f>-SUMIFS('2月数据源'!$I:$I,'2月数据源'!$D:$D,$E40,'2月数据源'!$F:$F,"SMART AI LIMITED")*G$185+SUMIFS('2月数据源'!$J:$J,'2月数据源'!$D:$D,$E40,'2月数据源'!$F:$F,"SMART AI LIMITED")*G$185</f>
        <v/>
      </c>
      <c r="H40" s="89">
        <f>-SUMIFS('3月数据源'!$I:$I,'3月数据源'!$D:$D,$E40,'3月数据源'!$F:$F,"SMART AI LIMITED")*H$185+SUMIFS('3月数据源'!$J:$J,'3月数据源'!$D:$D,$E40,'3月数据源'!$F:$F,"SMART AI LIMITED")*H$185</f>
        <v/>
      </c>
      <c r="I40" s="89">
        <f>-SUMIFS('4月数据源'!$I:$I,'4月数据源'!$D:$D,$E40,'4月数据源'!$F:$F,"SMART AI LIMITED")*I$185+SUMIFS('4月数据源'!$J:$J,'4月数据源'!$D:$D,$E40,'4月数据源'!$F:$F,"SMART AI LIMITED")*I$185</f>
        <v/>
      </c>
      <c r="J40" s="89">
        <f>-SUMIFS('5月数据源'!$I:$I,'5月数据源'!$D:$D,$E40,'5月数据源'!$F:$F,"SMART AI LIMITED")*J$185+SUMIFS('5月数据源'!$J:$J,'5月数据源'!$D:$D,$E40,'5月数据源'!$F:$F,"SMART AI LIMITED")*J$185</f>
        <v/>
      </c>
      <c r="K40" s="89">
        <f>-SUMIFS('6月数据源'!$I:$I,'6月数据源'!$D:$D,$E40,'6月数据源'!$F:$F,"SMART AI LIMITED")*K$185+SUMIFS('6月数据源'!$J:$J,'6月数据源'!$D:$D,$E40,'6月数据源'!$F:$F,"SMART AI LIMITED")*K$185</f>
        <v/>
      </c>
      <c r="L40" s="89">
        <f>-SUMIFS('7月数据源'!$I:$I,'7月数据源'!$D:$D,$E40,'7月数据源'!$F:$F,"SMART AI LIMITED")*L$185+SUMIFS('7月数据源'!$J:$J,'7月数据源'!$D:$D,$E40,'7月数据源'!$F:$F,"SMART AI LIMITED")*L$185</f>
        <v/>
      </c>
      <c r="M40" s="89">
        <f>-SUMIFS('8月数据源'!$I:$I,'8月数据源'!$D:$D,$E40,'8月数据源'!$F:$F,"SMART AI LIMITED")*M$185+SUMIFS('8月数据源'!$J:$J,'8月数据源'!$D:$D,$E40,'8月数据源'!$F:$F,"SMART AI LIMITED")*M$185</f>
        <v/>
      </c>
      <c r="N40" s="89">
        <f>-SUMIFS('9月数据源'!$I:$I,'9月数据源'!$D:$D,$E40,'9月数据源'!$F:$F,"SMART AI LIMITED")*N$185+SUMIFS('9月数据源'!$J:$J,'9月数据源'!$D:$D,$E40,'9月数据源'!$F:$F,"SMART AI LIMITED")*N$185</f>
        <v/>
      </c>
      <c r="O40" s="89">
        <f>-SUMIFS('10月数据源'!$I:$I,'10月数据源'!$D:$D,$E40,'10月数据源'!$F:$F,"SMART AI LIMITED")*O$185+SUMIFS('10月数据源'!$J:$J,'10月数据源'!$D:$D,$E40,'10月数据源'!$F:$F,"SMART AI LIMITED")*O$185</f>
        <v/>
      </c>
      <c r="P40" s="89">
        <f>-SUMIFS('11月数据源'!$I:$I,'11月数据源'!$D:$D,$E40,'11月数据源'!$F:$F,"SMART AI LIMITED")*P$185+SUMIFS('11月数据源'!$J:$J,'11月数据源'!$D:$D,$E40,'11月数据源'!$F:$F,"SMART AI LIMITED")*P$185</f>
        <v/>
      </c>
      <c r="Q40" s="89">
        <f>-SUMIFS('12月数据源'!$I:$I,'12月数据源'!$D:$D,$E40,'12月数据源'!$F:$F,"SMART AI LIMITED")*Q$185+SUMIFS('12月数据源'!$J:$J,'12月数据源'!$D:$D,$E40,'12月数据源'!$F:$F,"SMART AI LIMITED")*Q$185</f>
        <v/>
      </c>
    </row>
    <row r="41" s="83">
      <c r="A41" s="5" t="inlineStr">
        <is>
          <t>硬件支出</t>
        </is>
      </c>
      <c r="B41" s="6" t="inlineStr">
        <is>
          <t>BONG MAX</t>
        </is>
      </c>
      <c r="D41" s="5" t="inlineStr">
        <is>
          <t>学习机系统授权费</t>
        </is>
      </c>
      <c r="E41" s="6" t="inlineStr">
        <is>
          <t>Q0906</t>
        </is>
      </c>
      <c r="F41" s="89">
        <f>-SUMIFS('1月数据源'!$I:$I,'1月数据源'!$D:$D,$E41,'1月数据源'!$F:$F,"SMART AI LIMITED")*F$185+SUMIFS('1月数据源'!$J:$J,'1月数据源'!$D:$D,$E41,'1月数据源'!$F:$F,"SMART AI LIMITED")*F$185</f>
        <v/>
      </c>
      <c r="G41" s="89">
        <f>-SUMIFS('2月数据源'!$I:$I,'2月数据源'!$D:$D,$E41,'2月数据源'!$F:$F,"SMART AI LIMITED")*G$185+SUMIFS('2月数据源'!$J:$J,'2月数据源'!$D:$D,$E41,'2月数据源'!$F:$F,"SMART AI LIMITED")*G$185</f>
        <v/>
      </c>
      <c r="H41" s="89">
        <f>-SUMIFS('3月数据源'!$I:$I,'3月数据源'!$D:$D,$E41,'3月数据源'!$F:$F,"SMART AI LIMITED")*H$185+SUMIFS('3月数据源'!$J:$J,'3月数据源'!$D:$D,$E41,'3月数据源'!$F:$F,"SMART AI LIMITED")*H$185</f>
        <v/>
      </c>
      <c r="I41" s="89">
        <f>-SUMIFS('4月数据源'!$I:$I,'4月数据源'!$D:$D,$E41,'4月数据源'!$F:$F,"SMART AI LIMITED")*I$185+SUMIFS('4月数据源'!$J:$J,'4月数据源'!$D:$D,$E41,'4月数据源'!$F:$F,"SMART AI LIMITED")*I$185</f>
        <v/>
      </c>
      <c r="J41" s="89">
        <f>-SUMIFS('5月数据源'!$I:$I,'5月数据源'!$D:$D,$E41,'5月数据源'!$F:$F,"SMART AI LIMITED")*J$185+SUMIFS('5月数据源'!$J:$J,'5月数据源'!$D:$D,$E41,'5月数据源'!$F:$F,"SMART AI LIMITED")*J$185</f>
        <v/>
      </c>
      <c r="K41" s="89">
        <f>-SUMIFS('6月数据源'!$I:$I,'6月数据源'!$D:$D,$E41,'6月数据源'!$F:$F,"SMART AI LIMITED")*K$185+SUMIFS('6月数据源'!$J:$J,'6月数据源'!$D:$D,$E41,'6月数据源'!$F:$F,"SMART AI LIMITED")*K$185</f>
        <v/>
      </c>
      <c r="L41" s="89">
        <f>-SUMIFS('7月数据源'!$I:$I,'7月数据源'!$D:$D,$E41,'7月数据源'!$F:$F,"SMART AI LIMITED")*L$185+SUMIFS('7月数据源'!$J:$J,'7月数据源'!$D:$D,$E41,'7月数据源'!$F:$F,"SMART AI LIMITED")*L$185</f>
        <v/>
      </c>
      <c r="M41" s="89">
        <f>-SUMIFS('8月数据源'!$I:$I,'8月数据源'!$D:$D,$E41,'8月数据源'!$F:$F,"SMART AI LIMITED")*M$185+SUMIFS('8月数据源'!$J:$J,'8月数据源'!$D:$D,$E41,'8月数据源'!$F:$F,"SMART AI LIMITED")*M$185</f>
        <v/>
      </c>
      <c r="N41" s="89">
        <f>-SUMIFS('9月数据源'!$I:$I,'9月数据源'!$D:$D,$E41,'9月数据源'!$F:$F,"SMART AI LIMITED")*N$185+SUMIFS('9月数据源'!$J:$J,'9月数据源'!$D:$D,$E41,'9月数据源'!$F:$F,"SMART AI LIMITED")*N$185</f>
        <v/>
      </c>
      <c r="O41" s="89">
        <f>-SUMIFS('10月数据源'!$I:$I,'10月数据源'!$D:$D,$E41,'10月数据源'!$F:$F,"SMART AI LIMITED")*O$185+SUMIFS('10月数据源'!$J:$J,'10月数据源'!$D:$D,$E41,'10月数据源'!$F:$F,"SMART AI LIMITED")*O$185</f>
        <v/>
      </c>
      <c r="P41" s="89">
        <f>-SUMIFS('11月数据源'!$I:$I,'11月数据源'!$D:$D,$E41,'11月数据源'!$F:$F,"SMART AI LIMITED")*P$185+SUMIFS('11月数据源'!$J:$J,'11月数据源'!$D:$D,$E41,'11月数据源'!$F:$F,"SMART AI LIMITED")*P$185</f>
        <v/>
      </c>
      <c r="Q41" s="89">
        <f>-SUMIFS('12月数据源'!$I:$I,'12月数据源'!$D:$D,$E41,'12月数据源'!$F:$F,"SMART AI LIMITED")*Q$185+SUMIFS('12月数据源'!$J:$J,'12月数据源'!$D:$D,$E41,'12月数据源'!$F:$F,"SMART AI LIMITED")*Q$185</f>
        <v/>
      </c>
    </row>
    <row r="42" s="83">
      <c r="A42" s="5" t="inlineStr">
        <is>
          <t>硬件支出</t>
        </is>
      </c>
      <c r="B42" s="6" t="inlineStr">
        <is>
          <t>BONG PRO</t>
        </is>
      </c>
      <c r="C42" s="6" t="inlineStr">
        <is>
          <t>BONG PRO</t>
        </is>
      </c>
      <c r="D42" s="5" t="inlineStr">
        <is>
          <t>BOE平板电脑款项</t>
        </is>
      </c>
      <c r="E42" s="6" t="inlineStr">
        <is>
          <t>Q1001</t>
        </is>
      </c>
      <c r="F42" s="89">
        <f>-SUMIFS('1月数据源'!$I:$I,'1月数据源'!$D:$D,$E42,'1月数据源'!$F:$F,"SMART AI LIMITED")*F$185+SUMIFS('1月数据源'!$J:$J,'1月数据源'!$D:$D,$E42,'1月数据源'!$F:$F,"SMART AI LIMITED")*F$185</f>
        <v/>
      </c>
      <c r="G42" s="89">
        <f>-SUMIFS('2月数据源'!$I:$I,'2月数据源'!$D:$D,$E42,'2月数据源'!$F:$F,"SMART AI LIMITED")*G$185+SUMIFS('2月数据源'!$J:$J,'2月数据源'!$D:$D,$E42,'2月数据源'!$F:$F,"SMART AI LIMITED")*G$185</f>
        <v/>
      </c>
      <c r="H42" s="89">
        <f>-SUMIFS('3月数据源'!$I:$I,'3月数据源'!$D:$D,$E42,'3月数据源'!$F:$F,"SMART AI LIMITED")*H$185+SUMIFS('3月数据源'!$J:$J,'3月数据源'!$D:$D,$E42,'3月数据源'!$F:$F,"SMART AI LIMITED")*H$185</f>
        <v/>
      </c>
      <c r="I42" s="89">
        <f>-SUMIFS('4月数据源'!$I:$I,'4月数据源'!$D:$D,$E42,'4月数据源'!$F:$F,"SMART AI LIMITED")*I$185+SUMIFS('4月数据源'!$J:$J,'4月数据源'!$D:$D,$E42,'4月数据源'!$F:$F,"SMART AI LIMITED")*I$185</f>
        <v/>
      </c>
      <c r="J42" s="89">
        <f>-SUMIFS('5月数据源'!$I:$I,'5月数据源'!$D:$D,$E42,'5月数据源'!$F:$F,"SMART AI LIMITED")*J$185+SUMIFS('5月数据源'!$J:$J,'5月数据源'!$D:$D,$E42,'5月数据源'!$F:$F,"SMART AI LIMITED")*J$185</f>
        <v/>
      </c>
      <c r="K42" s="89">
        <f>-SUMIFS('6月数据源'!$I:$I,'6月数据源'!$D:$D,$E42,'6月数据源'!$F:$F,"SMART AI LIMITED")*K$185+SUMIFS('6月数据源'!$J:$J,'6月数据源'!$D:$D,$E42,'6月数据源'!$F:$F,"SMART AI LIMITED")*K$185</f>
        <v/>
      </c>
      <c r="L42" s="89">
        <f>-SUMIFS('7月数据源'!$I:$I,'7月数据源'!$D:$D,$E42,'7月数据源'!$F:$F,"SMART AI LIMITED")*L$185+SUMIFS('7月数据源'!$J:$J,'7月数据源'!$D:$D,$E42,'7月数据源'!$F:$F,"SMART AI LIMITED")*L$185</f>
        <v/>
      </c>
      <c r="M42" s="89">
        <f>-SUMIFS('8月数据源'!$I:$I,'8月数据源'!$D:$D,$E42,'8月数据源'!$F:$F,"SMART AI LIMITED")*M$185+SUMIFS('8月数据源'!$J:$J,'8月数据源'!$D:$D,$E42,'8月数据源'!$F:$F,"SMART AI LIMITED")*M$185</f>
        <v/>
      </c>
      <c r="N42" s="89">
        <f>-SUMIFS('9月数据源'!$I:$I,'9月数据源'!$D:$D,$E42,'9月数据源'!$F:$F,"SMART AI LIMITED")*N$185+SUMIFS('9月数据源'!$J:$J,'9月数据源'!$D:$D,$E42,'9月数据源'!$F:$F,"SMART AI LIMITED")*N$185</f>
        <v/>
      </c>
      <c r="O42" s="89">
        <f>-SUMIFS('10月数据源'!$I:$I,'10月数据源'!$D:$D,$E42,'10月数据源'!$F:$F,"SMART AI LIMITED")*O$185+SUMIFS('10月数据源'!$J:$J,'10月数据源'!$D:$D,$E42,'10月数据源'!$F:$F,"SMART AI LIMITED")*O$185</f>
        <v/>
      </c>
      <c r="P42" s="89">
        <f>-SUMIFS('11月数据源'!$I:$I,'11月数据源'!$D:$D,$E42,'11月数据源'!$F:$F,"SMART AI LIMITED")*P$185+SUMIFS('11月数据源'!$J:$J,'11月数据源'!$D:$D,$E42,'11月数据源'!$F:$F,"SMART AI LIMITED")*P$185</f>
        <v/>
      </c>
      <c r="Q42" s="89">
        <f>-SUMIFS('12月数据源'!$I:$I,'12月数据源'!$D:$D,$E42,'12月数据源'!$F:$F,"SMART AI LIMITED")*Q$185+SUMIFS('12月数据源'!$J:$J,'12月数据源'!$D:$D,$E42,'12月数据源'!$F:$F,"SMART AI LIMITED")*Q$185</f>
        <v/>
      </c>
    </row>
    <row r="43" s="83">
      <c r="A43" s="5" t="inlineStr">
        <is>
          <t>硬件支出</t>
        </is>
      </c>
      <c r="B43" s="6" t="inlineStr">
        <is>
          <t>BONG PRO</t>
        </is>
      </c>
      <c r="D43" s="5" t="inlineStr">
        <is>
          <t>保护套</t>
        </is>
      </c>
      <c r="E43" s="6" t="inlineStr">
        <is>
          <t>Q1002</t>
        </is>
      </c>
      <c r="F43" s="89">
        <f>-SUMIFS('1月数据源'!$I:$I,'1月数据源'!$D:$D,$E43,'1月数据源'!$F:$F,"SMART AI LIMITED")*F$185+SUMIFS('1月数据源'!$J:$J,'1月数据源'!$D:$D,$E43,'1月数据源'!$F:$F,"SMART AI LIMITED")*F$185</f>
        <v/>
      </c>
      <c r="G43" s="89">
        <f>-SUMIFS('2月数据源'!$I:$I,'2月数据源'!$D:$D,$E43,'2月数据源'!$F:$F,"SMART AI LIMITED")*G$185+SUMIFS('2月数据源'!$J:$J,'2月数据源'!$D:$D,$E43,'2月数据源'!$F:$F,"SMART AI LIMITED")*G$185</f>
        <v/>
      </c>
      <c r="H43" s="89">
        <f>-SUMIFS('3月数据源'!$I:$I,'3月数据源'!$D:$D,$E43,'3月数据源'!$F:$F,"SMART AI LIMITED")*H$185+SUMIFS('3月数据源'!$J:$J,'3月数据源'!$D:$D,$E43,'3月数据源'!$F:$F,"SMART AI LIMITED")*H$185</f>
        <v/>
      </c>
      <c r="I43" s="89">
        <f>-SUMIFS('4月数据源'!$I:$I,'4月数据源'!$D:$D,$E43,'4月数据源'!$F:$F,"SMART AI LIMITED")*I$185+SUMIFS('4月数据源'!$J:$J,'4月数据源'!$D:$D,$E43,'4月数据源'!$F:$F,"SMART AI LIMITED")*I$185</f>
        <v/>
      </c>
      <c r="J43" s="89">
        <f>-SUMIFS('5月数据源'!$I:$I,'5月数据源'!$D:$D,$E43,'5月数据源'!$F:$F,"SMART AI LIMITED")*J$185+SUMIFS('5月数据源'!$J:$J,'5月数据源'!$D:$D,$E43,'5月数据源'!$F:$F,"SMART AI LIMITED")*J$185</f>
        <v/>
      </c>
      <c r="K43" s="89">
        <f>-SUMIFS('6月数据源'!$I:$I,'6月数据源'!$D:$D,$E43,'6月数据源'!$F:$F,"SMART AI LIMITED")*K$185+SUMIFS('6月数据源'!$J:$J,'6月数据源'!$D:$D,$E43,'6月数据源'!$F:$F,"SMART AI LIMITED")*K$185</f>
        <v/>
      </c>
      <c r="L43" s="89">
        <f>-SUMIFS('7月数据源'!$I:$I,'7月数据源'!$D:$D,$E43,'7月数据源'!$F:$F,"SMART AI LIMITED")*L$185+SUMIFS('7月数据源'!$J:$J,'7月数据源'!$D:$D,$E43,'7月数据源'!$F:$F,"SMART AI LIMITED")*L$185</f>
        <v/>
      </c>
      <c r="M43" s="89">
        <f>-SUMIFS('8月数据源'!$I:$I,'8月数据源'!$D:$D,$E43,'8月数据源'!$F:$F,"SMART AI LIMITED")*M$185+SUMIFS('8月数据源'!$J:$J,'8月数据源'!$D:$D,$E43,'8月数据源'!$F:$F,"SMART AI LIMITED")*M$185</f>
        <v/>
      </c>
      <c r="N43" s="89">
        <f>-SUMIFS('9月数据源'!$I:$I,'9月数据源'!$D:$D,$E43,'9月数据源'!$F:$F,"SMART AI LIMITED")*N$185+SUMIFS('9月数据源'!$J:$J,'9月数据源'!$D:$D,$E43,'9月数据源'!$F:$F,"SMART AI LIMITED")*N$185</f>
        <v/>
      </c>
      <c r="O43" s="89">
        <f>-SUMIFS('10月数据源'!$I:$I,'10月数据源'!$D:$D,$E43,'10月数据源'!$F:$F,"SMART AI LIMITED")*O$185+SUMIFS('10月数据源'!$J:$J,'10月数据源'!$D:$D,$E43,'10月数据源'!$F:$F,"SMART AI LIMITED")*O$185</f>
        <v/>
      </c>
      <c r="P43" s="89">
        <f>-SUMIFS('11月数据源'!$I:$I,'11月数据源'!$D:$D,$E43,'11月数据源'!$F:$F,"SMART AI LIMITED")*P$185+SUMIFS('11月数据源'!$J:$J,'11月数据源'!$D:$D,$E43,'11月数据源'!$F:$F,"SMART AI LIMITED")*P$185</f>
        <v/>
      </c>
      <c r="Q43" s="89">
        <f>-SUMIFS('12月数据源'!$I:$I,'12月数据源'!$D:$D,$E43,'12月数据源'!$F:$F,"SMART AI LIMITED")*Q$185+SUMIFS('12月数据源'!$J:$J,'12月数据源'!$D:$D,$E43,'12月数据源'!$F:$F,"SMART AI LIMITED")*Q$185</f>
        <v/>
      </c>
    </row>
    <row r="44" s="83">
      <c r="A44" s="5" t="inlineStr">
        <is>
          <t>硬件支出</t>
        </is>
      </c>
      <c r="B44" s="6" t="inlineStr">
        <is>
          <t>BONG PRO</t>
        </is>
      </c>
      <c r="D44" s="5" t="inlineStr">
        <is>
          <t>包装盒</t>
        </is>
      </c>
      <c r="E44" s="6" t="inlineStr">
        <is>
          <t>Q1003</t>
        </is>
      </c>
      <c r="F44" s="89">
        <f>-SUMIFS('1月数据源'!$I:$I,'1月数据源'!$D:$D,$E44,'1月数据源'!$F:$F,"SMART AI LIMITED")*F$185+SUMIFS('1月数据源'!$J:$J,'1月数据源'!$D:$D,$E44,'1月数据源'!$F:$F,"SMART AI LIMITED")*F$185</f>
        <v/>
      </c>
      <c r="G44" s="89">
        <f>-SUMIFS('2月数据源'!$I:$I,'2月数据源'!$D:$D,$E44,'2月数据源'!$F:$F,"SMART AI LIMITED")*G$185+SUMIFS('2月数据源'!$J:$J,'2月数据源'!$D:$D,$E44,'2月数据源'!$F:$F,"SMART AI LIMITED")*G$185</f>
        <v/>
      </c>
      <c r="H44" s="89">
        <f>-SUMIFS('3月数据源'!$I:$I,'3月数据源'!$D:$D,$E44,'3月数据源'!$F:$F,"SMART AI LIMITED")*H$185+SUMIFS('3月数据源'!$J:$J,'3月数据源'!$D:$D,$E44,'3月数据源'!$F:$F,"SMART AI LIMITED")*H$185</f>
        <v/>
      </c>
      <c r="I44" s="89">
        <f>-SUMIFS('4月数据源'!$I:$I,'4月数据源'!$D:$D,$E44,'4月数据源'!$F:$F,"SMART AI LIMITED")*I$185+SUMIFS('4月数据源'!$J:$J,'4月数据源'!$D:$D,$E44,'4月数据源'!$F:$F,"SMART AI LIMITED")*I$185</f>
        <v/>
      </c>
      <c r="J44" s="89">
        <f>-SUMIFS('5月数据源'!$I:$I,'5月数据源'!$D:$D,$E44,'5月数据源'!$F:$F,"SMART AI LIMITED")*J$185+SUMIFS('5月数据源'!$J:$J,'5月数据源'!$D:$D,$E44,'5月数据源'!$F:$F,"SMART AI LIMITED")*J$185</f>
        <v/>
      </c>
      <c r="K44" s="89">
        <f>-SUMIFS('6月数据源'!$I:$I,'6月数据源'!$D:$D,$E44,'6月数据源'!$F:$F,"SMART AI LIMITED")*K$185+SUMIFS('6月数据源'!$J:$J,'6月数据源'!$D:$D,$E44,'6月数据源'!$F:$F,"SMART AI LIMITED")*K$185</f>
        <v/>
      </c>
      <c r="L44" s="89">
        <f>-SUMIFS('7月数据源'!$I:$I,'7月数据源'!$D:$D,$E44,'7月数据源'!$F:$F,"SMART AI LIMITED")*L$185+SUMIFS('7月数据源'!$J:$J,'7月数据源'!$D:$D,$E44,'7月数据源'!$F:$F,"SMART AI LIMITED")*L$185</f>
        <v/>
      </c>
      <c r="M44" s="89">
        <f>-SUMIFS('8月数据源'!$I:$I,'8月数据源'!$D:$D,$E44,'8月数据源'!$F:$F,"SMART AI LIMITED")*M$185+SUMIFS('8月数据源'!$J:$J,'8月数据源'!$D:$D,$E44,'8月数据源'!$F:$F,"SMART AI LIMITED")*M$185</f>
        <v/>
      </c>
      <c r="N44" s="89">
        <f>-SUMIFS('9月数据源'!$I:$I,'9月数据源'!$D:$D,$E44,'9月数据源'!$F:$F,"SMART AI LIMITED")*N$185+SUMIFS('9月数据源'!$J:$J,'9月数据源'!$D:$D,$E44,'9月数据源'!$F:$F,"SMART AI LIMITED")*N$185</f>
        <v/>
      </c>
      <c r="O44" s="89">
        <f>-SUMIFS('10月数据源'!$I:$I,'10月数据源'!$D:$D,$E44,'10月数据源'!$F:$F,"SMART AI LIMITED")*O$185+SUMIFS('10月数据源'!$J:$J,'10月数据源'!$D:$D,$E44,'10月数据源'!$F:$F,"SMART AI LIMITED")*O$185</f>
        <v/>
      </c>
      <c r="P44" s="89">
        <f>-SUMIFS('11月数据源'!$I:$I,'11月数据源'!$D:$D,$E44,'11月数据源'!$F:$F,"SMART AI LIMITED")*P$185+SUMIFS('11月数据源'!$J:$J,'11月数据源'!$D:$D,$E44,'11月数据源'!$F:$F,"SMART AI LIMITED")*P$185</f>
        <v/>
      </c>
      <c r="Q44" s="89">
        <f>-SUMIFS('12月数据源'!$I:$I,'12月数据源'!$D:$D,$E44,'12月数据源'!$F:$F,"SMART AI LIMITED")*Q$185+SUMIFS('12月数据源'!$J:$J,'12月数据源'!$D:$D,$E44,'12月数据源'!$F:$F,"SMART AI LIMITED")*Q$185</f>
        <v/>
      </c>
    </row>
    <row r="45" s="83">
      <c r="A45" s="5" t="inlineStr">
        <is>
          <t>硬件支出</t>
        </is>
      </c>
      <c r="B45" s="6" t="inlineStr">
        <is>
          <t>BONG PRO</t>
        </is>
      </c>
      <c r="D45" s="5" t="inlineStr">
        <is>
          <t>充电器</t>
        </is>
      </c>
      <c r="E45" s="6" t="inlineStr">
        <is>
          <t>Q1004</t>
        </is>
      </c>
      <c r="F45" s="89">
        <f>-SUMIFS('1月数据源'!$I:$I,'1月数据源'!$D:$D,$E45,'1月数据源'!$F:$F,"SMART AI LIMITED")*F$185+SUMIFS('1月数据源'!$J:$J,'1月数据源'!$D:$D,$E45,'1月数据源'!$F:$F,"SMART AI LIMITED")*F$185</f>
        <v/>
      </c>
      <c r="G45" s="89">
        <f>-SUMIFS('2月数据源'!$I:$I,'2月数据源'!$D:$D,$E45,'2月数据源'!$F:$F,"SMART AI LIMITED")*G$185+SUMIFS('2月数据源'!$J:$J,'2月数据源'!$D:$D,$E45,'2月数据源'!$F:$F,"SMART AI LIMITED")*G$185</f>
        <v/>
      </c>
      <c r="H45" s="89">
        <f>-SUMIFS('3月数据源'!$I:$I,'3月数据源'!$D:$D,$E45,'3月数据源'!$F:$F,"SMART AI LIMITED")*H$185+SUMIFS('3月数据源'!$J:$J,'3月数据源'!$D:$D,$E45,'3月数据源'!$F:$F,"SMART AI LIMITED")*H$185</f>
        <v/>
      </c>
      <c r="I45" s="89">
        <f>-SUMIFS('4月数据源'!$I:$I,'4月数据源'!$D:$D,$E45,'4月数据源'!$F:$F,"SMART AI LIMITED")*I$185+SUMIFS('4月数据源'!$J:$J,'4月数据源'!$D:$D,$E45,'4月数据源'!$F:$F,"SMART AI LIMITED")*I$185</f>
        <v/>
      </c>
      <c r="J45" s="89">
        <f>-SUMIFS('5月数据源'!$I:$I,'5月数据源'!$D:$D,$E45,'5月数据源'!$F:$F,"SMART AI LIMITED")*J$185+SUMIFS('5月数据源'!$J:$J,'5月数据源'!$D:$D,$E45,'5月数据源'!$F:$F,"SMART AI LIMITED")*J$185</f>
        <v/>
      </c>
      <c r="K45" s="89">
        <f>-SUMIFS('6月数据源'!$I:$I,'6月数据源'!$D:$D,$E45,'6月数据源'!$F:$F,"SMART AI LIMITED")*K$185+SUMIFS('6月数据源'!$J:$J,'6月数据源'!$D:$D,$E45,'6月数据源'!$F:$F,"SMART AI LIMITED")*K$185</f>
        <v/>
      </c>
      <c r="L45" s="89">
        <f>-SUMIFS('7月数据源'!$I:$I,'7月数据源'!$D:$D,$E45,'7月数据源'!$F:$F,"SMART AI LIMITED")*L$185+SUMIFS('7月数据源'!$J:$J,'7月数据源'!$D:$D,$E45,'7月数据源'!$F:$F,"SMART AI LIMITED")*L$185</f>
        <v/>
      </c>
      <c r="M45" s="89">
        <f>-SUMIFS('8月数据源'!$I:$I,'8月数据源'!$D:$D,$E45,'8月数据源'!$F:$F,"SMART AI LIMITED")*M$185+SUMIFS('8月数据源'!$J:$J,'8月数据源'!$D:$D,$E45,'8月数据源'!$F:$F,"SMART AI LIMITED")*M$185</f>
        <v/>
      </c>
      <c r="N45" s="89">
        <f>-SUMIFS('9月数据源'!$I:$I,'9月数据源'!$D:$D,$E45,'9月数据源'!$F:$F,"SMART AI LIMITED")*N$185+SUMIFS('9月数据源'!$J:$J,'9月数据源'!$D:$D,$E45,'9月数据源'!$F:$F,"SMART AI LIMITED")*N$185</f>
        <v/>
      </c>
      <c r="O45" s="89">
        <f>-SUMIFS('10月数据源'!$I:$I,'10月数据源'!$D:$D,$E45,'10月数据源'!$F:$F,"SMART AI LIMITED")*O$185+SUMIFS('10月数据源'!$J:$J,'10月数据源'!$D:$D,$E45,'10月数据源'!$F:$F,"SMART AI LIMITED")*O$185</f>
        <v/>
      </c>
      <c r="P45" s="89">
        <f>-SUMIFS('11月数据源'!$I:$I,'11月数据源'!$D:$D,$E45,'11月数据源'!$F:$F,"SMART AI LIMITED")*P$185+SUMIFS('11月数据源'!$J:$J,'11月数据源'!$D:$D,$E45,'11月数据源'!$F:$F,"SMART AI LIMITED")*P$185</f>
        <v/>
      </c>
      <c r="Q45" s="89">
        <f>-SUMIFS('12月数据源'!$I:$I,'12月数据源'!$D:$D,$E45,'12月数据源'!$F:$F,"SMART AI LIMITED")*Q$185+SUMIFS('12月数据源'!$J:$J,'12月数据源'!$D:$D,$E45,'12月数据源'!$F:$F,"SMART AI LIMITED")*Q$185</f>
        <v/>
      </c>
    </row>
    <row r="46" s="83">
      <c r="A46" s="5" t="inlineStr">
        <is>
          <t>硬件支出</t>
        </is>
      </c>
      <c r="B46" s="6" t="inlineStr">
        <is>
          <t>BONG PRO</t>
        </is>
      </c>
      <c r="D46" s="5" t="inlineStr">
        <is>
          <t>指学镜</t>
        </is>
      </c>
      <c r="E46" s="6" t="inlineStr">
        <is>
          <t>Q1005</t>
        </is>
      </c>
      <c r="F46" s="89">
        <f>-SUMIFS('1月数据源'!$I:$I,'1月数据源'!$D:$D,$E46,'1月数据源'!$F:$F,"SMART AI LIMITED")*F$185+SUMIFS('1月数据源'!$J:$J,'1月数据源'!$D:$D,$E46,'1月数据源'!$F:$F,"SMART AI LIMITED")*F$185</f>
        <v/>
      </c>
      <c r="G46" s="89">
        <f>-SUMIFS('2月数据源'!$I:$I,'2月数据源'!$D:$D,$E46,'2月数据源'!$F:$F,"SMART AI LIMITED")*G$185+SUMIFS('2月数据源'!$J:$J,'2月数据源'!$D:$D,$E46,'2月数据源'!$F:$F,"SMART AI LIMITED")*G$185</f>
        <v/>
      </c>
      <c r="H46" s="89">
        <f>-SUMIFS('3月数据源'!$I:$I,'3月数据源'!$D:$D,$E46,'3月数据源'!$F:$F,"SMART AI LIMITED")*H$185+SUMIFS('3月数据源'!$J:$J,'3月数据源'!$D:$D,$E46,'3月数据源'!$F:$F,"SMART AI LIMITED")*H$185</f>
        <v/>
      </c>
      <c r="I46" s="89">
        <f>-SUMIFS('4月数据源'!$I:$I,'4月数据源'!$D:$D,$E46,'4月数据源'!$F:$F,"SMART AI LIMITED")*I$185+SUMIFS('4月数据源'!$J:$J,'4月数据源'!$D:$D,$E46,'4月数据源'!$F:$F,"SMART AI LIMITED")*I$185</f>
        <v/>
      </c>
      <c r="J46" s="89">
        <f>-SUMIFS('5月数据源'!$I:$I,'5月数据源'!$D:$D,$E46,'5月数据源'!$F:$F,"SMART AI LIMITED")*J$185+SUMIFS('5月数据源'!$J:$J,'5月数据源'!$D:$D,$E46,'5月数据源'!$F:$F,"SMART AI LIMITED")*J$185</f>
        <v/>
      </c>
      <c r="K46" s="89">
        <f>-SUMIFS('6月数据源'!$I:$I,'6月数据源'!$D:$D,$E46,'6月数据源'!$F:$F,"SMART AI LIMITED")*K$185+SUMIFS('6月数据源'!$J:$J,'6月数据源'!$D:$D,$E46,'6月数据源'!$F:$F,"SMART AI LIMITED")*K$185</f>
        <v/>
      </c>
      <c r="L46" s="89">
        <f>-SUMIFS('7月数据源'!$I:$I,'7月数据源'!$D:$D,$E46,'7月数据源'!$F:$F,"SMART AI LIMITED")*L$185+SUMIFS('7月数据源'!$J:$J,'7月数据源'!$D:$D,$E46,'7月数据源'!$F:$F,"SMART AI LIMITED")*L$185</f>
        <v/>
      </c>
      <c r="M46" s="89">
        <f>-SUMIFS('8月数据源'!$I:$I,'8月数据源'!$D:$D,$E46,'8月数据源'!$F:$F,"SMART AI LIMITED")*M$185+SUMIFS('8月数据源'!$J:$J,'8月数据源'!$D:$D,$E46,'8月数据源'!$F:$F,"SMART AI LIMITED")*M$185</f>
        <v/>
      </c>
      <c r="N46" s="89">
        <f>-SUMIFS('9月数据源'!$I:$I,'9月数据源'!$D:$D,$E46,'9月数据源'!$F:$F,"SMART AI LIMITED")*N$185+SUMIFS('9月数据源'!$J:$J,'9月数据源'!$D:$D,$E46,'9月数据源'!$F:$F,"SMART AI LIMITED")*N$185</f>
        <v/>
      </c>
      <c r="O46" s="89">
        <f>-SUMIFS('10月数据源'!$I:$I,'10月数据源'!$D:$D,$E46,'10月数据源'!$F:$F,"SMART AI LIMITED")*O$185+SUMIFS('10月数据源'!$J:$J,'10月数据源'!$D:$D,$E46,'10月数据源'!$F:$F,"SMART AI LIMITED")*O$185</f>
        <v/>
      </c>
      <c r="P46" s="89">
        <f>-SUMIFS('11月数据源'!$I:$I,'11月数据源'!$D:$D,$E46,'11月数据源'!$F:$F,"SMART AI LIMITED")*P$185+SUMIFS('11月数据源'!$J:$J,'11月数据源'!$D:$D,$E46,'11月数据源'!$F:$F,"SMART AI LIMITED")*P$185</f>
        <v/>
      </c>
      <c r="Q46" s="89">
        <f>-SUMIFS('12月数据源'!$I:$I,'12月数据源'!$D:$D,$E46,'12月数据源'!$F:$F,"SMART AI LIMITED")*Q$185+SUMIFS('12月数据源'!$J:$J,'12月数据源'!$D:$D,$E46,'12月数据源'!$F:$F,"SMART AI LIMITED")*Q$185</f>
        <v/>
      </c>
    </row>
    <row r="47" s="83">
      <c r="A47" s="5" t="inlineStr">
        <is>
          <t>硬件支出</t>
        </is>
      </c>
      <c r="B47" s="6" t="inlineStr">
        <is>
          <t>BONG PRO</t>
        </is>
      </c>
      <c r="D47" s="5" t="inlineStr">
        <is>
          <t>学习机系统授权费</t>
        </is>
      </c>
      <c r="E47" s="6" t="inlineStr">
        <is>
          <t>Q1006</t>
        </is>
      </c>
      <c r="F47" s="89">
        <f>-SUMIFS('1月数据源'!$I:$I,'1月数据源'!$D:$D,$E47,'1月数据源'!$F:$F,"SMART AI LIMITED")*F$185+SUMIFS('1月数据源'!$J:$J,'1月数据源'!$D:$D,$E47,'1月数据源'!$F:$F,"SMART AI LIMITED")*F$185</f>
        <v/>
      </c>
      <c r="G47" s="89">
        <f>-SUMIFS('2月数据源'!$I:$I,'2月数据源'!$D:$D,$E47,'2月数据源'!$F:$F,"SMART AI LIMITED")*G$185+SUMIFS('2月数据源'!$J:$J,'2月数据源'!$D:$D,$E47,'2月数据源'!$F:$F,"SMART AI LIMITED")*G$185</f>
        <v/>
      </c>
      <c r="H47" s="89">
        <f>-SUMIFS('3月数据源'!$I:$I,'3月数据源'!$D:$D,$E47,'3月数据源'!$F:$F,"SMART AI LIMITED")*H$185+SUMIFS('3月数据源'!$J:$J,'3月数据源'!$D:$D,$E47,'3月数据源'!$F:$F,"SMART AI LIMITED")*H$185</f>
        <v/>
      </c>
      <c r="I47" s="89">
        <f>-SUMIFS('4月数据源'!$I:$I,'4月数据源'!$D:$D,$E47,'4月数据源'!$F:$F,"SMART AI LIMITED")*I$185+SUMIFS('4月数据源'!$J:$J,'4月数据源'!$D:$D,$E47,'4月数据源'!$F:$F,"SMART AI LIMITED")*I$185</f>
        <v/>
      </c>
      <c r="J47" s="89">
        <f>-SUMIFS('5月数据源'!$I:$I,'5月数据源'!$D:$D,$E47,'5月数据源'!$F:$F,"SMART AI LIMITED")*J$185+SUMIFS('5月数据源'!$J:$J,'5月数据源'!$D:$D,$E47,'5月数据源'!$F:$F,"SMART AI LIMITED")*J$185</f>
        <v/>
      </c>
      <c r="K47" s="89">
        <f>-SUMIFS('6月数据源'!$I:$I,'6月数据源'!$D:$D,$E47,'6月数据源'!$F:$F,"SMART AI LIMITED")*K$185+SUMIFS('6月数据源'!$J:$J,'6月数据源'!$D:$D,$E47,'6月数据源'!$F:$F,"SMART AI LIMITED")*K$185</f>
        <v/>
      </c>
      <c r="L47" s="89">
        <f>-SUMIFS('7月数据源'!$I:$I,'7月数据源'!$D:$D,$E47,'7月数据源'!$F:$F,"SMART AI LIMITED")*L$185+SUMIFS('7月数据源'!$J:$J,'7月数据源'!$D:$D,$E47,'7月数据源'!$F:$F,"SMART AI LIMITED")*L$185</f>
        <v/>
      </c>
      <c r="M47" s="89">
        <f>-SUMIFS('8月数据源'!$I:$I,'8月数据源'!$D:$D,$E47,'8月数据源'!$F:$F,"SMART AI LIMITED")*M$185+SUMIFS('8月数据源'!$J:$J,'8月数据源'!$D:$D,$E47,'8月数据源'!$F:$F,"SMART AI LIMITED")*M$185</f>
        <v/>
      </c>
      <c r="N47" s="89">
        <f>-SUMIFS('9月数据源'!$I:$I,'9月数据源'!$D:$D,$E47,'9月数据源'!$F:$F,"SMART AI LIMITED")*N$185+SUMIFS('9月数据源'!$J:$J,'9月数据源'!$D:$D,$E47,'9月数据源'!$F:$F,"SMART AI LIMITED")*N$185</f>
        <v/>
      </c>
      <c r="O47" s="89">
        <f>-SUMIFS('10月数据源'!$I:$I,'10月数据源'!$D:$D,$E47,'10月数据源'!$F:$F,"SMART AI LIMITED")*O$185+SUMIFS('10月数据源'!$J:$J,'10月数据源'!$D:$D,$E47,'10月数据源'!$F:$F,"SMART AI LIMITED")*O$185</f>
        <v/>
      </c>
      <c r="P47" s="89">
        <f>-SUMIFS('11月数据源'!$I:$I,'11月数据源'!$D:$D,$E47,'11月数据源'!$F:$F,"SMART AI LIMITED")*P$185+SUMIFS('11月数据源'!$J:$J,'11月数据源'!$D:$D,$E47,'11月数据源'!$F:$F,"SMART AI LIMITED")*P$185</f>
        <v/>
      </c>
      <c r="Q47" s="89">
        <f>-SUMIFS('12月数据源'!$I:$I,'12月数据源'!$D:$D,$E47,'12月数据源'!$F:$F,"SMART AI LIMITED")*Q$185+SUMIFS('12月数据源'!$J:$J,'12月数据源'!$D:$D,$E47,'12月数据源'!$F:$F,"SMART AI LIMITED")*Q$185</f>
        <v/>
      </c>
    </row>
    <row r="48" s="83">
      <c r="A48" s="5" t="inlineStr">
        <is>
          <t>硬件支出</t>
        </is>
      </c>
      <c r="B48" s="6" t="inlineStr">
        <is>
          <t>其他硬件成本</t>
        </is>
      </c>
      <c r="C48" s="6" t="inlineStr">
        <is>
          <t>其他硬件成本</t>
        </is>
      </c>
      <c r="D48" s="5" t="inlineStr">
        <is>
          <t>电容笔</t>
        </is>
      </c>
      <c r="E48" s="6" t="inlineStr">
        <is>
          <t>Q1101</t>
        </is>
      </c>
      <c r="F48" s="89">
        <f>-SUMIFS('1月数据源'!$I:$I,'1月数据源'!$D:$D,$E48,'1月数据源'!$F:$F,"SMART AI LIMITED")*F$185+SUMIFS('1月数据源'!$J:$J,'1月数据源'!$D:$D,$E48,'1月数据源'!$F:$F,"SMART AI LIMITED")*F$185</f>
        <v/>
      </c>
      <c r="G48" s="89">
        <f>-SUMIFS('2月数据源'!$I:$I,'2月数据源'!$D:$D,$E48,'2月数据源'!$F:$F,"SMART AI LIMITED")*G$185+SUMIFS('2月数据源'!$J:$J,'2月数据源'!$D:$D,$E48,'2月数据源'!$F:$F,"SMART AI LIMITED")*G$185</f>
        <v/>
      </c>
      <c r="H48" s="89">
        <f>-SUMIFS('3月数据源'!$I:$I,'3月数据源'!$D:$D,$E48,'3月数据源'!$F:$F,"SMART AI LIMITED")*H$185+SUMIFS('3月数据源'!$J:$J,'3月数据源'!$D:$D,$E48,'3月数据源'!$F:$F,"SMART AI LIMITED")*H$185</f>
        <v/>
      </c>
      <c r="I48" s="89">
        <f>-SUMIFS('4月数据源'!$I:$I,'4月数据源'!$D:$D,$E48,'4月数据源'!$F:$F,"SMART AI LIMITED")*I$185+SUMIFS('4月数据源'!$J:$J,'4月数据源'!$D:$D,$E48,'4月数据源'!$F:$F,"SMART AI LIMITED")*I$185</f>
        <v/>
      </c>
      <c r="J48" s="89">
        <f>-SUMIFS('5月数据源'!$I:$I,'5月数据源'!$D:$D,$E48,'5月数据源'!$F:$F,"SMART AI LIMITED")*J$185+SUMIFS('5月数据源'!$J:$J,'5月数据源'!$D:$D,$E48,'5月数据源'!$F:$F,"SMART AI LIMITED")*J$185</f>
        <v/>
      </c>
      <c r="K48" s="89">
        <f>-SUMIFS('6月数据源'!$I:$I,'6月数据源'!$D:$D,$E48,'6月数据源'!$F:$F,"SMART AI LIMITED")*K$185+SUMIFS('6月数据源'!$J:$J,'6月数据源'!$D:$D,$E48,'6月数据源'!$F:$F,"SMART AI LIMITED")*K$185</f>
        <v/>
      </c>
      <c r="L48" s="89">
        <f>-SUMIFS('7月数据源'!$I:$I,'7月数据源'!$D:$D,$E48,'7月数据源'!$F:$F,"SMART AI LIMITED")*L$185+SUMIFS('7月数据源'!$J:$J,'7月数据源'!$D:$D,$E48,'7月数据源'!$F:$F,"SMART AI LIMITED")*L$185</f>
        <v/>
      </c>
      <c r="M48" s="89">
        <f>-SUMIFS('8月数据源'!$I:$I,'8月数据源'!$D:$D,$E48,'8月数据源'!$F:$F,"SMART AI LIMITED")*M$185+SUMIFS('8月数据源'!$J:$J,'8月数据源'!$D:$D,$E48,'8月数据源'!$F:$F,"SMART AI LIMITED")*M$185</f>
        <v/>
      </c>
      <c r="N48" s="89">
        <f>-SUMIFS('9月数据源'!$I:$I,'9月数据源'!$D:$D,$E48,'9月数据源'!$F:$F,"SMART AI LIMITED")*N$185+SUMIFS('9月数据源'!$J:$J,'9月数据源'!$D:$D,$E48,'9月数据源'!$F:$F,"SMART AI LIMITED")*N$185</f>
        <v/>
      </c>
      <c r="O48" s="89">
        <f>-SUMIFS('10月数据源'!$I:$I,'10月数据源'!$D:$D,$E48,'10月数据源'!$F:$F,"SMART AI LIMITED")*O$185+SUMIFS('10月数据源'!$J:$J,'10月数据源'!$D:$D,$E48,'10月数据源'!$F:$F,"SMART AI LIMITED")*O$185</f>
        <v/>
      </c>
      <c r="P48" s="89">
        <f>-SUMIFS('11月数据源'!$I:$I,'11月数据源'!$D:$D,$E48,'11月数据源'!$F:$F,"SMART AI LIMITED")*P$185+SUMIFS('11月数据源'!$J:$J,'11月数据源'!$D:$D,$E48,'11月数据源'!$F:$F,"SMART AI LIMITED")*P$185</f>
        <v/>
      </c>
      <c r="Q48" s="89">
        <f>-SUMIFS('12月数据源'!$I:$I,'12月数据源'!$D:$D,$E48,'12月数据源'!$F:$F,"SMART AI LIMITED")*Q$185+SUMIFS('12月数据源'!$J:$J,'12月数据源'!$D:$D,$E48,'12月数据源'!$F:$F,"SMART AI LIMITED")*Q$185</f>
        <v/>
      </c>
    </row>
    <row r="49" s="83">
      <c r="A49" s="5" t="inlineStr">
        <is>
          <t>硬件支出</t>
        </is>
      </c>
      <c r="B49" s="6" t="inlineStr">
        <is>
          <t>其他硬件成本</t>
        </is>
      </c>
      <c r="D49" s="5" t="inlineStr">
        <is>
          <t>支架</t>
        </is>
      </c>
      <c r="E49" s="6" t="inlineStr">
        <is>
          <t>Q1102</t>
        </is>
      </c>
      <c r="F49" s="89">
        <f>-SUMIFS('1月数据源'!$I:$I,'1月数据源'!$D:$D,$E49,'1月数据源'!$F:$F,"SMART AI LIMITED")*F$185+SUMIFS('1月数据源'!$J:$J,'1月数据源'!$D:$D,$E49,'1月数据源'!$F:$F,"SMART AI LIMITED")*F$185</f>
        <v/>
      </c>
      <c r="G49" s="89">
        <f>-SUMIFS('2月数据源'!$I:$I,'2月数据源'!$D:$D,$E49,'2月数据源'!$F:$F,"SMART AI LIMITED")*G$185+SUMIFS('2月数据源'!$J:$J,'2月数据源'!$D:$D,$E49,'2月数据源'!$F:$F,"SMART AI LIMITED")*G$185</f>
        <v/>
      </c>
      <c r="H49" s="89">
        <f>-SUMIFS('3月数据源'!$I:$I,'3月数据源'!$D:$D,$E49,'3月数据源'!$F:$F,"SMART AI LIMITED")*H$185+SUMIFS('3月数据源'!$J:$J,'3月数据源'!$D:$D,$E49,'3月数据源'!$F:$F,"SMART AI LIMITED")*H$185</f>
        <v/>
      </c>
      <c r="I49" s="89">
        <f>-SUMIFS('4月数据源'!$I:$I,'4月数据源'!$D:$D,$E49,'4月数据源'!$F:$F,"SMART AI LIMITED")*I$185+SUMIFS('4月数据源'!$J:$J,'4月数据源'!$D:$D,$E49,'4月数据源'!$F:$F,"SMART AI LIMITED")*I$185</f>
        <v/>
      </c>
      <c r="J49" s="89">
        <f>-SUMIFS('5月数据源'!$I:$I,'5月数据源'!$D:$D,$E49,'5月数据源'!$F:$F,"SMART AI LIMITED")*J$185+SUMIFS('5月数据源'!$J:$J,'5月数据源'!$D:$D,$E49,'5月数据源'!$F:$F,"SMART AI LIMITED")*J$185</f>
        <v/>
      </c>
      <c r="K49" s="89">
        <f>-SUMIFS('6月数据源'!$I:$I,'6月数据源'!$D:$D,$E49,'6月数据源'!$F:$F,"SMART AI LIMITED")*K$185+SUMIFS('6月数据源'!$J:$J,'6月数据源'!$D:$D,$E49,'6月数据源'!$F:$F,"SMART AI LIMITED")*K$185</f>
        <v/>
      </c>
      <c r="L49" s="89">
        <f>-SUMIFS('7月数据源'!$I:$I,'7月数据源'!$D:$D,$E49,'7月数据源'!$F:$F,"SMART AI LIMITED")*L$185+SUMIFS('7月数据源'!$J:$J,'7月数据源'!$D:$D,$E49,'7月数据源'!$F:$F,"SMART AI LIMITED")*L$185</f>
        <v/>
      </c>
      <c r="M49" s="89">
        <f>-SUMIFS('8月数据源'!$I:$I,'8月数据源'!$D:$D,$E49,'8月数据源'!$F:$F,"SMART AI LIMITED")*M$185+SUMIFS('8月数据源'!$J:$J,'8月数据源'!$D:$D,$E49,'8月数据源'!$F:$F,"SMART AI LIMITED")*M$185</f>
        <v/>
      </c>
      <c r="N49" s="89">
        <f>-SUMIFS('9月数据源'!$I:$I,'9月数据源'!$D:$D,$E49,'9月数据源'!$F:$F,"SMART AI LIMITED")*N$185+SUMIFS('9月数据源'!$J:$J,'9月数据源'!$D:$D,$E49,'9月数据源'!$F:$F,"SMART AI LIMITED")*N$185</f>
        <v/>
      </c>
      <c r="O49" s="89">
        <f>-SUMIFS('10月数据源'!$I:$I,'10月数据源'!$D:$D,$E49,'10月数据源'!$F:$F,"SMART AI LIMITED")*O$185+SUMIFS('10月数据源'!$J:$J,'10月数据源'!$D:$D,$E49,'10月数据源'!$F:$F,"SMART AI LIMITED")*O$185</f>
        <v/>
      </c>
      <c r="P49" s="89">
        <f>-SUMIFS('11月数据源'!$I:$I,'11月数据源'!$D:$D,$E49,'11月数据源'!$F:$F,"SMART AI LIMITED")*P$185+SUMIFS('11月数据源'!$J:$J,'11月数据源'!$D:$D,$E49,'11月数据源'!$F:$F,"SMART AI LIMITED")*P$185</f>
        <v/>
      </c>
      <c r="Q49" s="89">
        <f>-SUMIFS('12月数据源'!$I:$I,'12月数据源'!$D:$D,$E49,'12月数据源'!$F:$F,"SMART AI LIMITED")*Q$185+SUMIFS('12月数据源'!$J:$J,'12月数据源'!$D:$D,$E49,'12月数据源'!$F:$F,"SMART AI LIMITED")*Q$185</f>
        <v/>
      </c>
    </row>
    <row r="50" s="83">
      <c r="A50" s="49" t="inlineStr">
        <is>
          <t>硬件支出合计</t>
        </is>
      </c>
      <c r="B50" s="50" t="n"/>
      <c r="C50" s="50" t="n"/>
      <c r="D50" s="49" t="n"/>
      <c r="E50" s="49" t="n"/>
      <c r="F50" s="89">
        <f>SUM(F36:F49)</f>
        <v/>
      </c>
      <c r="G50" s="89">
        <f>SUM(G36:G49)</f>
        <v/>
      </c>
      <c r="H50" s="89">
        <f>SUM(H36:H49)</f>
        <v/>
      </c>
      <c r="I50" s="89">
        <f>SUM(I36:I49)</f>
        <v/>
      </c>
      <c r="J50" s="89">
        <f>SUM(J36:J49)</f>
        <v/>
      </c>
      <c r="K50" s="89">
        <f>SUM(K36:K49)</f>
        <v/>
      </c>
      <c r="L50" s="89">
        <f>SUM(L36:L49)</f>
        <v/>
      </c>
      <c r="M50" s="89">
        <f>SUM(M36:M49)</f>
        <v/>
      </c>
      <c r="N50" s="89">
        <f>SUM(N36:N49)</f>
        <v/>
      </c>
      <c r="O50" s="89">
        <f>SUM(O36:O49)</f>
        <v/>
      </c>
      <c r="P50" s="89">
        <f>SUM(P36:P49)</f>
        <v/>
      </c>
      <c r="Q50" s="89">
        <f>SUM(Q36:Q49)</f>
        <v/>
      </c>
    </row>
    <row r="51" s="83">
      <c r="A51" s="5" t="inlineStr">
        <is>
          <t>制造费用</t>
        </is>
      </c>
      <c r="B51" s="5" t="inlineStr">
        <is>
          <t>制造费用</t>
        </is>
      </c>
      <c r="C51" s="6" t="inlineStr">
        <is>
          <t>制造费用</t>
        </is>
      </c>
      <c r="D51" s="5" t="inlineStr">
        <is>
          <t>西溪首座仓库租金</t>
        </is>
      </c>
      <c r="E51" s="6" t="inlineStr">
        <is>
          <t>Q3201</t>
        </is>
      </c>
      <c r="F51" s="89">
        <f>-SUMIFS('1月数据源'!$I:$I,'1月数据源'!$D:$D,$E51,'1月数据源'!$F:$F,"SMART AI LIMITED")*F$185+SUMIFS('1月数据源'!$J:$J,'1月数据源'!$D:$D,$E51,'1月数据源'!$F:$F,"SMART AI LIMITED")*F$185</f>
        <v/>
      </c>
      <c r="G51" s="89">
        <f>-SUMIFS('2月数据源'!$I:$I,'2月数据源'!$D:$D,$E51,'2月数据源'!$F:$F,"SMART AI LIMITED")*G$185+SUMIFS('2月数据源'!$J:$J,'2月数据源'!$D:$D,$E51,'2月数据源'!$F:$F,"SMART AI LIMITED")*G$185</f>
        <v/>
      </c>
      <c r="H51" s="89">
        <f>-SUMIFS('3月数据源'!$I:$I,'3月数据源'!$D:$D,$E51,'3月数据源'!$F:$F,"SMART AI LIMITED")*H$185+SUMIFS('3月数据源'!$J:$J,'3月数据源'!$D:$D,$E51,'3月数据源'!$F:$F,"SMART AI LIMITED")*H$185</f>
        <v/>
      </c>
      <c r="I51" s="89">
        <f>-SUMIFS('4月数据源'!$I:$I,'4月数据源'!$D:$D,$E51,'4月数据源'!$F:$F,"SMART AI LIMITED")*I$185+SUMIFS('4月数据源'!$J:$J,'4月数据源'!$D:$D,$E51,'4月数据源'!$F:$F,"SMART AI LIMITED")*I$185</f>
        <v/>
      </c>
      <c r="J51" s="89">
        <f>-SUMIFS('5月数据源'!$I:$I,'5月数据源'!$D:$D,$E51,'5月数据源'!$F:$F,"SMART AI LIMITED")*J$185+SUMIFS('5月数据源'!$J:$J,'5月数据源'!$D:$D,$E51,'5月数据源'!$F:$F,"SMART AI LIMITED")*J$185</f>
        <v/>
      </c>
      <c r="K51" s="89">
        <f>-SUMIFS('6月数据源'!$I:$I,'6月数据源'!$D:$D,$E51,'6月数据源'!$F:$F,"SMART AI LIMITED")*K$185+SUMIFS('6月数据源'!$J:$J,'6月数据源'!$D:$D,$E51,'6月数据源'!$F:$F,"SMART AI LIMITED")*K$185</f>
        <v/>
      </c>
      <c r="L51" s="89">
        <f>-SUMIFS('7月数据源'!$I:$I,'7月数据源'!$D:$D,$E51,'7月数据源'!$F:$F,"SMART AI LIMITED")*L$185+SUMIFS('7月数据源'!$J:$J,'7月数据源'!$D:$D,$E51,'7月数据源'!$F:$F,"SMART AI LIMITED")*L$185</f>
        <v/>
      </c>
      <c r="M51" s="89">
        <f>-SUMIFS('8月数据源'!$I:$I,'8月数据源'!$D:$D,$E51,'8月数据源'!$F:$F,"SMART AI LIMITED")*M$185+SUMIFS('8月数据源'!$J:$J,'8月数据源'!$D:$D,$E51,'8月数据源'!$F:$F,"SMART AI LIMITED")*M$185</f>
        <v/>
      </c>
      <c r="N51" s="89">
        <f>-SUMIFS('9月数据源'!$I:$I,'9月数据源'!$D:$D,$E51,'9月数据源'!$F:$F,"SMART AI LIMITED")*N$185+SUMIFS('9月数据源'!$J:$J,'9月数据源'!$D:$D,$E51,'9月数据源'!$F:$F,"SMART AI LIMITED")*N$185</f>
        <v/>
      </c>
      <c r="O51" s="89">
        <f>-SUMIFS('10月数据源'!$I:$I,'10月数据源'!$D:$D,$E51,'10月数据源'!$F:$F,"SMART AI LIMITED")*O$185+SUMIFS('10月数据源'!$J:$J,'10月数据源'!$D:$D,$E51,'10月数据源'!$F:$F,"SMART AI LIMITED")*O$185</f>
        <v/>
      </c>
      <c r="P51" s="89">
        <f>-SUMIFS('11月数据源'!$I:$I,'11月数据源'!$D:$D,$E51,'11月数据源'!$F:$F,"SMART AI LIMITED")*P$185+SUMIFS('11月数据源'!$J:$J,'11月数据源'!$D:$D,$E51,'11月数据源'!$F:$F,"SMART AI LIMITED")*P$185</f>
        <v/>
      </c>
      <c r="Q51" s="89">
        <f>-SUMIFS('12月数据源'!$I:$I,'12月数据源'!$D:$D,$E51,'12月数据源'!$F:$F,"SMART AI LIMITED")*Q$185+SUMIFS('12月数据源'!$J:$J,'12月数据源'!$D:$D,$E51,'12月数据源'!$F:$F,"SMART AI LIMITED")*Q$185</f>
        <v/>
      </c>
    </row>
    <row r="52" s="83">
      <c r="A52" s="5" t="inlineStr">
        <is>
          <t>制造费用</t>
        </is>
      </c>
      <c r="B52" s="5" t="inlineStr">
        <is>
          <t>制造费用</t>
        </is>
      </c>
      <c r="D52" s="5" t="inlineStr">
        <is>
          <t>西溪首座仓库物业水电费</t>
        </is>
      </c>
      <c r="E52" s="6" t="inlineStr">
        <is>
          <t>Q3202</t>
        </is>
      </c>
      <c r="F52" s="89">
        <f>-SUMIFS('1月数据源'!$I:$I,'1月数据源'!$D:$D,$E52,'1月数据源'!$F:$F,"SMART AI LIMITED")*F$185+SUMIFS('1月数据源'!$J:$J,'1月数据源'!$D:$D,$E52,'1月数据源'!$F:$F,"SMART AI LIMITED")*F$185</f>
        <v/>
      </c>
      <c r="G52" s="89">
        <f>-SUMIFS('2月数据源'!$I:$I,'2月数据源'!$D:$D,$E52,'2月数据源'!$F:$F,"SMART AI LIMITED")*G$185+SUMIFS('2月数据源'!$J:$J,'2月数据源'!$D:$D,$E52,'2月数据源'!$F:$F,"SMART AI LIMITED")*G$185</f>
        <v/>
      </c>
      <c r="H52" s="89">
        <f>-SUMIFS('3月数据源'!$I:$I,'3月数据源'!$D:$D,$E52,'3月数据源'!$F:$F,"SMART AI LIMITED")*H$185+SUMIFS('3月数据源'!$J:$J,'3月数据源'!$D:$D,$E52,'3月数据源'!$F:$F,"SMART AI LIMITED")*H$185</f>
        <v/>
      </c>
      <c r="I52" s="89">
        <f>-SUMIFS('4月数据源'!$I:$I,'4月数据源'!$D:$D,$E52,'4月数据源'!$F:$F,"SMART AI LIMITED")*I$185+SUMIFS('4月数据源'!$J:$J,'4月数据源'!$D:$D,$E52,'4月数据源'!$F:$F,"SMART AI LIMITED")*I$185</f>
        <v/>
      </c>
      <c r="J52" s="89">
        <f>-SUMIFS('5月数据源'!$I:$I,'5月数据源'!$D:$D,$E52,'5月数据源'!$F:$F,"SMART AI LIMITED")*J$185+SUMIFS('5月数据源'!$J:$J,'5月数据源'!$D:$D,$E52,'5月数据源'!$F:$F,"SMART AI LIMITED")*J$185</f>
        <v/>
      </c>
      <c r="K52" s="89">
        <f>-SUMIFS('6月数据源'!$I:$I,'6月数据源'!$D:$D,$E52,'6月数据源'!$F:$F,"SMART AI LIMITED")*K$185+SUMIFS('6月数据源'!$J:$J,'6月数据源'!$D:$D,$E52,'6月数据源'!$F:$F,"SMART AI LIMITED")*K$185</f>
        <v/>
      </c>
      <c r="L52" s="89">
        <f>-SUMIFS('7月数据源'!$I:$I,'7月数据源'!$D:$D,$E52,'7月数据源'!$F:$F,"SMART AI LIMITED")*L$185+SUMIFS('7月数据源'!$J:$J,'7月数据源'!$D:$D,$E52,'7月数据源'!$F:$F,"SMART AI LIMITED")*L$185</f>
        <v/>
      </c>
      <c r="M52" s="89">
        <f>-SUMIFS('8月数据源'!$I:$I,'8月数据源'!$D:$D,$E52,'8月数据源'!$F:$F,"SMART AI LIMITED")*M$185+SUMIFS('8月数据源'!$J:$J,'8月数据源'!$D:$D,$E52,'8月数据源'!$F:$F,"SMART AI LIMITED")*M$185</f>
        <v/>
      </c>
      <c r="N52" s="89">
        <f>-SUMIFS('9月数据源'!$I:$I,'9月数据源'!$D:$D,$E52,'9月数据源'!$F:$F,"SMART AI LIMITED")*N$185+SUMIFS('9月数据源'!$J:$J,'9月数据源'!$D:$D,$E52,'9月数据源'!$F:$F,"SMART AI LIMITED")*N$185</f>
        <v/>
      </c>
      <c r="O52" s="89">
        <f>-SUMIFS('10月数据源'!$I:$I,'10月数据源'!$D:$D,$E52,'10月数据源'!$F:$F,"SMART AI LIMITED")*O$185+SUMIFS('10月数据源'!$J:$J,'10月数据源'!$D:$D,$E52,'10月数据源'!$F:$F,"SMART AI LIMITED")*O$185</f>
        <v/>
      </c>
      <c r="P52" s="89">
        <f>-SUMIFS('11月数据源'!$I:$I,'11月数据源'!$D:$D,$E52,'11月数据源'!$F:$F,"SMART AI LIMITED")*P$185+SUMIFS('11月数据源'!$J:$J,'11月数据源'!$D:$D,$E52,'11月数据源'!$F:$F,"SMART AI LIMITED")*P$185</f>
        <v/>
      </c>
      <c r="Q52" s="89">
        <f>-SUMIFS('12月数据源'!$I:$I,'12月数据源'!$D:$D,$E52,'12月数据源'!$F:$F,"SMART AI LIMITED")*Q$185+SUMIFS('12月数据源'!$J:$J,'12月数据源'!$D:$D,$E52,'12月数据源'!$F:$F,"SMART AI LIMITED")*Q$185</f>
        <v/>
      </c>
    </row>
    <row r="53" s="83">
      <c r="A53" s="5" t="inlineStr">
        <is>
          <t>制造费用</t>
        </is>
      </c>
      <c r="B53" s="5" t="inlineStr">
        <is>
          <t>制造费用</t>
        </is>
      </c>
      <c r="D53" s="5" t="inlineStr">
        <is>
          <t>西溪首座仓库装修费</t>
        </is>
      </c>
      <c r="E53" s="6" t="inlineStr">
        <is>
          <t>Q3203</t>
        </is>
      </c>
      <c r="F53" s="89">
        <f>-SUMIFS('1月数据源'!$I:$I,'1月数据源'!$D:$D,$E53,'1月数据源'!$F:$F,"SMART AI LIMITED")*F$185+SUMIFS('1月数据源'!$J:$J,'1月数据源'!$D:$D,$E53,'1月数据源'!$F:$F,"SMART AI LIMITED")*F$185</f>
        <v/>
      </c>
      <c r="G53" s="89">
        <f>-SUMIFS('2月数据源'!$I:$I,'2月数据源'!$D:$D,$E53,'2月数据源'!$F:$F,"SMART AI LIMITED")*G$185+SUMIFS('2月数据源'!$J:$J,'2月数据源'!$D:$D,$E53,'2月数据源'!$F:$F,"SMART AI LIMITED")*G$185</f>
        <v/>
      </c>
      <c r="H53" s="89">
        <f>-SUMIFS('3月数据源'!$I:$I,'3月数据源'!$D:$D,$E53,'3月数据源'!$F:$F,"SMART AI LIMITED")*H$185+SUMIFS('3月数据源'!$J:$J,'3月数据源'!$D:$D,$E53,'3月数据源'!$F:$F,"SMART AI LIMITED")*H$185</f>
        <v/>
      </c>
      <c r="I53" s="89">
        <f>-SUMIFS('4月数据源'!$I:$I,'4月数据源'!$D:$D,$E53,'4月数据源'!$F:$F,"SMART AI LIMITED")*I$185+SUMIFS('4月数据源'!$J:$J,'4月数据源'!$D:$D,$E53,'4月数据源'!$F:$F,"SMART AI LIMITED")*I$185</f>
        <v/>
      </c>
      <c r="J53" s="89">
        <f>-SUMIFS('5月数据源'!$I:$I,'5月数据源'!$D:$D,$E53,'5月数据源'!$F:$F,"SMART AI LIMITED")*J$185+SUMIFS('5月数据源'!$J:$J,'5月数据源'!$D:$D,$E53,'5月数据源'!$F:$F,"SMART AI LIMITED")*J$185</f>
        <v/>
      </c>
      <c r="K53" s="89">
        <f>-SUMIFS('6月数据源'!$I:$I,'6月数据源'!$D:$D,$E53,'6月数据源'!$F:$F,"SMART AI LIMITED")*K$185+SUMIFS('6月数据源'!$J:$J,'6月数据源'!$D:$D,$E53,'6月数据源'!$F:$F,"SMART AI LIMITED")*K$185</f>
        <v/>
      </c>
      <c r="L53" s="89">
        <f>-SUMIFS('7月数据源'!$I:$I,'7月数据源'!$D:$D,$E53,'7月数据源'!$F:$F,"SMART AI LIMITED")*L$185+SUMIFS('7月数据源'!$J:$J,'7月数据源'!$D:$D,$E53,'7月数据源'!$F:$F,"SMART AI LIMITED")*L$185</f>
        <v/>
      </c>
      <c r="M53" s="89">
        <f>-SUMIFS('8月数据源'!$I:$I,'8月数据源'!$D:$D,$E53,'8月数据源'!$F:$F,"SMART AI LIMITED")*M$185+SUMIFS('8月数据源'!$J:$J,'8月数据源'!$D:$D,$E53,'8月数据源'!$F:$F,"SMART AI LIMITED")*M$185</f>
        <v/>
      </c>
      <c r="N53" s="89">
        <f>-SUMIFS('9月数据源'!$I:$I,'9月数据源'!$D:$D,$E53,'9月数据源'!$F:$F,"SMART AI LIMITED")*N$185+SUMIFS('9月数据源'!$J:$J,'9月数据源'!$D:$D,$E53,'9月数据源'!$F:$F,"SMART AI LIMITED")*N$185</f>
        <v/>
      </c>
      <c r="O53" s="89">
        <f>-SUMIFS('10月数据源'!$I:$I,'10月数据源'!$D:$D,$E53,'10月数据源'!$F:$F,"SMART AI LIMITED")*O$185+SUMIFS('10月数据源'!$J:$J,'10月数据源'!$D:$D,$E53,'10月数据源'!$F:$F,"SMART AI LIMITED")*O$185</f>
        <v/>
      </c>
      <c r="P53" s="89">
        <f>-SUMIFS('11月数据源'!$I:$I,'11月数据源'!$D:$D,$E53,'11月数据源'!$F:$F,"SMART AI LIMITED")*P$185+SUMIFS('11月数据源'!$J:$J,'11月数据源'!$D:$D,$E53,'11月数据源'!$F:$F,"SMART AI LIMITED")*P$185</f>
        <v/>
      </c>
      <c r="Q53" s="89">
        <f>-SUMIFS('12月数据源'!$I:$I,'12月数据源'!$D:$D,$E53,'12月数据源'!$F:$F,"SMART AI LIMITED")*Q$185+SUMIFS('12月数据源'!$J:$J,'12月数据源'!$D:$D,$E53,'12月数据源'!$F:$F,"SMART AI LIMITED")*Q$185</f>
        <v/>
      </c>
    </row>
    <row r="54" s="83">
      <c r="A54" s="5" t="inlineStr">
        <is>
          <t>制造费用</t>
        </is>
      </c>
      <c r="B54" s="5" t="inlineStr">
        <is>
          <t>制造费用</t>
        </is>
      </c>
      <c r="D54" s="5" t="inlineStr">
        <is>
          <t>运输费</t>
        </is>
      </c>
      <c r="E54" s="6" t="inlineStr">
        <is>
          <t>Q3204</t>
        </is>
      </c>
      <c r="F54" s="89">
        <f>-SUMIFS('1月数据源'!$I:$I,'1月数据源'!$D:$D,$E54,'1月数据源'!$F:$F,"SMART AI LIMITED")*F$185+SUMIFS('1月数据源'!$J:$J,'1月数据源'!$D:$D,$E54,'1月数据源'!$F:$F,"SMART AI LIMITED")*F$185</f>
        <v/>
      </c>
      <c r="G54" s="89">
        <f>-SUMIFS('2月数据源'!$I:$I,'2月数据源'!$D:$D,$E54,'2月数据源'!$F:$F,"SMART AI LIMITED")*G$185+SUMIFS('2月数据源'!$J:$J,'2月数据源'!$D:$D,$E54,'2月数据源'!$F:$F,"SMART AI LIMITED")*G$185</f>
        <v/>
      </c>
      <c r="H54" s="89">
        <f>-SUMIFS('3月数据源'!$I:$I,'3月数据源'!$D:$D,$E54,'3月数据源'!$F:$F,"SMART AI LIMITED")*H$185+SUMIFS('3月数据源'!$J:$J,'3月数据源'!$D:$D,$E54,'3月数据源'!$F:$F,"SMART AI LIMITED")*H$185</f>
        <v/>
      </c>
      <c r="I54" s="89">
        <f>-SUMIFS('4月数据源'!$I:$I,'4月数据源'!$D:$D,$E54,'4月数据源'!$F:$F,"SMART AI LIMITED")*I$185+SUMIFS('4月数据源'!$J:$J,'4月数据源'!$D:$D,$E54,'4月数据源'!$F:$F,"SMART AI LIMITED")*I$185</f>
        <v/>
      </c>
      <c r="J54" s="89">
        <f>-SUMIFS('5月数据源'!$I:$I,'5月数据源'!$D:$D,$E54,'5月数据源'!$F:$F,"SMART AI LIMITED")*J$185+SUMIFS('5月数据源'!$J:$J,'5月数据源'!$D:$D,$E54,'5月数据源'!$F:$F,"SMART AI LIMITED")*J$185</f>
        <v/>
      </c>
      <c r="K54" s="89">
        <f>-SUMIFS('6月数据源'!$I:$I,'6月数据源'!$D:$D,$E54,'6月数据源'!$F:$F,"SMART AI LIMITED")*K$185+SUMIFS('6月数据源'!$J:$J,'6月数据源'!$D:$D,$E54,'6月数据源'!$F:$F,"SMART AI LIMITED")*K$185</f>
        <v/>
      </c>
      <c r="L54" s="89">
        <f>-SUMIFS('7月数据源'!$I:$I,'7月数据源'!$D:$D,$E54,'7月数据源'!$F:$F,"SMART AI LIMITED")*L$185+SUMIFS('7月数据源'!$J:$J,'7月数据源'!$D:$D,$E54,'7月数据源'!$F:$F,"SMART AI LIMITED")*L$185</f>
        <v/>
      </c>
      <c r="M54" s="89">
        <f>-SUMIFS('8月数据源'!$I:$I,'8月数据源'!$D:$D,$E54,'8月数据源'!$F:$F,"SMART AI LIMITED")*M$185+SUMIFS('8月数据源'!$J:$J,'8月数据源'!$D:$D,$E54,'8月数据源'!$F:$F,"SMART AI LIMITED")*M$185</f>
        <v/>
      </c>
      <c r="N54" s="89">
        <f>-SUMIFS('9月数据源'!$I:$I,'9月数据源'!$D:$D,$E54,'9月数据源'!$F:$F,"SMART AI LIMITED")*N$185+SUMIFS('9月数据源'!$J:$J,'9月数据源'!$D:$D,$E54,'9月数据源'!$F:$F,"SMART AI LIMITED")*N$185</f>
        <v/>
      </c>
      <c r="O54" s="89">
        <f>-SUMIFS('10月数据源'!$I:$I,'10月数据源'!$D:$D,$E54,'10月数据源'!$F:$F,"SMART AI LIMITED")*O$185+SUMIFS('10月数据源'!$J:$J,'10月数据源'!$D:$D,$E54,'10月数据源'!$F:$F,"SMART AI LIMITED")*O$185</f>
        <v/>
      </c>
      <c r="P54" s="89">
        <f>-SUMIFS('11月数据源'!$I:$I,'11月数据源'!$D:$D,$E54,'11月数据源'!$F:$F,"SMART AI LIMITED")*P$185+SUMIFS('11月数据源'!$J:$J,'11月数据源'!$D:$D,$E54,'11月数据源'!$F:$F,"SMART AI LIMITED")*P$185</f>
        <v/>
      </c>
      <c r="Q54" s="89">
        <f>-SUMIFS('12月数据源'!$I:$I,'12月数据源'!$D:$D,$E54,'12月数据源'!$F:$F,"SMART AI LIMITED")*Q$185+SUMIFS('12月数据源'!$J:$J,'12月数据源'!$D:$D,$E54,'12月数据源'!$F:$F,"SMART AI LIMITED")*Q$185</f>
        <v/>
      </c>
    </row>
    <row r="55" s="83">
      <c r="A55" s="5" t="inlineStr">
        <is>
          <t>制造费用</t>
        </is>
      </c>
      <c r="B55" s="5" t="inlineStr">
        <is>
          <t>制造费用</t>
        </is>
      </c>
      <c r="D55" s="5" t="inlineStr">
        <is>
          <t>低值易耗品采购</t>
        </is>
      </c>
      <c r="E55" s="6" t="inlineStr">
        <is>
          <t>Q3205</t>
        </is>
      </c>
      <c r="F55" s="89">
        <f>-SUMIFS('1月数据源'!$I:$I,'1月数据源'!$D:$D,$E55,'1月数据源'!$F:$F,"SMART AI LIMITED")*F$185+SUMIFS('1月数据源'!$J:$J,'1月数据源'!$D:$D,$E55,'1月数据源'!$F:$F,"SMART AI LIMITED")*F$185</f>
        <v/>
      </c>
      <c r="G55" s="89">
        <f>-SUMIFS('2月数据源'!$I:$I,'2月数据源'!$D:$D,$E55,'2月数据源'!$F:$F,"SMART AI LIMITED")*G$185+SUMIFS('2月数据源'!$J:$J,'2月数据源'!$D:$D,$E55,'2月数据源'!$F:$F,"SMART AI LIMITED")*G$185</f>
        <v/>
      </c>
      <c r="H55" s="89">
        <f>-SUMIFS('3月数据源'!$I:$I,'3月数据源'!$D:$D,$E55,'3月数据源'!$F:$F,"SMART AI LIMITED")*H$185+SUMIFS('3月数据源'!$J:$J,'3月数据源'!$D:$D,$E55,'3月数据源'!$F:$F,"SMART AI LIMITED")*H$185</f>
        <v/>
      </c>
      <c r="I55" s="89">
        <f>-SUMIFS('4月数据源'!$I:$I,'4月数据源'!$D:$D,$E55,'4月数据源'!$F:$F,"SMART AI LIMITED")*I$185+SUMIFS('4月数据源'!$J:$J,'4月数据源'!$D:$D,$E55,'4月数据源'!$F:$F,"SMART AI LIMITED")*I$185</f>
        <v/>
      </c>
      <c r="J55" s="89">
        <f>-SUMIFS('5月数据源'!$I:$I,'5月数据源'!$D:$D,$E55,'5月数据源'!$F:$F,"SMART AI LIMITED")*J$185+SUMIFS('5月数据源'!$J:$J,'5月数据源'!$D:$D,$E55,'5月数据源'!$F:$F,"SMART AI LIMITED")*J$185</f>
        <v/>
      </c>
      <c r="K55" s="89">
        <f>-SUMIFS('6月数据源'!$I:$I,'6月数据源'!$D:$D,$E55,'6月数据源'!$F:$F,"SMART AI LIMITED")*K$185+SUMIFS('6月数据源'!$J:$J,'6月数据源'!$D:$D,$E55,'6月数据源'!$F:$F,"SMART AI LIMITED")*K$185</f>
        <v/>
      </c>
      <c r="L55" s="89">
        <f>-SUMIFS('7月数据源'!$I:$I,'7月数据源'!$D:$D,$E55,'7月数据源'!$F:$F,"SMART AI LIMITED")*L$185+SUMIFS('7月数据源'!$J:$J,'7月数据源'!$D:$D,$E55,'7月数据源'!$F:$F,"SMART AI LIMITED")*L$185</f>
        <v/>
      </c>
      <c r="M55" s="89">
        <f>-SUMIFS('8月数据源'!$I:$I,'8月数据源'!$D:$D,$E55,'8月数据源'!$F:$F,"SMART AI LIMITED")*M$185+SUMIFS('8月数据源'!$J:$J,'8月数据源'!$D:$D,$E55,'8月数据源'!$F:$F,"SMART AI LIMITED")*M$185</f>
        <v/>
      </c>
      <c r="N55" s="89">
        <f>-SUMIFS('9月数据源'!$I:$I,'9月数据源'!$D:$D,$E55,'9月数据源'!$F:$F,"SMART AI LIMITED")*N$185+SUMIFS('9月数据源'!$J:$J,'9月数据源'!$D:$D,$E55,'9月数据源'!$F:$F,"SMART AI LIMITED")*N$185</f>
        <v/>
      </c>
      <c r="O55" s="89">
        <f>-SUMIFS('10月数据源'!$I:$I,'10月数据源'!$D:$D,$E55,'10月数据源'!$F:$F,"SMART AI LIMITED")*O$185+SUMIFS('10月数据源'!$J:$J,'10月数据源'!$D:$D,$E55,'10月数据源'!$F:$F,"SMART AI LIMITED")*O$185</f>
        <v/>
      </c>
      <c r="P55" s="89">
        <f>-SUMIFS('11月数据源'!$I:$I,'11月数据源'!$D:$D,$E55,'11月数据源'!$F:$F,"SMART AI LIMITED")*P$185+SUMIFS('11月数据源'!$J:$J,'11月数据源'!$D:$D,$E55,'11月数据源'!$F:$F,"SMART AI LIMITED")*P$185</f>
        <v/>
      </c>
      <c r="Q55" s="89">
        <f>-SUMIFS('12月数据源'!$I:$I,'12月数据源'!$D:$D,$E55,'12月数据源'!$F:$F,"SMART AI LIMITED")*Q$185+SUMIFS('12月数据源'!$J:$J,'12月数据源'!$D:$D,$E55,'12月数据源'!$F:$F,"SMART AI LIMITED")*Q$185</f>
        <v/>
      </c>
    </row>
    <row r="56" s="83">
      <c r="A56" s="5" t="inlineStr">
        <is>
          <t>制造费用</t>
        </is>
      </c>
      <c r="B56" s="5" t="inlineStr">
        <is>
          <t>制造费用</t>
        </is>
      </c>
      <c r="D56" s="5" t="inlineStr">
        <is>
          <t>生产成本-员工报销</t>
        </is>
      </c>
      <c r="E56" s="6" t="inlineStr">
        <is>
          <t>Q3206</t>
        </is>
      </c>
      <c r="F56" s="89">
        <f>-SUMIFS('1月数据源'!$I:$I,'1月数据源'!$D:$D,$E56,'1月数据源'!$F:$F,"SMART AI LIMITED")*F$185+SUMIFS('1月数据源'!$J:$J,'1月数据源'!$D:$D,$E56,'1月数据源'!$F:$F,"SMART AI LIMITED")*F$185</f>
        <v/>
      </c>
      <c r="G56" s="89">
        <f>-SUMIFS('2月数据源'!$I:$I,'2月数据源'!$D:$D,$E56,'2月数据源'!$F:$F,"SMART AI LIMITED")*G$185+SUMIFS('2月数据源'!$J:$J,'2月数据源'!$D:$D,$E56,'2月数据源'!$F:$F,"SMART AI LIMITED")*G$185</f>
        <v/>
      </c>
      <c r="H56" s="89">
        <f>-SUMIFS('3月数据源'!$I:$I,'3月数据源'!$D:$D,$E56,'3月数据源'!$F:$F,"SMART AI LIMITED")*H$185+SUMIFS('3月数据源'!$J:$J,'3月数据源'!$D:$D,$E56,'3月数据源'!$F:$F,"SMART AI LIMITED")*H$185</f>
        <v/>
      </c>
      <c r="I56" s="89">
        <f>-SUMIFS('4月数据源'!$I:$I,'4月数据源'!$D:$D,$E56,'4月数据源'!$F:$F,"SMART AI LIMITED")*I$185+SUMIFS('4月数据源'!$J:$J,'4月数据源'!$D:$D,$E56,'4月数据源'!$F:$F,"SMART AI LIMITED")*I$185</f>
        <v/>
      </c>
      <c r="J56" s="89">
        <f>-SUMIFS('5月数据源'!$I:$I,'5月数据源'!$D:$D,$E56,'5月数据源'!$F:$F,"SMART AI LIMITED")*J$185+SUMIFS('5月数据源'!$J:$J,'5月数据源'!$D:$D,$E56,'5月数据源'!$F:$F,"SMART AI LIMITED")*J$185</f>
        <v/>
      </c>
      <c r="K56" s="89">
        <f>-SUMIFS('6月数据源'!$I:$I,'6月数据源'!$D:$D,$E56,'6月数据源'!$F:$F,"SMART AI LIMITED")*K$185+SUMIFS('6月数据源'!$J:$J,'6月数据源'!$D:$D,$E56,'6月数据源'!$F:$F,"SMART AI LIMITED")*K$185</f>
        <v/>
      </c>
      <c r="L56" s="89">
        <f>-SUMIFS('7月数据源'!$I:$I,'7月数据源'!$D:$D,$E56,'7月数据源'!$F:$F,"SMART AI LIMITED")*L$185+SUMIFS('7月数据源'!$J:$J,'7月数据源'!$D:$D,$E56,'7月数据源'!$F:$F,"SMART AI LIMITED")*L$185</f>
        <v/>
      </c>
      <c r="M56" s="89">
        <f>-SUMIFS('8月数据源'!$I:$I,'8月数据源'!$D:$D,$E56,'8月数据源'!$F:$F,"SMART AI LIMITED")*M$185+SUMIFS('8月数据源'!$J:$J,'8月数据源'!$D:$D,$E56,'8月数据源'!$F:$F,"SMART AI LIMITED")*M$185</f>
        <v/>
      </c>
      <c r="N56" s="89">
        <f>-SUMIFS('9月数据源'!$I:$I,'9月数据源'!$D:$D,$E56,'9月数据源'!$F:$F,"SMART AI LIMITED")*N$185+SUMIFS('9月数据源'!$J:$J,'9月数据源'!$D:$D,$E56,'9月数据源'!$F:$F,"SMART AI LIMITED")*N$185</f>
        <v/>
      </c>
      <c r="O56" s="89">
        <f>-SUMIFS('10月数据源'!$I:$I,'10月数据源'!$D:$D,$E56,'10月数据源'!$F:$F,"SMART AI LIMITED")*O$185+SUMIFS('10月数据源'!$J:$J,'10月数据源'!$D:$D,$E56,'10月数据源'!$F:$F,"SMART AI LIMITED")*O$185</f>
        <v/>
      </c>
      <c r="P56" s="89">
        <f>-SUMIFS('11月数据源'!$I:$I,'11月数据源'!$D:$D,$E56,'11月数据源'!$F:$F,"SMART AI LIMITED")*P$185+SUMIFS('11月数据源'!$J:$J,'11月数据源'!$D:$D,$E56,'11月数据源'!$F:$F,"SMART AI LIMITED")*P$185</f>
        <v/>
      </c>
      <c r="Q56" s="89">
        <f>-SUMIFS('12月数据源'!$I:$I,'12月数据源'!$D:$D,$E56,'12月数据源'!$F:$F,"SMART AI LIMITED")*Q$185+SUMIFS('12月数据源'!$J:$J,'12月数据源'!$D:$D,$E56,'12月数据源'!$F:$F,"SMART AI LIMITED")*Q$185</f>
        <v/>
      </c>
    </row>
    <row r="57" s="83">
      <c r="A57" s="5" t="inlineStr">
        <is>
          <t>制造费用</t>
        </is>
      </c>
      <c r="B57" s="5" t="inlineStr">
        <is>
          <t>制造费用</t>
        </is>
      </c>
      <c r="D57" s="5" t="inlineStr">
        <is>
          <t>包机膜</t>
        </is>
      </c>
      <c r="E57" s="6" t="inlineStr">
        <is>
          <t>Q3207</t>
        </is>
      </c>
      <c r="F57" s="89">
        <f>-SUMIFS('1月数据源'!$I:$I,'1月数据源'!$D:$D,$E57,'1月数据源'!$F:$F,"SMART AI LIMITED")*F$185+SUMIFS('1月数据源'!$J:$J,'1月数据源'!$D:$D,$E57,'1月数据源'!$F:$F,"SMART AI LIMITED")*F$185</f>
        <v/>
      </c>
      <c r="G57" s="89">
        <f>-SUMIFS('2月数据源'!$I:$I,'2月数据源'!$D:$D,$E57,'2月数据源'!$F:$F,"SMART AI LIMITED")*G$185+SUMIFS('2月数据源'!$J:$J,'2月数据源'!$D:$D,$E57,'2月数据源'!$F:$F,"SMART AI LIMITED")*G$185</f>
        <v/>
      </c>
      <c r="H57" s="89">
        <f>-SUMIFS('3月数据源'!$I:$I,'3月数据源'!$D:$D,$E57,'3月数据源'!$F:$F,"SMART AI LIMITED")*H$185+SUMIFS('3月数据源'!$J:$J,'3月数据源'!$D:$D,$E57,'3月数据源'!$F:$F,"SMART AI LIMITED")*H$185</f>
        <v/>
      </c>
      <c r="I57" s="89">
        <f>-SUMIFS('4月数据源'!$I:$I,'4月数据源'!$D:$D,$E57,'4月数据源'!$F:$F,"SMART AI LIMITED")*I$185+SUMIFS('4月数据源'!$J:$J,'4月数据源'!$D:$D,$E57,'4月数据源'!$F:$F,"SMART AI LIMITED")*I$185</f>
        <v/>
      </c>
      <c r="J57" s="89">
        <f>-SUMIFS('5月数据源'!$I:$I,'5月数据源'!$D:$D,$E57,'5月数据源'!$F:$F,"SMART AI LIMITED")*J$185+SUMIFS('5月数据源'!$J:$J,'5月数据源'!$D:$D,$E57,'5月数据源'!$F:$F,"SMART AI LIMITED")*J$185</f>
        <v/>
      </c>
      <c r="K57" s="89">
        <f>-SUMIFS('6月数据源'!$I:$I,'6月数据源'!$D:$D,$E57,'6月数据源'!$F:$F,"SMART AI LIMITED")*K$185+SUMIFS('6月数据源'!$J:$J,'6月数据源'!$D:$D,$E57,'6月数据源'!$F:$F,"SMART AI LIMITED")*K$185</f>
        <v/>
      </c>
      <c r="L57" s="89">
        <f>-SUMIFS('7月数据源'!$I:$I,'7月数据源'!$D:$D,$E57,'7月数据源'!$F:$F,"SMART AI LIMITED")*L$185+SUMIFS('7月数据源'!$J:$J,'7月数据源'!$D:$D,$E57,'7月数据源'!$F:$F,"SMART AI LIMITED")*L$185</f>
        <v/>
      </c>
      <c r="M57" s="89">
        <f>-SUMIFS('8月数据源'!$I:$I,'8月数据源'!$D:$D,$E57,'8月数据源'!$F:$F,"SMART AI LIMITED")*M$185+SUMIFS('8月数据源'!$J:$J,'8月数据源'!$D:$D,$E57,'8月数据源'!$F:$F,"SMART AI LIMITED")*M$185</f>
        <v/>
      </c>
      <c r="N57" s="89">
        <f>-SUMIFS('9月数据源'!$I:$I,'9月数据源'!$D:$D,$E57,'9月数据源'!$F:$F,"SMART AI LIMITED")*N$185+SUMIFS('9月数据源'!$J:$J,'9月数据源'!$D:$D,$E57,'9月数据源'!$F:$F,"SMART AI LIMITED")*N$185</f>
        <v/>
      </c>
      <c r="O57" s="89">
        <f>-SUMIFS('10月数据源'!$I:$I,'10月数据源'!$D:$D,$E57,'10月数据源'!$F:$F,"SMART AI LIMITED")*O$185+SUMIFS('10月数据源'!$J:$J,'10月数据源'!$D:$D,$E57,'10月数据源'!$F:$F,"SMART AI LIMITED")*O$185</f>
        <v/>
      </c>
      <c r="P57" s="89">
        <f>-SUMIFS('11月数据源'!$I:$I,'11月数据源'!$D:$D,$E57,'11月数据源'!$F:$F,"SMART AI LIMITED")*P$185+SUMIFS('11月数据源'!$J:$J,'11月数据源'!$D:$D,$E57,'11月数据源'!$F:$F,"SMART AI LIMITED")*P$185</f>
        <v/>
      </c>
      <c r="Q57" s="89">
        <f>-SUMIFS('12月数据源'!$I:$I,'12月数据源'!$D:$D,$E57,'12月数据源'!$F:$F,"SMART AI LIMITED")*Q$185+SUMIFS('12月数据源'!$J:$J,'12月数据源'!$D:$D,$E57,'12月数据源'!$F:$F,"SMART AI LIMITED")*Q$185</f>
        <v/>
      </c>
    </row>
    <row r="58" s="83">
      <c r="A58" s="5" t="inlineStr">
        <is>
          <t>制造费用</t>
        </is>
      </c>
      <c r="B58" s="5" t="inlineStr">
        <is>
          <t>制造费用</t>
        </is>
      </c>
      <c r="D58" s="5" t="inlineStr">
        <is>
          <t>贴纸/说明书</t>
        </is>
      </c>
      <c r="E58" s="6" t="inlineStr">
        <is>
          <t>Q3208</t>
        </is>
      </c>
      <c r="F58" s="89">
        <f>-SUMIFS('1月数据源'!$I:$I,'1月数据源'!$D:$D,$E58,'1月数据源'!$F:$F,"SMART AI LIMITED")*F$185+SUMIFS('1月数据源'!$J:$J,'1月数据源'!$D:$D,$E58,'1月数据源'!$F:$F,"SMART AI LIMITED")*F$185</f>
        <v/>
      </c>
      <c r="G58" s="89">
        <f>-SUMIFS('2月数据源'!$I:$I,'2月数据源'!$D:$D,$E58,'2月数据源'!$F:$F,"SMART AI LIMITED")*G$185+SUMIFS('2月数据源'!$J:$J,'2月数据源'!$D:$D,$E58,'2月数据源'!$F:$F,"SMART AI LIMITED")*G$185</f>
        <v/>
      </c>
      <c r="H58" s="89">
        <f>-SUMIFS('3月数据源'!$I:$I,'3月数据源'!$D:$D,$E58,'3月数据源'!$F:$F,"SMART AI LIMITED")*H$185+SUMIFS('3月数据源'!$J:$J,'3月数据源'!$D:$D,$E58,'3月数据源'!$F:$F,"SMART AI LIMITED")*H$185</f>
        <v/>
      </c>
      <c r="I58" s="89">
        <f>-SUMIFS('4月数据源'!$I:$I,'4月数据源'!$D:$D,$E58,'4月数据源'!$F:$F,"SMART AI LIMITED")*I$185+SUMIFS('4月数据源'!$J:$J,'4月数据源'!$D:$D,$E58,'4月数据源'!$F:$F,"SMART AI LIMITED")*I$185</f>
        <v/>
      </c>
      <c r="J58" s="89">
        <f>-SUMIFS('5月数据源'!$I:$I,'5月数据源'!$D:$D,$E58,'5月数据源'!$F:$F,"SMART AI LIMITED")*J$185+SUMIFS('5月数据源'!$J:$J,'5月数据源'!$D:$D,$E58,'5月数据源'!$F:$F,"SMART AI LIMITED")*J$185</f>
        <v/>
      </c>
      <c r="K58" s="89">
        <f>-SUMIFS('6月数据源'!$I:$I,'6月数据源'!$D:$D,$E58,'6月数据源'!$F:$F,"SMART AI LIMITED")*K$185+SUMIFS('6月数据源'!$J:$J,'6月数据源'!$D:$D,$E58,'6月数据源'!$F:$F,"SMART AI LIMITED")*K$185</f>
        <v/>
      </c>
      <c r="L58" s="89">
        <f>-SUMIFS('7月数据源'!$I:$I,'7月数据源'!$D:$D,$E58,'7月数据源'!$F:$F,"SMART AI LIMITED")*L$185+SUMIFS('7月数据源'!$J:$J,'7月数据源'!$D:$D,$E58,'7月数据源'!$F:$F,"SMART AI LIMITED")*L$185</f>
        <v/>
      </c>
      <c r="M58" s="89">
        <f>-SUMIFS('8月数据源'!$I:$I,'8月数据源'!$D:$D,$E58,'8月数据源'!$F:$F,"SMART AI LIMITED")*M$185+SUMIFS('8月数据源'!$J:$J,'8月数据源'!$D:$D,$E58,'8月数据源'!$F:$F,"SMART AI LIMITED")*M$185</f>
        <v/>
      </c>
      <c r="N58" s="89">
        <f>-SUMIFS('9月数据源'!$I:$I,'9月数据源'!$D:$D,$E58,'9月数据源'!$F:$F,"SMART AI LIMITED")*N$185+SUMIFS('9月数据源'!$J:$J,'9月数据源'!$D:$D,$E58,'9月数据源'!$F:$F,"SMART AI LIMITED")*N$185</f>
        <v/>
      </c>
      <c r="O58" s="89">
        <f>-SUMIFS('10月数据源'!$I:$I,'10月数据源'!$D:$D,$E58,'10月数据源'!$F:$F,"SMART AI LIMITED")*O$185+SUMIFS('10月数据源'!$J:$J,'10月数据源'!$D:$D,$E58,'10月数据源'!$F:$F,"SMART AI LIMITED")*O$185</f>
        <v/>
      </c>
      <c r="P58" s="89">
        <f>-SUMIFS('11月数据源'!$I:$I,'11月数据源'!$D:$D,$E58,'11月数据源'!$F:$F,"SMART AI LIMITED")*P$185+SUMIFS('11月数据源'!$J:$J,'11月数据源'!$D:$D,$E58,'11月数据源'!$F:$F,"SMART AI LIMITED")*P$185</f>
        <v/>
      </c>
      <c r="Q58" s="89">
        <f>-SUMIFS('12月数据源'!$I:$I,'12月数据源'!$D:$D,$E58,'12月数据源'!$F:$F,"SMART AI LIMITED")*Q$185+SUMIFS('12月数据源'!$J:$J,'12月数据源'!$D:$D,$E58,'12月数据源'!$F:$F,"SMART AI LIMITED")*Q$185</f>
        <v/>
      </c>
    </row>
    <row r="59" s="83">
      <c r="A59" s="5" t="inlineStr">
        <is>
          <t>制造费用</t>
        </is>
      </c>
      <c r="B59" s="5" t="inlineStr">
        <is>
          <t>制造费用</t>
        </is>
      </c>
      <c r="D59" s="5" t="inlineStr">
        <is>
          <t>笔尖</t>
        </is>
      </c>
      <c r="E59" s="6" t="inlineStr">
        <is>
          <t>Q3209</t>
        </is>
      </c>
      <c r="F59" s="89">
        <f>-SUMIFS('1月数据源'!$I:$I,'1月数据源'!$D:$D,$E59,'1月数据源'!$F:$F,"SMART AI LIMITED")*F$185+SUMIFS('1月数据源'!$J:$J,'1月数据源'!$D:$D,$E59,'1月数据源'!$F:$F,"SMART AI LIMITED")*F$185</f>
        <v/>
      </c>
      <c r="G59" s="89">
        <f>-SUMIFS('2月数据源'!$I:$I,'2月数据源'!$D:$D,$E59,'2月数据源'!$F:$F,"SMART AI LIMITED")*G$185+SUMIFS('2月数据源'!$J:$J,'2月数据源'!$D:$D,$E59,'2月数据源'!$F:$F,"SMART AI LIMITED")*G$185</f>
        <v/>
      </c>
      <c r="H59" s="89">
        <f>-SUMIFS('3月数据源'!$I:$I,'3月数据源'!$D:$D,$E59,'3月数据源'!$F:$F,"SMART AI LIMITED")*H$185+SUMIFS('3月数据源'!$J:$J,'3月数据源'!$D:$D,$E59,'3月数据源'!$F:$F,"SMART AI LIMITED")*H$185</f>
        <v/>
      </c>
      <c r="I59" s="89">
        <f>-SUMIFS('4月数据源'!$I:$I,'4月数据源'!$D:$D,$E59,'4月数据源'!$F:$F,"SMART AI LIMITED")*I$185+SUMIFS('4月数据源'!$J:$J,'4月数据源'!$D:$D,$E59,'4月数据源'!$F:$F,"SMART AI LIMITED")*I$185</f>
        <v/>
      </c>
      <c r="J59" s="89">
        <f>-SUMIFS('5月数据源'!$I:$I,'5月数据源'!$D:$D,$E59,'5月数据源'!$F:$F,"SMART AI LIMITED")*J$185+SUMIFS('5月数据源'!$J:$J,'5月数据源'!$D:$D,$E59,'5月数据源'!$F:$F,"SMART AI LIMITED")*J$185</f>
        <v/>
      </c>
      <c r="K59" s="89">
        <f>-SUMIFS('6月数据源'!$I:$I,'6月数据源'!$D:$D,$E59,'6月数据源'!$F:$F,"SMART AI LIMITED")*K$185+SUMIFS('6月数据源'!$J:$J,'6月数据源'!$D:$D,$E59,'6月数据源'!$F:$F,"SMART AI LIMITED")*K$185</f>
        <v/>
      </c>
      <c r="L59" s="89">
        <f>-SUMIFS('7月数据源'!$I:$I,'7月数据源'!$D:$D,$E59,'7月数据源'!$F:$F,"SMART AI LIMITED")*L$185+SUMIFS('7月数据源'!$J:$J,'7月数据源'!$D:$D,$E59,'7月数据源'!$F:$F,"SMART AI LIMITED")*L$185</f>
        <v/>
      </c>
      <c r="M59" s="89">
        <f>-SUMIFS('8月数据源'!$I:$I,'8月数据源'!$D:$D,$E59,'8月数据源'!$F:$F,"SMART AI LIMITED")*M$185+SUMIFS('8月数据源'!$J:$J,'8月数据源'!$D:$D,$E59,'8月数据源'!$F:$F,"SMART AI LIMITED")*M$185</f>
        <v/>
      </c>
      <c r="N59" s="89">
        <f>-SUMIFS('9月数据源'!$I:$I,'9月数据源'!$D:$D,$E59,'9月数据源'!$F:$F,"SMART AI LIMITED")*N$185+SUMIFS('9月数据源'!$J:$J,'9月数据源'!$D:$D,$E59,'9月数据源'!$F:$F,"SMART AI LIMITED")*N$185</f>
        <v/>
      </c>
      <c r="O59" s="89">
        <f>-SUMIFS('10月数据源'!$I:$I,'10月数据源'!$D:$D,$E59,'10月数据源'!$F:$F,"SMART AI LIMITED")*O$185+SUMIFS('10月数据源'!$J:$J,'10月数据源'!$D:$D,$E59,'10月数据源'!$F:$F,"SMART AI LIMITED")*O$185</f>
        <v/>
      </c>
      <c r="P59" s="89">
        <f>-SUMIFS('11月数据源'!$I:$I,'11月数据源'!$D:$D,$E59,'11月数据源'!$F:$F,"SMART AI LIMITED")*P$185+SUMIFS('11月数据源'!$J:$J,'11月数据源'!$D:$D,$E59,'11月数据源'!$F:$F,"SMART AI LIMITED")*P$185</f>
        <v/>
      </c>
      <c r="Q59" s="89">
        <f>-SUMIFS('12月数据源'!$I:$I,'12月数据源'!$D:$D,$E59,'12月数据源'!$F:$F,"SMART AI LIMITED")*Q$185+SUMIFS('12月数据源'!$J:$J,'12月数据源'!$D:$D,$E59,'12月数据源'!$F:$F,"SMART AI LIMITED")*Q$185</f>
        <v/>
      </c>
    </row>
    <row r="60" s="83">
      <c r="A60" s="5" t="inlineStr">
        <is>
          <t>制造费用</t>
        </is>
      </c>
      <c r="B60" s="5" t="inlineStr">
        <is>
          <t>制造费用</t>
        </is>
      </c>
      <c r="D60" s="5" t="inlineStr">
        <is>
          <t>华泰租金</t>
        </is>
      </c>
      <c r="E60" s="6" t="inlineStr">
        <is>
          <t>Q3210</t>
        </is>
      </c>
      <c r="F60" s="89">
        <f>-SUMIFS('1月数据源'!$I:$I,'1月数据源'!$D:$D,$E60,'1月数据源'!$F:$F,"SMART AI LIMITED")*F$185+SUMIFS('1月数据源'!$J:$J,'1月数据源'!$D:$D,$E60,'1月数据源'!$F:$F,"SMART AI LIMITED")*F$185</f>
        <v/>
      </c>
      <c r="G60" s="89">
        <f>-SUMIFS('2月数据源'!$I:$I,'2月数据源'!$D:$D,$E60,'2月数据源'!$F:$F,"SMART AI LIMITED")*G$185+SUMIFS('2月数据源'!$J:$J,'2月数据源'!$D:$D,$E60,'2月数据源'!$F:$F,"SMART AI LIMITED")*G$185</f>
        <v/>
      </c>
      <c r="H60" s="89">
        <f>-SUMIFS('3月数据源'!$I:$I,'3月数据源'!$D:$D,$E60,'3月数据源'!$F:$F,"SMART AI LIMITED")*H$185+SUMIFS('3月数据源'!$J:$J,'3月数据源'!$D:$D,$E60,'3月数据源'!$F:$F,"SMART AI LIMITED")*H$185</f>
        <v/>
      </c>
      <c r="I60" s="89">
        <f>-SUMIFS('4月数据源'!$I:$I,'4月数据源'!$D:$D,$E60,'4月数据源'!$F:$F,"SMART AI LIMITED")*I$185+SUMIFS('4月数据源'!$J:$J,'4月数据源'!$D:$D,$E60,'4月数据源'!$F:$F,"SMART AI LIMITED")*I$185</f>
        <v/>
      </c>
      <c r="J60" s="89">
        <f>-SUMIFS('5月数据源'!$I:$I,'5月数据源'!$D:$D,$E60,'5月数据源'!$F:$F,"SMART AI LIMITED")*J$185+SUMIFS('5月数据源'!$J:$J,'5月数据源'!$D:$D,$E60,'5月数据源'!$F:$F,"SMART AI LIMITED")*J$185</f>
        <v/>
      </c>
      <c r="K60" s="89">
        <f>-SUMIFS('6月数据源'!$I:$I,'6月数据源'!$D:$D,$E60,'6月数据源'!$F:$F,"SMART AI LIMITED")*K$185+SUMIFS('6月数据源'!$J:$J,'6月数据源'!$D:$D,$E60,'6月数据源'!$F:$F,"SMART AI LIMITED")*K$185</f>
        <v/>
      </c>
      <c r="L60" s="89">
        <f>-SUMIFS('7月数据源'!$I:$I,'7月数据源'!$D:$D,$E60,'7月数据源'!$F:$F,"SMART AI LIMITED")*L$185+SUMIFS('7月数据源'!$J:$J,'7月数据源'!$D:$D,$E60,'7月数据源'!$F:$F,"SMART AI LIMITED")*L$185</f>
        <v/>
      </c>
      <c r="M60" s="89">
        <f>-SUMIFS('8月数据源'!$I:$I,'8月数据源'!$D:$D,$E60,'8月数据源'!$F:$F,"SMART AI LIMITED")*M$185+SUMIFS('8月数据源'!$J:$J,'8月数据源'!$D:$D,$E60,'8月数据源'!$F:$F,"SMART AI LIMITED")*M$185</f>
        <v/>
      </c>
      <c r="N60" s="89">
        <f>-SUMIFS('9月数据源'!$I:$I,'9月数据源'!$D:$D,$E60,'9月数据源'!$F:$F,"SMART AI LIMITED")*N$185+SUMIFS('9月数据源'!$J:$J,'9月数据源'!$D:$D,$E60,'9月数据源'!$F:$F,"SMART AI LIMITED")*N$185</f>
        <v/>
      </c>
      <c r="O60" s="89">
        <f>-SUMIFS('10月数据源'!$I:$I,'10月数据源'!$D:$D,$E60,'10月数据源'!$F:$F,"SMART AI LIMITED")*O$185+SUMIFS('10月数据源'!$J:$J,'10月数据源'!$D:$D,$E60,'10月数据源'!$F:$F,"SMART AI LIMITED")*O$185</f>
        <v/>
      </c>
      <c r="P60" s="89">
        <f>-SUMIFS('11月数据源'!$I:$I,'11月数据源'!$D:$D,$E60,'11月数据源'!$F:$F,"SMART AI LIMITED")*P$185+SUMIFS('11月数据源'!$J:$J,'11月数据源'!$D:$D,$E60,'11月数据源'!$F:$F,"SMART AI LIMITED")*P$185</f>
        <v/>
      </c>
      <c r="Q60" s="89">
        <f>-SUMIFS('12月数据源'!$I:$I,'12月数据源'!$D:$D,$E60,'12月数据源'!$F:$F,"SMART AI LIMITED")*Q$185+SUMIFS('12月数据源'!$J:$J,'12月数据源'!$D:$D,$E60,'12月数据源'!$F:$F,"SMART AI LIMITED")*Q$185</f>
        <v/>
      </c>
    </row>
    <row r="61" s="83">
      <c r="A61" s="5" t="inlineStr">
        <is>
          <t>制造费用</t>
        </is>
      </c>
      <c r="B61" s="5" t="inlineStr">
        <is>
          <t>制造费用</t>
        </is>
      </c>
      <c r="D61" s="5" t="inlineStr">
        <is>
          <t>华泰水电费</t>
        </is>
      </c>
      <c r="E61" s="6" t="inlineStr">
        <is>
          <t>Q3211</t>
        </is>
      </c>
      <c r="F61" s="89">
        <f>-SUMIFS('1月数据源'!$I:$I,'1月数据源'!$D:$D,$E61,'1月数据源'!$F:$F,"SMART AI LIMITED")*F$185+SUMIFS('1月数据源'!$J:$J,'1月数据源'!$D:$D,$E61,'1月数据源'!$F:$F,"SMART AI LIMITED")*F$185</f>
        <v/>
      </c>
      <c r="G61" s="89">
        <f>-SUMIFS('2月数据源'!$I:$I,'2月数据源'!$D:$D,$E61,'2月数据源'!$F:$F,"SMART AI LIMITED")*G$185+SUMIFS('2月数据源'!$J:$J,'2月数据源'!$D:$D,$E61,'2月数据源'!$F:$F,"SMART AI LIMITED")*G$185</f>
        <v/>
      </c>
      <c r="H61" s="89">
        <f>-SUMIFS('3月数据源'!$I:$I,'3月数据源'!$D:$D,$E61,'3月数据源'!$F:$F,"SMART AI LIMITED")*H$185+SUMIFS('3月数据源'!$J:$J,'3月数据源'!$D:$D,$E61,'3月数据源'!$F:$F,"SMART AI LIMITED")*H$185</f>
        <v/>
      </c>
      <c r="I61" s="89">
        <f>-SUMIFS('4月数据源'!$I:$I,'4月数据源'!$D:$D,$E61,'4月数据源'!$F:$F,"SMART AI LIMITED")*I$185+SUMIFS('4月数据源'!$J:$J,'4月数据源'!$D:$D,$E61,'4月数据源'!$F:$F,"SMART AI LIMITED")*I$185</f>
        <v/>
      </c>
      <c r="J61" s="89">
        <f>-SUMIFS('5月数据源'!$I:$I,'5月数据源'!$D:$D,$E61,'5月数据源'!$F:$F,"SMART AI LIMITED")*J$185+SUMIFS('5月数据源'!$J:$J,'5月数据源'!$D:$D,$E61,'5月数据源'!$F:$F,"SMART AI LIMITED")*J$185</f>
        <v/>
      </c>
      <c r="K61" s="89">
        <f>-SUMIFS('6月数据源'!$I:$I,'6月数据源'!$D:$D,$E61,'6月数据源'!$F:$F,"SMART AI LIMITED")*K$185+SUMIFS('6月数据源'!$J:$J,'6月数据源'!$D:$D,$E61,'6月数据源'!$F:$F,"SMART AI LIMITED")*K$185</f>
        <v/>
      </c>
      <c r="L61" s="89">
        <f>-SUMIFS('7月数据源'!$I:$I,'7月数据源'!$D:$D,$E61,'7月数据源'!$F:$F,"SMART AI LIMITED")*L$185+SUMIFS('7月数据源'!$J:$J,'7月数据源'!$D:$D,$E61,'7月数据源'!$F:$F,"SMART AI LIMITED")*L$185</f>
        <v/>
      </c>
      <c r="M61" s="89">
        <f>-SUMIFS('8月数据源'!$I:$I,'8月数据源'!$D:$D,$E61,'8月数据源'!$F:$F,"SMART AI LIMITED")*M$185+SUMIFS('8月数据源'!$J:$J,'8月数据源'!$D:$D,$E61,'8月数据源'!$F:$F,"SMART AI LIMITED")*M$185</f>
        <v/>
      </c>
      <c r="N61" s="89">
        <f>-SUMIFS('9月数据源'!$I:$I,'9月数据源'!$D:$D,$E61,'9月数据源'!$F:$F,"SMART AI LIMITED")*N$185+SUMIFS('9月数据源'!$J:$J,'9月数据源'!$D:$D,$E61,'9月数据源'!$F:$F,"SMART AI LIMITED")*N$185</f>
        <v/>
      </c>
      <c r="O61" s="89">
        <f>-SUMIFS('10月数据源'!$I:$I,'10月数据源'!$D:$D,$E61,'10月数据源'!$F:$F,"SMART AI LIMITED")*O$185+SUMIFS('10月数据源'!$J:$J,'10月数据源'!$D:$D,$E61,'10月数据源'!$F:$F,"SMART AI LIMITED")*O$185</f>
        <v/>
      </c>
      <c r="P61" s="89">
        <f>-SUMIFS('11月数据源'!$I:$I,'11月数据源'!$D:$D,$E61,'11月数据源'!$F:$F,"SMART AI LIMITED")*P$185+SUMIFS('11月数据源'!$J:$J,'11月数据源'!$D:$D,$E61,'11月数据源'!$F:$F,"SMART AI LIMITED")*P$185</f>
        <v/>
      </c>
      <c r="Q61" s="89">
        <f>-SUMIFS('12月数据源'!$I:$I,'12月数据源'!$D:$D,$E61,'12月数据源'!$F:$F,"SMART AI LIMITED")*Q$185+SUMIFS('12月数据源'!$J:$J,'12月数据源'!$D:$D,$E61,'12月数据源'!$F:$F,"SMART AI LIMITED")*Q$185</f>
        <v/>
      </c>
    </row>
    <row r="62" s="83">
      <c r="A62" s="5" t="inlineStr">
        <is>
          <t>制造费用</t>
        </is>
      </c>
      <c r="B62" s="5" t="inlineStr">
        <is>
          <t>制造费用</t>
        </is>
      </c>
      <c r="D62" s="5" t="inlineStr">
        <is>
          <t>华泰装修费</t>
        </is>
      </c>
      <c r="E62" s="6" t="inlineStr">
        <is>
          <t>Q3212</t>
        </is>
      </c>
      <c r="F62" s="89">
        <f>-SUMIFS('1月数据源'!$I:$I,'1月数据源'!$D:$D,$E62,'1月数据源'!$F:$F,"SMART AI LIMITED")*F$185+SUMIFS('1月数据源'!$J:$J,'1月数据源'!$D:$D,$E62,'1月数据源'!$F:$F,"SMART AI LIMITED")*F$185</f>
        <v/>
      </c>
      <c r="G62" s="89">
        <f>-SUMIFS('2月数据源'!$I:$I,'2月数据源'!$D:$D,$E62,'2月数据源'!$F:$F,"SMART AI LIMITED")*G$185+SUMIFS('2月数据源'!$J:$J,'2月数据源'!$D:$D,$E62,'2月数据源'!$F:$F,"SMART AI LIMITED")*G$185</f>
        <v/>
      </c>
      <c r="H62" s="89">
        <f>-SUMIFS('3月数据源'!$I:$I,'3月数据源'!$D:$D,$E62,'3月数据源'!$F:$F,"SMART AI LIMITED")*H$185+SUMIFS('3月数据源'!$J:$J,'3月数据源'!$D:$D,$E62,'3月数据源'!$F:$F,"SMART AI LIMITED")*H$185</f>
        <v/>
      </c>
      <c r="I62" s="89">
        <f>-SUMIFS('4月数据源'!$I:$I,'4月数据源'!$D:$D,$E62,'4月数据源'!$F:$F,"SMART AI LIMITED")*I$185+SUMIFS('4月数据源'!$J:$J,'4月数据源'!$D:$D,$E62,'4月数据源'!$F:$F,"SMART AI LIMITED")*I$185</f>
        <v/>
      </c>
      <c r="J62" s="89">
        <f>-SUMIFS('5月数据源'!$I:$I,'5月数据源'!$D:$D,$E62,'5月数据源'!$F:$F,"SMART AI LIMITED")*J$185+SUMIFS('5月数据源'!$J:$J,'5月数据源'!$D:$D,$E62,'5月数据源'!$F:$F,"SMART AI LIMITED")*J$185</f>
        <v/>
      </c>
      <c r="K62" s="89">
        <f>-SUMIFS('6月数据源'!$I:$I,'6月数据源'!$D:$D,$E62,'6月数据源'!$F:$F,"SMART AI LIMITED")*K$185+SUMIFS('6月数据源'!$J:$J,'6月数据源'!$D:$D,$E62,'6月数据源'!$F:$F,"SMART AI LIMITED")*K$185</f>
        <v/>
      </c>
      <c r="L62" s="89">
        <f>-SUMIFS('7月数据源'!$I:$I,'7月数据源'!$D:$D,$E62,'7月数据源'!$F:$F,"SMART AI LIMITED")*L$185+SUMIFS('7月数据源'!$J:$J,'7月数据源'!$D:$D,$E62,'7月数据源'!$F:$F,"SMART AI LIMITED")*L$185</f>
        <v/>
      </c>
      <c r="M62" s="89">
        <f>-SUMIFS('8月数据源'!$I:$I,'8月数据源'!$D:$D,$E62,'8月数据源'!$F:$F,"SMART AI LIMITED")*M$185+SUMIFS('8月数据源'!$J:$J,'8月数据源'!$D:$D,$E62,'8月数据源'!$F:$F,"SMART AI LIMITED")*M$185</f>
        <v/>
      </c>
      <c r="N62" s="89">
        <f>-SUMIFS('9月数据源'!$I:$I,'9月数据源'!$D:$D,$E62,'9月数据源'!$F:$F,"SMART AI LIMITED")*N$185+SUMIFS('9月数据源'!$J:$J,'9月数据源'!$D:$D,$E62,'9月数据源'!$F:$F,"SMART AI LIMITED")*N$185</f>
        <v/>
      </c>
      <c r="O62" s="89">
        <f>-SUMIFS('10月数据源'!$I:$I,'10月数据源'!$D:$D,$E62,'10月数据源'!$F:$F,"SMART AI LIMITED")*O$185+SUMIFS('10月数据源'!$J:$J,'10月数据源'!$D:$D,$E62,'10月数据源'!$F:$F,"SMART AI LIMITED")*O$185</f>
        <v/>
      </c>
      <c r="P62" s="89">
        <f>-SUMIFS('11月数据源'!$I:$I,'11月数据源'!$D:$D,$E62,'11月数据源'!$F:$F,"SMART AI LIMITED")*P$185+SUMIFS('11月数据源'!$J:$J,'11月数据源'!$D:$D,$E62,'11月数据源'!$F:$F,"SMART AI LIMITED")*P$185</f>
        <v/>
      </c>
      <c r="Q62" s="89">
        <f>-SUMIFS('12月数据源'!$I:$I,'12月数据源'!$D:$D,$E62,'12月数据源'!$F:$F,"SMART AI LIMITED")*Q$185+SUMIFS('12月数据源'!$J:$J,'12月数据源'!$D:$D,$E62,'12月数据源'!$F:$F,"SMART AI LIMITED")*Q$185</f>
        <v/>
      </c>
    </row>
    <row r="63" s="83">
      <c r="A63" s="49" t="inlineStr">
        <is>
          <t>制造费用合计</t>
        </is>
      </c>
      <c r="B63" s="50" t="n"/>
      <c r="C63" s="50" t="n"/>
      <c r="D63" s="49" t="n"/>
      <c r="E63" s="49" t="n"/>
      <c r="F63" s="89">
        <f>SUM(F51:F62)</f>
        <v/>
      </c>
      <c r="G63" s="89">
        <f>SUM(G51:G62)</f>
        <v/>
      </c>
      <c r="H63" s="89">
        <f>SUM(H51:H62)</f>
        <v/>
      </c>
      <c r="I63" s="89">
        <f>SUM(I51:I62)</f>
        <v/>
      </c>
      <c r="J63" s="89">
        <f>SUM(J51:J62)</f>
        <v/>
      </c>
      <c r="K63" s="89">
        <f>SUM(K51:K62)</f>
        <v/>
      </c>
      <c r="L63" s="89">
        <f>SUM(L51:L62)</f>
        <v/>
      </c>
      <c r="M63" s="89">
        <f>SUM(M51:M62)</f>
        <v/>
      </c>
      <c r="N63" s="89">
        <f>SUM(N51:N62)</f>
        <v/>
      </c>
      <c r="O63" s="89">
        <f>SUM(O51:O62)</f>
        <v/>
      </c>
      <c r="P63" s="89">
        <f>SUM(P51:P62)</f>
        <v/>
      </c>
      <c r="Q63" s="89">
        <f>SUM(Q51:Q62)</f>
        <v/>
      </c>
    </row>
    <row r="64" s="83">
      <c r="A64" s="5" t="inlineStr">
        <is>
          <t>自习室支出</t>
        </is>
      </c>
      <c r="B64" s="5" t="inlineStr">
        <is>
          <t>自习室支出</t>
        </is>
      </c>
      <c r="C64" s="6" t="inlineStr">
        <is>
          <t>自习室支出</t>
        </is>
      </c>
      <c r="D64" s="5" t="inlineStr">
        <is>
          <t>人力成本</t>
        </is>
      </c>
      <c r="E64" s="53" t="n"/>
      <c r="G64" s="89" t="n"/>
      <c r="H64" s="89" t="n"/>
      <c r="I64" s="89" t="n"/>
      <c r="J64" s="89" t="n"/>
      <c r="K64" s="89" t="n"/>
      <c r="L64" s="89" t="n"/>
      <c r="M64" s="89" t="n"/>
      <c r="N64" s="89" t="n"/>
      <c r="O64" s="89" t="n"/>
      <c r="P64" s="89" t="n"/>
      <c r="Q64" s="89" t="n"/>
    </row>
    <row r="65" s="83">
      <c r="A65" s="5" t="inlineStr">
        <is>
          <t>自习室支出</t>
        </is>
      </c>
      <c r="B65" s="5" t="inlineStr">
        <is>
          <t>自习室支出</t>
        </is>
      </c>
      <c r="D65" s="5" t="inlineStr">
        <is>
          <t>装修支出</t>
        </is>
      </c>
      <c r="E65" s="53" t="n"/>
      <c r="G65" s="89" t="n"/>
      <c r="H65" s="89" t="n"/>
      <c r="I65" s="89" t="n"/>
      <c r="J65" s="89" t="n"/>
      <c r="K65" s="89" t="n"/>
      <c r="L65" s="89" t="n"/>
      <c r="M65" s="89" t="n"/>
      <c r="N65" s="89" t="n"/>
      <c r="O65" s="89" t="n"/>
      <c r="P65" s="89" t="n"/>
      <c r="Q65" s="89" t="n"/>
    </row>
    <row r="66" s="83">
      <c r="A66" s="5" t="inlineStr">
        <is>
          <t>自习室支出</t>
        </is>
      </c>
      <c r="B66" s="5" t="inlineStr">
        <is>
          <t>自习室支出</t>
        </is>
      </c>
      <c r="D66" s="5" t="inlineStr">
        <is>
          <t>推广费用</t>
        </is>
      </c>
      <c r="E66" s="53" t="n"/>
      <c r="G66" s="89" t="n"/>
      <c r="H66" s="89" t="n"/>
      <c r="I66" s="89" t="n"/>
      <c r="J66" s="89" t="n"/>
      <c r="K66" s="89" t="n"/>
      <c r="L66" s="89" t="n"/>
      <c r="M66" s="89" t="n"/>
      <c r="N66" s="89" t="n"/>
      <c r="O66" s="89" t="n"/>
      <c r="P66" s="89" t="n"/>
      <c r="Q66" s="89" t="n"/>
    </row>
    <row r="67" s="83">
      <c r="A67" s="5" t="inlineStr">
        <is>
          <t>自习室支出</t>
        </is>
      </c>
      <c r="B67" s="5" t="inlineStr">
        <is>
          <t>自习室支出</t>
        </is>
      </c>
      <c r="D67" s="5" t="inlineStr">
        <is>
          <t>管理系统</t>
        </is>
      </c>
      <c r="E67" s="53" t="n"/>
      <c r="G67" s="89" t="n"/>
      <c r="H67" s="89" t="n"/>
      <c r="I67" s="89" t="n"/>
      <c r="J67" s="89" t="n"/>
      <c r="K67" s="89" t="n"/>
      <c r="L67" s="89" t="n"/>
      <c r="M67" s="89" t="n"/>
      <c r="N67" s="89" t="n"/>
      <c r="O67" s="89" t="n"/>
      <c r="P67" s="89" t="n"/>
      <c r="Q67" s="89" t="n"/>
    </row>
    <row r="68" s="83">
      <c r="A68" s="5" t="inlineStr">
        <is>
          <t>自习室支出</t>
        </is>
      </c>
      <c r="B68" s="5" t="inlineStr">
        <is>
          <t>自习室支出</t>
        </is>
      </c>
      <c r="D68" s="5" t="inlineStr">
        <is>
          <t>其他经营支出</t>
        </is>
      </c>
      <c r="E68" s="53" t="n"/>
      <c r="G68" s="89" t="n"/>
      <c r="H68" s="89" t="n"/>
      <c r="I68" s="89" t="n"/>
      <c r="J68" s="89" t="n"/>
      <c r="K68" s="89" t="n"/>
      <c r="L68" s="89" t="n"/>
      <c r="M68" s="89" t="n"/>
      <c r="N68" s="89" t="n"/>
      <c r="O68" s="89" t="n"/>
      <c r="P68" s="89" t="n"/>
      <c r="Q68" s="89" t="n"/>
    </row>
    <row r="69" s="83">
      <c r="A69" s="49" t="inlineStr">
        <is>
          <t>自习室支出合计</t>
        </is>
      </c>
      <c r="B69" s="50" t="n"/>
      <c r="C69" s="50" t="n"/>
      <c r="D69" s="49" t="n"/>
      <c r="E69" s="49" t="n"/>
      <c r="F69" s="89">
        <f>SUM('SMART AI LIMITED:HK01'!F64:F68)</f>
        <v/>
      </c>
      <c r="G69" s="89">
        <f>SUM('SMART AI LIMITED:HK01'!G64:G68)</f>
        <v/>
      </c>
      <c r="H69" s="89">
        <f>SUM('SMART AI LIMITED:HK01'!H64:H68)</f>
        <v/>
      </c>
      <c r="I69" s="89">
        <f>SUM('SMART AI LIMITED:HK01'!I64:I68)</f>
        <v/>
      </c>
      <c r="J69" s="89">
        <f>SUM('SMART AI LIMITED:HK01'!J64:J68)</f>
        <v/>
      </c>
      <c r="K69" s="89">
        <f>SUM('SMART AI LIMITED:HK01'!K64:K68)</f>
        <v/>
      </c>
      <c r="L69" s="89">
        <f>SUM('SMART AI LIMITED:HK01'!L64:L68)</f>
        <v/>
      </c>
      <c r="M69" s="89">
        <f>SUM('SMART AI LIMITED:HK01'!M64:M68)</f>
        <v/>
      </c>
      <c r="N69" s="89">
        <f>SUM('SMART AI LIMITED:HK01'!N64:N68)</f>
        <v/>
      </c>
      <c r="O69" s="89">
        <f>SUM('SMART AI LIMITED:HK01'!O64:O68)</f>
        <v/>
      </c>
      <c r="P69" s="89">
        <f>SUM('SMART AI LIMITED:HK01'!P64:P68)</f>
        <v/>
      </c>
      <c r="Q69" s="89">
        <f>SUM('SMART AI LIMITED:HK01'!Q64:Q68)</f>
        <v/>
      </c>
    </row>
    <row r="70" s="83">
      <c r="A70" s="5" t="inlineStr">
        <is>
          <t>研发支出</t>
        </is>
      </c>
      <c r="B70" s="6" t="inlineStr">
        <is>
          <t>产品开发-MAX</t>
        </is>
      </c>
      <c r="C70" s="6" t="inlineStr">
        <is>
          <t>产品开发-MAX</t>
        </is>
      </c>
      <c r="D70" s="5" t="inlineStr">
        <is>
          <t>检测费</t>
        </is>
      </c>
      <c r="E70" s="6" t="inlineStr">
        <is>
          <t>Q1201</t>
        </is>
      </c>
      <c r="F70" s="89">
        <f>-SUMIFS('1月数据源'!$I:$I,'1月数据源'!$D:$D,$E70,'1月数据源'!$F:$F,"SMART AI LIMITED")*F$185+SUMIFS('1月数据源'!$J:$J,'1月数据源'!$D:$D,$E70,'1月数据源'!$F:$F,"SMART AI LIMITED")*F$185</f>
        <v/>
      </c>
      <c r="G70" s="89">
        <f>-SUMIFS('2月数据源'!$I:$I,'2月数据源'!$D:$D,$E70,'2月数据源'!$F:$F,"SMART AI LIMITED")*G$185+SUMIFS('2月数据源'!$J:$J,'2月数据源'!$D:$D,$E70,'2月数据源'!$F:$F,"SMART AI LIMITED")*G$185</f>
        <v/>
      </c>
      <c r="H70" s="89">
        <f>-SUMIFS('3月数据源'!$I:$I,'3月数据源'!$D:$D,$E70,'3月数据源'!$F:$F,"SMART AI LIMITED")*H$185+SUMIFS('3月数据源'!$J:$J,'3月数据源'!$D:$D,$E70,'3月数据源'!$F:$F,"SMART AI LIMITED")*H$185</f>
        <v/>
      </c>
      <c r="I70" s="89">
        <f>-SUMIFS('4月数据源'!$I:$I,'4月数据源'!$D:$D,$E70,'4月数据源'!$F:$F,"SMART AI LIMITED")*I$185+SUMIFS('4月数据源'!$J:$J,'4月数据源'!$D:$D,$E70,'4月数据源'!$F:$F,"SMART AI LIMITED")*I$185</f>
        <v/>
      </c>
      <c r="J70" s="89">
        <f>-SUMIFS('5月数据源'!$I:$I,'5月数据源'!$D:$D,$E70,'5月数据源'!$F:$F,"SMART AI LIMITED")*J$185+SUMIFS('5月数据源'!$J:$J,'5月数据源'!$D:$D,$E70,'5月数据源'!$F:$F,"SMART AI LIMITED")*J$185</f>
        <v/>
      </c>
      <c r="K70" s="89">
        <f>-SUMIFS('6月数据源'!$I:$I,'6月数据源'!$D:$D,$E70,'6月数据源'!$F:$F,"SMART AI LIMITED")*K$185+SUMIFS('6月数据源'!$J:$J,'6月数据源'!$D:$D,$E70,'6月数据源'!$F:$F,"SMART AI LIMITED")*K$185</f>
        <v/>
      </c>
      <c r="L70" s="89">
        <f>-SUMIFS('7月数据源'!$I:$I,'7月数据源'!$D:$D,$E70,'7月数据源'!$F:$F,"SMART AI LIMITED")*L$185+SUMIFS('7月数据源'!$J:$J,'7月数据源'!$D:$D,$E70,'7月数据源'!$F:$F,"SMART AI LIMITED")*L$185</f>
        <v/>
      </c>
      <c r="M70" s="89">
        <f>-SUMIFS('8月数据源'!$I:$I,'8月数据源'!$D:$D,$E70,'8月数据源'!$F:$F,"SMART AI LIMITED")*M$185+SUMIFS('8月数据源'!$J:$J,'8月数据源'!$D:$D,$E70,'8月数据源'!$F:$F,"SMART AI LIMITED")*M$185</f>
        <v/>
      </c>
      <c r="N70" s="89">
        <f>-SUMIFS('9月数据源'!$I:$I,'9月数据源'!$D:$D,$E70,'9月数据源'!$F:$F,"SMART AI LIMITED")*N$185+SUMIFS('9月数据源'!$J:$J,'9月数据源'!$D:$D,$E70,'9月数据源'!$F:$F,"SMART AI LIMITED")*N$185</f>
        <v/>
      </c>
      <c r="O70" s="89">
        <f>-SUMIFS('10月数据源'!$I:$I,'10月数据源'!$D:$D,$E70,'10月数据源'!$F:$F,"SMART AI LIMITED")*O$185+SUMIFS('10月数据源'!$J:$J,'10月数据源'!$D:$D,$E70,'10月数据源'!$F:$F,"SMART AI LIMITED")*O$185</f>
        <v/>
      </c>
      <c r="P70" s="89">
        <f>-SUMIFS('11月数据源'!$I:$I,'11月数据源'!$D:$D,$E70,'11月数据源'!$F:$F,"SMART AI LIMITED")*P$185+SUMIFS('11月数据源'!$J:$J,'11月数据源'!$D:$D,$E70,'11月数据源'!$F:$F,"SMART AI LIMITED")*P$185</f>
        <v/>
      </c>
      <c r="Q70" s="89">
        <f>-SUMIFS('12月数据源'!$I:$I,'12月数据源'!$D:$D,$E70,'12月数据源'!$F:$F,"SMART AI LIMITED")*Q$185+SUMIFS('12月数据源'!$J:$J,'12月数据源'!$D:$D,$E70,'12月数据源'!$F:$F,"SMART AI LIMITED")*Q$185</f>
        <v/>
      </c>
    </row>
    <row r="71" s="83">
      <c r="A71" s="5" t="inlineStr">
        <is>
          <t>研发支出</t>
        </is>
      </c>
      <c r="B71" s="6" t="inlineStr">
        <is>
          <t>产品开发-MAX</t>
        </is>
      </c>
      <c r="D71" s="5" t="inlineStr">
        <is>
          <t>认证费</t>
        </is>
      </c>
      <c r="E71" s="6" t="inlineStr">
        <is>
          <t>Q1202</t>
        </is>
      </c>
      <c r="F71" s="89">
        <f>-SUMIFS('1月数据源'!$I:$I,'1月数据源'!$D:$D,$E71,'1月数据源'!$F:$F,"SMART AI LIMITED")*F$185+SUMIFS('1月数据源'!$J:$J,'1月数据源'!$D:$D,$E71,'1月数据源'!$F:$F,"SMART AI LIMITED")*F$185</f>
        <v/>
      </c>
      <c r="G71" s="89">
        <f>-SUMIFS('2月数据源'!$I:$I,'2月数据源'!$D:$D,$E71,'2月数据源'!$F:$F,"SMART AI LIMITED")*G$185+SUMIFS('2月数据源'!$J:$J,'2月数据源'!$D:$D,$E71,'2月数据源'!$F:$F,"SMART AI LIMITED")*G$185</f>
        <v/>
      </c>
      <c r="H71" s="89">
        <f>-SUMIFS('3月数据源'!$I:$I,'3月数据源'!$D:$D,$E71,'3月数据源'!$F:$F,"SMART AI LIMITED")*H$185+SUMIFS('3月数据源'!$J:$J,'3月数据源'!$D:$D,$E71,'3月数据源'!$F:$F,"SMART AI LIMITED")*H$185</f>
        <v/>
      </c>
      <c r="I71" s="89">
        <f>-SUMIFS('4月数据源'!$I:$I,'4月数据源'!$D:$D,$E71,'4月数据源'!$F:$F,"SMART AI LIMITED")*I$185+SUMIFS('4月数据源'!$J:$J,'4月数据源'!$D:$D,$E71,'4月数据源'!$F:$F,"SMART AI LIMITED")*I$185</f>
        <v/>
      </c>
      <c r="J71" s="89">
        <f>-SUMIFS('5月数据源'!$I:$I,'5月数据源'!$D:$D,$E71,'5月数据源'!$F:$F,"SMART AI LIMITED")*J$185+SUMIFS('5月数据源'!$J:$J,'5月数据源'!$D:$D,$E71,'5月数据源'!$F:$F,"SMART AI LIMITED")*J$185</f>
        <v/>
      </c>
      <c r="K71" s="89">
        <f>-SUMIFS('6月数据源'!$I:$I,'6月数据源'!$D:$D,$E71,'6月数据源'!$F:$F,"SMART AI LIMITED")*K$185+SUMIFS('6月数据源'!$J:$J,'6月数据源'!$D:$D,$E71,'6月数据源'!$F:$F,"SMART AI LIMITED")*K$185</f>
        <v/>
      </c>
      <c r="L71" s="89">
        <f>-SUMIFS('7月数据源'!$I:$I,'7月数据源'!$D:$D,$E71,'7月数据源'!$F:$F,"SMART AI LIMITED")*L$185+SUMIFS('7月数据源'!$J:$J,'7月数据源'!$D:$D,$E71,'7月数据源'!$F:$F,"SMART AI LIMITED")*L$185</f>
        <v/>
      </c>
      <c r="M71" s="89">
        <f>-SUMIFS('8月数据源'!$I:$I,'8月数据源'!$D:$D,$E71,'8月数据源'!$F:$F,"SMART AI LIMITED")*M$185+SUMIFS('8月数据源'!$J:$J,'8月数据源'!$D:$D,$E71,'8月数据源'!$F:$F,"SMART AI LIMITED")*M$185</f>
        <v/>
      </c>
      <c r="N71" s="89">
        <f>-SUMIFS('9月数据源'!$I:$I,'9月数据源'!$D:$D,$E71,'9月数据源'!$F:$F,"SMART AI LIMITED")*N$185+SUMIFS('9月数据源'!$J:$J,'9月数据源'!$D:$D,$E71,'9月数据源'!$F:$F,"SMART AI LIMITED")*N$185</f>
        <v/>
      </c>
      <c r="O71" s="89">
        <f>-SUMIFS('10月数据源'!$I:$I,'10月数据源'!$D:$D,$E71,'10月数据源'!$F:$F,"SMART AI LIMITED")*O$185+SUMIFS('10月数据源'!$J:$J,'10月数据源'!$D:$D,$E71,'10月数据源'!$F:$F,"SMART AI LIMITED")*O$185</f>
        <v/>
      </c>
      <c r="P71" s="89">
        <f>-SUMIFS('11月数据源'!$I:$I,'11月数据源'!$D:$D,$E71,'11月数据源'!$F:$F,"SMART AI LIMITED")*P$185+SUMIFS('11月数据源'!$J:$J,'11月数据源'!$D:$D,$E71,'11月数据源'!$F:$F,"SMART AI LIMITED")*P$185</f>
        <v/>
      </c>
      <c r="Q71" s="89">
        <f>-SUMIFS('12月数据源'!$I:$I,'12月数据源'!$D:$D,$E71,'12月数据源'!$F:$F,"SMART AI LIMITED")*Q$185+SUMIFS('12月数据源'!$J:$J,'12月数据源'!$D:$D,$E71,'12月数据源'!$F:$F,"SMART AI LIMITED")*Q$185</f>
        <v/>
      </c>
    </row>
    <row r="72" s="83">
      <c r="A72" s="5" t="inlineStr">
        <is>
          <t>研发支出</t>
        </is>
      </c>
      <c r="B72" s="6" t="inlineStr">
        <is>
          <t>产品开发-MAX</t>
        </is>
      </c>
      <c r="D72" s="5" t="inlineStr">
        <is>
          <t>设计费</t>
        </is>
      </c>
      <c r="E72" s="6" t="inlineStr">
        <is>
          <t>Q1203</t>
        </is>
      </c>
      <c r="F72" s="89">
        <f>-SUMIFS('1月数据源'!$I:$I,'1月数据源'!$D:$D,$E72,'1月数据源'!$F:$F,"SMART AI LIMITED")*F$185+SUMIFS('1月数据源'!$J:$J,'1月数据源'!$D:$D,$E72,'1月数据源'!$F:$F,"SMART AI LIMITED")*F$185</f>
        <v/>
      </c>
      <c r="G72" s="89">
        <f>-SUMIFS('2月数据源'!$I:$I,'2月数据源'!$D:$D,$E72,'2月数据源'!$F:$F,"SMART AI LIMITED")*G$185+SUMIFS('2月数据源'!$J:$J,'2月数据源'!$D:$D,$E72,'2月数据源'!$F:$F,"SMART AI LIMITED")*G$185</f>
        <v/>
      </c>
      <c r="H72" s="89">
        <f>-SUMIFS('3月数据源'!$I:$I,'3月数据源'!$D:$D,$E72,'3月数据源'!$F:$F,"SMART AI LIMITED")*H$185+SUMIFS('3月数据源'!$J:$J,'3月数据源'!$D:$D,$E72,'3月数据源'!$F:$F,"SMART AI LIMITED")*H$185</f>
        <v/>
      </c>
      <c r="I72" s="89">
        <f>-SUMIFS('4月数据源'!$I:$I,'4月数据源'!$D:$D,$E72,'4月数据源'!$F:$F,"SMART AI LIMITED")*I$185+SUMIFS('4月数据源'!$J:$J,'4月数据源'!$D:$D,$E72,'4月数据源'!$F:$F,"SMART AI LIMITED")*I$185</f>
        <v/>
      </c>
      <c r="J72" s="89">
        <f>-SUMIFS('5月数据源'!$I:$I,'5月数据源'!$D:$D,$E72,'5月数据源'!$F:$F,"SMART AI LIMITED")*J$185+SUMIFS('5月数据源'!$J:$J,'5月数据源'!$D:$D,$E72,'5月数据源'!$F:$F,"SMART AI LIMITED")*J$185</f>
        <v/>
      </c>
      <c r="K72" s="89">
        <f>-SUMIFS('6月数据源'!$I:$I,'6月数据源'!$D:$D,$E72,'6月数据源'!$F:$F,"SMART AI LIMITED")*K$185+SUMIFS('6月数据源'!$J:$J,'6月数据源'!$D:$D,$E72,'6月数据源'!$F:$F,"SMART AI LIMITED")*K$185</f>
        <v/>
      </c>
      <c r="L72" s="89">
        <f>-SUMIFS('7月数据源'!$I:$I,'7月数据源'!$D:$D,$E72,'7月数据源'!$F:$F,"SMART AI LIMITED")*L$185+SUMIFS('7月数据源'!$J:$J,'7月数据源'!$D:$D,$E72,'7月数据源'!$F:$F,"SMART AI LIMITED")*L$185</f>
        <v/>
      </c>
      <c r="M72" s="89">
        <f>-SUMIFS('8月数据源'!$I:$I,'8月数据源'!$D:$D,$E72,'8月数据源'!$F:$F,"SMART AI LIMITED")*M$185+SUMIFS('8月数据源'!$J:$J,'8月数据源'!$D:$D,$E72,'8月数据源'!$F:$F,"SMART AI LIMITED")*M$185</f>
        <v/>
      </c>
      <c r="N72" s="89">
        <f>-SUMIFS('9月数据源'!$I:$I,'9月数据源'!$D:$D,$E72,'9月数据源'!$F:$F,"SMART AI LIMITED")*N$185+SUMIFS('9月数据源'!$J:$J,'9月数据源'!$D:$D,$E72,'9月数据源'!$F:$F,"SMART AI LIMITED")*N$185</f>
        <v/>
      </c>
      <c r="O72" s="89">
        <f>-SUMIFS('10月数据源'!$I:$I,'10月数据源'!$D:$D,$E72,'10月数据源'!$F:$F,"SMART AI LIMITED")*O$185+SUMIFS('10月数据源'!$J:$J,'10月数据源'!$D:$D,$E72,'10月数据源'!$F:$F,"SMART AI LIMITED")*O$185</f>
        <v/>
      </c>
      <c r="P72" s="89">
        <f>-SUMIFS('11月数据源'!$I:$I,'11月数据源'!$D:$D,$E72,'11月数据源'!$F:$F,"SMART AI LIMITED")*P$185+SUMIFS('11月数据源'!$J:$J,'11月数据源'!$D:$D,$E72,'11月数据源'!$F:$F,"SMART AI LIMITED")*P$185</f>
        <v/>
      </c>
      <c r="Q72" s="89">
        <f>-SUMIFS('12月数据源'!$I:$I,'12月数据源'!$D:$D,$E72,'12月数据源'!$F:$F,"SMART AI LIMITED")*Q$185+SUMIFS('12月数据源'!$J:$J,'12月数据源'!$D:$D,$E72,'12月数据源'!$F:$F,"SMART AI LIMITED")*Q$185</f>
        <v/>
      </c>
    </row>
    <row r="73" s="83">
      <c r="A73" s="5" t="inlineStr">
        <is>
          <t>研发支出</t>
        </is>
      </c>
      <c r="B73" s="6" t="inlineStr">
        <is>
          <t>产品开发-MAX</t>
        </is>
      </c>
      <c r="D73" s="5" t="inlineStr">
        <is>
          <t>OTA费用</t>
        </is>
      </c>
      <c r="E73" s="6" t="inlineStr">
        <is>
          <t>Q1204</t>
        </is>
      </c>
      <c r="F73" s="89">
        <f>-SUMIFS('1月数据源'!$I:$I,'1月数据源'!$D:$D,$E73,'1月数据源'!$F:$F,"SMART AI LIMITED")*F$185+SUMIFS('1月数据源'!$J:$J,'1月数据源'!$D:$D,$E73,'1月数据源'!$F:$F,"SMART AI LIMITED")*F$185</f>
        <v/>
      </c>
      <c r="G73" s="89">
        <f>-SUMIFS('2月数据源'!$I:$I,'2月数据源'!$D:$D,$E73,'2月数据源'!$F:$F,"SMART AI LIMITED")*G$185+SUMIFS('2月数据源'!$J:$J,'2月数据源'!$D:$D,$E73,'2月数据源'!$F:$F,"SMART AI LIMITED")*G$185</f>
        <v/>
      </c>
      <c r="H73" s="89">
        <f>-SUMIFS('3月数据源'!$I:$I,'3月数据源'!$D:$D,$E73,'3月数据源'!$F:$F,"SMART AI LIMITED")*H$185+SUMIFS('3月数据源'!$J:$J,'3月数据源'!$D:$D,$E73,'3月数据源'!$F:$F,"SMART AI LIMITED")*H$185</f>
        <v/>
      </c>
      <c r="I73" s="89">
        <f>-SUMIFS('4月数据源'!$I:$I,'4月数据源'!$D:$D,$E73,'4月数据源'!$F:$F,"SMART AI LIMITED")*I$185+SUMIFS('4月数据源'!$J:$J,'4月数据源'!$D:$D,$E73,'4月数据源'!$F:$F,"SMART AI LIMITED")*I$185</f>
        <v/>
      </c>
      <c r="J73" s="89">
        <f>-SUMIFS('5月数据源'!$I:$I,'5月数据源'!$D:$D,$E73,'5月数据源'!$F:$F,"SMART AI LIMITED")*J$185+SUMIFS('5月数据源'!$J:$J,'5月数据源'!$D:$D,$E73,'5月数据源'!$F:$F,"SMART AI LIMITED")*J$185</f>
        <v/>
      </c>
      <c r="K73" s="89">
        <f>-SUMIFS('6月数据源'!$I:$I,'6月数据源'!$D:$D,$E73,'6月数据源'!$F:$F,"SMART AI LIMITED")*K$185+SUMIFS('6月数据源'!$J:$J,'6月数据源'!$D:$D,$E73,'6月数据源'!$F:$F,"SMART AI LIMITED")*K$185</f>
        <v/>
      </c>
      <c r="L73" s="89">
        <f>-SUMIFS('7月数据源'!$I:$I,'7月数据源'!$D:$D,$E73,'7月数据源'!$F:$F,"SMART AI LIMITED")*L$185+SUMIFS('7月数据源'!$J:$J,'7月数据源'!$D:$D,$E73,'7月数据源'!$F:$F,"SMART AI LIMITED")*L$185</f>
        <v/>
      </c>
      <c r="M73" s="89">
        <f>-SUMIFS('8月数据源'!$I:$I,'8月数据源'!$D:$D,$E73,'8月数据源'!$F:$F,"SMART AI LIMITED")*M$185+SUMIFS('8月数据源'!$J:$J,'8月数据源'!$D:$D,$E73,'8月数据源'!$F:$F,"SMART AI LIMITED")*M$185</f>
        <v/>
      </c>
      <c r="N73" s="89">
        <f>-SUMIFS('9月数据源'!$I:$I,'9月数据源'!$D:$D,$E73,'9月数据源'!$F:$F,"SMART AI LIMITED")*N$185+SUMIFS('9月数据源'!$J:$J,'9月数据源'!$D:$D,$E73,'9月数据源'!$F:$F,"SMART AI LIMITED")*N$185</f>
        <v/>
      </c>
      <c r="O73" s="89">
        <f>-SUMIFS('10月数据源'!$I:$I,'10月数据源'!$D:$D,$E73,'10月数据源'!$F:$F,"SMART AI LIMITED")*O$185+SUMIFS('10月数据源'!$J:$J,'10月数据源'!$D:$D,$E73,'10月数据源'!$F:$F,"SMART AI LIMITED")*O$185</f>
        <v/>
      </c>
      <c r="P73" s="89">
        <f>-SUMIFS('11月数据源'!$I:$I,'11月数据源'!$D:$D,$E73,'11月数据源'!$F:$F,"SMART AI LIMITED")*P$185+SUMIFS('11月数据源'!$J:$J,'11月数据源'!$D:$D,$E73,'11月数据源'!$F:$F,"SMART AI LIMITED")*P$185</f>
        <v/>
      </c>
      <c r="Q73" s="89">
        <f>-SUMIFS('12月数据源'!$I:$I,'12月数据源'!$D:$D,$E73,'12月数据源'!$F:$F,"SMART AI LIMITED")*Q$185+SUMIFS('12月数据源'!$J:$J,'12月数据源'!$D:$D,$E73,'12月数据源'!$F:$F,"SMART AI LIMITED")*Q$185</f>
        <v/>
      </c>
    </row>
    <row r="74" s="83">
      <c r="A74" s="5" t="inlineStr">
        <is>
          <t>研发支出</t>
        </is>
      </c>
      <c r="B74" s="6" t="inlineStr">
        <is>
          <t>产品开发-MAX</t>
        </is>
      </c>
      <c r="D74" s="5" t="inlineStr">
        <is>
          <t>模具费用</t>
        </is>
      </c>
      <c r="E74" s="6" t="inlineStr">
        <is>
          <t>Q1205</t>
        </is>
      </c>
      <c r="F74" s="89">
        <f>-SUMIFS('1月数据源'!$I:$I,'1月数据源'!$D:$D,$E74,'1月数据源'!$F:$F,"SMART AI LIMITED")*F$185+SUMIFS('1月数据源'!$J:$J,'1月数据源'!$D:$D,$E74,'1月数据源'!$F:$F,"SMART AI LIMITED")*F$185</f>
        <v/>
      </c>
      <c r="G74" s="89">
        <f>-SUMIFS('2月数据源'!$I:$I,'2月数据源'!$D:$D,$E74,'2月数据源'!$F:$F,"SMART AI LIMITED")*G$185+SUMIFS('2月数据源'!$J:$J,'2月数据源'!$D:$D,$E74,'2月数据源'!$F:$F,"SMART AI LIMITED")*G$185</f>
        <v/>
      </c>
      <c r="H74" s="89">
        <f>-SUMIFS('3月数据源'!$I:$I,'3月数据源'!$D:$D,$E74,'3月数据源'!$F:$F,"SMART AI LIMITED")*H$185+SUMIFS('3月数据源'!$J:$J,'3月数据源'!$D:$D,$E74,'3月数据源'!$F:$F,"SMART AI LIMITED")*H$185</f>
        <v/>
      </c>
      <c r="I74" s="89">
        <f>-SUMIFS('4月数据源'!$I:$I,'4月数据源'!$D:$D,$E74,'4月数据源'!$F:$F,"SMART AI LIMITED")*I$185+SUMIFS('4月数据源'!$J:$J,'4月数据源'!$D:$D,$E74,'4月数据源'!$F:$F,"SMART AI LIMITED")*I$185</f>
        <v/>
      </c>
      <c r="J74" s="89">
        <f>-SUMIFS('5月数据源'!$I:$I,'5月数据源'!$D:$D,$E74,'5月数据源'!$F:$F,"SMART AI LIMITED")*J$185+SUMIFS('5月数据源'!$J:$J,'5月数据源'!$D:$D,$E74,'5月数据源'!$F:$F,"SMART AI LIMITED")*J$185</f>
        <v/>
      </c>
      <c r="K74" s="89">
        <f>-SUMIFS('6月数据源'!$I:$I,'6月数据源'!$D:$D,$E74,'6月数据源'!$F:$F,"SMART AI LIMITED")*K$185+SUMIFS('6月数据源'!$J:$J,'6月数据源'!$D:$D,$E74,'6月数据源'!$F:$F,"SMART AI LIMITED")*K$185</f>
        <v/>
      </c>
      <c r="L74" s="89">
        <f>-SUMIFS('7月数据源'!$I:$I,'7月数据源'!$D:$D,$E74,'7月数据源'!$F:$F,"SMART AI LIMITED")*L$185+SUMIFS('7月数据源'!$J:$J,'7月数据源'!$D:$D,$E74,'7月数据源'!$F:$F,"SMART AI LIMITED")*L$185</f>
        <v/>
      </c>
      <c r="M74" s="89">
        <f>-SUMIFS('8月数据源'!$I:$I,'8月数据源'!$D:$D,$E74,'8月数据源'!$F:$F,"SMART AI LIMITED")*M$185+SUMIFS('8月数据源'!$J:$J,'8月数据源'!$D:$D,$E74,'8月数据源'!$F:$F,"SMART AI LIMITED")*M$185</f>
        <v/>
      </c>
      <c r="N74" s="89">
        <f>-SUMIFS('9月数据源'!$I:$I,'9月数据源'!$D:$D,$E74,'9月数据源'!$F:$F,"SMART AI LIMITED")*N$185+SUMIFS('9月数据源'!$J:$J,'9月数据源'!$D:$D,$E74,'9月数据源'!$F:$F,"SMART AI LIMITED")*N$185</f>
        <v/>
      </c>
      <c r="O74" s="89">
        <f>-SUMIFS('10月数据源'!$I:$I,'10月数据源'!$D:$D,$E74,'10月数据源'!$F:$F,"SMART AI LIMITED")*O$185+SUMIFS('10月数据源'!$J:$J,'10月数据源'!$D:$D,$E74,'10月数据源'!$F:$F,"SMART AI LIMITED")*O$185</f>
        <v/>
      </c>
      <c r="P74" s="89">
        <f>-SUMIFS('11月数据源'!$I:$I,'11月数据源'!$D:$D,$E74,'11月数据源'!$F:$F,"SMART AI LIMITED")*P$185+SUMIFS('11月数据源'!$J:$J,'11月数据源'!$D:$D,$E74,'11月数据源'!$F:$F,"SMART AI LIMITED")*P$185</f>
        <v/>
      </c>
      <c r="Q74" s="89">
        <f>-SUMIFS('12月数据源'!$I:$I,'12月数据源'!$D:$D,$E74,'12月数据源'!$F:$F,"SMART AI LIMITED")*Q$185+SUMIFS('12月数据源'!$J:$J,'12月数据源'!$D:$D,$E74,'12月数据源'!$F:$F,"SMART AI LIMITED")*Q$185</f>
        <v/>
      </c>
    </row>
    <row r="75" s="83">
      <c r="A75" s="5" t="inlineStr">
        <is>
          <t>研发支出</t>
        </is>
      </c>
      <c r="B75" s="6" t="inlineStr">
        <is>
          <t>产品开发-MAX</t>
        </is>
      </c>
      <c r="D75" s="5" t="inlineStr">
        <is>
          <t>TCL研发费</t>
        </is>
      </c>
      <c r="E75" s="6" t="inlineStr">
        <is>
          <t>Q1206</t>
        </is>
      </c>
      <c r="F75" s="89">
        <f>-SUMIFS('1月数据源'!$I:$I,'1月数据源'!$D:$D,$E75,'1月数据源'!$F:$F,"SMART AI LIMITED")*F$185+SUMIFS('1月数据源'!$J:$J,'1月数据源'!$D:$D,$E75,'1月数据源'!$F:$F,"SMART AI LIMITED")*F$185</f>
        <v/>
      </c>
      <c r="G75" s="89">
        <f>-SUMIFS('2月数据源'!$I:$I,'2月数据源'!$D:$D,$E75,'2月数据源'!$F:$F,"SMART AI LIMITED")*G$185+SUMIFS('2月数据源'!$J:$J,'2月数据源'!$D:$D,$E75,'2月数据源'!$F:$F,"SMART AI LIMITED")*G$185</f>
        <v/>
      </c>
      <c r="H75" s="89">
        <f>-SUMIFS('3月数据源'!$I:$I,'3月数据源'!$D:$D,$E75,'3月数据源'!$F:$F,"SMART AI LIMITED")*H$185+SUMIFS('3月数据源'!$J:$J,'3月数据源'!$D:$D,$E75,'3月数据源'!$F:$F,"SMART AI LIMITED")*H$185</f>
        <v/>
      </c>
      <c r="I75" s="89">
        <f>-SUMIFS('4月数据源'!$I:$I,'4月数据源'!$D:$D,$E75,'4月数据源'!$F:$F,"SMART AI LIMITED")*I$185+SUMIFS('4月数据源'!$J:$J,'4月数据源'!$D:$D,$E75,'4月数据源'!$F:$F,"SMART AI LIMITED")*I$185</f>
        <v/>
      </c>
      <c r="J75" s="89">
        <f>-SUMIFS('5月数据源'!$I:$I,'5月数据源'!$D:$D,$E75,'5月数据源'!$F:$F,"SMART AI LIMITED")*J$185+SUMIFS('5月数据源'!$J:$J,'5月数据源'!$D:$D,$E75,'5月数据源'!$F:$F,"SMART AI LIMITED")*J$185</f>
        <v/>
      </c>
      <c r="K75" s="89">
        <f>-SUMIFS('6月数据源'!$I:$I,'6月数据源'!$D:$D,$E75,'6月数据源'!$F:$F,"SMART AI LIMITED")*K$185+SUMIFS('6月数据源'!$J:$J,'6月数据源'!$D:$D,$E75,'6月数据源'!$F:$F,"SMART AI LIMITED")*K$185</f>
        <v/>
      </c>
      <c r="L75" s="89">
        <f>-SUMIFS('7月数据源'!$I:$I,'7月数据源'!$D:$D,$E75,'7月数据源'!$F:$F,"SMART AI LIMITED")*L$185+SUMIFS('7月数据源'!$J:$J,'7月数据源'!$D:$D,$E75,'7月数据源'!$F:$F,"SMART AI LIMITED")*L$185</f>
        <v/>
      </c>
      <c r="M75" s="89">
        <f>-SUMIFS('8月数据源'!$I:$I,'8月数据源'!$D:$D,$E75,'8月数据源'!$F:$F,"SMART AI LIMITED")*M$185+SUMIFS('8月数据源'!$J:$J,'8月数据源'!$D:$D,$E75,'8月数据源'!$F:$F,"SMART AI LIMITED")*M$185</f>
        <v/>
      </c>
      <c r="N75" s="89">
        <f>-SUMIFS('9月数据源'!$I:$I,'9月数据源'!$D:$D,$E75,'9月数据源'!$F:$F,"SMART AI LIMITED")*N$185+SUMIFS('9月数据源'!$J:$J,'9月数据源'!$D:$D,$E75,'9月数据源'!$F:$F,"SMART AI LIMITED")*N$185</f>
        <v/>
      </c>
      <c r="O75" s="89">
        <f>-SUMIFS('10月数据源'!$I:$I,'10月数据源'!$D:$D,$E75,'10月数据源'!$F:$F,"SMART AI LIMITED")*O$185+SUMIFS('10月数据源'!$J:$J,'10月数据源'!$D:$D,$E75,'10月数据源'!$F:$F,"SMART AI LIMITED")*O$185</f>
        <v/>
      </c>
      <c r="P75" s="89">
        <f>-SUMIFS('11月数据源'!$I:$I,'11月数据源'!$D:$D,$E75,'11月数据源'!$F:$F,"SMART AI LIMITED")*P$185+SUMIFS('11月数据源'!$J:$J,'11月数据源'!$D:$D,$E75,'11月数据源'!$F:$F,"SMART AI LIMITED")*P$185</f>
        <v/>
      </c>
      <c r="Q75" s="89">
        <f>-SUMIFS('12月数据源'!$I:$I,'12月数据源'!$D:$D,$E75,'12月数据源'!$F:$F,"SMART AI LIMITED")*Q$185+SUMIFS('12月数据源'!$J:$J,'12月数据源'!$D:$D,$E75,'12月数据源'!$F:$F,"SMART AI LIMITED")*Q$185</f>
        <v/>
      </c>
    </row>
    <row r="76" s="83">
      <c r="A76" s="5" t="inlineStr">
        <is>
          <t>研发支出</t>
        </is>
      </c>
      <c r="B76" s="6" t="inlineStr">
        <is>
          <t>产品开发-MAX</t>
        </is>
      </c>
      <c r="D76" s="5" t="inlineStr">
        <is>
          <t>唤醒功能开发</t>
        </is>
      </c>
      <c r="E76" s="6" t="inlineStr">
        <is>
          <t>Q1207</t>
        </is>
      </c>
      <c r="F76" s="89">
        <f>-SUMIFS('1月数据源'!$I:$I,'1月数据源'!$D:$D,$E76,'1月数据源'!$F:$F,"SMART AI LIMITED")*F$185+SUMIFS('1月数据源'!$J:$J,'1月数据源'!$D:$D,$E76,'1月数据源'!$F:$F,"SMART AI LIMITED")*F$185</f>
        <v/>
      </c>
      <c r="G76" s="89">
        <f>-SUMIFS('2月数据源'!$I:$I,'2月数据源'!$D:$D,$E76,'2月数据源'!$F:$F,"SMART AI LIMITED")*G$185+SUMIFS('2月数据源'!$J:$J,'2月数据源'!$D:$D,$E76,'2月数据源'!$F:$F,"SMART AI LIMITED")*G$185</f>
        <v/>
      </c>
      <c r="H76" s="89">
        <f>-SUMIFS('3月数据源'!$I:$I,'3月数据源'!$D:$D,$E76,'3月数据源'!$F:$F,"SMART AI LIMITED")*H$185+SUMIFS('3月数据源'!$J:$J,'3月数据源'!$D:$D,$E76,'3月数据源'!$F:$F,"SMART AI LIMITED")*H$185</f>
        <v/>
      </c>
      <c r="I76" s="89">
        <f>-SUMIFS('4月数据源'!$I:$I,'4月数据源'!$D:$D,$E76,'4月数据源'!$F:$F,"SMART AI LIMITED")*I$185+SUMIFS('4月数据源'!$J:$J,'4月数据源'!$D:$D,$E76,'4月数据源'!$F:$F,"SMART AI LIMITED")*I$185</f>
        <v/>
      </c>
      <c r="J76" s="89">
        <f>-SUMIFS('5月数据源'!$I:$I,'5月数据源'!$D:$D,$E76,'5月数据源'!$F:$F,"SMART AI LIMITED")*J$185+SUMIFS('5月数据源'!$J:$J,'5月数据源'!$D:$D,$E76,'5月数据源'!$F:$F,"SMART AI LIMITED")*J$185</f>
        <v/>
      </c>
      <c r="K76" s="89">
        <f>-SUMIFS('6月数据源'!$I:$I,'6月数据源'!$D:$D,$E76,'6月数据源'!$F:$F,"SMART AI LIMITED")*K$185+SUMIFS('6月数据源'!$J:$J,'6月数据源'!$D:$D,$E76,'6月数据源'!$F:$F,"SMART AI LIMITED")*K$185</f>
        <v/>
      </c>
      <c r="L76" s="89">
        <f>-SUMIFS('7月数据源'!$I:$I,'7月数据源'!$D:$D,$E76,'7月数据源'!$F:$F,"SMART AI LIMITED")*L$185+SUMIFS('7月数据源'!$J:$J,'7月数据源'!$D:$D,$E76,'7月数据源'!$F:$F,"SMART AI LIMITED")*L$185</f>
        <v/>
      </c>
      <c r="M76" s="89">
        <f>-SUMIFS('8月数据源'!$I:$I,'8月数据源'!$D:$D,$E76,'8月数据源'!$F:$F,"SMART AI LIMITED")*M$185+SUMIFS('8月数据源'!$J:$J,'8月数据源'!$D:$D,$E76,'8月数据源'!$F:$F,"SMART AI LIMITED")*M$185</f>
        <v/>
      </c>
      <c r="N76" s="89">
        <f>-SUMIFS('9月数据源'!$I:$I,'9月数据源'!$D:$D,$E76,'9月数据源'!$F:$F,"SMART AI LIMITED")*N$185+SUMIFS('9月数据源'!$J:$J,'9月数据源'!$D:$D,$E76,'9月数据源'!$F:$F,"SMART AI LIMITED")*N$185</f>
        <v/>
      </c>
      <c r="O76" s="89">
        <f>-SUMIFS('10月数据源'!$I:$I,'10月数据源'!$D:$D,$E76,'10月数据源'!$F:$F,"SMART AI LIMITED")*O$185+SUMIFS('10月数据源'!$J:$J,'10月数据源'!$D:$D,$E76,'10月数据源'!$F:$F,"SMART AI LIMITED")*O$185</f>
        <v/>
      </c>
      <c r="P76" s="89">
        <f>-SUMIFS('11月数据源'!$I:$I,'11月数据源'!$D:$D,$E76,'11月数据源'!$F:$F,"SMART AI LIMITED")*P$185+SUMIFS('11月数据源'!$J:$J,'11月数据源'!$D:$D,$E76,'11月数据源'!$F:$F,"SMART AI LIMITED")*P$185</f>
        <v/>
      </c>
      <c r="Q76" s="89">
        <f>-SUMIFS('12月数据源'!$I:$I,'12月数据源'!$D:$D,$E76,'12月数据源'!$F:$F,"SMART AI LIMITED")*Q$185+SUMIFS('12月数据源'!$J:$J,'12月数据源'!$D:$D,$E76,'12月数据源'!$F:$F,"SMART AI LIMITED")*Q$185</f>
        <v/>
      </c>
    </row>
    <row r="77" s="83">
      <c r="A77" s="5" t="inlineStr">
        <is>
          <t>研发支出</t>
        </is>
      </c>
      <c r="B77" s="6" t="inlineStr">
        <is>
          <t>产品开发-MAX</t>
        </is>
      </c>
      <c r="D77" s="5" t="inlineStr">
        <is>
          <t>题库费</t>
        </is>
      </c>
      <c r="E77" s="6" t="inlineStr">
        <is>
          <t>Q1208</t>
        </is>
      </c>
      <c r="F77" s="89">
        <f>-SUMIFS('1月数据源'!$I:$I,'1月数据源'!$D:$D,$E77,'1月数据源'!$F:$F,"SMART AI LIMITED")*F$185+SUMIFS('1月数据源'!$J:$J,'1月数据源'!$D:$D,$E77,'1月数据源'!$F:$F,"SMART AI LIMITED")*F$185</f>
        <v/>
      </c>
      <c r="G77" s="89">
        <f>-SUMIFS('2月数据源'!$I:$I,'2月数据源'!$D:$D,$E77,'2月数据源'!$F:$F,"SMART AI LIMITED")*G$185+SUMIFS('2月数据源'!$J:$J,'2月数据源'!$D:$D,$E77,'2月数据源'!$F:$F,"SMART AI LIMITED")*G$185</f>
        <v/>
      </c>
      <c r="H77" s="89">
        <f>-SUMIFS('3月数据源'!$I:$I,'3月数据源'!$D:$D,$E77,'3月数据源'!$F:$F,"SMART AI LIMITED")*H$185+SUMIFS('3月数据源'!$J:$J,'3月数据源'!$D:$D,$E77,'3月数据源'!$F:$F,"SMART AI LIMITED")*H$185</f>
        <v/>
      </c>
      <c r="I77" s="89">
        <f>-SUMIFS('4月数据源'!$I:$I,'4月数据源'!$D:$D,$E77,'4月数据源'!$F:$F,"SMART AI LIMITED")*I$185+SUMIFS('4月数据源'!$J:$J,'4月数据源'!$D:$D,$E77,'4月数据源'!$F:$F,"SMART AI LIMITED")*I$185</f>
        <v/>
      </c>
      <c r="J77" s="89">
        <f>-SUMIFS('5月数据源'!$I:$I,'5月数据源'!$D:$D,$E77,'5月数据源'!$F:$F,"SMART AI LIMITED")*J$185+SUMIFS('5月数据源'!$J:$J,'5月数据源'!$D:$D,$E77,'5月数据源'!$F:$F,"SMART AI LIMITED")*J$185</f>
        <v/>
      </c>
      <c r="K77" s="89">
        <f>-SUMIFS('6月数据源'!$I:$I,'6月数据源'!$D:$D,$E77,'6月数据源'!$F:$F,"SMART AI LIMITED")*K$185+SUMIFS('6月数据源'!$J:$J,'6月数据源'!$D:$D,$E77,'6月数据源'!$F:$F,"SMART AI LIMITED")*K$185</f>
        <v/>
      </c>
      <c r="L77" s="89">
        <f>-SUMIFS('7月数据源'!$I:$I,'7月数据源'!$D:$D,$E77,'7月数据源'!$F:$F,"SMART AI LIMITED")*L$185+SUMIFS('7月数据源'!$J:$J,'7月数据源'!$D:$D,$E77,'7月数据源'!$F:$F,"SMART AI LIMITED")*L$185</f>
        <v/>
      </c>
      <c r="M77" s="89">
        <f>-SUMIFS('8月数据源'!$I:$I,'8月数据源'!$D:$D,$E77,'8月数据源'!$F:$F,"SMART AI LIMITED")*M$185+SUMIFS('8月数据源'!$J:$J,'8月数据源'!$D:$D,$E77,'8月数据源'!$F:$F,"SMART AI LIMITED")*M$185</f>
        <v/>
      </c>
      <c r="N77" s="89">
        <f>-SUMIFS('9月数据源'!$I:$I,'9月数据源'!$D:$D,$E77,'9月数据源'!$F:$F,"SMART AI LIMITED")*N$185+SUMIFS('9月数据源'!$J:$J,'9月数据源'!$D:$D,$E77,'9月数据源'!$F:$F,"SMART AI LIMITED")*N$185</f>
        <v/>
      </c>
      <c r="O77" s="89">
        <f>-SUMIFS('10月数据源'!$I:$I,'10月数据源'!$D:$D,$E77,'10月数据源'!$F:$F,"SMART AI LIMITED")*O$185+SUMIFS('10月数据源'!$J:$J,'10月数据源'!$D:$D,$E77,'10月数据源'!$F:$F,"SMART AI LIMITED")*O$185</f>
        <v/>
      </c>
      <c r="P77" s="89">
        <f>-SUMIFS('11月数据源'!$I:$I,'11月数据源'!$D:$D,$E77,'11月数据源'!$F:$F,"SMART AI LIMITED")*P$185+SUMIFS('11月数据源'!$J:$J,'11月数据源'!$D:$D,$E77,'11月数据源'!$F:$F,"SMART AI LIMITED")*P$185</f>
        <v/>
      </c>
      <c r="Q77" s="89">
        <f>-SUMIFS('12月数据源'!$I:$I,'12月数据源'!$D:$D,$E77,'12月数据源'!$F:$F,"SMART AI LIMITED")*Q$185+SUMIFS('12月数据源'!$J:$J,'12月数据源'!$D:$D,$E77,'12月数据源'!$F:$F,"SMART AI LIMITED")*Q$185</f>
        <v/>
      </c>
    </row>
    <row r="78" s="83">
      <c r="A78" s="5" t="inlineStr">
        <is>
          <t>研发支出</t>
        </is>
      </c>
      <c r="B78" s="6" t="inlineStr">
        <is>
          <t>产品开发-PRO</t>
        </is>
      </c>
      <c r="C78" s="6" t="inlineStr">
        <is>
          <t>产品开发-PRO</t>
        </is>
      </c>
      <c r="D78" s="5" t="inlineStr">
        <is>
          <t>检测费</t>
        </is>
      </c>
      <c r="E78" s="6" t="inlineStr">
        <is>
          <t>Q1301</t>
        </is>
      </c>
      <c r="F78" s="89">
        <f>-SUMIFS('1月数据源'!$I:$I,'1月数据源'!$D:$D,$E78,'1月数据源'!$F:$F,"SMART AI LIMITED")*F$185+SUMIFS('1月数据源'!$J:$J,'1月数据源'!$D:$D,$E78,'1月数据源'!$F:$F,"SMART AI LIMITED")*F$185</f>
        <v/>
      </c>
      <c r="G78" s="89">
        <f>-SUMIFS('2月数据源'!$I:$I,'2月数据源'!$D:$D,$E78,'2月数据源'!$F:$F,"SMART AI LIMITED")*G$185+SUMIFS('2月数据源'!$J:$J,'2月数据源'!$D:$D,$E78,'2月数据源'!$F:$F,"SMART AI LIMITED")*G$185</f>
        <v/>
      </c>
      <c r="H78" s="89">
        <f>-SUMIFS('3月数据源'!$I:$I,'3月数据源'!$D:$D,$E78,'3月数据源'!$F:$F,"SMART AI LIMITED")*H$185+SUMIFS('3月数据源'!$J:$J,'3月数据源'!$D:$D,$E78,'3月数据源'!$F:$F,"SMART AI LIMITED")*H$185</f>
        <v/>
      </c>
      <c r="I78" s="89">
        <f>-SUMIFS('4月数据源'!$I:$I,'4月数据源'!$D:$D,$E78,'4月数据源'!$F:$F,"SMART AI LIMITED")*I$185+SUMIFS('4月数据源'!$J:$J,'4月数据源'!$D:$D,$E78,'4月数据源'!$F:$F,"SMART AI LIMITED")*I$185</f>
        <v/>
      </c>
      <c r="J78" s="89">
        <f>-SUMIFS('5月数据源'!$I:$I,'5月数据源'!$D:$D,$E78,'5月数据源'!$F:$F,"SMART AI LIMITED")*J$185+SUMIFS('5月数据源'!$J:$J,'5月数据源'!$D:$D,$E78,'5月数据源'!$F:$F,"SMART AI LIMITED")*J$185</f>
        <v/>
      </c>
      <c r="K78" s="89">
        <f>-SUMIFS('6月数据源'!$I:$I,'6月数据源'!$D:$D,$E78,'6月数据源'!$F:$F,"SMART AI LIMITED")*K$185+SUMIFS('6月数据源'!$J:$J,'6月数据源'!$D:$D,$E78,'6月数据源'!$F:$F,"SMART AI LIMITED")*K$185</f>
        <v/>
      </c>
      <c r="L78" s="89">
        <f>-SUMIFS('7月数据源'!$I:$I,'7月数据源'!$D:$D,$E78,'7月数据源'!$F:$F,"SMART AI LIMITED")*L$185+SUMIFS('7月数据源'!$J:$J,'7月数据源'!$D:$D,$E78,'7月数据源'!$F:$F,"SMART AI LIMITED")*L$185</f>
        <v/>
      </c>
      <c r="M78" s="89">
        <f>-SUMIFS('8月数据源'!$I:$I,'8月数据源'!$D:$D,$E78,'8月数据源'!$F:$F,"SMART AI LIMITED")*M$185+SUMIFS('8月数据源'!$J:$J,'8月数据源'!$D:$D,$E78,'8月数据源'!$F:$F,"SMART AI LIMITED")*M$185</f>
        <v/>
      </c>
      <c r="N78" s="89">
        <f>-SUMIFS('9月数据源'!$I:$I,'9月数据源'!$D:$D,$E78,'9月数据源'!$F:$F,"SMART AI LIMITED")*N$185+SUMIFS('9月数据源'!$J:$J,'9月数据源'!$D:$D,$E78,'9月数据源'!$F:$F,"SMART AI LIMITED")*N$185</f>
        <v/>
      </c>
      <c r="O78" s="89">
        <f>-SUMIFS('10月数据源'!$I:$I,'10月数据源'!$D:$D,$E78,'10月数据源'!$F:$F,"SMART AI LIMITED")*O$185+SUMIFS('10月数据源'!$J:$J,'10月数据源'!$D:$D,$E78,'10月数据源'!$F:$F,"SMART AI LIMITED")*O$185</f>
        <v/>
      </c>
      <c r="P78" s="89">
        <f>-SUMIFS('11月数据源'!$I:$I,'11月数据源'!$D:$D,$E78,'11月数据源'!$F:$F,"SMART AI LIMITED")*P$185+SUMIFS('11月数据源'!$J:$J,'11月数据源'!$D:$D,$E78,'11月数据源'!$F:$F,"SMART AI LIMITED")*P$185</f>
        <v/>
      </c>
      <c r="Q78" s="89">
        <f>-SUMIFS('12月数据源'!$I:$I,'12月数据源'!$D:$D,$E78,'12月数据源'!$F:$F,"SMART AI LIMITED")*Q$185+SUMIFS('12月数据源'!$J:$J,'12月数据源'!$D:$D,$E78,'12月数据源'!$F:$F,"SMART AI LIMITED")*Q$185</f>
        <v/>
      </c>
    </row>
    <row r="79" s="83">
      <c r="A79" s="5" t="inlineStr">
        <is>
          <t>研发支出</t>
        </is>
      </c>
      <c r="B79" s="6" t="inlineStr">
        <is>
          <t>产品开发-PRO</t>
        </is>
      </c>
      <c r="D79" s="5" t="inlineStr">
        <is>
          <t>认证费</t>
        </is>
      </c>
      <c r="E79" s="6" t="inlineStr">
        <is>
          <t>Q1302</t>
        </is>
      </c>
      <c r="F79" s="89">
        <f>-SUMIFS('1月数据源'!$I:$I,'1月数据源'!$D:$D,$E79,'1月数据源'!$F:$F,"SMART AI LIMITED")*F$185+SUMIFS('1月数据源'!$J:$J,'1月数据源'!$D:$D,$E79,'1月数据源'!$F:$F,"SMART AI LIMITED")*F$185</f>
        <v/>
      </c>
      <c r="G79" s="89">
        <f>-SUMIFS('2月数据源'!$I:$I,'2月数据源'!$D:$D,$E79,'2月数据源'!$F:$F,"SMART AI LIMITED")*G$185+SUMIFS('2月数据源'!$J:$J,'2月数据源'!$D:$D,$E79,'2月数据源'!$F:$F,"SMART AI LIMITED")*G$185</f>
        <v/>
      </c>
      <c r="H79" s="89">
        <f>-SUMIFS('3月数据源'!$I:$I,'3月数据源'!$D:$D,$E79,'3月数据源'!$F:$F,"SMART AI LIMITED")*H$185+SUMIFS('3月数据源'!$J:$J,'3月数据源'!$D:$D,$E79,'3月数据源'!$F:$F,"SMART AI LIMITED")*H$185</f>
        <v/>
      </c>
      <c r="I79" s="89">
        <f>-SUMIFS('4月数据源'!$I:$I,'4月数据源'!$D:$D,$E79,'4月数据源'!$F:$F,"SMART AI LIMITED")*I$185+SUMIFS('4月数据源'!$J:$J,'4月数据源'!$D:$D,$E79,'4月数据源'!$F:$F,"SMART AI LIMITED")*I$185</f>
        <v/>
      </c>
      <c r="J79" s="89">
        <f>-SUMIFS('5月数据源'!$I:$I,'5月数据源'!$D:$D,$E79,'5月数据源'!$F:$F,"SMART AI LIMITED")*J$185+SUMIFS('5月数据源'!$J:$J,'5月数据源'!$D:$D,$E79,'5月数据源'!$F:$F,"SMART AI LIMITED")*J$185</f>
        <v/>
      </c>
      <c r="K79" s="89">
        <f>-SUMIFS('6月数据源'!$I:$I,'6月数据源'!$D:$D,$E79,'6月数据源'!$F:$F,"SMART AI LIMITED")*K$185+SUMIFS('6月数据源'!$J:$J,'6月数据源'!$D:$D,$E79,'6月数据源'!$F:$F,"SMART AI LIMITED")*K$185</f>
        <v/>
      </c>
      <c r="L79" s="89">
        <f>-SUMIFS('7月数据源'!$I:$I,'7月数据源'!$D:$D,$E79,'7月数据源'!$F:$F,"SMART AI LIMITED")*L$185+SUMIFS('7月数据源'!$J:$J,'7月数据源'!$D:$D,$E79,'7月数据源'!$F:$F,"SMART AI LIMITED")*L$185</f>
        <v/>
      </c>
      <c r="M79" s="89">
        <f>-SUMIFS('8月数据源'!$I:$I,'8月数据源'!$D:$D,$E79,'8月数据源'!$F:$F,"SMART AI LIMITED")*M$185+SUMIFS('8月数据源'!$J:$J,'8月数据源'!$D:$D,$E79,'8月数据源'!$F:$F,"SMART AI LIMITED")*M$185</f>
        <v/>
      </c>
      <c r="N79" s="89">
        <f>-SUMIFS('9月数据源'!$I:$I,'9月数据源'!$D:$D,$E79,'9月数据源'!$F:$F,"SMART AI LIMITED")*N$185+SUMIFS('9月数据源'!$J:$J,'9月数据源'!$D:$D,$E79,'9月数据源'!$F:$F,"SMART AI LIMITED")*N$185</f>
        <v/>
      </c>
      <c r="O79" s="89">
        <f>-SUMIFS('10月数据源'!$I:$I,'10月数据源'!$D:$D,$E79,'10月数据源'!$F:$F,"SMART AI LIMITED")*O$185+SUMIFS('10月数据源'!$J:$J,'10月数据源'!$D:$D,$E79,'10月数据源'!$F:$F,"SMART AI LIMITED")*O$185</f>
        <v/>
      </c>
      <c r="P79" s="89">
        <f>-SUMIFS('11月数据源'!$I:$I,'11月数据源'!$D:$D,$E79,'11月数据源'!$F:$F,"SMART AI LIMITED")*P$185+SUMIFS('11月数据源'!$J:$J,'11月数据源'!$D:$D,$E79,'11月数据源'!$F:$F,"SMART AI LIMITED")*P$185</f>
        <v/>
      </c>
      <c r="Q79" s="89">
        <f>-SUMIFS('12月数据源'!$I:$I,'12月数据源'!$D:$D,$E79,'12月数据源'!$F:$F,"SMART AI LIMITED")*Q$185+SUMIFS('12月数据源'!$J:$J,'12月数据源'!$D:$D,$E79,'12月数据源'!$F:$F,"SMART AI LIMITED")*Q$185</f>
        <v/>
      </c>
    </row>
    <row r="80" s="83">
      <c r="A80" s="5" t="inlineStr">
        <is>
          <t>研发支出</t>
        </is>
      </c>
      <c r="B80" s="6" t="inlineStr">
        <is>
          <t>产品开发-PRO</t>
        </is>
      </c>
      <c r="D80" s="5" t="inlineStr">
        <is>
          <t>设计费</t>
        </is>
      </c>
      <c r="E80" s="6" t="inlineStr">
        <is>
          <t>Q1303</t>
        </is>
      </c>
      <c r="F80" s="89">
        <f>-SUMIFS('1月数据源'!$I:$I,'1月数据源'!$D:$D,$E80,'1月数据源'!$F:$F,"SMART AI LIMITED")*F$185+SUMIFS('1月数据源'!$J:$J,'1月数据源'!$D:$D,$E80,'1月数据源'!$F:$F,"SMART AI LIMITED")*F$185</f>
        <v/>
      </c>
      <c r="G80" s="89">
        <f>-SUMIFS('2月数据源'!$I:$I,'2月数据源'!$D:$D,$E80,'2月数据源'!$F:$F,"SMART AI LIMITED")*G$185+SUMIFS('2月数据源'!$J:$J,'2月数据源'!$D:$D,$E80,'2月数据源'!$F:$F,"SMART AI LIMITED")*G$185</f>
        <v/>
      </c>
      <c r="H80" s="89">
        <f>-SUMIFS('3月数据源'!$I:$I,'3月数据源'!$D:$D,$E80,'3月数据源'!$F:$F,"SMART AI LIMITED")*H$185+SUMIFS('3月数据源'!$J:$J,'3月数据源'!$D:$D,$E80,'3月数据源'!$F:$F,"SMART AI LIMITED")*H$185</f>
        <v/>
      </c>
      <c r="I80" s="89">
        <f>-SUMIFS('4月数据源'!$I:$I,'4月数据源'!$D:$D,$E80,'4月数据源'!$F:$F,"SMART AI LIMITED")*I$185+SUMIFS('4月数据源'!$J:$J,'4月数据源'!$D:$D,$E80,'4月数据源'!$F:$F,"SMART AI LIMITED")*I$185</f>
        <v/>
      </c>
      <c r="J80" s="89">
        <f>-SUMIFS('5月数据源'!$I:$I,'5月数据源'!$D:$D,$E80,'5月数据源'!$F:$F,"SMART AI LIMITED")*J$185+SUMIFS('5月数据源'!$J:$J,'5月数据源'!$D:$D,$E80,'5月数据源'!$F:$F,"SMART AI LIMITED")*J$185</f>
        <v/>
      </c>
      <c r="K80" s="89">
        <f>-SUMIFS('6月数据源'!$I:$I,'6月数据源'!$D:$D,$E80,'6月数据源'!$F:$F,"SMART AI LIMITED")*K$185+SUMIFS('6月数据源'!$J:$J,'6月数据源'!$D:$D,$E80,'6月数据源'!$F:$F,"SMART AI LIMITED")*K$185</f>
        <v/>
      </c>
      <c r="L80" s="89">
        <f>-SUMIFS('7月数据源'!$I:$I,'7月数据源'!$D:$D,$E80,'7月数据源'!$F:$F,"SMART AI LIMITED")*L$185+SUMIFS('7月数据源'!$J:$J,'7月数据源'!$D:$D,$E80,'7月数据源'!$F:$F,"SMART AI LIMITED")*L$185</f>
        <v/>
      </c>
      <c r="M80" s="89">
        <f>-SUMIFS('8月数据源'!$I:$I,'8月数据源'!$D:$D,$E80,'8月数据源'!$F:$F,"SMART AI LIMITED")*M$185+SUMIFS('8月数据源'!$J:$J,'8月数据源'!$D:$D,$E80,'8月数据源'!$F:$F,"SMART AI LIMITED")*M$185</f>
        <v/>
      </c>
      <c r="N80" s="89">
        <f>-SUMIFS('9月数据源'!$I:$I,'9月数据源'!$D:$D,$E80,'9月数据源'!$F:$F,"SMART AI LIMITED")*N$185+SUMIFS('9月数据源'!$J:$J,'9月数据源'!$D:$D,$E80,'9月数据源'!$F:$F,"SMART AI LIMITED")*N$185</f>
        <v/>
      </c>
      <c r="O80" s="89">
        <f>-SUMIFS('10月数据源'!$I:$I,'10月数据源'!$D:$D,$E80,'10月数据源'!$F:$F,"SMART AI LIMITED")*O$185+SUMIFS('10月数据源'!$J:$J,'10月数据源'!$D:$D,$E80,'10月数据源'!$F:$F,"SMART AI LIMITED")*O$185</f>
        <v/>
      </c>
      <c r="P80" s="89">
        <f>-SUMIFS('11月数据源'!$I:$I,'11月数据源'!$D:$D,$E80,'11月数据源'!$F:$F,"SMART AI LIMITED")*P$185+SUMIFS('11月数据源'!$J:$J,'11月数据源'!$D:$D,$E80,'11月数据源'!$F:$F,"SMART AI LIMITED")*P$185</f>
        <v/>
      </c>
      <c r="Q80" s="89">
        <f>-SUMIFS('12月数据源'!$I:$I,'12月数据源'!$D:$D,$E80,'12月数据源'!$F:$F,"SMART AI LIMITED")*Q$185+SUMIFS('12月数据源'!$J:$J,'12月数据源'!$D:$D,$E80,'12月数据源'!$F:$F,"SMART AI LIMITED")*Q$185</f>
        <v/>
      </c>
    </row>
    <row r="81" s="83">
      <c r="A81" s="5" t="inlineStr">
        <is>
          <t>研发支出</t>
        </is>
      </c>
      <c r="B81" s="6" t="inlineStr">
        <is>
          <t>产品开发-PRO</t>
        </is>
      </c>
      <c r="D81" s="5" t="inlineStr">
        <is>
          <t>OTA费用</t>
        </is>
      </c>
      <c r="E81" s="6" t="inlineStr">
        <is>
          <t>Q1304</t>
        </is>
      </c>
      <c r="F81" s="89">
        <f>-SUMIFS('1月数据源'!$I:$I,'1月数据源'!$D:$D,$E81,'1月数据源'!$F:$F,"SMART AI LIMITED")*F$185+SUMIFS('1月数据源'!$J:$J,'1月数据源'!$D:$D,$E81,'1月数据源'!$F:$F,"SMART AI LIMITED")*F$185</f>
        <v/>
      </c>
      <c r="G81" s="89">
        <f>-SUMIFS('2月数据源'!$I:$I,'2月数据源'!$D:$D,$E81,'2月数据源'!$F:$F,"SMART AI LIMITED")*G$185+SUMIFS('2月数据源'!$J:$J,'2月数据源'!$D:$D,$E81,'2月数据源'!$F:$F,"SMART AI LIMITED")*G$185</f>
        <v/>
      </c>
      <c r="H81" s="89">
        <f>-SUMIFS('3月数据源'!$I:$I,'3月数据源'!$D:$D,$E81,'3月数据源'!$F:$F,"SMART AI LIMITED")*H$185+SUMIFS('3月数据源'!$J:$J,'3月数据源'!$D:$D,$E81,'3月数据源'!$F:$F,"SMART AI LIMITED")*H$185</f>
        <v/>
      </c>
      <c r="I81" s="89">
        <f>-SUMIFS('4月数据源'!$I:$I,'4月数据源'!$D:$D,$E81,'4月数据源'!$F:$F,"SMART AI LIMITED")*I$185+SUMIFS('4月数据源'!$J:$J,'4月数据源'!$D:$D,$E81,'4月数据源'!$F:$F,"SMART AI LIMITED")*I$185</f>
        <v/>
      </c>
      <c r="J81" s="89">
        <f>-SUMIFS('5月数据源'!$I:$I,'5月数据源'!$D:$D,$E81,'5月数据源'!$F:$F,"SMART AI LIMITED")*J$185+SUMIFS('5月数据源'!$J:$J,'5月数据源'!$D:$D,$E81,'5月数据源'!$F:$F,"SMART AI LIMITED")*J$185</f>
        <v/>
      </c>
      <c r="K81" s="89">
        <f>-SUMIFS('6月数据源'!$I:$I,'6月数据源'!$D:$D,$E81,'6月数据源'!$F:$F,"SMART AI LIMITED")*K$185+SUMIFS('6月数据源'!$J:$J,'6月数据源'!$D:$D,$E81,'6月数据源'!$F:$F,"SMART AI LIMITED")*K$185</f>
        <v/>
      </c>
      <c r="L81" s="89">
        <f>-SUMIFS('7月数据源'!$I:$I,'7月数据源'!$D:$D,$E81,'7月数据源'!$F:$F,"SMART AI LIMITED")*L$185+SUMIFS('7月数据源'!$J:$J,'7月数据源'!$D:$D,$E81,'7月数据源'!$F:$F,"SMART AI LIMITED")*L$185</f>
        <v/>
      </c>
      <c r="M81" s="89">
        <f>-SUMIFS('8月数据源'!$I:$I,'8月数据源'!$D:$D,$E81,'8月数据源'!$F:$F,"SMART AI LIMITED")*M$185+SUMIFS('8月数据源'!$J:$J,'8月数据源'!$D:$D,$E81,'8月数据源'!$F:$F,"SMART AI LIMITED")*M$185</f>
        <v/>
      </c>
      <c r="N81" s="89">
        <f>-SUMIFS('9月数据源'!$I:$I,'9月数据源'!$D:$D,$E81,'9月数据源'!$F:$F,"SMART AI LIMITED")*N$185+SUMIFS('9月数据源'!$J:$J,'9月数据源'!$D:$D,$E81,'9月数据源'!$F:$F,"SMART AI LIMITED")*N$185</f>
        <v/>
      </c>
      <c r="O81" s="89">
        <f>-SUMIFS('10月数据源'!$I:$I,'10月数据源'!$D:$D,$E81,'10月数据源'!$F:$F,"SMART AI LIMITED")*O$185+SUMIFS('10月数据源'!$J:$J,'10月数据源'!$D:$D,$E81,'10月数据源'!$F:$F,"SMART AI LIMITED")*O$185</f>
        <v/>
      </c>
      <c r="P81" s="89">
        <f>-SUMIFS('11月数据源'!$I:$I,'11月数据源'!$D:$D,$E81,'11月数据源'!$F:$F,"SMART AI LIMITED")*P$185+SUMIFS('11月数据源'!$J:$J,'11月数据源'!$D:$D,$E81,'11月数据源'!$F:$F,"SMART AI LIMITED")*P$185</f>
        <v/>
      </c>
      <c r="Q81" s="89">
        <f>-SUMIFS('12月数据源'!$I:$I,'12月数据源'!$D:$D,$E81,'12月数据源'!$F:$F,"SMART AI LIMITED")*Q$185+SUMIFS('12月数据源'!$J:$J,'12月数据源'!$D:$D,$E81,'12月数据源'!$F:$F,"SMART AI LIMITED")*Q$185</f>
        <v/>
      </c>
    </row>
    <row r="82" s="83">
      <c r="A82" s="5" t="inlineStr">
        <is>
          <t>研发支出</t>
        </is>
      </c>
      <c r="B82" s="6" t="inlineStr">
        <is>
          <t>产品开发-PRO</t>
        </is>
      </c>
      <c r="D82" s="5" t="inlineStr">
        <is>
          <t>模具费用</t>
        </is>
      </c>
      <c r="E82" s="6" t="inlineStr">
        <is>
          <t>Q1305</t>
        </is>
      </c>
      <c r="F82" s="89">
        <f>-SUMIFS('1月数据源'!$I:$I,'1月数据源'!$D:$D,$E82,'1月数据源'!$F:$F,"SMART AI LIMITED")*F$185+SUMIFS('1月数据源'!$J:$J,'1月数据源'!$D:$D,$E82,'1月数据源'!$F:$F,"SMART AI LIMITED")*F$185</f>
        <v/>
      </c>
      <c r="G82" s="89">
        <f>-SUMIFS('2月数据源'!$I:$I,'2月数据源'!$D:$D,$E82,'2月数据源'!$F:$F,"SMART AI LIMITED")*G$185+SUMIFS('2月数据源'!$J:$J,'2月数据源'!$D:$D,$E82,'2月数据源'!$F:$F,"SMART AI LIMITED")*G$185</f>
        <v/>
      </c>
      <c r="H82" s="89">
        <f>-SUMIFS('3月数据源'!$I:$I,'3月数据源'!$D:$D,$E82,'3月数据源'!$F:$F,"SMART AI LIMITED")*H$185+SUMIFS('3月数据源'!$J:$J,'3月数据源'!$D:$D,$E82,'3月数据源'!$F:$F,"SMART AI LIMITED")*H$185</f>
        <v/>
      </c>
      <c r="I82" s="89">
        <f>-SUMIFS('4月数据源'!$I:$I,'4月数据源'!$D:$D,$E82,'4月数据源'!$F:$F,"SMART AI LIMITED")*I$185+SUMIFS('4月数据源'!$J:$J,'4月数据源'!$D:$D,$E82,'4月数据源'!$F:$F,"SMART AI LIMITED")*I$185</f>
        <v/>
      </c>
      <c r="J82" s="89">
        <f>-SUMIFS('5月数据源'!$I:$I,'5月数据源'!$D:$D,$E82,'5月数据源'!$F:$F,"SMART AI LIMITED")*J$185+SUMIFS('5月数据源'!$J:$J,'5月数据源'!$D:$D,$E82,'5月数据源'!$F:$F,"SMART AI LIMITED")*J$185</f>
        <v/>
      </c>
      <c r="K82" s="89">
        <f>-SUMIFS('6月数据源'!$I:$I,'6月数据源'!$D:$D,$E82,'6月数据源'!$F:$F,"SMART AI LIMITED")*K$185+SUMIFS('6月数据源'!$J:$J,'6月数据源'!$D:$D,$E82,'6月数据源'!$F:$F,"SMART AI LIMITED")*K$185</f>
        <v/>
      </c>
      <c r="L82" s="89">
        <f>-SUMIFS('7月数据源'!$I:$I,'7月数据源'!$D:$D,$E82,'7月数据源'!$F:$F,"SMART AI LIMITED")*L$185+SUMIFS('7月数据源'!$J:$J,'7月数据源'!$D:$D,$E82,'7月数据源'!$F:$F,"SMART AI LIMITED")*L$185</f>
        <v/>
      </c>
      <c r="M82" s="89">
        <f>-SUMIFS('8月数据源'!$I:$I,'8月数据源'!$D:$D,$E82,'8月数据源'!$F:$F,"SMART AI LIMITED")*M$185+SUMIFS('8月数据源'!$J:$J,'8月数据源'!$D:$D,$E82,'8月数据源'!$F:$F,"SMART AI LIMITED")*M$185</f>
        <v/>
      </c>
      <c r="N82" s="89">
        <f>-SUMIFS('9月数据源'!$I:$I,'9月数据源'!$D:$D,$E82,'9月数据源'!$F:$F,"SMART AI LIMITED")*N$185+SUMIFS('9月数据源'!$J:$J,'9月数据源'!$D:$D,$E82,'9月数据源'!$F:$F,"SMART AI LIMITED")*N$185</f>
        <v/>
      </c>
      <c r="O82" s="89">
        <f>-SUMIFS('10月数据源'!$I:$I,'10月数据源'!$D:$D,$E82,'10月数据源'!$F:$F,"SMART AI LIMITED")*O$185+SUMIFS('10月数据源'!$J:$J,'10月数据源'!$D:$D,$E82,'10月数据源'!$F:$F,"SMART AI LIMITED")*O$185</f>
        <v/>
      </c>
      <c r="P82" s="89">
        <f>-SUMIFS('11月数据源'!$I:$I,'11月数据源'!$D:$D,$E82,'11月数据源'!$F:$F,"SMART AI LIMITED")*P$185+SUMIFS('11月数据源'!$J:$J,'11月数据源'!$D:$D,$E82,'11月数据源'!$F:$F,"SMART AI LIMITED")*P$185</f>
        <v/>
      </c>
      <c r="Q82" s="89">
        <f>-SUMIFS('12月数据源'!$I:$I,'12月数据源'!$D:$D,$E82,'12月数据源'!$F:$F,"SMART AI LIMITED")*Q$185+SUMIFS('12月数据源'!$J:$J,'12月数据源'!$D:$D,$E82,'12月数据源'!$F:$F,"SMART AI LIMITED")*Q$185</f>
        <v/>
      </c>
    </row>
    <row r="83" s="83">
      <c r="A83" s="5" t="inlineStr">
        <is>
          <t>研发支出</t>
        </is>
      </c>
      <c r="B83" s="6" t="inlineStr">
        <is>
          <t>产品开发-PRO</t>
        </is>
      </c>
      <c r="D83" s="5" t="inlineStr">
        <is>
          <t>BOE研发费</t>
        </is>
      </c>
      <c r="E83" s="6" t="inlineStr">
        <is>
          <t>Q1306</t>
        </is>
      </c>
      <c r="F83" s="89">
        <f>-SUMIFS('1月数据源'!$I:$I,'1月数据源'!$D:$D,$E83,'1月数据源'!$F:$F,"SMART AI LIMITED")*F$185+SUMIFS('1月数据源'!$J:$J,'1月数据源'!$D:$D,$E83,'1月数据源'!$F:$F,"SMART AI LIMITED")*F$185</f>
        <v/>
      </c>
      <c r="G83" s="89">
        <f>-SUMIFS('2月数据源'!$I:$I,'2月数据源'!$D:$D,$E83,'2月数据源'!$F:$F,"SMART AI LIMITED")*G$185+SUMIFS('2月数据源'!$J:$J,'2月数据源'!$D:$D,$E83,'2月数据源'!$F:$F,"SMART AI LIMITED")*G$185</f>
        <v/>
      </c>
      <c r="H83" s="89">
        <f>-SUMIFS('3月数据源'!$I:$I,'3月数据源'!$D:$D,$E83,'3月数据源'!$F:$F,"SMART AI LIMITED")*H$185+SUMIFS('3月数据源'!$J:$J,'3月数据源'!$D:$D,$E83,'3月数据源'!$F:$F,"SMART AI LIMITED")*H$185</f>
        <v/>
      </c>
      <c r="I83" s="89">
        <f>-SUMIFS('4月数据源'!$I:$I,'4月数据源'!$D:$D,$E83,'4月数据源'!$F:$F,"SMART AI LIMITED")*I$185+SUMIFS('4月数据源'!$J:$J,'4月数据源'!$D:$D,$E83,'4月数据源'!$F:$F,"SMART AI LIMITED")*I$185</f>
        <v/>
      </c>
      <c r="J83" s="89">
        <f>-SUMIFS('5月数据源'!$I:$I,'5月数据源'!$D:$D,$E83,'5月数据源'!$F:$F,"SMART AI LIMITED")*J$185+SUMIFS('5月数据源'!$J:$J,'5月数据源'!$D:$D,$E83,'5月数据源'!$F:$F,"SMART AI LIMITED")*J$185</f>
        <v/>
      </c>
      <c r="K83" s="89">
        <f>-SUMIFS('6月数据源'!$I:$I,'6月数据源'!$D:$D,$E83,'6月数据源'!$F:$F,"SMART AI LIMITED")*K$185+SUMIFS('6月数据源'!$J:$J,'6月数据源'!$D:$D,$E83,'6月数据源'!$F:$F,"SMART AI LIMITED")*K$185</f>
        <v/>
      </c>
      <c r="L83" s="89">
        <f>-SUMIFS('7月数据源'!$I:$I,'7月数据源'!$D:$D,$E83,'7月数据源'!$F:$F,"SMART AI LIMITED")*L$185+SUMIFS('7月数据源'!$J:$J,'7月数据源'!$D:$D,$E83,'7月数据源'!$F:$F,"SMART AI LIMITED")*L$185</f>
        <v/>
      </c>
      <c r="M83" s="89">
        <f>-SUMIFS('8月数据源'!$I:$I,'8月数据源'!$D:$D,$E83,'8月数据源'!$F:$F,"SMART AI LIMITED")*M$185+SUMIFS('8月数据源'!$J:$J,'8月数据源'!$D:$D,$E83,'8月数据源'!$F:$F,"SMART AI LIMITED")*M$185</f>
        <v/>
      </c>
      <c r="N83" s="89">
        <f>-SUMIFS('9月数据源'!$I:$I,'9月数据源'!$D:$D,$E83,'9月数据源'!$F:$F,"SMART AI LIMITED")*N$185+SUMIFS('9月数据源'!$J:$J,'9月数据源'!$D:$D,$E83,'9月数据源'!$F:$F,"SMART AI LIMITED")*N$185</f>
        <v/>
      </c>
      <c r="O83" s="89">
        <f>-SUMIFS('10月数据源'!$I:$I,'10月数据源'!$D:$D,$E83,'10月数据源'!$F:$F,"SMART AI LIMITED")*O$185+SUMIFS('10月数据源'!$J:$J,'10月数据源'!$D:$D,$E83,'10月数据源'!$F:$F,"SMART AI LIMITED")*O$185</f>
        <v/>
      </c>
      <c r="P83" s="89">
        <f>-SUMIFS('11月数据源'!$I:$I,'11月数据源'!$D:$D,$E83,'11月数据源'!$F:$F,"SMART AI LIMITED")*P$185+SUMIFS('11月数据源'!$J:$J,'11月数据源'!$D:$D,$E83,'11月数据源'!$F:$F,"SMART AI LIMITED")*P$185</f>
        <v/>
      </c>
      <c r="Q83" s="89">
        <f>-SUMIFS('12月数据源'!$I:$I,'12月数据源'!$D:$D,$E83,'12月数据源'!$F:$F,"SMART AI LIMITED")*Q$185+SUMIFS('12月数据源'!$J:$J,'12月数据源'!$D:$D,$E83,'12月数据源'!$F:$F,"SMART AI LIMITED")*Q$185</f>
        <v/>
      </c>
    </row>
    <row r="84" s="83">
      <c r="A84" s="5" t="inlineStr">
        <is>
          <t>研发支出</t>
        </is>
      </c>
      <c r="B84" s="6" t="inlineStr">
        <is>
          <t>产品开发-PRO</t>
        </is>
      </c>
      <c r="D84" s="5" t="inlineStr">
        <is>
          <t>题库费</t>
        </is>
      </c>
      <c r="E84" s="6" t="inlineStr">
        <is>
          <t>Q1307</t>
        </is>
      </c>
      <c r="F84" s="89">
        <f>-SUMIFS('1月数据源'!$I:$I,'1月数据源'!$D:$D,$E84,'1月数据源'!$F:$F,"SMART AI LIMITED")*F$185+SUMIFS('1月数据源'!$J:$J,'1月数据源'!$D:$D,$E84,'1月数据源'!$F:$F,"SMART AI LIMITED")*F$185</f>
        <v/>
      </c>
      <c r="G84" s="89">
        <f>-SUMIFS('2月数据源'!$I:$I,'2月数据源'!$D:$D,$E84,'2月数据源'!$F:$F,"SMART AI LIMITED")*G$185+SUMIFS('2月数据源'!$J:$J,'2月数据源'!$D:$D,$E84,'2月数据源'!$F:$F,"SMART AI LIMITED")*G$185</f>
        <v/>
      </c>
      <c r="H84" s="89">
        <f>-SUMIFS('3月数据源'!$I:$I,'3月数据源'!$D:$D,$E84,'3月数据源'!$F:$F,"SMART AI LIMITED")*H$185+SUMIFS('3月数据源'!$J:$J,'3月数据源'!$D:$D,$E84,'3月数据源'!$F:$F,"SMART AI LIMITED")*H$185</f>
        <v/>
      </c>
      <c r="I84" s="89">
        <f>-SUMIFS('4月数据源'!$I:$I,'4月数据源'!$D:$D,$E84,'4月数据源'!$F:$F,"SMART AI LIMITED")*I$185+SUMIFS('4月数据源'!$J:$J,'4月数据源'!$D:$D,$E84,'4月数据源'!$F:$F,"SMART AI LIMITED")*I$185</f>
        <v/>
      </c>
      <c r="J84" s="89">
        <f>-SUMIFS('5月数据源'!$I:$I,'5月数据源'!$D:$D,$E84,'5月数据源'!$F:$F,"SMART AI LIMITED")*J$185+SUMIFS('5月数据源'!$J:$J,'5月数据源'!$D:$D,$E84,'5月数据源'!$F:$F,"SMART AI LIMITED")*J$185</f>
        <v/>
      </c>
      <c r="K84" s="89">
        <f>-SUMIFS('6月数据源'!$I:$I,'6月数据源'!$D:$D,$E84,'6月数据源'!$F:$F,"SMART AI LIMITED")*K$185+SUMIFS('6月数据源'!$J:$J,'6月数据源'!$D:$D,$E84,'6月数据源'!$F:$F,"SMART AI LIMITED")*K$185</f>
        <v/>
      </c>
      <c r="L84" s="89">
        <f>-SUMIFS('7月数据源'!$I:$I,'7月数据源'!$D:$D,$E84,'7月数据源'!$F:$F,"SMART AI LIMITED")*L$185+SUMIFS('7月数据源'!$J:$J,'7月数据源'!$D:$D,$E84,'7月数据源'!$F:$F,"SMART AI LIMITED")*L$185</f>
        <v/>
      </c>
      <c r="M84" s="89">
        <f>-SUMIFS('8月数据源'!$I:$I,'8月数据源'!$D:$D,$E84,'8月数据源'!$F:$F,"SMART AI LIMITED")*M$185+SUMIFS('8月数据源'!$J:$J,'8月数据源'!$D:$D,$E84,'8月数据源'!$F:$F,"SMART AI LIMITED")*M$185</f>
        <v/>
      </c>
      <c r="N84" s="89">
        <f>-SUMIFS('9月数据源'!$I:$I,'9月数据源'!$D:$D,$E84,'9月数据源'!$F:$F,"SMART AI LIMITED")*N$185+SUMIFS('9月数据源'!$J:$J,'9月数据源'!$D:$D,$E84,'9月数据源'!$F:$F,"SMART AI LIMITED")*N$185</f>
        <v/>
      </c>
      <c r="O84" s="89">
        <f>-SUMIFS('10月数据源'!$I:$I,'10月数据源'!$D:$D,$E84,'10月数据源'!$F:$F,"SMART AI LIMITED")*O$185+SUMIFS('10月数据源'!$J:$J,'10月数据源'!$D:$D,$E84,'10月数据源'!$F:$F,"SMART AI LIMITED")*O$185</f>
        <v/>
      </c>
      <c r="P84" s="89">
        <f>-SUMIFS('11月数据源'!$I:$I,'11月数据源'!$D:$D,$E84,'11月数据源'!$F:$F,"SMART AI LIMITED")*P$185+SUMIFS('11月数据源'!$J:$J,'11月数据源'!$D:$D,$E84,'11月数据源'!$F:$F,"SMART AI LIMITED")*P$185</f>
        <v/>
      </c>
      <c r="Q84" s="89">
        <f>-SUMIFS('12月数据源'!$I:$I,'12月数据源'!$D:$D,$E84,'12月数据源'!$F:$F,"SMART AI LIMITED")*Q$185+SUMIFS('12月数据源'!$J:$J,'12月数据源'!$D:$D,$E84,'12月数据源'!$F:$F,"SMART AI LIMITED")*Q$185</f>
        <v/>
      </c>
    </row>
    <row r="85" s="83">
      <c r="A85" s="5" t="inlineStr">
        <is>
          <t>研发支出</t>
        </is>
      </c>
      <c r="B85" s="6" t="inlineStr">
        <is>
          <t>其他产品开发</t>
        </is>
      </c>
      <c r="C85" s="6" t="inlineStr">
        <is>
          <t>其他产品开发</t>
        </is>
      </c>
      <c r="D85" s="5" t="inlineStr">
        <is>
          <t>产品开发-员工报销</t>
        </is>
      </c>
      <c r="E85" s="6" t="inlineStr">
        <is>
          <t>Q1402</t>
        </is>
      </c>
      <c r="F85" s="89">
        <f>-SUMIFS('1月数据源'!$I:$I,'1月数据源'!$D:$D,$E85,'1月数据源'!$F:$F,"SMART AI LIMITED")*F$185+SUMIFS('1月数据源'!$J:$J,'1月数据源'!$D:$D,$E85,'1月数据源'!$F:$F,"SMART AI LIMITED")*F$185</f>
        <v/>
      </c>
      <c r="G85" s="89">
        <f>-SUMIFS('2月数据源'!$I:$I,'2月数据源'!$D:$D,$E85,'2月数据源'!$F:$F,"SMART AI LIMITED")*G$185+SUMIFS('2月数据源'!$J:$J,'2月数据源'!$D:$D,$E85,'2月数据源'!$F:$F,"SMART AI LIMITED")*G$185</f>
        <v/>
      </c>
      <c r="H85" s="89">
        <f>-SUMIFS('3月数据源'!$I:$I,'3月数据源'!$D:$D,$E85,'3月数据源'!$F:$F,"SMART AI LIMITED")*H$185+SUMIFS('3月数据源'!$J:$J,'3月数据源'!$D:$D,$E85,'3月数据源'!$F:$F,"SMART AI LIMITED")*H$185</f>
        <v/>
      </c>
      <c r="I85" s="89">
        <f>-SUMIFS('4月数据源'!$I:$I,'4月数据源'!$D:$D,$E85,'4月数据源'!$F:$F,"SMART AI LIMITED")*I$185+SUMIFS('4月数据源'!$J:$J,'4月数据源'!$D:$D,$E85,'4月数据源'!$F:$F,"SMART AI LIMITED")*I$185</f>
        <v/>
      </c>
      <c r="J85" s="89">
        <f>-SUMIFS('5月数据源'!$I:$I,'5月数据源'!$D:$D,$E85,'5月数据源'!$F:$F,"SMART AI LIMITED")*J$185+SUMIFS('5月数据源'!$J:$J,'5月数据源'!$D:$D,$E85,'5月数据源'!$F:$F,"SMART AI LIMITED")*J$185</f>
        <v/>
      </c>
      <c r="K85" s="89">
        <f>-SUMIFS('6月数据源'!$I:$I,'6月数据源'!$D:$D,$E85,'6月数据源'!$F:$F,"SMART AI LIMITED")*K$185+SUMIFS('6月数据源'!$J:$J,'6月数据源'!$D:$D,$E85,'6月数据源'!$F:$F,"SMART AI LIMITED")*K$185</f>
        <v/>
      </c>
      <c r="L85" s="89">
        <f>-SUMIFS('7月数据源'!$I:$I,'7月数据源'!$D:$D,$E85,'7月数据源'!$F:$F,"SMART AI LIMITED")*L$185+SUMIFS('7月数据源'!$J:$J,'7月数据源'!$D:$D,$E85,'7月数据源'!$F:$F,"SMART AI LIMITED")*L$185</f>
        <v/>
      </c>
      <c r="M85" s="89">
        <f>-SUMIFS('8月数据源'!$I:$I,'8月数据源'!$D:$D,$E85,'8月数据源'!$F:$F,"SMART AI LIMITED")*M$185+SUMIFS('8月数据源'!$J:$J,'8月数据源'!$D:$D,$E85,'8月数据源'!$F:$F,"SMART AI LIMITED")*M$185</f>
        <v/>
      </c>
      <c r="N85" s="89">
        <f>-SUMIFS('9月数据源'!$I:$I,'9月数据源'!$D:$D,$E85,'9月数据源'!$F:$F,"SMART AI LIMITED")*N$185+SUMIFS('9月数据源'!$J:$J,'9月数据源'!$D:$D,$E85,'9月数据源'!$F:$F,"SMART AI LIMITED")*N$185</f>
        <v/>
      </c>
      <c r="O85" s="89">
        <f>-SUMIFS('10月数据源'!$I:$I,'10月数据源'!$D:$D,$E85,'10月数据源'!$F:$F,"SMART AI LIMITED")*O$185+SUMIFS('10月数据源'!$J:$J,'10月数据源'!$D:$D,$E85,'10月数据源'!$F:$F,"SMART AI LIMITED")*O$185</f>
        <v/>
      </c>
      <c r="P85" s="89">
        <f>-SUMIFS('11月数据源'!$I:$I,'11月数据源'!$D:$D,$E85,'11月数据源'!$F:$F,"SMART AI LIMITED")*P$185+SUMIFS('11月数据源'!$J:$J,'11月数据源'!$D:$D,$E85,'11月数据源'!$F:$F,"SMART AI LIMITED")*P$185</f>
        <v/>
      </c>
      <c r="Q85" s="89">
        <f>-SUMIFS('12月数据源'!$I:$I,'12月数据源'!$D:$D,$E85,'12月数据源'!$F:$F,"SMART AI LIMITED")*Q$185+SUMIFS('12月数据源'!$J:$J,'12月数据源'!$D:$D,$E85,'12月数据源'!$F:$F,"SMART AI LIMITED")*Q$185</f>
        <v/>
      </c>
    </row>
    <row r="86" s="83">
      <c r="A86" s="5" t="inlineStr">
        <is>
          <t>研发支出</t>
        </is>
      </c>
      <c r="B86" s="6" t="inlineStr">
        <is>
          <t>其他产品开发</t>
        </is>
      </c>
      <c r="D86" s="5" t="inlineStr">
        <is>
          <t>软件使用费</t>
        </is>
      </c>
      <c r="E86" s="6" t="inlineStr">
        <is>
          <t>Q1401</t>
        </is>
      </c>
      <c r="F86" s="89">
        <f>-SUMIFS('1月数据源'!$I:$I,'1月数据源'!$D:$D,$E86,'1月数据源'!$F:$F,"SMART AI LIMITED")*F$185+SUMIFS('1月数据源'!$J:$J,'1月数据源'!$D:$D,$E86,'1月数据源'!$F:$F,"SMART AI LIMITED")*F$185</f>
        <v/>
      </c>
      <c r="G86" s="89">
        <f>-SUMIFS('2月数据源'!$I:$I,'2月数据源'!$D:$D,$E86,'2月数据源'!$F:$F,"SMART AI LIMITED")*G$185+SUMIFS('2月数据源'!$J:$J,'2月数据源'!$D:$D,$E86,'2月数据源'!$F:$F,"SMART AI LIMITED")*G$185</f>
        <v/>
      </c>
      <c r="H86" s="89">
        <f>-SUMIFS('3月数据源'!$I:$I,'3月数据源'!$D:$D,$E86,'3月数据源'!$F:$F,"SMART AI LIMITED")*H$185+SUMIFS('3月数据源'!$J:$J,'3月数据源'!$D:$D,$E86,'3月数据源'!$F:$F,"SMART AI LIMITED")*H$185</f>
        <v/>
      </c>
      <c r="I86" s="89">
        <f>-SUMIFS('4月数据源'!$I:$I,'4月数据源'!$D:$D,$E86,'4月数据源'!$F:$F,"SMART AI LIMITED")*I$185+SUMIFS('4月数据源'!$J:$J,'4月数据源'!$D:$D,$E86,'4月数据源'!$F:$F,"SMART AI LIMITED")*I$185</f>
        <v/>
      </c>
      <c r="J86" s="89">
        <f>-SUMIFS('5月数据源'!$I:$I,'5月数据源'!$D:$D,$E86,'5月数据源'!$F:$F,"SMART AI LIMITED")*J$185+SUMIFS('5月数据源'!$J:$J,'5月数据源'!$D:$D,$E86,'5月数据源'!$F:$F,"SMART AI LIMITED")*J$185</f>
        <v/>
      </c>
      <c r="K86" s="89">
        <f>-SUMIFS('6月数据源'!$I:$I,'6月数据源'!$D:$D,$E86,'6月数据源'!$F:$F,"SMART AI LIMITED")*K$185+SUMIFS('6月数据源'!$J:$J,'6月数据源'!$D:$D,$E86,'6月数据源'!$F:$F,"SMART AI LIMITED")*K$185</f>
        <v/>
      </c>
      <c r="L86" s="89">
        <f>-SUMIFS('7月数据源'!$I:$I,'7月数据源'!$D:$D,$E86,'7月数据源'!$F:$F,"SMART AI LIMITED")*L$185+SUMIFS('7月数据源'!$J:$J,'7月数据源'!$D:$D,$E86,'7月数据源'!$F:$F,"SMART AI LIMITED")*L$185</f>
        <v/>
      </c>
      <c r="M86" s="89">
        <f>-SUMIFS('8月数据源'!$I:$I,'8月数据源'!$D:$D,$E86,'8月数据源'!$F:$F,"SMART AI LIMITED")*M$185+SUMIFS('8月数据源'!$J:$J,'8月数据源'!$D:$D,$E86,'8月数据源'!$F:$F,"SMART AI LIMITED")*M$185</f>
        <v/>
      </c>
      <c r="N86" s="89">
        <f>-SUMIFS('9月数据源'!$I:$I,'9月数据源'!$D:$D,$E86,'9月数据源'!$F:$F,"SMART AI LIMITED")*N$185+SUMIFS('9月数据源'!$J:$J,'9月数据源'!$D:$D,$E86,'9月数据源'!$F:$F,"SMART AI LIMITED")*N$185</f>
        <v/>
      </c>
      <c r="O86" s="89">
        <f>-SUMIFS('10月数据源'!$I:$I,'10月数据源'!$D:$D,$E86,'10月数据源'!$F:$F,"SMART AI LIMITED")*O$185+SUMIFS('10月数据源'!$J:$J,'10月数据源'!$D:$D,$E86,'10月数据源'!$F:$F,"SMART AI LIMITED")*O$185</f>
        <v/>
      </c>
      <c r="P86" s="89">
        <f>-SUMIFS('11月数据源'!$I:$I,'11月数据源'!$D:$D,$E86,'11月数据源'!$F:$F,"SMART AI LIMITED")*P$185+SUMIFS('11月数据源'!$J:$J,'11月数据源'!$D:$D,$E86,'11月数据源'!$F:$F,"SMART AI LIMITED")*P$185</f>
        <v/>
      </c>
      <c r="Q86" s="89">
        <f>-SUMIFS('12月数据源'!$I:$I,'12月数据源'!$D:$D,$E86,'12月数据源'!$F:$F,"SMART AI LIMITED")*Q$185+SUMIFS('12月数据源'!$J:$J,'12月数据源'!$D:$D,$E86,'12月数据源'!$F:$F,"SMART AI LIMITED")*Q$185</f>
        <v/>
      </c>
    </row>
    <row r="87" s="83">
      <c r="A87" s="5" t="inlineStr">
        <is>
          <t>研发支出</t>
        </is>
      </c>
      <c r="B87" s="6" t="inlineStr">
        <is>
          <t>服务器算法充值</t>
        </is>
      </c>
      <c r="C87" s="6" t="inlineStr">
        <is>
          <t>服务器算法充值</t>
        </is>
      </c>
      <c r="D87" s="5" t="inlineStr">
        <is>
          <t>阿里云充值费用</t>
        </is>
      </c>
      <c r="E87" s="6" t="inlineStr">
        <is>
          <t>Q1501</t>
        </is>
      </c>
      <c r="F87" s="89">
        <f>-SUMIFS('1月数据源'!$I:$I,'1月数据源'!$D:$D,$E87,'1月数据源'!$F:$F,"SMART AI LIMITED")*F$185+SUMIFS('1月数据源'!$J:$J,'1月数据源'!$D:$D,$E87,'1月数据源'!$F:$F,"SMART AI LIMITED")*F$185</f>
        <v/>
      </c>
      <c r="G87" s="89">
        <f>-SUMIFS('2月数据源'!$I:$I,'2月数据源'!$D:$D,$E87,'2月数据源'!$F:$F,"SMART AI LIMITED")*G$185+SUMIFS('2月数据源'!$J:$J,'2月数据源'!$D:$D,$E87,'2月数据源'!$F:$F,"SMART AI LIMITED")*G$185</f>
        <v/>
      </c>
      <c r="H87" s="89">
        <f>-SUMIFS('3月数据源'!$I:$I,'3月数据源'!$D:$D,$E87,'3月数据源'!$F:$F,"SMART AI LIMITED")*H$185+SUMIFS('3月数据源'!$J:$J,'3月数据源'!$D:$D,$E87,'3月数据源'!$F:$F,"SMART AI LIMITED")*H$185</f>
        <v/>
      </c>
      <c r="I87" s="89">
        <f>-SUMIFS('4月数据源'!$I:$I,'4月数据源'!$D:$D,$E87,'4月数据源'!$F:$F,"SMART AI LIMITED")*I$185+SUMIFS('4月数据源'!$J:$J,'4月数据源'!$D:$D,$E87,'4月数据源'!$F:$F,"SMART AI LIMITED")*I$185</f>
        <v/>
      </c>
      <c r="J87" s="89">
        <f>-SUMIFS('5月数据源'!$I:$I,'5月数据源'!$D:$D,$E87,'5月数据源'!$F:$F,"SMART AI LIMITED")*J$185+SUMIFS('5月数据源'!$J:$J,'5月数据源'!$D:$D,$E87,'5月数据源'!$F:$F,"SMART AI LIMITED")*J$185</f>
        <v/>
      </c>
      <c r="K87" s="89">
        <f>-SUMIFS('6月数据源'!$I:$I,'6月数据源'!$D:$D,$E87,'6月数据源'!$F:$F,"SMART AI LIMITED")*K$185+SUMIFS('6月数据源'!$J:$J,'6月数据源'!$D:$D,$E87,'6月数据源'!$F:$F,"SMART AI LIMITED")*K$185</f>
        <v/>
      </c>
      <c r="L87" s="89">
        <f>-SUMIFS('7月数据源'!$I:$I,'7月数据源'!$D:$D,$E87,'7月数据源'!$F:$F,"SMART AI LIMITED")*L$185+SUMIFS('7月数据源'!$J:$J,'7月数据源'!$D:$D,$E87,'7月数据源'!$F:$F,"SMART AI LIMITED")*L$185</f>
        <v/>
      </c>
      <c r="M87" s="89">
        <f>-SUMIFS('8月数据源'!$I:$I,'8月数据源'!$D:$D,$E87,'8月数据源'!$F:$F,"SMART AI LIMITED")*M$185+SUMIFS('8月数据源'!$J:$J,'8月数据源'!$D:$D,$E87,'8月数据源'!$F:$F,"SMART AI LIMITED")*M$185</f>
        <v/>
      </c>
      <c r="N87" s="89">
        <f>-SUMIFS('9月数据源'!$I:$I,'9月数据源'!$D:$D,$E87,'9月数据源'!$F:$F,"SMART AI LIMITED")*N$185+SUMIFS('9月数据源'!$J:$J,'9月数据源'!$D:$D,$E87,'9月数据源'!$F:$F,"SMART AI LIMITED")*N$185</f>
        <v/>
      </c>
      <c r="O87" s="89">
        <f>-SUMIFS('10月数据源'!$I:$I,'10月数据源'!$D:$D,$E87,'10月数据源'!$F:$F,"SMART AI LIMITED")*O$185+SUMIFS('10月数据源'!$J:$J,'10月数据源'!$D:$D,$E87,'10月数据源'!$F:$F,"SMART AI LIMITED")*O$185</f>
        <v/>
      </c>
      <c r="P87" s="89">
        <f>-SUMIFS('11月数据源'!$I:$I,'11月数据源'!$D:$D,$E87,'11月数据源'!$F:$F,"SMART AI LIMITED")*P$185+SUMIFS('11月数据源'!$J:$J,'11月数据源'!$D:$D,$E87,'11月数据源'!$F:$F,"SMART AI LIMITED")*P$185</f>
        <v/>
      </c>
      <c r="Q87" s="89">
        <f>-SUMIFS('12月数据源'!$I:$I,'12月数据源'!$D:$D,$E87,'12月数据源'!$F:$F,"SMART AI LIMITED")*Q$185+SUMIFS('12月数据源'!$J:$J,'12月数据源'!$D:$D,$E87,'12月数据源'!$F:$F,"SMART AI LIMITED")*Q$185</f>
        <v/>
      </c>
    </row>
    <row r="88" s="83">
      <c r="A88" s="5" t="inlineStr">
        <is>
          <t>研发支出</t>
        </is>
      </c>
      <c r="B88" s="6" t="inlineStr">
        <is>
          <t>服务器算法充值</t>
        </is>
      </c>
      <c r="D88" s="5" t="inlineStr">
        <is>
          <t>微软充值费用</t>
        </is>
      </c>
      <c r="E88" s="6" t="inlineStr">
        <is>
          <t>Q1502</t>
        </is>
      </c>
      <c r="F88" s="89">
        <f>-SUMIFS('1月数据源'!$I:$I,'1月数据源'!$D:$D,$E88,'1月数据源'!$F:$F,"SMART AI LIMITED")*F$185+SUMIFS('1月数据源'!$J:$J,'1月数据源'!$D:$D,$E88,'1月数据源'!$F:$F,"SMART AI LIMITED")*F$185</f>
        <v/>
      </c>
      <c r="G88" s="89">
        <f>-SUMIFS('2月数据源'!$I:$I,'2月数据源'!$D:$D,$E88,'2月数据源'!$F:$F,"SMART AI LIMITED")*G$185+SUMIFS('2月数据源'!$J:$J,'2月数据源'!$D:$D,$E88,'2月数据源'!$F:$F,"SMART AI LIMITED")*G$185</f>
        <v/>
      </c>
      <c r="H88" s="89">
        <f>-SUMIFS('3月数据源'!$I:$I,'3月数据源'!$D:$D,$E88,'3月数据源'!$F:$F,"SMART AI LIMITED")*H$185+SUMIFS('3月数据源'!$J:$J,'3月数据源'!$D:$D,$E88,'3月数据源'!$F:$F,"SMART AI LIMITED")*H$185</f>
        <v/>
      </c>
      <c r="I88" s="89">
        <f>-SUMIFS('4月数据源'!$I:$I,'4月数据源'!$D:$D,$E88,'4月数据源'!$F:$F,"SMART AI LIMITED")*I$185+SUMIFS('4月数据源'!$J:$J,'4月数据源'!$D:$D,$E88,'4月数据源'!$F:$F,"SMART AI LIMITED")*I$185</f>
        <v/>
      </c>
      <c r="J88" s="89">
        <f>-SUMIFS('5月数据源'!$I:$I,'5月数据源'!$D:$D,$E88,'5月数据源'!$F:$F,"SMART AI LIMITED")*J$185+SUMIFS('5月数据源'!$J:$J,'5月数据源'!$D:$D,$E88,'5月数据源'!$F:$F,"SMART AI LIMITED")*J$185</f>
        <v/>
      </c>
      <c r="K88" s="89">
        <f>-SUMIFS('6月数据源'!$I:$I,'6月数据源'!$D:$D,$E88,'6月数据源'!$F:$F,"SMART AI LIMITED")*K$185+SUMIFS('6月数据源'!$J:$J,'6月数据源'!$D:$D,$E88,'6月数据源'!$F:$F,"SMART AI LIMITED")*K$185</f>
        <v/>
      </c>
      <c r="L88" s="89">
        <f>-SUMIFS('7月数据源'!$I:$I,'7月数据源'!$D:$D,$E88,'7月数据源'!$F:$F,"SMART AI LIMITED")*L$185+SUMIFS('7月数据源'!$J:$J,'7月数据源'!$D:$D,$E88,'7月数据源'!$F:$F,"SMART AI LIMITED")*L$185</f>
        <v/>
      </c>
      <c r="M88" s="89">
        <f>-SUMIFS('8月数据源'!$I:$I,'8月数据源'!$D:$D,$E88,'8月数据源'!$F:$F,"SMART AI LIMITED")*M$185+SUMIFS('8月数据源'!$J:$J,'8月数据源'!$D:$D,$E88,'8月数据源'!$F:$F,"SMART AI LIMITED")*M$185</f>
        <v/>
      </c>
      <c r="N88" s="89">
        <f>-SUMIFS('9月数据源'!$I:$I,'9月数据源'!$D:$D,$E88,'9月数据源'!$F:$F,"SMART AI LIMITED")*N$185+SUMIFS('9月数据源'!$J:$J,'9月数据源'!$D:$D,$E88,'9月数据源'!$F:$F,"SMART AI LIMITED")*N$185</f>
        <v/>
      </c>
      <c r="O88" s="89">
        <f>-SUMIFS('10月数据源'!$I:$I,'10月数据源'!$D:$D,$E88,'10月数据源'!$F:$F,"SMART AI LIMITED")*O$185+SUMIFS('10月数据源'!$J:$J,'10月数据源'!$D:$D,$E88,'10月数据源'!$F:$F,"SMART AI LIMITED")*O$185</f>
        <v/>
      </c>
      <c r="P88" s="89">
        <f>-SUMIFS('11月数据源'!$I:$I,'11月数据源'!$D:$D,$E88,'11月数据源'!$F:$F,"SMART AI LIMITED")*P$185+SUMIFS('11月数据源'!$J:$J,'11月数据源'!$D:$D,$E88,'11月数据源'!$F:$F,"SMART AI LIMITED")*P$185</f>
        <v/>
      </c>
      <c r="Q88" s="89">
        <f>-SUMIFS('12月数据源'!$I:$I,'12月数据源'!$D:$D,$E88,'12月数据源'!$F:$F,"SMART AI LIMITED")*Q$185+SUMIFS('12月数据源'!$J:$J,'12月数据源'!$D:$D,$E88,'12月数据源'!$F:$F,"SMART AI LIMITED")*Q$185</f>
        <v/>
      </c>
    </row>
    <row r="89" s="83">
      <c r="A89" s="5" t="inlineStr">
        <is>
          <t>研发支出</t>
        </is>
      </c>
      <c r="B89" s="6" t="inlineStr">
        <is>
          <t>服务器算法充值</t>
        </is>
      </c>
      <c r="D89" s="5" t="inlineStr">
        <is>
          <t>kimi充值费用</t>
        </is>
      </c>
      <c r="E89" s="6" t="inlineStr">
        <is>
          <t>Q1503</t>
        </is>
      </c>
      <c r="F89" s="89">
        <f>-SUMIFS('1月数据源'!$I:$I,'1月数据源'!$D:$D,$E89,'1月数据源'!$F:$F,"SMART AI LIMITED")*F$185+SUMIFS('1月数据源'!$J:$J,'1月数据源'!$D:$D,$E89,'1月数据源'!$F:$F,"SMART AI LIMITED")*F$185</f>
        <v/>
      </c>
      <c r="G89" s="89">
        <f>-SUMIFS('2月数据源'!$I:$I,'2月数据源'!$D:$D,$E89,'2月数据源'!$F:$F,"SMART AI LIMITED")*G$185+SUMIFS('2月数据源'!$J:$J,'2月数据源'!$D:$D,$E89,'2月数据源'!$F:$F,"SMART AI LIMITED")*G$185</f>
        <v/>
      </c>
      <c r="H89" s="89">
        <f>-SUMIFS('3月数据源'!$I:$I,'3月数据源'!$D:$D,$E89,'3月数据源'!$F:$F,"SMART AI LIMITED")*H$185+SUMIFS('3月数据源'!$J:$J,'3月数据源'!$D:$D,$E89,'3月数据源'!$F:$F,"SMART AI LIMITED")*H$185</f>
        <v/>
      </c>
      <c r="I89" s="89">
        <f>-SUMIFS('4月数据源'!$I:$I,'4月数据源'!$D:$D,$E89,'4月数据源'!$F:$F,"SMART AI LIMITED")*I$185+SUMIFS('4月数据源'!$J:$J,'4月数据源'!$D:$D,$E89,'4月数据源'!$F:$F,"SMART AI LIMITED")*I$185</f>
        <v/>
      </c>
      <c r="J89" s="89">
        <f>-SUMIFS('5月数据源'!$I:$I,'5月数据源'!$D:$D,$E89,'5月数据源'!$F:$F,"SMART AI LIMITED")*J$185+SUMIFS('5月数据源'!$J:$J,'5月数据源'!$D:$D,$E89,'5月数据源'!$F:$F,"SMART AI LIMITED")*J$185</f>
        <v/>
      </c>
      <c r="K89" s="89">
        <f>-SUMIFS('6月数据源'!$I:$I,'6月数据源'!$D:$D,$E89,'6月数据源'!$F:$F,"SMART AI LIMITED")*K$185+SUMIFS('6月数据源'!$J:$J,'6月数据源'!$D:$D,$E89,'6月数据源'!$F:$F,"SMART AI LIMITED")*K$185</f>
        <v/>
      </c>
      <c r="L89" s="89">
        <f>-SUMIFS('7月数据源'!$I:$I,'7月数据源'!$D:$D,$E89,'7月数据源'!$F:$F,"SMART AI LIMITED")*L$185+SUMIFS('7月数据源'!$J:$J,'7月数据源'!$D:$D,$E89,'7月数据源'!$F:$F,"SMART AI LIMITED")*L$185</f>
        <v/>
      </c>
      <c r="M89" s="89">
        <f>-SUMIFS('8月数据源'!$I:$I,'8月数据源'!$D:$D,$E89,'8月数据源'!$F:$F,"SMART AI LIMITED")*M$185+SUMIFS('8月数据源'!$J:$J,'8月数据源'!$D:$D,$E89,'8月数据源'!$F:$F,"SMART AI LIMITED")*M$185</f>
        <v/>
      </c>
      <c r="N89" s="89">
        <f>-SUMIFS('9月数据源'!$I:$I,'9月数据源'!$D:$D,$E89,'9月数据源'!$F:$F,"SMART AI LIMITED")*N$185+SUMIFS('9月数据源'!$J:$J,'9月数据源'!$D:$D,$E89,'9月数据源'!$F:$F,"SMART AI LIMITED")*N$185</f>
        <v/>
      </c>
      <c r="O89" s="89">
        <f>-SUMIFS('10月数据源'!$I:$I,'10月数据源'!$D:$D,$E89,'10月数据源'!$F:$F,"SMART AI LIMITED")*O$185+SUMIFS('10月数据源'!$J:$J,'10月数据源'!$D:$D,$E89,'10月数据源'!$F:$F,"SMART AI LIMITED")*O$185</f>
        <v/>
      </c>
      <c r="P89" s="89">
        <f>-SUMIFS('11月数据源'!$I:$I,'11月数据源'!$D:$D,$E89,'11月数据源'!$F:$F,"SMART AI LIMITED")*P$185+SUMIFS('11月数据源'!$J:$J,'11月数据源'!$D:$D,$E89,'11月数据源'!$F:$F,"SMART AI LIMITED")*P$185</f>
        <v/>
      </c>
      <c r="Q89" s="89">
        <f>-SUMIFS('12月数据源'!$I:$I,'12月数据源'!$D:$D,$E89,'12月数据源'!$F:$F,"SMART AI LIMITED")*Q$185+SUMIFS('12月数据源'!$J:$J,'12月数据源'!$D:$D,$E89,'12月数据源'!$F:$F,"SMART AI LIMITED")*Q$185</f>
        <v/>
      </c>
    </row>
    <row r="90" s="83">
      <c r="A90" s="5" t="inlineStr">
        <is>
          <t>研发支出</t>
        </is>
      </c>
      <c r="B90" s="6" t="inlineStr">
        <is>
          <t>服务器算法充值</t>
        </is>
      </c>
      <c r="D90" s="5" t="inlineStr">
        <is>
          <t>智普AI充值费用</t>
        </is>
      </c>
      <c r="E90" s="6" t="inlineStr">
        <is>
          <t>Q1504</t>
        </is>
      </c>
      <c r="F90" s="89">
        <f>-SUMIFS('1月数据源'!$I:$I,'1月数据源'!$D:$D,$E90,'1月数据源'!$F:$F,"SMART AI LIMITED")*F$185+SUMIFS('1月数据源'!$J:$J,'1月数据源'!$D:$D,$E90,'1月数据源'!$F:$F,"SMART AI LIMITED")*F$185</f>
        <v/>
      </c>
      <c r="G90" s="89">
        <f>-SUMIFS('2月数据源'!$I:$I,'2月数据源'!$D:$D,$E90,'2月数据源'!$F:$F,"SMART AI LIMITED")*G$185+SUMIFS('2月数据源'!$J:$J,'2月数据源'!$D:$D,$E90,'2月数据源'!$F:$F,"SMART AI LIMITED")*G$185</f>
        <v/>
      </c>
      <c r="H90" s="89">
        <f>-SUMIFS('3月数据源'!$I:$I,'3月数据源'!$D:$D,$E90,'3月数据源'!$F:$F,"SMART AI LIMITED")*H$185+SUMIFS('3月数据源'!$J:$J,'3月数据源'!$D:$D,$E90,'3月数据源'!$F:$F,"SMART AI LIMITED")*H$185</f>
        <v/>
      </c>
      <c r="I90" s="89">
        <f>-SUMIFS('4月数据源'!$I:$I,'4月数据源'!$D:$D,$E90,'4月数据源'!$F:$F,"SMART AI LIMITED")*I$185+SUMIFS('4月数据源'!$J:$J,'4月数据源'!$D:$D,$E90,'4月数据源'!$F:$F,"SMART AI LIMITED")*I$185</f>
        <v/>
      </c>
      <c r="J90" s="89">
        <f>-SUMIFS('5月数据源'!$I:$I,'5月数据源'!$D:$D,$E90,'5月数据源'!$F:$F,"SMART AI LIMITED")*J$185+SUMIFS('5月数据源'!$J:$J,'5月数据源'!$D:$D,$E90,'5月数据源'!$F:$F,"SMART AI LIMITED")*J$185</f>
        <v/>
      </c>
      <c r="K90" s="89">
        <f>-SUMIFS('6月数据源'!$I:$I,'6月数据源'!$D:$D,$E90,'6月数据源'!$F:$F,"SMART AI LIMITED")*K$185+SUMIFS('6月数据源'!$J:$J,'6月数据源'!$D:$D,$E90,'6月数据源'!$F:$F,"SMART AI LIMITED")*K$185</f>
        <v/>
      </c>
      <c r="L90" s="89">
        <f>-SUMIFS('7月数据源'!$I:$I,'7月数据源'!$D:$D,$E90,'7月数据源'!$F:$F,"SMART AI LIMITED")*L$185+SUMIFS('7月数据源'!$J:$J,'7月数据源'!$D:$D,$E90,'7月数据源'!$F:$F,"SMART AI LIMITED")*L$185</f>
        <v/>
      </c>
      <c r="M90" s="89">
        <f>-SUMIFS('8月数据源'!$I:$I,'8月数据源'!$D:$D,$E90,'8月数据源'!$F:$F,"SMART AI LIMITED")*M$185+SUMIFS('8月数据源'!$J:$J,'8月数据源'!$D:$D,$E90,'8月数据源'!$F:$F,"SMART AI LIMITED")*M$185</f>
        <v/>
      </c>
      <c r="N90" s="89">
        <f>-SUMIFS('9月数据源'!$I:$I,'9月数据源'!$D:$D,$E90,'9月数据源'!$F:$F,"SMART AI LIMITED")*N$185+SUMIFS('9月数据源'!$J:$J,'9月数据源'!$D:$D,$E90,'9月数据源'!$F:$F,"SMART AI LIMITED")*N$185</f>
        <v/>
      </c>
      <c r="O90" s="89">
        <f>-SUMIFS('10月数据源'!$I:$I,'10月数据源'!$D:$D,$E90,'10月数据源'!$F:$F,"SMART AI LIMITED")*O$185+SUMIFS('10月数据源'!$J:$J,'10月数据源'!$D:$D,$E90,'10月数据源'!$F:$F,"SMART AI LIMITED")*O$185</f>
        <v/>
      </c>
      <c r="P90" s="89">
        <f>-SUMIFS('11月数据源'!$I:$I,'11月数据源'!$D:$D,$E90,'11月数据源'!$F:$F,"SMART AI LIMITED")*P$185+SUMIFS('11月数据源'!$J:$J,'11月数据源'!$D:$D,$E90,'11月数据源'!$F:$F,"SMART AI LIMITED")*P$185</f>
        <v/>
      </c>
      <c r="Q90" s="89">
        <f>-SUMIFS('12月数据源'!$I:$I,'12月数据源'!$D:$D,$E90,'12月数据源'!$F:$F,"SMART AI LIMITED")*Q$185+SUMIFS('12月数据源'!$J:$J,'12月数据源'!$D:$D,$E90,'12月数据源'!$F:$F,"SMART AI LIMITED")*Q$185</f>
        <v/>
      </c>
    </row>
    <row r="91" s="83">
      <c r="A91" s="5" t="inlineStr">
        <is>
          <t>研发支出</t>
        </is>
      </c>
      <c r="B91" s="6" t="inlineStr">
        <is>
          <t>服务器算法充值</t>
        </is>
      </c>
      <c r="D91" s="5" t="inlineStr">
        <is>
          <t>硅基流动充值费用</t>
        </is>
      </c>
      <c r="E91" s="6" t="inlineStr">
        <is>
          <t>Q1506</t>
        </is>
      </c>
      <c r="F91" s="89">
        <f>-SUMIFS('1月数据源'!$I:$I,'1月数据源'!$D:$D,$E91,'1月数据源'!$F:$F,"SMART AI LIMITED")*F$185+SUMIFS('1月数据源'!$J:$J,'1月数据源'!$D:$D,$E91,'1月数据源'!$F:$F,"SMART AI LIMITED")*F$185</f>
        <v/>
      </c>
      <c r="G91" s="89">
        <f>-SUMIFS('2月数据源'!$I:$I,'2月数据源'!$D:$D,$E91,'2月数据源'!$F:$F,"SMART AI LIMITED")*G$185+SUMIFS('2月数据源'!$J:$J,'2月数据源'!$D:$D,$E91,'2月数据源'!$F:$F,"SMART AI LIMITED")*G$185</f>
        <v/>
      </c>
      <c r="H91" s="89">
        <f>-SUMIFS('3月数据源'!$I:$I,'3月数据源'!$D:$D,$E91,'3月数据源'!$F:$F,"SMART AI LIMITED")*H$185+SUMIFS('3月数据源'!$J:$J,'3月数据源'!$D:$D,$E91,'3月数据源'!$F:$F,"SMART AI LIMITED")*H$185</f>
        <v/>
      </c>
      <c r="I91" s="89">
        <f>-SUMIFS('4月数据源'!$I:$I,'4月数据源'!$D:$D,$E91,'4月数据源'!$F:$F,"SMART AI LIMITED")*I$185+SUMIFS('4月数据源'!$J:$J,'4月数据源'!$D:$D,$E91,'4月数据源'!$F:$F,"SMART AI LIMITED")*I$185</f>
        <v/>
      </c>
      <c r="J91" s="89">
        <f>-SUMIFS('5月数据源'!$I:$I,'5月数据源'!$D:$D,$E91,'5月数据源'!$F:$F,"SMART AI LIMITED")*J$185+SUMIFS('5月数据源'!$J:$J,'5月数据源'!$D:$D,$E91,'5月数据源'!$F:$F,"SMART AI LIMITED")*J$185</f>
        <v/>
      </c>
      <c r="K91" s="89">
        <f>-SUMIFS('6月数据源'!$I:$I,'6月数据源'!$D:$D,$E91,'6月数据源'!$F:$F,"SMART AI LIMITED")*K$185+SUMIFS('6月数据源'!$J:$J,'6月数据源'!$D:$D,$E91,'6月数据源'!$F:$F,"SMART AI LIMITED")*K$185</f>
        <v/>
      </c>
      <c r="L91" s="89">
        <f>-SUMIFS('7月数据源'!$I:$I,'7月数据源'!$D:$D,$E91,'7月数据源'!$F:$F,"SMART AI LIMITED")*L$185+SUMIFS('7月数据源'!$J:$J,'7月数据源'!$D:$D,$E91,'7月数据源'!$F:$F,"SMART AI LIMITED")*L$185</f>
        <v/>
      </c>
      <c r="M91" s="89">
        <f>-SUMIFS('8月数据源'!$I:$I,'8月数据源'!$D:$D,$E91,'8月数据源'!$F:$F,"SMART AI LIMITED")*M$185+SUMIFS('8月数据源'!$J:$J,'8月数据源'!$D:$D,$E91,'8月数据源'!$F:$F,"SMART AI LIMITED")*M$185</f>
        <v/>
      </c>
      <c r="N91" s="89">
        <f>-SUMIFS('9月数据源'!$I:$I,'9月数据源'!$D:$D,$E91,'9月数据源'!$F:$F,"SMART AI LIMITED")*N$185+SUMIFS('9月数据源'!$J:$J,'9月数据源'!$D:$D,$E91,'9月数据源'!$F:$F,"SMART AI LIMITED")*N$185</f>
        <v/>
      </c>
      <c r="O91" s="89">
        <f>-SUMIFS('10月数据源'!$I:$I,'10月数据源'!$D:$D,$E91,'10月数据源'!$F:$F,"SMART AI LIMITED")*O$185+SUMIFS('10月数据源'!$J:$J,'10月数据源'!$D:$D,$E91,'10月数据源'!$F:$F,"SMART AI LIMITED")*O$185</f>
        <v/>
      </c>
      <c r="P91" s="89">
        <f>-SUMIFS('11月数据源'!$I:$I,'11月数据源'!$D:$D,$E91,'11月数据源'!$F:$F,"SMART AI LIMITED")*P$185+SUMIFS('11月数据源'!$J:$J,'11月数据源'!$D:$D,$E91,'11月数据源'!$F:$F,"SMART AI LIMITED")*P$185</f>
        <v/>
      </c>
      <c r="Q91" s="89">
        <f>-SUMIFS('12月数据源'!$I:$I,'12月数据源'!$D:$D,$E91,'12月数据源'!$F:$F,"SMART AI LIMITED")*Q$185+SUMIFS('12月数据源'!$J:$J,'12月数据源'!$D:$D,$E91,'12月数据源'!$F:$F,"SMART AI LIMITED")*Q$185</f>
        <v/>
      </c>
    </row>
    <row r="92" s="83">
      <c r="A92" s="5" t="inlineStr">
        <is>
          <t>研发支出</t>
        </is>
      </c>
      <c r="B92" s="6" t="inlineStr">
        <is>
          <t>服务器算法充值</t>
        </is>
      </c>
      <c r="D92" s="5" t="inlineStr">
        <is>
          <t>无问芯穹充值费用</t>
        </is>
      </c>
      <c r="E92" s="6" t="inlineStr">
        <is>
          <t>Q1507</t>
        </is>
      </c>
      <c r="F92" s="89">
        <f>-SUMIFS('1月数据源'!$I:$I,'1月数据源'!$D:$D,$E92,'1月数据源'!$F:$F,"SMART AI LIMITED")*F$185+SUMIFS('1月数据源'!$J:$J,'1月数据源'!$D:$D,$E92,'1月数据源'!$F:$F,"SMART AI LIMITED")*F$185</f>
        <v/>
      </c>
      <c r="G92" s="89">
        <f>-SUMIFS('2月数据源'!$I:$I,'2月数据源'!$D:$D,$E92,'2月数据源'!$F:$F,"SMART AI LIMITED")*G$185+SUMIFS('2月数据源'!$J:$J,'2月数据源'!$D:$D,$E92,'2月数据源'!$F:$F,"SMART AI LIMITED")*G$185</f>
        <v/>
      </c>
      <c r="H92" s="89">
        <f>-SUMIFS('3月数据源'!$I:$I,'3月数据源'!$D:$D,$E92,'3月数据源'!$F:$F,"SMART AI LIMITED")*H$185+SUMIFS('3月数据源'!$J:$J,'3月数据源'!$D:$D,$E92,'3月数据源'!$F:$F,"SMART AI LIMITED")*H$185</f>
        <v/>
      </c>
      <c r="I92" s="89">
        <f>-SUMIFS('4月数据源'!$I:$I,'4月数据源'!$D:$D,$E92,'4月数据源'!$F:$F,"SMART AI LIMITED")*I$185+SUMIFS('4月数据源'!$J:$J,'4月数据源'!$D:$D,$E92,'4月数据源'!$F:$F,"SMART AI LIMITED")*I$185</f>
        <v/>
      </c>
      <c r="J92" s="89">
        <f>-SUMIFS('5月数据源'!$I:$I,'5月数据源'!$D:$D,$E92,'5月数据源'!$F:$F,"SMART AI LIMITED")*J$185+SUMIFS('5月数据源'!$J:$J,'5月数据源'!$D:$D,$E92,'5月数据源'!$F:$F,"SMART AI LIMITED")*J$185</f>
        <v/>
      </c>
      <c r="K92" s="89">
        <f>-SUMIFS('6月数据源'!$I:$I,'6月数据源'!$D:$D,$E92,'6月数据源'!$F:$F,"SMART AI LIMITED")*K$185+SUMIFS('6月数据源'!$J:$J,'6月数据源'!$D:$D,$E92,'6月数据源'!$F:$F,"SMART AI LIMITED")*K$185</f>
        <v/>
      </c>
      <c r="L92" s="89">
        <f>-SUMIFS('7月数据源'!$I:$I,'7月数据源'!$D:$D,$E92,'7月数据源'!$F:$F,"SMART AI LIMITED")*L$185+SUMIFS('7月数据源'!$J:$J,'7月数据源'!$D:$D,$E92,'7月数据源'!$F:$F,"SMART AI LIMITED")*L$185</f>
        <v/>
      </c>
      <c r="M92" s="89">
        <f>-SUMIFS('8月数据源'!$I:$I,'8月数据源'!$D:$D,$E92,'8月数据源'!$F:$F,"SMART AI LIMITED")*M$185+SUMIFS('8月数据源'!$J:$J,'8月数据源'!$D:$D,$E92,'8月数据源'!$F:$F,"SMART AI LIMITED")*M$185</f>
        <v/>
      </c>
      <c r="N92" s="89">
        <f>-SUMIFS('9月数据源'!$I:$I,'9月数据源'!$D:$D,$E92,'9月数据源'!$F:$F,"SMART AI LIMITED")*N$185+SUMIFS('9月数据源'!$J:$J,'9月数据源'!$D:$D,$E92,'9月数据源'!$F:$F,"SMART AI LIMITED")*N$185</f>
        <v/>
      </c>
      <c r="O92" s="89">
        <f>-SUMIFS('10月数据源'!$I:$I,'10月数据源'!$D:$D,$E92,'10月数据源'!$F:$F,"SMART AI LIMITED")*O$185+SUMIFS('10月数据源'!$J:$J,'10月数据源'!$D:$D,$E92,'10月数据源'!$F:$F,"SMART AI LIMITED")*O$185</f>
        <v/>
      </c>
      <c r="P92" s="89">
        <f>-SUMIFS('11月数据源'!$I:$I,'11月数据源'!$D:$D,$E92,'11月数据源'!$F:$F,"SMART AI LIMITED")*P$185+SUMIFS('11月数据源'!$J:$J,'11月数据源'!$D:$D,$E92,'11月数据源'!$F:$F,"SMART AI LIMITED")*P$185</f>
        <v/>
      </c>
      <c r="Q92" s="89">
        <f>-SUMIFS('12月数据源'!$I:$I,'12月数据源'!$D:$D,$E92,'12月数据源'!$F:$F,"SMART AI LIMITED")*Q$185+SUMIFS('12月数据源'!$J:$J,'12月数据源'!$D:$D,$E92,'12月数据源'!$F:$F,"SMART AI LIMITED")*Q$185</f>
        <v/>
      </c>
    </row>
    <row r="93" s="83">
      <c r="A93" s="5" t="inlineStr">
        <is>
          <t>研发支出</t>
        </is>
      </c>
      <c r="B93" s="6" t="inlineStr">
        <is>
          <t>服务器算法充值</t>
        </is>
      </c>
      <c r="D93" s="5" t="inlineStr">
        <is>
          <t>其他服务器算法充值</t>
        </is>
      </c>
      <c r="E93" s="6" t="inlineStr">
        <is>
          <t>Q1505</t>
        </is>
      </c>
      <c r="F93" s="89">
        <f>-SUMIFS('1月数据源'!$I:$I,'1月数据源'!$D:$D,$E93,'1月数据源'!$F:$F,"SMART AI LIMITED")*F$185+SUMIFS('1月数据源'!$J:$J,'1月数据源'!$D:$D,$E93,'1月数据源'!$F:$F,"SMART AI LIMITED")*F$185</f>
        <v/>
      </c>
      <c r="G93" s="89">
        <f>-SUMIFS('2月数据源'!$I:$I,'2月数据源'!$D:$D,$E93,'2月数据源'!$F:$F,"SMART AI LIMITED")*G$185+SUMIFS('2月数据源'!$J:$J,'2月数据源'!$D:$D,$E93,'2月数据源'!$F:$F,"SMART AI LIMITED")*G$185</f>
        <v/>
      </c>
      <c r="H93" s="89">
        <f>-SUMIFS('3月数据源'!$I:$I,'3月数据源'!$D:$D,$E93,'3月数据源'!$F:$F,"SMART AI LIMITED")*H$185+SUMIFS('3月数据源'!$J:$J,'3月数据源'!$D:$D,$E93,'3月数据源'!$F:$F,"SMART AI LIMITED")*H$185</f>
        <v/>
      </c>
      <c r="I93" s="89">
        <f>-SUMIFS('4月数据源'!$I:$I,'4月数据源'!$D:$D,$E93,'4月数据源'!$F:$F,"SMART AI LIMITED")*I$185+SUMIFS('4月数据源'!$J:$J,'4月数据源'!$D:$D,$E93,'4月数据源'!$F:$F,"SMART AI LIMITED")*I$185</f>
        <v/>
      </c>
      <c r="J93" s="89">
        <f>-SUMIFS('5月数据源'!$I:$I,'5月数据源'!$D:$D,$E93,'5月数据源'!$F:$F,"SMART AI LIMITED")*J$185+SUMIFS('5月数据源'!$J:$J,'5月数据源'!$D:$D,$E93,'5月数据源'!$F:$F,"SMART AI LIMITED")*J$185</f>
        <v/>
      </c>
      <c r="K93" s="89">
        <f>-SUMIFS('6月数据源'!$I:$I,'6月数据源'!$D:$D,$E93,'6月数据源'!$F:$F,"SMART AI LIMITED")*K$185+SUMIFS('6月数据源'!$J:$J,'6月数据源'!$D:$D,$E93,'6月数据源'!$F:$F,"SMART AI LIMITED")*K$185</f>
        <v/>
      </c>
      <c r="L93" s="89">
        <f>-SUMIFS('7月数据源'!$I:$I,'7月数据源'!$D:$D,$E93,'7月数据源'!$F:$F,"SMART AI LIMITED")*L$185+SUMIFS('7月数据源'!$J:$J,'7月数据源'!$D:$D,$E93,'7月数据源'!$F:$F,"SMART AI LIMITED")*L$185</f>
        <v/>
      </c>
      <c r="M93" s="89">
        <f>-SUMIFS('8月数据源'!$I:$I,'8月数据源'!$D:$D,$E93,'8月数据源'!$F:$F,"SMART AI LIMITED")*M$185+SUMIFS('8月数据源'!$J:$J,'8月数据源'!$D:$D,$E93,'8月数据源'!$F:$F,"SMART AI LIMITED")*M$185</f>
        <v/>
      </c>
      <c r="N93" s="89">
        <f>-SUMIFS('9月数据源'!$I:$I,'9月数据源'!$D:$D,$E93,'9月数据源'!$F:$F,"SMART AI LIMITED")*N$185+SUMIFS('9月数据源'!$J:$J,'9月数据源'!$D:$D,$E93,'9月数据源'!$F:$F,"SMART AI LIMITED")*N$185</f>
        <v/>
      </c>
      <c r="O93" s="89">
        <f>-SUMIFS('10月数据源'!$I:$I,'10月数据源'!$D:$D,$E93,'10月数据源'!$F:$F,"SMART AI LIMITED")*O$185+SUMIFS('10月数据源'!$J:$J,'10月数据源'!$D:$D,$E93,'10月数据源'!$F:$F,"SMART AI LIMITED")*O$185</f>
        <v/>
      </c>
      <c r="P93" s="89">
        <f>-SUMIFS('11月数据源'!$I:$I,'11月数据源'!$D:$D,$E93,'11月数据源'!$F:$F,"SMART AI LIMITED")*P$185+SUMIFS('11月数据源'!$J:$J,'11月数据源'!$D:$D,$E93,'11月数据源'!$F:$F,"SMART AI LIMITED")*P$185</f>
        <v/>
      </c>
      <c r="Q93" s="89">
        <f>-SUMIFS('12月数据源'!$I:$I,'12月数据源'!$D:$D,$E93,'12月数据源'!$F:$F,"SMART AI LIMITED")*Q$185+SUMIFS('12月数据源'!$J:$J,'12月数据源'!$D:$D,$E93,'12月数据源'!$F:$F,"SMART AI LIMITED")*Q$185</f>
        <v/>
      </c>
    </row>
    <row r="94" s="83">
      <c r="A94" s="5" t="inlineStr">
        <is>
          <t>研发支出</t>
        </is>
      </c>
      <c r="B94" s="6" t="inlineStr">
        <is>
          <t>研发-服务费</t>
        </is>
      </c>
      <c r="C94" s="6" t="inlineStr">
        <is>
          <t>研发-服务费</t>
        </is>
      </c>
      <c r="D94" s="5" t="inlineStr">
        <is>
          <t>设计外包服务费</t>
        </is>
      </c>
      <c r="E94" s="6" t="inlineStr">
        <is>
          <t>Q1601</t>
        </is>
      </c>
      <c r="F94" s="89">
        <f>-SUMIFS('1月数据源'!$I:$I,'1月数据源'!$D:$D,$E94,'1月数据源'!$F:$F,"SMART AI LIMITED")*F$185+SUMIFS('1月数据源'!$J:$J,'1月数据源'!$D:$D,$E94,'1月数据源'!$F:$F,"SMART AI LIMITED")*F$185</f>
        <v/>
      </c>
      <c r="G94" s="89">
        <f>-SUMIFS('2月数据源'!$I:$I,'2月数据源'!$D:$D,$E94,'2月数据源'!$F:$F,"SMART AI LIMITED")*G$185+SUMIFS('2月数据源'!$J:$J,'2月数据源'!$D:$D,$E94,'2月数据源'!$F:$F,"SMART AI LIMITED")*G$185</f>
        <v/>
      </c>
      <c r="H94" s="89">
        <f>-SUMIFS('3月数据源'!$I:$I,'3月数据源'!$D:$D,$E94,'3月数据源'!$F:$F,"SMART AI LIMITED")*H$185+SUMIFS('3月数据源'!$J:$J,'3月数据源'!$D:$D,$E94,'3月数据源'!$F:$F,"SMART AI LIMITED")*H$185</f>
        <v/>
      </c>
      <c r="I94" s="89">
        <f>-SUMIFS('4月数据源'!$I:$I,'4月数据源'!$D:$D,$E94,'4月数据源'!$F:$F,"SMART AI LIMITED")*I$185+SUMIFS('4月数据源'!$J:$J,'4月数据源'!$D:$D,$E94,'4月数据源'!$F:$F,"SMART AI LIMITED")*I$185</f>
        <v/>
      </c>
      <c r="J94" s="89">
        <f>-SUMIFS('5月数据源'!$I:$I,'5月数据源'!$D:$D,$E94,'5月数据源'!$F:$F,"SMART AI LIMITED")*J$185+SUMIFS('5月数据源'!$J:$J,'5月数据源'!$D:$D,$E94,'5月数据源'!$F:$F,"SMART AI LIMITED")*J$185</f>
        <v/>
      </c>
      <c r="K94" s="89">
        <f>-SUMIFS('6月数据源'!$I:$I,'6月数据源'!$D:$D,$E94,'6月数据源'!$F:$F,"SMART AI LIMITED")*K$185+SUMIFS('6月数据源'!$J:$J,'6月数据源'!$D:$D,$E94,'6月数据源'!$F:$F,"SMART AI LIMITED")*K$185</f>
        <v/>
      </c>
      <c r="L94" s="89">
        <f>-SUMIFS('7月数据源'!$I:$I,'7月数据源'!$D:$D,$E94,'7月数据源'!$F:$F,"SMART AI LIMITED")*L$185+SUMIFS('7月数据源'!$J:$J,'7月数据源'!$D:$D,$E94,'7月数据源'!$F:$F,"SMART AI LIMITED")*L$185</f>
        <v/>
      </c>
      <c r="M94" s="89">
        <f>-SUMIFS('8月数据源'!$I:$I,'8月数据源'!$D:$D,$E94,'8月数据源'!$F:$F,"SMART AI LIMITED")*M$185+SUMIFS('8月数据源'!$J:$J,'8月数据源'!$D:$D,$E94,'8月数据源'!$F:$F,"SMART AI LIMITED")*M$185</f>
        <v/>
      </c>
      <c r="N94" s="89">
        <f>-SUMIFS('9月数据源'!$I:$I,'9月数据源'!$D:$D,$E94,'9月数据源'!$F:$F,"SMART AI LIMITED")*N$185+SUMIFS('9月数据源'!$J:$J,'9月数据源'!$D:$D,$E94,'9月数据源'!$F:$F,"SMART AI LIMITED")*N$185</f>
        <v/>
      </c>
      <c r="O94" s="89">
        <f>-SUMIFS('10月数据源'!$I:$I,'10月数据源'!$D:$D,$E94,'10月数据源'!$F:$F,"SMART AI LIMITED")*O$185+SUMIFS('10月数据源'!$J:$J,'10月数据源'!$D:$D,$E94,'10月数据源'!$F:$F,"SMART AI LIMITED")*O$185</f>
        <v/>
      </c>
      <c r="P94" s="89">
        <f>-SUMIFS('11月数据源'!$I:$I,'11月数据源'!$D:$D,$E94,'11月数据源'!$F:$F,"SMART AI LIMITED")*P$185+SUMIFS('11月数据源'!$J:$J,'11月数据源'!$D:$D,$E94,'11月数据源'!$F:$F,"SMART AI LIMITED")*P$185</f>
        <v/>
      </c>
      <c r="Q94" s="89">
        <f>-SUMIFS('12月数据源'!$I:$I,'12月数据源'!$D:$D,$E94,'12月数据源'!$F:$F,"SMART AI LIMITED")*Q$185+SUMIFS('12月数据源'!$J:$J,'12月数据源'!$D:$D,$E94,'12月数据源'!$F:$F,"SMART AI LIMITED")*Q$185</f>
        <v/>
      </c>
    </row>
    <row r="95" s="83">
      <c r="A95" s="5" t="inlineStr">
        <is>
          <t>研发支出</t>
        </is>
      </c>
      <c r="B95" s="6" t="inlineStr">
        <is>
          <t>研发-服务费</t>
        </is>
      </c>
      <c r="D95" s="5" t="inlineStr">
        <is>
          <t>AI技术外包服务费</t>
        </is>
      </c>
      <c r="E95" s="6" t="inlineStr">
        <is>
          <t>Q1602</t>
        </is>
      </c>
      <c r="F95" s="89">
        <f>-SUMIFS('1月数据源'!$I:$I,'1月数据源'!$D:$D,$E95,'1月数据源'!$F:$F,"SMART AI LIMITED")*F$185+SUMIFS('1月数据源'!$J:$J,'1月数据源'!$D:$D,$E95,'1月数据源'!$F:$F,"SMART AI LIMITED")*F$185</f>
        <v/>
      </c>
      <c r="G95" s="89">
        <f>-SUMIFS('2月数据源'!$I:$I,'2月数据源'!$D:$D,$E95,'2月数据源'!$F:$F,"SMART AI LIMITED")*G$185+SUMIFS('2月数据源'!$J:$J,'2月数据源'!$D:$D,$E95,'2月数据源'!$F:$F,"SMART AI LIMITED")*G$185</f>
        <v/>
      </c>
      <c r="H95" s="89">
        <f>-SUMIFS('3月数据源'!$I:$I,'3月数据源'!$D:$D,$E95,'3月数据源'!$F:$F,"SMART AI LIMITED")*H$185+SUMIFS('3月数据源'!$J:$J,'3月数据源'!$D:$D,$E95,'3月数据源'!$F:$F,"SMART AI LIMITED")*H$185</f>
        <v/>
      </c>
      <c r="I95" s="89">
        <f>-SUMIFS('4月数据源'!$I:$I,'4月数据源'!$D:$D,$E95,'4月数据源'!$F:$F,"SMART AI LIMITED")*I$185+SUMIFS('4月数据源'!$J:$J,'4月数据源'!$D:$D,$E95,'4月数据源'!$F:$F,"SMART AI LIMITED")*I$185</f>
        <v/>
      </c>
      <c r="J95" s="89">
        <f>-SUMIFS('5月数据源'!$I:$I,'5月数据源'!$D:$D,$E95,'5月数据源'!$F:$F,"SMART AI LIMITED")*J$185+SUMIFS('5月数据源'!$J:$J,'5月数据源'!$D:$D,$E95,'5月数据源'!$F:$F,"SMART AI LIMITED")*J$185</f>
        <v/>
      </c>
      <c r="K95" s="89">
        <f>-SUMIFS('6月数据源'!$I:$I,'6月数据源'!$D:$D,$E95,'6月数据源'!$F:$F,"SMART AI LIMITED")*K$185+SUMIFS('6月数据源'!$J:$J,'6月数据源'!$D:$D,$E95,'6月数据源'!$F:$F,"SMART AI LIMITED")*K$185</f>
        <v/>
      </c>
      <c r="L95" s="89">
        <f>-SUMIFS('7月数据源'!$I:$I,'7月数据源'!$D:$D,$E95,'7月数据源'!$F:$F,"SMART AI LIMITED")*L$185+SUMIFS('7月数据源'!$J:$J,'7月数据源'!$D:$D,$E95,'7月数据源'!$F:$F,"SMART AI LIMITED")*L$185</f>
        <v/>
      </c>
      <c r="M95" s="89">
        <f>-SUMIFS('8月数据源'!$I:$I,'8月数据源'!$D:$D,$E95,'8月数据源'!$F:$F,"SMART AI LIMITED")*M$185+SUMIFS('8月数据源'!$J:$J,'8月数据源'!$D:$D,$E95,'8月数据源'!$F:$F,"SMART AI LIMITED")*M$185</f>
        <v/>
      </c>
      <c r="N95" s="89">
        <f>-SUMIFS('9月数据源'!$I:$I,'9月数据源'!$D:$D,$E95,'9月数据源'!$F:$F,"SMART AI LIMITED")*N$185+SUMIFS('9月数据源'!$J:$J,'9月数据源'!$D:$D,$E95,'9月数据源'!$F:$F,"SMART AI LIMITED")*N$185</f>
        <v/>
      </c>
      <c r="O95" s="89">
        <f>-SUMIFS('10月数据源'!$I:$I,'10月数据源'!$D:$D,$E95,'10月数据源'!$F:$F,"SMART AI LIMITED")*O$185+SUMIFS('10月数据源'!$J:$J,'10月数据源'!$D:$D,$E95,'10月数据源'!$F:$F,"SMART AI LIMITED")*O$185</f>
        <v/>
      </c>
      <c r="P95" s="89">
        <f>-SUMIFS('11月数据源'!$I:$I,'11月数据源'!$D:$D,$E95,'11月数据源'!$F:$F,"SMART AI LIMITED")*P$185+SUMIFS('11月数据源'!$J:$J,'11月数据源'!$D:$D,$E95,'11月数据源'!$F:$F,"SMART AI LIMITED")*P$185</f>
        <v/>
      </c>
      <c r="Q95" s="89">
        <f>-SUMIFS('12月数据源'!$I:$I,'12月数据源'!$D:$D,$E95,'12月数据源'!$F:$F,"SMART AI LIMITED")*Q$185+SUMIFS('12月数据源'!$J:$J,'12月数据源'!$D:$D,$E95,'12月数据源'!$F:$F,"SMART AI LIMITED")*Q$185</f>
        <v/>
      </c>
    </row>
    <row r="96" s="83">
      <c r="A96" s="5" t="inlineStr">
        <is>
          <t>研发支出</t>
        </is>
      </c>
      <c r="B96" s="6" t="inlineStr">
        <is>
          <t>研发-服务费</t>
        </is>
      </c>
      <c r="D96" s="5" t="inlineStr">
        <is>
          <t>知识产权服务费</t>
        </is>
      </c>
      <c r="E96" s="6" t="inlineStr">
        <is>
          <t>Q1603</t>
        </is>
      </c>
      <c r="F96" s="89">
        <f>-SUMIFS('1月数据源'!$I:$I,'1月数据源'!$D:$D,$E96,'1月数据源'!$F:$F,"SMART AI LIMITED")*F$185+SUMIFS('1月数据源'!$J:$J,'1月数据源'!$D:$D,$E96,'1月数据源'!$F:$F,"SMART AI LIMITED")*F$185</f>
        <v/>
      </c>
      <c r="G96" s="89">
        <f>-SUMIFS('2月数据源'!$I:$I,'2月数据源'!$D:$D,$E96,'2月数据源'!$F:$F,"SMART AI LIMITED")*G$185+SUMIFS('2月数据源'!$J:$J,'2月数据源'!$D:$D,$E96,'2月数据源'!$F:$F,"SMART AI LIMITED")*G$185</f>
        <v/>
      </c>
      <c r="H96" s="89">
        <f>-SUMIFS('3月数据源'!$I:$I,'3月数据源'!$D:$D,$E96,'3月数据源'!$F:$F,"SMART AI LIMITED")*H$185+SUMIFS('3月数据源'!$J:$J,'3月数据源'!$D:$D,$E96,'3月数据源'!$F:$F,"SMART AI LIMITED")*H$185</f>
        <v/>
      </c>
      <c r="I96" s="89">
        <f>-SUMIFS('4月数据源'!$I:$I,'4月数据源'!$D:$D,$E96,'4月数据源'!$F:$F,"SMART AI LIMITED")*I$185+SUMIFS('4月数据源'!$J:$J,'4月数据源'!$D:$D,$E96,'4月数据源'!$F:$F,"SMART AI LIMITED")*I$185</f>
        <v/>
      </c>
      <c r="J96" s="89">
        <f>-SUMIFS('5月数据源'!$I:$I,'5月数据源'!$D:$D,$E96,'5月数据源'!$F:$F,"SMART AI LIMITED")*J$185+SUMIFS('5月数据源'!$J:$J,'5月数据源'!$D:$D,$E96,'5月数据源'!$F:$F,"SMART AI LIMITED")*J$185</f>
        <v/>
      </c>
      <c r="K96" s="89">
        <f>-SUMIFS('6月数据源'!$I:$I,'6月数据源'!$D:$D,$E96,'6月数据源'!$F:$F,"SMART AI LIMITED")*K$185+SUMIFS('6月数据源'!$J:$J,'6月数据源'!$D:$D,$E96,'6月数据源'!$F:$F,"SMART AI LIMITED")*K$185</f>
        <v/>
      </c>
      <c r="L96" s="89">
        <f>-SUMIFS('7月数据源'!$I:$I,'7月数据源'!$D:$D,$E96,'7月数据源'!$F:$F,"SMART AI LIMITED")*L$185+SUMIFS('7月数据源'!$J:$J,'7月数据源'!$D:$D,$E96,'7月数据源'!$F:$F,"SMART AI LIMITED")*L$185</f>
        <v/>
      </c>
      <c r="M96" s="89">
        <f>-SUMIFS('8月数据源'!$I:$I,'8月数据源'!$D:$D,$E96,'8月数据源'!$F:$F,"SMART AI LIMITED")*M$185+SUMIFS('8月数据源'!$J:$J,'8月数据源'!$D:$D,$E96,'8月数据源'!$F:$F,"SMART AI LIMITED")*M$185</f>
        <v/>
      </c>
      <c r="N96" s="89">
        <f>-SUMIFS('9月数据源'!$I:$I,'9月数据源'!$D:$D,$E96,'9月数据源'!$F:$F,"SMART AI LIMITED")*N$185+SUMIFS('9月数据源'!$J:$J,'9月数据源'!$D:$D,$E96,'9月数据源'!$F:$F,"SMART AI LIMITED")*N$185</f>
        <v/>
      </c>
      <c r="O96" s="89">
        <f>-SUMIFS('10月数据源'!$I:$I,'10月数据源'!$D:$D,$E96,'10月数据源'!$F:$F,"SMART AI LIMITED")*O$185+SUMIFS('10月数据源'!$J:$J,'10月数据源'!$D:$D,$E96,'10月数据源'!$F:$F,"SMART AI LIMITED")*O$185</f>
        <v/>
      </c>
      <c r="P96" s="89">
        <f>-SUMIFS('11月数据源'!$I:$I,'11月数据源'!$D:$D,$E96,'11月数据源'!$F:$F,"SMART AI LIMITED")*P$185+SUMIFS('11月数据源'!$J:$J,'11月数据源'!$D:$D,$E96,'11月数据源'!$F:$F,"SMART AI LIMITED")*P$185</f>
        <v/>
      </c>
      <c r="Q96" s="89">
        <f>-SUMIFS('12月数据源'!$I:$I,'12月数据源'!$D:$D,$E96,'12月数据源'!$F:$F,"SMART AI LIMITED")*Q$185+SUMIFS('12月数据源'!$J:$J,'12月数据源'!$D:$D,$E96,'12月数据源'!$F:$F,"SMART AI LIMITED")*Q$185</f>
        <v/>
      </c>
    </row>
    <row r="97" s="83">
      <c r="A97" s="5" t="inlineStr">
        <is>
          <t>研发支出</t>
        </is>
      </c>
      <c r="B97" s="6" t="inlineStr">
        <is>
          <t>研发-费用报销</t>
        </is>
      </c>
      <c r="C97" s="6" t="inlineStr">
        <is>
          <t>研发-费用报销</t>
        </is>
      </c>
      <c r="D97" s="5" t="inlineStr">
        <is>
          <t>研发员工报销</t>
        </is>
      </c>
      <c r="E97" s="6" t="inlineStr">
        <is>
          <t>Q1701</t>
        </is>
      </c>
      <c r="F97" s="89">
        <f>-SUMIFS('1月数据源'!$I:$I,'1月数据源'!$D:$D,$E97,'1月数据源'!$F:$F,"SMART AI LIMITED")*F$185+SUMIFS('1月数据源'!$J:$J,'1月数据源'!$D:$D,$E97,'1月数据源'!$F:$F,"SMART AI LIMITED")*F$185</f>
        <v/>
      </c>
      <c r="G97" s="89">
        <f>-SUMIFS('2月数据源'!$I:$I,'2月数据源'!$D:$D,$E97,'2月数据源'!$F:$F,"SMART AI LIMITED")*G$185+SUMIFS('2月数据源'!$J:$J,'2月数据源'!$D:$D,$E97,'2月数据源'!$F:$F,"SMART AI LIMITED")*G$185</f>
        <v/>
      </c>
      <c r="H97" s="89">
        <f>-SUMIFS('3月数据源'!$I:$I,'3月数据源'!$D:$D,$E97,'3月数据源'!$F:$F,"SMART AI LIMITED")*H$185+SUMIFS('3月数据源'!$J:$J,'3月数据源'!$D:$D,$E97,'3月数据源'!$F:$F,"SMART AI LIMITED")*H$185</f>
        <v/>
      </c>
      <c r="I97" s="89">
        <f>-SUMIFS('4月数据源'!$I:$I,'4月数据源'!$D:$D,$E97,'4月数据源'!$F:$F,"SMART AI LIMITED")*I$185+SUMIFS('4月数据源'!$J:$J,'4月数据源'!$D:$D,$E97,'4月数据源'!$F:$F,"SMART AI LIMITED")*I$185</f>
        <v/>
      </c>
      <c r="J97" s="89">
        <f>-SUMIFS('5月数据源'!$I:$I,'5月数据源'!$D:$D,$E97,'5月数据源'!$F:$F,"SMART AI LIMITED")*J$185+SUMIFS('5月数据源'!$J:$J,'5月数据源'!$D:$D,$E97,'5月数据源'!$F:$F,"SMART AI LIMITED")*J$185</f>
        <v/>
      </c>
      <c r="K97" s="89">
        <f>-SUMIFS('6月数据源'!$I:$I,'6月数据源'!$D:$D,$E97,'6月数据源'!$F:$F,"SMART AI LIMITED")*K$185+SUMIFS('6月数据源'!$J:$J,'6月数据源'!$D:$D,$E97,'6月数据源'!$F:$F,"SMART AI LIMITED")*K$185</f>
        <v/>
      </c>
      <c r="L97" s="89">
        <f>-SUMIFS('7月数据源'!$I:$I,'7月数据源'!$D:$D,$E97,'7月数据源'!$F:$F,"SMART AI LIMITED")*L$185+SUMIFS('7月数据源'!$J:$J,'7月数据源'!$D:$D,$E97,'7月数据源'!$F:$F,"SMART AI LIMITED")*L$185</f>
        <v/>
      </c>
      <c r="M97" s="89">
        <f>-SUMIFS('8月数据源'!$I:$I,'8月数据源'!$D:$D,$E97,'8月数据源'!$F:$F,"SMART AI LIMITED")*M$185+SUMIFS('8月数据源'!$J:$J,'8月数据源'!$D:$D,$E97,'8月数据源'!$F:$F,"SMART AI LIMITED")*M$185</f>
        <v/>
      </c>
      <c r="N97" s="89">
        <f>-SUMIFS('9月数据源'!$I:$I,'9月数据源'!$D:$D,$E97,'9月数据源'!$F:$F,"SMART AI LIMITED")*N$185+SUMIFS('9月数据源'!$J:$J,'9月数据源'!$D:$D,$E97,'9月数据源'!$F:$F,"SMART AI LIMITED")*N$185</f>
        <v/>
      </c>
      <c r="O97" s="89">
        <f>-SUMIFS('10月数据源'!$I:$I,'10月数据源'!$D:$D,$E97,'10月数据源'!$F:$F,"SMART AI LIMITED")*O$185+SUMIFS('10月数据源'!$J:$J,'10月数据源'!$D:$D,$E97,'10月数据源'!$F:$F,"SMART AI LIMITED")*O$185</f>
        <v/>
      </c>
      <c r="P97" s="89">
        <f>-SUMIFS('11月数据源'!$I:$I,'11月数据源'!$D:$D,$E97,'11月数据源'!$F:$F,"SMART AI LIMITED")*P$185+SUMIFS('11月数据源'!$J:$J,'11月数据源'!$D:$D,$E97,'11月数据源'!$F:$F,"SMART AI LIMITED")*P$185</f>
        <v/>
      </c>
      <c r="Q97" s="89">
        <f>-SUMIFS('12月数据源'!$I:$I,'12月数据源'!$D:$D,$E97,'12月数据源'!$F:$F,"SMART AI LIMITED")*Q$185+SUMIFS('12月数据源'!$J:$J,'12月数据源'!$D:$D,$E97,'12月数据源'!$F:$F,"SMART AI LIMITED")*Q$185</f>
        <v/>
      </c>
    </row>
    <row r="98" s="83">
      <c r="A98" s="49" t="inlineStr">
        <is>
          <t>研发支出合计</t>
        </is>
      </c>
      <c r="B98" s="50" t="n"/>
      <c r="C98" s="50" t="n"/>
      <c r="D98" s="49" t="n"/>
      <c r="E98" s="49" t="n"/>
      <c r="F98" s="89">
        <f>SUM(F70:F97)</f>
        <v/>
      </c>
      <c r="G98" s="89">
        <f>SUM(G70:G97)</f>
        <v/>
      </c>
      <c r="H98" s="89">
        <f>SUM(H70:H97)</f>
        <v/>
      </c>
      <c r="I98" s="89">
        <f>SUM(I70:I97)</f>
        <v/>
      </c>
      <c r="J98" s="89">
        <f>SUM(J70:J97)</f>
        <v/>
      </c>
      <c r="K98" s="89">
        <f>SUM(K70:K97)</f>
        <v/>
      </c>
      <c r="L98" s="89">
        <f>SUM(L70:L97)</f>
        <v/>
      </c>
      <c r="M98" s="89">
        <f>SUM(M70:M97)</f>
        <v/>
      </c>
      <c r="N98" s="89">
        <f>SUM(N70:N97)</f>
        <v/>
      </c>
      <c r="O98" s="89">
        <f>SUM(O70:O97)</f>
        <v/>
      </c>
      <c r="P98" s="89">
        <f>SUM(P70:P97)</f>
        <v/>
      </c>
      <c r="Q98" s="89">
        <f>SUM(Q70:Q97)</f>
        <v/>
      </c>
    </row>
    <row r="99" s="83">
      <c r="A99" s="5" t="inlineStr">
        <is>
          <t>销售费用</t>
        </is>
      </c>
      <c r="B99" s="6" t="inlineStr">
        <is>
          <t>品牌建设</t>
        </is>
      </c>
      <c r="C99" s="6" t="inlineStr">
        <is>
          <t>品牌建设</t>
        </is>
      </c>
      <c r="D99" s="5" t="inlineStr">
        <is>
          <t>媒体采购</t>
        </is>
      </c>
      <c r="E99" s="6" t="inlineStr">
        <is>
          <t>Q1801</t>
        </is>
      </c>
      <c r="F99" s="89">
        <f>-SUMIFS('1月数据源'!$I:$I,'1月数据源'!$D:$D,$E99,'1月数据源'!$F:$F,"SMART AI LIMITED")*F$185+SUMIFS('1月数据源'!$J:$J,'1月数据源'!$D:$D,$E99,'1月数据源'!$F:$F,"SMART AI LIMITED")*F$185</f>
        <v/>
      </c>
      <c r="G99" s="89">
        <f>-SUMIFS('2月数据源'!$I:$I,'2月数据源'!$D:$D,$E99,'2月数据源'!$F:$F,"SMART AI LIMITED")*G$185+SUMIFS('2月数据源'!$J:$J,'2月数据源'!$D:$D,$E99,'2月数据源'!$F:$F,"SMART AI LIMITED")*G$185</f>
        <v/>
      </c>
      <c r="H99" s="89">
        <f>-SUMIFS('3月数据源'!$I:$I,'3月数据源'!$D:$D,$E99,'3月数据源'!$F:$F,"SMART AI LIMITED")*H$185+SUMIFS('3月数据源'!$J:$J,'3月数据源'!$D:$D,$E99,'3月数据源'!$F:$F,"SMART AI LIMITED")*H$185</f>
        <v/>
      </c>
      <c r="I99" s="89">
        <f>-SUMIFS('4月数据源'!$I:$I,'4月数据源'!$D:$D,$E99,'4月数据源'!$F:$F,"SMART AI LIMITED")*I$185+SUMIFS('4月数据源'!$J:$J,'4月数据源'!$D:$D,$E99,'4月数据源'!$F:$F,"SMART AI LIMITED")*I$185</f>
        <v/>
      </c>
      <c r="J99" s="89">
        <f>-SUMIFS('5月数据源'!$I:$I,'5月数据源'!$D:$D,$E99,'5月数据源'!$F:$F,"SMART AI LIMITED")*J$185+SUMIFS('5月数据源'!$J:$J,'5月数据源'!$D:$D,$E99,'5月数据源'!$F:$F,"SMART AI LIMITED")*J$185</f>
        <v/>
      </c>
      <c r="K99" s="89">
        <f>-SUMIFS('6月数据源'!$I:$I,'6月数据源'!$D:$D,$E99,'6月数据源'!$F:$F,"SMART AI LIMITED")*K$185+SUMIFS('6月数据源'!$J:$J,'6月数据源'!$D:$D,$E99,'6月数据源'!$F:$F,"SMART AI LIMITED")*K$185</f>
        <v/>
      </c>
      <c r="L99" s="89">
        <f>-SUMIFS('7月数据源'!$I:$I,'7月数据源'!$D:$D,$E99,'7月数据源'!$F:$F,"SMART AI LIMITED")*L$185+SUMIFS('7月数据源'!$J:$J,'7月数据源'!$D:$D,$E99,'7月数据源'!$F:$F,"SMART AI LIMITED")*L$185</f>
        <v/>
      </c>
      <c r="M99" s="89">
        <f>-SUMIFS('8月数据源'!$I:$I,'8月数据源'!$D:$D,$E99,'8月数据源'!$F:$F,"SMART AI LIMITED")*M$185+SUMIFS('8月数据源'!$J:$J,'8月数据源'!$D:$D,$E99,'8月数据源'!$F:$F,"SMART AI LIMITED")*M$185</f>
        <v/>
      </c>
      <c r="N99" s="89">
        <f>-SUMIFS('9月数据源'!$I:$I,'9月数据源'!$D:$D,$E99,'9月数据源'!$F:$F,"SMART AI LIMITED")*N$185+SUMIFS('9月数据源'!$J:$J,'9月数据源'!$D:$D,$E99,'9月数据源'!$F:$F,"SMART AI LIMITED")*N$185</f>
        <v/>
      </c>
      <c r="O99" s="89">
        <f>-SUMIFS('10月数据源'!$I:$I,'10月数据源'!$D:$D,$E99,'10月数据源'!$F:$F,"SMART AI LIMITED")*O$185+SUMIFS('10月数据源'!$J:$J,'10月数据源'!$D:$D,$E99,'10月数据源'!$F:$F,"SMART AI LIMITED")*O$185</f>
        <v/>
      </c>
      <c r="P99" s="89">
        <f>-SUMIFS('11月数据源'!$I:$I,'11月数据源'!$D:$D,$E99,'11月数据源'!$F:$F,"SMART AI LIMITED")*P$185+SUMIFS('11月数据源'!$J:$J,'11月数据源'!$D:$D,$E99,'11月数据源'!$F:$F,"SMART AI LIMITED")*P$185</f>
        <v/>
      </c>
      <c r="Q99" s="89">
        <f>-SUMIFS('12月数据源'!$I:$I,'12月数据源'!$D:$D,$E99,'12月数据源'!$F:$F,"SMART AI LIMITED")*Q$185+SUMIFS('12月数据源'!$J:$J,'12月数据源'!$D:$D,$E99,'12月数据源'!$F:$F,"SMART AI LIMITED")*Q$185</f>
        <v/>
      </c>
    </row>
    <row r="100" s="83">
      <c r="A100" s="5" t="inlineStr">
        <is>
          <t>销售费用</t>
        </is>
      </c>
      <c r="B100" s="6" t="inlineStr">
        <is>
          <t>品牌建设</t>
        </is>
      </c>
      <c r="D100" s="5" t="inlineStr">
        <is>
          <t>舆情服务</t>
        </is>
      </c>
      <c r="E100" s="6" t="inlineStr">
        <is>
          <t>Q1802</t>
        </is>
      </c>
      <c r="F100" s="89">
        <f>-SUMIFS('1月数据源'!$I:$I,'1月数据源'!$D:$D,$E100,'1月数据源'!$F:$F,"SMART AI LIMITED")*F$185+SUMIFS('1月数据源'!$J:$J,'1月数据源'!$D:$D,$E100,'1月数据源'!$F:$F,"SMART AI LIMITED")*F$185</f>
        <v/>
      </c>
      <c r="G100" s="89">
        <f>-SUMIFS('2月数据源'!$I:$I,'2月数据源'!$D:$D,$E100,'2月数据源'!$F:$F,"SMART AI LIMITED")*G$185+SUMIFS('2月数据源'!$J:$J,'2月数据源'!$D:$D,$E100,'2月数据源'!$F:$F,"SMART AI LIMITED")*G$185</f>
        <v/>
      </c>
      <c r="H100" s="89">
        <f>-SUMIFS('3月数据源'!$I:$I,'3月数据源'!$D:$D,$E100,'3月数据源'!$F:$F,"SMART AI LIMITED")*H$185+SUMIFS('3月数据源'!$J:$J,'3月数据源'!$D:$D,$E100,'3月数据源'!$F:$F,"SMART AI LIMITED")*H$185</f>
        <v/>
      </c>
      <c r="I100" s="89">
        <f>-SUMIFS('4月数据源'!$I:$I,'4月数据源'!$D:$D,$E100,'4月数据源'!$F:$F,"SMART AI LIMITED")*I$185+SUMIFS('4月数据源'!$J:$J,'4月数据源'!$D:$D,$E100,'4月数据源'!$F:$F,"SMART AI LIMITED")*I$185</f>
        <v/>
      </c>
      <c r="J100" s="89">
        <f>-SUMIFS('5月数据源'!$I:$I,'5月数据源'!$D:$D,$E100,'5月数据源'!$F:$F,"SMART AI LIMITED")*J$185+SUMIFS('5月数据源'!$J:$J,'5月数据源'!$D:$D,$E100,'5月数据源'!$F:$F,"SMART AI LIMITED")*J$185</f>
        <v/>
      </c>
      <c r="K100" s="89">
        <f>-SUMIFS('6月数据源'!$I:$I,'6月数据源'!$D:$D,$E100,'6月数据源'!$F:$F,"SMART AI LIMITED")*K$185+SUMIFS('6月数据源'!$J:$J,'6月数据源'!$D:$D,$E100,'6月数据源'!$F:$F,"SMART AI LIMITED")*K$185</f>
        <v/>
      </c>
      <c r="L100" s="89">
        <f>-SUMIFS('7月数据源'!$I:$I,'7月数据源'!$D:$D,$E100,'7月数据源'!$F:$F,"SMART AI LIMITED")*L$185+SUMIFS('7月数据源'!$J:$J,'7月数据源'!$D:$D,$E100,'7月数据源'!$F:$F,"SMART AI LIMITED")*L$185</f>
        <v/>
      </c>
      <c r="M100" s="89">
        <f>-SUMIFS('8月数据源'!$I:$I,'8月数据源'!$D:$D,$E100,'8月数据源'!$F:$F,"SMART AI LIMITED")*M$185+SUMIFS('8月数据源'!$J:$J,'8月数据源'!$D:$D,$E100,'8月数据源'!$F:$F,"SMART AI LIMITED")*M$185</f>
        <v/>
      </c>
      <c r="N100" s="89">
        <f>-SUMIFS('9月数据源'!$I:$I,'9月数据源'!$D:$D,$E100,'9月数据源'!$F:$F,"SMART AI LIMITED")*N$185+SUMIFS('9月数据源'!$J:$J,'9月数据源'!$D:$D,$E100,'9月数据源'!$F:$F,"SMART AI LIMITED")*N$185</f>
        <v/>
      </c>
      <c r="O100" s="89">
        <f>-SUMIFS('10月数据源'!$I:$I,'10月数据源'!$D:$D,$E100,'10月数据源'!$F:$F,"SMART AI LIMITED")*O$185+SUMIFS('10月数据源'!$J:$J,'10月数据源'!$D:$D,$E100,'10月数据源'!$F:$F,"SMART AI LIMITED")*O$185</f>
        <v/>
      </c>
      <c r="P100" s="89">
        <f>-SUMIFS('11月数据源'!$I:$I,'11月数据源'!$D:$D,$E100,'11月数据源'!$F:$F,"SMART AI LIMITED")*P$185+SUMIFS('11月数据源'!$J:$J,'11月数据源'!$D:$D,$E100,'11月数据源'!$F:$F,"SMART AI LIMITED")*P$185</f>
        <v/>
      </c>
      <c r="Q100" s="89">
        <f>-SUMIFS('12月数据源'!$I:$I,'12月数据源'!$D:$D,$E100,'12月数据源'!$F:$F,"SMART AI LIMITED")*Q$185+SUMIFS('12月数据源'!$J:$J,'12月数据源'!$D:$D,$E100,'12月数据源'!$F:$F,"SMART AI LIMITED")*Q$185</f>
        <v/>
      </c>
    </row>
    <row r="101" s="83">
      <c r="A101" s="5" t="inlineStr">
        <is>
          <t>销售费用</t>
        </is>
      </c>
      <c r="B101" s="6" t="inlineStr">
        <is>
          <t>品牌建设</t>
        </is>
      </c>
      <c r="D101" s="5" t="inlineStr">
        <is>
          <t>会务服务</t>
        </is>
      </c>
      <c r="E101" s="6" t="inlineStr">
        <is>
          <t>Q1803</t>
        </is>
      </c>
      <c r="F101" s="89">
        <f>-SUMIFS('1月数据源'!$I:$I,'1月数据源'!$D:$D,$E101,'1月数据源'!$F:$F,"SMART AI LIMITED")*F$185+SUMIFS('1月数据源'!$J:$J,'1月数据源'!$D:$D,$E101,'1月数据源'!$F:$F,"SMART AI LIMITED")*F$185</f>
        <v/>
      </c>
      <c r="G101" s="89">
        <f>-SUMIFS('2月数据源'!$I:$I,'2月数据源'!$D:$D,$E101,'2月数据源'!$F:$F,"SMART AI LIMITED")*G$185+SUMIFS('2月数据源'!$J:$J,'2月数据源'!$D:$D,$E101,'2月数据源'!$F:$F,"SMART AI LIMITED")*G$185</f>
        <v/>
      </c>
      <c r="H101" s="89">
        <f>-SUMIFS('3月数据源'!$I:$I,'3月数据源'!$D:$D,$E101,'3月数据源'!$F:$F,"SMART AI LIMITED")*H$185+SUMIFS('3月数据源'!$J:$J,'3月数据源'!$D:$D,$E101,'3月数据源'!$F:$F,"SMART AI LIMITED")*H$185</f>
        <v/>
      </c>
      <c r="I101" s="89">
        <f>-SUMIFS('4月数据源'!$I:$I,'4月数据源'!$D:$D,$E101,'4月数据源'!$F:$F,"SMART AI LIMITED")*I$185+SUMIFS('4月数据源'!$J:$J,'4月数据源'!$D:$D,$E101,'4月数据源'!$F:$F,"SMART AI LIMITED")*I$185</f>
        <v/>
      </c>
      <c r="J101" s="89">
        <f>-SUMIFS('5月数据源'!$I:$I,'5月数据源'!$D:$D,$E101,'5月数据源'!$F:$F,"SMART AI LIMITED")*J$185+SUMIFS('5月数据源'!$J:$J,'5月数据源'!$D:$D,$E101,'5月数据源'!$F:$F,"SMART AI LIMITED")*J$185</f>
        <v/>
      </c>
      <c r="K101" s="89">
        <f>-SUMIFS('6月数据源'!$I:$I,'6月数据源'!$D:$D,$E101,'6月数据源'!$F:$F,"SMART AI LIMITED")*K$185+SUMIFS('6月数据源'!$J:$J,'6月数据源'!$D:$D,$E101,'6月数据源'!$F:$F,"SMART AI LIMITED")*K$185</f>
        <v/>
      </c>
      <c r="L101" s="89">
        <f>-SUMIFS('7月数据源'!$I:$I,'7月数据源'!$D:$D,$E101,'7月数据源'!$F:$F,"SMART AI LIMITED")*L$185+SUMIFS('7月数据源'!$J:$J,'7月数据源'!$D:$D,$E101,'7月数据源'!$F:$F,"SMART AI LIMITED")*L$185</f>
        <v/>
      </c>
      <c r="M101" s="89">
        <f>-SUMIFS('8月数据源'!$I:$I,'8月数据源'!$D:$D,$E101,'8月数据源'!$F:$F,"SMART AI LIMITED")*M$185+SUMIFS('8月数据源'!$J:$J,'8月数据源'!$D:$D,$E101,'8月数据源'!$F:$F,"SMART AI LIMITED")*M$185</f>
        <v/>
      </c>
      <c r="N101" s="89">
        <f>-SUMIFS('9月数据源'!$I:$I,'9月数据源'!$D:$D,$E101,'9月数据源'!$F:$F,"SMART AI LIMITED")*N$185+SUMIFS('9月数据源'!$J:$J,'9月数据源'!$D:$D,$E101,'9月数据源'!$F:$F,"SMART AI LIMITED")*N$185</f>
        <v/>
      </c>
      <c r="O101" s="89">
        <f>-SUMIFS('10月数据源'!$I:$I,'10月数据源'!$D:$D,$E101,'10月数据源'!$F:$F,"SMART AI LIMITED")*O$185+SUMIFS('10月数据源'!$J:$J,'10月数据源'!$D:$D,$E101,'10月数据源'!$F:$F,"SMART AI LIMITED")*O$185</f>
        <v/>
      </c>
      <c r="P101" s="89">
        <f>-SUMIFS('11月数据源'!$I:$I,'11月数据源'!$D:$D,$E101,'11月数据源'!$F:$F,"SMART AI LIMITED")*P$185+SUMIFS('11月数据源'!$J:$J,'11月数据源'!$D:$D,$E101,'11月数据源'!$F:$F,"SMART AI LIMITED")*P$185</f>
        <v/>
      </c>
      <c r="Q101" s="89">
        <f>-SUMIFS('12月数据源'!$I:$I,'12月数据源'!$D:$D,$E101,'12月数据源'!$F:$F,"SMART AI LIMITED")*Q$185+SUMIFS('12月数据源'!$J:$J,'12月数据源'!$D:$D,$E101,'12月数据源'!$F:$F,"SMART AI LIMITED")*Q$185</f>
        <v/>
      </c>
    </row>
    <row r="102" s="83">
      <c r="A102" s="5" t="inlineStr">
        <is>
          <t>销售费用</t>
        </is>
      </c>
      <c r="B102" s="6" t="inlineStr">
        <is>
          <t>品牌建设</t>
        </is>
      </c>
      <c r="D102" s="5" t="inlineStr">
        <is>
          <t>场地搭建</t>
        </is>
      </c>
      <c r="E102" s="6" t="inlineStr">
        <is>
          <t>Q1804</t>
        </is>
      </c>
      <c r="F102" s="89">
        <f>-SUMIFS('1月数据源'!$I:$I,'1月数据源'!$D:$D,$E102,'1月数据源'!$F:$F,"SMART AI LIMITED")*F$185+SUMIFS('1月数据源'!$J:$J,'1月数据源'!$D:$D,$E102,'1月数据源'!$F:$F,"SMART AI LIMITED")*F$185</f>
        <v/>
      </c>
      <c r="G102" s="89">
        <f>-SUMIFS('2月数据源'!$I:$I,'2月数据源'!$D:$D,$E102,'2月数据源'!$F:$F,"SMART AI LIMITED")*G$185+SUMIFS('2月数据源'!$J:$J,'2月数据源'!$D:$D,$E102,'2月数据源'!$F:$F,"SMART AI LIMITED")*G$185</f>
        <v/>
      </c>
      <c r="H102" s="89">
        <f>-SUMIFS('3月数据源'!$I:$I,'3月数据源'!$D:$D,$E102,'3月数据源'!$F:$F,"SMART AI LIMITED")*H$185+SUMIFS('3月数据源'!$J:$J,'3月数据源'!$D:$D,$E102,'3月数据源'!$F:$F,"SMART AI LIMITED")*H$185</f>
        <v/>
      </c>
      <c r="I102" s="89">
        <f>-SUMIFS('4月数据源'!$I:$I,'4月数据源'!$D:$D,$E102,'4月数据源'!$F:$F,"SMART AI LIMITED")*I$185+SUMIFS('4月数据源'!$J:$J,'4月数据源'!$D:$D,$E102,'4月数据源'!$F:$F,"SMART AI LIMITED")*I$185</f>
        <v/>
      </c>
      <c r="J102" s="89">
        <f>-SUMIFS('5月数据源'!$I:$I,'5月数据源'!$D:$D,$E102,'5月数据源'!$F:$F,"SMART AI LIMITED")*J$185+SUMIFS('5月数据源'!$J:$J,'5月数据源'!$D:$D,$E102,'5月数据源'!$F:$F,"SMART AI LIMITED")*J$185</f>
        <v/>
      </c>
      <c r="K102" s="89">
        <f>-SUMIFS('6月数据源'!$I:$I,'6月数据源'!$D:$D,$E102,'6月数据源'!$F:$F,"SMART AI LIMITED")*K$185+SUMIFS('6月数据源'!$J:$J,'6月数据源'!$D:$D,$E102,'6月数据源'!$F:$F,"SMART AI LIMITED")*K$185</f>
        <v/>
      </c>
      <c r="L102" s="89">
        <f>-SUMIFS('7月数据源'!$I:$I,'7月数据源'!$D:$D,$E102,'7月数据源'!$F:$F,"SMART AI LIMITED")*L$185+SUMIFS('7月数据源'!$J:$J,'7月数据源'!$D:$D,$E102,'7月数据源'!$F:$F,"SMART AI LIMITED")*L$185</f>
        <v/>
      </c>
      <c r="M102" s="89">
        <f>-SUMIFS('8月数据源'!$I:$I,'8月数据源'!$D:$D,$E102,'8月数据源'!$F:$F,"SMART AI LIMITED")*M$185+SUMIFS('8月数据源'!$J:$J,'8月数据源'!$D:$D,$E102,'8月数据源'!$F:$F,"SMART AI LIMITED")*M$185</f>
        <v/>
      </c>
      <c r="N102" s="89">
        <f>-SUMIFS('9月数据源'!$I:$I,'9月数据源'!$D:$D,$E102,'9月数据源'!$F:$F,"SMART AI LIMITED")*N$185+SUMIFS('9月数据源'!$J:$J,'9月数据源'!$D:$D,$E102,'9月数据源'!$F:$F,"SMART AI LIMITED")*N$185</f>
        <v/>
      </c>
      <c r="O102" s="89">
        <f>-SUMIFS('10月数据源'!$I:$I,'10月数据源'!$D:$D,$E102,'10月数据源'!$F:$F,"SMART AI LIMITED")*O$185+SUMIFS('10月数据源'!$J:$J,'10月数据源'!$D:$D,$E102,'10月数据源'!$F:$F,"SMART AI LIMITED")*O$185</f>
        <v/>
      </c>
      <c r="P102" s="89">
        <f>-SUMIFS('11月数据源'!$I:$I,'11月数据源'!$D:$D,$E102,'11月数据源'!$F:$F,"SMART AI LIMITED")*P$185+SUMIFS('11月数据源'!$J:$J,'11月数据源'!$D:$D,$E102,'11月数据源'!$F:$F,"SMART AI LIMITED")*P$185</f>
        <v/>
      </c>
      <c r="Q102" s="89">
        <f>-SUMIFS('12月数据源'!$I:$I,'12月数据源'!$D:$D,$E102,'12月数据源'!$F:$F,"SMART AI LIMITED")*Q$185+SUMIFS('12月数据源'!$J:$J,'12月数据源'!$D:$D,$E102,'12月数据源'!$F:$F,"SMART AI LIMITED")*Q$185</f>
        <v/>
      </c>
    </row>
    <row r="103" s="83">
      <c r="A103" s="5" t="inlineStr">
        <is>
          <t>销售费用</t>
        </is>
      </c>
      <c r="B103" s="6" t="inlineStr">
        <is>
          <t>品牌建设</t>
        </is>
      </c>
      <c r="D103" s="5" t="inlineStr">
        <is>
          <t>素材拍摄</t>
        </is>
      </c>
      <c r="E103" s="6" t="inlineStr">
        <is>
          <t>Q1805</t>
        </is>
      </c>
      <c r="F103" s="89">
        <f>-SUMIFS('1月数据源'!$I:$I,'1月数据源'!$D:$D,$E103,'1月数据源'!$F:$F,"SMART AI LIMITED")*F$185+SUMIFS('1月数据源'!$J:$J,'1月数据源'!$D:$D,$E103,'1月数据源'!$F:$F,"SMART AI LIMITED")*F$185</f>
        <v/>
      </c>
      <c r="G103" s="89">
        <f>-SUMIFS('2月数据源'!$I:$I,'2月数据源'!$D:$D,$E103,'2月数据源'!$F:$F,"SMART AI LIMITED")*G$185+SUMIFS('2月数据源'!$J:$J,'2月数据源'!$D:$D,$E103,'2月数据源'!$F:$F,"SMART AI LIMITED")*G$185</f>
        <v/>
      </c>
      <c r="H103" s="89">
        <f>-SUMIFS('3月数据源'!$I:$I,'3月数据源'!$D:$D,$E103,'3月数据源'!$F:$F,"SMART AI LIMITED")*H$185+SUMIFS('3月数据源'!$J:$J,'3月数据源'!$D:$D,$E103,'3月数据源'!$F:$F,"SMART AI LIMITED")*H$185</f>
        <v/>
      </c>
      <c r="I103" s="89">
        <f>-SUMIFS('4月数据源'!$I:$I,'4月数据源'!$D:$D,$E103,'4月数据源'!$F:$F,"SMART AI LIMITED")*I$185+SUMIFS('4月数据源'!$J:$J,'4月数据源'!$D:$D,$E103,'4月数据源'!$F:$F,"SMART AI LIMITED")*I$185</f>
        <v/>
      </c>
      <c r="J103" s="89">
        <f>-SUMIFS('5月数据源'!$I:$I,'5月数据源'!$D:$D,$E103,'5月数据源'!$F:$F,"SMART AI LIMITED")*J$185+SUMIFS('5月数据源'!$J:$J,'5月数据源'!$D:$D,$E103,'5月数据源'!$F:$F,"SMART AI LIMITED")*J$185</f>
        <v/>
      </c>
      <c r="K103" s="89">
        <f>-SUMIFS('6月数据源'!$I:$I,'6月数据源'!$D:$D,$E103,'6月数据源'!$F:$F,"SMART AI LIMITED")*K$185+SUMIFS('6月数据源'!$J:$J,'6月数据源'!$D:$D,$E103,'6月数据源'!$F:$F,"SMART AI LIMITED")*K$185</f>
        <v/>
      </c>
      <c r="L103" s="89">
        <f>-SUMIFS('7月数据源'!$I:$I,'7月数据源'!$D:$D,$E103,'7月数据源'!$F:$F,"SMART AI LIMITED")*L$185+SUMIFS('7月数据源'!$J:$J,'7月数据源'!$D:$D,$E103,'7月数据源'!$F:$F,"SMART AI LIMITED")*L$185</f>
        <v/>
      </c>
      <c r="M103" s="89">
        <f>-SUMIFS('8月数据源'!$I:$I,'8月数据源'!$D:$D,$E103,'8月数据源'!$F:$F,"SMART AI LIMITED")*M$185+SUMIFS('8月数据源'!$J:$J,'8月数据源'!$D:$D,$E103,'8月数据源'!$F:$F,"SMART AI LIMITED")*M$185</f>
        <v/>
      </c>
      <c r="N103" s="89">
        <f>-SUMIFS('9月数据源'!$I:$I,'9月数据源'!$D:$D,$E103,'9月数据源'!$F:$F,"SMART AI LIMITED")*N$185+SUMIFS('9月数据源'!$J:$J,'9月数据源'!$D:$D,$E103,'9月数据源'!$F:$F,"SMART AI LIMITED")*N$185</f>
        <v/>
      </c>
      <c r="O103" s="89">
        <f>-SUMIFS('10月数据源'!$I:$I,'10月数据源'!$D:$D,$E103,'10月数据源'!$F:$F,"SMART AI LIMITED")*O$185+SUMIFS('10月数据源'!$J:$J,'10月数据源'!$D:$D,$E103,'10月数据源'!$F:$F,"SMART AI LIMITED")*O$185</f>
        <v/>
      </c>
      <c r="P103" s="89">
        <f>-SUMIFS('11月数据源'!$I:$I,'11月数据源'!$D:$D,$E103,'11月数据源'!$F:$F,"SMART AI LIMITED")*P$185+SUMIFS('11月数据源'!$J:$J,'11月数据源'!$D:$D,$E103,'11月数据源'!$F:$F,"SMART AI LIMITED")*P$185</f>
        <v/>
      </c>
      <c r="Q103" s="89">
        <f>-SUMIFS('12月数据源'!$I:$I,'12月数据源'!$D:$D,$E103,'12月数据源'!$F:$F,"SMART AI LIMITED")*Q$185+SUMIFS('12月数据源'!$J:$J,'12月数据源'!$D:$D,$E103,'12月数据源'!$F:$F,"SMART AI LIMITED")*Q$185</f>
        <v/>
      </c>
    </row>
    <row r="104" s="83">
      <c r="A104" s="5" t="inlineStr">
        <is>
          <t>销售费用</t>
        </is>
      </c>
      <c r="B104" s="6" t="inlineStr">
        <is>
          <t>品牌建设</t>
        </is>
      </c>
      <c r="D104" s="5" t="inlineStr">
        <is>
          <t>背书合作费用</t>
        </is>
      </c>
      <c r="E104" s="6" t="inlineStr">
        <is>
          <t>Q1806</t>
        </is>
      </c>
      <c r="F104" s="89">
        <f>-SUMIFS('1月数据源'!$I:$I,'1月数据源'!$D:$D,$E104,'1月数据源'!$F:$F,"SMART AI LIMITED")*F$185+SUMIFS('1月数据源'!$J:$J,'1月数据源'!$D:$D,$E104,'1月数据源'!$F:$F,"SMART AI LIMITED")*F$185</f>
        <v/>
      </c>
      <c r="G104" s="89">
        <f>-SUMIFS('2月数据源'!$I:$I,'2月数据源'!$D:$D,$E104,'2月数据源'!$F:$F,"SMART AI LIMITED")*G$185+SUMIFS('2月数据源'!$J:$J,'2月数据源'!$D:$D,$E104,'2月数据源'!$F:$F,"SMART AI LIMITED")*G$185</f>
        <v/>
      </c>
      <c r="H104" s="89">
        <f>-SUMIFS('3月数据源'!$I:$I,'3月数据源'!$D:$D,$E104,'3月数据源'!$F:$F,"SMART AI LIMITED")*H$185+SUMIFS('3月数据源'!$J:$J,'3月数据源'!$D:$D,$E104,'3月数据源'!$F:$F,"SMART AI LIMITED")*H$185</f>
        <v/>
      </c>
      <c r="I104" s="89">
        <f>-SUMIFS('4月数据源'!$I:$I,'4月数据源'!$D:$D,$E104,'4月数据源'!$F:$F,"SMART AI LIMITED")*I$185+SUMIFS('4月数据源'!$J:$J,'4月数据源'!$D:$D,$E104,'4月数据源'!$F:$F,"SMART AI LIMITED")*I$185</f>
        <v/>
      </c>
      <c r="J104" s="89">
        <f>-SUMIFS('5月数据源'!$I:$I,'5月数据源'!$D:$D,$E104,'5月数据源'!$F:$F,"SMART AI LIMITED")*J$185+SUMIFS('5月数据源'!$J:$J,'5月数据源'!$D:$D,$E104,'5月数据源'!$F:$F,"SMART AI LIMITED")*J$185</f>
        <v/>
      </c>
      <c r="K104" s="89">
        <f>-SUMIFS('6月数据源'!$I:$I,'6月数据源'!$D:$D,$E104,'6月数据源'!$F:$F,"SMART AI LIMITED")*K$185+SUMIFS('6月数据源'!$J:$J,'6月数据源'!$D:$D,$E104,'6月数据源'!$F:$F,"SMART AI LIMITED")*K$185</f>
        <v/>
      </c>
      <c r="L104" s="89">
        <f>-SUMIFS('7月数据源'!$I:$I,'7月数据源'!$D:$D,$E104,'7月数据源'!$F:$F,"SMART AI LIMITED")*L$185+SUMIFS('7月数据源'!$J:$J,'7月数据源'!$D:$D,$E104,'7月数据源'!$F:$F,"SMART AI LIMITED")*L$185</f>
        <v/>
      </c>
      <c r="M104" s="89">
        <f>-SUMIFS('8月数据源'!$I:$I,'8月数据源'!$D:$D,$E104,'8月数据源'!$F:$F,"SMART AI LIMITED")*M$185+SUMIFS('8月数据源'!$J:$J,'8月数据源'!$D:$D,$E104,'8月数据源'!$F:$F,"SMART AI LIMITED")*M$185</f>
        <v/>
      </c>
      <c r="N104" s="89">
        <f>-SUMIFS('9月数据源'!$I:$I,'9月数据源'!$D:$D,$E104,'9月数据源'!$F:$F,"SMART AI LIMITED")*N$185+SUMIFS('9月数据源'!$J:$J,'9月数据源'!$D:$D,$E104,'9月数据源'!$F:$F,"SMART AI LIMITED")*N$185</f>
        <v/>
      </c>
      <c r="O104" s="89">
        <f>-SUMIFS('10月数据源'!$I:$I,'10月数据源'!$D:$D,$E104,'10月数据源'!$F:$F,"SMART AI LIMITED")*O$185+SUMIFS('10月数据源'!$J:$J,'10月数据源'!$D:$D,$E104,'10月数据源'!$F:$F,"SMART AI LIMITED")*O$185</f>
        <v/>
      </c>
      <c r="P104" s="89">
        <f>-SUMIFS('11月数据源'!$I:$I,'11月数据源'!$D:$D,$E104,'11月数据源'!$F:$F,"SMART AI LIMITED")*P$185+SUMIFS('11月数据源'!$J:$J,'11月数据源'!$D:$D,$E104,'11月数据源'!$F:$F,"SMART AI LIMITED")*P$185</f>
        <v/>
      </c>
      <c r="Q104" s="89">
        <f>-SUMIFS('12月数据源'!$I:$I,'12月数据源'!$D:$D,$E104,'12月数据源'!$F:$F,"SMART AI LIMITED")*Q$185+SUMIFS('12月数据源'!$J:$J,'12月数据源'!$D:$D,$E104,'12月数据源'!$F:$F,"SMART AI LIMITED")*Q$185</f>
        <v/>
      </c>
    </row>
    <row r="105" s="83">
      <c r="A105" s="5" t="inlineStr">
        <is>
          <t>销售费用</t>
        </is>
      </c>
      <c r="B105" s="6" t="inlineStr">
        <is>
          <t>内容种草</t>
        </is>
      </c>
      <c r="C105" s="6" t="inlineStr">
        <is>
          <t>内容种草</t>
        </is>
      </c>
      <c r="D105" s="5" t="inlineStr">
        <is>
          <t>抖音平台种草-GD广告</t>
        </is>
      </c>
      <c r="E105" s="6" t="inlineStr">
        <is>
          <t>Q1901</t>
        </is>
      </c>
      <c r="F105" s="89">
        <f>-SUMIFS('1月数据源'!$I:$I,'1月数据源'!$D:$D,$E105,'1月数据源'!$F:$F,"SMART AI LIMITED")*F$185+SUMIFS('1月数据源'!$J:$J,'1月数据源'!$D:$D,$E105,'1月数据源'!$F:$F,"SMART AI LIMITED")*F$185</f>
        <v/>
      </c>
      <c r="G105" s="89">
        <f>-SUMIFS('2月数据源'!$I:$I,'2月数据源'!$D:$D,$E105,'2月数据源'!$F:$F,"SMART AI LIMITED")*G$185+SUMIFS('2月数据源'!$J:$J,'2月数据源'!$D:$D,$E105,'2月数据源'!$F:$F,"SMART AI LIMITED")*G$185</f>
        <v/>
      </c>
      <c r="H105" s="89">
        <f>-SUMIFS('3月数据源'!$I:$I,'3月数据源'!$D:$D,$E105,'3月数据源'!$F:$F,"SMART AI LIMITED")*H$185+SUMIFS('3月数据源'!$J:$J,'3月数据源'!$D:$D,$E105,'3月数据源'!$F:$F,"SMART AI LIMITED")*H$185</f>
        <v/>
      </c>
      <c r="I105" s="89">
        <f>-SUMIFS('4月数据源'!$I:$I,'4月数据源'!$D:$D,$E105,'4月数据源'!$F:$F,"SMART AI LIMITED")*I$185+SUMIFS('4月数据源'!$J:$J,'4月数据源'!$D:$D,$E105,'4月数据源'!$F:$F,"SMART AI LIMITED")*I$185</f>
        <v/>
      </c>
      <c r="J105" s="89">
        <f>-SUMIFS('5月数据源'!$I:$I,'5月数据源'!$D:$D,$E105,'5月数据源'!$F:$F,"SMART AI LIMITED")*J$185+SUMIFS('5月数据源'!$J:$J,'5月数据源'!$D:$D,$E105,'5月数据源'!$F:$F,"SMART AI LIMITED")*J$185</f>
        <v/>
      </c>
      <c r="K105" s="89">
        <f>-SUMIFS('6月数据源'!$I:$I,'6月数据源'!$D:$D,$E105,'6月数据源'!$F:$F,"SMART AI LIMITED")*K$185+SUMIFS('6月数据源'!$J:$J,'6月数据源'!$D:$D,$E105,'6月数据源'!$F:$F,"SMART AI LIMITED")*K$185</f>
        <v/>
      </c>
      <c r="L105" s="89">
        <f>-SUMIFS('7月数据源'!$I:$I,'7月数据源'!$D:$D,$E105,'7月数据源'!$F:$F,"SMART AI LIMITED")*L$185+SUMIFS('7月数据源'!$J:$J,'7月数据源'!$D:$D,$E105,'7月数据源'!$F:$F,"SMART AI LIMITED")*L$185</f>
        <v/>
      </c>
      <c r="M105" s="89">
        <f>-SUMIFS('8月数据源'!$I:$I,'8月数据源'!$D:$D,$E105,'8月数据源'!$F:$F,"SMART AI LIMITED")*M$185+SUMIFS('8月数据源'!$J:$J,'8月数据源'!$D:$D,$E105,'8月数据源'!$F:$F,"SMART AI LIMITED")*M$185</f>
        <v/>
      </c>
      <c r="N105" s="89">
        <f>-SUMIFS('9月数据源'!$I:$I,'9月数据源'!$D:$D,$E105,'9月数据源'!$F:$F,"SMART AI LIMITED")*N$185+SUMIFS('9月数据源'!$J:$J,'9月数据源'!$D:$D,$E105,'9月数据源'!$F:$F,"SMART AI LIMITED")*N$185</f>
        <v/>
      </c>
      <c r="O105" s="89">
        <f>-SUMIFS('10月数据源'!$I:$I,'10月数据源'!$D:$D,$E105,'10月数据源'!$F:$F,"SMART AI LIMITED")*O$185+SUMIFS('10月数据源'!$J:$J,'10月数据源'!$D:$D,$E105,'10月数据源'!$F:$F,"SMART AI LIMITED")*O$185</f>
        <v/>
      </c>
      <c r="P105" s="89">
        <f>-SUMIFS('11月数据源'!$I:$I,'11月数据源'!$D:$D,$E105,'11月数据源'!$F:$F,"SMART AI LIMITED")*P$185+SUMIFS('11月数据源'!$J:$J,'11月数据源'!$D:$D,$E105,'11月数据源'!$F:$F,"SMART AI LIMITED")*P$185</f>
        <v/>
      </c>
      <c r="Q105" s="89">
        <f>-SUMIFS('12月数据源'!$I:$I,'12月数据源'!$D:$D,$E105,'12月数据源'!$F:$F,"SMART AI LIMITED")*Q$185+SUMIFS('12月数据源'!$J:$J,'12月数据源'!$D:$D,$E105,'12月数据源'!$F:$F,"SMART AI LIMITED")*Q$185</f>
        <v/>
      </c>
    </row>
    <row r="106" s="83">
      <c r="A106" s="5" t="inlineStr">
        <is>
          <t>销售费用</t>
        </is>
      </c>
      <c r="B106" s="6" t="inlineStr">
        <is>
          <t>内容种草</t>
        </is>
      </c>
      <c r="D106" s="5" t="inlineStr">
        <is>
          <t>抖音平台种草-种草通</t>
        </is>
      </c>
      <c r="E106" s="6" t="inlineStr">
        <is>
          <t>Q1902</t>
        </is>
      </c>
      <c r="F106" s="89">
        <f>-SUMIFS('1月数据源'!$I:$I,'1月数据源'!$D:$D,$E106,'1月数据源'!$F:$F,"SMART AI LIMITED")*F$185+SUMIFS('1月数据源'!$J:$J,'1月数据源'!$D:$D,$E106,'1月数据源'!$F:$F,"SMART AI LIMITED")*F$185</f>
        <v/>
      </c>
      <c r="G106" s="89">
        <f>-SUMIFS('2月数据源'!$I:$I,'2月数据源'!$D:$D,$E106,'2月数据源'!$F:$F,"SMART AI LIMITED")*G$185+SUMIFS('2月数据源'!$J:$J,'2月数据源'!$D:$D,$E106,'2月数据源'!$F:$F,"SMART AI LIMITED")*G$185</f>
        <v/>
      </c>
      <c r="H106" s="89">
        <f>-SUMIFS('3月数据源'!$I:$I,'3月数据源'!$D:$D,$E106,'3月数据源'!$F:$F,"SMART AI LIMITED")*H$185+SUMIFS('3月数据源'!$J:$J,'3月数据源'!$D:$D,$E106,'3月数据源'!$F:$F,"SMART AI LIMITED")*H$185</f>
        <v/>
      </c>
      <c r="I106" s="89">
        <f>-SUMIFS('4月数据源'!$I:$I,'4月数据源'!$D:$D,$E106,'4月数据源'!$F:$F,"SMART AI LIMITED")*I$185+SUMIFS('4月数据源'!$J:$J,'4月数据源'!$D:$D,$E106,'4月数据源'!$F:$F,"SMART AI LIMITED")*I$185</f>
        <v/>
      </c>
      <c r="J106" s="89">
        <f>-SUMIFS('5月数据源'!$I:$I,'5月数据源'!$D:$D,$E106,'5月数据源'!$F:$F,"SMART AI LIMITED")*J$185+SUMIFS('5月数据源'!$J:$J,'5月数据源'!$D:$D,$E106,'5月数据源'!$F:$F,"SMART AI LIMITED")*J$185</f>
        <v/>
      </c>
      <c r="K106" s="89">
        <f>-SUMIFS('6月数据源'!$I:$I,'6月数据源'!$D:$D,$E106,'6月数据源'!$F:$F,"SMART AI LIMITED")*K$185+SUMIFS('6月数据源'!$J:$J,'6月数据源'!$D:$D,$E106,'6月数据源'!$F:$F,"SMART AI LIMITED")*K$185</f>
        <v/>
      </c>
      <c r="L106" s="89">
        <f>-SUMIFS('7月数据源'!$I:$I,'7月数据源'!$D:$D,$E106,'7月数据源'!$F:$F,"SMART AI LIMITED")*L$185+SUMIFS('7月数据源'!$J:$J,'7月数据源'!$D:$D,$E106,'7月数据源'!$F:$F,"SMART AI LIMITED")*L$185</f>
        <v/>
      </c>
      <c r="M106" s="89">
        <f>-SUMIFS('8月数据源'!$I:$I,'8月数据源'!$D:$D,$E106,'8月数据源'!$F:$F,"SMART AI LIMITED")*M$185+SUMIFS('8月数据源'!$J:$J,'8月数据源'!$D:$D,$E106,'8月数据源'!$F:$F,"SMART AI LIMITED")*M$185</f>
        <v/>
      </c>
      <c r="N106" s="89">
        <f>-SUMIFS('9月数据源'!$I:$I,'9月数据源'!$D:$D,$E106,'9月数据源'!$F:$F,"SMART AI LIMITED")*N$185+SUMIFS('9月数据源'!$J:$J,'9月数据源'!$D:$D,$E106,'9月数据源'!$F:$F,"SMART AI LIMITED")*N$185</f>
        <v/>
      </c>
      <c r="O106" s="89">
        <f>-SUMIFS('10月数据源'!$I:$I,'10月数据源'!$D:$D,$E106,'10月数据源'!$F:$F,"SMART AI LIMITED")*O$185+SUMIFS('10月数据源'!$J:$J,'10月数据源'!$D:$D,$E106,'10月数据源'!$F:$F,"SMART AI LIMITED")*O$185</f>
        <v/>
      </c>
      <c r="P106" s="89">
        <f>-SUMIFS('11月数据源'!$I:$I,'11月数据源'!$D:$D,$E106,'11月数据源'!$F:$F,"SMART AI LIMITED")*P$185+SUMIFS('11月数据源'!$J:$J,'11月数据源'!$D:$D,$E106,'11月数据源'!$F:$F,"SMART AI LIMITED")*P$185</f>
        <v/>
      </c>
      <c r="Q106" s="89">
        <f>-SUMIFS('12月数据源'!$I:$I,'12月数据源'!$D:$D,$E106,'12月数据源'!$F:$F,"SMART AI LIMITED")*Q$185+SUMIFS('12月数据源'!$J:$J,'12月数据源'!$D:$D,$E106,'12月数据源'!$F:$F,"SMART AI LIMITED")*Q$185</f>
        <v/>
      </c>
    </row>
    <row r="107" s="83">
      <c r="A107" s="5" t="inlineStr">
        <is>
          <t>销售费用</t>
        </is>
      </c>
      <c r="B107" s="6" t="inlineStr">
        <is>
          <t>内容种草</t>
        </is>
      </c>
      <c r="D107" s="5" t="inlineStr">
        <is>
          <t>抖音平台种草-达人合作</t>
        </is>
      </c>
      <c r="E107" s="6" t="inlineStr">
        <is>
          <t>Q1903</t>
        </is>
      </c>
      <c r="F107" s="89">
        <f>-SUMIFS('1月数据源'!$I:$I,'1月数据源'!$D:$D,$E107,'1月数据源'!$F:$F,"SMART AI LIMITED")*F$185+SUMIFS('1月数据源'!$J:$J,'1月数据源'!$D:$D,$E107,'1月数据源'!$F:$F,"SMART AI LIMITED")*F$185</f>
        <v/>
      </c>
      <c r="G107" s="89">
        <f>-SUMIFS('2月数据源'!$I:$I,'2月数据源'!$D:$D,$E107,'2月数据源'!$F:$F,"SMART AI LIMITED")*G$185+SUMIFS('2月数据源'!$J:$J,'2月数据源'!$D:$D,$E107,'2月数据源'!$F:$F,"SMART AI LIMITED")*G$185</f>
        <v/>
      </c>
      <c r="H107" s="89">
        <f>-SUMIFS('3月数据源'!$I:$I,'3月数据源'!$D:$D,$E107,'3月数据源'!$F:$F,"SMART AI LIMITED")*H$185+SUMIFS('3月数据源'!$J:$J,'3月数据源'!$D:$D,$E107,'3月数据源'!$F:$F,"SMART AI LIMITED")*H$185</f>
        <v/>
      </c>
      <c r="I107" s="89">
        <f>-SUMIFS('4月数据源'!$I:$I,'4月数据源'!$D:$D,$E107,'4月数据源'!$F:$F,"SMART AI LIMITED")*I$185+SUMIFS('4月数据源'!$J:$J,'4月数据源'!$D:$D,$E107,'4月数据源'!$F:$F,"SMART AI LIMITED")*I$185</f>
        <v/>
      </c>
      <c r="J107" s="89">
        <f>-SUMIFS('5月数据源'!$I:$I,'5月数据源'!$D:$D,$E107,'5月数据源'!$F:$F,"SMART AI LIMITED")*J$185+SUMIFS('5月数据源'!$J:$J,'5月数据源'!$D:$D,$E107,'5月数据源'!$F:$F,"SMART AI LIMITED")*J$185</f>
        <v/>
      </c>
      <c r="K107" s="89">
        <f>-SUMIFS('6月数据源'!$I:$I,'6月数据源'!$D:$D,$E107,'6月数据源'!$F:$F,"SMART AI LIMITED")*K$185+SUMIFS('6月数据源'!$J:$J,'6月数据源'!$D:$D,$E107,'6月数据源'!$F:$F,"SMART AI LIMITED")*K$185</f>
        <v/>
      </c>
      <c r="L107" s="89">
        <f>-SUMIFS('7月数据源'!$I:$I,'7月数据源'!$D:$D,$E107,'7月数据源'!$F:$F,"SMART AI LIMITED")*L$185+SUMIFS('7月数据源'!$J:$J,'7月数据源'!$D:$D,$E107,'7月数据源'!$F:$F,"SMART AI LIMITED")*L$185</f>
        <v/>
      </c>
      <c r="M107" s="89">
        <f>-SUMIFS('8月数据源'!$I:$I,'8月数据源'!$D:$D,$E107,'8月数据源'!$F:$F,"SMART AI LIMITED")*M$185+SUMIFS('8月数据源'!$J:$J,'8月数据源'!$D:$D,$E107,'8月数据源'!$F:$F,"SMART AI LIMITED")*M$185</f>
        <v/>
      </c>
      <c r="N107" s="89">
        <f>-SUMIFS('9月数据源'!$I:$I,'9月数据源'!$D:$D,$E107,'9月数据源'!$F:$F,"SMART AI LIMITED")*N$185+SUMIFS('9月数据源'!$J:$J,'9月数据源'!$D:$D,$E107,'9月数据源'!$F:$F,"SMART AI LIMITED")*N$185</f>
        <v/>
      </c>
      <c r="O107" s="89">
        <f>-SUMIFS('10月数据源'!$I:$I,'10月数据源'!$D:$D,$E107,'10月数据源'!$F:$F,"SMART AI LIMITED")*O$185+SUMIFS('10月数据源'!$J:$J,'10月数据源'!$D:$D,$E107,'10月数据源'!$F:$F,"SMART AI LIMITED")*O$185</f>
        <v/>
      </c>
      <c r="P107" s="89">
        <f>-SUMIFS('11月数据源'!$I:$I,'11月数据源'!$D:$D,$E107,'11月数据源'!$F:$F,"SMART AI LIMITED")*P$185+SUMIFS('11月数据源'!$J:$J,'11月数据源'!$D:$D,$E107,'11月数据源'!$F:$F,"SMART AI LIMITED")*P$185</f>
        <v/>
      </c>
      <c r="Q107" s="89">
        <f>-SUMIFS('12月数据源'!$I:$I,'12月数据源'!$D:$D,$E107,'12月数据源'!$F:$F,"SMART AI LIMITED")*Q$185+SUMIFS('12月数据源'!$J:$J,'12月数据源'!$D:$D,$E107,'12月数据源'!$F:$F,"SMART AI LIMITED")*Q$185</f>
        <v/>
      </c>
    </row>
    <row r="108" s="83">
      <c r="A108" s="5" t="inlineStr">
        <is>
          <t>销售费用</t>
        </is>
      </c>
      <c r="B108" s="6" t="inlineStr">
        <is>
          <t>内容种草</t>
        </is>
      </c>
      <c r="D108" s="5" t="inlineStr">
        <is>
          <t>小红书平台种草-达人合作</t>
        </is>
      </c>
      <c r="E108" s="6" t="inlineStr">
        <is>
          <t>Q1904</t>
        </is>
      </c>
      <c r="F108" s="89">
        <f>-SUMIFS('1月数据源'!$I:$I,'1月数据源'!$D:$D,$E108,'1月数据源'!$F:$F,"SMART AI LIMITED")*F$185+SUMIFS('1月数据源'!$J:$J,'1月数据源'!$D:$D,$E108,'1月数据源'!$F:$F,"SMART AI LIMITED")*F$185</f>
        <v/>
      </c>
      <c r="G108" s="89">
        <f>-SUMIFS('2月数据源'!$I:$I,'2月数据源'!$D:$D,$E108,'2月数据源'!$F:$F,"SMART AI LIMITED")*G$185+SUMIFS('2月数据源'!$J:$J,'2月数据源'!$D:$D,$E108,'2月数据源'!$F:$F,"SMART AI LIMITED")*G$185</f>
        <v/>
      </c>
      <c r="H108" s="89">
        <f>-SUMIFS('3月数据源'!$I:$I,'3月数据源'!$D:$D,$E108,'3月数据源'!$F:$F,"SMART AI LIMITED")*H$185+SUMIFS('3月数据源'!$J:$J,'3月数据源'!$D:$D,$E108,'3月数据源'!$F:$F,"SMART AI LIMITED")*H$185</f>
        <v/>
      </c>
      <c r="I108" s="89">
        <f>-SUMIFS('4月数据源'!$I:$I,'4月数据源'!$D:$D,$E108,'4月数据源'!$F:$F,"SMART AI LIMITED")*I$185+SUMIFS('4月数据源'!$J:$J,'4月数据源'!$D:$D,$E108,'4月数据源'!$F:$F,"SMART AI LIMITED")*I$185</f>
        <v/>
      </c>
      <c r="J108" s="89">
        <f>-SUMIFS('5月数据源'!$I:$I,'5月数据源'!$D:$D,$E108,'5月数据源'!$F:$F,"SMART AI LIMITED")*J$185+SUMIFS('5月数据源'!$J:$J,'5月数据源'!$D:$D,$E108,'5月数据源'!$F:$F,"SMART AI LIMITED")*J$185</f>
        <v/>
      </c>
      <c r="K108" s="89">
        <f>-SUMIFS('6月数据源'!$I:$I,'6月数据源'!$D:$D,$E108,'6月数据源'!$F:$F,"SMART AI LIMITED")*K$185+SUMIFS('6月数据源'!$J:$J,'6月数据源'!$D:$D,$E108,'6月数据源'!$F:$F,"SMART AI LIMITED")*K$185</f>
        <v/>
      </c>
      <c r="L108" s="89">
        <f>-SUMIFS('7月数据源'!$I:$I,'7月数据源'!$D:$D,$E108,'7月数据源'!$F:$F,"SMART AI LIMITED")*L$185+SUMIFS('7月数据源'!$J:$J,'7月数据源'!$D:$D,$E108,'7月数据源'!$F:$F,"SMART AI LIMITED")*L$185</f>
        <v/>
      </c>
      <c r="M108" s="89">
        <f>-SUMIFS('8月数据源'!$I:$I,'8月数据源'!$D:$D,$E108,'8月数据源'!$F:$F,"SMART AI LIMITED")*M$185+SUMIFS('8月数据源'!$J:$J,'8月数据源'!$D:$D,$E108,'8月数据源'!$F:$F,"SMART AI LIMITED")*M$185</f>
        <v/>
      </c>
      <c r="N108" s="89">
        <f>-SUMIFS('9月数据源'!$I:$I,'9月数据源'!$D:$D,$E108,'9月数据源'!$F:$F,"SMART AI LIMITED")*N$185+SUMIFS('9月数据源'!$J:$J,'9月数据源'!$D:$D,$E108,'9月数据源'!$F:$F,"SMART AI LIMITED")*N$185</f>
        <v/>
      </c>
      <c r="O108" s="89">
        <f>-SUMIFS('10月数据源'!$I:$I,'10月数据源'!$D:$D,$E108,'10月数据源'!$F:$F,"SMART AI LIMITED")*O$185+SUMIFS('10月数据源'!$J:$J,'10月数据源'!$D:$D,$E108,'10月数据源'!$F:$F,"SMART AI LIMITED")*O$185</f>
        <v/>
      </c>
      <c r="P108" s="89">
        <f>-SUMIFS('11月数据源'!$I:$I,'11月数据源'!$D:$D,$E108,'11月数据源'!$F:$F,"SMART AI LIMITED")*P$185+SUMIFS('11月数据源'!$J:$J,'11月数据源'!$D:$D,$E108,'11月数据源'!$F:$F,"SMART AI LIMITED")*P$185</f>
        <v/>
      </c>
      <c r="Q108" s="89">
        <f>-SUMIFS('12月数据源'!$I:$I,'12月数据源'!$D:$D,$E108,'12月数据源'!$F:$F,"SMART AI LIMITED")*Q$185+SUMIFS('12月数据源'!$J:$J,'12月数据源'!$D:$D,$E108,'12月数据源'!$F:$F,"SMART AI LIMITED")*Q$185</f>
        <v/>
      </c>
    </row>
    <row r="109" s="83">
      <c r="A109" s="5" t="inlineStr">
        <is>
          <t>销售费用</t>
        </is>
      </c>
      <c r="B109" s="6" t="inlineStr">
        <is>
          <t>内容种草</t>
        </is>
      </c>
      <c r="D109" s="5" t="inlineStr">
        <is>
          <t>全平台种草-达人合作</t>
        </is>
      </c>
      <c r="E109" s="6" t="inlineStr">
        <is>
          <t>Q1905</t>
        </is>
      </c>
      <c r="F109" s="89">
        <f>-SUMIFS('1月数据源'!$I:$I,'1月数据源'!$D:$D,$E109,'1月数据源'!$F:$F,"SMART AI LIMITED")*F$185+SUMIFS('1月数据源'!$J:$J,'1月数据源'!$D:$D,$E109,'1月数据源'!$F:$F,"SMART AI LIMITED")*F$185</f>
        <v/>
      </c>
      <c r="G109" s="89">
        <f>-SUMIFS('2月数据源'!$I:$I,'2月数据源'!$D:$D,$E109,'2月数据源'!$F:$F,"SMART AI LIMITED")*G$185+SUMIFS('2月数据源'!$J:$J,'2月数据源'!$D:$D,$E109,'2月数据源'!$F:$F,"SMART AI LIMITED")*G$185</f>
        <v/>
      </c>
      <c r="H109" s="89">
        <f>-SUMIFS('3月数据源'!$I:$I,'3月数据源'!$D:$D,$E109,'3月数据源'!$F:$F,"SMART AI LIMITED")*H$185+SUMIFS('3月数据源'!$J:$J,'3月数据源'!$D:$D,$E109,'3月数据源'!$F:$F,"SMART AI LIMITED")*H$185</f>
        <v/>
      </c>
      <c r="I109" s="89">
        <f>-SUMIFS('4月数据源'!$I:$I,'4月数据源'!$D:$D,$E109,'4月数据源'!$F:$F,"SMART AI LIMITED")*I$185+SUMIFS('4月数据源'!$J:$J,'4月数据源'!$D:$D,$E109,'4月数据源'!$F:$F,"SMART AI LIMITED")*I$185</f>
        <v/>
      </c>
      <c r="J109" s="89">
        <f>-SUMIFS('5月数据源'!$I:$I,'5月数据源'!$D:$D,$E109,'5月数据源'!$F:$F,"SMART AI LIMITED")*J$185+SUMIFS('5月数据源'!$J:$J,'5月数据源'!$D:$D,$E109,'5月数据源'!$F:$F,"SMART AI LIMITED")*J$185</f>
        <v/>
      </c>
      <c r="K109" s="89">
        <f>-SUMIFS('6月数据源'!$I:$I,'6月数据源'!$D:$D,$E109,'6月数据源'!$F:$F,"SMART AI LIMITED")*K$185+SUMIFS('6月数据源'!$J:$J,'6月数据源'!$D:$D,$E109,'6月数据源'!$F:$F,"SMART AI LIMITED")*K$185</f>
        <v/>
      </c>
      <c r="L109" s="89">
        <f>-SUMIFS('7月数据源'!$I:$I,'7月数据源'!$D:$D,$E109,'7月数据源'!$F:$F,"SMART AI LIMITED")*L$185+SUMIFS('7月数据源'!$J:$J,'7月数据源'!$D:$D,$E109,'7月数据源'!$F:$F,"SMART AI LIMITED")*L$185</f>
        <v/>
      </c>
      <c r="M109" s="89">
        <f>-SUMIFS('8月数据源'!$I:$I,'8月数据源'!$D:$D,$E109,'8月数据源'!$F:$F,"SMART AI LIMITED")*M$185+SUMIFS('8月数据源'!$J:$J,'8月数据源'!$D:$D,$E109,'8月数据源'!$F:$F,"SMART AI LIMITED")*M$185</f>
        <v/>
      </c>
      <c r="N109" s="89">
        <f>-SUMIFS('9月数据源'!$I:$I,'9月数据源'!$D:$D,$E109,'9月数据源'!$F:$F,"SMART AI LIMITED")*N$185+SUMIFS('9月数据源'!$J:$J,'9月数据源'!$D:$D,$E109,'9月数据源'!$F:$F,"SMART AI LIMITED")*N$185</f>
        <v/>
      </c>
      <c r="O109" s="89">
        <f>-SUMIFS('10月数据源'!$I:$I,'10月数据源'!$D:$D,$E109,'10月数据源'!$F:$F,"SMART AI LIMITED")*O$185+SUMIFS('10月数据源'!$J:$J,'10月数据源'!$D:$D,$E109,'10月数据源'!$F:$F,"SMART AI LIMITED")*O$185</f>
        <v/>
      </c>
      <c r="P109" s="89">
        <f>-SUMIFS('11月数据源'!$I:$I,'11月数据源'!$D:$D,$E109,'11月数据源'!$F:$F,"SMART AI LIMITED")*P$185+SUMIFS('11月数据源'!$J:$J,'11月数据源'!$D:$D,$E109,'11月数据源'!$F:$F,"SMART AI LIMITED")*P$185</f>
        <v/>
      </c>
      <c r="Q109" s="89">
        <f>-SUMIFS('12月数据源'!$I:$I,'12月数据源'!$D:$D,$E109,'12月数据源'!$F:$F,"SMART AI LIMITED")*Q$185+SUMIFS('12月数据源'!$J:$J,'12月数据源'!$D:$D,$E109,'12月数据源'!$F:$F,"SMART AI LIMITED")*Q$185</f>
        <v/>
      </c>
    </row>
    <row r="110" s="83">
      <c r="A110" s="5" t="inlineStr">
        <is>
          <t>销售费用</t>
        </is>
      </c>
      <c r="B110" s="6" t="inlineStr">
        <is>
          <t>内容种草</t>
        </is>
      </c>
      <c r="D110" s="5" t="inlineStr">
        <is>
          <t>小红书种草充值</t>
        </is>
      </c>
      <c r="E110" s="6" t="inlineStr">
        <is>
          <t>Q1906</t>
        </is>
      </c>
      <c r="F110" s="89">
        <f>-SUMIFS('1月数据源'!$I:$I,'1月数据源'!$D:$D,$E110,'1月数据源'!$F:$F,"SMART AI LIMITED")*F$185+SUMIFS('1月数据源'!$J:$J,'1月数据源'!$D:$D,$E110,'1月数据源'!$F:$F,"SMART AI LIMITED")*F$185</f>
        <v/>
      </c>
      <c r="G110" s="89">
        <f>-SUMIFS('2月数据源'!$I:$I,'2月数据源'!$D:$D,$E110,'2月数据源'!$F:$F,"SMART AI LIMITED")*G$185+SUMIFS('2月数据源'!$J:$J,'2月数据源'!$D:$D,$E110,'2月数据源'!$F:$F,"SMART AI LIMITED")*G$185</f>
        <v/>
      </c>
      <c r="H110" s="89">
        <f>-SUMIFS('3月数据源'!$I:$I,'3月数据源'!$D:$D,$E110,'3月数据源'!$F:$F,"SMART AI LIMITED")*H$185+SUMIFS('3月数据源'!$J:$J,'3月数据源'!$D:$D,$E110,'3月数据源'!$F:$F,"SMART AI LIMITED")*H$185</f>
        <v/>
      </c>
      <c r="I110" s="89">
        <f>-SUMIFS('4月数据源'!$I:$I,'4月数据源'!$D:$D,$E110,'4月数据源'!$F:$F,"SMART AI LIMITED")*I$185+SUMIFS('4月数据源'!$J:$J,'4月数据源'!$D:$D,$E110,'4月数据源'!$F:$F,"SMART AI LIMITED")*I$185</f>
        <v/>
      </c>
      <c r="J110" s="89">
        <f>-SUMIFS('5月数据源'!$I:$I,'5月数据源'!$D:$D,$E110,'5月数据源'!$F:$F,"SMART AI LIMITED")*J$185+SUMIFS('5月数据源'!$J:$J,'5月数据源'!$D:$D,$E110,'5月数据源'!$F:$F,"SMART AI LIMITED")*J$185</f>
        <v/>
      </c>
      <c r="K110" s="89">
        <f>-SUMIFS('6月数据源'!$I:$I,'6月数据源'!$D:$D,$E110,'6月数据源'!$F:$F,"SMART AI LIMITED")*K$185+SUMIFS('6月数据源'!$J:$J,'6月数据源'!$D:$D,$E110,'6月数据源'!$F:$F,"SMART AI LIMITED")*K$185</f>
        <v/>
      </c>
      <c r="L110" s="89">
        <f>-SUMIFS('7月数据源'!$I:$I,'7月数据源'!$D:$D,$E110,'7月数据源'!$F:$F,"SMART AI LIMITED")*L$185+SUMIFS('7月数据源'!$J:$J,'7月数据源'!$D:$D,$E110,'7月数据源'!$F:$F,"SMART AI LIMITED")*L$185</f>
        <v/>
      </c>
      <c r="M110" s="89">
        <f>-SUMIFS('8月数据源'!$I:$I,'8月数据源'!$D:$D,$E110,'8月数据源'!$F:$F,"SMART AI LIMITED")*M$185+SUMIFS('8月数据源'!$J:$J,'8月数据源'!$D:$D,$E110,'8月数据源'!$F:$F,"SMART AI LIMITED")*M$185</f>
        <v/>
      </c>
      <c r="N110" s="89">
        <f>-SUMIFS('9月数据源'!$I:$I,'9月数据源'!$D:$D,$E110,'9月数据源'!$F:$F,"SMART AI LIMITED")*N$185+SUMIFS('9月数据源'!$J:$J,'9月数据源'!$D:$D,$E110,'9月数据源'!$F:$F,"SMART AI LIMITED")*N$185</f>
        <v/>
      </c>
      <c r="O110" s="89">
        <f>-SUMIFS('10月数据源'!$I:$I,'10月数据源'!$D:$D,$E110,'10月数据源'!$F:$F,"SMART AI LIMITED")*O$185+SUMIFS('10月数据源'!$J:$J,'10月数据源'!$D:$D,$E110,'10月数据源'!$F:$F,"SMART AI LIMITED")*O$185</f>
        <v/>
      </c>
      <c r="P110" s="89">
        <f>-SUMIFS('11月数据源'!$I:$I,'11月数据源'!$D:$D,$E110,'11月数据源'!$F:$F,"SMART AI LIMITED")*P$185+SUMIFS('11月数据源'!$J:$J,'11月数据源'!$D:$D,$E110,'11月数据源'!$F:$F,"SMART AI LIMITED")*P$185</f>
        <v/>
      </c>
      <c r="Q110" s="89">
        <f>-SUMIFS('12月数据源'!$I:$I,'12月数据源'!$D:$D,$E110,'12月数据源'!$F:$F,"SMART AI LIMITED")*Q$185+SUMIFS('12月数据源'!$J:$J,'12月数据源'!$D:$D,$E110,'12月数据源'!$F:$F,"SMART AI LIMITED")*Q$185</f>
        <v/>
      </c>
    </row>
    <row r="111" s="83">
      <c r="A111" s="5" t="inlineStr">
        <is>
          <t>销售费用</t>
        </is>
      </c>
      <c r="B111" s="6" t="inlineStr">
        <is>
          <t>投放转化</t>
        </is>
      </c>
      <c r="C111" s="6" t="inlineStr">
        <is>
          <t>投放转化</t>
        </is>
      </c>
      <c r="D111" s="5" t="inlineStr">
        <is>
          <t>信息流视频制作</t>
        </is>
      </c>
      <c r="E111" s="6" t="inlineStr">
        <is>
          <t>Q2001</t>
        </is>
      </c>
      <c r="F111" s="89">
        <f>-SUMIFS('1月数据源'!$I:$I,'1月数据源'!$D:$D,$E111,'1月数据源'!$F:$F,"SMART AI LIMITED")*F$185+SUMIFS('1月数据源'!$J:$J,'1月数据源'!$D:$D,$E111,'1月数据源'!$F:$F,"SMART AI LIMITED")*F$185</f>
        <v/>
      </c>
      <c r="G111" s="89">
        <f>-SUMIFS('2月数据源'!$I:$I,'2月数据源'!$D:$D,$E111,'2月数据源'!$F:$F,"SMART AI LIMITED")*G$185+SUMIFS('2月数据源'!$J:$J,'2月数据源'!$D:$D,$E111,'2月数据源'!$F:$F,"SMART AI LIMITED")*G$185</f>
        <v/>
      </c>
      <c r="H111" s="89">
        <f>-SUMIFS('3月数据源'!$I:$I,'3月数据源'!$D:$D,$E111,'3月数据源'!$F:$F,"SMART AI LIMITED")*H$185+SUMIFS('3月数据源'!$J:$J,'3月数据源'!$D:$D,$E111,'3月数据源'!$F:$F,"SMART AI LIMITED")*H$185</f>
        <v/>
      </c>
      <c r="I111" s="89">
        <f>-SUMIFS('4月数据源'!$I:$I,'4月数据源'!$D:$D,$E111,'4月数据源'!$F:$F,"SMART AI LIMITED")*I$185+SUMIFS('4月数据源'!$J:$J,'4月数据源'!$D:$D,$E111,'4月数据源'!$F:$F,"SMART AI LIMITED")*I$185</f>
        <v/>
      </c>
      <c r="J111" s="89">
        <f>-SUMIFS('5月数据源'!$I:$I,'5月数据源'!$D:$D,$E111,'5月数据源'!$F:$F,"SMART AI LIMITED")*J$185+SUMIFS('5月数据源'!$J:$J,'5月数据源'!$D:$D,$E111,'5月数据源'!$F:$F,"SMART AI LIMITED")*J$185</f>
        <v/>
      </c>
      <c r="K111" s="89">
        <f>-SUMIFS('6月数据源'!$I:$I,'6月数据源'!$D:$D,$E111,'6月数据源'!$F:$F,"SMART AI LIMITED")*K$185+SUMIFS('6月数据源'!$J:$J,'6月数据源'!$D:$D,$E111,'6月数据源'!$F:$F,"SMART AI LIMITED")*K$185</f>
        <v/>
      </c>
      <c r="L111" s="89">
        <f>-SUMIFS('7月数据源'!$I:$I,'7月数据源'!$D:$D,$E111,'7月数据源'!$F:$F,"SMART AI LIMITED")*L$185+SUMIFS('7月数据源'!$J:$J,'7月数据源'!$D:$D,$E111,'7月数据源'!$F:$F,"SMART AI LIMITED")*L$185</f>
        <v/>
      </c>
      <c r="M111" s="89">
        <f>-SUMIFS('8月数据源'!$I:$I,'8月数据源'!$D:$D,$E111,'8月数据源'!$F:$F,"SMART AI LIMITED")*M$185+SUMIFS('8月数据源'!$J:$J,'8月数据源'!$D:$D,$E111,'8月数据源'!$F:$F,"SMART AI LIMITED")*M$185</f>
        <v/>
      </c>
      <c r="N111" s="89">
        <f>-SUMIFS('9月数据源'!$I:$I,'9月数据源'!$D:$D,$E111,'9月数据源'!$F:$F,"SMART AI LIMITED")*N$185+SUMIFS('9月数据源'!$J:$J,'9月数据源'!$D:$D,$E111,'9月数据源'!$F:$F,"SMART AI LIMITED")*N$185</f>
        <v/>
      </c>
      <c r="O111" s="89">
        <f>-SUMIFS('10月数据源'!$I:$I,'10月数据源'!$D:$D,$E111,'10月数据源'!$F:$F,"SMART AI LIMITED")*O$185+SUMIFS('10月数据源'!$J:$J,'10月数据源'!$D:$D,$E111,'10月数据源'!$F:$F,"SMART AI LIMITED")*O$185</f>
        <v/>
      </c>
      <c r="P111" s="89">
        <f>-SUMIFS('11月数据源'!$I:$I,'11月数据源'!$D:$D,$E111,'11月数据源'!$F:$F,"SMART AI LIMITED")*P$185+SUMIFS('11月数据源'!$J:$J,'11月数据源'!$D:$D,$E111,'11月数据源'!$F:$F,"SMART AI LIMITED")*P$185</f>
        <v/>
      </c>
      <c r="Q111" s="89">
        <f>-SUMIFS('12月数据源'!$I:$I,'12月数据源'!$D:$D,$E111,'12月数据源'!$F:$F,"SMART AI LIMITED")*Q$185+SUMIFS('12月数据源'!$J:$J,'12月数据源'!$D:$D,$E111,'12月数据源'!$F:$F,"SMART AI LIMITED")*Q$185</f>
        <v/>
      </c>
    </row>
    <row r="112" s="83">
      <c r="A112" s="5" t="inlineStr">
        <is>
          <t>销售费用</t>
        </is>
      </c>
      <c r="B112" s="6" t="inlineStr">
        <is>
          <t>投放转化</t>
        </is>
      </c>
      <c r="D112" s="5" t="inlineStr">
        <is>
          <t>抖音投放充值</t>
        </is>
      </c>
      <c r="E112" s="6" t="inlineStr">
        <is>
          <t>Q2002</t>
        </is>
      </c>
      <c r="F112" s="89">
        <f>-SUMIFS('1月数据源'!$I:$I,'1月数据源'!$D:$D,$E112,'1月数据源'!$F:$F,"SMART AI LIMITED")*F$185+SUMIFS('1月数据源'!$J:$J,'1月数据源'!$D:$D,$E112,'1月数据源'!$F:$F,"SMART AI LIMITED")*F$185</f>
        <v/>
      </c>
      <c r="G112" s="89">
        <f>-SUMIFS('2月数据源'!$I:$I,'2月数据源'!$D:$D,$E112,'2月数据源'!$F:$F,"SMART AI LIMITED")*G$185+SUMIFS('2月数据源'!$J:$J,'2月数据源'!$D:$D,$E112,'2月数据源'!$F:$F,"SMART AI LIMITED")*G$185</f>
        <v/>
      </c>
      <c r="H112" s="89">
        <f>-SUMIFS('3月数据源'!$I:$I,'3月数据源'!$D:$D,$E112,'3月数据源'!$F:$F,"SMART AI LIMITED")*H$185+SUMIFS('3月数据源'!$J:$J,'3月数据源'!$D:$D,$E112,'3月数据源'!$F:$F,"SMART AI LIMITED")*H$185</f>
        <v/>
      </c>
      <c r="I112" s="89">
        <f>-SUMIFS('4月数据源'!$I:$I,'4月数据源'!$D:$D,$E112,'4月数据源'!$F:$F,"SMART AI LIMITED")*I$185+SUMIFS('4月数据源'!$J:$J,'4月数据源'!$D:$D,$E112,'4月数据源'!$F:$F,"SMART AI LIMITED")*I$185</f>
        <v/>
      </c>
      <c r="J112" s="89">
        <f>-SUMIFS('5月数据源'!$I:$I,'5月数据源'!$D:$D,$E112,'5月数据源'!$F:$F,"SMART AI LIMITED")*J$185+SUMIFS('5月数据源'!$J:$J,'5月数据源'!$D:$D,$E112,'5月数据源'!$F:$F,"SMART AI LIMITED")*J$185</f>
        <v/>
      </c>
      <c r="K112" s="89">
        <f>-SUMIFS('6月数据源'!$I:$I,'6月数据源'!$D:$D,$E112,'6月数据源'!$F:$F,"SMART AI LIMITED")*K$185+SUMIFS('6月数据源'!$J:$J,'6月数据源'!$D:$D,$E112,'6月数据源'!$F:$F,"SMART AI LIMITED")*K$185</f>
        <v/>
      </c>
      <c r="L112" s="89">
        <f>-SUMIFS('7月数据源'!$I:$I,'7月数据源'!$D:$D,$E112,'7月数据源'!$F:$F,"SMART AI LIMITED")*L$185+SUMIFS('7月数据源'!$J:$J,'7月数据源'!$D:$D,$E112,'7月数据源'!$F:$F,"SMART AI LIMITED")*L$185</f>
        <v/>
      </c>
      <c r="M112" s="89">
        <f>-SUMIFS('8月数据源'!$I:$I,'8月数据源'!$D:$D,$E112,'8月数据源'!$F:$F,"SMART AI LIMITED")*M$185+SUMIFS('8月数据源'!$J:$J,'8月数据源'!$D:$D,$E112,'8月数据源'!$F:$F,"SMART AI LIMITED")*M$185</f>
        <v/>
      </c>
      <c r="N112" s="89">
        <f>-SUMIFS('9月数据源'!$I:$I,'9月数据源'!$D:$D,$E112,'9月数据源'!$F:$F,"SMART AI LIMITED")*N$185+SUMIFS('9月数据源'!$J:$J,'9月数据源'!$D:$D,$E112,'9月数据源'!$F:$F,"SMART AI LIMITED")*N$185</f>
        <v/>
      </c>
      <c r="O112" s="89">
        <f>-SUMIFS('10月数据源'!$I:$I,'10月数据源'!$D:$D,$E112,'10月数据源'!$F:$F,"SMART AI LIMITED")*O$185+SUMIFS('10月数据源'!$J:$J,'10月数据源'!$D:$D,$E112,'10月数据源'!$F:$F,"SMART AI LIMITED")*O$185</f>
        <v/>
      </c>
      <c r="P112" s="89">
        <f>-SUMIFS('11月数据源'!$I:$I,'11月数据源'!$D:$D,$E112,'11月数据源'!$F:$F,"SMART AI LIMITED")*P$185+SUMIFS('11月数据源'!$J:$J,'11月数据源'!$D:$D,$E112,'11月数据源'!$F:$F,"SMART AI LIMITED")*P$185</f>
        <v/>
      </c>
      <c r="Q112" s="89">
        <f>-SUMIFS('12月数据源'!$I:$I,'12月数据源'!$D:$D,$E112,'12月数据源'!$F:$F,"SMART AI LIMITED")*Q$185+SUMIFS('12月数据源'!$J:$J,'12月数据源'!$D:$D,$E112,'12月数据源'!$F:$F,"SMART AI LIMITED")*Q$185</f>
        <v/>
      </c>
    </row>
    <row r="113" s="83">
      <c r="A113" s="5" t="inlineStr">
        <is>
          <t>销售费用</t>
        </is>
      </c>
      <c r="B113" s="6" t="inlineStr">
        <is>
          <t>投放转化</t>
        </is>
      </c>
      <c r="D113" s="5" t="inlineStr">
        <is>
          <t>京东平台投放充值</t>
        </is>
      </c>
      <c r="E113" s="6" t="inlineStr">
        <is>
          <t>Q2003</t>
        </is>
      </c>
      <c r="F113" s="89">
        <f>-SUMIFS('1月数据源'!$I:$I,'1月数据源'!$D:$D,$E113,'1月数据源'!$F:$F,"SMART AI LIMITED")*F$185+SUMIFS('1月数据源'!$J:$J,'1月数据源'!$D:$D,$E113,'1月数据源'!$F:$F,"SMART AI LIMITED")*F$185</f>
        <v/>
      </c>
      <c r="G113" s="89">
        <f>-SUMIFS('2月数据源'!$I:$I,'2月数据源'!$D:$D,$E113,'2月数据源'!$F:$F,"SMART AI LIMITED")*G$185+SUMIFS('2月数据源'!$J:$J,'2月数据源'!$D:$D,$E113,'2月数据源'!$F:$F,"SMART AI LIMITED")*G$185</f>
        <v/>
      </c>
      <c r="H113" s="89">
        <f>-SUMIFS('3月数据源'!$I:$I,'3月数据源'!$D:$D,$E113,'3月数据源'!$F:$F,"SMART AI LIMITED")*H$185+SUMIFS('3月数据源'!$J:$J,'3月数据源'!$D:$D,$E113,'3月数据源'!$F:$F,"SMART AI LIMITED")*H$185</f>
        <v/>
      </c>
      <c r="I113" s="89">
        <f>-SUMIFS('4月数据源'!$I:$I,'4月数据源'!$D:$D,$E113,'4月数据源'!$F:$F,"SMART AI LIMITED")*I$185+SUMIFS('4月数据源'!$J:$J,'4月数据源'!$D:$D,$E113,'4月数据源'!$F:$F,"SMART AI LIMITED")*I$185</f>
        <v/>
      </c>
      <c r="J113" s="89">
        <f>-SUMIFS('5月数据源'!$I:$I,'5月数据源'!$D:$D,$E113,'5月数据源'!$F:$F,"SMART AI LIMITED")*J$185+SUMIFS('5月数据源'!$J:$J,'5月数据源'!$D:$D,$E113,'5月数据源'!$F:$F,"SMART AI LIMITED")*J$185</f>
        <v/>
      </c>
      <c r="K113" s="89">
        <f>-SUMIFS('6月数据源'!$I:$I,'6月数据源'!$D:$D,$E113,'6月数据源'!$F:$F,"SMART AI LIMITED")*K$185+SUMIFS('6月数据源'!$J:$J,'6月数据源'!$D:$D,$E113,'6月数据源'!$F:$F,"SMART AI LIMITED")*K$185</f>
        <v/>
      </c>
      <c r="L113" s="89">
        <f>-SUMIFS('7月数据源'!$I:$I,'7月数据源'!$D:$D,$E113,'7月数据源'!$F:$F,"SMART AI LIMITED")*L$185+SUMIFS('7月数据源'!$J:$J,'7月数据源'!$D:$D,$E113,'7月数据源'!$F:$F,"SMART AI LIMITED")*L$185</f>
        <v/>
      </c>
      <c r="M113" s="89">
        <f>-SUMIFS('8月数据源'!$I:$I,'8月数据源'!$D:$D,$E113,'8月数据源'!$F:$F,"SMART AI LIMITED")*M$185+SUMIFS('8月数据源'!$J:$J,'8月数据源'!$D:$D,$E113,'8月数据源'!$F:$F,"SMART AI LIMITED")*M$185</f>
        <v/>
      </c>
      <c r="N113" s="89">
        <f>-SUMIFS('9月数据源'!$I:$I,'9月数据源'!$D:$D,$E113,'9月数据源'!$F:$F,"SMART AI LIMITED")*N$185+SUMIFS('9月数据源'!$J:$J,'9月数据源'!$D:$D,$E113,'9月数据源'!$F:$F,"SMART AI LIMITED")*N$185</f>
        <v/>
      </c>
      <c r="O113" s="89">
        <f>-SUMIFS('10月数据源'!$I:$I,'10月数据源'!$D:$D,$E113,'10月数据源'!$F:$F,"SMART AI LIMITED")*O$185+SUMIFS('10月数据源'!$J:$J,'10月数据源'!$D:$D,$E113,'10月数据源'!$F:$F,"SMART AI LIMITED")*O$185</f>
        <v/>
      </c>
      <c r="P113" s="89">
        <f>-SUMIFS('11月数据源'!$I:$I,'11月数据源'!$D:$D,$E113,'11月数据源'!$F:$F,"SMART AI LIMITED")*P$185+SUMIFS('11月数据源'!$J:$J,'11月数据源'!$D:$D,$E113,'11月数据源'!$F:$F,"SMART AI LIMITED")*P$185</f>
        <v/>
      </c>
      <c r="Q113" s="89">
        <f>-SUMIFS('12月数据源'!$I:$I,'12月数据源'!$D:$D,$E113,'12月数据源'!$F:$F,"SMART AI LIMITED")*Q$185+SUMIFS('12月数据源'!$J:$J,'12月数据源'!$D:$D,$E113,'12月数据源'!$F:$F,"SMART AI LIMITED")*Q$185</f>
        <v/>
      </c>
    </row>
    <row r="114" s="83">
      <c r="A114" s="5" t="inlineStr">
        <is>
          <t>销售费用</t>
        </is>
      </c>
      <c r="B114" s="6" t="inlineStr">
        <is>
          <t>投放转化</t>
        </is>
      </c>
      <c r="D114" s="5" t="inlineStr">
        <is>
          <t>视频号投放充值</t>
        </is>
      </c>
      <c r="E114" s="6" t="inlineStr">
        <is>
          <t>Q2004</t>
        </is>
      </c>
      <c r="F114" s="89">
        <f>-SUMIFS('1月数据源'!$I:$I,'1月数据源'!$D:$D,$E114,'1月数据源'!$F:$F,"SMART AI LIMITED")*F$185+SUMIFS('1月数据源'!$J:$J,'1月数据源'!$D:$D,$E114,'1月数据源'!$F:$F,"SMART AI LIMITED")*F$185</f>
        <v/>
      </c>
      <c r="G114" s="89">
        <f>-SUMIFS('2月数据源'!$I:$I,'2月数据源'!$D:$D,$E114,'2月数据源'!$F:$F,"SMART AI LIMITED")*G$185+SUMIFS('2月数据源'!$J:$J,'2月数据源'!$D:$D,$E114,'2月数据源'!$F:$F,"SMART AI LIMITED")*G$185</f>
        <v/>
      </c>
      <c r="H114" s="89">
        <f>-SUMIFS('3月数据源'!$I:$I,'3月数据源'!$D:$D,$E114,'3月数据源'!$F:$F,"SMART AI LIMITED")*H$185+SUMIFS('3月数据源'!$J:$J,'3月数据源'!$D:$D,$E114,'3月数据源'!$F:$F,"SMART AI LIMITED")*H$185</f>
        <v/>
      </c>
      <c r="I114" s="89">
        <f>-SUMIFS('4月数据源'!$I:$I,'4月数据源'!$D:$D,$E114,'4月数据源'!$F:$F,"SMART AI LIMITED")*I$185+SUMIFS('4月数据源'!$J:$J,'4月数据源'!$D:$D,$E114,'4月数据源'!$F:$F,"SMART AI LIMITED")*I$185</f>
        <v/>
      </c>
      <c r="J114" s="89">
        <f>-SUMIFS('5月数据源'!$I:$I,'5月数据源'!$D:$D,$E114,'5月数据源'!$F:$F,"SMART AI LIMITED")*J$185+SUMIFS('5月数据源'!$J:$J,'5月数据源'!$D:$D,$E114,'5月数据源'!$F:$F,"SMART AI LIMITED")*J$185</f>
        <v/>
      </c>
      <c r="K114" s="89">
        <f>-SUMIFS('6月数据源'!$I:$I,'6月数据源'!$D:$D,$E114,'6月数据源'!$F:$F,"SMART AI LIMITED")*K$185+SUMIFS('6月数据源'!$J:$J,'6月数据源'!$D:$D,$E114,'6月数据源'!$F:$F,"SMART AI LIMITED")*K$185</f>
        <v/>
      </c>
      <c r="L114" s="89">
        <f>-SUMIFS('7月数据源'!$I:$I,'7月数据源'!$D:$D,$E114,'7月数据源'!$F:$F,"SMART AI LIMITED")*L$185+SUMIFS('7月数据源'!$J:$J,'7月数据源'!$D:$D,$E114,'7月数据源'!$F:$F,"SMART AI LIMITED")*L$185</f>
        <v/>
      </c>
      <c r="M114" s="89">
        <f>-SUMIFS('8月数据源'!$I:$I,'8月数据源'!$D:$D,$E114,'8月数据源'!$F:$F,"SMART AI LIMITED")*M$185+SUMIFS('8月数据源'!$J:$J,'8月数据源'!$D:$D,$E114,'8月数据源'!$F:$F,"SMART AI LIMITED")*M$185</f>
        <v/>
      </c>
      <c r="N114" s="89">
        <f>-SUMIFS('9月数据源'!$I:$I,'9月数据源'!$D:$D,$E114,'9月数据源'!$F:$F,"SMART AI LIMITED")*N$185+SUMIFS('9月数据源'!$J:$J,'9月数据源'!$D:$D,$E114,'9月数据源'!$F:$F,"SMART AI LIMITED")*N$185</f>
        <v/>
      </c>
      <c r="O114" s="89">
        <f>-SUMIFS('10月数据源'!$I:$I,'10月数据源'!$D:$D,$E114,'10月数据源'!$F:$F,"SMART AI LIMITED")*O$185+SUMIFS('10月数据源'!$J:$J,'10月数据源'!$D:$D,$E114,'10月数据源'!$F:$F,"SMART AI LIMITED")*O$185</f>
        <v/>
      </c>
      <c r="P114" s="89">
        <f>-SUMIFS('11月数据源'!$I:$I,'11月数据源'!$D:$D,$E114,'11月数据源'!$F:$F,"SMART AI LIMITED")*P$185+SUMIFS('11月数据源'!$J:$J,'11月数据源'!$D:$D,$E114,'11月数据源'!$F:$F,"SMART AI LIMITED")*P$185</f>
        <v/>
      </c>
      <c r="Q114" s="89">
        <f>-SUMIFS('12月数据源'!$I:$I,'12月数据源'!$D:$D,$E114,'12月数据源'!$F:$F,"SMART AI LIMITED")*Q$185+SUMIFS('12月数据源'!$J:$J,'12月数据源'!$D:$D,$E114,'12月数据源'!$F:$F,"SMART AI LIMITED")*Q$185</f>
        <v/>
      </c>
    </row>
    <row r="115" s="83">
      <c r="A115" s="5" t="inlineStr">
        <is>
          <t>销售费用</t>
        </is>
      </c>
      <c r="B115" s="6" t="inlineStr">
        <is>
          <t>投放转化</t>
        </is>
      </c>
      <c r="D115" s="5" t="inlineStr">
        <is>
          <t>天猫平台投放充值</t>
        </is>
      </c>
      <c r="E115" s="6" t="inlineStr">
        <is>
          <t>Q2005</t>
        </is>
      </c>
      <c r="F115" s="89">
        <f>-SUMIFS('1月数据源'!$I:$I,'1月数据源'!$D:$D,$E115,'1月数据源'!$F:$F,"SMART AI LIMITED")*F$185+SUMIFS('1月数据源'!$J:$J,'1月数据源'!$D:$D,$E115,'1月数据源'!$F:$F,"SMART AI LIMITED")*F$185</f>
        <v/>
      </c>
      <c r="G115" s="89">
        <f>-SUMIFS('2月数据源'!$I:$I,'2月数据源'!$D:$D,$E115,'2月数据源'!$F:$F,"SMART AI LIMITED")*G$185+SUMIFS('2月数据源'!$J:$J,'2月数据源'!$D:$D,$E115,'2月数据源'!$F:$F,"SMART AI LIMITED")*G$185</f>
        <v/>
      </c>
      <c r="H115" s="89">
        <f>-SUMIFS('3月数据源'!$I:$I,'3月数据源'!$D:$D,$E115,'3月数据源'!$F:$F,"SMART AI LIMITED")*H$185+SUMIFS('3月数据源'!$J:$J,'3月数据源'!$D:$D,$E115,'3月数据源'!$F:$F,"SMART AI LIMITED")*H$185</f>
        <v/>
      </c>
      <c r="I115" s="89">
        <f>-SUMIFS('4月数据源'!$I:$I,'4月数据源'!$D:$D,$E115,'4月数据源'!$F:$F,"SMART AI LIMITED")*I$185+SUMIFS('4月数据源'!$J:$J,'4月数据源'!$D:$D,$E115,'4月数据源'!$F:$F,"SMART AI LIMITED")*I$185</f>
        <v/>
      </c>
      <c r="J115" s="89">
        <f>-SUMIFS('5月数据源'!$I:$I,'5月数据源'!$D:$D,$E115,'5月数据源'!$F:$F,"SMART AI LIMITED")*J$185+SUMIFS('5月数据源'!$J:$J,'5月数据源'!$D:$D,$E115,'5月数据源'!$F:$F,"SMART AI LIMITED")*J$185</f>
        <v/>
      </c>
      <c r="K115" s="89">
        <f>-SUMIFS('6月数据源'!$I:$I,'6月数据源'!$D:$D,$E115,'6月数据源'!$F:$F,"SMART AI LIMITED")*K$185+SUMIFS('6月数据源'!$J:$J,'6月数据源'!$D:$D,$E115,'6月数据源'!$F:$F,"SMART AI LIMITED")*K$185</f>
        <v/>
      </c>
      <c r="L115" s="89">
        <f>-SUMIFS('7月数据源'!$I:$I,'7月数据源'!$D:$D,$E115,'7月数据源'!$F:$F,"SMART AI LIMITED")*L$185+SUMIFS('7月数据源'!$J:$J,'7月数据源'!$D:$D,$E115,'7月数据源'!$F:$F,"SMART AI LIMITED")*L$185</f>
        <v/>
      </c>
      <c r="M115" s="89">
        <f>-SUMIFS('8月数据源'!$I:$I,'8月数据源'!$D:$D,$E115,'8月数据源'!$F:$F,"SMART AI LIMITED")*M$185+SUMIFS('8月数据源'!$J:$J,'8月数据源'!$D:$D,$E115,'8月数据源'!$F:$F,"SMART AI LIMITED")*M$185</f>
        <v/>
      </c>
      <c r="N115" s="89">
        <f>-SUMIFS('9月数据源'!$I:$I,'9月数据源'!$D:$D,$E115,'9月数据源'!$F:$F,"SMART AI LIMITED")*N$185+SUMIFS('9月数据源'!$J:$J,'9月数据源'!$D:$D,$E115,'9月数据源'!$F:$F,"SMART AI LIMITED")*N$185</f>
        <v/>
      </c>
      <c r="O115" s="89">
        <f>-SUMIFS('10月数据源'!$I:$I,'10月数据源'!$D:$D,$E115,'10月数据源'!$F:$F,"SMART AI LIMITED")*O$185+SUMIFS('10月数据源'!$J:$J,'10月数据源'!$D:$D,$E115,'10月数据源'!$F:$F,"SMART AI LIMITED")*O$185</f>
        <v/>
      </c>
      <c r="P115" s="89">
        <f>-SUMIFS('11月数据源'!$I:$I,'11月数据源'!$D:$D,$E115,'11月数据源'!$F:$F,"SMART AI LIMITED")*P$185+SUMIFS('11月数据源'!$J:$J,'11月数据源'!$D:$D,$E115,'11月数据源'!$F:$F,"SMART AI LIMITED")*P$185</f>
        <v/>
      </c>
      <c r="Q115" s="89">
        <f>-SUMIFS('12月数据源'!$I:$I,'12月数据源'!$D:$D,$E115,'12月数据源'!$F:$F,"SMART AI LIMITED")*Q$185+SUMIFS('12月数据源'!$J:$J,'12月数据源'!$D:$D,$E115,'12月数据源'!$F:$F,"SMART AI LIMITED")*Q$185</f>
        <v/>
      </c>
    </row>
    <row r="116" s="83">
      <c r="A116" s="5" t="inlineStr">
        <is>
          <t>销售费用</t>
        </is>
      </c>
      <c r="B116" s="6" t="inlineStr">
        <is>
          <t>直播间运营</t>
        </is>
      </c>
      <c r="C116" s="6" t="inlineStr">
        <is>
          <t>直播间运营</t>
        </is>
      </c>
      <c r="D116" s="5" t="inlineStr">
        <is>
          <t>DP-有熊团队服务费</t>
        </is>
      </c>
      <c r="E116" s="6" t="inlineStr">
        <is>
          <t>Q2101</t>
        </is>
      </c>
      <c r="F116" s="89">
        <f>-SUMIFS('1月数据源'!$I:$I,'1月数据源'!$D:$D,$E116,'1月数据源'!$F:$F,"SMART AI LIMITED")*F$185+SUMIFS('1月数据源'!$J:$J,'1月数据源'!$D:$D,$E116,'1月数据源'!$F:$F,"SMART AI LIMITED")*F$185</f>
        <v/>
      </c>
      <c r="G116" s="89">
        <f>-SUMIFS('2月数据源'!$I:$I,'2月数据源'!$D:$D,$E116,'2月数据源'!$F:$F,"SMART AI LIMITED")*G$185+SUMIFS('2月数据源'!$J:$J,'2月数据源'!$D:$D,$E116,'2月数据源'!$F:$F,"SMART AI LIMITED")*G$185</f>
        <v/>
      </c>
      <c r="H116" s="89">
        <f>-SUMIFS('3月数据源'!$I:$I,'3月数据源'!$D:$D,$E116,'3月数据源'!$F:$F,"SMART AI LIMITED")*H$185+SUMIFS('3月数据源'!$J:$J,'3月数据源'!$D:$D,$E116,'3月数据源'!$F:$F,"SMART AI LIMITED")*H$185</f>
        <v/>
      </c>
      <c r="I116" s="89">
        <f>-SUMIFS('4月数据源'!$I:$I,'4月数据源'!$D:$D,$E116,'4月数据源'!$F:$F,"SMART AI LIMITED")*I$185+SUMIFS('4月数据源'!$J:$J,'4月数据源'!$D:$D,$E116,'4月数据源'!$F:$F,"SMART AI LIMITED")*I$185</f>
        <v/>
      </c>
      <c r="J116" s="89">
        <f>-SUMIFS('5月数据源'!$I:$I,'5月数据源'!$D:$D,$E116,'5月数据源'!$F:$F,"SMART AI LIMITED")*J$185+SUMIFS('5月数据源'!$J:$J,'5月数据源'!$D:$D,$E116,'5月数据源'!$F:$F,"SMART AI LIMITED")*J$185</f>
        <v/>
      </c>
      <c r="K116" s="89">
        <f>-SUMIFS('6月数据源'!$I:$I,'6月数据源'!$D:$D,$E116,'6月数据源'!$F:$F,"SMART AI LIMITED")*K$185+SUMIFS('6月数据源'!$J:$J,'6月数据源'!$D:$D,$E116,'6月数据源'!$F:$F,"SMART AI LIMITED")*K$185</f>
        <v/>
      </c>
      <c r="L116" s="89">
        <f>-SUMIFS('7月数据源'!$I:$I,'7月数据源'!$D:$D,$E116,'7月数据源'!$F:$F,"SMART AI LIMITED")*L$185+SUMIFS('7月数据源'!$J:$J,'7月数据源'!$D:$D,$E116,'7月数据源'!$F:$F,"SMART AI LIMITED")*L$185</f>
        <v/>
      </c>
      <c r="M116" s="89">
        <f>-SUMIFS('8月数据源'!$I:$I,'8月数据源'!$D:$D,$E116,'8月数据源'!$F:$F,"SMART AI LIMITED")*M$185+SUMIFS('8月数据源'!$J:$J,'8月数据源'!$D:$D,$E116,'8月数据源'!$F:$F,"SMART AI LIMITED")*M$185</f>
        <v/>
      </c>
      <c r="N116" s="89">
        <f>-SUMIFS('9月数据源'!$I:$I,'9月数据源'!$D:$D,$E116,'9月数据源'!$F:$F,"SMART AI LIMITED")*N$185+SUMIFS('9月数据源'!$J:$J,'9月数据源'!$D:$D,$E116,'9月数据源'!$F:$F,"SMART AI LIMITED")*N$185</f>
        <v/>
      </c>
      <c r="O116" s="89">
        <f>-SUMIFS('10月数据源'!$I:$I,'10月数据源'!$D:$D,$E116,'10月数据源'!$F:$F,"SMART AI LIMITED")*O$185+SUMIFS('10月数据源'!$J:$J,'10月数据源'!$D:$D,$E116,'10月数据源'!$F:$F,"SMART AI LIMITED")*O$185</f>
        <v/>
      </c>
      <c r="P116" s="89">
        <f>-SUMIFS('11月数据源'!$I:$I,'11月数据源'!$D:$D,$E116,'11月数据源'!$F:$F,"SMART AI LIMITED")*P$185+SUMIFS('11月数据源'!$J:$J,'11月数据源'!$D:$D,$E116,'11月数据源'!$F:$F,"SMART AI LIMITED")*P$185</f>
        <v/>
      </c>
      <c r="Q116" s="89">
        <f>-SUMIFS('12月数据源'!$I:$I,'12月数据源'!$D:$D,$E116,'12月数据源'!$F:$F,"SMART AI LIMITED")*Q$185+SUMIFS('12月数据源'!$J:$J,'12月数据源'!$D:$D,$E116,'12月数据源'!$F:$F,"SMART AI LIMITED")*Q$185</f>
        <v/>
      </c>
    </row>
    <row r="117" s="83">
      <c r="A117" s="5" t="inlineStr">
        <is>
          <t>销售费用</t>
        </is>
      </c>
      <c r="B117" s="6" t="inlineStr">
        <is>
          <t>直播间运营</t>
        </is>
      </c>
      <c r="D117" s="5" t="inlineStr">
        <is>
          <t>DP-黑哥团队服务费</t>
        </is>
      </c>
      <c r="E117" s="6" t="inlineStr">
        <is>
          <t>Q2102</t>
        </is>
      </c>
      <c r="F117" s="89">
        <f>-SUMIFS('1月数据源'!$I:$I,'1月数据源'!$D:$D,$E117,'1月数据源'!$F:$F,"SMART AI LIMITED")*F$185+SUMIFS('1月数据源'!$J:$J,'1月数据源'!$D:$D,$E117,'1月数据源'!$F:$F,"SMART AI LIMITED")*F$185</f>
        <v/>
      </c>
      <c r="G117" s="89">
        <f>-SUMIFS('2月数据源'!$I:$I,'2月数据源'!$D:$D,$E117,'2月数据源'!$F:$F,"SMART AI LIMITED")*G$185+SUMIFS('2月数据源'!$J:$J,'2月数据源'!$D:$D,$E117,'2月数据源'!$F:$F,"SMART AI LIMITED")*G$185</f>
        <v/>
      </c>
      <c r="H117" s="89">
        <f>-SUMIFS('3月数据源'!$I:$I,'3月数据源'!$D:$D,$E117,'3月数据源'!$F:$F,"SMART AI LIMITED")*H$185+SUMIFS('3月数据源'!$J:$J,'3月数据源'!$D:$D,$E117,'3月数据源'!$F:$F,"SMART AI LIMITED")*H$185</f>
        <v/>
      </c>
      <c r="I117" s="89">
        <f>-SUMIFS('4月数据源'!$I:$I,'4月数据源'!$D:$D,$E117,'4月数据源'!$F:$F,"SMART AI LIMITED")*I$185+SUMIFS('4月数据源'!$J:$J,'4月数据源'!$D:$D,$E117,'4月数据源'!$F:$F,"SMART AI LIMITED")*I$185</f>
        <v/>
      </c>
      <c r="J117" s="89">
        <f>-SUMIFS('5月数据源'!$I:$I,'5月数据源'!$D:$D,$E117,'5月数据源'!$F:$F,"SMART AI LIMITED")*J$185+SUMIFS('5月数据源'!$J:$J,'5月数据源'!$D:$D,$E117,'5月数据源'!$F:$F,"SMART AI LIMITED")*J$185</f>
        <v/>
      </c>
      <c r="K117" s="89">
        <f>-SUMIFS('6月数据源'!$I:$I,'6月数据源'!$D:$D,$E117,'6月数据源'!$F:$F,"SMART AI LIMITED")*K$185+SUMIFS('6月数据源'!$J:$J,'6月数据源'!$D:$D,$E117,'6月数据源'!$F:$F,"SMART AI LIMITED")*K$185</f>
        <v/>
      </c>
      <c r="L117" s="89">
        <f>-SUMIFS('7月数据源'!$I:$I,'7月数据源'!$D:$D,$E117,'7月数据源'!$F:$F,"SMART AI LIMITED")*L$185+SUMIFS('7月数据源'!$J:$J,'7月数据源'!$D:$D,$E117,'7月数据源'!$F:$F,"SMART AI LIMITED")*L$185</f>
        <v/>
      </c>
      <c r="M117" s="89">
        <f>-SUMIFS('8月数据源'!$I:$I,'8月数据源'!$D:$D,$E117,'8月数据源'!$F:$F,"SMART AI LIMITED")*M$185+SUMIFS('8月数据源'!$J:$J,'8月数据源'!$D:$D,$E117,'8月数据源'!$F:$F,"SMART AI LIMITED")*M$185</f>
        <v/>
      </c>
      <c r="N117" s="89">
        <f>-SUMIFS('9月数据源'!$I:$I,'9月数据源'!$D:$D,$E117,'9月数据源'!$F:$F,"SMART AI LIMITED")*N$185+SUMIFS('9月数据源'!$J:$J,'9月数据源'!$D:$D,$E117,'9月数据源'!$F:$F,"SMART AI LIMITED")*N$185</f>
        <v/>
      </c>
      <c r="O117" s="89">
        <f>-SUMIFS('10月数据源'!$I:$I,'10月数据源'!$D:$D,$E117,'10月数据源'!$F:$F,"SMART AI LIMITED")*O$185+SUMIFS('10月数据源'!$J:$J,'10月数据源'!$D:$D,$E117,'10月数据源'!$F:$F,"SMART AI LIMITED")*O$185</f>
        <v/>
      </c>
      <c r="P117" s="89">
        <f>-SUMIFS('11月数据源'!$I:$I,'11月数据源'!$D:$D,$E117,'11月数据源'!$F:$F,"SMART AI LIMITED")*P$185+SUMIFS('11月数据源'!$J:$J,'11月数据源'!$D:$D,$E117,'11月数据源'!$F:$F,"SMART AI LIMITED")*P$185</f>
        <v/>
      </c>
      <c r="Q117" s="89">
        <f>-SUMIFS('12月数据源'!$I:$I,'12月数据源'!$D:$D,$E117,'12月数据源'!$F:$F,"SMART AI LIMITED")*Q$185+SUMIFS('12月数据源'!$J:$J,'12月数据源'!$D:$D,$E117,'12月数据源'!$F:$F,"SMART AI LIMITED")*Q$185</f>
        <v/>
      </c>
    </row>
    <row r="118" s="83">
      <c r="A118" s="5" t="inlineStr">
        <is>
          <t>销售费用</t>
        </is>
      </c>
      <c r="B118" s="6" t="inlineStr">
        <is>
          <t>直播间运营</t>
        </is>
      </c>
      <c r="D118" s="5" t="inlineStr">
        <is>
          <t>DP-小太阳团队服务费</t>
        </is>
      </c>
      <c r="E118" s="6" t="inlineStr">
        <is>
          <t>Q2103</t>
        </is>
      </c>
      <c r="F118" s="89">
        <f>-SUMIFS('1月数据源'!$I:$I,'1月数据源'!$D:$D,$E118,'1月数据源'!$F:$F,"SMART AI LIMITED")*F$185+SUMIFS('1月数据源'!$J:$J,'1月数据源'!$D:$D,$E118,'1月数据源'!$F:$F,"SMART AI LIMITED")*F$185</f>
        <v/>
      </c>
      <c r="G118" s="89">
        <f>-SUMIFS('2月数据源'!$I:$I,'2月数据源'!$D:$D,$E118,'2月数据源'!$F:$F,"SMART AI LIMITED")*G$185+SUMIFS('2月数据源'!$J:$J,'2月数据源'!$D:$D,$E118,'2月数据源'!$F:$F,"SMART AI LIMITED")*G$185</f>
        <v/>
      </c>
      <c r="H118" s="89">
        <f>-SUMIFS('3月数据源'!$I:$I,'3月数据源'!$D:$D,$E118,'3月数据源'!$F:$F,"SMART AI LIMITED")*H$185+SUMIFS('3月数据源'!$J:$J,'3月数据源'!$D:$D,$E118,'3月数据源'!$F:$F,"SMART AI LIMITED")*H$185</f>
        <v/>
      </c>
      <c r="I118" s="89">
        <f>-SUMIFS('4月数据源'!$I:$I,'4月数据源'!$D:$D,$E118,'4月数据源'!$F:$F,"SMART AI LIMITED")*I$185+SUMIFS('4月数据源'!$J:$J,'4月数据源'!$D:$D,$E118,'4月数据源'!$F:$F,"SMART AI LIMITED")*I$185</f>
        <v/>
      </c>
      <c r="J118" s="89">
        <f>-SUMIFS('5月数据源'!$I:$I,'5月数据源'!$D:$D,$E118,'5月数据源'!$F:$F,"SMART AI LIMITED")*J$185+SUMIFS('5月数据源'!$J:$J,'5月数据源'!$D:$D,$E118,'5月数据源'!$F:$F,"SMART AI LIMITED")*J$185</f>
        <v/>
      </c>
      <c r="K118" s="89">
        <f>-SUMIFS('6月数据源'!$I:$I,'6月数据源'!$D:$D,$E118,'6月数据源'!$F:$F,"SMART AI LIMITED")*K$185+SUMIFS('6月数据源'!$J:$J,'6月数据源'!$D:$D,$E118,'6月数据源'!$F:$F,"SMART AI LIMITED")*K$185</f>
        <v/>
      </c>
      <c r="L118" s="89">
        <f>-SUMIFS('7月数据源'!$I:$I,'7月数据源'!$D:$D,$E118,'7月数据源'!$F:$F,"SMART AI LIMITED")*L$185+SUMIFS('7月数据源'!$J:$J,'7月数据源'!$D:$D,$E118,'7月数据源'!$F:$F,"SMART AI LIMITED")*L$185</f>
        <v/>
      </c>
      <c r="M118" s="89">
        <f>-SUMIFS('8月数据源'!$I:$I,'8月数据源'!$D:$D,$E118,'8月数据源'!$F:$F,"SMART AI LIMITED")*M$185+SUMIFS('8月数据源'!$J:$J,'8月数据源'!$D:$D,$E118,'8月数据源'!$F:$F,"SMART AI LIMITED")*M$185</f>
        <v/>
      </c>
      <c r="N118" s="89">
        <f>-SUMIFS('9月数据源'!$I:$I,'9月数据源'!$D:$D,$E118,'9月数据源'!$F:$F,"SMART AI LIMITED")*N$185+SUMIFS('9月数据源'!$J:$J,'9月数据源'!$D:$D,$E118,'9月数据源'!$F:$F,"SMART AI LIMITED")*N$185</f>
        <v/>
      </c>
      <c r="O118" s="89">
        <f>-SUMIFS('10月数据源'!$I:$I,'10月数据源'!$D:$D,$E118,'10月数据源'!$F:$F,"SMART AI LIMITED")*O$185+SUMIFS('10月数据源'!$J:$J,'10月数据源'!$D:$D,$E118,'10月数据源'!$F:$F,"SMART AI LIMITED")*O$185</f>
        <v/>
      </c>
      <c r="P118" s="89">
        <f>-SUMIFS('11月数据源'!$I:$I,'11月数据源'!$D:$D,$E118,'11月数据源'!$F:$F,"SMART AI LIMITED")*P$185+SUMIFS('11月数据源'!$J:$J,'11月数据源'!$D:$D,$E118,'11月数据源'!$F:$F,"SMART AI LIMITED")*P$185</f>
        <v/>
      </c>
      <c r="Q118" s="89">
        <f>-SUMIFS('12月数据源'!$I:$I,'12月数据源'!$D:$D,$E118,'12月数据源'!$F:$F,"SMART AI LIMITED")*Q$185+SUMIFS('12月数据源'!$J:$J,'12月数据源'!$D:$D,$E118,'12月数据源'!$F:$F,"SMART AI LIMITED")*Q$185</f>
        <v/>
      </c>
    </row>
    <row r="119" s="83">
      <c r="A119" s="5" t="inlineStr">
        <is>
          <t>销售费用</t>
        </is>
      </c>
      <c r="B119" s="6" t="inlineStr">
        <is>
          <t>直播间运营</t>
        </is>
      </c>
      <c r="D119" s="5" t="inlineStr">
        <is>
          <t>直播间搭建费用</t>
        </is>
      </c>
      <c r="E119" s="6" t="inlineStr">
        <is>
          <t>Q2104</t>
        </is>
      </c>
      <c r="F119" s="89">
        <f>-SUMIFS('1月数据源'!$I:$I,'1月数据源'!$D:$D,$E119,'1月数据源'!$F:$F,"SMART AI LIMITED")*F$185+SUMIFS('1月数据源'!$J:$J,'1月数据源'!$D:$D,$E119,'1月数据源'!$F:$F,"SMART AI LIMITED")*F$185</f>
        <v/>
      </c>
      <c r="G119" s="89">
        <f>-SUMIFS('2月数据源'!$I:$I,'2月数据源'!$D:$D,$E119,'2月数据源'!$F:$F,"SMART AI LIMITED")*G$185+SUMIFS('2月数据源'!$J:$J,'2月数据源'!$D:$D,$E119,'2月数据源'!$F:$F,"SMART AI LIMITED")*G$185</f>
        <v/>
      </c>
      <c r="H119" s="89">
        <f>-SUMIFS('3月数据源'!$I:$I,'3月数据源'!$D:$D,$E119,'3月数据源'!$F:$F,"SMART AI LIMITED")*H$185+SUMIFS('3月数据源'!$J:$J,'3月数据源'!$D:$D,$E119,'3月数据源'!$F:$F,"SMART AI LIMITED")*H$185</f>
        <v/>
      </c>
      <c r="I119" s="89">
        <f>-SUMIFS('4月数据源'!$I:$I,'4月数据源'!$D:$D,$E119,'4月数据源'!$F:$F,"SMART AI LIMITED")*I$185+SUMIFS('4月数据源'!$J:$J,'4月数据源'!$D:$D,$E119,'4月数据源'!$F:$F,"SMART AI LIMITED")*I$185</f>
        <v/>
      </c>
      <c r="J119" s="89">
        <f>-SUMIFS('5月数据源'!$I:$I,'5月数据源'!$D:$D,$E119,'5月数据源'!$F:$F,"SMART AI LIMITED")*J$185+SUMIFS('5月数据源'!$J:$J,'5月数据源'!$D:$D,$E119,'5月数据源'!$F:$F,"SMART AI LIMITED")*J$185</f>
        <v/>
      </c>
      <c r="K119" s="89">
        <f>-SUMIFS('6月数据源'!$I:$I,'6月数据源'!$D:$D,$E119,'6月数据源'!$F:$F,"SMART AI LIMITED")*K$185+SUMIFS('6月数据源'!$J:$J,'6月数据源'!$D:$D,$E119,'6月数据源'!$F:$F,"SMART AI LIMITED")*K$185</f>
        <v/>
      </c>
      <c r="L119" s="89">
        <f>-SUMIFS('7月数据源'!$I:$I,'7月数据源'!$D:$D,$E119,'7月数据源'!$F:$F,"SMART AI LIMITED")*L$185+SUMIFS('7月数据源'!$J:$J,'7月数据源'!$D:$D,$E119,'7月数据源'!$F:$F,"SMART AI LIMITED")*L$185</f>
        <v/>
      </c>
      <c r="M119" s="89">
        <f>-SUMIFS('8月数据源'!$I:$I,'8月数据源'!$D:$D,$E119,'8月数据源'!$F:$F,"SMART AI LIMITED")*M$185+SUMIFS('8月数据源'!$J:$J,'8月数据源'!$D:$D,$E119,'8月数据源'!$F:$F,"SMART AI LIMITED")*M$185</f>
        <v/>
      </c>
      <c r="N119" s="89">
        <f>-SUMIFS('9月数据源'!$I:$I,'9月数据源'!$D:$D,$E119,'9月数据源'!$F:$F,"SMART AI LIMITED")*N$185+SUMIFS('9月数据源'!$J:$J,'9月数据源'!$D:$D,$E119,'9月数据源'!$F:$F,"SMART AI LIMITED")*N$185</f>
        <v/>
      </c>
      <c r="O119" s="89">
        <f>-SUMIFS('10月数据源'!$I:$I,'10月数据源'!$D:$D,$E119,'10月数据源'!$F:$F,"SMART AI LIMITED")*O$185+SUMIFS('10月数据源'!$J:$J,'10月数据源'!$D:$D,$E119,'10月数据源'!$F:$F,"SMART AI LIMITED")*O$185</f>
        <v/>
      </c>
      <c r="P119" s="89">
        <f>-SUMIFS('11月数据源'!$I:$I,'11月数据源'!$D:$D,$E119,'11月数据源'!$F:$F,"SMART AI LIMITED")*P$185+SUMIFS('11月数据源'!$J:$J,'11月数据源'!$D:$D,$E119,'11月数据源'!$F:$F,"SMART AI LIMITED")*P$185</f>
        <v/>
      </c>
      <c r="Q119" s="89">
        <f>-SUMIFS('12月数据源'!$I:$I,'12月数据源'!$D:$D,$E119,'12月数据源'!$F:$F,"SMART AI LIMITED")*Q$185+SUMIFS('12月数据源'!$J:$J,'12月数据源'!$D:$D,$E119,'12月数据源'!$F:$F,"SMART AI LIMITED")*Q$185</f>
        <v/>
      </c>
    </row>
    <row r="120" s="83">
      <c r="A120" s="5" t="inlineStr">
        <is>
          <t>销售费用</t>
        </is>
      </c>
      <c r="B120" s="6" t="inlineStr">
        <is>
          <t>平台运营</t>
        </is>
      </c>
      <c r="C120" s="6" t="inlineStr">
        <is>
          <t>平台运营</t>
        </is>
      </c>
      <c r="D120" s="5" t="inlineStr">
        <is>
          <t>分期服务费</t>
        </is>
      </c>
      <c r="E120" s="6" t="inlineStr">
        <is>
          <t>Q2204</t>
        </is>
      </c>
      <c r="F120" s="89">
        <f>-SUMIFS('1月数据源'!$I:$I,'1月数据源'!$D:$D,$E120,'1月数据源'!$F:$F,"SMART AI LIMITED")*F$185+SUMIFS('1月数据源'!$J:$J,'1月数据源'!$D:$D,$E120,'1月数据源'!$F:$F,"SMART AI LIMITED")*F$185</f>
        <v/>
      </c>
      <c r="G120" s="89">
        <f>-SUMIFS('2月数据源'!$I:$I,'2月数据源'!$D:$D,$E120,'2月数据源'!$F:$F,"SMART AI LIMITED")*G$185+SUMIFS('2月数据源'!$J:$J,'2月数据源'!$D:$D,$E120,'2月数据源'!$F:$F,"SMART AI LIMITED")*G$185</f>
        <v/>
      </c>
      <c r="H120" s="89">
        <f>-SUMIFS('3月数据源'!$I:$I,'3月数据源'!$D:$D,$E120,'3月数据源'!$F:$F,"SMART AI LIMITED")*H$185+SUMIFS('3月数据源'!$J:$J,'3月数据源'!$D:$D,$E120,'3月数据源'!$F:$F,"SMART AI LIMITED")*H$185</f>
        <v/>
      </c>
      <c r="I120" s="89">
        <f>-SUMIFS('4月数据源'!$I:$I,'4月数据源'!$D:$D,$E120,'4月数据源'!$F:$F,"SMART AI LIMITED")*I$185+SUMIFS('4月数据源'!$J:$J,'4月数据源'!$D:$D,$E120,'4月数据源'!$F:$F,"SMART AI LIMITED")*I$185</f>
        <v/>
      </c>
      <c r="J120" s="89">
        <f>-SUMIFS('5月数据源'!$I:$I,'5月数据源'!$D:$D,$E120,'5月数据源'!$F:$F,"SMART AI LIMITED")*J$185+SUMIFS('5月数据源'!$J:$J,'5月数据源'!$D:$D,$E120,'5月数据源'!$F:$F,"SMART AI LIMITED")*J$185</f>
        <v/>
      </c>
      <c r="K120" s="89">
        <f>-SUMIFS('6月数据源'!$I:$I,'6月数据源'!$D:$D,$E120,'6月数据源'!$F:$F,"SMART AI LIMITED")*K$185+SUMIFS('6月数据源'!$J:$J,'6月数据源'!$D:$D,$E120,'6月数据源'!$F:$F,"SMART AI LIMITED")*K$185</f>
        <v/>
      </c>
      <c r="L120" s="89">
        <f>-SUMIFS('7月数据源'!$I:$I,'7月数据源'!$D:$D,$E120,'7月数据源'!$F:$F,"SMART AI LIMITED")*L$185+SUMIFS('7月数据源'!$J:$J,'7月数据源'!$D:$D,$E120,'7月数据源'!$F:$F,"SMART AI LIMITED")*L$185</f>
        <v/>
      </c>
      <c r="M120" s="89">
        <f>-SUMIFS('8月数据源'!$I:$I,'8月数据源'!$D:$D,$E120,'8月数据源'!$F:$F,"SMART AI LIMITED")*M$185+SUMIFS('8月数据源'!$J:$J,'8月数据源'!$D:$D,$E120,'8月数据源'!$F:$F,"SMART AI LIMITED")*M$185</f>
        <v/>
      </c>
      <c r="N120" s="89">
        <f>-SUMIFS('9月数据源'!$I:$I,'9月数据源'!$D:$D,$E120,'9月数据源'!$F:$F,"SMART AI LIMITED")*N$185+SUMIFS('9月数据源'!$J:$J,'9月数据源'!$D:$D,$E120,'9月数据源'!$F:$F,"SMART AI LIMITED")*N$185</f>
        <v/>
      </c>
      <c r="O120" s="89">
        <f>-SUMIFS('10月数据源'!$I:$I,'10月数据源'!$D:$D,$E120,'10月数据源'!$F:$F,"SMART AI LIMITED")*O$185+SUMIFS('10月数据源'!$J:$J,'10月数据源'!$D:$D,$E120,'10月数据源'!$F:$F,"SMART AI LIMITED")*O$185</f>
        <v/>
      </c>
      <c r="P120" s="89">
        <f>-SUMIFS('11月数据源'!$I:$I,'11月数据源'!$D:$D,$E120,'11月数据源'!$F:$F,"SMART AI LIMITED")*P$185+SUMIFS('11月数据源'!$J:$J,'11月数据源'!$D:$D,$E120,'11月数据源'!$F:$F,"SMART AI LIMITED")*P$185</f>
        <v/>
      </c>
      <c r="Q120" s="89">
        <f>-SUMIFS('12月数据源'!$I:$I,'12月数据源'!$D:$D,$E120,'12月数据源'!$F:$F,"SMART AI LIMITED")*Q$185+SUMIFS('12月数据源'!$J:$J,'12月数据源'!$D:$D,$E120,'12月数据源'!$F:$F,"SMART AI LIMITED")*Q$185</f>
        <v/>
      </c>
    </row>
    <row r="121" s="83">
      <c r="A121" s="5" t="inlineStr">
        <is>
          <t>销售费用</t>
        </is>
      </c>
      <c r="B121" s="6" t="inlineStr">
        <is>
          <t>平台运营</t>
        </is>
      </c>
      <c r="D121" s="5" t="inlineStr">
        <is>
          <t>平台服务费</t>
        </is>
      </c>
      <c r="E121" s="6" t="inlineStr">
        <is>
          <t>Q2201</t>
        </is>
      </c>
      <c r="F121" s="89">
        <f>-SUMIFS('1月数据源'!$I:$I,'1月数据源'!$D:$D,$E121,'1月数据源'!$F:$F,"SMART AI LIMITED")*F$185+SUMIFS('1月数据源'!$J:$J,'1月数据源'!$D:$D,$E121,'1月数据源'!$F:$F,"SMART AI LIMITED")*F$185</f>
        <v/>
      </c>
      <c r="G121" s="89">
        <f>-SUMIFS('2月数据源'!$I:$I,'2月数据源'!$D:$D,$E121,'2月数据源'!$F:$F,"SMART AI LIMITED")*G$185+SUMIFS('2月数据源'!$J:$J,'2月数据源'!$D:$D,$E121,'2月数据源'!$F:$F,"SMART AI LIMITED")*G$185</f>
        <v/>
      </c>
      <c r="H121" s="89">
        <f>-SUMIFS('3月数据源'!$I:$I,'3月数据源'!$D:$D,$E121,'3月数据源'!$F:$F,"SMART AI LIMITED")*H$185+SUMIFS('3月数据源'!$J:$J,'3月数据源'!$D:$D,$E121,'3月数据源'!$F:$F,"SMART AI LIMITED")*H$185</f>
        <v/>
      </c>
      <c r="I121" s="89">
        <f>-SUMIFS('4月数据源'!$I:$I,'4月数据源'!$D:$D,$E121,'4月数据源'!$F:$F,"SMART AI LIMITED")*I$185+SUMIFS('4月数据源'!$J:$J,'4月数据源'!$D:$D,$E121,'4月数据源'!$F:$F,"SMART AI LIMITED")*I$185</f>
        <v/>
      </c>
      <c r="J121" s="89">
        <f>-SUMIFS('5月数据源'!$I:$I,'5月数据源'!$D:$D,$E121,'5月数据源'!$F:$F,"SMART AI LIMITED")*J$185+SUMIFS('5月数据源'!$J:$J,'5月数据源'!$D:$D,$E121,'5月数据源'!$F:$F,"SMART AI LIMITED")*J$185</f>
        <v/>
      </c>
      <c r="K121" s="89">
        <f>-SUMIFS('6月数据源'!$I:$I,'6月数据源'!$D:$D,$E121,'6月数据源'!$F:$F,"SMART AI LIMITED")*K$185+SUMIFS('6月数据源'!$J:$J,'6月数据源'!$D:$D,$E121,'6月数据源'!$F:$F,"SMART AI LIMITED")*K$185</f>
        <v/>
      </c>
      <c r="L121" s="89">
        <f>-SUMIFS('7月数据源'!$I:$I,'7月数据源'!$D:$D,$E121,'7月数据源'!$F:$F,"SMART AI LIMITED")*L$185+SUMIFS('7月数据源'!$J:$J,'7月数据源'!$D:$D,$E121,'7月数据源'!$F:$F,"SMART AI LIMITED")*L$185</f>
        <v/>
      </c>
      <c r="M121" s="89">
        <f>-SUMIFS('8月数据源'!$I:$I,'8月数据源'!$D:$D,$E121,'8月数据源'!$F:$F,"SMART AI LIMITED")*M$185+SUMIFS('8月数据源'!$J:$J,'8月数据源'!$D:$D,$E121,'8月数据源'!$F:$F,"SMART AI LIMITED")*M$185</f>
        <v/>
      </c>
      <c r="N121" s="89">
        <f>-SUMIFS('9月数据源'!$I:$I,'9月数据源'!$D:$D,$E121,'9月数据源'!$F:$F,"SMART AI LIMITED")*N$185+SUMIFS('9月数据源'!$J:$J,'9月数据源'!$D:$D,$E121,'9月数据源'!$F:$F,"SMART AI LIMITED")*N$185</f>
        <v/>
      </c>
      <c r="O121" s="89">
        <f>-SUMIFS('10月数据源'!$I:$I,'10月数据源'!$D:$D,$E121,'10月数据源'!$F:$F,"SMART AI LIMITED")*O$185+SUMIFS('10月数据源'!$J:$J,'10月数据源'!$D:$D,$E121,'10月数据源'!$F:$F,"SMART AI LIMITED")*O$185</f>
        <v/>
      </c>
      <c r="P121" s="89">
        <f>-SUMIFS('11月数据源'!$I:$I,'11月数据源'!$D:$D,$E121,'11月数据源'!$F:$F,"SMART AI LIMITED")*P$185+SUMIFS('11月数据源'!$J:$J,'11月数据源'!$D:$D,$E121,'11月数据源'!$F:$F,"SMART AI LIMITED")*P$185</f>
        <v/>
      </c>
      <c r="Q121" s="89">
        <f>-SUMIFS('12月数据源'!$I:$I,'12月数据源'!$D:$D,$E121,'12月数据源'!$F:$F,"SMART AI LIMITED")*Q$185+SUMIFS('12月数据源'!$J:$J,'12月数据源'!$D:$D,$E121,'12月数据源'!$F:$F,"SMART AI LIMITED")*Q$185</f>
        <v/>
      </c>
    </row>
    <row r="122" s="83">
      <c r="A122" s="5" t="inlineStr">
        <is>
          <t>销售费用</t>
        </is>
      </c>
      <c r="B122" s="6" t="inlineStr">
        <is>
          <t>平台运营</t>
        </is>
      </c>
      <c r="D122" s="5" t="inlineStr">
        <is>
          <t>权益保险</t>
        </is>
      </c>
      <c r="E122" s="6" t="inlineStr">
        <is>
          <t>Q2205</t>
        </is>
      </c>
      <c r="F122" s="89">
        <f>-SUMIFS('1月数据源'!$I:$I,'1月数据源'!$D:$D,$E122,'1月数据源'!$F:$F,"SMART AI LIMITED")*F$185+SUMIFS('1月数据源'!$J:$J,'1月数据源'!$D:$D,$E122,'1月数据源'!$F:$F,"SMART AI LIMITED")*F$185</f>
        <v/>
      </c>
      <c r="G122" s="89">
        <f>-SUMIFS('2月数据源'!$I:$I,'2月数据源'!$D:$D,$E122,'2月数据源'!$F:$F,"SMART AI LIMITED")*G$185+SUMIFS('2月数据源'!$J:$J,'2月数据源'!$D:$D,$E122,'2月数据源'!$F:$F,"SMART AI LIMITED")*G$185</f>
        <v/>
      </c>
      <c r="H122" s="89">
        <f>-SUMIFS('3月数据源'!$I:$I,'3月数据源'!$D:$D,$E122,'3月数据源'!$F:$F,"SMART AI LIMITED")*H$185+SUMIFS('3月数据源'!$J:$J,'3月数据源'!$D:$D,$E122,'3月数据源'!$F:$F,"SMART AI LIMITED")*H$185</f>
        <v/>
      </c>
      <c r="I122" s="89">
        <f>-SUMIFS('4月数据源'!$I:$I,'4月数据源'!$D:$D,$E122,'4月数据源'!$F:$F,"SMART AI LIMITED")*I$185+SUMIFS('4月数据源'!$J:$J,'4月数据源'!$D:$D,$E122,'4月数据源'!$F:$F,"SMART AI LIMITED")*I$185</f>
        <v/>
      </c>
      <c r="J122" s="89">
        <f>-SUMIFS('5月数据源'!$I:$I,'5月数据源'!$D:$D,$E122,'5月数据源'!$F:$F,"SMART AI LIMITED")*J$185+SUMIFS('5月数据源'!$J:$J,'5月数据源'!$D:$D,$E122,'5月数据源'!$F:$F,"SMART AI LIMITED")*J$185</f>
        <v/>
      </c>
      <c r="K122" s="89">
        <f>-SUMIFS('6月数据源'!$I:$I,'6月数据源'!$D:$D,$E122,'6月数据源'!$F:$F,"SMART AI LIMITED")*K$185+SUMIFS('6月数据源'!$J:$J,'6月数据源'!$D:$D,$E122,'6月数据源'!$F:$F,"SMART AI LIMITED")*K$185</f>
        <v/>
      </c>
      <c r="L122" s="89">
        <f>-SUMIFS('7月数据源'!$I:$I,'7月数据源'!$D:$D,$E122,'7月数据源'!$F:$F,"SMART AI LIMITED")*L$185+SUMIFS('7月数据源'!$J:$J,'7月数据源'!$D:$D,$E122,'7月数据源'!$F:$F,"SMART AI LIMITED")*L$185</f>
        <v/>
      </c>
      <c r="M122" s="89">
        <f>-SUMIFS('8月数据源'!$I:$I,'8月数据源'!$D:$D,$E122,'8月数据源'!$F:$F,"SMART AI LIMITED")*M$185+SUMIFS('8月数据源'!$J:$J,'8月数据源'!$D:$D,$E122,'8月数据源'!$F:$F,"SMART AI LIMITED")*M$185</f>
        <v/>
      </c>
      <c r="N122" s="89">
        <f>-SUMIFS('9月数据源'!$I:$I,'9月数据源'!$D:$D,$E122,'9月数据源'!$F:$F,"SMART AI LIMITED")*N$185+SUMIFS('9月数据源'!$J:$J,'9月数据源'!$D:$D,$E122,'9月数据源'!$F:$F,"SMART AI LIMITED")*N$185</f>
        <v/>
      </c>
      <c r="O122" s="89">
        <f>-SUMIFS('10月数据源'!$I:$I,'10月数据源'!$D:$D,$E122,'10月数据源'!$F:$F,"SMART AI LIMITED")*O$185+SUMIFS('10月数据源'!$J:$J,'10月数据源'!$D:$D,$E122,'10月数据源'!$F:$F,"SMART AI LIMITED")*O$185</f>
        <v/>
      </c>
      <c r="P122" s="89">
        <f>-SUMIFS('11月数据源'!$I:$I,'11月数据源'!$D:$D,$E122,'11月数据源'!$F:$F,"SMART AI LIMITED")*P$185+SUMIFS('11月数据源'!$J:$J,'11月数据源'!$D:$D,$E122,'11月数据源'!$F:$F,"SMART AI LIMITED")*P$185</f>
        <v/>
      </c>
      <c r="Q122" s="89">
        <f>-SUMIFS('12月数据源'!$I:$I,'12月数据源'!$D:$D,$E122,'12月数据源'!$F:$F,"SMART AI LIMITED")*Q$185+SUMIFS('12月数据源'!$J:$J,'12月数据源'!$D:$D,$E122,'12月数据源'!$F:$F,"SMART AI LIMITED")*Q$185</f>
        <v/>
      </c>
    </row>
    <row r="123" s="83">
      <c r="A123" s="5" t="inlineStr">
        <is>
          <t>销售费用</t>
        </is>
      </c>
      <c r="B123" s="6" t="inlineStr">
        <is>
          <t>平台运营</t>
        </is>
      </c>
      <c r="D123" s="5" t="inlineStr">
        <is>
          <t>消费者赔付</t>
        </is>
      </c>
      <c r="E123" s="6" t="inlineStr">
        <is>
          <t>Q2206</t>
        </is>
      </c>
      <c r="F123" s="89">
        <f>-SUMIFS('1月数据源'!$I:$I,'1月数据源'!$D:$D,$E123,'1月数据源'!$F:$F,"SMART AI LIMITED")*F$185+SUMIFS('1月数据源'!$J:$J,'1月数据源'!$D:$D,$E123,'1月数据源'!$F:$F,"SMART AI LIMITED")*F$185</f>
        <v/>
      </c>
      <c r="G123" s="89">
        <f>-SUMIFS('2月数据源'!$I:$I,'2月数据源'!$D:$D,$E123,'2月数据源'!$F:$F,"SMART AI LIMITED")*G$185+SUMIFS('2月数据源'!$J:$J,'2月数据源'!$D:$D,$E123,'2月数据源'!$F:$F,"SMART AI LIMITED")*G$185</f>
        <v/>
      </c>
      <c r="H123" s="89">
        <f>-SUMIFS('3月数据源'!$I:$I,'3月数据源'!$D:$D,$E123,'3月数据源'!$F:$F,"SMART AI LIMITED")*H$185+SUMIFS('3月数据源'!$J:$J,'3月数据源'!$D:$D,$E123,'3月数据源'!$F:$F,"SMART AI LIMITED")*H$185</f>
        <v/>
      </c>
      <c r="I123" s="89">
        <f>-SUMIFS('4月数据源'!$I:$I,'4月数据源'!$D:$D,$E123,'4月数据源'!$F:$F,"SMART AI LIMITED")*I$185+SUMIFS('4月数据源'!$J:$J,'4月数据源'!$D:$D,$E123,'4月数据源'!$F:$F,"SMART AI LIMITED")*I$185</f>
        <v/>
      </c>
      <c r="J123" s="89">
        <f>-SUMIFS('5月数据源'!$I:$I,'5月数据源'!$D:$D,$E123,'5月数据源'!$F:$F,"SMART AI LIMITED")*J$185+SUMIFS('5月数据源'!$J:$J,'5月数据源'!$D:$D,$E123,'5月数据源'!$F:$F,"SMART AI LIMITED")*J$185</f>
        <v/>
      </c>
      <c r="K123" s="89">
        <f>-SUMIFS('6月数据源'!$I:$I,'6月数据源'!$D:$D,$E123,'6月数据源'!$F:$F,"SMART AI LIMITED")*K$185+SUMIFS('6月数据源'!$J:$J,'6月数据源'!$D:$D,$E123,'6月数据源'!$F:$F,"SMART AI LIMITED")*K$185</f>
        <v/>
      </c>
      <c r="L123" s="89">
        <f>-SUMIFS('7月数据源'!$I:$I,'7月数据源'!$D:$D,$E123,'7月数据源'!$F:$F,"SMART AI LIMITED")*L$185+SUMIFS('7月数据源'!$J:$J,'7月数据源'!$D:$D,$E123,'7月数据源'!$F:$F,"SMART AI LIMITED")*L$185</f>
        <v/>
      </c>
      <c r="M123" s="89">
        <f>-SUMIFS('8月数据源'!$I:$I,'8月数据源'!$D:$D,$E123,'8月数据源'!$F:$F,"SMART AI LIMITED")*M$185+SUMIFS('8月数据源'!$J:$J,'8月数据源'!$D:$D,$E123,'8月数据源'!$F:$F,"SMART AI LIMITED")*M$185</f>
        <v/>
      </c>
      <c r="N123" s="89">
        <f>-SUMIFS('9月数据源'!$I:$I,'9月数据源'!$D:$D,$E123,'9月数据源'!$F:$F,"SMART AI LIMITED")*N$185+SUMIFS('9月数据源'!$J:$J,'9月数据源'!$D:$D,$E123,'9月数据源'!$F:$F,"SMART AI LIMITED")*N$185</f>
        <v/>
      </c>
      <c r="O123" s="89">
        <f>-SUMIFS('10月数据源'!$I:$I,'10月数据源'!$D:$D,$E123,'10月数据源'!$F:$F,"SMART AI LIMITED")*O$185+SUMIFS('10月数据源'!$J:$J,'10月数据源'!$D:$D,$E123,'10月数据源'!$F:$F,"SMART AI LIMITED")*O$185</f>
        <v/>
      </c>
      <c r="P123" s="89">
        <f>-SUMIFS('11月数据源'!$I:$I,'11月数据源'!$D:$D,$E123,'11月数据源'!$F:$F,"SMART AI LIMITED")*P$185+SUMIFS('11月数据源'!$J:$J,'11月数据源'!$D:$D,$E123,'11月数据源'!$F:$F,"SMART AI LIMITED")*P$185</f>
        <v/>
      </c>
      <c r="Q123" s="89">
        <f>-SUMIFS('12月数据源'!$I:$I,'12月数据源'!$D:$D,$E123,'12月数据源'!$F:$F,"SMART AI LIMITED")*Q$185+SUMIFS('12月数据源'!$J:$J,'12月数据源'!$D:$D,$E123,'12月数据源'!$F:$F,"SMART AI LIMITED")*Q$185</f>
        <v/>
      </c>
    </row>
    <row r="124" s="83">
      <c r="A124" s="5" t="inlineStr">
        <is>
          <t>销售费用</t>
        </is>
      </c>
      <c r="B124" s="6" t="inlineStr">
        <is>
          <t>平台运营</t>
        </is>
      </c>
      <c r="D124" s="5" t="inlineStr">
        <is>
          <t>平台积分扣款</t>
        </is>
      </c>
      <c r="E124" s="6" t="inlineStr">
        <is>
          <t>Q2207</t>
        </is>
      </c>
      <c r="F124" s="89">
        <f>-SUMIFS('1月数据源'!$I:$I,'1月数据源'!$D:$D,$E124,'1月数据源'!$F:$F,"SMART AI LIMITED")*F$185+SUMIFS('1月数据源'!$J:$J,'1月数据源'!$D:$D,$E124,'1月数据源'!$F:$F,"SMART AI LIMITED")*F$185</f>
        <v/>
      </c>
      <c r="G124" s="89">
        <f>-SUMIFS('2月数据源'!$I:$I,'2月数据源'!$D:$D,$E124,'2月数据源'!$F:$F,"SMART AI LIMITED")*G$185+SUMIFS('2月数据源'!$J:$J,'2月数据源'!$D:$D,$E124,'2月数据源'!$F:$F,"SMART AI LIMITED")*G$185</f>
        <v/>
      </c>
      <c r="H124" s="89">
        <f>-SUMIFS('3月数据源'!$I:$I,'3月数据源'!$D:$D,$E124,'3月数据源'!$F:$F,"SMART AI LIMITED")*H$185+SUMIFS('3月数据源'!$J:$J,'3月数据源'!$D:$D,$E124,'3月数据源'!$F:$F,"SMART AI LIMITED")*H$185</f>
        <v/>
      </c>
      <c r="I124" s="89">
        <f>-SUMIFS('4月数据源'!$I:$I,'4月数据源'!$D:$D,$E124,'4月数据源'!$F:$F,"SMART AI LIMITED")*I$185+SUMIFS('4月数据源'!$J:$J,'4月数据源'!$D:$D,$E124,'4月数据源'!$F:$F,"SMART AI LIMITED")*I$185</f>
        <v/>
      </c>
      <c r="J124" s="89">
        <f>-SUMIFS('5月数据源'!$I:$I,'5月数据源'!$D:$D,$E124,'5月数据源'!$F:$F,"SMART AI LIMITED")*J$185+SUMIFS('5月数据源'!$J:$J,'5月数据源'!$D:$D,$E124,'5月数据源'!$F:$F,"SMART AI LIMITED")*J$185</f>
        <v/>
      </c>
      <c r="K124" s="89">
        <f>-SUMIFS('6月数据源'!$I:$I,'6月数据源'!$D:$D,$E124,'6月数据源'!$F:$F,"SMART AI LIMITED")*K$185+SUMIFS('6月数据源'!$J:$J,'6月数据源'!$D:$D,$E124,'6月数据源'!$F:$F,"SMART AI LIMITED")*K$185</f>
        <v/>
      </c>
      <c r="L124" s="89">
        <f>-SUMIFS('7月数据源'!$I:$I,'7月数据源'!$D:$D,$E124,'7月数据源'!$F:$F,"SMART AI LIMITED")*L$185+SUMIFS('7月数据源'!$J:$J,'7月数据源'!$D:$D,$E124,'7月数据源'!$F:$F,"SMART AI LIMITED")*L$185</f>
        <v/>
      </c>
      <c r="M124" s="89">
        <f>-SUMIFS('8月数据源'!$I:$I,'8月数据源'!$D:$D,$E124,'8月数据源'!$F:$F,"SMART AI LIMITED")*M$185+SUMIFS('8月数据源'!$J:$J,'8月数据源'!$D:$D,$E124,'8月数据源'!$F:$F,"SMART AI LIMITED")*M$185</f>
        <v/>
      </c>
      <c r="N124" s="89">
        <f>-SUMIFS('9月数据源'!$I:$I,'9月数据源'!$D:$D,$E124,'9月数据源'!$F:$F,"SMART AI LIMITED")*N$185+SUMIFS('9月数据源'!$J:$J,'9月数据源'!$D:$D,$E124,'9月数据源'!$F:$F,"SMART AI LIMITED")*N$185</f>
        <v/>
      </c>
      <c r="O124" s="89">
        <f>-SUMIFS('10月数据源'!$I:$I,'10月数据源'!$D:$D,$E124,'10月数据源'!$F:$F,"SMART AI LIMITED")*O$185+SUMIFS('10月数据源'!$J:$J,'10月数据源'!$D:$D,$E124,'10月数据源'!$F:$F,"SMART AI LIMITED")*O$185</f>
        <v/>
      </c>
      <c r="P124" s="89">
        <f>-SUMIFS('11月数据源'!$I:$I,'11月数据源'!$D:$D,$E124,'11月数据源'!$F:$F,"SMART AI LIMITED")*P$185+SUMIFS('11月数据源'!$J:$J,'11月数据源'!$D:$D,$E124,'11月数据源'!$F:$F,"SMART AI LIMITED")*P$185</f>
        <v/>
      </c>
      <c r="Q124" s="89">
        <f>-SUMIFS('12月数据源'!$I:$I,'12月数据源'!$D:$D,$E124,'12月数据源'!$F:$F,"SMART AI LIMITED")*Q$185+SUMIFS('12月数据源'!$J:$J,'12月数据源'!$D:$D,$E124,'12月数据源'!$F:$F,"SMART AI LIMITED")*Q$185</f>
        <v/>
      </c>
    </row>
    <row r="125" s="83">
      <c r="A125" s="5" t="inlineStr">
        <is>
          <t>销售费用</t>
        </is>
      </c>
      <c r="B125" s="6" t="inlineStr">
        <is>
          <t>平台运营</t>
        </is>
      </c>
      <c r="D125" s="5" t="inlineStr">
        <is>
          <t>平台推荐佣金</t>
        </is>
      </c>
      <c r="E125" s="6" t="inlineStr">
        <is>
          <t>Q2208</t>
        </is>
      </c>
      <c r="F125" s="89">
        <f>-SUMIFS('1月数据源'!$I:$I,'1月数据源'!$D:$D,$E125,'1月数据源'!$F:$F,"SMART AI LIMITED")*F$185+SUMIFS('1月数据源'!$J:$J,'1月数据源'!$D:$D,$E125,'1月数据源'!$F:$F,"SMART AI LIMITED")*F$185</f>
        <v/>
      </c>
      <c r="G125" s="89">
        <f>-SUMIFS('2月数据源'!$I:$I,'2月数据源'!$D:$D,$E125,'2月数据源'!$F:$F,"SMART AI LIMITED")*G$185+SUMIFS('2月数据源'!$J:$J,'2月数据源'!$D:$D,$E125,'2月数据源'!$F:$F,"SMART AI LIMITED")*G$185</f>
        <v/>
      </c>
      <c r="H125" s="89">
        <f>-SUMIFS('3月数据源'!$I:$I,'3月数据源'!$D:$D,$E125,'3月数据源'!$F:$F,"SMART AI LIMITED")*H$185+SUMIFS('3月数据源'!$J:$J,'3月数据源'!$D:$D,$E125,'3月数据源'!$F:$F,"SMART AI LIMITED")*H$185</f>
        <v/>
      </c>
      <c r="I125" s="89">
        <f>-SUMIFS('4月数据源'!$I:$I,'4月数据源'!$D:$D,$E125,'4月数据源'!$F:$F,"SMART AI LIMITED")*I$185+SUMIFS('4月数据源'!$J:$J,'4月数据源'!$D:$D,$E125,'4月数据源'!$F:$F,"SMART AI LIMITED")*I$185</f>
        <v/>
      </c>
      <c r="J125" s="89">
        <f>-SUMIFS('5月数据源'!$I:$I,'5月数据源'!$D:$D,$E125,'5月数据源'!$F:$F,"SMART AI LIMITED")*J$185+SUMIFS('5月数据源'!$J:$J,'5月数据源'!$D:$D,$E125,'5月数据源'!$F:$F,"SMART AI LIMITED")*J$185</f>
        <v/>
      </c>
      <c r="K125" s="89">
        <f>-SUMIFS('6月数据源'!$I:$I,'6月数据源'!$D:$D,$E125,'6月数据源'!$F:$F,"SMART AI LIMITED")*K$185+SUMIFS('6月数据源'!$J:$J,'6月数据源'!$D:$D,$E125,'6月数据源'!$F:$F,"SMART AI LIMITED")*K$185</f>
        <v/>
      </c>
      <c r="L125" s="89">
        <f>-SUMIFS('7月数据源'!$I:$I,'7月数据源'!$D:$D,$E125,'7月数据源'!$F:$F,"SMART AI LIMITED")*L$185+SUMIFS('7月数据源'!$J:$J,'7月数据源'!$D:$D,$E125,'7月数据源'!$F:$F,"SMART AI LIMITED")*L$185</f>
        <v/>
      </c>
      <c r="M125" s="89">
        <f>-SUMIFS('8月数据源'!$I:$I,'8月数据源'!$D:$D,$E125,'8月数据源'!$F:$F,"SMART AI LIMITED")*M$185+SUMIFS('8月数据源'!$J:$J,'8月数据源'!$D:$D,$E125,'8月数据源'!$F:$F,"SMART AI LIMITED")*M$185</f>
        <v/>
      </c>
      <c r="N125" s="89">
        <f>-SUMIFS('9月数据源'!$I:$I,'9月数据源'!$D:$D,$E125,'9月数据源'!$F:$F,"SMART AI LIMITED")*N$185+SUMIFS('9月数据源'!$J:$J,'9月数据源'!$D:$D,$E125,'9月数据源'!$F:$F,"SMART AI LIMITED")*N$185</f>
        <v/>
      </c>
      <c r="O125" s="89">
        <f>-SUMIFS('10月数据源'!$I:$I,'10月数据源'!$D:$D,$E125,'10月数据源'!$F:$F,"SMART AI LIMITED")*O$185+SUMIFS('10月数据源'!$J:$J,'10月数据源'!$D:$D,$E125,'10月数据源'!$F:$F,"SMART AI LIMITED")*O$185</f>
        <v/>
      </c>
      <c r="P125" s="89">
        <f>-SUMIFS('11月数据源'!$I:$I,'11月数据源'!$D:$D,$E125,'11月数据源'!$F:$F,"SMART AI LIMITED")*P$185+SUMIFS('11月数据源'!$J:$J,'11月数据源'!$D:$D,$E125,'11月数据源'!$F:$F,"SMART AI LIMITED")*P$185</f>
        <v/>
      </c>
      <c r="Q125" s="89">
        <f>-SUMIFS('12月数据源'!$I:$I,'12月数据源'!$D:$D,$E125,'12月数据源'!$F:$F,"SMART AI LIMITED")*Q$185+SUMIFS('12月数据源'!$J:$J,'12月数据源'!$D:$D,$E125,'12月数据源'!$F:$F,"SMART AI LIMITED")*Q$185</f>
        <v/>
      </c>
    </row>
    <row r="126" s="83">
      <c r="A126" s="5" t="inlineStr">
        <is>
          <t>销售费用</t>
        </is>
      </c>
      <c r="B126" s="6" t="inlineStr">
        <is>
          <t>平台运营</t>
        </is>
      </c>
      <c r="D126" s="5" t="inlineStr">
        <is>
          <t>保证金及认证费用</t>
        </is>
      </c>
      <c r="E126" s="6" t="inlineStr">
        <is>
          <t>Q2202</t>
        </is>
      </c>
      <c r="F126" s="89">
        <f>-SUMIFS('1月数据源'!$I:$I,'1月数据源'!$D:$D,$E126,'1月数据源'!$F:$F,"SMART AI LIMITED")*F$185+SUMIFS('1月数据源'!$J:$J,'1月数据源'!$D:$D,$E126,'1月数据源'!$F:$F,"SMART AI LIMITED")*F$185</f>
        <v/>
      </c>
      <c r="G126" s="89">
        <f>-SUMIFS('2月数据源'!$I:$I,'2月数据源'!$D:$D,$E126,'2月数据源'!$F:$F,"SMART AI LIMITED")*G$185+SUMIFS('2月数据源'!$J:$J,'2月数据源'!$D:$D,$E126,'2月数据源'!$F:$F,"SMART AI LIMITED")*G$185</f>
        <v/>
      </c>
      <c r="H126" s="89">
        <f>-SUMIFS('3月数据源'!$I:$I,'3月数据源'!$D:$D,$E126,'3月数据源'!$F:$F,"SMART AI LIMITED")*H$185+SUMIFS('3月数据源'!$J:$J,'3月数据源'!$D:$D,$E126,'3月数据源'!$F:$F,"SMART AI LIMITED")*H$185</f>
        <v/>
      </c>
      <c r="I126" s="89">
        <f>-SUMIFS('4月数据源'!$I:$I,'4月数据源'!$D:$D,$E126,'4月数据源'!$F:$F,"SMART AI LIMITED")*I$185+SUMIFS('4月数据源'!$J:$J,'4月数据源'!$D:$D,$E126,'4月数据源'!$F:$F,"SMART AI LIMITED")*I$185</f>
        <v/>
      </c>
      <c r="J126" s="89">
        <f>-SUMIFS('5月数据源'!$I:$I,'5月数据源'!$D:$D,$E126,'5月数据源'!$F:$F,"SMART AI LIMITED")*J$185+SUMIFS('5月数据源'!$J:$J,'5月数据源'!$D:$D,$E126,'5月数据源'!$F:$F,"SMART AI LIMITED")*J$185</f>
        <v/>
      </c>
      <c r="K126" s="89">
        <f>-SUMIFS('6月数据源'!$I:$I,'6月数据源'!$D:$D,$E126,'6月数据源'!$F:$F,"SMART AI LIMITED")*K$185+SUMIFS('6月数据源'!$J:$J,'6月数据源'!$D:$D,$E126,'6月数据源'!$F:$F,"SMART AI LIMITED")*K$185</f>
        <v/>
      </c>
      <c r="L126" s="89">
        <f>-SUMIFS('7月数据源'!$I:$I,'7月数据源'!$D:$D,$E126,'7月数据源'!$F:$F,"SMART AI LIMITED")*L$185+SUMIFS('7月数据源'!$J:$J,'7月数据源'!$D:$D,$E126,'7月数据源'!$F:$F,"SMART AI LIMITED")*L$185</f>
        <v/>
      </c>
      <c r="M126" s="89">
        <f>-SUMIFS('8月数据源'!$I:$I,'8月数据源'!$D:$D,$E126,'8月数据源'!$F:$F,"SMART AI LIMITED")*M$185+SUMIFS('8月数据源'!$J:$J,'8月数据源'!$D:$D,$E126,'8月数据源'!$F:$F,"SMART AI LIMITED")*M$185</f>
        <v/>
      </c>
      <c r="N126" s="89">
        <f>-SUMIFS('9月数据源'!$I:$I,'9月数据源'!$D:$D,$E126,'9月数据源'!$F:$F,"SMART AI LIMITED")*N$185+SUMIFS('9月数据源'!$J:$J,'9月数据源'!$D:$D,$E126,'9月数据源'!$F:$F,"SMART AI LIMITED")*N$185</f>
        <v/>
      </c>
      <c r="O126" s="89">
        <f>-SUMIFS('10月数据源'!$I:$I,'10月数据源'!$D:$D,$E126,'10月数据源'!$F:$F,"SMART AI LIMITED")*O$185+SUMIFS('10月数据源'!$J:$J,'10月数据源'!$D:$D,$E126,'10月数据源'!$F:$F,"SMART AI LIMITED")*O$185</f>
        <v/>
      </c>
      <c r="P126" s="89">
        <f>-SUMIFS('11月数据源'!$I:$I,'11月数据源'!$D:$D,$E126,'11月数据源'!$F:$F,"SMART AI LIMITED")*P$185+SUMIFS('11月数据源'!$J:$J,'11月数据源'!$D:$D,$E126,'11月数据源'!$F:$F,"SMART AI LIMITED")*P$185</f>
        <v/>
      </c>
      <c r="Q126" s="89">
        <f>-SUMIFS('12月数据源'!$I:$I,'12月数据源'!$D:$D,$E126,'12月数据源'!$F:$F,"SMART AI LIMITED")*Q$185+SUMIFS('12月数据源'!$J:$J,'12月数据源'!$D:$D,$E126,'12月数据源'!$F:$F,"SMART AI LIMITED")*Q$185</f>
        <v/>
      </c>
    </row>
    <row r="127" s="83">
      <c r="A127" s="5" t="inlineStr">
        <is>
          <t>销售费用</t>
        </is>
      </c>
      <c r="B127" s="6" t="inlineStr">
        <is>
          <t>平台运营</t>
        </is>
      </c>
      <c r="D127" s="5" t="inlineStr">
        <is>
          <t>品专支出</t>
        </is>
      </c>
      <c r="E127" s="6" t="inlineStr">
        <is>
          <t>Q2203</t>
        </is>
      </c>
      <c r="F127" s="89">
        <f>-SUMIFS('1月数据源'!$I:$I,'1月数据源'!$D:$D,$E127,'1月数据源'!$F:$F,"SMART AI LIMITED")*F$185+SUMIFS('1月数据源'!$J:$J,'1月数据源'!$D:$D,$E127,'1月数据源'!$F:$F,"SMART AI LIMITED")*F$185</f>
        <v/>
      </c>
      <c r="G127" s="89">
        <f>-SUMIFS('2月数据源'!$I:$I,'2月数据源'!$D:$D,$E127,'2月数据源'!$F:$F,"SMART AI LIMITED")*G$185+SUMIFS('2月数据源'!$J:$J,'2月数据源'!$D:$D,$E127,'2月数据源'!$F:$F,"SMART AI LIMITED")*G$185</f>
        <v/>
      </c>
      <c r="H127" s="89">
        <f>-SUMIFS('3月数据源'!$I:$I,'3月数据源'!$D:$D,$E127,'3月数据源'!$F:$F,"SMART AI LIMITED")*H$185+SUMIFS('3月数据源'!$J:$J,'3月数据源'!$D:$D,$E127,'3月数据源'!$F:$F,"SMART AI LIMITED")*H$185</f>
        <v/>
      </c>
      <c r="I127" s="89">
        <f>-SUMIFS('4月数据源'!$I:$I,'4月数据源'!$D:$D,$E127,'4月数据源'!$F:$F,"SMART AI LIMITED")*I$185+SUMIFS('4月数据源'!$J:$J,'4月数据源'!$D:$D,$E127,'4月数据源'!$F:$F,"SMART AI LIMITED")*I$185</f>
        <v/>
      </c>
      <c r="J127" s="89">
        <f>-SUMIFS('5月数据源'!$I:$I,'5月数据源'!$D:$D,$E127,'5月数据源'!$F:$F,"SMART AI LIMITED")*J$185+SUMIFS('5月数据源'!$J:$J,'5月数据源'!$D:$D,$E127,'5月数据源'!$F:$F,"SMART AI LIMITED")*J$185</f>
        <v/>
      </c>
      <c r="K127" s="89">
        <f>-SUMIFS('6月数据源'!$I:$I,'6月数据源'!$D:$D,$E127,'6月数据源'!$F:$F,"SMART AI LIMITED")*K$185+SUMIFS('6月数据源'!$J:$J,'6月数据源'!$D:$D,$E127,'6月数据源'!$F:$F,"SMART AI LIMITED")*K$185</f>
        <v/>
      </c>
      <c r="L127" s="89">
        <f>-SUMIFS('7月数据源'!$I:$I,'7月数据源'!$D:$D,$E127,'7月数据源'!$F:$F,"SMART AI LIMITED")*L$185+SUMIFS('7月数据源'!$J:$J,'7月数据源'!$D:$D,$E127,'7月数据源'!$F:$F,"SMART AI LIMITED")*L$185</f>
        <v/>
      </c>
      <c r="M127" s="89">
        <f>-SUMIFS('8月数据源'!$I:$I,'8月数据源'!$D:$D,$E127,'8月数据源'!$F:$F,"SMART AI LIMITED")*M$185+SUMIFS('8月数据源'!$J:$J,'8月数据源'!$D:$D,$E127,'8月数据源'!$F:$F,"SMART AI LIMITED")*M$185</f>
        <v/>
      </c>
      <c r="N127" s="89">
        <f>-SUMIFS('9月数据源'!$I:$I,'9月数据源'!$D:$D,$E127,'9月数据源'!$F:$F,"SMART AI LIMITED")*N$185+SUMIFS('9月数据源'!$J:$J,'9月数据源'!$D:$D,$E127,'9月数据源'!$F:$F,"SMART AI LIMITED")*N$185</f>
        <v/>
      </c>
      <c r="O127" s="89">
        <f>-SUMIFS('10月数据源'!$I:$I,'10月数据源'!$D:$D,$E127,'10月数据源'!$F:$F,"SMART AI LIMITED")*O$185+SUMIFS('10月数据源'!$J:$J,'10月数据源'!$D:$D,$E127,'10月数据源'!$F:$F,"SMART AI LIMITED")*O$185</f>
        <v/>
      </c>
      <c r="P127" s="89">
        <f>-SUMIFS('11月数据源'!$I:$I,'11月数据源'!$D:$D,$E127,'11月数据源'!$F:$F,"SMART AI LIMITED")*P$185+SUMIFS('11月数据源'!$J:$J,'11月数据源'!$D:$D,$E127,'11月数据源'!$F:$F,"SMART AI LIMITED")*P$185</f>
        <v/>
      </c>
      <c r="Q127" s="89">
        <f>-SUMIFS('12月数据源'!$I:$I,'12月数据源'!$D:$D,$E127,'12月数据源'!$F:$F,"SMART AI LIMITED")*Q$185+SUMIFS('12月数据源'!$J:$J,'12月数据源'!$D:$D,$E127,'12月数据源'!$F:$F,"SMART AI LIMITED")*Q$185</f>
        <v/>
      </c>
    </row>
    <row r="128" s="83">
      <c r="A128" s="5" t="inlineStr">
        <is>
          <t>销售费用</t>
        </is>
      </c>
      <c r="B128" s="6" t="inlineStr">
        <is>
          <t>平台运营</t>
        </is>
      </c>
      <c r="D128" s="5" t="inlineStr">
        <is>
          <t>其他平台扣款</t>
        </is>
      </c>
      <c r="E128" s="6" t="inlineStr">
        <is>
          <t>Q2209</t>
        </is>
      </c>
      <c r="F128" s="89">
        <f>-SUMIFS('1月数据源'!$I:$I,'1月数据源'!$D:$D,$E128,'1月数据源'!$F:$F,"SMART AI LIMITED")*F$185+SUMIFS('1月数据源'!$J:$J,'1月数据源'!$D:$D,$E128,'1月数据源'!$F:$F,"SMART AI LIMITED")*F$185</f>
        <v/>
      </c>
      <c r="G128" s="89">
        <f>-SUMIFS('2月数据源'!$I:$I,'2月数据源'!$D:$D,$E128,'2月数据源'!$F:$F,"SMART AI LIMITED")*G$185+SUMIFS('2月数据源'!$J:$J,'2月数据源'!$D:$D,$E128,'2月数据源'!$F:$F,"SMART AI LIMITED")*G$185</f>
        <v/>
      </c>
      <c r="H128" s="89">
        <f>-SUMIFS('3月数据源'!$I:$I,'3月数据源'!$D:$D,$E128,'3月数据源'!$F:$F,"SMART AI LIMITED")*H$185+SUMIFS('3月数据源'!$J:$J,'3月数据源'!$D:$D,$E128,'3月数据源'!$F:$F,"SMART AI LIMITED")*H$185</f>
        <v/>
      </c>
      <c r="I128" s="89">
        <f>-SUMIFS('4月数据源'!$I:$I,'4月数据源'!$D:$D,$E128,'4月数据源'!$F:$F,"SMART AI LIMITED")*I$185+SUMIFS('4月数据源'!$J:$J,'4月数据源'!$D:$D,$E128,'4月数据源'!$F:$F,"SMART AI LIMITED")*I$185</f>
        <v/>
      </c>
      <c r="J128" s="89">
        <f>-SUMIFS('5月数据源'!$I:$I,'5月数据源'!$D:$D,$E128,'5月数据源'!$F:$F,"SMART AI LIMITED")*J$185+SUMIFS('5月数据源'!$J:$J,'5月数据源'!$D:$D,$E128,'5月数据源'!$F:$F,"SMART AI LIMITED")*J$185</f>
        <v/>
      </c>
      <c r="K128" s="89">
        <f>-SUMIFS('6月数据源'!$I:$I,'6月数据源'!$D:$D,$E128,'6月数据源'!$F:$F,"SMART AI LIMITED")*K$185+SUMIFS('6月数据源'!$J:$J,'6月数据源'!$D:$D,$E128,'6月数据源'!$F:$F,"SMART AI LIMITED")*K$185</f>
        <v/>
      </c>
      <c r="L128" s="89">
        <f>-SUMIFS('7月数据源'!$I:$I,'7月数据源'!$D:$D,$E128,'7月数据源'!$F:$F,"SMART AI LIMITED")*L$185+SUMIFS('7月数据源'!$J:$J,'7月数据源'!$D:$D,$E128,'7月数据源'!$F:$F,"SMART AI LIMITED")*L$185</f>
        <v/>
      </c>
      <c r="M128" s="89">
        <f>-SUMIFS('8月数据源'!$I:$I,'8月数据源'!$D:$D,$E128,'8月数据源'!$F:$F,"SMART AI LIMITED")*M$185+SUMIFS('8月数据源'!$J:$J,'8月数据源'!$D:$D,$E128,'8月数据源'!$F:$F,"SMART AI LIMITED")*M$185</f>
        <v/>
      </c>
      <c r="N128" s="89">
        <f>-SUMIFS('9月数据源'!$I:$I,'9月数据源'!$D:$D,$E128,'9月数据源'!$F:$F,"SMART AI LIMITED")*N$185+SUMIFS('9月数据源'!$J:$J,'9月数据源'!$D:$D,$E128,'9月数据源'!$F:$F,"SMART AI LIMITED")*N$185</f>
        <v/>
      </c>
      <c r="O128" s="89">
        <f>-SUMIFS('10月数据源'!$I:$I,'10月数据源'!$D:$D,$E128,'10月数据源'!$F:$F,"SMART AI LIMITED")*O$185+SUMIFS('10月数据源'!$J:$J,'10月数据源'!$D:$D,$E128,'10月数据源'!$F:$F,"SMART AI LIMITED")*O$185</f>
        <v/>
      </c>
      <c r="P128" s="89">
        <f>-SUMIFS('11月数据源'!$I:$I,'11月数据源'!$D:$D,$E128,'11月数据源'!$F:$F,"SMART AI LIMITED")*P$185+SUMIFS('11月数据源'!$J:$J,'11月数据源'!$D:$D,$E128,'11月数据源'!$F:$F,"SMART AI LIMITED")*P$185</f>
        <v/>
      </c>
      <c r="Q128" s="89">
        <f>-SUMIFS('12月数据源'!$I:$I,'12月数据源'!$D:$D,$E128,'12月数据源'!$F:$F,"SMART AI LIMITED")*Q$185+SUMIFS('12月数据源'!$J:$J,'12月数据源'!$D:$D,$E128,'12月数据源'!$F:$F,"SMART AI LIMITED")*Q$185</f>
        <v/>
      </c>
    </row>
    <row r="129" s="83">
      <c r="A129" s="5" t="inlineStr">
        <is>
          <t>销售费用</t>
        </is>
      </c>
      <c r="B129" s="6" t="inlineStr">
        <is>
          <t>私域运营</t>
        </is>
      </c>
      <c r="C129" s="6" t="inlineStr">
        <is>
          <t>私域运营</t>
        </is>
      </c>
      <c r="D129" s="5" t="inlineStr">
        <is>
          <t>返现活动</t>
        </is>
      </c>
      <c r="E129" s="6" t="inlineStr">
        <is>
          <t>Q2301</t>
        </is>
      </c>
      <c r="F129" s="89">
        <f>-SUMIFS('1月数据源'!$I:$I,'1月数据源'!$D:$D,$E129,'1月数据源'!$F:$F,"SMART AI LIMITED")*F$185+SUMIFS('1月数据源'!$J:$J,'1月数据源'!$D:$D,$E129,'1月数据源'!$F:$F,"SMART AI LIMITED")*F$185</f>
        <v/>
      </c>
      <c r="G129" s="89">
        <f>-SUMIFS('2月数据源'!$I:$I,'2月数据源'!$D:$D,$E129,'2月数据源'!$F:$F,"SMART AI LIMITED")*G$185+SUMIFS('2月数据源'!$J:$J,'2月数据源'!$D:$D,$E129,'2月数据源'!$F:$F,"SMART AI LIMITED")*G$185</f>
        <v/>
      </c>
      <c r="H129" s="89">
        <f>-SUMIFS('3月数据源'!$I:$I,'3月数据源'!$D:$D,$E129,'3月数据源'!$F:$F,"SMART AI LIMITED")*H$185+SUMIFS('3月数据源'!$J:$J,'3月数据源'!$D:$D,$E129,'3月数据源'!$F:$F,"SMART AI LIMITED")*H$185</f>
        <v/>
      </c>
      <c r="I129" s="89">
        <f>-SUMIFS('4月数据源'!$I:$I,'4月数据源'!$D:$D,$E129,'4月数据源'!$F:$F,"SMART AI LIMITED")*I$185+SUMIFS('4月数据源'!$J:$J,'4月数据源'!$D:$D,$E129,'4月数据源'!$F:$F,"SMART AI LIMITED")*I$185</f>
        <v/>
      </c>
      <c r="J129" s="89">
        <f>-SUMIFS('5月数据源'!$I:$I,'5月数据源'!$D:$D,$E129,'5月数据源'!$F:$F,"SMART AI LIMITED")*J$185+SUMIFS('5月数据源'!$J:$J,'5月数据源'!$D:$D,$E129,'5月数据源'!$F:$F,"SMART AI LIMITED")*J$185</f>
        <v/>
      </c>
      <c r="K129" s="89">
        <f>-SUMIFS('6月数据源'!$I:$I,'6月数据源'!$D:$D,$E129,'6月数据源'!$F:$F,"SMART AI LIMITED")*K$185+SUMIFS('6月数据源'!$J:$J,'6月数据源'!$D:$D,$E129,'6月数据源'!$F:$F,"SMART AI LIMITED")*K$185</f>
        <v/>
      </c>
      <c r="L129" s="89">
        <f>-SUMIFS('7月数据源'!$I:$I,'7月数据源'!$D:$D,$E129,'7月数据源'!$F:$F,"SMART AI LIMITED")*L$185+SUMIFS('7月数据源'!$J:$J,'7月数据源'!$D:$D,$E129,'7月数据源'!$F:$F,"SMART AI LIMITED")*L$185</f>
        <v/>
      </c>
      <c r="M129" s="89">
        <f>-SUMIFS('8月数据源'!$I:$I,'8月数据源'!$D:$D,$E129,'8月数据源'!$F:$F,"SMART AI LIMITED")*M$185+SUMIFS('8月数据源'!$J:$J,'8月数据源'!$D:$D,$E129,'8月数据源'!$F:$F,"SMART AI LIMITED")*M$185</f>
        <v/>
      </c>
      <c r="N129" s="89">
        <f>-SUMIFS('9月数据源'!$I:$I,'9月数据源'!$D:$D,$E129,'9月数据源'!$F:$F,"SMART AI LIMITED")*N$185+SUMIFS('9月数据源'!$J:$J,'9月数据源'!$D:$D,$E129,'9月数据源'!$F:$F,"SMART AI LIMITED")*N$185</f>
        <v/>
      </c>
      <c r="O129" s="89">
        <f>-SUMIFS('10月数据源'!$I:$I,'10月数据源'!$D:$D,$E129,'10月数据源'!$F:$F,"SMART AI LIMITED")*O$185+SUMIFS('10月数据源'!$J:$J,'10月数据源'!$D:$D,$E129,'10月数据源'!$F:$F,"SMART AI LIMITED")*O$185</f>
        <v/>
      </c>
      <c r="P129" s="89">
        <f>-SUMIFS('11月数据源'!$I:$I,'11月数据源'!$D:$D,$E129,'11月数据源'!$F:$F,"SMART AI LIMITED")*P$185+SUMIFS('11月数据源'!$J:$J,'11月数据源'!$D:$D,$E129,'11月数据源'!$F:$F,"SMART AI LIMITED")*P$185</f>
        <v/>
      </c>
      <c r="Q129" s="89">
        <f>-SUMIFS('12月数据源'!$I:$I,'12月数据源'!$D:$D,$E129,'12月数据源'!$F:$F,"SMART AI LIMITED")*Q$185+SUMIFS('12月数据源'!$J:$J,'12月数据源'!$D:$D,$E129,'12月数据源'!$F:$F,"SMART AI LIMITED")*Q$185</f>
        <v/>
      </c>
    </row>
    <row r="130" s="83">
      <c r="A130" s="5" t="inlineStr">
        <is>
          <t>销售费用</t>
        </is>
      </c>
      <c r="B130" s="6" t="inlineStr">
        <is>
          <t>私域运营</t>
        </is>
      </c>
      <c r="D130" s="5" t="inlineStr">
        <is>
          <t>转介绍佣金</t>
        </is>
      </c>
      <c r="E130" s="6" t="inlineStr">
        <is>
          <t>Q2302</t>
        </is>
      </c>
      <c r="F130" s="89">
        <f>-SUMIFS('1月数据源'!$I:$I,'1月数据源'!$D:$D,$E130,'1月数据源'!$F:$F,"SMART AI LIMITED")*F$185+SUMIFS('1月数据源'!$J:$J,'1月数据源'!$D:$D,$E130,'1月数据源'!$F:$F,"SMART AI LIMITED")*F$185</f>
        <v/>
      </c>
      <c r="G130" s="89">
        <f>-SUMIFS('2月数据源'!$I:$I,'2月数据源'!$D:$D,$E130,'2月数据源'!$F:$F,"SMART AI LIMITED")*G$185+SUMIFS('2月数据源'!$J:$J,'2月数据源'!$D:$D,$E130,'2月数据源'!$F:$F,"SMART AI LIMITED")*G$185</f>
        <v/>
      </c>
      <c r="H130" s="89">
        <f>-SUMIFS('3月数据源'!$I:$I,'3月数据源'!$D:$D,$E130,'3月数据源'!$F:$F,"SMART AI LIMITED")*H$185+SUMIFS('3月数据源'!$J:$J,'3月数据源'!$D:$D,$E130,'3月数据源'!$F:$F,"SMART AI LIMITED")*H$185</f>
        <v/>
      </c>
      <c r="I130" s="89">
        <f>-SUMIFS('4月数据源'!$I:$I,'4月数据源'!$D:$D,$E130,'4月数据源'!$F:$F,"SMART AI LIMITED")*I$185+SUMIFS('4月数据源'!$J:$J,'4月数据源'!$D:$D,$E130,'4月数据源'!$F:$F,"SMART AI LIMITED")*I$185</f>
        <v/>
      </c>
      <c r="J130" s="89">
        <f>-SUMIFS('5月数据源'!$I:$I,'5月数据源'!$D:$D,$E130,'5月数据源'!$F:$F,"SMART AI LIMITED")*J$185+SUMIFS('5月数据源'!$J:$J,'5月数据源'!$D:$D,$E130,'5月数据源'!$F:$F,"SMART AI LIMITED")*J$185</f>
        <v/>
      </c>
      <c r="K130" s="89">
        <f>-SUMIFS('6月数据源'!$I:$I,'6月数据源'!$D:$D,$E130,'6月数据源'!$F:$F,"SMART AI LIMITED")*K$185+SUMIFS('6月数据源'!$J:$J,'6月数据源'!$D:$D,$E130,'6月数据源'!$F:$F,"SMART AI LIMITED")*K$185</f>
        <v/>
      </c>
      <c r="L130" s="89">
        <f>-SUMIFS('7月数据源'!$I:$I,'7月数据源'!$D:$D,$E130,'7月数据源'!$F:$F,"SMART AI LIMITED")*L$185+SUMIFS('7月数据源'!$J:$J,'7月数据源'!$D:$D,$E130,'7月数据源'!$F:$F,"SMART AI LIMITED")*L$185</f>
        <v/>
      </c>
      <c r="M130" s="89">
        <f>-SUMIFS('8月数据源'!$I:$I,'8月数据源'!$D:$D,$E130,'8月数据源'!$F:$F,"SMART AI LIMITED")*M$185+SUMIFS('8月数据源'!$J:$J,'8月数据源'!$D:$D,$E130,'8月数据源'!$F:$F,"SMART AI LIMITED")*M$185</f>
        <v/>
      </c>
      <c r="N130" s="89">
        <f>-SUMIFS('9月数据源'!$I:$I,'9月数据源'!$D:$D,$E130,'9月数据源'!$F:$F,"SMART AI LIMITED")*N$185+SUMIFS('9月数据源'!$J:$J,'9月数据源'!$D:$D,$E130,'9月数据源'!$F:$F,"SMART AI LIMITED")*N$185</f>
        <v/>
      </c>
      <c r="O130" s="89">
        <f>-SUMIFS('10月数据源'!$I:$I,'10月数据源'!$D:$D,$E130,'10月数据源'!$F:$F,"SMART AI LIMITED")*O$185+SUMIFS('10月数据源'!$J:$J,'10月数据源'!$D:$D,$E130,'10月数据源'!$F:$F,"SMART AI LIMITED")*O$185</f>
        <v/>
      </c>
      <c r="P130" s="89">
        <f>-SUMIFS('11月数据源'!$I:$I,'11月数据源'!$D:$D,$E130,'11月数据源'!$F:$F,"SMART AI LIMITED")*P$185+SUMIFS('11月数据源'!$J:$J,'11月数据源'!$D:$D,$E130,'11月数据源'!$F:$F,"SMART AI LIMITED")*P$185</f>
        <v/>
      </c>
      <c r="Q130" s="89">
        <f>-SUMIFS('12月数据源'!$I:$I,'12月数据源'!$D:$D,$E130,'12月数据源'!$F:$F,"SMART AI LIMITED")*Q$185+SUMIFS('12月数据源'!$J:$J,'12月数据源'!$D:$D,$E130,'12月数据源'!$F:$F,"SMART AI LIMITED")*Q$185</f>
        <v/>
      </c>
    </row>
    <row r="131" s="83">
      <c r="A131" s="5" t="inlineStr">
        <is>
          <t>销售费用</t>
        </is>
      </c>
      <c r="B131" s="6" t="inlineStr">
        <is>
          <t>达人带货</t>
        </is>
      </c>
      <c r="C131" s="6" t="inlineStr">
        <is>
          <t>达人带货</t>
        </is>
      </c>
      <c r="D131" s="5" t="inlineStr">
        <is>
          <t>坑位费</t>
        </is>
      </c>
      <c r="E131" s="6" t="inlineStr">
        <is>
          <t>Q2401</t>
        </is>
      </c>
      <c r="F131" s="89">
        <f>-SUMIFS('1月数据源'!$I:$I,'1月数据源'!$D:$D,$E131,'1月数据源'!$F:$F,"SMART AI LIMITED")*F$185+SUMIFS('1月数据源'!$J:$J,'1月数据源'!$D:$D,$E131,'1月数据源'!$F:$F,"SMART AI LIMITED")*F$185</f>
        <v/>
      </c>
      <c r="G131" s="89">
        <f>-SUMIFS('2月数据源'!$I:$I,'2月数据源'!$D:$D,$E131,'2月数据源'!$F:$F,"SMART AI LIMITED")*G$185+SUMIFS('2月数据源'!$J:$J,'2月数据源'!$D:$D,$E131,'2月数据源'!$F:$F,"SMART AI LIMITED")*G$185</f>
        <v/>
      </c>
      <c r="H131" s="89">
        <f>-SUMIFS('3月数据源'!$I:$I,'3月数据源'!$D:$D,$E131,'3月数据源'!$F:$F,"SMART AI LIMITED")*H$185+SUMIFS('3月数据源'!$J:$J,'3月数据源'!$D:$D,$E131,'3月数据源'!$F:$F,"SMART AI LIMITED")*H$185</f>
        <v/>
      </c>
      <c r="I131" s="89">
        <f>-SUMIFS('4月数据源'!$I:$I,'4月数据源'!$D:$D,$E131,'4月数据源'!$F:$F,"SMART AI LIMITED")*I$185+SUMIFS('4月数据源'!$J:$J,'4月数据源'!$D:$D,$E131,'4月数据源'!$F:$F,"SMART AI LIMITED")*I$185</f>
        <v/>
      </c>
      <c r="J131" s="89">
        <f>-SUMIFS('5月数据源'!$I:$I,'5月数据源'!$D:$D,$E131,'5月数据源'!$F:$F,"SMART AI LIMITED")*J$185+SUMIFS('5月数据源'!$J:$J,'5月数据源'!$D:$D,$E131,'5月数据源'!$F:$F,"SMART AI LIMITED")*J$185</f>
        <v/>
      </c>
      <c r="K131" s="89">
        <f>-SUMIFS('6月数据源'!$I:$I,'6月数据源'!$D:$D,$E131,'6月数据源'!$F:$F,"SMART AI LIMITED")*K$185+SUMIFS('6月数据源'!$J:$J,'6月数据源'!$D:$D,$E131,'6月数据源'!$F:$F,"SMART AI LIMITED")*K$185</f>
        <v/>
      </c>
      <c r="L131" s="89">
        <f>-SUMIFS('7月数据源'!$I:$I,'7月数据源'!$D:$D,$E131,'7月数据源'!$F:$F,"SMART AI LIMITED")*L$185+SUMIFS('7月数据源'!$J:$J,'7月数据源'!$D:$D,$E131,'7月数据源'!$F:$F,"SMART AI LIMITED")*L$185</f>
        <v/>
      </c>
      <c r="M131" s="89">
        <f>-SUMIFS('8月数据源'!$I:$I,'8月数据源'!$D:$D,$E131,'8月数据源'!$F:$F,"SMART AI LIMITED")*M$185+SUMIFS('8月数据源'!$J:$J,'8月数据源'!$D:$D,$E131,'8月数据源'!$F:$F,"SMART AI LIMITED")*M$185</f>
        <v/>
      </c>
      <c r="N131" s="89">
        <f>-SUMIFS('9月数据源'!$I:$I,'9月数据源'!$D:$D,$E131,'9月数据源'!$F:$F,"SMART AI LIMITED")*N$185+SUMIFS('9月数据源'!$J:$J,'9月数据源'!$D:$D,$E131,'9月数据源'!$F:$F,"SMART AI LIMITED")*N$185</f>
        <v/>
      </c>
      <c r="O131" s="89">
        <f>-SUMIFS('10月数据源'!$I:$I,'10月数据源'!$D:$D,$E131,'10月数据源'!$F:$F,"SMART AI LIMITED")*O$185+SUMIFS('10月数据源'!$J:$J,'10月数据源'!$D:$D,$E131,'10月数据源'!$F:$F,"SMART AI LIMITED")*O$185</f>
        <v/>
      </c>
      <c r="P131" s="89">
        <f>-SUMIFS('11月数据源'!$I:$I,'11月数据源'!$D:$D,$E131,'11月数据源'!$F:$F,"SMART AI LIMITED")*P$185+SUMIFS('11月数据源'!$J:$J,'11月数据源'!$D:$D,$E131,'11月数据源'!$F:$F,"SMART AI LIMITED")*P$185</f>
        <v/>
      </c>
      <c r="Q131" s="89">
        <f>-SUMIFS('12月数据源'!$I:$I,'12月数据源'!$D:$D,$E131,'12月数据源'!$F:$F,"SMART AI LIMITED")*Q$185+SUMIFS('12月数据源'!$J:$J,'12月数据源'!$D:$D,$E131,'12月数据源'!$F:$F,"SMART AI LIMITED")*Q$185</f>
        <v/>
      </c>
    </row>
    <row r="132" s="83">
      <c r="A132" s="5" t="inlineStr">
        <is>
          <t>销售费用</t>
        </is>
      </c>
      <c r="B132" s="6" t="inlineStr">
        <is>
          <t>达人带货</t>
        </is>
      </c>
      <c r="D132" s="5" t="inlineStr">
        <is>
          <t>佣金</t>
        </is>
      </c>
      <c r="E132" s="6" t="inlineStr">
        <is>
          <t>Q2402</t>
        </is>
      </c>
      <c r="F132" s="89">
        <f>-SUMIFS('1月数据源'!$I:$I,'1月数据源'!$D:$D,$E132,'1月数据源'!$F:$F,"SMART AI LIMITED")*F$185+SUMIFS('1月数据源'!$J:$J,'1月数据源'!$D:$D,$E132,'1月数据源'!$F:$F,"SMART AI LIMITED")*F$185</f>
        <v/>
      </c>
      <c r="G132" s="89">
        <f>-SUMIFS('2月数据源'!$I:$I,'2月数据源'!$D:$D,$E132,'2月数据源'!$F:$F,"SMART AI LIMITED")*G$185+SUMIFS('2月数据源'!$J:$J,'2月数据源'!$D:$D,$E132,'2月数据源'!$F:$F,"SMART AI LIMITED")*G$185</f>
        <v/>
      </c>
      <c r="H132" s="89">
        <f>-SUMIFS('3月数据源'!$I:$I,'3月数据源'!$D:$D,$E132,'3月数据源'!$F:$F,"SMART AI LIMITED")*H$185+SUMIFS('3月数据源'!$J:$J,'3月数据源'!$D:$D,$E132,'3月数据源'!$F:$F,"SMART AI LIMITED")*H$185</f>
        <v/>
      </c>
      <c r="I132" s="89">
        <f>-SUMIFS('4月数据源'!$I:$I,'4月数据源'!$D:$D,$E132,'4月数据源'!$F:$F,"SMART AI LIMITED")*I$185+SUMIFS('4月数据源'!$J:$J,'4月数据源'!$D:$D,$E132,'4月数据源'!$F:$F,"SMART AI LIMITED")*I$185</f>
        <v/>
      </c>
      <c r="J132" s="89">
        <f>-SUMIFS('5月数据源'!$I:$I,'5月数据源'!$D:$D,$E132,'5月数据源'!$F:$F,"SMART AI LIMITED")*J$185+SUMIFS('5月数据源'!$J:$J,'5月数据源'!$D:$D,$E132,'5月数据源'!$F:$F,"SMART AI LIMITED")*J$185</f>
        <v/>
      </c>
      <c r="K132" s="89">
        <f>-SUMIFS('6月数据源'!$I:$I,'6月数据源'!$D:$D,$E132,'6月数据源'!$F:$F,"SMART AI LIMITED")*K$185+SUMIFS('6月数据源'!$J:$J,'6月数据源'!$D:$D,$E132,'6月数据源'!$F:$F,"SMART AI LIMITED")*K$185</f>
        <v/>
      </c>
      <c r="L132" s="89">
        <f>-SUMIFS('7月数据源'!$I:$I,'7月数据源'!$D:$D,$E132,'7月数据源'!$F:$F,"SMART AI LIMITED")*L$185+SUMIFS('7月数据源'!$J:$J,'7月数据源'!$D:$D,$E132,'7月数据源'!$F:$F,"SMART AI LIMITED")*L$185</f>
        <v/>
      </c>
      <c r="M132" s="89">
        <f>-SUMIFS('8月数据源'!$I:$I,'8月数据源'!$D:$D,$E132,'8月数据源'!$F:$F,"SMART AI LIMITED")*M$185+SUMIFS('8月数据源'!$J:$J,'8月数据源'!$D:$D,$E132,'8月数据源'!$F:$F,"SMART AI LIMITED")*M$185</f>
        <v/>
      </c>
      <c r="N132" s="89">
        <f>-SUMIFS('9月数据源'!$I:$I,'9月数据源'!$D:$D,$E132,'9月数据源'!$F:$F,"SMART AI LIMITED")*N$185+SUMIFS('9月数据源'!$J:$J,'9月数据源'!$D:$D,$E132,'9月数据源'!$F:$F,"SMART AI LIMITED")*N$185</f>
        <v/>
      </c>
      <c r="O132" s="89">
        <f>-SUMIFS('10月数据源'!$I:$I,'10月数据源'!$D:$D,$E132,'10月数据源'!$F:$F,"SMART AI LIMITED")*O$185+SUMIFS('10月数据源'!$J:$J,'10月数据源'!$D:$D,$E132,'10月数据源'!$F:$F,"SMART AI LIMITED")*O$185</f>
        <v/>
      </c>
      <c r="P132" s="89">
        <f>-SUMIFS('11月数据源'!$I:$I,'11月数据源'!$D:$D,$E132,'11月数据源'!$F:$F,"SMART AI LIMITED")*P$185+SUMIFS('11月数据源'!$J:$J,'11月数据源'!$D:$D,$E132,'11月数据源'!$F:$F,"SMART AI LIMITED")*P$185</f>
        <v/>
      </c>
      <c r="Q132" s="89">
        <f>-SUMIFS('12月数据源'!$I:$I,'12月数据源'!$D:$D,$E132,'12月数据源'!$F:$F,"SMART AI LIMITED")*Q$185+SUMIFS('12月数据源'!$J:$J,'12月数据源'!$D:$D,$E132,'12月数据源'!$F:$F,"SMART AI LIMITED")*Q$185</f>
        <v/>
      </c>
    </row>
    <row r="133" s="83">
      <c r="A133" s="5" t="inlineStr">
        <is>
          <t>销售费用</t>
        </is>
      </c>
      <c r="B133" s="6" t="inlineStr">
        <is>
          <t>达人带货</t>
        </is>
      </c>
      <c r="D133" s="5" t="inlineStr">
        <is>
          <t>助播费用</t>
        </is>
      </c>
      <c r="E133" s="6" t="inlineStr">
        <is>
          <t>Q2403</t>
        </is>
      </c>
      <c r="F133" s="89">
        <f>-SUMIFS('1月数据源'!$I:$I,'1月数据源'!$D:$D,$E133,'1月数据源'!$F:$F,"SMART AI LIMITED")*F$185+SUMIFS('1月数据源'!$J:$J,'1月数据源'!$D:$D,$E133,'1月数据源'!$F:$F,"SMART AI LIMITED")*F$185</f>
        <v/>
      </c>
      <c r="G133" s="89">
        <f>-SUMIFS('2月数据源'!$I:$I,'2月数据源'!$D:$D,$E133,'2月数据源'!$F:$F,"SMART AI LIMITED")*G$185+SUMIFS('2月数据源'!$J:$J,'2月数据源'!$D:$D,$E133,'2月数据源'!$F:$F,"SMART AI LIMITED")*G$185</f>
        <v/>
      </c>
      <c r="H133" s="89">
        <f>-SUMIFS('3月数据源'!$I:$I,'3月数据源'!$D:$D,$E133,'3月数据源'!$F:$F,"SMART AI LIMITED")*H$185+SUMIFS('3月数据源'!$J:$J,'3月数据源'!$D:$D,$E133,'3月数据源'!$F:$F,"SMART AI LIMITED")*H$185</f>
        <v/>
      </c>
      <c r="I133" s="89">
        <f>-SUMIFS('4月数据源'!$I:$I,'4月数据源'!$D:$D,$E133,'4月数据源'!$F:$F,"SMART AI LIMITED")*I$185+SUMIFS('4月数据源'!$J:$J,'4月数据源'!$D:$D,$E133,'4月数据源'!$F:$F,"SMART AI LIMITED")*I$185</f>
        <v/>
      </c>
      <c r="J133" s="89">
        <f>-SUMIFS('5月数据源'!$I:$I,'5月数据源'!$D:$D,$E133,'5月数据源'!$F:$F,"SMART AI LIMITED")*J$185+SUMIFS('5月数据源'!$J:$J,'5月数据源'!$D:$D,$E133,'5月数据源'!$F:$F,"SMART AI LIMITED")*J$185</f>
        <v/>
      </c>
      <c r="K133" s="89">
        <f>-SUMIFS('6月数据源'!$I:$I,'6月数据源'!$D:$D,$E133,'6月数据源'!$F:$F,"SMART AI LIMITED")*K$185+SUMIFS('6月数据源'!$J:$J,'6月数据源'!$D:$D,$E133,'6月数据源'!$F:$F,"SMART AI LIMITED")*K$185</f>
        <v/>
      </c>
      <c r="L133" s="89">
        <f>-SUMIFS('7月数据源'!$I:$I,'7月数据源'!$D:$D,$E133,'7月数据源'!$F:$F,"SMART AI LIMITED")*L$185+SUMIFS('7月数据源'!$J:$J,'7月数据源'!$D:$D,$E133,'7月数据源'!$F:$F,"SMART AI LIMITED")*L$185</f>
        <v/>
      </c>
      <c r="M133" s="89">
        <f>-SUMIFS('8月数据源'!$I:$I,'8月数据源'!$D:$D,$E133,'8月数据源'!$F:$F,"SMART AI LIMITED")*M$185+SUMIFS('8月数据源'!$J:$J,'8月数据源'!$D:$D,$E133,'8月数据源'!$F:$F,"SMART AI LIMITED")*M$185</f>
        <v/>
      </c>
      <c r="N133" s="89">
        <f>-SUMIFS('9月数据源'!$I:$I,'9月数据源'!$D:$D,$E133,'9月数据源'!$F:$F,"SMART AI LIMITED")*N$185+SUMIFS('9月数据源'!$J:$J,'9月数据源'!$D:$D,$E133,'9月数据源'!$F:$F,"SMART AI LIMITED")*N$185</f>
        <v/>
      </c>
      <c r="O133" s="89">
        <f>-SUMIFS('10月数据源'!$I:$I,'10月数据源'!$D:$D,$E133,'10月数据源'!$F:$F,"SMART AI LIMITED")*O$185+SUMIFS('10月数据源'!$J:$J,'10月数据源'!$D:$D,$E133,'10月数据源'!$F:$F,"SMART AI LIMITED")*O$185</f>
        <v/>
      </c>
      <c r="P133" s="89">
        <f>-SUMIFS('11月数据源'!$I:$I,'11月数据源'!$D:$D,$E133,'11月数据源'!$F:$F,"SMART AI LIMITED")*P$185+SUMIFS('11月数据源'!$J:$J,'11月数据源'!$D:$D,$E133,'11月数据源'!$F:$F,"SMART AI LIMITED")*P$185</f>
        <v/>
      </c>
      <c r="Q133" s="89">
        <f>-SUMIFS('12月数据源'!$I:$I,'12月数据源'!$D:$D,$E133,'12月数据源'!$F:$F,"SMART AI LIMITED")*Q$185+SUMIFS('12月数据源'!$J:$J,'12月数据源'!$D:$D,$E133,'12月数据源'!$F:$F,"SMART AI LIMITED")*Q$185</f>
        <v/>
      </c>
    </row>
    <row r="134" s="83">
      <c r="A134" s="5" t="inlineStr">
        <is>
          <t>销售费用</t>
        </is>
      </c>
      <c r="B134" s="6" t="inlineStr">
        <is>
          <t>发货成本</t>
        </is>
      </c>
      <c r="C134" s="6" t="inlineStr">
        <is>
          <t>发货成本</t>
        </is>
      </c>
      <c r="D134" s="5" t="inlineStr">
        <is>
          <t>快递费</t>
        </is>
      </c>
      <c r="E134" s="6" t="inlineStr">
        <is>
          <t>Q2501</t>
        </is>
      </c>
      <c r="F134" s="89">
        <f>-SUMIFS('1月数据源'!$I:$I,'1月数据源'!$D:$D,$E134,'1月数据源'!$F:$F,"SMART AI LIMITED")*F$185+SUMIFS('1月数据源'!$J:$J,'1月数据源'!$D:$D,$E134,'1月数据源'!$F:$F,"SMART AI LIMITED")*F$185</f>
        <v/>
      </c>
      <c r="G134" s="89">
        <f>-SUMIFS('2月数据源'!$I:$I,'2月数据源'!$D:$D,$E134,'2月数据源'!$F:$F,"SMART AI LIMITED")*G$185+SUMIFS('2月数据源'!$J:$J,'2月数据源'!$D:$D,$E134,'2月数据源'!$F:$F,"SMART AI LIMITED")*G$185</f>
        <v/>
      </c>
      <c r="H134" s="89">
        <f>-SUMIFS('3月数据源'!$I:$I,'3月数据源'!$D:$D,$E134,'3月数据源'!$F:$F,"SMART AI LIMITED")*H$185+SUMIFS('3月数据源'!$J:$J,'3月数据源'!$D:$D,$E134,'3月数据源'!$F:$F,"SMART AI LIMITED")*H$185</f>
        <v/>
      </c>
      <c r="I134" s="89">
        <f>-SUMIFS('4月数据源'!$I:$I,'4月数据源'!$D:$D,$E134,'4月数据源'!$F:$F,"SMART AI LIMITED")*I$185+SUMIFS('4月数据源'!$J:$J,'4月数据源'!$D:$D,$E134,'4月数据源'!$F:$F,"SMART AI LIMITED")*I$185</f>
        <v/>
      </c>
      <c r="J134" s="89">
        <f>-SUMIFS('5月数据源'!$I:$I,'5月数据源'!$D:$D,$E134,'5月数据源'!$F:$F,"SMART AI LIMITED")*J$185+SUMIFS('5月数据源'!$J:$J,'5月数据源'!$D:$D,$E134,'5月数据源'!$F:$F,"SMART AI LIMITED")*J$185</f>
        <v/>
      </c>
      <c r="K134" s="89">
        <f>-SUMIFS('6月数据源'!$I:$I,'6月数据源'!$D:$D,$E134,'6月数据源'!$F:$F,"SMART AI LIMITED")*K$185+SUMIFS('6月数据源'!$J:$J,'6月数据源'!$D:$D,$E134,'6月数据源'!$F:$F,"SMART AI LIMITED")*K$185</f>
        <v/>
      </c>
      <c r="L134" s="89">
        <f>-SUMIFS('7月数据源'!$I:$I,'7月数据源'!$D:$D,$E134,'7月数据源'!$F:$F,"SMART AI LIMITED")*L$185+SUMIFS('7月数据源'!$J:$J,'7月数据源'!$D:$D,$E134,'7月数据源'!$F:$F,"SMART AI LIMITED")*L$185</f>
        <v/>
      </c>
      <c r="M134" s="89">
        <f>-SUMIFS('8月数据源'!$I:$I,'8月数据源'!$D:$D,$E134,'8月数据源'!$F:$F,"SMART AI LIMITED")*M$185+SUMIFS('8月数据源'!$J:$J,'8月数据源'!$D:$D,$E134,'8月数据源'!$F:$F,"SMART AI LIMITED")*M$185</f>
        <v/>
      </c>
      <c r="N134" s="89">
        <f>-SUMIFS('9月数据源'!$I:$I,'9月数据源'!$D:$D,$E134,'9月数据源'!$F:$F,"SMART AI LIMITED")*N$185+SUMIFS('9月数据源'!$J:$J,'9月数据源'!$D:$D,$E134,'9月数据源'!$F:$F,"SMART AI LIMITED")*N$185</f>
        <v/>
      </c>
      <c r="O134" s="89">
        <f>-SUMIFS('10月数据源'!$I:$I,'10月数据源'!$D:$D,$E134,'10月数据源'!$F:$F,"SMART AI LIMITED")*O$185+SUMIFS('10月数据源'!$J:$J,'10月数据源'!$D:$D,$E134,'10月数据源'!$F:$F,"SMART AI LIMITED")*O$185</f>
        <v/>
      </c>
      <c r="P134" s="89">
        <f>-SUMIFS('11月数据源'!$I:$I,'11月数据源'!$D:$D,$E134,'11月数据源'!$F:$F,"SMART AI LIMITED")*P$185+SUMIFS('11月数据源'!$J:$J,'11月数据源'!$D:$D,$E134,'11月数据源'!$F:$F,"SMART AI LIMITED")*P$185</f>
        <v/>
      </c>
      <c r="Q134" s="89">
        <f>-SUMIFS('12月数据源'!$I:$I,'12月数据源'!$D:$D,$E134,'12月数据源'!$F:$F,"SMART AI LIMITED")*Q$185+SUMIFS('12月数据源'!$J:$J,'12月数据源'!$D:$D,$E134,'12月数据源'!$F:$F,"SMART AI LIMITED")*Q$185</f>
        <v/>
      </c>
    </row>
    <row r="135" s="83">
      <c r="A135" s="5" t="inlineStr">
        <is>
          <t>销售费用</t>
        </is>
      </c>
      <c r="B135" s="6" t="inlineStr">
        <is>
          <t>发货成本</t>
        </is>
      </c>
      <c r="D135" s="5" t="inlineStr">
        <is>
          <t>云仓租金</t>
        </is>
      </c>
      <c r="E135" s="6" t="inlineStr">
        <is>
          <t>Q2502</t>
        </is>
      </c>
      <c r="F135" s="89">
        <f>-SUMIFS('1月数据源'!$I:$I,'1月数据源'!$D:$D,$E135,'1月数据源'!$F:$F,"SMART AI LIMITED")*F$185+SUMIFS('1月数据源'!$J:$J,'1月数据源'!$D:$D,$E135,'1月数据源'!$F:$F,"SMART AI LIMITED")*F$185</f>
        <v/>
      </c>
      <c r="G135" s="89">
        <f>-SUMIFS('2月数据源'!$I:$I,'2月数据源'!$D:$D,$E135,'2月数据源'!$F:$F,"SMART AI LIMITED")*G$185+SUMIFS('2月数据源'!$J:$J,'2月数据源'!$D:$D,$E135,'2月数据源'!$F:$F,"SMART AI LIMITED")*G$185</f>
        <v/>
      </c>
      <c r="H135" s="89">
        <f>-SUMIFS('3月数据源'!$I:$I,'3月数据源'!$D:$D,$E135,'3月数据源'!$F:$F,"SMART AI LIMITED")*H$185+SUMIFS('3月数据源'!$J:$J,'3月数据源'!$D:$D,$E135,'3月数据源'!$F:$F,"SMART AI LIMITED")*H$185</f>
        <v/>
      </c>
      <c r="I135" s="89">
        <f>-SUMIFS('4月数据源'!$I:$I,'4月数据源'!$D:$D,$E135,'4月数据源'!$F:$F,"SMART AI LIMITED")*I$185+SUMIFS('4月数据源'!$J:$J,'4月数据源'!$D:$D,$E135,'4月数据源'!$F:$F,"SMART AI LIMITED")*I$185</f>
        <v/>
      </c>
      <c r="J135" s="89">
        <f>-SUMIFS('5月数据源'!$I:$I,'5月数据源'!$D:$D,$E135,'5月数据源'!$F:$F,"SMART AI LIMITED")*J$185+SUMIFS('5月数据源'!$J:$J,'5月数据源'!$D:$D,$E135,'5月数据源'!$F:$F,"SMART AI LIMITED")*J$185</f>
        <v/>
      </c>
      <c r="K135" s="89">
        <f>-SUMIFS('6月数据源'!$I:$I,'6月数据源'!$D:$D,$E135,'6月数据源'!$F:$F,"SMART AI LIMITED")*K$185+SUMIFS('6月数据源'!$J:$J,'6月数据源'!$D:$D,$E135,'6月数据源'!$F:$F,"SMART AI LIMITED")*K$185</f>
        <v/>
      </c>
      <c r="L135" s="89">
        <f>-SUMIFS('7月数据源'!$I:$I,'7月数据源'!$D:$D,$E135,'7月数据源'!$F:$F,"SMART AI LIMITED")*L$185+SUMIFS('7月数据源'!$J:$J,'7月数据源'!$D:$D,$E135,'7月数据源'!$F:$F,"SMART AI LIMITED")*L$185</f>
        <v/>
      </c>
      <c r="M135" s="89">
        <f>-SUMIFS('8月数据源'!$I:$I,'8月数据源'!$D:$D,$E135,'8月数据源'!$F:$F,"SMART AI LIMITED")*M$185+SUMIFS('8月数据源'!$J:$J,'8月数据源'!$D:$D,$E135,'8月数据源'!$F:$F,"SMART AI LIMITED")*M$185</f>
        <v/>
      </c>
      <c r="N135" s="89">
        <f>-SUMIFS('9月数据源'!$I:$I,'9月数据源'!$D:$D,$E135,'9月数据源'!$F:$F,"SMART AI LIMITED")*N$185+SUMIFS('9月数据源'!$J:$J,'9月数据源'!$D:$D,$E135,'9月数据源'!$F:$F,"SMART AI LIMITED")*N$185</f>
        <v/>
      </c>
      <c r="O135" s="89">
        <f>-SUMIFS('10月数据源'!$I:$I,'10月数据源'!$D:$D,$E135,'10月数据源'!$F:$F,"SMART AI LIMITED")*O$185+SUMIFS('10月数据源'!$J:$J,'10月数据源'!$D:$D,$E135,'10月数据源'!$F:$F,"SMART AI LIMITED")*O$185</f>
        <v/>
      </c>
      <c r="P135" s="89">
        <f>-SUMIFS('11月数据源'!$I:$I,'11月数据源'!$D:$D,$E135,'11月数据源'!$F:$F,"SMART AI LIMITED")*P$185+SUMIFS('11月数据源'!$J:$J,'11月数据源'!$D:$D,$E135,'11月数据源'!$F:$F,"SMART AI LIMITED")*P$185</f>
        <v/>
      </c>
      <c r="Q135" s="89">
        <f>-SUMIFS('12月数据源'!$I:$I,'12月数据源'!$D:$D,$E135,'12月数据源'!$F:$F,"SMART AI LIMITED")*Q$185+SUMIFS('12月数据源'!$J:$J,'12月数据源'!$D:$D,$E135,'12月数据源'!$F:$F,"SMART AI LIMITED")*Q$185</f>
        <v/>
      </c>
    </row>
    <row r="136" s="83">
      <c r="A136" s="5" t="inlineStr">
        <is>
          <t>销售费用</t>
        </is>
      </c>
      <c r="B136" s="6" t="inlineStr">
        <is>
          <t>品销-费用报销</t>
        </is>
      </c>
      <c r="C136" s="6" t="inlineStr">
        <is>
          <t>品销-费用报销</t>
        </is>
      </c>
      <c r="D136" s="5" t="inlineStr">
        <is>
          <t>品销员工报销</t>
        </is>
      </c>
      <c r="E136" s="6" t="inlineStr">
        <is>
          <t>Q2601</t>
        </is>
      </c>
      <c r="F136" s="89">
        <f>-SUMIFS('1月数据源'!$I:$I,'1月数据源'!$D:$D,$E136,'1月数据源'!$F:$F,"SMART AI LIMITED")*F$185+SUMIFS('1月数据源'!$J:$J,'1月数据源'!$D:$D,$E136,'1月数据源'!$F:$F,"SMART AI LIMITED")*F$185</f>
        <v/>
      </c>
      <c r="G136" s="89">
        <f>-SUMIFS('2月数据源'!$I:$I,'2月数据源'!$D:$D,$E136,'2月数据源'!$F:$F,"SMART AI LIMITED")*G$185+SUMIFS('2月数据源'!$J:$J,'2月数据源'!$D:$D,$E136,'2月数据源'!$F:$F,"SMART AI LIMITED")*G$185</f>
        <v/>
      </c>
      <c r="H136" s="89">
        <f>-SUMIFS('3月数据源'!$I:$I,'3月数据源'!$D:$D,$E136,'3月数据源'!$F:$F,"SMART AI LIMITED")*H$185+SUMIFS('3月数据源'!$J:$J,'3月数据源'!$D:$D,$E136,'3月数据源'!$F:$F,"SMART AI LIMITED")*H$185</f>
        <v/>
      </c>
      <c r="I136" s="89">
        <f>-SUMIFS('4月数据源'!$I:$I,'4月数据源'!$D:$D,$E136,'4月数据源'!$F:$F,"SMART AI LIMITED")*I$185+SUMIFS('4月数据源'!$J:$J,'4月数据源'!$D:$D,$E136,'4月数据源'!$F:$F,"SMART AI LIMITED")*I$185</f>
        <v/>
      </c>
      <c r="J136" s="89">
        <f>-SUMIFS('5月数据源'!$I:$I,'5月数据源'!$D:$D,$E136,'5月数据源'!$F:$F,"SMART AI LIMITED")*J$185+SUMIFS('5月数据源'!$J:$J,'5月数据源'!$D:$D,$E136,'5月数据源'!$F:$F,"SMART AI LIMITED")*J$185</f>
        <v/>
      </c>
      <c r="K136" s="89">
        <f>-SUMIFS('6月数据源'!$I:$I,'6月数据源'!$D:$D,$E136,'6月数据源'!$F:$F,"SMART AI LIMITED")*K$185+SUMIFS('6月数据源'!$J:$J,'6月数据源'!$D:$D,$E136,'6月数据源'!$F:$F,"SMART AI LIMITED")*K$185</f>
        <v/>
      </c>
      <c r="L136" s="89">
        <f>-SUMIFS('7月数据源'!$I:$I,'7月数据源'!$D:$D,$E136,'7月数据源'!$F:$F,"SMART AI LIMITED")*L$185+SUMIFS('7月数据源'!$J:$J,'7月数据源'!$D:$D,$E136,'7月数据源'!$F:$F,"SMART AI LIMITED")*L$185</f>
        <v/>
      </c>
      <c r="M136" s="89">
        <f>-SUMIFS('8月数据源'!$I:$I,'8月数据源'!$D:$D,$E136,'8月数据源'!$F:$F,"SMART AI LIMITED")*M$185+SUMIFS('8月数据源'!$J:$J,'8月数据源'!$D:$D,$E136,'8月数据源'!$F:$F,"SMART AI LIMITED")*M$185</f>
        <v/>
      </c>
      <c r="N136" s="89">
        <f>-SUMIFS('9月数据源'!$I:$I,'9月数据源'!$D:$D,$E136,'9月数据源'!$F:$F,"SMART AI LIMITED")*N$185+SUMIFS('9月数据源'!$J:$J,'9月数据源'!$D:$D,$E136,'9月数据源'!$F:$F,"SMART AI LIMITED")*N$185</f>
        <v/>
      </c>
      <c r="O136" s="89">
        <f>-SUMIFS('10月数据源'!$I:$I,'10月数据源'!$D:$D,$E136,'10月数据源'!$F:$F,"SMART AI LIMITED")*O$185+SUMIFS('10月数据源'!$J:$J,'10月数据源'!$D:$D,$E136,'10月数据源'!$F:$F,"SMART AI LIMITED")*O$185</f>
        <v/>
      </c>
      <c r="P136" s="89">
        <f>-SUMIFS('11月数据源'!$I:$I,'11月数据源'!$D:$D,$E136,'11月数据源'!$F:$F,"SMART AI LIMITED")*P$185+SUMIFS('11月数据源'!$J:$J,'11月数据源'!$D:$D,$E136,'11月数据源'!$F:$F,"SMART AI LIMITED")*P$185</f>
        <v/>
      </c>
      <c r="Q136" s="89">
        <f>-SUMIFS('12月数据源'!$I:$I,'12月数据源'!$D:$D,$E136,'12月数据源'!$F:$F,"SMART AI LIMITED")*Q$185+SUMIFS('12月数据源'!$J:$J,'12月数据源'!$D:$D,$E136,'12月数据源'!$F:$F,"SMART AI LIMITED")*Q$185</f>
        <v/>
      </c>
    </row>
    <row r="137" s="83">
      <c r="A137" s="49" t="inlineStr">
        <is>
          <t>销售费用合计</t>
        </is>
      </c>
      <c r="B137" s="50" t="n"/>
      <c r="C137" s="50" t="n"/>
      <c r="D137" s="49" t="n"/>
      <c r="E137" s="49" t="n"/>
      <c r="F137" s="89">
        <f>SUM(F99:F136)</f>
        <v/>
      </c>
      <c r="G137" s="89">
        <f>SUM(G99:G136)</f>
        <v/>
      </c>
      <c r="H137" s="89">
        <f>SUM(H99:H136)</f>
        <v/>
      </c>
      <c r="I137" s="89">
        <f>SUM(I99:I136)</f>
        <v/>
      </c>
      <c r="J137" s="89">
        <f>SUM(J99:J136)</f>
        <v/>
      </c>
      <c r="K137" s="89">
        <f>SUM(K99:K136)</f>
        <v/>
      </c>
      <c r="L137" s="89">
        <f>SUM(L99:L136)</f>
        <v/>
      </c>
      <c r="M137" s="89">
        <f>SUM(M99:M136)</f>
        <v/>
      </c>
      <c r="N137" s="89">
        <f>SUM(N99:N136)</f>
        <v/>
      </c>
      <c r="O137" s="89">
        <f>SUM(O99:O136)</f>
        <v/>
      </c>
      <c r="P137" s="89">
        <f>SUM(P99:P136)</f>
        <v/>
      </c>
      <c r="Q137" s="89">
        <f>SUM(Q99:Q136)</f>
        <v/>
      </c>
    </row>
    <row r="138" s="83">
      <c r="A138" s="5" t="inlineStr">
        <is>
          <t>管理费用</t>
        </is>
      </c>
      <c r="B138" s="6" t="inlineStr">
        <is>
          <t>办公场地使用费</t>
        </is>
      </c>
      <c r="C138" s="6" t="inlineStr">
        <is>
          <t>办公场地使用费</t>
        </is>
      </c>
      <c r="D138" s="5" t="inlineStr">
        <is>
          <t>西溪首座办公场地租金</t>
        </is>
      </c>
      <c r="E138" s="6" t="inlineStr">
        <is>
          <t>Q2702</t>
        </is>
      </c>
      <c r="F138" s="89">
        <f>-SUMIFS('1月数据源'!$I:$I,'1月数据源'!$D:$D,$E138,'1月数据源'!$F:$F,"SMART AI LIMITED")*F$185+SUMIFS('1月数据源'!$J:$J,'1月数据源'!$D:$D,$E138,'1月数据源'!$F:$F,"SMART AI LIMITED")*F$185</f>
        <v/>
      </c>
      <c r="G138" s="89">
        <f>-SUMIFS('2月数据源'!$I:$I,'2月数据源'!$D:$D,$E138,'2月数据源'!$F:$F,"SMART AI LIMITED")*G$185+SUMIFS('2月数据源'!$J:$J,'2月数据源'!$D:$D,$E138,'2月数据源'!$F:$F,"SMART AI LIMITED")*G$185</f>
        <v/>
      </c>
      <c r="H138" s="89">
        <f>-SUMIFS('3月数据源'!$I:$I,'3月数据源'!$D:$D,$E138,'3月数据源'!$F:$F,"SMART AI LIMITED")*H$185+SUMIFS('3月数据源'!$J:$J,'3月数据源'!$D:$D,$E138,'3月数据源'!$F:$F,"SMART AI LIMITED")*H$185</f>
        <v/>
      </c>
      <c r="I138" s="89">
        <f>-SUMIFS('4月数据源'!$I:$I,'4月数据源'!$D:$D,$E138,'4月数据源'!$F:$F,"SMART AI LIMITED")*I$185+SUMIFS('4月数据源'!$J:$J,'4月数据源'!$D:$D,$E138,'4月数据源'!$F:$F,"SMART AI LIMITED")*I$185</f>
        <v/>
      </c>
      <c r="J138" s="89">
        <f>-SUMIFS('5月数据源'!$I:$I,'5月数据源'!$D:$D,$E138,'5月数据源'!$F:$F,"SMART AI LIMITED")*J$185+SUMIFS('5月数据源'!$J:$J,'5月数据源'!$D:$D,$E138,'5月数据源'!$F:$F,"SMART AI LIMITED")*J$185</f>
        <v/>
      </c>
      <c r="K138" s="89">
        <f>-SUMIFS('6月数据源'!$I:$I,'6月数据源'!$D:$D,$E138,'6月数据源'!$F:$F,"SMART AI LIMITED")*K$185+SUMIFS('6月数据源'!$J:$J,'6月数据源'!$D:$D,$E138,'6月数据源'!$F:$F,"SMART AI LIMITED")*K$185</f>
        <v/>
      </c>
      <c r="L138" s="89">
        <f>-SUMIFS('7月数据源'!$I:$I,'7月数据源'!$D:$D,$E138,'7月数据源'!$F:$F,"SMART AI LIMITED")*L$185+SUMIFS('7月数据源'!$J:$J,'7月数据源'!$D:$D,$E138,'7月数据源'!$F:$F,"SMART AI LIMITED")*L$185</f>
        <v/>
      </c>
      <c r="M138" s="89">
        <f>-SUMIFS('8月数据源'!$I:$I,'8月数据源'!$D:$D,$E138,'8月数据源'!$F:$F,"SMART AI LIMITED")*M$185+SUMIFS('8月数据源'!$J:$J,'8月数据源'!$D:$D,$E138,'8月数据源'!$F:$F,"SMART AI LIMITED")*M$185</f>
        <v/>
      </c>
      <c r="N138" s="89">
        <f>-SUMIFS('9月数据源'!$I:$I,'9月数据源'!$D:$D,$E138,'9月数据源'!$F:$F,"SMART AI LIMITED")*N$185+SUMIFS('9月数据源'!$J:$J,'9月数据源'!$D:$D,$E138,'9月数据源'!$F:$F,"SMART AI LIMITED")*N$185</f>
        <v/>
      </c>
      <c r="O138" s="89">
        <f>-SUMIFS('10月数据源'!$I:$I,'10月数据源'!$D:$D,$E138,'10月数据源'!$F:$F,"SMART AI LIMITED")*O$185+SUMIFS('10月数据源'!$J:$J,'10月数据源'!$D:$D,$E138,'10月数据源'!$F:$F,"SMART AI LIMITED")*O$185</f>
        <v/>
      </c>
      <c r="P138" s="89">
        <f>-SUMIFS('11月数据源'!$I:$I,'11月数据源'!$D:$D,$E138,'11月数据源'!$F:$F,"SMART AI LIMITED")*P$185+SUMIFS('11月数据源'!$J:$J,'11月数据源'!$D:$D,$E138,'11月数据源'!$F:$F,"SMART AI LIMITED")*P$185</f>
        <v/>
      </c>
      <c r="Q138" s="89">
        <f>-SUMIFS('12月数据源'!$I:$I,'12月数据源'!$D:$D,$E138,'12月数据源'!$F:$F,"SMART AI LIMITED")*Q$185+SUMIFS('12月数据源'!$J:$J,'12月数据源'!$D:$D,$E138,'12月数据源'!$F:$F,"SMART AI LIMITED")*Q$185</f>
        <v/>
      </c>
    </row>
    <row r="139" s="83">
      <c r="A139" s="5" t="inlineStr">
        <is>
          <t>管理费用</t>
        </is>
      </c>
      <c r="B139" s="6" t="inlineStr">
        <is>
          <t>办公场地使用费</t>
        </is>
      </c>
      <c r="D139" s="5" t="inlineStr">
        <is>
          <t>西溪首座办公场地装修费</t>
        </is>
      </c>
      <c r="E139" s="6" t="inlineStr">
        <is>
          <t>Q2701</t>
        </is>
      </c>
      <c r="F139" s="89">
        <f>-SUMIFS('1月数据源'!$I:$I,'1月数据源'!$D:$D,$E139,'1月数据源'!$F:$F,"SMART AI LIMITED")*F$185+SUMIFS('1月数据源'!$J:$J,'1月数据源'!$D:$D,$E139,'1月数据源'!$F:$F,"SMART AI LIMITED")*F$185</f>
        <v/>
      </c>
      <c r="G139" s="89">
        <f>-SUMIFS('2月数据源'!$I:$I,'2月数据源'!$D:$D,$E139,'2月数据源'!$F:$F,"SMART AI LIMITED")*G$185+SUMIFS('2月数据源'!$J:$J,'2月数据源'!$D:$D,$E139,'2月数据源'!$F:$F,"SMART AI LIMITED")*G$185</f>
        <v/>
      </c>
      <c r="H139" s="89">
        <f>-SUMIFS('3月数据源'!$I:$I,'3月数据源'!$D:$D,$E139,'3月数据源'!$F:$F,"SMART AI LIMITED")*H$185+SUMIFS('3月数据源'!$J:$J,'3月数据源'!$D:$D,$E139,'3月数据源'!$F:$F,"SMART AI LIMITED")*H$185</f>
        <v/>
      </c>
      <c r="I139" s="89">
        <f>-SUMIFS('4月数据源'!$I:$I,'4月数据源'!$D:$D,$E139,'4月数据源'!$F:$F,"SMART AI LIMITED")*I$185+SUMIFS('4月数据源'!$J:$J,'4月数据源'!$D:$D,$E139,'4月数据源'!$F:$F,"SMART AI LIMITED")*I$185</f>
        <v/>
      </c>
      <c r="J139" s="89">
        <f>-SUMIFS('5月数据源'!$I:$I,'5月数据源'!$D:$D,$E139,'5月数据源'!$F:$F,"SMART AI LIMITED")*J$185+SUMIFS('5月数据源'!$J:$J,'5月数据源'!$D:$D,$E139,'5月数据源'!$F:$F,"SMART AI LIMITED")*J$185</f>
        <v/>
      </c>
      <c r="K139" s="89">
        <f>-SUMIFS('6月数据源'!$I:$I,'6月数据源'!$D:$D,$E139,'6月数据源'!$F:$F,"SMART AI LIMITED")*K$185+SUMIFS('6月数据源'!$J:$J,'6月数据源'!$D:$D,$E139,'6月数据源'!$F:$F,"SMART AI LIMITED")*K$185</f>
        <v/>
      </c>
      <c r="L139" s="89">
        <f>-SUMIFS('7月数据源'!$I:$I,'7月数据源'!$D:$D,$E139,'7月数据源'!$F:$F,"SMART AI LIMITED")*L$185+SUMIFS('7月数据源'!$J:$J,'7月数据源'!$D:$D,$E139,'7月数据源'!$F:$F,"SMART AI LIMITED")*L$185</f>
        <v/>
      </c>
      <c r="M139" s="89">
        <f>-SUMIFS('8月数据源'!$I:$I,'8月数据源'!$D:$D,$E139,'8月数据源'!$F:$F,"SMART AI LIMITED")*M$185+SUMIFS('8月数据源'!$J:$J,'8月数据源'!$D:$D,$E139,'8月数据源'!$F:$F,"SMART AI LIMITED")*M$185</f>
        <v/>
      </c>
      <c r="N139" s="89">
        <f>-SUMIFS('9月数据源'!$I:$I,'9月数据源'!$D:$D,$E139,'9月数据源'!$F:$F,"SMART AI LIMITED")*N$185+SUMIFS('9月数据源'!$J:$J,'9月数据源'!$D:$D,$E139,'9月数据源'!$F:$F,"SMART AI LIMITED")*N$185</f>
        <v/>
      </c>
      <c r="O139" s="89">
        <f>-SUMIFS('10月数据源'!$I:$I,'10月数据源'!$D:$D,$E139,'10月数据源'!$F:$F,"SMART AI LIMITED")*O$185+SUMIFS('10月数据源'!$J:$J,'10月数据源'!$D:$D,$E139,'10月数据源'!$F:$F,"SMART AI LIMITED")*O$185</f>
        <v/>
      </c>
      <c r="P139" s="89">
        <f>-SUMIFS('11月数据源'!$I:$I,'11月数据源'!$D:$D,$E139,'11月数据源'!$F:$F,"SMART AI LIMITED")*P$185+SUMIFS('11月数据源'!$J:$J,'11月数据源'!$D:$D,$E139,'11月数据源'!$F:$F,"SMART AI LIMITED")*P$185</f>
        <v/>
      </c>
      <c r="Q139" s="89">
        <f>-SUMIFS('12月数据源'!$I:$I,'12月数据源'!$D:$D,$E139,'12月数据源'!$F:$F,"SMART AI LIMITED")*Q$185+SUMIFS('12月数据源'!$J:$J,'12月数据源'!$D:$D,$E139,'12月数据源'!$F:$F,"SMART AI LIMITED")*Q$185</f>
        <v/>
      </c>
    </row>
    <row r="140" s="83">
      <c r="A140" s="5" t="inlineStr">
        <is>
          <t>管理费用</t>
        </is>
      </c>
      <c r="B140" s="6" t="inlineStr">
        <is>
          <t>办公场地使用费</t>
        </is>
      </c>
      <c r="D140" s="5" t="inlineStr">
        <is>
          <t>西溪首座办公室物业水电费</t>
        </is>
      </c>
      <c r="E140" s="6" t="inlineStr">
        <is>
          <t>Q2703</t>
        </is>
      </c>
      <c r="F140" s="89">
        <f>-SUMIFS('1月数据源'!$I:$I,'1月数据源'!$D:$D,$E140,'1月数据源'!$F:$F,"SMART AI LIMITED")*F$185+SUMIFS('1月数据源'!$J:$J,'1月数据源'!$D:$D,$E140,'1月数据源'!$F:$F,"SMART AI LIMITED")*F$185</f>
        <v/>
      </c>
      <c r="G140" s="89">
        <f>-SUMIFS('2月数据源'!$I:$I,'2月数据源'!$D:$D,$E140,'2月数据源'!$F:$F,"SMART AI LIMITED")*G$185+SUMIFS('2月数据源'!$J:$J,'2月数据源'!$D:$D,$E140,'2月数据源'!$F:$F,"SMART AI LIMITED")*G$185</f>
        <v/>
      </c>
      <c r="H140" s="89">
        <f>-SUMIFS('3月数据源'!$I:$I,'3月数据源'!$D:$D,$E140,'3月数据源'!$F:$F,"SMART AI LIMITED")*H$185+SUMIFS('3月数据源'!$J:$J,'3月数据源'!$D:$D,$E140,'3月数据源'!$F:$F,"SMART AI LIMITED")*H$185</f>
        <v/>
      </c>
      <c r="I140" s="89">
        <f>-SUMIFS('4月数据源'!$I:$I,'4月数据源'!$D:$D,$E140,'4月数据源'!$F:$F,"SMART AI LIMITED")*I$185+SUMIFS('4月数据源'!$J:$J,'4月数据源'!$D:$D,$E140,'4月数据源'!$F:$F,"SMART AI LIMITED")*I$185</f>
        <v/>
      </c>
      <c r="J140" s="89">
        <f>-SUMIFS('5月数据源'!$I:$I,'5月数据源'!$D:$D,$E140,'5月数据源'!$F:$F,"SMART AI LIMITED")*J$185+SUMIFS('5月数据源'!$J:$J,'5月数据源'!$D:$D,$E140,'5月数据源'!$F:$F,"SMART AI LIMITED")*J$185</f>
        <v/>
      </c>
      <c r="K140" s="89">
        <f>-SUMIFS('6月数据源'!$I:$I,'6月数据源'!$D:$D,$E140,'6月数据源'!$F:$F,"SMART AI LIMITED")*K$185+SUMIFS('6月数据源'!$J:$J,'6月数据源'!$D:$D,$E140,'6月数据源'!$F:$F,"SMART AI LIMITED")*K$185</f>
        <v/>
      </c>
      <c r="L140" s="89">
        <f>-SUMIFS('7月数据源'!$I:$I,'7月数据源'!$D:$D,$E140,'7月数据源'!$F:$F,"SMART AI LIMITED")*L$185+SUMIFS('7月数据源'!$J:$J,'7月数据源'!$D:$D,$E140,'7月数据源'!$F:$F,"SMART AI LIMITED")*L$185</f>
        <v/>
      </c>
      <c r="M140" s="89">
        <f>-SUMIFS('8月数据源'!$I:$I,'8月数据源'!$D:$D,$E140,'8月数据源'!$F:$F,"SMART AI LIMITED")*M$185+SUMIFS('8月数据源'!$J:$J,'8月数据源'!$D:$D,$E140,'8月数据源'!$F:$F,"SMART AI LIMITED")*M$185</f>
        <v/>
      </c>
      <c r="N140" s="89">
        <f>-SUMIFS('9月数据源'!$I:$I,'9月数据源'!$D:$D,$E140,'9月数据源'!$F:$F,"SMART AI LIMITED")*N$185+SUMIFS('9月数据源'!$J:$J,'9月数据源'!$D:$D,$E140,'9月数据源'!$F:$F,"SMART AI LIMITED")*N$185</f>
        <v/>
      </c>
      <c r="O140" s="89">
        <f>-SUMIFS('10月数据源'!$I:$I,'10月数据源'!$D:$D,$E140,'10月数据源'!$F:$F,"SMART AI LIMITED")*O$185+SUMIFS('10月数据源'!$J:$J,'10月数据源'!$D:$D,$E140,'10月数据源'!$F:$F,"SMART AI LIMITED")*O$185</f>
        <v/>
      </c>
      <c r="P140" s="89">
        <f>-SUMIFS('11月数据源'!$I:$I,'11月数据源'!$D:$D,$E140,'11月数据源'!$F:$F,"SMART AI LIMITED")*P$185+SUMIFS('11月数据源'!$J:$J,'11月数据源'!$D:$D,$E140,'11月数据源'!$F:$F,"SMART AI LIMITED")*P$185</f>
        <v/>
      </c>
      <c r="Q140" s="89">
        <f>-SUMIFS('12月数据源'!$I:$I,'12月数据源'!$D:$D,$E140,'12月数据源'!$F:$F,"SMART AI LIMITED")*Q$185+SUMIFS('12月数据源'!$J:$J,'12月数据源'!$D:$D,$E140,'12月数据源'!$F:$F,"SMART AI LIMITED")*Q$185</f>
        <v/>
      </c>
    </row>
    <row r="141" s="83">
      <c r="A141" s="5" t="inlineStr">
        <is>
          <t>管理费用</t>
        </is>
      </c>
      <c r="B141" s="6" t="inlineStr">
        <is>
          <t>办公场地使用费</t>
        </is>
      </c>
      <c r="D141" s="5" t="inlineStr">
        <is>
          <t>合肥办公室租金</t>
        </is>
      </c>
      <c r="E141" s="6" t="inlineStr">
        <is>
          <t>Q2704</t>
        </is>
      </c>
      <c r="F141" s="89">
        <f>-SUMIFS('1月数据源'!$I:$I,'1月数据源'!$D:$D,$E141,'1月数据源'!$F:$F,"SMART AI LIMITED")*F$185+SUMIFS('1月数据源'!$J:$J,'1月数据源'!$D:$D,$E141,'1月数据源'!$F:$F,"SMART AI LIMITED")*F$185</f>
        <v/>
      </c>
      <c r="G141" s="89">
        <f>-SUMIFS('2月数据源'!$I:$I,'2月数据源'!$D:$D,$E141,'2月数据源'!$F:$F,"SMART AI LIMITED")*G$185+SUMIFS('2月数据源'!$J:$J,'2月数据源'!$D:$D,$E141,'2月数据源'!$F:$F,"SMART AI LIMITED")*G$185</f>
        <v/>
      </c>
      <c r="H141" s="89">
        <f>-SUMIFS('3月数据源'!$I:$I,'3月数据源'!$D:$D,$E141,'3月数据源'!$F:$F,"SMART AI LIMITED")*H$185+SUMIFS('3月数据源'!$J:$J,'3月数据源'!$D:$D,$E141,'3月数据源'!$F:$F,"SMART AI LIMITED")*H$185</f>
        <v/>
      </c>
      <c r="I141" s="89">
        <f>-SUMIFS('4月数据源'!$I:$I,'4月数据源'!$D:$D,$E141,'4月数据源'!$F:$F,"SMART AI LIMITED")*I$185+SUMIFS('4月数据源'!$J:$J,'4月数据源'!$D:$D,$E141,'4月数据源'!$F:$F,"SMART AI LIMITED")*I$185</f>
        <v/>
      </c>
      <c r="J141" s="89">
        <f>-SUMIFS('5月数据源'!$I:$I,'5月数据源'!$D:$D,$E141,'5月数据源'!$F:$F,"SMART AI LIMITED")*J$185+SUMIFS('5月数据源'!$J:$J,'5月数据源'!$D:$D,$E141,'5月数据源'!$F:$F,"SMART AI LIMITED")*J$185</f>
        <v/>
      </c>
      <c r="K141" s="89">
        <f>-SUMIFS('6月数据源'!$I:$I,'6月数据源'!$D:$D,$E141,'6月数据源'!$F:$F,"SMART AI LIMITED")*K$185+SUMIFS('6月数据源'!$J:$J,'6月数据源'!$D:$D,$E141,'6月数据源'!$F:$F,"SMART AI LIMITED")*K$185</f>
        <v/>
      </c>
      <c r="L141" s="89">
        <f>-SUMIFS('7月数据源'!$I:$I,'7月数据源'!$D:$D,$E141,'7月数据源'!$F:$F,"SMART AI LIMITED")*L$185+SUMIFS('7月数据源'!$J:$J,'7月数据源'!$D:$D,$E141,'7月数据源'!$F:$F,"SMART AI LIMITED")*L$185</f>
        <v/>
      </c>
      <c r="M141" s="89">
        <f>-SUMIFS('8月数据源'!$I:$I,'8月数据源'!$D:$D,$E141,'8月数据源'!$F:$F,"SMART AI LIMITED")*M$185+SUMIFS('8月数据源'!$J:$J,'8月数据源'!$D:$D,$E141,'8月数据源'!$F:$F,"SMART AI LIMITED")*M$185</f>
        <v/>
      </c>
      <c r="N141" s="89">
        <f>-SUMIFS('9月数据源'!$I:$I,'9月数据源'!$D:$D,$E141,'9月数据源'!$F:$F,"SMART AI LIMITED")*N$185+SUMIFS('9月数据源'!$J:$J,'9月数据源'!$D:$D,$E141,'9月数据源'!$F:$F,"SMART AI LIMITED")*N$185</f>
        <v/>
      </c>
      <c r="O141" s="89">
        <f>-SUMIFS('10月数据源'!$I:$I,'10月数据源'!$D:$D,$E141,'10月数据源'!$F:$F,"SMART AI LIMITED")*O$185+SUMIFS('10月数据源'!$J:$J,'10月数据源'!$D:$D,$E141,'10月数据源'!$F:$F,"SMART AI LIMITED")*O$185</f>
        <v/>
      </c>
      <c r="P141" s="89">
        <f>-SUMIFS('11月数据源'!$I:$I,'11月数据源'!$D:$D,$E141,'11月数据源'!$F:$F,"SMART AI LIMITED")*P$185+SUMIFS('11月数据源'!$J:$J,'11月数据源'!$D:$D,$E141,'11月数据源'!$F:$F,"SMART AI LIMITED")*P$185</f>
        <v/>
      </c>
      <c r="Q141" s="89">
        <f>-SUMIFS('12月数据源'!$I:$I,'12月数据源'!$D:$D,$E141,'12月数据源'!$F:$F,"SMART AI LIMITED")*Q$185+SUMIFS('12月数据源'!$J:$J,'12月数据源'!$D:$D,$E141,'12月数据源'!$F:$F,"SMART AI LIMITED")*Q$185</f>
        <v/>
      </c>
    </row>
    <row r="142" s="83">
      <c r="A142" s="5" t="inlineStr">
        <is>
          <t>管理费用</t>
        </is>
      </c>
      <c r="B142" s="6" t="inlineStr">
        <is>
          <t>办公场地使用费</t>
        </is>
      </c>
      <c r="D142" s="5" t="inlineStr">
        <is>
          <t>合肥办公室物业水电费</t>
        </is>
      </c>
      <c r="E142" s="6" t="inlineStr">
        <is>
          <t>Q2705</t>
        </is>
      </c>
      <c r="F142" s="89">
        <f>-SUMIFS('1月数据源'!$I:$I,'1月数据源'!$D:$D,$E142,'1月数据源'!$F:$F,"SMART AI LIMITED")*F$185+SUMIFS('1月数据源'!$J:$J,'1月数据源'!$D:$D,$E142,'1月数据源'!$F:$F,"SMART AI LIMITED")*F$185</f>
        <v/>
      </c>
      <c r="G142" s="89">
        <f>-SUMIFS('2月数据源'!$I:$I,'2月数据源'!$D:$D,$E142,'2月数据源'!$F:$F,"SMART AI LIMITED")*G$185+SUMIFS('2月数据源'!$J:$J,'2月数据源'!$D:$D,$E142,'2月数据源'!$F:$F,"SMART AI LIMITED")*G$185</f>
        <v/>
      </c>
      <c r="H142" s="89">
        <f>-SUMIFS('3月数据源'!$I:$I,'3月数据源'!$D:$D,$E142,'3月数据源'!$F:$F,"SMART AI LIMITED")*H$185+SUMIFS('3月数据源'!$J:$J,'3月数据源'!$D:$D,$E142,'3月数据源'!$F:$F,"SMART AI LIMITED")*H$185</f>
        <v/>
      </c>
      <c r="I142" s="89">
        <f>-SUMIFS('4月数据源'!$I:$I,'4月数据源'!$D:$D,$E142,'4月数据源'!$F:$F,"SMART AI LIMITED")*I$185+SUMIFS('4月数据源'!$J:$J,'4月数据源'!$D:$D,$E142,'4月数据源'!$F:$F,"SMART AI LIMITED")*I$185</f>
        <v/>
      </c>
      <c r="J142" s="89">
        <f>-SUMIFS('5月数据源'!$I:$I,'5月数据源'!$D:$D,$E142,'5月数据源'!$F:$F,"SMART AI LIMITED")*J$185+SUMIFS('5月数据源'!$J:$J,'5月数据源'!$D:$D,$E142,'5月数据源'!$F:$F,"SMART AI LIMITED")*J$185</f>
        <v/>
      </c>
      <c r="K142" s="89">
        <f>-SUMIFS('6月数据源'!$I:$I,'6月数据源'!$D:$D,$E142,'6月数据源'!$F:$F,"SMART AI LIMITED")*K$185+SUMIFS('6月数据源'!$J:$J,'6月数据源'!$D:$D,$E142,'6月数据源'!$F:$F,"SMART AI LIMITED")*K$185</f>
        <v/>
      </c>
      <c r="L142" s="89">
        <f>-SUMIFS('7月数据源'!$I:$I,'7月数据源'!$D:$D,$E142,'7月数据源'!$F:$F,"SMART AI LIMITED")*L$185+SUMIFS('7月数据源'!$J:$J,'7月数据源'!$D:$D,$E142,'7月数据源'!$F:$F,"SMART AI LIMITED")*L$185</f>
        <v/>
      </c>
      <c r="M142" s="89">
        <f>-SUMIFS('8月数据源'!$I:$I,'8月数据源'!$D:$D,$E142,'8月数据源'!$F:$F,"SMART AI LIMITED")*M$185+SUMIFS('8月数据源'!$J:$J,'8月数据源'!$D:$D,$E142,'8月数据源'!$F:$F,"SMART AI LIMITED")*M$185</f>
        <v/>
      </c>
      <c r="N142" s="89">
        <f>-SUMIFS('9月数据源'!$I:$I,'9月数据源'!$D:$D,$E142,'9月数据源'!$F:$F,"SMART AI LIMITED")*N$185+SUMIFS('9月数据源'!$J:$J,'9月数据源'!$D:$D,$E142,'9月数据源'!$F:$F,"SMART AI LIMITED")*N$185</f>
        <v/>
      </c>
      <c r="O142" s="89">
        <f>-SUMIFS('10月数据源'!$I:$I,'10月数据源'!$D:$D,$E142,'10月数据源'!$F:$F,"SMART AI LIMITED")*O$185+SUMIFS('10月数据源'!$J:$J,'10月数据源'!$D:$D,$E142,'10月数据源'!$F:$F,"SMART AI LIMITED")*O$185</f>
        <v/>
      </c>
      <c r="P142" s="89">
        <f>-SUMIFS('11月数据源'!$I:$I,'11月数据源'!$D:$D,$E142,'11月数据源'!$F:$F,"SMART AI LIMITED")*P$185+SUMIFS('11月数据源'!$J:$J,'11月数据源'!$D:$D,$E142,'11月数据源'!$F:$F,"SMART AI LIMITED")*P$185</f>
        <v/>
      </c>
      <c r="Q142" s="89">
        <f>-SUMIFS('12月数据源'!$I:$I,'12月数据源'!$D:$D,$E142,'12月数据源'!$F:$F,"SMART AI LIMITED")*Q$185+SUMIFS('12月数据源'!$J:$J,'12月数据源'!$D:$D,$E142,'12月数据源'!$F:$F,"SMART AI LIMITED")*Q$185</f>
        <v/>
      </c>
    </row>
    <row r="143" s="83">
      <c r="A143" s="5" t="inlineStr">
        <is>
          <t>管理费用</t>
        </is>
      </c>
      <c r="B143" s="6" t="inlineStr">
        <is>
          <t>办公场地使用费</t>
        </is>
      </c>
      <c r="D143" s="5" t="inlineStr">
        <is>
          <t>其他办公场地使用费</t>
        </is>
      </c>
      <c r="E143" s="6" t="inlineStr">
        <is>
          <t>Q2706</t>
        </is>
      </c>
      <c r="F143" s="89">
        <f>-SUMIFS('1月数据源'!$I:$I,'1月数据源'!$D:$D,$E143,'1月数据源'!$F:$F,"SMART AI LIMITED")*F$185+SUMIFS('1月数据源'!$J:$J,'1月数据源'!$D:$D,$E143,'1月数据源'!$F:$F,"SMART AI LIMITED")*F$185</f>
        <v/>
      </c>
      <c r="G143" s="89">
        <f>-SUMIFS('2月数据源'!$I:$I,'2月数据源'!$D:$D,$E143,'2月数据源'!$F:$F,"SMART AI LIMITED")*G$185+SUMIFS('2月数据源'!$J:$J,'2月数据源'!$D:$D,$E143,'2月数据源'!$F:$F,"SMART AI LIMITED")*G$185</f>
        <v/>
      </c>
      <c r="H143" s="89">
        <f>-SUMIFS('3月数据源'!$I:$I,'3月数据源'!$D:$D,$E143,'3月数据源'!$F:$F,"SMART AI LIMITED")*H$185+SUMIFS('3月数据源'!$J:$J,'3月数据源'!$D:$D,$E143,'3月数据源'!$F:$F,"SMART AI LIMITED")*H$185</f>
        <v/>
      </c>
      <c r="I143" s="89">
        <f>-SUMIFS('4月数据源'!$I:$I,'4月数据源'!$D:$D,$E143,'4月数据源'!$F:$F,"SMART AI LIMITED")*I$185+SUMIFS('4月数据源'!$J:$J,'4月数据源'!$D:$D,$E143,'4月数据源'!$F:$F,"SMART AI LIMITED")*I$185</f>
        <v/>
      </c>
      <c r="J143" s="89">
        <f>-SUMIFS('5月数据源'!$I:$I,'5月数据源'!$D:$D,$E143,'5月数据源'!$F:$F,"SMART AI LIMITED")*J$185+SUMIFS('5月数据源'!$J:$J,'5月数据源'!$D:$D,$E143,'5月数据源'!$F:$F,"SMART AI LIMITED")*J$185</f>
        <v/>
      </c>
      <c r="K143" s="89">
        <f>-SUMIFS('6月数据源'!$I:$I,'6月数据源'!$D:$D,$E143,'6月数据源'!$F:$F,"SMART AI LIMITED")*K$185+SUMIFS('6月数据源'!$J:$J,'6月数据源'!$D:$D,$E143,'6月数据源'!$F:$F,"SMART AI LIMITED")*K$185</f>
        <v/>
      </c>
      <c r="L143" s="89">
        <f>-SUMIFS('7月数据源'!$I:$I,'7月数据源'!$D:$D,$E143,'7月数据源'!$F:$F,"SMART AI LIMITED")*L$185+SUMIFS('7月数据源'!$J:$J,'7月数据源'!$D:$D,$E143,'7月数据源'!$F:$F,"SMART AI LIMITED")*L$185</f>
        <v/>
      </c>
      <c r="M143" s="89">
        <f>-SUMIFS('8月数据源'!$I:$I,'8月数据源'!$D:$D,$E143,'8月数据源'!$F:$F,"SMART AI LIMITED")*M$185+SUMIFS('8月数据源'!$J:$J,'8月数据源'!$D:$D,$E143,'8月数据源'!$F:$F,"SMART AI LIMITED")*M$185</f>
        <v/>
      </c>
      <c r="N143" s="89">
        <f>-SUMIFS('9月数据源'!$I:$I,'9月数据源'!$D:$D,$E143,'9月数据源'!$F:$F,"SMART AI LIMITED")*N$185+SUMIFS('9月数据源'!$J:$J,'9月数据源'!$D:$D,$E143,'9月数据源'!$F:$F,"SMART AI LIMITED")*N$185</f>
        <v/>
      </c>
      <c r="O143" s="89">
        <f>-SUMIFS('10月数据源'!$I:$I,'10月数据源'!$D:$D,$E143,'10月数据源'!$F:$F,"SMART AI LIMITED")*O$185+SUMIFS('10月数据源'!$J:$J,'10月数据源'!$D:$D,$E143,'10月数据源'!$F:$F,"SMART AI LIMITED")*O$185</f>
        <v/>
      </c>
      <c r="P143" s="89">
        <f>-SUMIFS('11月数据源'!$I:$I,'11月数据源'!$D:$D,$E143,'11月数据源'!$F:$F,"SMART AI LIMITED")*P$185+SUMIFS('11月数据源'!$J:$J,'11月数据源'!$D:$D,$E143,'11月数据源'!$F:$F,"SMART AI LIMITED")*P$185</f>
        <v/>
      </c>
      <c r="Q143" s="89">
        <f>-SUMIFS('12月数据源'!$I:$I,'12月数据源'!$D:$D,$E143,'12月数据源'!$F:$F,"SMART AI LIMITED")*Q$185+SUMIFS('12月数据源'!$J:$J,'12月数据源'!$D:$D,$E143,'12月数据源'!$F:$F,"SMART AI LIMITED")*Q$185</f>
        <v/>
      </c>
    </row>
    <row r="144" s="83">
      <c r="A144" s="5" t="inlineStr">
        <is>
          <t>管理费用</t>
        </is>
      </c>
      <c r="B144" s="6" t="inlineStr">
        <is>
          <t>办公场地使用费</t>
        </is>
      </c>
      <c r="D144" s="5" t="inlineStr">
        <is>
          <t>其他办公场地物业水电费</t>
        </is>
      </c>
      <c r="E144" s="6" t="inlineStr">
        <is>
          <t>Q2708</t>
        </is>
      </c>
      <c r="F144" s="89">
        <f>-SUMIFS('1月数据源'!$I:$I,'1月数据源'!$D:$D,$E144,'1月数据源'!$F:$F,"SMART AI LIMITED")*F$185+SUMIFS('1月数据源'!$J:$J,'1月数据源'!$D:$D,$E144,'1月数据源'!$F:$F,"SMART AI LIMITED")*F$185</f>
        <v/>
      </c>
      <c r="G144" s="89">
        <f>-SUMIFS('2月数据源'!$I:$I,'2月数据源'!$D:$D,$E144,'2月数据源'!$F:$F,"SMART AI LIMITED")*G$185+SUMIFS('2月数据源'!$J:$J,'2月数据源'!$D:$D,$E144,'2月数据源'!$F:$F,"SMART AI LIMITED")*G$185</f>
        <v/>
      </c>
      <c r="H144" s="89">
        <f>-SUMIFS('3月数据源'!$I:$I,'3月数据源'!$D:$D,$E144,'3月数据源'!$F:$F,"SMART AI LIMITED")*H$185+SUMIFS('3月数据源'!$J:$J,'3月数据源'!$D:$D,$E144,'3月数据源'!$F:$F,"SMART AI LIMITED")*H$185</f>
        <v/>
      </c>
      <c r="I144" s="89">
        <f>-SUMIFS('4月数据源'!$I:$I,'4月数据源'!$D:$D,$E144,'4月数据源'!$F:$F,"SMART AI LIMITED")*I$185+SUMIFS('4月数据源'!$J:$J,'4月数据源'!$D:$D,$E144,'4月数据源'!$F:$F,"SMART AI LIMITED")*I$185</f>
        <v/>
      </c>
      <c r="J144" s="89">
        <f>-SUMIFS('5月数据源'!$I:$I,'5月数据源'!$D:$D,$E144,'5月数据源'!$F:$F,"SMART AI LIMITED")*J$185+SUMIFS('5月数据源'!$J:$J,'5月数据源'!$D:$D,$E144,'5月数据源'!$F:$F,"SMART AI LIMITED")*J$185</f>
        <v/>
      </c>
      <c r="K144" s="89">
        <f>-SUMIFS('6月数据源'!$I:$I,'6月数据源'!$D:$D,$E144,'6月数据源'!$F:$F,"SMART AI LIMITED")*K$185+SUMIFS('6月数据源'!$J:$J,'6月数据源'!$D:$D,$E144,'6月数据源'!$F:$F,"SMART AI LIMITED")*K$185</f>
        <v/>
      </c>
      <c r="L144" s="89">
        <f>-SUMIFS('7月数据源'!$I:$I,'7月数据源'!$D:$D,$E144,'7月数据源'!$F:$F,"SMART AI LIMITED")*L$185+SUMIFS('7月数据源'!$J:$J,'7月数据源'!$D:$D,$E144,'7月数据源'!$F:$F,"SMART AI LIMITED")*L$185</f>
        <v/>
      </c>
      <c r="M144" s="89">
        <f>-SUMIFS('8月数据源'!$I:$I,'8月数据源'!$D:$D,$E144,'8月数据源'!$F:$F,"SMART AI LIMITED")*M$185+SUMIFS('8月数据源'!$J:$J,'8月数据源'!$D:$D,$E144,'8月数据源'!$F:$F,"SMART AI LIMITED")*M$185</f>
        <v/>
      </c>
      <c r="N144" s="89">
        <f>-SUMIFS('9月数据源'!$I:$I,'9月数据源'!$D:$D,$E144,'9月数据源'!$F:$F,"SMART AI LIMITED")*N$185+SUMIFS('9月数据源'!$J:$J,'9月数据源'!$D:$D,$E144,'9月数据源'!$F:$F,"SMART AI LIMITED")*N$185</f>
        <v/>
      </c>
      <c r="O144" s="89">
        <f>-SUMIFS('10月数据源'!$I:$I,'10月数据源'!$D:$D,$E144,'10月数据源'!$F:$F,"SMART AI LIMITED")*O$185+SUMIFS('10月数据源'!$J:$J,'10月数据源'!$D:$D,$E144,'10月数据源'!$F:$F,"SMART AI LIMITED")*O$185</f>
        <v/>
      </c>
      <c r="P144" s="89">
        <f>-SUMIFS('11月数据源'!$I:$I,'11月数据源'!$D:$D,$E144,'11月数据源'!$F:$F,"SMART AI LIMITED")*P$185+SUMIFS('11月数据源'!$J:$J,'11月数据源'!$D:$D,$E144,'11月数据源'!$F:$F,"SMART AI LIMITED")*P$185</f>
        <v/>
      </c>
      <c r="Q144" s="89">
        <f>-SUMIFS('12月数据源'!$I:$I,'12月数据源'!$D:$D,$E144,'12月数据源'!$F:$F,"SMART AI LIMITED")*Q$185+SUMIFS('12月数据源'!$J:$J,'12月数据源'!$D:$D,$E144,'12月数据源'!$F:$F,"SMART AI LIMITED")*Q$185</f>
        <v/>
      </c>
    </row>
    <row r="145" s="83">
      <c r="A145" s="5" t="inlineStr">
        <is>
          <t>管理费用</t>
        </is>
      </c>
      <c r="B145" s="6" t="inlineStr">
        <is>
          <t>办公场地使用费</t>
        </is>
      </c>
      <c r="D145" s="5" t="inlineStr">
        <is>
          <t>押金</t>
        </is>
      </c>
      <c r="E145" s="6" t="inlineStr">
        <is>
          <t>Q2707</t>
        </is>
      </c>
      <c r="F145" s="89">
        <f>-SUMIFS('1月数据源'!$I:$I,'1月数据源'!$D:$D,$E145,'1月数据源'!$F:$F,"SMART AI LIMITED")*F$185+SUMIFS('1月数据源'!$J:$J,'1月数据源'!$D:$D,$E145,'1月数据源'!$F:$F,"SMART AI LIMITED")*F$185</f>
        <v/>
      </c>
      <c r="G145" s="89">
        <f>-SUMIFS('2月数据源'!$I:$I,'2月数据源'!$D:$D,$E145,'2月数据源'!$F:$F,"SMART AI LIMITED")*G$185+SUMIFS('2月数据源'!$J:$J,'2月数据源'!$D:$D,$E145,'2月数据源'!$F:$F,"SMART AI LIMITED")*G$185</f>
        <v/>
      </c>
      <c r="H145" s="89">
        <f>-SUMIFS('3月数据源'!$I:$I,'3月数据源'!$D:$D,$E145,'3月数据源'!$F:$F,"SMART AI LIMITED")*H$185+SUMIFS('3月数据源'!$J:$J,'3月数据源'!$D:$D,$E145,'3月数据源'!$F:$F,"SMART AI LIMITED")*H$185</f>
        <v/>
      </c>
      <c r="I145" s="89">
        <f>-SUMIFS('4月数据源'!$I:$I,'4月数据源'!$D:$D,$E145,'4月数据源'!$F:$F,"SMART AI LIMITED")*I$185+SUMIFS('4月数据源'!$J:$J,'4月数据源'!$D:$D,$E145,'4月数据源'!$F:$F,"SMART AI LIMITED")*I$185</f>
        <v/>
      </c>
      <c r="J145" s="89">
        <f>-SUMIFS('5月数据源'!$I:$I,'5月数据源'!$D:$D,$E145,'5月数据源'!$F:$F,"SMART AI LIMITED")*J$185+SUMIFS('5月数据源'!$J:$J,'5月数据源'!$D:$D,$E145,'5月数据源'!$F:$F,"SMART AI LIMITED")*J$185</f>
        <v/>
      </c>
      <c r="K145" s="89">
        <f>-SUMIFS('6月数据源'!$I:$I,'6月数据源'!$D:$D,$E145,'6月数据源'!$F:$F,"SMART AI LIMITED")*K$185+SUMIFS('6月数据源'!$J:$J,'6月数据源'!$D:$D,$E145,'6月数据源'!$F:$F,"SMART AI LIMITED")*K$185</f>
        <v/>
      </c>
      <c r="L145" s="89">
        <f>-SUMIFS('7月数据源'!$I:$I,'7月数据源'!$D:$D,$E145,'7月数据源'!$F:$F,"SMART AI LIMITED")*L$185+SUMIFS('7月数据源'!$J:$J,'7月数据源'!$D:$D,$E145,'7月数据源'!$F:$F,"SMART AI LIMITED")*L$185</f>
        <v/>
      </c>
      <c r="M145" s="89">
        <f>-SUMIFS('8月数据源'!$I:$I,'8月数据源'!$D:$D,$E145,'8月数据源'!$F:$F,"SMART AI LIMITED")*M$185+SUMIFS('8月数据源'!$J:$J,'8月数据源'!$D:$D,$E145,'8月数据源'!$F:$F,"SMART AI LIMITED")*M$185</f>
        <v/>
      </c>
      <c r="N145" s="89">
        <f>-SUMIFS('9月数据源'!$I:$I,'9月数据源'!$D:$D,$E145,'9月数据源'!$F:$F,"SMART AI LIMITED")*N$185+SUMIFS('9月数据源'!$J:$J,'9月数据源'!$D:$D,$E145,'9月数据源'!$F:$F,"SMART AI LIMITED")*N$185</f>
        <v/>
      </c>
      <c r="O145" s="89">
        <f>-SUMIFS('10月数据源'!$I:$I,'10月数据源'!$D:$D,$E145,'10月数据源'!$F:$F,"SMART AI LIMITED")*O$185+SUMIFS('10月数据源'!$J:$J,'10月数据源'!$D:$D,$E145,'10月数据源'!$F:$F,"SMART AI LIMITED")*O$185</f>
        <v/>
      </c>
      <c r="P145" s="89">
        <f>-SUMIFS('11月数据源'!$I:$I,'11月数据源'!$D:$D,$E145,'11月数据源'!$F:$F,"SMART AI LIMITED")*P$185+SUMIFS('11月数据源'!$J:$J,'11月数据源'!$D:$D,$E145,'11月数据源'!$F:$F,"SMART AI LIMITED")*P$185</f>
        <v/>
      </c>
      <c r="Q145" s="89">
        <f>-SUMIFS('12月数据源'!$I:$I,'12月数据源'!$D:$D,$E145,'12月数据源'!$F:$F,"SMART AI LIMITED")*Q$185+SUMIFS('12月数据源'!$J:$J,'12月数据源'!$D:$D,$E145,'12月数据源'!$F:$F,"SMART AI LIMITED")*Q$185</f>
        <v/>
      </c>
    </row>
    <row r="146" s="83">
      <c r="A146" s="5" t="inlineStr">
        <is>
          <t>管理费用</t>
        </is>
      </c>
      <c r="B146" s="6" t="inlineStr">
        <is>
          <t>服务费</t>
        </is>
      </c>
      <c r="C146" s="6" t="inlineStr">
        <is>
          <t>服务费</t>
        </is>
      </c>
      <c r="D146" s="5" t="inlineStr">
        <is>
          <t>律师费</t>
        </is>
      </c>
      <c r="E146" s="6" t="inlineStr">
        <is>
          <t>Q2801</t>
        </is>
      </c>
      <c r="F146" s="89">
        <f>-SUMIFS('1月数据源'!$I:$I,'1月数据源'!$D:$D,$E146,'1月数据源'!$F:$F,"SMART AI LIMITED")*F$185+SUMIFS('1月数据源'!$J:$J,'1月数据源'!$D:$D,$E146,'1月数据源'!$F:$F,"SMART AI LIMITED")*F$185</f>
        <v/>
      </c>
      <c r="G146" s="89">
        <f>-SUMIFS('2月数据源'!$I:$I,'2月数据源'!$D:$D,$E146,'2月数据源'!$F:$F,"SMART AI LIMITED")*G$185+SUMIFS('2月数据源'!$J:$J,'2月数据源'!$D:$D,$E146,'2月数据源'!$F:$F,"SMART AI LIMITED")*G$185</f>
        <v/>
      </c>
      <c r="H146" s="89">
        <f>-SUMIFS('3月数据源'!$I:$I,'3月数据源'!$D:$D,$E146,'3月数据源'!$F:$F,"SMART AI LIMITED")*H$185+SUMIFS('3月数据源'!$J:$J,'3月数据源'!$D:$D,$E146,'3月数据源'!$F:$F,"SMART AI LIMITED")*H$185</f>
        <v/>
      </c>
      <c r="I146" s="89">
        <f>-SUMIFS('4月数据源'!$I:$I,'4月数据源'!$D:$D,$E146,'4月数据源'!$F:$F,"SMART AI LIMITED")*I$185+SUMIFS('4月数据源'!$J:$J,'4月数据源'!$D:$D,$E146,'4月数据源'!$F:$F,"SMART AI LIMITED")*I$185</f>
        <v/>
      </c>
      <c r="J146" s="89">
        <f>-SUMIFS('5月数据源'!$I:$I,'5月数据源'!$D:$D,$E146,'5月数据源'!$F:$F,"SMART AI LIMITED")*J$185+SUMIFS('5月数据源'!$J:$J,'5月数据源'!$D:$D,$E146,'5月数据源'!$F:$F,"SMART AI LIMITED")*J$185</f>
        <v/>
      </c>
      <c r="K146" s="89">
        <f>-SUMIFS('6月数据源'!$I:$I,'6月数据源'!$D:$D,$E146,'6月数据源'!$F:$F,"SMART AI LIMITED")*K$185+SUMIFS('6月数据源'!$J:$J,'6月数据源'!$D:$D,$E146,'6月数据源'!$F:$F,"SMART AI LIMITED")*K$185</f>
        <v/>
      </c>
      <c r="L146" s="89">
        <f>-SUMIFS('7月数据源'!$I:$I,'7月数据源'!$D:$D,$E146,'7月数据源'!$F:$F,"SMART AI LIMITED")*L$185+SUMIFS('7月数据源'!$J:$J,'7月数据源'!$D:$D,$E146,'7月数据源'!$F:$F,"SMART AI LIMITED")*L$185</f>
        <v/>
      </c>
      <c r="M146" s="89">
        <f>-SUMIFS('8月数据源'!$I:$I,'8月数据源'!$D:$D,$E146,'8月数据源'!$F:$F,"SMART AI LIMITED")*M$185+SUMIFS('8月数据源'!$J:$J,'8月数据源'!$D:$D,$E146,'8月数据源'!$F:$F,"SMART AI LIMITED")*M$185</f>
        <v/>
      </c>
      <c r="N146" s="89">
        <f>-SUMIFS('9月数据源'!$I:$I,'9月数据源'!$D:$D,$E146,'9月数据源'!$F:$F,"SMART AI LIMITED")*N$185+SUMIFS('9月数据源'!$J:$J,'9月数据源'!$D:$D,$E146,'9月数据源'!$F:$F,"SMART AI LIMITED")*N$185</f>
        <v/>
      </c>
      <c r="O146" s="89">
        <f>-SUMIFS('10月数据源'!$I:$I,'10月数据源'!$D:$D,$E146,'10月数据源'!$F:$F,"SMART AI LIMITED")*O$185+SUMIFS('10月数据源'!$J:$J,'10月数据源'!$D:$D,$E146,'10月数据源'!$F:$F,"SMART AI LIMITED")*O$185</f>
        <v/>
      </c>
      <c r="P146" s="89">
        <f>-SUMIFS('11月数据源'!$I:$I,'11月数据源'!$D:$D,$E146,'11月数据源'!$F:$F,"SMART AI LIMITED")*P$185+SUMIFS('11月数据源'!$J:$J,'11月数据源'!$D:$D,$E146,'11月数据源'!$F:$F,"SMART AI LIMITED")*P$185</f>
        <v/>
      </c>
      <c r="Q146" s="89">
        <f>-SUMIFS('12月数据源'!$I:$I,'12月数据源'!$D:$D,$E146,'12月数据源'!$F:$F,"SMART AI LIMITED")*Q$185+SUMIFS('12月数据源'!$J:$J,'12月数据源'!$D:$D,$E146,'12月数据源'!$F:$F,"SMART AI LIMITED")*Q$185</f>
        <v/>
      </c>
    </row>
    <row r="147" s="83">
      <c r="A147" s="5" t="inlineStr">
        <is>
          <t>管理费用</t>
        </is>
      </c>
      <c r="B147" s="6" t="inlineStr">
        <is>
          <t>服务费</t>
        </is>
      </c>
      <c r="D147" s="5" t="inlineStr">
        <is>
          <t>中介代理费用</t>
        </is>
      </c>
      <c r="E147" s="6" t="inlineStr">
        <is>
          <t>Q2802</t>
        </is>
      </c>
      <c r="F147" s="89">
        <f>-SUMIFS('1月数据源'!$I:$I,'1月数据源'!$D:$D,$E147,'1月数据源'!$F:$F,"SMART AI LIMITED")*F$185+SUMIFS('1月数据源'!$J:$J,'1月数据源'!$D:$D,$E147,'1月数据源'!$F:$F,"SMART AI LIMITED")*F$185</f>
        <v/>
      </c>
      <c r="G147" s="89">
        <f>-SUMIFS('2月数据源'!$I:$I,'2月数据源'!$D:$D,$E147,'2月数据源'!$F:$F,"SMART AI LIMITED")*G$185+SUMIFS('2月数据源'!$J:$J,'2月数据源'!$D:$D,$E147,'2月数据源'!$F:$F,"SMART AI LIMITED")*G$185</f>
        <v/>
      </c>
      <c r="H147" s="89">
        <f>-SUMIFS('3月数据源'!$I:$I,'3月数据源'!$D:$D,$E147,'3月数据源'!$F:$F,"SMART AI LIMITED")*H$185+SUMIFS('3月数据源'!$J:$J,'3月数据源'!$D:$D,$E147,'3月数据源'!$F:$F,"SMART AI LIMITED")*H$185</f>
        <v/>
      </c>
      <c r="I147" s="89">
        <f>-SUMIFS('4月数据源'!$I:$I,'4月数据源'!$D:$D,$E147,'4月数据源'!$F:$F,"SMART AI LIMITED")*I$185+SUMIFS('4月数据源'!$J:$J,'4月数据源'!$D:$D,$E147,'4月数据源'!$F:$F,"SMART AI LIMITED")*I$185</f>
        <v/>
      </c>
      <c r="J147" s="89">
        <f>-SUMIFS('5月数据源'!$I:$I,'5月数据源'!$D:$D,$E147,'5月数据源'!$F:$F,"SMART AI LIMITED")*J$185+SUMIFS('5月数据源'!$J:$J,'5月数据源'!$D:$D,$E147,'5月数据源'!$F:$F,"SMART AI LIMITED")*J$185</f>
        <v/>
      </c>
      <c r="K147" s="89">
        <f>-SUMIFS('6月数据源'!$I:$I,'6月数据源'!$D:$D,$E147,'6月数据源'!$F:$F,"SMART AI LIMITED")*K$185+SUMIFS('6月数据源'!$J:$J,'6月数据源'!$D:$D,$E147,'6月数据源'!$F:$F,"SMART AI LIMITED")*K$185</f>
        <v/>
      </c>
      <c r="L147" s="89">
        <f>-SUMIFS('7月数据源'!$I:$I,'7月数据源'!$D:$D,$E147,'7月数据源'!$F:$F,"SMART AI LIMITED")*L$185+SUMIFS('7月数据源'!$J:$J,'7月数据源'!$D:$D,$E147,'7月数据源'!$F:$F,"SMART AI LIMITED")*L$185</f>
        <v/>
      </c>
      <c r="M147" s="89">
        <f>-SUMIFS('8月数据源'!$I:$I,'8月数据源'!$D:$D,$E147,'8月数据源'!$F:$F,"SMART AI LIMITED")*M$185+SUMIFS('8月数据源'!$J:$J,'8月数据源'!$D:$D,$E147,'8月数据源'!$F:$F,"SMART AI LIMITED")*M$185</f>
        <v/>
      </c>
      <c r="N147" s="89">
        <f>-SUMIFS('9月数据源'!$I:$I,'9月数据源'!$D:$D,$E147,'9月数据源'!$F:$F,"SMART AI LIMITED")*N$185+SUMIFS('9月数据源'!$J:$J,'9月数据源'!$D:$D,$E147,'9月数据源'!$F:$F,"SMART AI LIMITED")*N$185</f>
        <v/>
      </c>
      <c r="O147" s="89">
        <f>-SUMIFS('10月数据源'!$I:$I,'10月数据源'!$D:$D,$E147,'10月数据源'!$F:$F,"SMART AI LIMITED")*O$185+SUMIFS('10月数据源'!$J:$J,'10月数据源'!$D:$D,$E147,'10月数据源'!$F:$F,"SMART AI LIMITED")*O$185</f>
        <v/>
      </c>
      <c r="P147" s="89">
        <f>-SUMIFS('11月数据源'!$I:$I,'11月数据源'!$D:$D,$E147,'11月数据源'!$F:$F,"SMART AI LIMITED")*P$185+SUMIFS('11月数据源'!$J:$J,'11月数据源'!$D:$D,$E147,'11月数据源'!$F:$F,"SMART AI LIMITED")*P$185</f>
        <v/>
      </c>
      <c r="Q147" s="89">
        <f>-SUMIFS('12月数据源'!$I:$I,'12月数据源'!$D:$D,$E147,'12月数据源'!$F:$F,"SMART AI LIMITED")*Q$185+SUMIFS('12月数据源'!$J:$J,'12月数据源'!$D:$D,$E147,'12月数据源'!$F:$F,"SMART AI LIMITED")*Q$185</f>
        <v/>
      </c>
    </row>
    <row r="148" s="83">
      <c r="A148" s="5" t="inlineStr">
        <is>
          <t>管理费用</t>
        </is>
      </c>
      <c r="B148" s="6" t="inlineStr">
        <is>
          <t>服务费</t>
        </is>
      </c>
      <c r="D148" s="5" t="inlineStr">
        <is>
          <t>财务咨询费</t>
        </is>
      </c>
      <c r="E148" s="6" t="inlineStr">
        <is>
          <t>Q2803</t>
        </is>
      </c>
      <c r="F148" s="89">
        <f>-SUMIFS('1月数据源'!$I:$I,'1月数据源'!$D:$D,$E148,'1月数据源'!$F:$F,"SMART AI LIMITED")*F$185+SUMIFS('1月数据源'!$J:$J,'1月数据源'!$D:$D,$E148,'1月数据源'!$F:$F,"SMART AI LIMITED")*F$185</f>
        <v/>
      </c>
      <c r="G148" s="89">
        <f>-SUMIFS('2月数据源'!$I:$I,'2月数据源'!$D:$D,$E148,'2月数据源'!$F:$F,"SMART AI LIMITED")*G$185+SUMIFS('2月数据源'!$J:$J,'2月数据源'!$D:$D,$E148,'2月数据源'!$F:$F,"SMART AI LIMITED")*G$185</f>
        <v/>
      </c>
      <c r="H148" s="89">
        <f>-SUMIFS('3月数据源'!$I:$I,'3月数据源'!$D:$D,$E148,'3月数据源'!$F:$F,"SMART AI LIMITED")*H$185+SUMIFS('3月数据源'!$J:$J,'3月数据源'!$D:$D,$E148,'3月数据源'!$F:$F,"SMART AI LIMITED")*H$185</f>
        <v/>
      </c>
      <c r="I148" s="89">
        <f>-SUMIFS('4月数据源'!$I:$I,'4月数据源'!$D:$D,$E148,'4月数据源'!$F:$F,"SMART AI LIMITED")*I$185+SUMIFS('4月数据源'!$J:$J,'4月数据源'!$D:$D,$E148,'4月数据源'!$F:$F,"SMART AI LIMITED")*I$185</f>
        <v/>
      </c>
      <c r="J148" s="89">
        <f>-SUMIFS('5月数据源'!$I:$I,'5月数据源'!$D:$D,$E148,'5月数据源'!$F:$F,"SMART AI LIMITED")*J$185+SUMIFS('5月数据源'!$J:$J,'5月数据源'!$D:$D,$E148,'5月数据源'!$F:$F,"SMART AI LIMITED")*J$185</f>
        <v/>
      </c>
      <c r="K148" s="89">
        <f>-SUMIFS('6月数据源'!$I:$I,'6月数据源'!$D:$D,$E148,'6月数据源'!$F:$F,"SMART AI LIMITED")*K$185+SUMIFS('6月数据源'!$J:$J,'6月数据源'!$D:$D,$E148,'6月数据源'!$F:$F,"SMART AI LIMITED")*K$185</f>
        <v/>
      </c>
      <c r="L148" s="89">
        <f>-SUMIFS('7月数据源'!$I:$I,'7月数据源'!$D:$D,$E148,'7月数据源'!$F:$F,"SMART AI LIMITED")*L$185+SUMIFS('7月数据源'!$J:$J,'7月数据源'!$D:$D,$E148,'7月数据源'!$F:$F,"SMART AI LIMITED")*L$185</f>
        <v/>
      </c>
      <c r="M148" s="89">
        <f>-SUMIFS('8月数据源'!$I:$I,'8月数据源'!$D:$D,$E148,'8月数据源'!$F:$F,"SMART AI LIMITED")*M$185+SUMIFS('8月数据源'!$J:$J,'8月数据源'!$D:$D,$E148,'8月数据源'!$F:$F,"SMART AI LIMITED")*M$185</f>
        <v/>
      </c>
      <c r="N148" s="89">
        <f>-SUMIFS('9月数据源'!$I:$I,'9月数据源'!$D:$D,$E148,'9月数据源'!$F:$F,"SMART AI LIMITED")*N$185+SUMIFS('9月数据源'!$J:$J,'9月数据源'!$D:$D,$E148,'9月数据源'!$F:$F,"SMART AI LIMITED")*N$185</f>
        <v/>
      </c>
      <c r="O148" s="89">
        <f>-SUMIFS('10月数据源'!$I:$I,'10月数据源'!$D:$D,$E148,'10月数据源'!$F:$F,"SMART AI LIMITED")*O$185+SUMIFS('10月数据源'!$J:$J,'10月数据源'!$D:$D,$E148,'10月数据源'!$F:$F,"SMART AI LIMITED")*O$185</f>
        <v/>
      </c>
      <c r="P148" s="89">
        <f>-SUMIFS('11月数据源'!$I:$I,'11月数据源'!$D:$D,$E148,'11月数据源'!$F:$F,"SMART AI LIMITED")*P$185+SUMIFS('11月数据源'!$J:$J,'11月数据源'!$D:$D,$E148,'11月数据源'!$F:$F,"SMART AI LIMITED")*P$185</f>
        <v/>
      </c>
      <c r="Q148" s="89">
        <f>-SUMIFS('12月数据源'!$I:$I,'12月数据源'!$D:$D,$E148,'12月数据源'!$F:$F,"SMART AI LIMITED")*Q$185+SUMIFS('12月数据源'!$J:$J,'12月数据源'!$D:$D,$E148,'12月数据源'!$F:$F,"SMART AI LIMITED")*Q$185</f>
        <v/>
      </c>
    </row>
    <row r="149" s="83">
      <c r="A149" s="5" t="inlineStr">
        <is>
          <t>管理费用</t>
        </is>
      </c>
      <c r="B149" s="6" t="inlineStr">
        <is>
          <t>服务费</t>
        </is>
      </c>
      <c r="D149" s="5" t="inlineStr">
        <is>
          <t>审计费</t>
        </is>
      </c>
      <c r="E149" s="6" t="inlineStr">
        <is>
          <t>Q2804</t>
        </is>
      </c>
      <c r="F149" s="89">
        <f>-SUMIFS('1月数据源'!$I:$I,'1月数据源'!$D:$D,$E149,'1月数据源'!$F:$F,"SMART AI LIMITED")*F$185+SUMIFS('1月数据源'!$J:$J,'1月数据源'!$D:$D,$E149,'1月数据源'!$F:$F,"SMART AI LIMITED")*F$185</f>
        <v/>
      </c>
      <c r="G149" s="89">
        <f>-SUMIFS('2月数据源'!$I:$I,'2月数据源'!$D:$D,$E149,'2月数据源'!$F:$F,"SMART AI LIMITED")*G$185+SUMIFS('2月数据源'!$J:$J,'2月数据源'!$D:$D,$E149,'2月数据源'!$F:$F,"SMART AI LIMITED")*G$185</f>
        <v/>
      </c>
      <c r="H149" s="89">
        <f>-SUMIFS('3月数据源'!$I:$I,'3月数据源'!$D:$D,$E149,'3月数据源'!$F:$F,"SMART AI LIMITED")*H$185+SUMIFS('3月数据源'!$J:$J,'3月数据源'!$D:$D,$E149,'3月数据源'!$F:$F,"SMART AI LIMITED")*H$185</f>
        <v/>
      </c>
      <c r="I149" s="89">
        <f>-SUMIFS('4月数据源'!$I:$I,'4月数据源'!$D:$D,$E149,'4月数据源'!$F:$F,"SMART AI LIMITED")*I$185+SUMIFS('4月数据源'!$J:$J,'4月数据源'!$D:$D,$E149,'4月数据源'!$F:$F,"SMART AI LIMITED")*I$185</f>
        <v/>
      </c>
      <c r="J149" s="89">
        <f>-SUMIFS('5月数据源'!$I:$I,'5月数据源'!$D:$D,$E149,'5月数据源'!$F:$F,"SMART AI LIMITED")*J$185+SUMIFS('5月数据源'!$J:$J,'5月数据源'!$D:$D,$E149,'5月数据源'!$F:$F,"SMART AI LIMITED")*J$185</f>
        <v/>
      </c>
      <c r="K149" s="89">
        <f>-SUMIFS('6月数据源'!$I:$I,'6月数据源'!$D:$D,$E149,'6月数据源'!$F:$F,"SMART AI LIMITED")*K$185+SUMIFS('6月数据源'!$J:$J,'6月数据源'!$D:$D,$E149,'6月数据源'!$F:$F,"SMART AI LIMITED")*K$185</f>
        <v/>
      </c>
      <c r="L149" s="89">
        <f>-SUMIFS('7月数据源'!$I:$I,'7月数据源'!$D:$D,$E149,'7月数据源'!$F:$F,"SMART AI LIMITED")*L$185+SUMIFS('7月数据源'!$J:$J,'7月数据源'!$D:$D,$E149,'7月数据源'!$F:$F,"SMART AI LIMITED")*L$185</f>
        <v/>
      </c>
      <c r="M149" s="89">
        <f>-SUMIFS('8月数据源'!$I:$I,'8月数据源'!$D:$D,$E149,'8月数据源'!$F:$F,"SMART AI LIMITED")*M$185+SUMIFS('8月数据源'!$J:$J,'8月数据源'!$D:$D,$E149,'8月数据源'!$F:$F,"SMART AI LIMITED")*M$185</f>
        <v/>
      </c>
      <c r="N149" s="89">
        <f>-SUMIFS('9月数据源'!$I:$I,'9月数据源'!$D:$D,$E149,'9月数据源'!$F:$F,"SMART AI LIMITED")*N$185+SUMIFS('9月数据源'!$J:$J,'9月数据源'!$D:$D,$E149,'9月数据源'!$F:$F,"SMART AI LIMITED")*N$185</f>
        <v/>
      </c>
      <c r="O149" s="89">
        <f>-SUMIFS('10月数据源'!$I:$I,'10月数据源'!$D:$D,$E149,'10月数据源'!$F:$F,"SMART AI LIMITED")*O$185+SUMIFS('10月数据源'!$J:$J,'10月数据源'!$D:$D,$E149,'10月数据源'!$F:$F,"SMART AI LIMITED")*O$185</f>
        <v/>
      </c>
      <c r="P149" s="89">
        <f>-SUMIFS('11月数据源'!$I:$I,'11月数据源'!$D:$D,$E149,'11月数据源'!$F:$F,"SMART AI LIMITED")*P$185+SUMIFS('11月数据源'!$J:$J,'11月数据源'!$D:$D,$E149,'11月数据源'!$F:$F,"SMART AI LIMITED")*P$185</f>
        <v/>
      </c>
      <c r="Q149" s="89">
        <f>-SUMIFS('12月数据源'!$I:$I,'12月数据源'!$D:$D,$E149,'12月数据源'!$F:$F,"SMART AI LIMITED")*Q$185+SUMIFS('12月数据源'!$J:$J,'12月数据源'!$D:$D,$E149,'12月数据源'!$F:$F,"SMART AI LIMITED")*Q$185</f>
        <v/>
      </c>
    </row>
    <row r="150" s="83">
      <c r="A150" s="5" t="inlineStr">
        <is>
          <t>管理费用</t>
        </is>
      </c>
      <c r="B150" s="6" t="inlineStr">
        <is>
          <t>服务费</t>
        </is>
      </c>
      <c r="D150" s="5" t="inlineStr">
        <is>
          <t>招聘费用</t>
        </is>
      </c>
      <c r="E150" s="6" t="inlineStr">
        <is>
          <t>Q2805</t>
        </is>
      </c>
      <c r="F150" s="89">
        <f>-SUMIFS('1月数据源'!$I:$I,'1月数据源'!$D:$D,$E150,'1月数据源'!$F:$F,"SMART AI LIMITED")*F$185+SUMIFS('1月数据源'!$J:$J,'1月数据源'!$D:$D,$E150,'1月数据源'!$F:$F,"SMART AI LIMITED")*F$185</f>
        <v/>
      </c>
      <c r="G150" s="89">
        <f>-SUMIFS('2月数据源'!$I:$I,'2月数据源'!$D:$D,$E150,'2月数据源'!$F:$F,"SMART AI LIMITED")*G$185+SUMIFS('2月数据源'!$J:$J,'2月数据源'!$D:$D,$E150,'2月数据源'!$F:$F,"SMART AI LIMITED")*G$185</f>
        <v/>
      </c>
      <c r="H150" s="89">
        <f>-SUMIFS('3月数据源'!$I:$I,'3月数据源'!$D:$D,$E150,'3月数据源'!$F:$F,"SMART AI LIMITED")*H$185+SUMIFS('3月数据源'!$J:$J,'3月数据源'!$D:$D,$E150,'3月数据源'!$F:$F,"SMART AI LIMITED")*H$185</f>
        <v/>
      </c>
      <c r="I150" s="89">
        <f>-SUMIFS('4月数据源'!$I:$I,'4月数据源'!$D:$D,$E150,'4月数据源'!$F:$F,"SMART AI LIMITED")*I$185+SUMIFS('4月数据源'!$J:$J,'4月数据源'!$D:$D,$E150,'4月数据源'!$F:$F,"SMART AI LIMITED")*I$185</f>
        <v/>
      </c>
      <c r="J150" s="89">
        <f>-SUMIFS('5月数据源'!$I:$I,'5月数据源'!$D:$D,$E150,'5月数据源'!$F:$F,"SMART AI LIMITED")*J$185+SUMIFS('5月数据源'!$J:$J,'5月数据源'!$D:$D,$E150,'5月数据源'!$F:$F,"SMART AI LIMITED")*J$185</f>
        <v/>
      </c>
      <c r="K150" s="89">
        <f>-SUMIFS('6月数据源'!$I:$I,'6月数据源'!$D:$D,$E150,'6月数据源'!$F:$F,"SMART AI LIMITED")*K$185+SUMIFS('6月数据源'!$J:$J,'6月数据源'!$D:$D,$E150,'6月数据源'!$F:$F,"SMART AI LIMITED")*K$185</f>
        <v/>
      </c>
      <c r="L150" s="89">
        <f>-SUMIFS('7月数据源'!$I:$I,'7月数据源'!$D:$D,$E150,'7月数据源'!$F:$F,"SMART AI LIMITED")*L$185+SUMIFS('7月数据源'!$J:$J,'7月数据源'!$D:$D,$E150,'7月数据源'!$F:$F,"SMART AI LIMITED")*L$185</f>
        <v/>
      </c>
      <c r="M150" s="89">
        <f>-SUMIFS('8月数据源'!$I:$I,'8月数据源'!$D:$D,$E150,'8月数据源'!$F:$F,"SMART AI LIMITED")*M$185+SUMIFS('8月数据源'!$J:$J,'8月数据源'!$D:$D,$E150,'8月数据源'!$F:$F,"SMART AI LIMITED")*M$185</f>
        <v/>
      </c>
      <c r="N150" s="89">
        <f>-SUMIFS('9月数据源'!$I:$I,'9月数据源'!$D:$D,$E150,'9月数据源'!$F:$F,"SMART AI LIMITED")*N$185+SUMIFS('9月数据源'!$J:$J,'9月数据源'!$D:$D,$E150,'9月数据源'!$F:$F,"SMART AI LIMITED")*N$185</f>
        <v/>
      </c>
      <c r="O150" s="89">
        <f>-SUMIFS('10月数据源'!$I:$I,'10月数据源'!$D:$D,$E150,'10月数据源'!$F:$F,"SMART AI LIMITED")*O$185+SUMIFS('10月数据源'!$J:$J,'10月数据源'!$D:$D,$E150,'10月数据源'!$F:$F,"SMART AI LIMITED")*O$185</f>
        <v/>
      </c>
      <c r="P150" s="89">
        <f>-SUMIFS('11月数据源'!$I:$I,'11月数据源'!$D:$D,$E150,'11月数据源'!$F:$F,"SMART AI LIMITED")*P$185+SUMIFS('11月数据源'!$J:$J,'11月数据源'!$D:$D,$E150,'11月数据源'!$F:$F,"SMART AI LIMITED")*P$185</f>
        <v/>
      </c>
      <c r="Q150" s="89">
        <f>-SUMIFS('12月数据源'!$I:$I,'12月数据源'!$D:$D,$E150,'12月数据源'!$F:$F,"SMART AI LIMITED")*Q$185+SUMIFS('12月数据源'!$J:$J,'12月数据源'!$D:$D,$E150,'12月数据源'!$F:$F,"SMART AI LIMITED")*Q$185</f>
        <v/>
      </c>
    </row>
    <row r="151" s="83">
      <c r="A151" s="5" t="inlineStr">
        <is>
          <t>管理费用</t>
        </is>
      </c>
      <c r="B151" s="6" t="inlineStr">
        <is>
          <t>服务费</t>
        </is>
      </c>
      <c r="D151" s="5" t="inlineStr">
        <is>
          <t>软件服务费</t>
        </is>
      </c>
      <c r="E151" s="6" t="inlineStr">
        <is>
          <t>Q2807</t>
        </is>
      </c>
      <c r="F151" s="89">
        <f>-SUMIFS('1月数据源'!$I:$I,'1月数据源'!$D:$D,$E151,'1月数据源'!$F:$F,"SMART AI LIMITED")*F$185+SUMIFS('1月数据源'!$J:$J,'1月数据源'!$D:$D,$E151,'1月数据源'!$F:$F,"SMART AI LIMITED")*F$185</f>
        <v/>
      </c>
      <c r="G151" s="89">
        <f>-SUMIFS('2月数据源'!$I:$I,'2月数据源'!$D:$D,$E151,'2月数据源'!$F:$F,"SMART AI LIMITED")*G$185+SUMIFS('2月数据源'!$J:$J,'2月数据源'!$D:$D,$E151,'2月数据源'!$F:$F,"SMART AI LIMITED")*G$185</f>
        <v/>
      </c>
      <c r="H151" s="89">
        <f>-SUMIFS('3月数据源'!$I:$I,'3月数据源'!$D:$D,$E151,'3月数据源'!$F:$F,"SMART AI LIMITED")*H$185+SUMIFS('3月数据源'!$J:$J,'3月数据源'!$D:$D,$E151,'3月数据源'!$F:$F,"SMART AI LIMITED")*H$185</f>
        <v/>
      </c>
      <c r="I151" s="89">
        <f>-SUMIFS('4月数据源'!$I:$I,'4月数据源'!$D:$D,$E151,'4月数据源'!$F:$F,"SMART AI LIMITED")*I$185+SUMIFS('4月数据源'!$J:$J,'4月数据源'!$D:$D,$E151,'4月数据源'!$F:$F,"SMART AI LIMITED")*I$185</f>
        <v/>
      </c>
      <c r="J151" s="89">
        <f>-SUMIFS('5月数据源'!$I:$I,'5月数据源'!$D:$D,$E151,'5月数据源'!$F:$F,"SMART AI LIMITED")*J$185+SUMIFS('5月数据源'!$J:$J,'5月数据源'!$D:$D,$E151,'5月数据源'!$F:$F,"SMART AI LIMITED")*J$185</f>
        <v/>
      </c>
      <c r="K151" s="89">
        <f>-SUMIFS('6月数据源'!$I:$I,'6月数据源'!$D:$D,$E151,'6月数据源'!$F:$F,"SMART AI LIMITED")*K$185+SUMIFS('6月数据源'!$J:$J,'6月数据源'!$D:$D,$E151,'6月数据源'!$F:$F,"SMART AI LIMITED")*K$185</f>
        <v/>
      </c>
      <c r="L151" s="89">
        <f>-SUMIFS('7月数据源'!$I:$I,'7月数据源'!$D:$D,$E151,'7月数据源'!$F:$F,"SMART AI LIMITED")*L$185+SUMIFS('7月数据源'!$J:$J,'7月数据源'!$D:$D,$E151,'7月数据源'!$F:$F,"SMART AI LIMITED")*L$185</f>
        <v/>
      </c>
      <c r="M151" s="89">
        <f>-SUMIFS('8月数据源'!$I:$I,'8月数据源'!$D:$D,$E151,'8月数据源'!$F:$F,"SMART AI LIMITED")*M$185+SUMIFS('8月数据源'!$J:$J,'8月数据源'!$D:$D,$E151,'8月数据源'!$F:$F,"SMART AI LIMITED")*M$185</f>
        <v/>
      </c>
      <c r="N151" s="89">
        <f>-SUMIFS('9月数据源'!$I:$I,'9月数据源'!$D:$D,$E151,'9月数据源'!$F:$F,"SMART AI LIMITED")*N$185+SUMIFS('9月数据源'!$J:$J,'9月数据源'!$D:$D,$E151,'9月数据源'!$F:$F,"SMART AI LIMITED")*N$185</f>
        <v/>
      </c>
      <c r="O151" s="89">
        <f>-SUMIFS('10月数据源'!$I:$I,'10月数据源'!$D:$D,$E151,'10月数据源'!$F:$F,"SMART AI LIMITED")*O$185+SUMIFS('10月数据源'!$J:$J,'10月数据源'!$D:$D,$E151,'10月数据源'!$F:$F,"SMART AI LIMITED")*O$185</f>
        <v/>
      </c>
      <c r="P151" s="89">
        <f>-SUMIFS('11月数据源'!$I:$I,'11月数据源'!$D:$D,$E151,'11月数据源'!$F:$F,"SMART AI LIMITED")*P$185+SUMIFS('11月数据源'!$J:$J,'11月数据源'!$D:$D,$E151,'11月数据源'!$F:$F,"SMART AI LIMITED")*P$185</f>
        <v/>
      </c>
      <c r="Q151" s="89">
        <f>-SUMIFS('12月数据源'!$I:$I,'12月数据源'!$D:$D,$E151,'12月数据源'!$F:$F,"SMART AI LIMITED")*Q$185+SUMIFS('12月数据源'!$J:$J,'12月数据源'!$D:$D,$E151,'12月数据源'!$F:$F,"SMART AI LIMITED")*Q$185</f>
        <v/>
      </c>
    </row>
    <row r="152" s="83">
      <c r="A152" s="5" t="inlineStr">
        <is>
          <t>管理费用</t>
        </is>
      </c>
      <c r="B152" s="6" t="inlineStr">
        <is>
          <t>服务费</t>
        </is>
      </c>
      <c r="D152" s="5" t="inlineStr">
        <is>
          <t>其他服务费</t>
        </is>
      </c>
      <c r="E152" s="6" t="inlineStr">
        <is>
          <t>Q2806</t>
        </is>
      </c>
      <c r="F152" s="89">
        <f>-SUMIFS('1月数据源'!$I:$I,'1月数据源'!$D:$D,$E152,'1月数据源'!$F:$F,"SMART AI LIMITED")*F$185+SUMIFS('1月数据源'!$J:$J,'1月数据源'!$D:$D,$E152,'1月数据源'!$F:$F,"SMART AI LIMITED")*F$185</f>
        <v/>
      </c>
      <c r="G152" s="89">
        <f>-SUMIFS('2月数据源'!$I:$I,'2月数据源'!$D:$D,$E152,'2月数据源'!$F:$F,"SMART AI LIMITED")*G$185+SUMIFS('2月数据源'!$J:$J,'2月数据源'!$D:$D,$E152,'2月数据源'!$F:$F,"SMART AI LIMITED")*G$185</f>
        <v/>
      </c>
      <c r="H152" s="89">
        <f>-SUMIFS('3月数据源'!$I:$I,'3月数据源'!$D:$D,$E152,'3月数据源'!$F:$F,"SMART AI LIMITED")*H$185+SUMIFS('3月数据源'!$J:$J,'3月数据源'!$D:$D,$E152,'3月数据源'!$F:$F,"SMART AI LIMITED")*H$185</f>
        <v/>
      </c>
      <c r="I152" s="89">
        <f>-SUMIFS('4月数据源'!$I:$I,'4月数据源'!$D:$D,$E152,'4月数据源'!$F:$F,"SMART AI LIMITED")*I$185+SUMIFS('4月数据源'!$J:$J,'4月数据源'!$D:$D,$E152,'4月数据源'!$F:$F,"SMART AI LIMITED")*I$185</f>
        <v/>
      </c>
      <c r="J152" s="89">
        <f>-SUMIFS('5月数据源'!$I:$I,'5月数据源'!$D:$D,$E152,'5月数据源'!$F:$F,"SMART AI LIMITED")*J$185+SUMIFS('5月数据源'!$J:$J,'5月数据源'!$D:$D,$E152,'5月数据源'!$F:$F,"SMART AI LIMITED")*J$185</f>
        <v/>
      </c>
      <c r="K152" s="89">
        <f>-SUMIFS('6月数据源'!$I:$I,'6月数据源'!$D:$D,$E152,'6月数据源'!$F:$F,"SMART AI LIMITED")*K$185+SUMIFS('6月数据源'!$J:$J,'6月数据源'!$D:$D,$E152,'6月数据源'!$F:$F,"SMART AI LIMITED")*K$185</f>
        <v/>
      </c>
      <c r="L152" s="89">
        <f>-SUMIFS('7月数据源'!$I:$I,'7月数据源'!$D:$D,$E152,'7月数据源'!$F:$F,"SMART AI LIMITED")*L$185+SUMIFS('7月数据源'!$J:$J,'7月数据源'!$D:$D,$E152,'7月数据源'!$F:$F,"SMART AI LIMITED")*L$185</f>
        <v/>
      </c>
      <c r="M152" s="89">
        <f>-SUMIFS('8月数据源'!$I:$I,'8月数据源'!$D:$D,$E152,'8月数据源'!$F:$F,"SMART AI LIMITED")*M$185+SUMIFS('8月数据源'!$J:$J,'8月数据源'!$D:$D,$E152,'8月数据源'!$F:$F,"SMART AI LIMITED")*M$185</f>
        <v/>
      </c>
      <c r="N152" s="89">
        <f>-SUMIFS('9月数据源'!$I:$I,'9月数据源'!$D:$D,$E152,'9月数据源'!$F:$F,"SMART AI LIMITED")*N$185+SUMIFS('9月数据源'!$J:$J,'9月数据源'!$D:$D,$E152,'9月数据源'!$F:$F,"SMART AI LIMITED")*N$185</f>
        <v/>
      </c>
      <c r="O152" s="89">
        <f>-SUMIFS('10月数据源'!$I:$I,'10月数据源'!$D:$D,$E152,'10月数据源'!$F:$F,"SMART AI LIMITED")*O$185+SUMIFS('10月数据源'!$J:$J,'10月数据源'!$D:$D,$E152,'10月数据源'!$F:$F,"SMART AI LIMITED")*O$185</f>
        <v/>
      </c>
      <c r="P152" s="89">
        <f>-SUMIFS('11月数据源'!$I:$I,'11月数据源'!$D:$D,$E152,'11月数据源'!$F:$F,"SMART AI LIMITED")*P$185+SUMIFS('11月数据源'!$J:$J,'11月数据源'!$D:$D,$E152,'11月数据源'!$F:$F,"SMART AI LIMITED")*P$185</f>
        <v/>
      </c>
      <c r="Q152" s="89">
        <f>-SUMIFS('12月数据源'!$I:$I,'12月数据源'!$D:$D,$E152,'12月数据源'!$F:$F,"SMART AI LIMITED")*Q$185+SUMIFS('12月数据源'!$J:$J,'12月数据源'!$D:$D,$E152,'12月数据源'!$F:$F,"SMART AI LIMITED")*Q$185</f>
        <v/>
      </c>
    </row>
    <row r="153" s="83">
      <c r="A153" s="5" t="inlineStr">
        <is>
          <t>管理费用</t>
        </is>
      </c>
      <c r="B153" s="6" t="inlineStr">
        <is>
          <t>办公费用</t>
        </is>
      </c>
      <c r="C153" s="6" t="inlineStr">
        <is>
          <t>办公费用</t>
        </is>
      </c>
      <c r="D153" s="5" t="inlineStr">
        <is>
          <t>固定资产采购</t>
        </is>
      </c>
      <c r="E153" s="6" t="inlineStr">
        <is>
          <t>Q2901</t>
        </is>
      </c>
      <c r="F153" s="89">
        <f>-SUMIFS('1月数据源'!$I:$I,'1月数据源'!$D:$D,$E153,'1月数据源'!$F:$F,"SMART AI LIMITED")*F$185+SUMIFS('1月数据源'!$J:$J,'1月数据源'!$D:$D,$E153,'1月数据源'!$F:$F,"SMART AI LIMITED")*F$185</f>
        <v/>
      </c>
      <c r="G153" s="89">
        <f>-SUMIFS('2月数据源'!$I:$I,'2月数据源'!$D:$D,$E153,'2月数据源'!$F:$F,"SMART AI LIMITED")*G$185+SUMIFS('2月数据源'!$J:$J,'2月数据源'!$D:$D,$E153,'2月数据源'!$F:$F,"SMART AI LIMITED")*G$185</f>
        <v/>
      </c>
      <c r="H153" s="89">
        <f>-SUMIFS('3月数据源'!$I:$I,'3月数据源'!$D:$D,$E153,'3月数据源'!$F:$F,"SMART AI LIMITED")*H$185+SUMIFS('3月数据源'!$J:$J,'3月数据源'!$D:$D,$E153,'3月数据源'!$F:$F,"SMART AI LIMITED")*H$185</f>
        <v/>
      </c>
      <c r="I153" s="89">
        <f>-SUMIFS('4月数据源'!$I:$I,'4月数据源'!$D:$D,$E153,'4月数据源'!$F:$F,"SMART AI LIMITED")*I$185+SUMIFS('4月数据源'!$J:$J,'4月数据源'!$D:$D,$E153,'4月数据源'!$F:$F,"SMART AI LIMITED")*I$185</f>
        <v/>
      </c>
      <c r="J153" s="89">
        <f>-SUMIFS('5月数据源'!$I:$I,'5月数据源'!$D:$D,$E153,'5月数据源'!$F:$F,"SMART AI LIMITED")*J$185+SUMIFS('5月数据源'!$J:$J,'5月数据源'!$D:$D,$E153,'5月数据源'!$F:$F,"SMART AI LIMITED")*J$185</f>
        <v/>
      </c>
      <c r="K153" s="89">
        <f>-SUMIFS('6月数据源'!$I:$I,'6月数据源'!$D:$D,$E153,'6月数据源'!$F:$F,"SMART AI LIMITED")*K$185+SUMIFS('6月数据源'!$J:$J,'6月数据源'!$D:$D,$E153,'6月数据源'!$F:$F,"SMART AI LIMITED")*K$185</f>
        <v/>
      </c>
      <c r="L153" s="89">
        <f>-SUMIFS('7月数据源'!$I:$I,'7月数据源'!$D:$D,$E153,'7月数据源'!$F:$F,"SMART AI LIMITED")*L$185+SUMIFS('7月数据源'!$J:$J,'7月数据源'!$D:$D,$E153,'7月数据源'!$F:$F,"SMART AI LIMITED")*L$185</f>
        <v/>
      </c>
      <c r="M153" s="89">
        <f>-SUMIFS('8月数据源'!$I:$I,'8月数据源'!$D:$D,$E153,'8月数据源'!$F:$F,"SMART AI LIMITED")*M$185+SUMIFS('8月数据源'!$J:$J,'8月数据源'!$D:$D,$E153,'8月数据源'!$F:$F,"SMART AI LIMITED")*M$185</f>
        <v/>
      </c>
      <c r="N153" s="89">
        <f>-SUMIFS('9月数据源'!$I:$I,'9月数据源'!$D:$D,$E153,'9月数据源'!$F:$F,"SMART AI LIMITED")*N$185+SUMIFS('9月数据源'!$J:$J,'9月数据源'!$D:$D,$E153,'9月数据源'!$F:$F,"SMART AI LIMITED")*N$185</f>
        <v/>
      </c>
      <c r="O153" s="89">
        <f>-SUMIFS('10月数据源'!$I:$I,'10月数据源'!$D:$D,$E153,'10月数据源'!$F:$F,"SMART AI LIMITED")*O$185+SUMIFS('10月数据源'!$J:$J,'10月数据源'!$D:$D,$E153,'10月数据源'!$F:$F,"SMART AI LIMITED")*O$185</f>
        <v/>
      </c>
      <c r="P153" s="89">
        <f>-SUMIFS('11月数据源'!$I:$I,'11月数据源'!$D:$D,$E153,'11月数据源'!$F:$F,"SMART AI LIMITED")*P$185+SUMIFS('11月数据源'!$J:$J,'11月数据源'!$D:$D,$E153,'11月数据源'!$F:$F,"SMART AI LIMITED")*P$185</f>
        <v/>
      </c>
      <c r="Q153" s="89">
        <f>-SUMIFS('12月数据源'!$I:$I,'12月数据源'!$D:$D,$E153,'12月数据源'!$F:$F,"SMART AI LIMITED")*Q$185+SUMIFS('12月数据源'!$J:$J,'12月数据源'!$D:$D,$E153,'12月数据源'!$F:$F,"SMART AI LIMITED")*Q$185</f>
        <v/>
      </c>
    </row>
    <row r="154" s="83">
      <c r="A154" s="5" t="inlineStr">
        <is>
          <t>管理费用</t>
        </is>
      </c>
      <c r="B154" s="6" t="inlineStr">
        <is>
          <t>办公费用</t>
        </is>
      </c>
      <c r="D154" s="5" t="inlineStr">
        <is>
          <t>办公用品采购</t>
        </is>
      </c>
      <c r="E154" s="6" t="inlineStr">
        <is>
          <t>Q2902</t>
        </is>
      </c>
      <c r="F154" s="89">
        <f>-SUMIFS('1月数据源'!$I:$I,'1月数据源'!$D:$D,$E154,'1月数据源'!$F:$F,"SMART AI LIMITED")*F$185+SUMIFS('1月数据源'!$J:$J,'1月数据源'!$D:$D,$E154,'1月数据源'!$F:$F,"SMART AI LIMITED")*F$185</f>
        <v/>
      </c>
      <c r="G154" s="89">
        <f>-SUMIFS('2月数据源'!$I:$I,'2月数据源'!$D:$D,$E154,'2月数据源'!$F:$F,"SMART AI LIMITED")*G$185+SUMIFS('2月数据源'!$J:$J,'2月数据源'!$D:$D,$E154,'2月数据源'!$F:$F,"SMART AI LIMITED")*G$185</f>
        <v/>
      </c>
      <c r="H154" s="89">
        <f>-SUMIFS('3月数据源'!$I:$I,'3月数据源'!$D:$D,$E154,'3月数据源'!$F:$F,"SMART AI LIMITED")*H$185+SUMIFS('3月数据源'!$J:$J,'3月数据源'!$D:$D,$E154,'3月数据源'!$F:$F,"SMART AI LIMITED")*H$185</f>
        <v/>
      </c>
      <c r="I154" s="89">
        <f>-SUMIFS('4月数据源'!$I:$I,'4月数据源'!$D:$D,$E154,'4月数据源'!$F:$F,"SMART AI LIMITED")*I$185+SUMIFS('4月数据源'!$J:$J,'4月数据源'!$D:$D,$E154,'4月数据源'!$F:$F,"SMART AI LIMITED")*I$185</f>
        <v/>
      </c>
      <c r="J154" s="89">
        <f>-SUMIFS('5月数据源'!$I:$I,'5月数据源'!$D:$D,$E154,'5月数据源'!$F:$F,"SMART AI LIMITED")*J$185+SUMIFS('5月数据源'!$J:$J,'5月数据源'!$D:$D,$E154,'5月数据源'!$F:$F,"SMART AI LIMITED")*J$185</f>
        <v/>
      </c>
      <c r="K154" s="89">
        <f>-SUMIFS('6月数据源'!$I:$I,'6月数据源'!$D:$D,$E154,'6月数据源'!$F:$F,"SMART AI LIMITED")*K$185+SUMIFS('6月数据源'!$J:$J,'6月数据源'!$D:$D,$E154,'6月数据源'!$F:$F,"SMART AI LIMITED")*K$185</f>
        <v/>
      </c>
      <c r="L154" s="89">
        <f>-SUMIFS('7月数据源'!$I:$I,'7月数据源'!$D:$D,$E154,'7月数据源'!$F:$F,"SMART AI LIMITED")*L$185+SUMIFS('7月数据源'!$J:$J,'7月数据源'!$D:$D,$E154,'7月数据源'!$F:$F,"SMART AI LIMITED")*L$185</f>
        <v/>
      </c>
      <c r="M154" s="89">
        <f>-SUMIFS('8月数据源'!$I:$I,'8月数据源'!$D:$D,$E154,'8月数据源'!$F:$F,"SMART AI LIMITED")*M$185+SUMIFS('8月数据源'!$J:$J,'8月数据源'!$D:$D,$E154,'8月数据源'!$F:$F,"SMART AI LIMITED")*M$185</f>
        <v/>
      </c>
      <c r="N154" s="89">
        <f>-SUMIFS('9月数据源'!$I:$I,'9月数据源'!$D:$D,$E154,'9月数据源'!$F:$F,"SMART AI LIMITED")*N$185+SUMIFS('9月数据源'!$J:$J,'9月数据源'!$D:$D,$E154,'9月数据源'!$F:$F,"SMART AI LIMITED")*N$185</f>
        <v/>
      </c>
      <c r="O154" s="89">
        <f>-SUMIFS('10月数据源'!$I:$I,'10月数据源'!$D:$D,$E154,'10月数据源'!$F:$F,"SMART AI LIMITED")*O$185+SUMIFS('10月数据源'!$J:$J,'10月数据源'!$D:$D,$E154,'10月数据源'!$F:$F,"SMART AI LIMITED")*O$185</f>
        <v/>
      </c>
      <c r="P154" s="89">
        <f>-SUMIFS('11月数据源'!$I:$I,'11月数据源'!$D:$D,$E154,'11月数据源'!$F:$F,"SMART AI LIMITED")*P$185+SUMIFS('11月数据源'!$J:$J,'11月数据源'!$D:$D,$E154,'11月数据源'!$F:$F,"SMART AI LIMITED")*P$185</f>
        <v/>
      </c>
      <c r="Q154" s="89">
        <f>-SUMIFS('12月数据源'!$I:$I,'12月数据源'!$D:$D,$E154,'12月数据源'!$F:$F,"SMART AI LIMITED")*Q$185+SUMIFS('12月数据源'!$J:$J,'12月数据源'!$D:$D,$E154,'12月数据源'!$F:$F,"SMART AI LIMITED")*Q$185</f>
        <v/>
      </c>
    </row>
    <row r="155" s="83">
      <c r="A155" s="5" t="inlineStr">
        <is>
          <t>管理费用</t>
        </is>
      </c>
      <c r="B155" s="6" t="inlineStr">
        <is>
          <t>办公费用</t>
        </is>
      </c>
      <c r="D155" s="5" t="inlineStr">
        <is>
          <t>网络费</t>
        </is>
      </c>
      <c r="E155" s="6" t="inlineStr">
        <is>
          <t>Q2903</t>
        </is>
      </c>
      <c r="F155" s="89">
        <f>-SUMIFS('1月数据源'!$I:$I,'1月数据源'!$D:$D,$E155,'1月数据源'!$F:$F,"SMART AI LIMITED")*F$185+SUMIFS('1月数据源'!$J:$J,'1月数据源'!$D:$D,$E155,'1月数据源'!$F:$F,"SMART AI LIMITED")*F$185</f>
        <v/>
      </c>
      <c r="G155" s="89">
        <f>-SUMIFS('2月数据源'!$I:$I,'2月数据源'!$D:$D,$E155,'2月数据源'!$F:$F,"SMART AI LIMITED")*G$185+SUMIFS('2月数据源'!$J:$J,'2月数据源'!$D:$D,$E155,'2月数据源'!$F:$F,"SMART AI LIMITED")*G$185</f>
        <v/>
      </c>
      <c r="H155" s="89">
        <f>-SUMIFS('3月数据源'!$I:$I,'3月数据源'!$D:$D,$E155,'3月数据源'!$F:$F,"SMART AI LIMITED")*H$185+SUMIFS('3月数据源'!$J:$J,'3月数据源'!$D:$D,$E155,'3月数据源'!$F:$F,"SMART AI LIMITED")*H$185</f>
        <v/>
      </c>
      <c r="I155" s="89">
        <f>-SUMIFS('4月数据源'!$I:$I,'4月数据源'!$D:$D,$E155,'4月数据源'!$F:$F,"SMART AI LIMITED")*I$185+SUMIFS('4月数据源'!$J:$J,'4月数据源'!$D:$D,$E155,'4月数据源'!$F:$F,"SMART AI LIMITED")*I$185</f>
        <v/>
      </c>
      <c r="J155" s="89">
        <f>-SUMIFS('5月数据源'!$I:$I,'5月数据源'!$D:$D,$E155,'5月数据源'!$F:$F,"SMART AI LIMITED")*J$185+SUMIFS('5月数据源'!$J:$J,'5月数据源'!$D:$D,$E155,'5月数据源'!$F:$F,"SMART AI LIMITED")*J$185</f>
        <v/>
      </c>
      <c r="K155" s="89">
        <f>-SUMIFS('6月数据源'!$I:$I,'6月数据源'!$D:$D,$E155,'6月数据源'!$F:$F,"SMART AI LIMITED")*K$185+SUMIFS('6月数据源'!$J:$J,'6月数据源'!$D:$D,$E155,'6月数据源'!$F:$F,"SMART AI LIMITED")*K$185</f>
        <v/>
      </c>
      <c r="L155" s="89">
        <f>-SUMIFS('7月数据源'!$I:$I,'7月数据源'!$D:$D,$E155,'7月数据源'!$F:$F,"SMART AI LIMITED")*L$185+SUMIFS('7月数据源'!$J:$J,'7月数据源'!$D:$D,$E155,'7月数据源'!$F:$F,"SMART AI LIMITED")*L$185</f>
        <v/>
      </c>
      <c r="M155" s="89">
        <f>-SUMIFS('8月数据源'!$I:$I,'8月数据源'!$D:$D,$E155,'8月数据源'!$F:$F,"SMART AI LIMITED")*M$185+SUMIFS('8月数据源'!$J:$J,'8月数据源'!$D:$D,$E155,'8月数据源'!$F:$F,"SMART AI LIMITED")*M$185</f>
        <v/>
      </c>
      <c r="N155" s="89">
        <f>-SUMIFS('9月数据源'!$I:$I,'9月数据源'!$D:$D,$E155,'9月数据源'!$F:$F,"SMART AI LIMITED")*N$185+SUMIFS('9月数据源'!$J:$J,'9月数据源'!$D:$D,$E155,'9月数据源'!$F:$F,"SMART AI LIMITED")*N$185</f>
        <v/>
      </c>
      <c r="O155" s="89">
        <f>-SUMIFS('10月数据源'!$I:$I,'10月数据源'!$D:$D,$E155,'10月数据源'!$F:$F,"SMART AI LIMITED")*O$185+SUMIFS('10月数据源'!$J:$J,'10月数据源'!$D:$D,$E155,'10月数据源'!$F:$F,"SMART AI LIMITED")*O$185</f>
        <v/>
      </c>
      <c r="P155" s="89">
        <f>-SUMIFS('11月数据源'!$I:$I,'11月数据源'!$D:$D,$E155,'11月数据源'!$F:$F,"SMART AI LIMITED")*P$185+SUMIFS('11月数据源'!$J:$J,'11月数据源'!$D:$D,$E155,'11月数据源'!$F:$F,"SMART AI LIMITED")*P$185</f>
        <v/>
      </c>
      <c r="Q155" s="89">
        <f>-SUMIFS('12月数据源'!$I:$I,'12月数据源'!$D:$D,$E155,'12月数据源'!$F:$F,"SMART AI LIMITED")*Q$185+SUMIFS('12月数据源'!$J:$J,'12月数据源'!$D:$D,$E155,'12月数据源'!$F:$F,"SMART AI LIMITED")*Q$185</f>
        <v/>
      </c>
    </row>
    <row r="156" s="83">
      <c r="A156" s="5" t="inlineStr">
        <is>
          <t>管理费用</t>
        </is>
      </c>
      <c r="B156" s="6" t="inlineStr">
        <is>
          <t>办公费用</t>
        </is>
      </c>
      <c r="D156" s="5" t="inlineStr">
        <is>
          <t>通讯费</t>
        </is>
      </c>
      <c r="E156" s="6" t="inlineStr">
        <is>
          <t>Q2904</t>
        </is>
      </c>
      <c r="F156" s="89">
        <f>-SUMIFS('1月数据源'!$I:$I,'1月数据源'!$D:$D,$E156,'1月数据源'!$F:$F,"SMART AI LIMITED")*F$185+SUMIFS('1月数据源'!$J:$J,'1月数据源'!$D:$D,$E156,'1月数据源'!$F:$F,"SMART AI LIMITED")*F$185</f>
        <v/>
      </c>
      <c r="G156" s="89">
        <f>-SUMIFS('2月数据源'!$I:$I,'2月数据源'!$D:$D,$E156,'2月数据源'!$F:$F,"SMART AI LIMITED")*G$185+SUMIFS('2月数据源'!$J:$J,'2月数据源'!$D:$D,$E156,'2月数据源'!$F:$F,"SMART AI LIMITED")*G$185</f>
        <v/>
      </c>
      <c r="H156" s="89">
        <f>-SUMIFS('3月数据源'!$I:$I,'3月数据源'!$D:$D,$E156,'3月数据源'!$F:$F,"SMART AI LIMITED")*H$185+SUMIFS('3月数据源'!$J:$J,'3月数据源'!$D:$D,$E156,'3月数据源'!$F:$F,"SMART AI LIMITED")*H$185</f>
        <v/>
      </c>
      <c r="I156" s="89">
        <f>-SUMIFS('4月数据源'!$I:$I,'4月数据源'!$D:$D,$E156,'4月数据源'!$F:$F,"SMART AI LIMITED")*I$185+SUMIFS('4月数据源'!$J:$J,'4月数据源'!$D:$D,$E156,'4月数据源'!$F:$F,"SMART AI LIMITED")*I$185</f>
        <v/>
      </c>
      <c r="J156" s="89">
        <f>-SUMIFS('5月数据源'!$I:$I,'5月数据源'!$D:$D,$E156,'5月数据源'!$F:$F,"SMART AI LIMITED")*J$185+SUMIFS('5月数据源'!$J:$J,'5月数据源'!$D:$D,$E156,'5月数据源'!$F:$F,"SMART AI LIMITED")*J$185</f>
        <v/>
      </c>
      <c r="K156" s="89">
        <f>-SUMIFS('6月数据源'!$I:$I,'6月数据源'!$D:$D,$E156,'6月数据源'!$F:$F,"SMART AI LIMITED")*K$185+SUMIFS('6月数据源'!$J:$J,'6月数据源'!$D:$D,$E156,'6月数据源'!$F:$F,"SMART AI LIMITED")*K$185</f>
        <v/>
      </c>
      <c r="L156" s="89">
        <f>-SUMIFS('7月数据源'!$I:$I,'7月数据源'!$D:$D,$E156,'7月数据源'!$F:$F,"SMART AI LIMITED")*L$185+SUMIFS('7月数据源'!$J:$J,'7月数据源'!$D:$D,$E156,'7月数据源'!$F:$F,"SMART AI LIMITED")*L$185</f>
        <v/>
      </c>
      <c r="M156" s="89">
        <f>-SUMIFS('8月数据源'!$I:$I,'8月数据源'!$D:$D,$E156,'8月数据源'!$F:$F,"SMART AI LIMITED")*M$185+SUMIFS('8月数据源'!$J:$J,'8月数据源'!$D:$D,$E156,'8月数据源'!$F:$F,"SMART AI LIMITED")*M$185</f>
        <v/>
      </c>
      <c r="N156" s="89">
        <f>-SUMIFS('9月数据源'!$I:$I,'9月数据源'!$D:$D,$E156,'9月数据源'!$F:$F,"SMART AI LIMITED")*N$185+SUMIFS('9月数据源'!$J:$J,'9月数据源'!$D:$D,$E156,'9月数据源'!$F:$F,"SMART AI LIMITED")*N$185</f>
        <v/>
      </c>
      <c r="O156" s="89">
        <f>-SUMIFS('10月数据源'!$I:$I,'10月数据源'!$D:$D,$E156,'10月数据源'!$F:$F,"SMART AI LIMITED")*O$185+SUMIFS('10月数据源'!$J:$J,'10月数据源'!$D:$D,$E156,'10月数据源'!$F:$F,"SMART AI LIMITED")*O$185</f>
        <v/>
      </c>
      <c r="P156" s="89">
        <f>-SUMIFS('11月数据源'!$I:$I,'11月数据源'!$D:$D,$E156,'11月数据源'!$F:$F,"SMART AI LIMITED")*P$185+SUMIFS('11月数据源'!$J:$J,'11月数据源'!$D:$D,$E156,'11月数据源'!$F:$F,"SMART AI LIMITED")*P$185</f>
        <v/>
      </c>
      <c r="Q156" s="89">
        <f>-SUMIFS('12月数据源'!$I:$I,'12月数据源'!$D:$D,$E156,'12月数据源'!$F:$F,"SMART AI LIMITED")*Q$185+SUMIFS('12月数据源'!$J:$J,'12月数据源'!$D:$D,$E156,'12月数据源'!$F:$F,"SMART AI LIMITED")*Q$185</f>
        <v/>
      </c>
    </row>
    <row r="157" s="83">
      <c r="A157" s="5" t="inlineStr">
        <is>
          <t>管理费用</t>
        </is>
      </c>
      <c r="B157" s="6" t="inlineStr">
        <is>
          <t>办公费用</t>
        </is>
      </c>
      <c r="D157" s="5" t="inlineStr">
        <is>
          <t>快递费</t>
        </is>
      </c>
      <c r="E157" s="6" t="inlineStr">
        <is>
          <t>Q2905</t>
        </is>
      </c>
      <c r="F157" s="89">
        <f>-SUMIFS('1月数据源'!$I:$I,'1月数据源'!$D:$D,$E157,'1月数据源'!$F:$F,"SMART AI LIMITED")*F$185+SUMIFS('1月数据源'!$J:$J,'1月数据源'!$D:$D,$E157,'1月数据源'!$F:$F,"SMART AI LIMITED")*F$185</f>
        <v/>
      </c>
      <c r="G157" s="89">
        <f>-SUMIFS('2月数据源'!$I:$I,'2月数据源'!$D:$D,$E157,'2月数据源'!$F:$F,"SMART AI LIMITED")*G$185+SUMIFS('2月数据源'!$J:$J,'2月数据源'!$D:$D,$E157,'2月数据源'!$F:$F,"SMART AI LIMITED")*G$185</f>
        <v/>
      </c>
      <c r="H157" s="89">
        <f>-SUMIFS('3月数据源'!$I:$I,'3月数据源'!$D:$D,$E157,'3月数据源'!$F:$F,"SMART AI LIMITED")*H$185+SUMIFS('3月数据源'!$J:$J,'3月数据源'!$D:$D,$E157,'3月数据源'!$F:$F,"SMART AI LIMITED")*H$185</f>
        <v/>
      </c>
      <c r="I157" s="89">
        <f>-SUMIFS('4月数据源'!$I:$I,'4月数据源'!$D:$D,$E157,'4月数据源'!$F:$F,"SMART AI LIMITED")*I$185+SUMIFS('4月数据源'!$J:$J,'4月数据源'!$D:$D,$E157,'4月数据源'!$F:$F,"SMART AI LIMITED")*I$185</f>
        <v/>
      </c>
      <c r="J157" s="89">
        <f>-SUMIFS('5月数据源'!$I:$I,'5月数据源'!$D:$D,$E157,'5月数据源'!$F:$F,"SMART AI LIMITED")*J$185+SUMIFS('5月数据源'!$J:$J,'5月数据源'!$D:$D,$E157,'5月数据源'!$F:$F,"SMART AI LIMITED")*J$185</f>
        <v/>
      </c>
      <c r="K157" s="89">
        <f>-SUMIFS('6月数据源'!$I:$I,'6月数据源'!$D:$D,$E157,'6月数据源'!$F:$F,"SMART AI LIMITED")*K$185+SUMIFS('6月数据源'!$J:$J,'6月数据源'!$D:$D,$E157,'6月数据源'!$F:$F,"SMART AI LIMITED")*K$185</f>
        <v/>
      </c>
      <c r="L157" s="89">
        <f>-SUMIFS('7月数据源'!$I:$I,'7月数据源'!$D:$D,$E157,'7月数据源'!$F:$F,"SMART AI LIMITED")*L$185+SUMIFS('7月数据源'!$J:$J,'7月数据源'!$D:$D,$E157,'7月数据源'!$F:$F,"SMART AI LIMITED")*L$185</f>
        <v/>
      </c>
      <c r="M157" s="89">
        <f>-SUMIFS('8月数据源'!$I:$I,'8月数据源'!$D:$D,$E157,'8月数据源'!$F:$F,"SMART AI LIMITED")*M$185+SUMIFS('8月数据源'!$J:$J,'8月数据源'!$D:$D,$E157,'8月数据源'!$F:$F,"SMART AI LIMITED")*M$185</f>
        <v/>
      </c>
      <c r="N157" s="89">
        <f>-SUMIFS('9月数据源'!$I:$I,'9月数据源'!$D:$D,$E157,'9月数据源'!$F:$F,"SMART AI LIMITED")*N$185+SUMIFS('9月数据源'!$J:$J,'9月数据源'!$D:$D,$E157,'9月数据源'!$F:$F,"SMART AI LIMITED")*N$185</f>
        <v/>
      </c>
      <c r="O157" s="89">
        <f>-SUMIFS('10月数据源'!$I:$I,'10月数据源'!$D:$D,$E157,'10月数据源'!$F:$F,"SMART AI LIMITED")*O$185+SUMIFS('10月数据源'!$J:$J,'10月数据源'!$D:$D,$E157,'10月数据源'!$F:$F,"SMART AI LIMITED")*O$185</f>
        <v/>
      </c>
      <c r="P157" s="89">
        <f>-SUMIFS('11月数据源'!$I:$I,'11月数据源'!$D:$D,$E157,'11月数据源'!$F:$F,"SMART AI LIMITED")*P$185+SUMIFS('11月数据源'!$J:$J,'11月数据源'!$D:$D,$E157,'11月数据源'!$F:$F,"SMART AI LIMITED")*P$185</f>
        <v/>
      </c>
      <c r="Q157" s="89">
        <f>-SUMIFS('12月数据源'!$I:$I,'12月数据源'!$D:$D,$E157,'12月数据源'!$F:$F,"SMART AI LIMITED")*Q$185+SUMIFS('12月数据源'!$J:$J,'12月数据源'!$D:$D,$E157,'12月数据源'!$F:$F,"SMART AI LIMITED")*Q$185</f>
        <v/>
      </c>
    </row>
    <row r="158" s="83">
      <c r="A158" s="5" t="inlineStr">
        <is>
          <t>管理费用</t>
        </is>
      </c>
      <c r="B158" s="6" t="inlineStr">
        <is>
          <t>办公费用</t>
        </is>
      </c>
      <c r="D158" s="5" t="inlineStr">
        <is>
          <t>其他员工报销</t>
        </is>
      </c>
      <c r="E158" s="6" t="inlineStr">
        <is>
          <t>Q2907</t>
        </is>
      </c>
      <c r="F158" s="89">
        <f>-SUMIFS('1月数据源'!$I:$I,'1月数据源'!$D:$D,$E158,'1月数据源'!$F:$F,"SMART AI LIMITED")*F$185+SUMIFS('1月数据源'!$J:$J,'1月数据源'!$D:$D,$E158,'1月数据源'!$F:$F,"SMART AI LIMITED")*F$185</f>
        <v/>
      </c>
      <c r="G158" s="89">
        <f>-SUMIFS('2月数据源'!$I:$I,'2月数据源'!$D:$D,$E158,'2月数据源'!$F:$F,"SMART AI LIMITED")*G$185+SUMIFS('2月数据源'!$J:$J,'2月数据源'!$D:$D,$E158,'2月数据源'!$F:$F,"SMART AI LIMITED")*G$185</f>
        <v/>
      </c>
      <c r="H158" s="89">
        <f>-SUMIFS('3月数据源'!$I:$I,'3月数据源'!$D:$D,$E158,'3月数据源'!$F:$F,"SMART AI LIMITED")*H$185+SUMIFS('3月数据源'!$J:$J,'3月数据源'!$D:$D,$E158,'3月数据源'!$F:$F,"SMART AI LIMITED")*H$185</f>
        <v/>
      </c>
      <c r="I158" s="89">
        <f>-SUMIFS('4月数据源'!$I:$I,'4月数据源'!$D:$D,$E158,'4月数据源'!$F:$F,"SMART AI LIMITED")*I$185+SUMIFS('4月数据源'!$J:$J,'4月数据源'!$D:$D,$E158,'4月数据源'!$F:$F,"SMART AI LIMITED")*I$185</f>
        <v/>
      </c>
      <c r="J158" s="89">
        <f>-SUMIFS('5月数据源'!$I:$I,'5月数据源'!$D:$D,$E158,'5月数据源'!$F:$F,"SMART AI LIMITED")*J$185+SUMIFS('5月数据源'!$J:$J,'5月数据源'!$D:$D,$E158,'5月数据源'!$F:$F,"SMART AI LIMITED")*J$185</f>
        <v/>
      </c>
      <c r="K158" s="89">
        <f>-SUMIFS('6月数据源'!$I:$I,'6月数据源'!$D:$D,$E158,'6月数据源'!$F:$F,"SMART AI LIMITED")*K$185+SUMIFS('6月数据源'!$J:$J,'6月数据源'!$D:$D,$E158,'6月数据源'!$F:$F,"SMART AI LIMITED")*K$185</f>
        <v/>
      </c>
      <c r="L158" s="89">
        <f>-SUMIFS('7月数据源'!$I:$I,'7月数据源'!$D:$D,$E158,'7月数据源'!$F:$F,"SMART AI LIMITED")*L$185+SUMIFS('7月数据源'!$J:$J,'7月数据源'!$D:$D,$E158,'7月数据源'!$F:$F,"SMART AI LIMITED")*L$185</f>
        <v/>
      </c>
      <c r="M158" s="89">
        <f>-SUMIFS('8月数据源'!$I:$I,'8月数据源'!$D:$D,$E158,'8月数据源'!$F:$F,"SMART AI LIMITED")*M$185+SUMIFS('8月数据源'!$J:$J,'8月数据源'!$D:$D,$E158,'8月数据源'!$F:$F,"SMART AI LIMITED")*M$185</f>
        <v/>
      </c>
      <c r="N158" s="89">
        <f>-SUMIFS('9月数据源'!$I:$I,'9月数据源'!$D:$D,$E158,'9月数据源'!$F:$F,"SMART AI LIMITED")*N$185+SUMIFS('9月数据源'!$J:$J,'9月数据源'!$D:$D,$E158,'9月数据源'!$F:$F,"SMART AI LIMITED")*N$185</f>
        <v/>
      </c>
      <c r="O158" s="89">
        <f>-SUMIFS('10月数据源'!$I:$I,'10月数据源'!$D:$D,$E158,'10月数据源'!$F:$F,"SMART AI LIMITED")*O$185+SUMIFS('10月数据源'!$J:$J,'10月数据源'!$D:$D,$E158,'10月数据源'!$F:$F,"SMART AI LIMITED")*O$185</f>
        <v/>
      </c>
      <c r="P158" s="89">
        <f>-SUMIFS('11月数据源'!$I:$I,'11月数据源'!$D:$D,$E158,'11月数据源'!$F:$F,"SMART AI LIMITED")*P$185+SUMIFS('11月数据源'!$J:$J,'11月数据源'!$D:$D,$E158,'11月数据源'!$F:$F,"SMART AI LIMITED")*P$185</f>
        <v/>
      </c>
      <c r="Q158" s="89">
        <f>-SUMIFS('12月数据源'!$I:$I,'12月数据源'!$D:$D,$E158,'12月数据源'!$F:$F,"SMART AI LIMITED")*Q$185+SUMIFS('12月数据源'!$J:$J,'12月数据源'!$D:$D,$E158,'12月数据源'!$F:$F,"SMART AI LIMITED")*Q$185</f>
        <v/>
      </c>
    </row>
    <row r="159" s="83">
      <c r="A159" s="5" t="inlineStr">
        <is>
          <t>管理费用</t>
        </is>
      </c>
      <c r="B159" s="6" t="inlineStr">
        <is>
          <t>办公费用</t>
        </is>
      </c>
      <c r="D159" s="5" t="inlineStr">
        <is>
          <t>办公设备租赁费</t>
        </is>
      </c>
      <c r="E159" s="6" t="inlineStr">
        <is>
          <t>Q2908</t>
        </is>
      </c>
      <c r="F159" s="89">
        <f>-SUMIFS('1月数据源'!$I:$I,'1月数据源'!$D:$D,$E159,'1月数据源'!$F:$F,"SMART AI LIMITED")*F$185+SUMIFS('1月数据源'!$J:$J,'1月数据源'!$D:$D,$E159,'1月数据源'!$F:$F,"SMART AI LIMITED")*F$185</f>
        <v/>
      </c>
      <c r="G159" s="89">
        <f>-SUMIFS('2月数据源'!$I:$I,'2月数据源'!$D:$D,$E159,'2月数据源'!$F:$F,"SMART AI LIMITED")*G$185+SUMIFS('2月数据源'!$J:$J,'2月数据源'!$D:$D,$E159,'2月数据源'!$F:$F,"SMART AI LIMITED")*G$185</f>
        <v/>
      </c>
      <c r="H159" s="89">
        <f>-SUMIFS('3月数据源'!$I:$I,'3月数据源'!$D:$D,$E159,'3月数据源'!$F:$F,"SMART AI LIMITED")*H$185+SUMIFS('3月数据源'!$J:$J,'3月数据源'!$D:$D,$E159,'3月数据源'!$F:$F,"SMART AI LIMITED")*H$185</f>
        <v/>
      </c>
      <c r="I159" s="89">
        <f>-SUMIFS('4月数据源'!$I:$I,'4月数据源'!$D:$D,$E159,'4月数据源'!$F:$F,"SMART AI LIMITED")*I$185+SUMIFS('4月数据源'!$J:$J,'4月数据源'!$D:$D,$E159,'4月数据源'!$F:$F,"SMART AI LIMITED")*I$185</f>
        <v/>
      </c>
      <c r="J159" s="89">
        <f>-SUMIFS('5月数据源'!$I:$I,'5月数据源'!$D:$D,$E159,'5月数据源'!$F:$F,"SMART AI LIMITED")*J$185+SUMIFS('5月数据源'!$J:$J,'5月数据源'!$D:$D,$E159,'5月数据源'!$F:$F,"SMART AI LIMITED")*J$185</f>
        <v/>
      </c>
      <c r="K159" s="89">
        <f>-SUMIFS('6月数据源'!$I:$I,'6月数据源'!$D:$D,$E159,'6月数据源'!$F:$F,"SMART AI LIMITED")*K$185+SUMIFS('6月数据源'!$J:$J,'6月数据源'!$D:$D,$E159,'6月数据源'!$F:$F,"SMART AI LIMITED")*K$185</f>
        <v/>
      </c>
      <c r="L159" s="89">
        <f>-SUMIFS('7月数据源'!$I:$I,'7月数据源'!$D:$D,$E159,'7月数据源'!$F:$F,"SMART AI LIMITED")*L$185+SUMIFS('7月数据源'!$J:$J,'7月数据源'!$D:$D,$E159,'7月数据源'!$F:$F,"SMART AI LIMITED")*L$185</f>
        <v/>
      </c>
      <c r="M159" s="89">
        <f>-SUMIFS('8月数据源'!$I:$I,'8月数据源'!$D:$D,$E159,'8月数据源'!$F:$F,"SMART AI LIMITED")*M$185+SUMIFS('8月数据源'!$J:$J,'8月数据源'!$D:$D,$E159,'8月数据源'!$F:$F,"SMART AI LIMITED")*M$185</f>
        <v/>
      </c>
      <c r="N159" s="89">
        <f>-SUMIFS('9月数据源'!$I:$I,'9月数据源'!$D:$D,$E159,'9月数据源'!$F:$F,"SMART AI LIMITED")*N$185+SUMIFS('9月数据源'!$J:$J,'9月数据源'!$D:$D,$E159,'9月数据源'!$F:$F,"SMART AI LIMITED")*N$185</f>
        <v/>
      </c>
      <c r="O159" s="89">
        <f>-SUMIFS('10月数据源'!$I:$I,'10月数据源'!$D:$D,$E159,'10月数据源'!$F:$F,"SMART AI LIMITED")*O$185+SUMIFS('10月数据源'!$J:$J,'10月数据源'!$D:$D,$E159,'10月数据源'!$F:$F,"SMART AI LIMITED")*O$185</f>
        <v/>
      </c>
      <c r="P159" s="89">
        <f>-SUMIFS('11月数据源'!$I:$I,'11月数据源'!$D:$D,$E159,'11月数据源'!$F:$F,"SMART AI LIMITED")*P$185+SUMIFS('11月数据源'!$J:$J,'11月数据源'!$D:$D,$E159,'11月数据源'!$F:$F,"SMART AI LIMITED")*P$185</f>
        <v/>
      </c>
      <c r="Q159" s="89">
        <f>-SUMIFS('12月数据源'!$I:$I,'12月数据源'!$D:$D,$E159,'12月数据源'!$F:$F,"SMART AI LIMITED")*Q$185+SUMIFS('12月数据源'!$J:$J,'12月数据源'!$D:$D,$E159,'12月数据源'!$F:$F,"SMART AI LIMITED")*Q$185</f>
        <v/>
      </c>
    </row>
    <row r="160" s="83">
      <c r="A160" s="5" t="inlineStr">
        <is>
          <t>管理费用</t>
        </is>
      </c>
      <c r="B160" s="6" t="inlineStr">
        <is>
          <t>办公费用</t>
        </is>
      </c>
      <c r="D160" s="5" t="inlineStr">
        <is>
          <t>总经办报销费用</t>
        </is>
      </c>
      <c r="E160" s="6" t="inlineStr">
        <is>
          <t>Q2909</t>
        </is>
      </c>
      <c r="F160" s="89">
        <f>-SUMIFS('1月数据源'!$I:$I,'1月数据源'!$D:$D,$E160,'1月数据源'!$F:$F,"SMART AI LIMITED")*F$185+SUMIFS('1月数据源'!$J:$J,'1月数据源'!$D:$D,$E160,'1月数据源'!$F:$F,"SMART AI LIMITED")*F$185</f>
        <v/>
      </c>
      <c r="G160" s="89">
        <f>-SUMIFS('2月数据源'!$I:$I,'2月数据源'!$D:$D,$E160,'2月数据源'!$F:$F,"SMART AI LIMITED")*G$185+SUMIFS('2月数据源'!$J:$J,'2月数据源'!$D:$D,$E160,'2月数据源'!$F:$F,"SMART AI LIMITED")*G$185</f>
        <v/>
      </c>
      <c r="H160" s="89">
        <f>-SUMIFS('3月数据源'!$I:$I,'3月数据源'!$D:$D,$E160,'3月数据源'!$F:$F,"SMART AI LIMITED")*H$185+SUMIFS('3月数据源'!$J:$J,'3月数据源'!$D:$D,$E160,'3月数据源'!$F:$F,"SMART AI LIMITED")*H$185</f>
        <v/>
      </c>
      <c r="I160" s="89">
        <f>-SUMIFS('4月数据源'!$I:$I,'4月数据源'!$D:$D,$E160,'4月数据源'!$F:$F,"SMART AI LIMITED")*I$185+SUMIFS('4月数据源'!$J:$J,'4月数据源'!$D:$D,$E160,'4月数据源'!$F:$F,"SMART AI LIMITED")*I$185</f>
        <v/>
      </c>
      <c r="J160" s="89">
        <f>-SUMIFS('5月数据源'!$I:$I,'5月数据源'!$D:$D,$E160,'5月数据源'!$F:$F,"SMART AI LIMITED")*J$185+SUMIFS('5月数据源'!$J:$J,'5月数据源'!$D:$D,$E160,'5月数据源'!$F:$F,"SMART AI LIMITED")*J$185</f>
        <v/>
      </c>
      <c r="K160" s="89">
        <f>-SUMIFS('6月数据源'!$I:$I,'6月数据源'!$D:$D,$E160,'6月数据源'!$F:$F,"SMART AI LIMITED")*K$185+SUMIFS('6月数据源'!$J:$J,'6月数据源'!$D:$D,$E160,'6月数据源'!$F:$F,"SMART AI LIMITED")*K$185</f>
        <v/>
      </c>
      <c r="L160" s="89">
        <f>-SUMIFS('7月数据源'!$I:$I,'7月数据源'!$D:$D,$E160,'7月数据源'!$F:$F,"SMART AI LIMITED")*L$185+SUMIFS('7月数据源'!$J:$J,'7月数据源'!$D:$D,$E160,'7月数据源'!$F:$F,"SMART AI LIMITED")*L$185</f>
        <v/>
      </c>
      <c r="M160" s="89">
        <f>-SUMIFS('8月数据源'!$I:$I,'8月数据源'!$D:$D,$E160,'8月数据源'!$F:$F,"SMART AI LIMITED")*M$185+SUMIFS('8月数据源'!$J:$J,'8月数据源'!$D:$D,$E160,'8月数据源'!$F:$F,"SMART AI LIMITED")*M$185</f>
        <v/>
      </c>
      <c r="N160" s="89">
        <f>-SUMIFS('9月数据源'!$I:$I,'9月数据源'!$D:$D,$E160,'9月数据源'!$F:$F,"SMART AI LIMITED")*N$185+SUMIFS('9月数据源'!$J:$J,'9月数据源'!$D:$D,$E160,'9月数据源'!$F:$F,"SMART AI LIMITED")*N$185</f>
        <v/>
      </c>
      <c r="O160" s="89">
        <f>-SUMIFS('10月数据源'!$I:$I,'10月数据源'!$D:$D,$E160,'10月数据源'!$F:$F,"SMART AI LIMITED")*O$185+SUMIFS('10月数据源'!$J:$J,'10月数据源'!$D:$D,$E160,'10月数据源'!$F:$F,"SMART AI LIMITED")*O$185</f>
        <v/>
      </c>
      <c r="P160" s="89">
        <f>-SUMIFS('11月数据源'!$I:$I,'11月数据源'!$D:$D,$E160,'11月数据源'!$F:$F,"SMART AI LIMITED")*P$185+SUMIFS('11月数据源'!$J:$J,'11月数据源'!$D:$D,$E160,'11月数据源'!$F:$F,"SMART AI LIMITED")*P$185</f>
        <v/>
      </c>
      <c r="Q160" s="89">
        <f>-SUMIFS('12月数据源'!$I:$I,'12月数据源'!$D:$D,$E160,'12月数据源'!$F:$F,"SMART AI LIMITED")*Q$185+SUMIFS('12月数据源'!$J:$J,'12月数据源'!$D:$D,$E160,'12月数据源'!$F:$F,"SMART AI LIMITED")*Q$185</f>
        <v/>
      </c>
    </row>
    <row r="161" s="83">
      <c r="A161" s="5" t="inlineStr">
        <is>
          <t>管理费用</t>
        </is>
      </c>
      <c r="B161" s="6" t="inlineStr">
        <is>
          <t>办公费用</t>
        </is>
      </c>
      <c r="D161" s="5" t="inlineStr">
        <is>
          <t>其他办公费用</t>
        </is>
      </c>
      <c r="E161" s="6" t="inlineStr">
        <is>
          <t>Q29010</t>
        </is>
      </c>
      <c r="F161" s="89">
        <f>-SUMIFS('1月数据源'!$I:$I,'1月数据源'!$D:$D,$E161,'1月数据源'!$F:$F,"SMART AI LIMITED")*F$185+SUMIFS('1月数据源'!$J:$J,'1月数据源'!$D:$D,$E161,'1月数据源'!$F:$F,"SMART AI LIMITED")*F$185</f>
        <v/>
      </c>
      <c r="G161" s="89">
        <f>-SUMIFS('2月数据源'!$I:$I,'2月数据源'!$D:$D,$E161,'2月数据源'!$F:$F,"SMART AI LIMITED")*G$185+SUMIFS('2月数据源'!$J:$J,'2月数据源'!$D:$D,$E161,'2月数据源'!$F:$F,"SMART AI LIMITED")*G$185</f>
        <v/>
      </c>
      <c r="H161" s="89">
        <f>-SUMIFS('3月数据源'!$I:$I,'3月数据源'!$D:$D,$E161,'3月数据源'!$F:$F,"SMART AI LIMITED")*H$185+SUMIFS('3月数据源'!$J:$J,'3月数据源'!$D:$D,$E161,'3月数据源'!$F:$F,"SMART AI LIMITED")*H$185</f>
        <v/>
      </c>
      <c r="I161" s="89">
        <f>-SUMIFS('4月数据源'!$I:$I,'4月数据源'!$D:$D,$E161,'4月数据源'!$F:$F,"SMART AI LIMITED")*I$185+SUMIFS('4月数据源'!$J:$J,'4月数据源'!$D:$D,$E161,'4月数据源'!$F:$F,"SMART AI LIMITED")*I$185</f>
        <v/>
      </c>
      <c r="J161" s="89">
        <f>-SUMIFS('5月数据源'!$I:$I,'5月数据源'!$D:$D,$E161,'5月数据源'!$F:$F,"SMART AI LIMITED")*J$185+SUMIFS('5月数据源'!$J:$J,'5月数据源'!$D:$D,$E161,'5月数据源'!$F:$F,"SMART AI LIMITED")*J$185</f>
        <v/>
      </c>
      <c r="K161" s="89">
        <f>-SUMIFS('6月数据源'!$I:$I,'6月数据源'!$D:$D,$E161,'6月数据源'!$F:$F,"SMART AI LIMITED")*K$185+SUMIFS('6月数据源'!$J:$J,'6月数据源'!$D:$D,$E161,'6月数据源'!$F:$F,"SMART AI LIMITED")*K$185</f>
        <v/>
      </c>
      <c r="L161" s="89">
        <f>-SUMIFS('7月数据源'!$I:$I,'7月数据源'!$D:$D,$E161,'7月数据源'!$F:$F,"SMART AI LIMITED")*L$185+SUMIFS('7月数据源'!$J:$J,'7月数据源'!$D:$D,$E161,'7月数据源'!$F:$F,"SMART AI LIMITED")*L$185</f>
        <v/>
      </c>
      <c r="M161" s="89">
        <f>-SUMIFS('8月数据源'!$I:$I,'8月数据源'!$D:$D,$E161,'8月数据源'!$F:$F,"SMART AI LIMITED")*M$185+SUMIFS('8月数据源'!$J:$J,'8月数据源'!$D:$D,$E161,'8月数据源'!$F:$F,"SMART AI LIMITED")*M$185</f>
        <v/>
      </c>
      <c r="N161" s="89">
        <f>-SUMIFS('9月数据源'!$I:$I,'9月数据源'!$D:$D,$E161,'9月数据源'!$F:$F,"SMART AI LIMITED")*N$185+SUMIFS('9月数据源'!$J:$J,'9月数据源'!$D:$D,$E161,'9月数据源'!$F:$F,"SMART AI LIMITED")*N$185</f>
        <v/>
      </c>
      <c r="O161" s="89">
        <f>-SUMIFS('10月数据源'!$I:$I,'10月数据源'!$D:$D,$E161,'10月数据源'!$F:$F,"SMART AI LIMITED")*O$185+SUMIFS('10月数据源'!$J:$J,'10月数据源'!$D:$D,$E161,'10月数据源'!$F:$F,"SMART AI LIMITED")*O$185</f>
        <v/>
      </c>
      <c r="P161" s="89">
        <f>-SUMIFS('11月数据源'!$I:$I,'11月数据源'!$D:$D,$E161,'11月数据源'!$F:$F,"SMART AI LIMITED")*P$185+SUMIFS('11月数据源'!$J:$J,'11月数据源'!$D:$D,$E161,'11月数据源'!$F:$F,"SMART AI LIMITED")*P$185</f>
        <v/>
      </c>
      <c r="Q161" s="89">
        <f>-SUMIFS('12月数据源'!$I:$I,'12月数据源'!$D:$D,$E161,'12月数据源'!$F:$F,"SMART AI LIMITED")*Q$185+SUMIFS('12月数据源'!$J:$J,'12月数据源'!$D:$D,$E161,'12月数据源'!$F:$F,"SMART AI LIMITED")*Q$185</f>
        <v/>
      </c>
    </row>
    <row r="162" s="83">
      <c r="A162" s="49" t="inlineStr">
        <is>
          <t>管理费用合计</t>
        </is>
      </c>
      <c r="B162" s="50" t="n"/>
      <c r="C162" s="50" t="n"/>
      <c r="D162" s="49" t="n"/>
      <c r="E162" s="49" t="n"/>
      <c r="F162" s="89">
        <f>SUM(F138:F161)</f>
        <v/>
      </c>
      <c r="G162" s="89">
        <f>SUM(G138:G161)</f>
        <v/>
      </c>
      <c r="H162" s="89">
        <f>SUM(H138:H161)</f>
        <v/>
      </c>
      <c r="I162" s="89">
        <f>SUM(I138:I161)</f>
        <v/>
      </c>
      <c r="J162" s="89">
        <f>SUM(J138:J161)</f>
        <v/>
      </c>
      <c r="K162" s="89">
        <f>SUM(K138:K161)</f>
        <v/>
      </c>
      <c r="L162" s="89">
        <f>SUM(L138:L161)</f>
        <v/>
      </c>
      <c r="M162" s="89">
        <f>SUM(M138:M161)</f>
        <v/>
      </c>
      <c r="N162" s="89">
        <f>SUM(N138:N161)</f>
        <v/>
      </c>
      <c r="O162" s="89">
        <f>SUM(O138:O161)</f>
        <v/>
      </c>
      <c r="P162" s="89">
        <f>SUM(P138:P161)</f>
        <v/>
      </c>
      <c r="Q162" s="89">
        <f>SUM(Q138:Q161)</f>
        <v/>
      </c>
    </row>
    <row r="163" s="83">
      <c r="A163" s="5" t="inlineStr">
        <is>
          <t>税费成本</t>
        </is>
      </c>
      <c r="B163" s="6" t="inlineStr">
        <is>
          <t>税费成本</t>
        </is>
      </c>
      <c r="C163" s="6" t="inlineStr">
        <is>
          <t>税费成本</t>
        </is>
      </c>
      <c r="D163" s="5" t="inlineStr">
        <is>
          <t>增值税</t>
        </is>
      </c>
      <c r="E163" s="6" t="inlineStr">
        <is>
          <t>Q3001</t>
        </is>
      </c>
      <c r="F163" s="89">
        <f>-SUMIFS('1月数据源'!$I:$I,'1月数据源'!$D:$D,$E163,'1月数据源'!$F:$F,"SMART AI LIMITED")*F$185+SUMIFS('1月数据源'!$J:$J,'1月数据源'!$D:$D,$E163,'1月数据源'!$F:$F,"SMART AI LIMITED")*F$185</f>
        <v/>
      </c>
      <c r="G163" s="89">
        <f>-SUMIFS('2月数据源'!$I:$I,'2月数据源'!$D:$D,$E163,'2月数据源'!$F:$F,"SMART AI LIMITED")*G$185+SUMIFS('2月数据源'!$J:$J,'2月数据源'!$D:$D,$E163,'2月数据源'!$F:$F,"SMART AI LIMITED")*G$185</f>
        <v/>
      </c>
      <c r="H163" s="89">
        <f>-SUMIFS('3月数据源'!$I:$I,'3月数据源'!$D:$D,$E163,'3月数据源'!$F:$F,"SMART AI LIMITED")*H$185+SUMIFS('3月数据源'!$J:$J,'3月数据源'!$D:$D,$E163,'3月数据源'!$F:$F,"SMART AI LIMITED")*H$185</f>
        <v/>
      </c>
      <c r="I163" s="89">
        <f>-SUMIFS('4月数据源'!$I:$I,'4月数据源'!$D:$D,$E163,'4月数据源'!$F:$F,"SMART AI LIMITED")*I$185+SUMIFS('4月数据源'!$J:$J,'4月数据源'!$D:$D,$E163,'4月数据源'!$F:$F,"SMART AI LIMITED")*I$185</f>
        <v/>
      </c>
      <c r="J163" s="89">
        <f>-SUMIFS('5月数据源'!$I:$I,'5月数据源'!$D:$D,$E163,'5月数据源'!$F:$F,"SMART AI LIMITED")*J$185+SUMIFS('5月数据源'!$J:$J,'5月数据源'!$D:$D,$E163,'5月数据源'!$F:$F,"SMART AI LIMITED")*J$185</f>
        <v/>
      </c>
      <c r="K163" s="89">
        <f>-SUMIFS('6月数据源'!$I:$I,'6月数据源'!$D:$D,$E163,'6月数据源'!$F:$F,"SMART AI LIMITED")*K$185+SUMIFS('6月数据源'!$J:$J,'6月数据源'!$D:$D,$E163,'6月数据源'!$F:$F,"SMART AI LIMITED")*K$185</f>
        <v/>
      </c>
      <c r="L163" s="89">
        <f>-SUMIFS('7月数据源'!$I:$I,'7月数据源'!$D:$D,$E163,'7月数据源'!$F:$F,"SMART AI LIMITED")*L$185+SUMIFS('7月数据源'!$J:$J,'7月数据源'!$D:$D,$E163,'7月数据源'!$F:$F,"SMART AI LIMITED")*L$185</f>
        <v/>
      </c>
      <c r="M163" s="89">
        <f>-SUMIFS('8月数据源'!$I:$I,'8月数据源'!$D:$D,$E163,'8月数据源'!$F:$F,"SMART AI LIMITED")*M$185+SUMIFS('8月数据源'!$J:$J,'8月数据源'!$D:$D,$E163,'8月数据源'!$F:$F,"SMART AI LIMITED")*M$185</f>
        <v/>
      </c>
      <c r="N163" s="89">
        <f>-SUMIFS('9月数据源'!$I:$I,'9月数据源'!$D:$D,$E163,'9月数据源'!$F:$F,"SMART AI LIMITED")*N$185+SUMIFS('9月数据源'!$J:$J,'9月数据源'!$D:$D,$E163,'9月数据源'!$F:$F,"SMART AI LIMITED")*N$185</f>
        <v/>
      </c>
      <c r="O163" s="89">
        <f>-SUMIFS('10月数据源'!$I:$I,'10月数据源'!$D:$D,$E163,'10月数据源'!$F:$F,"SMART AI LIMITED")*O$185+SUMIFS('10月数据源'!$J:$J,'10月数据源'!$D:$D,$E163,'10月数据源'!$F:$F,"SMART AI LIMITED")*O$185</f>
        <v/>
      </c>
      <c r="P163" s="89">
        <f>-SUMIFS('11月数据源'!$I:$I,'11月数据源'!$D:$D,$E163,'11月数据源'!$F:$F,"SMART AI LIMITED")*P$185+SUMIFS('11月数据源'!$J:$J,'11月数据源'!$D:$D,$E163,'11月数据源'!$F:$F,"SMART AI LIMITED")*P$185</f>
        <v/>
      </c>
      <c r="Q163" s="89">
        <f>-SUMIFS('12月数据源'!$I:$I,'12月数据源'!$D:$D,$E163,'12月数据源'!$F:$F,"SMART AI LIMITED")*Q$185+SUMIFS('12月数据源'!$J:$J,'12月数据源'!$D:$D,$E163,'12月数据源'!$F:$F,"SMART AI LIMITED")*Q$185</f>
        <v/>
      </c>
    </row>
    <row r="164" s="83">
      <c r="A164" s="5" t="inlineStr">
        <is>
          <t>税费成本</t>
        </is>
      </c>
      <c r="B164" s="6" t="inlineStr">
        <is>
          <t>税费成本</t>
        </is>
      </c>
      <c r="D164" s="5" t="inlineStr">
        <is>
          <t>附加税</t>
        </is>
      </c>
      <c r="E164" s="6" t="inlineStr">
        <is>
          <t>Q3002</t>
        </is>
      </c>
      <c r="F164" s="89">
        <f>-SUMIFS('1月数据源'!$I:$I,'1月数据源'!$D:$D,$E164,'1月数据源'!$F:$F,"SMART AI LIMITED")*F$185+SUMIFS('1月数据源'!$J:$J,'1月数据源'!$D:$D,$E164,'1月数据源'!$F:$F,"SMART AI LIMITED")*F$185</f>
        <v/>
      </c>
      <c r="G164" s="89">
        <f>-SUMIFS('2月数据源'!$I:$I,'2月数据源'!$D:$D,$E164,'2月数据源'!$F:$F,"SMART AI LIMITED")*G$185+SUMIFS('2月数据源'!$J:$J,'2月数据源'!$D:$D,$E164,'2月数据源'!$F:$F,"SMART AI LIMITED")*G$185</f>
        <v/>
      </c>
      <c r="H164" s="89">
        <f>-SUMIFS('3月数据源'!$I:$I,'3月数据源'!$D:$D,$E164,'3月数据源'!$F:$F,"SMART AI LIMITED")*H$185+SUMIFS('3月数据源'!$J:$J,'3月数据源'!$D:$D,$E164,'3月数据源'!$F:$F,"SMART AI LIMITED")*H$185</f>
        <v/>
      </c>
      <c r="I164" s="89">
        <f>-SUMIFS('4月数据源'!$I:$I,'4月数据源'!$D:$D,$E164,'4月数据源'!$F:$F,"SMART AI LIMITED")*I$185+SUMIFS('4月数据源'!$J:$J,'4月数据源'!$D:$D,$E164,'4月数据源'!$F:$F,"SMART AI LIMITED")*I$185</f>
        <v/>
      </c>
      <c r="J164" s="89">
        <f>-SUMIFS('5月数据源'!$I:$I,'5月数据源'!$D:$D,$E164,'5月数据源'!$F:$F,"SMART AI LIMITED")*J$185+SUMIFS('5月数据源'!$J:$J,'5月数据源'!$D:$D,$E164,'5月数据源'!$F:$F,"SMART AI LIMITED")*J$185</f>
        <v/>
      </c>
      <c r="K164" s="89">
        <f>-SUMIFS('6月数据源'!$I:$I,'6月数据源'!$D:$D,$E164,'6月数据源'!$F:$F,"SMART AI LIMITED")*K$185+SUMIFS('6月数据源'!$J:$J,'6月数据源'!$D:$D,$E164,'6月数据源'!$F:$F,"SMART AI LIMITED")*K$185</f>
        <v/>
      </c>
      <c r="L164" s="89">
        <f>-SUMIFS('7月数据源'!$I:$I,'7月数据源'!$D:$D,$E164,'7月数据源'!$F:$F,"SMART AI LIMITED")*L$185+SUMIFS('7月数据源'!$J:$J,'7月数据源'!$D:$D,$E164,'7月数据源'!$F:$F,"SMART AI LIMITED")*L$185</f>
        <v/>
      </c>
      <c r="M164" s="89">
        <f>-SUMIFS('8月数据源'!$I:$I,'8月数据源'!$D:$D,$E164,'8月数据源'!$F:$F,"SMART AI LIMITED")*M$185+SUMIFS('8月数据源'!$J:$J,'8月数据源'!$D:$D,$E164,'8月数据源'!$F:$F,"SMART AI LIMITED")*M$185</f>
        <v/>
      </c>
      <c r="N164" s="89">
        <f>-SUMIFS('9月数据源'!$I:$I,'9月数据源'!$D:$D,$E164,'9月数据源'!$F:$F,"SMART AI LIMITED")*N$185+SUMIFS('9月数据源'!$J:$J,'9月数据源'!$D:$D,$E164,'9月数据源'!$F:$F,"SMART AI LIMITED")*N$185</f>
        <v/>
      </c>
      <c r="O164" s="89">
        <f>-SUMIFS('10月数据源'!$I:$I,'10月数据源'!$D:$D,$E164,'10月数据源'!$F:$F,"SMART AI LIMITED")*O$185+SUMIFS('10月数据源'!$J:$J,'10月数据源'!$D:$D,$E164,'10月数据源'!$F:$F,"SMART AI LIMITED")*O$185</f>
        <v/>
      </c>
      <c r="P164" s="89">
        <f>-SUMIFS('11月数据源'!$I:$I,'11月数据源'!$D:$D,$E164,'11月数据源'!$F:$F,"SMART AI LIMITED")*P$185+SUMIFS('11月数据源'!$J:$J,'11月数据源'!$D:$D,$E164,'11月数据源'!$F:$F,"SMART AI LIMITED")*P$185</f>
        <v/>
      </c>
      <c r="Q164" s="89">
        <f>-SUMIFS('12月数据源'!$I:$I,'12月数据源'!$D:$D,$E164,'12月数据源'!$F:$F,"SMART AI LIMITED")*Q$185+SUMIFS('12月数据源'!$J:$J,'12月数据源'!$D:$D,$E164,'12月数据源'!$F:$F,"SMART AI LIMITED")*Q$185</f>
        <v/>
      </c>
    </row>
    <row r="165" s="83">
      <c r="A165" s="5" t="inlineStr">
        <is>
          <t>税费成本</t>
        </is>
      </c>
      <c r="B165" s="6" t="inlineStr">
        <is>
          <t>税费成本</t>
        </is>
      </c>
      <c r="D165" s="5" t="inlineStr">
        <is>
          <t>印花税</t>
        </is>
      </c>
      <c r="E165" s="6" t="inlineStr">
        <is>
          <t>Q3003</t>
        </is>
      </c>
      <c r="F165" s="89">
        <f>-SUMIFS('1月数据源'!$I:$I,'1月数据源'!$D:$D,$E165,'1月数据源'!$F:$F,"SMART AI LIMITED")*F$185+SUMIFS('1月数据源'!$J:$J,'1月数据源'!$D:$D,$E165,'1月数据源'!$F:$F,"SMART AI LIMITED")*F$185</f>
        <v/>
      </c>
      <c r="G165" s="89">
        <f>-SUMIFS('2月数据源'!$I:$I,'2月数据源'!$D:$D,$E165,'2月数据源'!$F:$F,"SMART AI LIMITED")*G$185+SUMIFS('2月数据源'!$J:$J,'2月数据源'!$D:$D,$E165,'2月数据源'!$F:$F,"SMART AI LIMITED")*G$185</f>
        <v/>
      </c>
      <c r="H165" s="89">
        <f>-SUMIFS('3月数据源'!$I:$I,'3月数据源'!$D:$D,$E165,'3月数据源'!$F:$F,"SMART AI LIMITED")*H$185+SUMIFS('3月数据源'!$J:$J,'3月数据源'!$D:$D,$E165,'3月数据源'!$F:$F,"SMART AI LIMITED")*H$185</f>
        <v/>
      </c>
      <c r="I165" s="89">
        <f>-SUMIFS('4月数据源'!$I:$I,'4月数据源'!$D:$D,$E165,'4月数据源'!$F:$F,"SMART AI LIMITED")*I$185+SUMIFS('4月数据源'!$J:$J,'4月数据源'!$D:$D,$E165,'4月数据源'!$F:$F,"SMART AI LIMITED")*I$185</f>
        <v/>
      </c>
      <c r="J165" s="89">
        <f>-SUMIFS('5月数据源'!$I:$I,'5月数据源'!$D:$D,$E165,'5月数据源'!$F:$F,"SMART AI LIMITED")*J$185+SUMIFS('5月数据源'!$J:$J,'5月数据源'!$D:$D,$E165,'5月数据源'!$F:$F,"SMART AI LIMITED")*J$185</f>
        <v/>
      </c>
      <c r="K165" s="89">
        <f>-SUMIFS('6月数据源'!$I:$I,'6月数据源'!$D:$D,$E165,'6月数据源'!$F:$F,"SMART AI LIMITED")*K$185+SUMIFS('6月数据源'!$J:$J,'6月数据源'!$D:$D,$E165,'6月数据源'!$F:$F,"SMART AI LIMITED")*K$185</f>
        <v/>
      </c>
      <c r="L165" s="89">
        <f>-SUMIFS('7月数据源'!$I:$I,'7月数据源'!$D:$D,$E165,'7月数据源'!$F:$F,"SMART AI LIMITED")*L$185+SUMIFS('7月数据源'!$J:$J,'7月数据源'!$D:$D,$E165,'7月数据源'!$F:$F,"SMART AI LIMITED")*L$185</f>
        <v/>
      </c>
      <c r="M165" s="89">
        <f>-SUMIFS('8月数据源'!$I:$I,'8月数据源'!$D:$D,$E165,'8月数据源'!$F:$F,"SMART AI LIMITED")*M$185+SUMIFS('8月数据源'!$J:$J,'8月数据源'!$D:$D,$E165,'8月数据源'!$F:$F,"SMART AI LIMITED")*M$185</f>
        <v/>
      </c>
      <c r="N165" s="89">
        <f>-SUMIFS('9月数据源'!$I:$I,'9月数据源'!$D:$D,$E165,'9月数据源'!$F:$F,"SMART AI LIMITED")*N$185+SUMIFS('9月数据源'!$J:$J,'9月数据源'!$D:$D,$E165,'9月数据源'!$F:$F,"SMART AI LIMITED")*N$185</f>
        <v/>
      </c>
      <c r="O165" s="89">
        <f>-SUMIFS('10月数据源'!$I:$I,'10月数据源'!$D:$D,$E165,'10月数据源'!$F:$F,"SMART AI LIMITED")*O$185+SUMIFS('10月数据源'!$J:$J,'10月数据源'!$D:$D,$E165,'10月数据源'!$F:$F,"SMART AI LIMITED")*O$185</f>
        <v/>
      </c>
      <c r="P165" s="89">
        <f>-SUMIFS('11月数据源'!$I:$I,'11月数据源'!$D:$D,$E165,'11月数据源'!$F:$F,"SMART AI LIMITED")*P$185+SUMIFS('11月数据源'!$J:$J,'11月数据源'!$D:$D,$E165,'11月数据源'!$F:$F,"SMART AI LIMITED")*P$185</f>
        <v/>
      </c>
      <c r="Q165" s="89">
        <f>-SUMIFS('12月数据源'!$I:$I,'12月数据源'!$D:$D,$E165,'12月数据源'!$F:$F,"SMART AI LIMITED")*Q$185+SUMIFS('12月数据源'!$J:$J,'12月数据源'!$D:$D,$E165,'12月数据源'!$F:$F,"SMART AI LIMITED")*Q$185</f>
        <v/>
      </c>
    </row>
    <row r="166" s="83">
      <c r="A166" s="5" t="inlineStr">
        <is>
          <t>税费成本</t>
        </is>
      </c>
      <c r="B166" s="6" t="inlineStr">
        <is>
          <t>税费成本</t>
        </is>
      </c>
      <c r="D166" s="5" t="inlineStr">
        <is>
          <t>企业所得税</t>
        </is>
      </c>
      <c r="E166" s="6" t="inlineStr">
        <is>
          <t>Q3004</t>
        </is>
      </c>
      <c r="F166" s="89">
        <f>-SUMIFS('1月数据源'!$I:$I,'1月数据源'!$D:$D,$E166,'1月数据源'!$F:$F,"SMART AI LIMITED")*F$185+SUMIFS('1月数据源'!$J:$J,'1月数据源'!$D:$D,$E166,'1月数据源'!$F:$F,"SMART AI LIMITED")*F$185</f>
        <v/>
      </c>
      <c r="G166" s="89">
        <f>-SUMIFS('2月数据源'!$I:$I,'2月数据源'!$D:$D,$E166,'2月数据源'!$F:$F,"SMART AI LIMITED")*G$185+SUMIFS('2月数据源'!$J:$J,'2月数据源'!$D:$D,$E166,'2月数据源'!$F:$F,"SMART AI LIMITED")*G$185</f>
        <v/>
      </c>
      <c r="H166" s="89">
        <f>-SUMIFS('3月数据源'!$I:$I,'3月数据源'!$D:$D,$E166,'3月数据源'!$F:$F,"SMART AI LIMITED")*H$185+SUMIFS('3月数据源'!$J:$J,'3月数据源'!$D:$D,$E166,'3月数据源'!$F:$F,"SMART AI LIMITED")*H$185</f>
        <v/>
      </c>
      <c r="I166" s="89">
        <f>-SUMIFS('4月数据源'!$I:$I,'4月数据源'!$D:$D,$E166,'4月数据源'!$F:$F,"SMART AI LIMITED")*I$185+SUMIFS('4月数据源'!$J:$J,'4月数据源'!$D:$D,$E166,'4月数据源'!$F:$F,"SMART AI LIMITED")*I$185</f>
        <v/>
      </c>
      <c r="J166" s="89">
        <f>-SUMIFS('5月数据源'!$I:$I,'5月数据源'!$D:$D,$E166,'5月数据源'!$F:$F,"SMART AI LIMITED")*J$185+SUMIFS('5月数据源'!$J:$J,'5月数据源'!$D:$D,$E166,'5月数据源'!$F:$F,"SMART AI LIMITED")*J$185</f>
        <v/>
      </c>
      <c r="K166" s="89">
        <f>-SUMIFS('6月数据源'!$I:$I,'6月数据源'!$D:$D,$E166,'6月数据源'!$F:$F,"SMART AI LIMITED")*K$185+SUMIFS('6月数据源'!$J:$J,'6月数据源'!$D:$D,$E166,'6月数据源'!$F:$F,"SMART AI LIMITED")*K$185</f>
        <v/>
      </c>
      <c r="L166" s="89">
        <f>-SUMIFS('7月数据源'!$I:$I,'7月数据源'!$D:$D,$E166,'7月数据源'!$F:$F,"SMART AI LIMITED")*L$185+SUMIFS('7月数据源'!$J:$J,'7月数据源'!$D:$D,$E166,'7月数据源'!$F:$F,"SMART AI LIMITED")*L$185</f>
        <v/>
      </c>
      <c r="M166" s="89">
        <f>-SUMIFS('8月数据源'!$I:$I,'8月数据源'!$D:$D,$E166,'8月数据源'!$F:$F,"SMART AI LIMITED")*M$185+SUMIFS('8月数据源'!$J:$J,'8月数据源'!$D:$D,$E166,'8月数据源'!$F:$F,"SMART AI LIMITED")*M$185</f>
        <v/>
      </c>
      <c r="N166" s="89">
        <f>-SUMIFS('9月数据源'!$I:$I,'9月数据源'!$D:$D,$E166,'9月数据源'!$F:$F,"SMART AI LIMITED")*N$185+SUMIFS('9月数据源'!$J:$J,'9月数据源'!$D:$D,$E166,'9月数据源'!$F:$F,"SMART AI LIMITED")*N$185</f>
        <v/>
      </c>
      <c r="O166" s="89">
        <f>-SUMIFS('10月数据源'!$I:$I,'10月数据源'!$D:$D,$E166,'10月数据源'!$F:$F,"SMART AI LIMITED")*O$185+SUMIFS('10月数据源'!$J:$J,'10月数据源'!$D:$D,$E166,'10月数据源'!$F:$F,"SMART AI LIMITED")*O$185</f>
        <v/>
      </c>
      <c r="P166" s="89">
        <f>-SUMIFS('11月数据源'!$I:$I,'11月数据源'!$D:$D,$E166,'11月数据源'!$F:$F,"SMART AI LIMITED")*P$185+SUMIFS('11月数据源'!$J:$J,'11月数据源'!$D:$D,$E166,'11月数据源'!$F:$F,"SMART AI LIMITED")*P$185</f>
        <v/>
      </c>
      <c r="Q166" s="89">
        <f>-SUMIFS('12月数据源'!$I:$I,'12月数据源'!$D:$D,$E166,'12月数据源'!$F:$F,"SMART AI LIMITED")*Q$185+SUMIFS('12月数据源'!$J:$J,'12月数据源'!$D:$D,$E166,'12月数据源'!$F:$F,"SMART AI LIMITED")*Q$185</f>
        <v/>
      </c>
    </row>
    <row r="167" s="83">
      <c r="A167" s="49" t="inlineStr">
        <is>
          <t>税费成本合计</t>
        </is>
      </c>
      <c r="B167" s="50" t="n"/>
      <c r="C167" s="50" t="n"/>
      <c r="D167" s="49" t="n"/>
      <c r="E167" s="49" t="n"/>
      <c r="F167" s="89">
        <f>SUM(F163:F166)</f>
        <v/>
      </c>
      <c r="G167" s="89">
        <f>SUM(G163:G166)</f>
        <v/>
      </c>
      <c r="H167" s="89">
        <f>SUM(H163:H166)</f>
        <v/>
      </c>
      <c r="I167" s="89">
        <f>SUM(I163:I166)</f>
        <v/>
      </c>
      <c r="J167" s="89">
        <f>SUM(J163:J166)</f>
        <v/>
      </c>
      <c r="K167" s="89">
        <f>SUM(K163:K166)</f>
        <v/>
      </c>
      <c r="L167" s="89">
        <f>SUM(L163:L166)</f>
        <v/>
      </c>
      <c r="M167" s="89">
        <f>SUM(M163:M166)</f>
        <v/>
      </c>
      <c r="N167" s="89">
        <f>SUM(N163:N166)</f>
        <v/>
      </c>
      <c r="O167" s="89">
        <f>SUM(O163:O166)</f>
        <v/>
      </c>
      <c r="P167" s="89">
        <f>SUM(P163:P166)</f>
        <v/>
      </c>
      <c r="Q167" s="89">
        <f>SUM(Q163:Q166)</f>
        <v/>
      </c>
    </row>
    <row r="168" s="83">
      <c r="A168" s="5" t="inlineStr">
        <is>
          <t>营业外支出</t>
        </is>
      </c>
      <c r="B168" s="6" t="inlineStr">
        <is>
          <t>营业外支出</t>
        </is>
      </c>
      <c r="C168" s="34" t="inlineStr">
        <is>
          <t>营业外支出</t>
        </is>
      </c>
      <c r="D168" s="5" t="inlineStr">
        <is>
          <t>手续费</t>
        </is>
      </c>
      <c r="E168" s="6" t="inlineStr">
        <is>
          <t>Q3101</t>
        </is>
      </c>
      <c r="F168" s="89">
        <f>-SUMIFS('1月数据源'!$I:$I,'1月数据源'!$D:$D,$E168,'1月数据源'!$F:$F,"SMART AI LIMITED")*F$185+SUMIFS('1月数据源'!$J:$J,'1月数据源'!$D:$D,$E168,'1月数据源'!$F:$F,"SMART AI LIMITED")*F$185</f>
        <v/>
      </c>
      <c r="G168" s="89">
        <f>-SUMIFS('2月数据源'!$I:$I,'2月数据源'!$D:$D,$E168,'2月数据源'!$F:$F,"SMART AI LIMITED")*G$185+SUMIFS('2月数据源'!$J:$J,'2月数据源'!$D:$D,$E168,'2月数据源'!$F:$F,"SMART AI LIMITED")*G$185</f>
        <v/>
      </c>
      <c r="H168" s="89">
        <f>-SUMIFS('3月数据源'!$I:$I,'3月数据源'!$D:$D,$E168,'3月数据源'!$F:$F,"SMART AI LIMITED")*H$185+SUMIFS('3月数据源'!$J:$J,'3月数据源'!$D:$D,$E168,'3月数据源'!$F:$F,"SMART AI LIMITED")*H$185</f>
        <v/>
      </c>
      <c r="I168" s="89">
        <f>-SUMIFS('4月数据源'!$I:$I,'4月数据源'!$D:$D,$E168,'4月数据源'!$F:$F,"SMART AI LIMITED")*I$185+SUMIFS('4月数据源'!$J:$J,'4月数据源'!$D:$D,$E168,'4月数据源'!$F:$F,"SMART AI LIMITED")*I$185</f>
        <v/>
      </c>
      <c r="J168" s="89">
        <f>-SUMIFS('5月数据源'!$I:$I,'5月数据源'!$D:$D,$E168,'5月数据源'!$F:$F,"SMART AI LIMITED")*J$185+SUMIFS('5月数据源'!$J:$J,'5月数据源'!$D:$D,$E168,'5月数据源'!$F:$F,"SMART AI LIMITED")*J$185</f>
        <v/>
      </c>
      <c r="K168" s="89">
        <f>-SUMIFS('6月数据源'!$I:$I,'6月数据源'!$D:$D,$E168,'6月数据源'!$F:$F,"SMART AI LIMITED")*K$185+SUMIFS('6月数据源'!$J:$J,'6月数据源'!$D:$D,$E168,'6月数据源'!$F:$F,"SMART AI LIMITED")*K$185</f>
        <v/>
      </c>
      <c r="L168" s="89">
        <f>-SUMIFS('7月数据源'!$I:$I,'7月数据源'!$D:$D,$E168,'7月数据源'!$F:$F,"SMART AI LIMITED")*L$185+SUMIFS('7月数据源'!$J:$J,'7月数据源'!$D:$D,$E168,'7月数据源'!$F:$F,"SMART AI LIMITED")*L$185</f>
        <v/>
      </c>
      <c r="M168" s="89">
        <f>-SUMIFS('8月数据源'!$I:$I,'8月数据源'!$D:$D,$E168,'8月数据源'!$F:$F,"SMART AI LIMITED")*M$185+SUMIFS('8月数据源'!$J:$J,'8月数据源'!$D:$D,$E168,'8月数据源'!$F:$F,"SMART AI LIMITED")*M$185</f>
        <v/>
      </c>
      <c r="N168" s="89">
        <f>-SUMIFS('9月数据源'!$I:$I,'9月数据源'!$D:$D,$E168,'9月数据源'!$F:$F,"SMART AI LIMITED")*N$185+SUMIFS('9月数据源'!$J:$J,'9月数据源'!$D:$D,$E168,'9月数据源'!$F:$F,"SMART AI LIMITED")*N$185</f>
        <v/>
      </c>
      <c r="O168" s="89">
        <f>-SUMIFS('10月数据源'!$I:$I,'10月数据源'!$D:$D,$E168,'10月数据源'!$F:$F,"SMART AI LIMITED")*O$185+SUMIFS('10月数据源'!$J:$J,'10月数据源'!$D:$D,$E168,'10月数据源'!$F:$F,"SMART AI LIMITED")*O$185</f>
        <v/>
      </c>
      <c r="P168" s="89">
        <f>-SUMIFS('11月数据源'!$I:$I,'11月数据源'!$D:$D,$E168,'11月数据源'!$F:$F,"SMART AI LIMITED")*P$185+SUMIFS('11月数据源'!$J:$J,'11月数据源'!$D:$D,$E168,'11月数据源'!$F:$F,"SMART AI LIMITED")*P$185</f>
        <v/>
      </c>
      <c r="Q168" s="89">
        <f>-SUMIFS('12月数据源'!$I:$I,'12月数据源'!$D:$D,$E168,'12月数据源'!$F:$F,"SMART AI LIMITED")*Q$185+SUMIFS('12月数据源'!$J:$J,'12月数据源'!$D:$D,$E168,'12月数据源'!$F:$F,"SMART AI LIMITED")*Q$185</f>
        <v/>
      </c>
    </row>
    <row r="169" s="83">
      <c r="A169" s="5" t="inlineStr">
        <is>
          <t>营业外支出</t>
        </is>
      </c>
      <c r="B169" s="6" t="inlineStr">
        <is>
          <t>营业外支出</t>
        </is>
      </c>
      <c r="D169" s="5" t="inlineStr">
        <is>
          <t>罚款支出</t>
        </is>
      </c>
      <c r="E169" s="6" t="inlineStr">
        <is>
          <t>Q3102</t>
        </is>
      </c>
      <c r="F169" s="89">
        <f>-SUMIFS('1月数据源'!$I:$I,'1月数据源'!$D:$D,$E169,'1月数据源'!$F:$F,"SMART AI LIMITED")*F$185+SUMIFS('1月数据源'!$J:$J,'1月数据源'!$D:$D,$E169,'1月数据源'!$F:$F,"SMART AI LIMITED")*F$185</f>
        <v/>
      </c>
      <c r="G169" s="89">
        <f>-SUMIFS('2月数据源'!$I:$I,'2月数据源'!$D:$D,$E169,'2月数据源'!$F:$F,"SMART AI LIMITED")*G$185+SUMIFS('2月数据源'!$J:$J,'2月数据源'!$D:$D,$E169,'2月数据源'!$F:$F,"SMART AI LIMITED")*G$185</f>
        <v/>
      </c>
      <c r="H169" s="89">
        <f>-SUMIFS('3月数据源'!$I:$I,'3月数据源'!$D:$D,$E169,'3月数据源'!$F:$F,"SMART AI LIMITED")*H$185+SUMIFS('3月数据源'!$J:$J,'3月数据源'!$D:$D,$E169,'3月数据源'!$F:$F,"SMART AI LIMITED")*H$185</f>
        <v/>
      </c>
      <c r="I169" s="89">
        <f>-SUMIFS('4月数据源'!$I:$I,'4月数据源'!$D:$D,$E169,'4月数据源'!$F:$F,"SMART AI LIMITED")*I$185+SUMIFS('4月数据源'!$J:$J,'4月数据源'!$D:$D,$E169,'4月数据源'!$F:$F,"SMART AI LIMITED")*I$185</f>
        <v/>
      </c>
      <c r="J169" s="89">
        <f>-SUMIFS('5月数据源'!$I:$I,'5月数据源'!$D:$D,$E169,'5月数据源'!$F:$F,"SMART AI LIMITED")*J$185+SUMIFS('5月数据源'!$J:$J,'5月数据源'!$D:$D,$E169,'5月数据源'!$F:$F,"SMART AI LIMITED")*J$185</f>
        <v/>
      </c>
      <c r="K169" s="89">
        <f>-SUMIFS('6月数据源'!$I:$I,'6月数据源'!$D:$D,$E169,'6月数据源'!$F:$F,"SMART AI LIMITED")*K$185+SUMIFS('6月数据源'!$J:$J,'6月数据源'!$D:$D,$E169,'6月数据源'!$F:$F,"SMART AI LIMITED")*K$185</f>
        <v/>
      </c>
      <c r="L169" s="89">
        <f>-SUMIFS('7月数据源'!$I:$I,'7月数据源'!$D:$D,$E169,'7月数据源'!$F:$F,"SMART AI LIMITED")*L$185+SUMIFS('7月数据源'!$J:$J,'7月数据源'!$D:$D,$E169,'7月数据源'!$F:$F,"SMART AI LIMITED")*L$185</f>
        <v/>
      </c>
      <c r="M169" s="89">
        <f>-SUMIFS('8月数据源'!$I:$I,'8月数据源'!$D:$D,$E169,'8月数据源'!$F:$F,"SMART AI LIMITED")*M$185+SUMIFS('8月数据源'!$J:$J,'8月数据源'!$D:$D,$E169,'8月数据源'!$F:$F,"SMART AI LIMITED")*M$185</f>
        <v/>
      </c>
      <c r="N169" s="89">
        <f>-SUMIFS('9月数据源'!$I:$I,'9月数据源'!$D:$D,$E169,'9月数据源'!$F:$F,"SMART AI LIMITED")*N$185+SUMIFS('9月数据源'!$J:$J,'9月数据源'!$D:$D,$E169,'9月数据源'!$F:$F,"SMART AI LIMITED")*N$185</f>
        <v/>
      </c>
      <c r="O169" s="89">
        <f>-SUMIFS('10月数据源'!$I:$I,'10月数据源'!$D:$D,$E169,'10月数据源'!$F:$F,"SMART AI LIMITED")*O$185+SUMIFS('10月数据源'!$J:$J,'10月数据源'!$D:$D,$E169,'10月数据源'!$F:$F,"SMART AI LIMITED")*O$185</f>
        <v/>
      </c>
      <c r="P169" s="89">
        <f>-SUMIFS('11月数据源'!$I:$I,'11月数据源'!$D:$D,$E169,'11月数据源'!$F:$F,"SMART AI LIMITED")*P$185+SUMIFS('11月数据源'!$J:$J,'11月数据源'!$D:$D,$E169,'11月数据源'!$F:$F,"SMART AI LIMITED")*P$185</f>
        <v/>
      </c>
      <c r="Q169" s="89">
        <f>-SUMIFS('12月数据源'!$I:$I,'12月数据源'!$D:$D,$E169,'12月数据源'!$F:$F,"SMART AI LIMITED")*Q$185+SUMIFS('12月数据源'!$J:$J,'12月数据源'!$D:$D,$E169,'12月数据源'!$F:$F,"SMART AI LIMITED")*Q$185</f>
        <v/>
      </c>
    </row>
    <row r="170" s="83">
      <c r="A170" s="5" t="inlineStr">
        <is>
          <t>营业外支出</t>
        </is>
      </c>
      <c r="B170" s="6" t="inlineStr">
        <is>
          <t>营业外支出</t>
        </is>
      </c>
      <c r="D170" s="5" t="inlineStr">
        <is>
          <t>违约金支出</t>
        </is>
      </c>
      <c r="E170" s="6" t="inlineStr">
        <is>
          <t>Q3104</t>
        </is>
      </c>
      <c r="F170" s="89">
        <f>-SUMIFS('1月数据源'!$I:$I,'1月数据源'!$D:$D,$E170,'1月数据源'!$F:$F,"SMART AI LIMITED")*F$185+SUMIFS('1月数据源'!$J:$J,'1月数据源'!$D:$D,$E170,'1月数据源'!$F:$F,"SMART AI LIMITED")*F$185</f>
        <v/>
      </c>
      <c r="G170" s="89">
        <f>-SUMIFS('2月数据源'!$I:$I,'2月数据源'!$D:$D,$E170,'2月数据源'!$F:$F,"SMART AI LIMITED")*G$185+SUMIFS('2月数据源'!$J:$J,'2月数据源'!$D:$D,$E170,'2月数据源'!$F:$F,"SMART AI LIMITED")*G$185</f>
        <v/>
      </c>
      <c r="H170" s="89">
        <f>-SUMIFS('3月数据源'!$I:$I,'3月数据源'!$D:$D,$E170,'3月数据源'!$F:$F,"SMART AI LIMITED")*H$185+SUMIFS('3月数据源'!$J:$J,'3月数据源'!$D:$D,$E170,'3月数据源'!$F:$F,"SMART AI LIMITED")*H$185</f>
        <v/>
      </c>
      <c r="I170" s="89">
        <f>-SUMIFS('4月数据源'!$I:$I,'4月数据源'!$D:$D,$E170,'4月数据源'!$F:$F,"SMART AI LIMITED")*I$185+SUMIFS('4月数据源'!$J:$J,'4月数据源'!$D:$D,$E170,'4月数据源'!$F:$F,"SMART AI LIMITED")*I$185</f>
        <v/>
      </c>
      <c r="J170" s="89">
        <f>-SUMIFS('5月数据源'!$I:$I,'5月数据源'!$D:$D,$E170,'5月数据源'!$F:$F,"SMART AI LIMITED")*J$185+SUMIFS('5月数据源'!$J:$J,'5月数据源'!$D:$D,$E170,'5月数据源'!$F:$F,"SMART AI LIMITED")*J$185</f>
        <v/>
      </c>
      <c r="K170" s="89">
        <f>-SUMIFS('6月数据源'!$I:$I,'6月数据源'!$D:$D,$E170,'6月数据源'!$F:$F,"SMART AI LIMITED")*K$185+SUMIFS('6月数据源'!$J:$J,'6月数据源'!$D:$D,$E170,'6月数据源'!$F:$F,"SMART AI LIMITED")*K$185</f>
        <v/>
      </c>
      <c r="L170" s="89">
        <f>-SUMIFS('7月数据源'!$I:$I,'7月数据源'!$D:$D,$E170,'7月数据源'!$F:$F,"SMART AI LIMITED")*L$185+SUMIFS('7月数据源'!$J:$J,'7月数据源'!$D:$D,$E170,'7月数据源'!$F:$F,"SMART AI LIMITED")*L$185</f>
        <v/>
      </c>
      <c r="M170" s="89">
        <f>-SUMIFS('8月数据源'!$I:$I,'8月数据源'!$D:$D,$E170,'8月数据源'!$F:$F,"SMART AI LIMITED")*M$185+SUMIFS('8月数据源'!$J:$J,'8月数据源'!$D:$D,$E170,'8月数据源'!$F:$F,"SMART AI LIMITED")*M$185</f>
        <v/>
      </c>
      <c r="N170" s="89">
        <f>-SUMIFS('9月数据源'!$I:$I,'9月数据源'!$D:$D,$E170,'9月数据源'!$F:$F,"SMART AI LIMITED")*N$185+SUMIFS('9月数据源'!$J:$J,'9月数据源'!$D:$D,$E170,'9月数据源'!$F:$F,"SMART AI LIMITED")*N$185</f>
        <v/>
      </c>
      <c r="O170" s="89">
        <f>-SUMIFS('10月数据源'!$I:$I,'10月数据源'!$D:$D,$E170,'10月数据源'!$F:$F,"SMART AI LIMITED")*O$185+SUMIFS('10月数据源'!$J:$J,'10月数据源'!$D:$D,$E170,'10月数据源'!$F:$F,"SMART AI LIMITED")*O$185</f>
        <v/>
      </c>
      <c r="P170" s="89">
        <f>-SUMIFS('11月数据源'!$I:$I,'11月数据源'!$D:$D,$E170,'11月数据源'!$F:$F,"SMART AI LIMITED")*P$185+SUMIFS('11月数据源'!$J:$J,'11月数据源'!$D:$D,$E170,'11月数据源'!$F:$F,"SMART AI LIMITED")*P$185</f>
        <v/>
      </c>
      <c r="Q170" s="89">
        <f>-SUMIFS('12月数据源'!$I:$I,'12月数据源'!$D:$D,$E170,'12月数据源'!$F:$F,"SMART AI LIMITED")*Q$185+SUMIFS('12月数据源'!$J:$J,'12月数据源'!$D:$D,$E170,'12月数据源'!$F:$F,"SMART AI LIMITED")*Q$185</f>
        <v/>
      </c>
    </row>
    <row r="171" s="83">
      <c r="A171" s="5" t="inlineStr">
        <is>
          <t>营业外支出</t>
        </is>
      </c>
      <c r="B171" s="6" t="inlineStr">
        <is>
          <t>营业外支出</t>
        </is>
      </c>
      <c r="D171" s="5" t="inlineStr">
        <is>
          <t>滞纳金支出</t>
        </is>
      </c>
      <c r="E171" s="6" t="inlineStr">
        <is>
          <t>Q3103</t>
        </is>
      </c>
      <c r="F171" s="89">
        <f>-SUMIFS('1月数据源'!$I:$I,'1月数据源'!$D:$D,$E171,'1月数据源'!$F:$F,"SMART AI LIMITED")*F$185+SUMIFS('1月数据源'!$J:$J,'1月数据源'!$D:$D,$E171,'1月数据源'!$F:$F,"SMART AI LIMITED")*F$185</f>
        <v/>
      </c>
      <c r="G171" s="89">
        <f>-SUMIFS('2月数据源'!$I:$I,'2月数据源'!$D:$D,$E171,'2月数据源'!$F:$F,"SMART AI LIMITED")*G$185+SUMIFS('2月数据源'!$J:$J,'2月数据源'!$D:$D,$E171,'2月数据源'!$F:$F,"SMART AI LIMITED")*G$185</f>
        <v/>
      </c>
      <c r="H171" s="89">
        <f>-SUMIFS('3月数据源'!$I:$I,'3月数据源'!$D:$D,$E171,'3月数据源'!$F:$F,"SMART AI LIMITED")*H$185+SUMIFS('3月数据源'!$J:$J,'3月数据源'!$D:$D,$E171,'3月数据源'!$F:$F,"SMART AI LIMITED")*H$185</f>
        <v/>
      </c>
      <c r="I171" s="89">
        <f>-SUMIFS('4月数据源'!$I:$I,'4月数据源'!$D:$D,$E171,'4月数据源'!$F:$F,"SMART AI LIMITED")*I$185+SUMIFS('4月数据源'!$J:$J,'4月数据源'!$D:$D,$E171,'4月数据源'!$F:$F,"SMART AI LIMITED")*I$185</f>
        <v/>
      </c>
      <c r="J171" s="89">
        <f>-SUMIFS('5月数据源'!$I:$I,'5月数据源'!$D:$D,$E171,'5月数据源'!$F:$F,"SMART AI LIMITED")*J$185+SUMIFS('5月数据源'!$J:$J,'5月数据源'!$D:$D,$E171,'5月数据源'!$F:$F,"SMART AI LIMITED")*J$185</f>
        <v/>
      </c>
      <c r="K171" s="89">
        <f>-SUMIFS('6月数据源'!$I:$I,'6月数据源'!$D:$D,$E171,'6月数据源'!$F:$F,"SMART AI LIMITED")*K$185+SUMIFS('6月数据源'!$J:$J,'6月数据源'!$D:$D,$E171,'6月数据源'!$F:$F,"SMART AI LIMITED")*K$185</f>
        <v/>
      </c>
      <c r="L171" s="89">
        <f>-SUMIFS('7月数据源'!$I:$I,'7月数据源'!$D:$D,$E171,'7月数据源'!$F:$F,"SMART AI LIMITED")*L$185+SUMIFS('7月数据源'!$J:$J,'7月数据源'!$D:$D,$E171,'7月数据源'!$F:$F,"SMART AI LIMITED")*L$185</f>
        <v/>
      </c>
      <c r="M171" s="89">
        <f>-SUMIFS('8月数据源'!$I:$I,'8月数据源'!$D:$D,$E171,'8月数据源'!$F:$F,"SMART AI LIMITED")*M$185+SUMIFS('8月数据源'!$J:$J,'8月数据源'!$D:$D,$E171,'8月数据源'!$F:$F,"SMART AI LIMITED")*M$185</f>
        <v/>
      </c>
      <c r="N171" s="89">
        <f>-SUMIFS('9月数据源'!$I:$I,'9月数据源'!$D:$D,$E171,'9月数据源'!$F:$F,"SMART AI LIMITED")*N$185+SUMIFS('9月数据源'!$J:$J,'9月数据源'!$D:$D,$E171,'9月数据源'!$F:$F,"SMART AI LIMITED")*N$185</f>
        <v/>
      </c>
      <c r="O171" s="89">
        <f>-SUMIFS('10月数据源'!$I:$I,'10月数据源'!$D:$D,$E171,'10月数据源'!$F:$F,"SMART AI LIMITED")*O$185+SUMIFS('10月数据源'!$J:$J,'10月数据源'!$D:$D,$E171,'10月数据源'!$F:$F,"SMART AI LIMITED")*O$185</f>
        <v/>
      </c>
      <c r="P171" s="89">
        <f>-SUMIFS('11月数据源'!$I:$I,'11月数据源'!$D:$D,$E171,'11月数据源'!$F:$F,"SMART AI LIMITED")*P$185+SUMIFS('11月数据源'!$J:$J,'11月数据源'!$D:$D,$E171,'11月数据源'!$F:$F,"SMART AI LIMITED")*P$185</f>
        <v/>
      </c>
      <c r="Q171" s="89">
        <f>-SUMIFS('12月数据源'!$I:$I,'12月数据源'!$D:$D,$E171,'12月数据源'!$F:$F,"SMART AI LIMITED")*Q$185+SUMIFS('12月数据源'!$J:$J,'12月数据源'!$D:$D,$E171,'12月数据源'!$F:$F,"SMART AI LIMITED")*Q$185</f>
        <v/>
      </c>
    </row>
    <row r="172" s="83">
      <c r="A172" s="5" t="inlineStr">
        <is>
          <t>营业外支出</t>
        </is>
      </c>
      <c r="B172" s="6" t="inlineStr">
        <is>
          <t>营业外支出</t>
        </is>
      </c>
      <c r="D172" s="5" t="inlineStr">
        <is>
          <t>汇兑损益</t>
        </is>
      </c>
      <c r="E172" s="6" t="inlineStr">
        <is>
          <t>Q3105</t>
        </is>
      </c>
      <c r="F172" s="89" t="n">
        <v>505.61</v>
      </c>
      <c r="G172" s="89" t="n">
        <v>-100.97</v>
      </c>
      <c r="H172" s="89" t="n">
        <v>-126.12</v>
      </c>
      <c r="I172" s="89" t="n">
        <v>-644.86</v>
      </c>
      <c r="J172" s="89" t="n">
        <v>376.7</v>
      </c>
      <c r="K172" s="89" t="n">
        <v>744.08</v>
      </c>
      <c r="L172" s="89" t="n"/>
      <c r="M172" s="89" t="n"/>
      <c r="N172" s="89" t="n"/>
      <c r="O172" s="89" t="n"/>
      <c r="P172" s="89" t="n"/>
      <c r="Q172" s="89" t="n"/>
    </row>
    <row r="173" s="83">
      <c r="A173" s="49" t="inlineStr">
        <is>
          <t>营业外支出合计</t>
        </is>
      </c>
      <c r="B173" s="50" t="n"/>
      <c r="C173" s="50" t="n"/>
      <c r="D173" s="49" t="n"/>
      <c r="E173" s="49" t="n"/>
      <c r="F173" s="89">
        <f>SUM(F168:F172)</f>
        <v/>
      </c>
      <c r="G173" s="89">
        <f>SUM(G168:G172)</f>
        <v/>
      </c>
      <c r="H173" s="89">
        <f>SUM(H168:H172)</f>
        <v/>
      </c>
      <c r="I173" s="89">
        <f>SUM(I168:I172)</f>
        <v/>
      </c>
      <c r="J173" s="89">
        <f>SUM(J168:J172)</f>
        <v/>
      </c>
      <c r="K173" s="89">
        <f>SUM(K168:K172)</f>
        <v/>
      </c>
      <c r="L173" s="89">
        <f>SUM(L168:L172)</f>
        <v/>
      </c>
      <c r="M173" s="89">
        <f>SUM(M168:M172)</f>
        <v/>
      </c>
      <c r="N173" s="89">
        <f>SUM(N168:N172)</f>
        <v/>
      </c>
      <c r="O173" s="89">
        <f>SUM(O168:O172)</f>
        <v/>
      </c>
      <c r="P173" s="89">
        <f>SUM(P168:P172)</f>
        <v/>
      </c>
      <c r="Q173" s="89">
        <f>SUM(Q168:Q172)</f>
        <v/>
      </c>
    </row>
    <row r="174" s="83">
      <c r="A174" s="5" t="inlineStr">
        <is>
          <t>理财收支</t>
        </is>
      </c>
      <c r="B174" s="6" t="inlineStr">
        <is>
          <t>理财收支</t>
        </is>
      </c>
      <c r="C174" s="6" t="inlineStr">
        <is>
          <t>理财支出</t>
        </is>
      </c>
      <c r="D174" s="5" t="inlineStr">
        <is>
          <t>理财收支</t>
        </is>
      </c>
      <c r="E174" s="6" t="inlineStr">
        <is>
          <t>Q3301</t>
        </is>
      </c>
      <c r="F174" s="89">
        <f>-SUMIFS('1月数据源'!$I:$I,'1月数据源'!$D:$D,$E174,'1月数据源'!$F:$F,"SMART AI LIMITED")*F$185+SUMIFS('1月数据源'!$J:$J,'1月数据源'!$D:$D,$E174,'1月数据源'!$F:$F,"SMART AI LIMITED")*F$185</f>
        <v/>
      </c>
      <c r="G174" s="89">
        <f>-SUMIFS('2月数据源'!$I:$I,'2月数据源'!$D:$D,$E174,'2月数据源'!$F:$F,"SMART AI LIMITED")*G$185+SUMIFS('2月数据源'!$J:$J,'2月数据源'!$D:$D,$E174,'2月数据源'!$F:$F,"SMART AI LIMITED")*G$185</f>
        <v/>
      </c>
      <c r="H174" s="89">
        <f>-SUMIFS('3月数据源'!$I:$I,'3月数据源'!$D:$D,$E174,'3月数据源'!$F:$F,"SMART AI LIMITED")*H$185+SUMIFS('3月数据源'!$J:$J,'3月数据源'!$D:$D,$E174,'3月数据源'!$F:$F,"SMART AI LIMITED")*H$185</f>
        <v/>
      </c>
      <c r="I174" s="89">
        <f>-SUMIFS('4月数据源'!$I:$I,'4月数据源'!$D:$D,$E174,'4月数据源'!$F:$F,"SMART AI LIMITED")*I$185+SUMIFS('4月数据源'!$J:$J,'4月数据源'!$D:$D,$E174,'4月数据源'!$F:$F,"SMART AI LIMITED")*I$185</f>
        <v/>
      </c>
      <c r="J174" s="89">
        <f>-SUMIFS('5月数据源'!$I:$I,'5月数据源'!$D:$D,$E174,'5月数据源'!$F:$F,"SMART AI LIMITED")*J$185+SUMIFS('5月数据源'!$J:$J,'5月数据源'!$D:$D,$E174,'5月数据源'!$F:$F,"SMART AI LIMITED")*J$185</f>
        <v/>
      </c>
      <c r="K174" s="89">
        <f>-SUMIFS('6月数据源'!$I:$I,'6月数据源'!$D:$D,$E174,'6月数据源'!$F:$F,"SMART AI LIMITED")*K$185+SUMIFS('6月数据源'!$J:$J,'6月数据源'!$D:$D,$E174,'6月数据源'!$F:$F,"SMART AI LIMITED")*K$185</f>
        <v/>
      </c>
      <c r="L174" s="89">
        <f>-SUMIFS('7月数据源'!$I:$I,'7月数据源'!$D:$D,$E174,'7月数据源'!$F:$F,"SMART AI LIMITED")*L$185+SUMIFS('7月数据源'!$J:$J,'7月数据源'!$D:$D,$E174,'7月数据源'!$F:$F,"SMART AI LIMITED")*L$185</f>
        <v/>
      </c>
      <c r="M174" s="89">
        <f>-SUMIFS('8月数据源'!$I:$I,'8月数据源'!$D:$D,$E174,'8月数据源'!$F:$F,"SMART AI LIMITED")*M$185+SUMIFS('8月数据源'!$J:$J,'8月数据源'!$D:$D,$E174,'8月数据源'!$F:$F,"SMART AI LIMITED")*M$185</f>
        <v/>
      </c>
      <c r="N174" s="89">
        <f>-SUMIFS('9月数据源'!$I:$I,'9月数据源'!$D:$D,$E174,'9月数据源'!$F:$F,"SMART AI LIMITED")*N$185+SUMIFS('9月数据源'!$J:$J,'9月数据源'!$D:$D,$E174,'9月数据源'!$F:$F,"SMART AI LIMITED")*N$185</f>
        <v/>
      </c>
      <c r="O174" s="89">
        <f>-SUMIFS('10月数据源'!$I:$I,'10月数据源'!$D:$D,$E174,'10月数据源'!$F:$F,"SMART AI LIMITED")*O$185+SUMIFS('10月数据源'!$J:$J,'10月数据源'!$D:$D,$E174,'10月数据源'!$F:$F,"SMART AI LIMITED")*O$185</f>
        <v/>
      </c>
      <c r="P174" s="89">
        <f>-SUMIFS('11月数据源'!$I:$I,'11月数据源'!$D:$D,$E174,'11月数据源'!$F:$F,"SMART AI LIMITED")*P$185+SUMIFS('11月数据源'!$J:$J,'11月数据源'!$D:$D,$E174,'11月数据源'!$F:$F,"SMART AI LIMITED")*P$185</f>
        <v/>
      </c>
      <c r="Q174" s="89">
        <f>-SUMIFS('12月数据源'!$I:$I,'12月数据源'!$D:$D,$E174,'12月数据源'!$F:$F,"SMART AI LIMITED")*Q$185+SUMIFS('12月数据源'!$J:$J,'12月数据源'!$D:$D,$E174,'12月数据源'!$F:$F,"SMART AI LIMITED")*Q$185</f>
        <v/>
      </c>
    </row>
    <row r="175" s="83">
      <c r="A175" s="49" t="inlineStr">
        <is>
          <t>理财收支合计</t>
        </is>
      </c>
      <c r="B175" s="50" t="n"/>
      <c r="C175" s="50" t="n"/>
      <c r="D175" s="49" t="n"/>
      <c r="E175" s="49" t="n"/>
      <c r="F175" s="89">
        <f>SUM(F174:F174)</f>
        <v/>
      </c>
      <c r="G175" s="89">
        <f>SUM(G174:G174)</f>
        <v/>
      </c>
      <c r="H175" s="89">
        <f>SUM(H174:H174)</f>
        <v/>
      </c>
      <c r="I175" s="89">
        <f>SUM(I174:I174)</f>
        <v/>
      </c>
      <c r="J175" s="89">
        <f>SUM(J174:J174)</f>
        <v/>
      </c>
      <c r="K175" s="89">
        <f>SUM(K174:K174)</f>
        <v/>
      </c>
      <c r="L175" s="89">
        <f>SUM(L174:L174)</f>
        <v/>
      </c>
      <c r="M175" s="89">
        <f>SUM(M174:M174)</f>
        <v/>
      </c>
      <c r="N175" s="89">
        <f>SUM(N174:N174)</f>
        <v/>
      </c>
      <c r="O175" s="89">
        <f>SUM(O174:O174)</f>
        <v/>
      </c>
      <c r="P175" s="89">
        <f>SUM(P174:P174)</f>
        <v/>
      </c>
      <c r="Q175" s="89">
        <f>SUM(Q174:Q174)</f>
        <v/>
      </c>
    </row>
    <row r="176" s="83">
      <c r="A176" s="51" t="inlineStr">
        <is>
          <t>付款合计</t>
        </is>
      </c>
      <c r="B176" s="52" t="n"/>
      <c r="C176" s="52" t="n"/>
      <c r="D176" s="51" t="n"/>
      <c r="E176" s="51" t="n"/>
      <c r="F176" s="89">
        <f>ROUND(F22+F24+F35+F50+F63+F98+F137+F162+F167+F173+F175,2)</f>
        <v/>
      </c>
      <c r="G176" s="89">
        <f>ROUND(G22+G24+G35+G50+G63+G98+G137+G162+G167+G173+G175,2)</f>
        <v/>
      </c>
      <c r="H176" s="89">
        <f>ROUND(H22+H24+H35+H50+H63+H98+H137+H162+H167+H173+H175,2)</f>
        <v/>
      </c>
      <c r="I176" s="89">
        <f>ROUND(I22+I24+I35+I50+I63+I98+I137+I162+I167+I173+I175,2)</f>
        <v/>
      </c>
      <c r="J176" s="89">
        <f>ROUND(J22+J24+J35+J50+J63+J98+J137+J162+J167+J173+J175,2)</f>
        <v/>
      </c>
      <c r="K176" s="89">
        <f>ROUND(K22+K24+K35+K50+K63+K98+K137+K162+K167+K173+K175,2)</f>
        <v/>
      </c>
      <c r="L176" s="89">
        <f>ROUND(L22+L24+L35+L50+L63+L98+L137+L162+L167+L173+L175,2)</f>
        <v/>
      </c>
      <c r="M176" s="89">
        <f>ROUND(M22+M24+M35+M50+M63+M98+M137+M162+M167+M173+M175,2)</f>
        <v/>
      </c>
      <c r="N176" s="89">
        <f>ROUND(N22+N24+N35+N50+N63+N98+N137+N162+N167+N173+N175,2)</f>
        <v/>
      </c>
      <c r="O176" s="89">
        <f>ROUND(O22+O24+O35+O50+O63+O98+O137+O162+O167+O173+O175,2)</f>
        <v/>
      </c>
      <c r="P176" s="89">
        <f>ROUND(P22+P24+P35+P50+P63+P98+P137+P162+P167+P173+P175,2)</f>
        <v/>
      </c>
      <c r="Q176" s="89">
        <f>ROUND(Q22+Q24+Q35+Q50+Q63+Q98+Q137+Q162+Q167+Q173+Q175,2)</f>
        <v/>
      </c>
    </row>
    <row r="177" s="83">
      <c r="A177" s="51" t="inlineStr">
        <is>
          <t>现金净流入</t>
        </is>
      </c>
      <c r="B177" s="54" t="n"/>
      <c r="C177" s="54" t="n"/>
      <c r="D177" s="51" t="n"/>
      <c r="E177" s="51" t="n"/>
      <c r="F177" s="89">
        <f>ROUND(F19-F176,2)</f>
        <v/>
      </c>
      <c r="G177" s="89">
        <f>ROUND(G19-G176,2)</f>
        <v/>
      </c>
      <c r="H177" s="89">
        <f>ROUND(H19-H176,2)</f>
        <v/>
      </c>
      <c r="I177" s="89">
        <f>ROUND(I19-I176,2)</f>
        <v/>
      </c>
      <c r="J177" s="89">
        <f>ROUND(J19-J176,2)</f>
        <v/>
      </c>
      <c r="K177" s="89">
        <f>ROUND(K19-K176,2)</f>
        <v/>
      </c>
      <c r="L177" s="89">
        <f>ROUND(L19-L176,2)</f>
        <v/>
      </c>
      <c r="M177" s="89">
        <f>ROUND(M19-M176,2)</f>
        <v/>
      </c>
      <c r="N177" s="89">
        <f>ROUND(N19-N176,2)</f>
        <v/>
      </c>
      <c r="O177" s="89">
        <f>ROUND(O19-O176,2)</f>
        <v/>
      </c>
      <c r="P177" s="89">
        <f>ROUND(P19-P176,2)</f>
        <v/>
      </c>
      <c r="Q177" s="89">
        <f>ROUND(Q19-Q176,2)</f>
        <v/>
      </c>
    </row>
    <row r="178" s="83">
      <c r="A178" s="51" t="inlineStr">
        <is>
          <t>现金期初数</t>
        </is>
      </c>
      <c r="B178" s="54" t="n"/>
      <c r="C178" s="54" t="n"/>
      <c r="D178" s="51" t="n"/>
      <c r="E178" s="51" t="n"/>
      <c r="F178" s="89" t="n">
        <v>207160.76</v>
      </c>
      <c r="G178" s="89">
        <f>F179</f>
        <v/>
      </c>
      <c r="H178" s="89">
        <f>G180</f>
        <v/>
      </c>
      <c r="I178" s="89">
        <f>H179</f>
        <v/>
      </c>
      <c r="J178" s="89">
        <f>I179</f>
        <v/>
      </c>
      <c r="K178" s="89">
        <f>J179</f>
        <v/>
      </c>
      <c r="L178" s="89">
        <f>K179</f>
        <v/>
      </c>
      <c r="M178" s="89">
        <f>L179</f>
        <v/>
      </c>
      <c r="N178" s="89">
        <f>M179</f>
        <v/>
      </c>
      <c r="O178" s="89">
        <f>N179</f>
        <v/>
      </c>
      <c r="P178" s="89">
        <f>O179</f>
        <v/>
      </c>
      <c r="Q178" s="89">
        <f>P179</f>
        <v/>
      </c>
    </row>
    <row r="179" s="83">
      <c r="A179" s="51" t="inlineStr">
        <is>
          <t>现金期末数</t>
        </is>
      </c>
      <c r="B179" s="54" t="n"/>
      <c r="C179" s="54" t="n"/>
      <c r="D179" s="51" t="n"/>
      <c r="E179" s="51" t="n"/>
      <c r="F179" s="89">
        <f>F178+F177</f>
        <v/>
      </c>
      <c r="G179" s="89">
        <f>G178+G177</f>
        <v/>
      </c>
      <c r="H179" s="89">
        <f>H178+H177</f>
        <v/>
      </c>
      <c r="I179" s="89">
        <f>I178+I177</f>
        <v/>
      </c>
      <c r="J179" s="89">
        <f>J178+J177</f>
        <v/>
      </c>
      <c r="K179" s="89">
        <f>K178+K177</f>
        <v/>
      </c>
      <c r="L179" s="89">
        <f>L178+L177</f>
        <v/>
      </c>
      <c r="M179" s="89">
        <f>M178+M177</f>
        <v/>
      </c>
      <c r="N179" s="89">
        <f>N178+N177</f>
        <v/>
      </c>
      <c r="O179" s="89">
        <f>O178+O177</f>
        <v/>
      </c>
      <c r="P179" s="89">
        <f>P178+P177</f>
        <v/>
      </c>
      <c r="Q179" s="89">
        <f>Q178+Q177</f>
        <v/>
      </c>
    </row>
    <row r="180" s="83">
      <c r="A180" s="51" t="inlineStr">
        <is>
          <t>报表期末数</t>
        </is>
      </c>
      <c r="B180" s="54" t="n"/>
      <c r="C180" s="54" t="n"/>
      <c r="D180" s="51" t="n"/>
      <c r="E180" s="51" t="n"/>
      <c r="F180" s="89">
        <f>ROUND(28829.48*F185,2)</f>
        <v/>
      </c>
      <c r="G180" s="89">
        <f>ROUND(28664.65*G185,2)</f>
        <v/>
      </c>
      <c r="H180" s="89">
        <f>ROUND(28671.09*H185,2)</f>
        <v/>
      </c>
      <c r="I180" s="89">
        <f>ROUND(28674.51*I185,2)</f>
        <v/>
      </c>
      <c r="J180" s="89">
        <f>ROUND(28694.78*J185,2)</f>
        <v/>
      </c>
      <c r="K180" s="89">
        <f>ROUND(28702.1*K185,2)</f>
        <v/>
      </c>
      <c r="L180" s="89" t="n"/>
      <c r="M180" s="89" t="n"/>
      <c r="N180" s="89" t="n"/>
      <c r="O180" s="89" t="n"/>
      <c r="P180" s="89" t="n"/>
      <c r="Q180" s="89" t="n"/>
    </row>
    <row r="181" s="83">
      <c r="A181" s="51" t="inlineStr">
        <is>
          <t>check</t>
        </is>
      </c>
      <c r="B181" s="54" t="n"/>
      <c r="C181" s="54" t="n"/>
      <c r="D181" s="51" t="n"/>
      <c r="E181" s="51" t="n"/>
      <c r="F181" s="89">
        <f>F180-F179</f>
        <v/>
      </c>
      <c r="G181" s="89">
        <f>G180-G179</f>
        <v/>
      </c>
      <c r="H181" s="89">
        <f>H180-H179</f>
        <v/>
      </c>
      <c r="I181" s="89">
        <f>I180-I179</f>
        <v/>
      </c>
      <c r="J181" s="89">
        <f>J180-J179</f>
        <v/>
      </c>
      <c r="K181" s="89">
        <f>K180-K179</f>
        <v/>
      </c>
      <c r="L181" s="89">
        <f>L180-L179</f>
        <v/>
      </c>
      <c r="M181" s="89">
        <f>M180-M179</f>
        <v/>
      </c>
      <c r="N181" s="89">
        <f>N180-N179</f>
        <v/>
      </c>
      <c r="O181" s="89">
        <f>O180-O179</f>
        <v/>
      </c>
      <c r="P181" s="89">
        <f>P180-P179</f>
        <v/>
      </c>
      <c r="Q181" s="89">
        <f>Q180-Q179</f>
        <v/>
      </c>
    </row>
    <row r="185" s="83">
      <c r="E185" s="5" t="inlineStr">
        <is>
          <t>本期末汇率-美元</t>
        </is>
      </c>
      <c r="F185" s="92" t="n">
        <v>7.1698</v>
      </c>
      <c r="G185" s="92" t="n">
        <v>7.1738</v>
      </c>
      <c r="H185" s="92" t="n">
        <v>7.1782</v>
      </c>
      <c r="I185" s="92" t="n">
        <v>7.2014</v>
      </c>
      <c r="J185" s="92">
        <f>'SMART LEARNING HOLDING'!J185</f>
        <v/>
      </c>
      <c r="K185" s="92">
        <f>'SMART LEARNING HOLDING'!K185</f>
        <v/>
      </c>
      <c r="L185" s="5" t="n">
        <v>7.1494</v>
      </c>
    </row>
    <row r="188" s="83">
      <c r="G188" s="89" t="n"/>
      <c r="H188" s="89" t="n"/>
      <c r="I188" s="89" t="n"/>
      <c r="J188" s="89" t="n"/>
      <c r="K188" s="89" t="n"/>
      <c r="L188" s="89" t="n"/>
      <c r="M188" s="89" t="n"/>
    </row>
    <row r="189" s="83">
      <c r="G189" s="89" t="n"/>
      <c r="H189" s="89" t="n"/>
      <c r="I189" s="89" t="n"/>
      <c r="J189" s="89" t="n"/>
      <c r="K189" s="89" t="n"/>
      <c r="L189" s="89" t="n"/>
      <c r="M189" s="89" t="n"/>
    </row>
  </sheetData>
  <autoFilter ref="A2:R181"/>
  <mergeCells count="30">
    <mergeCell ref="C20:C21"/>
    <mergeCell ref="C131:C133"/>
    <mergeCell ref="C116:C119"/>
    <mergeCell ref="C85:C86"/>
    <mergeCell ref="C134:C135"/>
    <mergeCell ref="C16:C17"/>
    <mergeCell ref="C42:C47"/>
    <mergeCell ref="C78:C84"/>
    <mergeCell ref="C120:C128"/>
    <mergeCell ref="C129:C130"/>
    <mergeCell ref="C111:C115"/>
    <mergeCell ref="C153:C161"/>
    <mergeCell ref="C163:C166"/>
    <mergeCell ref="C87:C93"/>
    <mergeCell ref="C105:C110"/>
    <mergeCell ref="C25:C34"/>
    <mergeCell ref="C99:C104"/>
    <mergeCell ref="C7:C8"/>
    <mergeCell ref="C94:C96"/>
    <mergeCell ref="C36:C41"/>
    <mergeCell ref="C48:C49"/>
    <mergeCell ref="C13:C14"/>
    <mergeCell ref="C70:C77"/>
    <mergeCell ref="C64:C68"/>
    <mergeCell ref="C146:C152"/>
    <mergeCell ref="C138:C145"/>
    <mergeCell ref="C3:C6"/>
    <mergeCell ref="C51:C62"/>
    <mergeCell ref="C168:C172"/>
    <mergeCell ref="C9:C1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R188"/>
  <sheetViews>
    <sheetView zoomScale="90" zoomScaleNormal="90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F187" sqref="F187:M188"/>
    </sheetView>
  </sheetViews>
  <sheetFormatPr baseColWidth="8" defaultColWidth="8.838461538461541" defaultRowHeight="16.05" customHeight="1"/>
  <cols>
    <col width="13.0769230769231" customWidth="1" style="5" min="1" max="1"/>
    <col width="10.9230769230769" customWidth="1" style="6" min="2" max="2"/>
    <col width="9.76923076923077" customWidth="1" style="6" min="3" max="3"/>
    <col width="12.6153846153846" customWidth="1" style="5" min="4" max="4"/>
    <col width="15.4615384615385" customWidth="1" style="5" min="5" max="5"/>
    <col width="15" customWidth="1" style="89" min="6" max="6"/>
    <col width="15.1615384615385" customWidth="1" style="5" min="7" max="7"/>
    <col width="15.8384615384615" customWidth="1" style="5" min="8" max="8"/>
    <col width="15.1615384615385" customWidth="1" style="5" min="9" max="11"/>
    <col width="14.1615384615385" customWidth="1" style="5" min="12" max="17"/>
    <col width="14.8384615384615" customWidth="1" style="5" min="18" max="18"/>
    <col width="8.838461538461541" customWidth="1" style="5" min="19" max="40"/>
  </cols>
  <sheetData>
    <row r="1" s="83">
      <c r="A1" s="6" t="inlineStr">
        <is>
          <t>公司：HK01</t>
        </is>
      </c>
      <c r="I1" s="89" t="n"/>
    </row>
    <row r="2" customFormat="1" s="34">
      <c r="A2" s="34" t="inlineStr">
        <is>
          <t>一级</t>
        </is>
      </c>
      <c r="B2" s="34" t="inlineStr">
        <is>
          <t>二级</t>
        </is>
      </c>
      <c r="C2" s="34" t="inlineStr">
        <is>
          <t>二级</t>
        </is>
      </c>
      <c r="D2" s="34" t="inlineStr">
        <is>
          <t>三级</t>
        </is>
      </c>
      <c r="E2" s="34" t="inlineStr">
        <is>
          <t>三级科目对应编码</t>
        </is>
      </c>
      <c r="F2" s="91" t="inlineStr">
        <is>
          <t>1月</t>
        </is>
      </c>
      <c r="G2" s="34" t="inlineStr">
        <is>
          <t>2月</t>
        </is>
      </c>
      <c r="H2" s="34" t="inlineStr">
        <is>
          <t>3月</t>
        </is>
      </c>
      <c r="I2" s="34" t="inlineStr">
        <is>
          <t>4月</t>
        </is>
      </c>
      <c r="J2" s="34" t="inlineStr">
        <is>
          <t>5月</t>
        </is>
      </c>
      <c r="K2" s="34" t="inlineStr">
        <is>
          <t>6月</t>
        </is>
      </c>
      <c r="L2" s="34" t="inlineStr">
        <is>
          <t>7月</t>
        </is>
      </c>
      <c r="M2" s="34" t="inlineStr">
        <is>
          <t>8月</t>
        </is>
      </c>
      <c r="N2" s="34" t="inlineStr">
        <is>
          <t>9月</t>
        </is>
      </c>
      <c r="O2" s="34" t="inlineStr">
        <is>
          <t>10月</t>
        </is>
      </c>
      <c r="P2" s="34" t="inlineStr">
        <is>
          <t>11月</t>
        </is>
      </c>
      <c r="Q2" s="34" t="inlineStr">
        <is>
          <t>12月</t>
        </is>
      </c>
      <c r="R2" s="34" t="inlineStr">
        <is>
          <t>本年合计</t>
        </is>
      </c>
    </row>
    <row r="3" s="83">
      <c r="A3" s="5" t="inlineStr">
        <is>
          <t>收入</t>
        </is>
      </c>
      <c r="B3" s="6" t="inlineStr">
        <is>
          <t>业务收入</t>
        </is>
      </c>
      <c r="C3" s="6" t="inlineStr">
        <is>
          <t>业务收入</t>
        </is>
      </c>
      <c r="D3" s="6" t="inlineStr">
        <is>
          <t>平台硬件销售收入</t>
        </is>
      </c>
      <c r="E3" s="6" t="inlineStr">
        <is>
          <t>Q0101</t>
        </is>
      </c>
      <c r="F3" s="89">
        <f>SUMIFS('1月数据源'!$I:$I,'1月数据源'!$D:$D,$E3,'1月数据源'!$F:$F,"HK01")*F$185-SUMIFS('1月数据源'!$J:$J,'1月数据源'!$D:$D,$E3,'1月数据源'!$F:$F,"HK01")*F$185</f>
        <v/>
      </c>
      <c r="G3" s="89">
        <f>SUMIFS('2月数据源'!$I:$I,'2月数据源'!$D:$D,$E3,'2月数据源'!$F:$F,"HK01")*G$185-SUMIFS('2月数据源'!$J:$J,'2月数据源'!$D:$D,$E3,'2月数据源'!$F:$F,"HK01")*G$185</f>
        <v/>
      </c>
      <c r="H3" s="89">
        <f>SUMIFS('3月数据源'!$I:$I,'3月数据源'!$D:$D,$E3,'3月数据源'!$F:$F,"HK01")*H$185-SUMIFS('3月数据源'!$J:$J,'3月数据源'!$D:$D,$E3,'3月数据源'!$F:$F,"HK01")*H$185</f>
        <v/>
      </c>
      <c r="I3" s="89">
        <f>SUMIFS('4月数据源'!$I:$I,'4月数据源'!$D:$D,$E3,'4月数据源'!$F:$F,"HK01")*I$185-SUMIFS('4月数据源'!$J:$J,'4月数据源'!$D:$D,$E3,'4月数据源'!$F:$F,"HK01")*I$185</f>
        <v/>
      </c>
      <c r="J3" s="89">
        <f>SUMIFS('5月数据源'!$I:$I,'5月数据源'!$D:$D,$E3,'5月数据源'!$F:$F,"HK01")*J$185-SUMIFS('5月数据源'!$J:$J,'5月数据源'!$D:$D,$E3,'5月数据源'!$F:$F,"HK01")*J$185</f>
        <v/>
      </c>
      <c r="K3" s="89">
        <f>SUMIFS('6月数据源'!$I:$I,'6月数据源'!$D:$D,$E3,'6月数据源'!$F:$F,"HK01")*K$185-SUMIFS('6月数据源'!$J:$J,'6月数据源'!$D:$D,$E3,'6月数据源'!$F:$F,"HK01")*K$185</f>
        <v/>
      </c>
      <c r="L3" s="89">
        <f>SUMIFS('7月数据源'!$I:$I,'7月数据源'!$D:$D,$E3,'7月数据源'!$F:$F,"HK01")*L$185-SUMIFS('7月数据源'!$J:$J,'7月数据源'!$D:$D,$E3,'7月数据源'!$F:$F,"HK01")*L$185</f>
        <v/>
      </c>
      <c r="M3" s="89">
        <f>SUMIFS('8月数据源'!$I:$I,'8月数据源'!$D:$D,$E3,'8月数据源'!$F:$F,"HK01")*M$185-SUMIFS('8月数据源'!$J:$J,'8月数据源'!$D:$D,$E3,'8月数据源'!$F:$F,"HK01")*M$185</f>
        <v/>
      </c>
      <c r="N3" s="89">
        <f>SUMIFS('9月数据源'!$I:$I,'9月数据源'!$D:$D,$E3,'9月数据源'!$F:$F,"HK01")*N$185-SUMIFS('9月数据源'!$J:$J,'9月数据源'!$D:$D,$E3,'9月数据源'!$F:$F,"HK01")*N$185</f>
        <v/>
      </c>
      <c r="O3" s="89">
        <f>SUMIFS('10月数据源'!$I:$I,'10月数据源'!$D:$D,$E3,'10月数据源'!$F:$F,"HK01")*O$185-SUMIFS('10月数据源'!$J:$J,'10月数据源'!$D:$D,$E3,'10月数据源'!$F:$F,"HK01")*O$185</f>
        <v/>
      </c>
      <c r="P3" s="89">
        <f>SUMIFS('11月数据源'!$I:$I,'11月数据源'!$D:$D,$E3,'11月数据源'!$F:$F,"HK01")*P$185-SUMIFS('11月数据源'!$J:$J,'11月数据源'!$D:$D,$E3,'11月数据源'!$F:$F,"HK01")*P$185</f>
        <v/>
      </c>
      <c r="Q3" s="89">
        <f>SUMIFS('12月数据源'!$I:$I,'12月数据源'!$D:$D,$E3,'12月数据源'!$F:$F,"HK01")*Q$185-SUMIFS('12月数据源'!$J:$J,'12月数据源'!$D:$D,$E3,'12月数据源'!$F:$F,"HK01")*Q$185</f>
        <v/>
      </c>
    </row>
    <row r="4" s="83">
      <c r="A4" s="5" t="inlineStr">
        <is>
          <t>收入</t>
        </is>
      </c>
      <c r="B4" s="6" t="inlineStr">
        <is>
          <t>业务收入</t>
        </is>
      </c>
      <c r="D4" s="6" t="inlineStr">
        <is>
          <t>服务收款</t>
        </is>
      </c>
      <c r="E4" s="6" t="inlineStr">
        <is>
          <t>Q0102</t>
        </is>
      </c>
      <c r="F4" s="89">
        <f>SUMIFS('1月数据源'!$I:$I,'1月数据源'!$D:$D,$E4,'1月数据源'!$F:$F,"HK01")*F$185-SUMIFS('1月数据源'!$J:$J,'1月数据源'!$D:$D,$E4,'1月数据源'!$F:$F,"HK01")*F$185</f>
        <v/>
      </c>
      <c r="G4" s="89">
        <f>SUMIFS('2月数据源'!$I:$I,'2月数据源'!$D:$D,$E4,'2月数据源'!$F:$F,"HK01")*G$185-SUMIFS('2月数据源'!$J:$J,'2月数据源'!$D:$D,$E4,'2月数据源'!$F:$F,"HK01")*G$185</f>
        <v/>
      </c>
      <c r="H4" s="89">
        <f>SUMIFS('3月数据源'!$I:$I,'3月数据源'!$D:$D,$E4,'3月数据源'!$F:$F,"HK01")*H$185-SUMIFS('3月数据源'!$J:$J,'3月数据源'!$D:$D,$E4,'3月数据源'!$F:$F,"HK01")*H$185</f>
        <v/>
      </c>
      <c r="I4" s="89">
        <f>SUMIFS('4月数据源'!$I:$I,'4月数据源'!$D:$D,$E4,'4月数据源'!$F:$F,"HK01")*I$185-SUMIFS('4月数据源'!$J:$J,'4月数据源'!$D:$D,$E4,'4月数据源'!$F:$F,"HK01")*I$185</f>
        <v/>
      </c>
      <c r="J4" s="89">
        <f>SUMIFS('5月数据源'!$I:$I,'5月数据源'!$D:$D,$E4,'5月数据源'!$F:$F,"HK01")*J$185-SUMIFS('5月数据源'!$J:$J,'5月数据源'!$D:$D,$E4,'5月数据源'!$F:$F,"HK01")*J$185</f>
        <v/>
      </c>
      <c r="K4" s="89">
        <f>SUMIFS('6月数据源'!$I:$I,'6月数据源'!$D:$D,$E4,'6月数据源'!$F:$F,"HK01")*K$185-SUMIFS('6月数据源'!$J:$J,'6月数据源'!$D:$D,$E4,'6月数据源'!$F:$F,"HK01")*K$185</f>
        <v/>
      </c>
      <c r="L4" s="89">
        <f>SUMIFS('7月数据源'!$I:$I,'7月数据源'!$D:$D,$E4,'7月数据源'!$F:$F,"HK01")*L$185-SUMIFS('7月数据源'!$J:$J,'7月数据源'!$D:$D,$E4,'7月数据源'!$F:$F,"HK01")*L$185</f>
        <v/>
      </c>
      <c r="M4" s="89">
        <f>SUMIFS('8月数据源'!$I:$I,'8月数据源'!$D:$D,$E4,'8月数据源'!$F:$F,"HK01")*M$185-SUMIFS('8月数据源'!$J:$J,'8月数据源'!$D:$D,$E4,'8月数据源'!$F:$F,"HK01")*M$185</f>
        <v/>
      </c>
      <c r="N4" s="89">
        <f>SUMIFS('9月数据源'!$I:$I,'9月数据源'!$D:$D,$E4,'9月数据源'!$F:$F,"HK01")*N$185-SUMIFS('9月数据源'!$J:$J,'9月数据源'!$D:$D,$E4,'9月数据源'!$F:$F,"HK01")*N$185</f>
        <v/>
      </c>
      <c r="O4" s="89">
        <f>SUMIFS('10月数据源'!$I:$I,'10月数据源'!$D:$D,$E4,'10月数据源'!$F:$F,"HK01")*O$185-SUMIFS('10月数据源'!$J:$J,'10月数据源'!$D:$D,$E4,'10月数据源'!$F:$F,"HK01")*O$185</f>
        <v/>
      </c>
      <c r="P4" s="89">
        <f>SUMIFS('11月数据源'!$I:$I,'11月数据源'!$D:$D,$E4,'11月数据源'!$F:$F,"HK01")*P$185-SUMIFS('11月数据源'!$J:$J,'11月数据源'!$D:$D,$E4,'11月数据源'!$F:$F,"HK01")*P$185</f>
        <v/>
      </c>
      <c r="Q4" s="89">
        <f>SUMIFS('12月数据源'!$I:$I,'12月数据源'!$D:$D,$E4,'12月数据源'!$F:$F,"HK01")*Q$185-SUMIFS('12月数据源'!$J:$J,'12月数据源'!$D:$D,$E4,'12月数据源'!$F:$F,"HK01")*Q$185</f>
        <v/>
      </c>
    </row>
    <row r="5" s="83">
      <c r="A5" s="5" t="inlineStr">
        <is>
          <t>收入</t>
        </is>
      </c>
      <c r="B5" s="6" t="inlineStr">
        <is>
          <t>业务收入</t>
        </is>
      </c>
      <c r="D5" s="6" t="inlineStr">
        <is>
          <t>平台补贴收入</t>
        </is>
      </c>
      <c r="E5" s="6" t="inlineStr">
        <is>
          <t>Q0103</t>
        </is>
      </c>
      <c r="F5" s="89">
        <f>SUMIFS('1月数据源'!$I:$I,'1月数据源'!$D:$D,$E5,'1月数据源'!$F:$F,"HK01")*F$185-SUMIFS('1月数据源'!$J:$J,'1月数据源'!$D:$D,$E5,'1月数据源'!$F:$F,"HK01")*F$185</f>
        <v/>
      </c>
      <c r="G5" s="89">
        <f>SUMIFS('2月数据源'!$I:$I,'2月数据源'!$D:$D,$E5,'2月数据源'!$F:$F,"HK01")*G$185-SUMIFS('2月数据源'!$J:$J,'2月数据源'!$D:$D,$E5,'2月数据源'!$F:$F,"HK01")*G$185</f>
        <v/>
      </c>
      <c r="H5" s="89">
        <f>SUMIFS('3月数据源'!$I:$I,'3月数据源'!$D:$D,$E5,'3月数据源'!$F:$F,"HK01")*H$185-SUMIFS('3月数据源'!$J:$J,'3月数据源'!$D:$D,$E5,'3月数据源'!$F:$F,"HK01")*H$185</f>
        <v/>
      </c>
      <c r="I5" s="89">
        <f>SUMIFS('4月数据源'!$I:$I,'4月数据源'!$D:$D,$E5,'4月数据源'!$F:$F,"HK01")*I$185-SUMIFS('4月数据源'!$J:$J,'4月数据源'!$D:$D,$E5,'4月数据源'!$F:$F,"HK01")*I$185</f>
        <v/>
      </c>
      <c r="J5" s="89">
        <f>SUMIFS('5月数据源'!$I:$I,'5月数据源'!$D:$D,$E5,'5月数据源'!$F:$F,"HK01")*J$185-SUMIFS('5月数据源'!$J:$J,'5月数据源'!$D:$D,$E5,'5月数据源'!$F:$F,"HK01")*J$185</f>
        <v/>
      </c>
      <c r="K5" s="89">
        <f>SUMIFS('6月数据源'!$I:$I,'6月数据源'!$D:$D,$E5,'6月数据源'!$F:$F,"HK01")*K$185-SUMIFS('6月数据源'!$J:$J,'6月数据源'!$D:$D,$E5,'6月数据源'!$F:$F,"HK01")*K$185</f>
        <v/>
      </c>
      <c r="L5" s="89">
        <f>SUMIFS('7月数据源'!$I:$I,'7月数据源'!$D:$D,$E5,'7月数据源'!$F:$F,"HK01")*L$185-SUMIFS('7月数据源'!$J:$J,'7月数据源'!$D:$D,$E5,'7月数据源'!$F:$F,"HK01")*L$185</f>
        <v/>
      </c>
      <c r="M5" s="89">
        <f>SUMIFS('8月数据源'!$I:$I,'8月数据源'!$D:$D,$E5,'8月数据源'!$F:$F,"HK01")*M$185-SUMIFS('8月数据源'!$J:$J,'8月数据源'!$D:$D,$E5,'8月数据源'!$F:$F,"HK01")*M$185</f>
        <v/>
      </c>
      <c r="N5" s="89">
        <f>SUMIFS('9月数据源'!$I:$I,'9月数据源'!$D:$D,$E5,'9月数据源'!$F:$F,"HK01")*N$185-SUMIFS('9月数据源'!$J:$J,'9月数据源'!$D:$D,$E5,'9月数据源'!$F:$F,"HK01")*N$185</f>
        <v/>
      </c>
      <c r="O5" s="89">
        <f>SUMIFS('10月数据源'!$I:$I,'10月数据源'!$D:$D,$E5,'10月数据源'!$F:$F,"HK01")*O$185-SUMIFS('10月数据源'!$J:$J,'10月数据源'!$D:$D,$E5,'10月数据源'!$F:$F,"HK01")*O$185</f>
        <v/>
      </c>
      <c r="P5" s="89">
        <f>SUMIFS('11月数据源'!$I:$I,'11月数据源'!$D:$D,$E5,'11月数据源'!$F:$F,"HK01")*P$185-SUMIFS('11月数据源'!$J:$J,'11月数据源'!$D:$D,$E5,'11月数据源'!$F:$F,"HK01")*P$185</f>
        <v/>
      </c>
      <c r="Q5" s="89">
        <f>SUMIFS('12月数据源'!$I:$I,'12月数据源'!$D:$D,$E5,'12月数据源'!$F:$F,"HK01")*Q$185-SUMIFS('12月数据源'!$J:$J,'12月数据源'!$D:$D,$E5,'12月数据源'!$F:$F,"HK01")*Q$185</f>
        <v/>
      </c>
    </row>
    <row r="6" s="83">
      <c r="A6" s="5" t="inlineStr">
        <is>
          <t>收入</t>
        </is>
      </c>
      <c r="B6" s="6" t="inlineStr">
        <is>
          <t>业务收入</t>
        </is>
      </c>
      <c r="D6" s="6" t="inlineStr">
        <is>
          <t>自习室收入</t>
        </is>
      </c>
      <c r="E6" s="6" t="inlineStr">
        <is>
          <t>Q0104</t>
        </is>
      </c>
      <c r="F6" s="89">
        <f>SUMIFS('1月数据源'!$I:$I,'1月数据源'!$D:$D,$E6,'1月数据源'!$F:$F,"HK01")*F$185-SUMIFS('1月数据源'!$J:$J,'1月数据源'!$D:$D,$E6,'1月数据源'!$F:$F,"HK01")*F$185</f>
        <v/>
      </c>
      <c r="G6" s="89">
        <f>SUMIFS('2月数据源'!$I:$I,'2月数据源'!$D:$D,$E6,'2月数据源'!$F:$F,"HK01")*G$185-SUMIFS('2月数据源'!$J:$J,'2月数据源'!$D:$D,$E6,'2月数据源'!$F:$F,"HK01")*G$185</f>
        <v/>
      </c>
      <c r="H6" s="89">
        <f>SUMIFS('3月数据源'!$I:$I,'3月数据源'!$D:$D,$E6,'3月数据源'!$F:$F,"HK01")*H$185-SUMIFS('3月数据源'!$J:$J,'3月数据源'!$D:$D,$E6,'3月数据源'!$F:$F,"HK01")*H$185</f>
        <v/>
      </c>
      <c r="I6" s="89">
        <f>SUMIFS('4月数据源'!$I:$I,'4月数据源'!$D:$D,$E6,'4月数据源'!$F:$F,"HK01")*I$185-SUMIFS('4月数据源'!$J:$J,'4月数据源'!$D:$D,$E6,'4月数据源'!$F:$F,"HK01")*I$185</f>
        <v/>
      </c>
      <c r="J6" s="89">
        <f>SUMIFS('5月数据源'!$I:$I,'5月数据源'!$D:$D,$E6,'5月数据源'!$F:$F,"HK01")*J$185-SUMIFS('5月数据源'!$J:$J,'5月数据源'!$D:$D,$E6,'5月数据源'!$F:$F,"HK01")*J$185</f>
        <v/>
      </c>
      <c r="K6" s="89">
        <f>SUMIFS('6月数据源'!$I:$I,'6月数据源'!$D:$D,$E6,'6月数据源'!$F:$F,"HK01")*K$185-SUMIFS('6月数据源'!$J:$J,'6月数据源'!$D:$D,$E6,'6月数据源'!$F:$F,"HK01")*K$185</f>
        <v/>
      </c>
      <c r="L6" s="89">
        <f>SUMIFS('7月数据源'!$I:$I,'7月数据源'!$D:$D,$E6,'7月数据源'!$F:$F,"HK01")*L$185-SUMIFS('7月数据源'!$J:$J,'7月数据源'!$D:$D,$E6,'7月数据源'!$F:$F,"HK01")*L$185</f>
        <v/>
      </c>
      <c r="M6" s="89">
        <f>SUMIFS('8月数据源'!$I:$I,'8月数据源'!$D:$D,$E6,'8月数据源'!$F:$F,"HK01")*M$185-SUMIFS('8月数据源'!$J:$J,'8月数据源'!$D:$D,$E6,'8月数据源'!$F:$F,"HK01")*M$185</f>
        <v/>
      </c>
      <c r="N6" s="89">
        <f>SUMIFS('9月数据源'!$I:$I,'9月数据源'!$D:$D,$E6,'9月数据源'!$F:$F,"HK01")*N$185-SUMIFS('9月数据源'!$J:$J,'9月数据源'!$D:$D,$E6,'9月数据源'!$F:$F,"HK01")*N$185</f>
        <v/>
      </c>
      <c r="O6" s="89">
        <f>SUMIFS('10月数据源'!$I:$I,'10月数据源'!$D:$D,$E6,'10月数据源'!$F:$F,"HK01")*O$185-SUMIFS('10月数据源'!$J:$J,'10月数据源'!$D:$D,$E6,'10月数据源'!$F:$F,"HK01")*O$185</f>
        <v/>
      </c>
      <c r="P6" s="89">
        <f>SUMIFS('11月数据源'!$I:$I,'11月数据源'!$D:$D,$E6,'11月数据源'!$F:$F,"HK01")*P$185-SUMIFS('11月数据源'!$J:$J,'11月数据源'!$D:$D,$E6,'11月数据源'!$F:$F,"HK01")*P$185</f>
        <v/>
      </c>
      <c r="Q6" s="89">
        <f>SUMIFS('12月数据源'!$I:$I,'12月数据源'!$D:$D,$E6,'12月数据源'!$F:$F,"HK01")*Q$185-SUMIFS('12月数据源'!$J:$J,'12月数据源'!$D:$D,$E6,'12月数据源'!$F:$F,"HK01")*Q$185</f>
        <v/>
      </c>
    </row>
    <row r="7" s="83">
      <c r="A7" s="5" t="inlineStr">
        <is>
          <t>收入</t>
        </is>
      </c>
      <c r="B7" s="6" t="inlineStr">
        <is>
          <t>售后收入</t>
        </is>
      </c>
      <c r="C7" s="6" t="inlineStr">
        <is>
          <t>售后收入</t>
        </is>
      </c>
      <c r="D7" s="6" t="inlineStr">
        <is>
          <t>客户赔偿款</t>
        </is>
      </c>
      <c r="E7" s="6" t="inlineStr">
        <is>
          <t>Q0201</t>
        </is>
      </c>
      <c r="F7" s="89">
        <f>SUMIFS('1月数据源'!$I:$I,'1月数据源'!$D:$D,$E7,'1月数据源'!$F:$F,"HK01")*F$185-SUMIFS('1月数据源'!$J:$J,'1月数据源'!$D:$D,$E7,'1月数据源'!$F:$F,"HK01")*F$185</f>
        <v/>
      </c>
      <c r="G7" s="89">
        <f>SUMIFS('2月数据源'!$I:$I,'2月数据源'!$D:$D,$E7,'2月数据源'!$F:$F,"HK01")*G$185-SUMIFS('2月数据源'!$J:$J,'2月数据源'!$D:$D,$E7,'2月数据源'!$F:$F,"HK01")*G$185</f>
        <v/>
      </c>
      <c r="H7" s="89">
        <f>SUMIFS('3月数据源'!$I:$I,'3月数据源'!$D:$D,$E7,'3月数据源'!$F:$F,"HK01")*H$185-SUMIFS('3月数据源'!$J:$J,'3月数据源'!$D:$D,$E7,'3月数据源'!$F:$F,"HK01")*H$185</f>
        <v/>
      </c>
      <c r="I7" s="89">
        <f>SUMIFS('4月数据源'!$I:$I,'4月数据源'!$D:$D,$E7,'4月数据源'!$F:$F,"HK01")*I$185-SUMIFS('4月数据源'!$J:$J,'4月数据源'!$D:$D,$E7,'4月数据源'!$F:$F,"HK01")*I$185</f>
        <v/>
      </c>
      <c r="J7" s="89">
        <f>SUMIFS('5月数据源'!$I:$I,'5月数据源'!$D:$D,$E7,'5月数据源'!$F:$F,"HK01")*J$185-SUMIFS('5月数据源'!$J:$J,'5月数据源'!$D:$D,$E7,'5月数据源'!$F:$F,"HK01")*J$185</f>
        <v/>
      </c>
      <c r="K7" s="89">
        <f>SUMIFS('6月数据源'!$I:$I,'6月数据源'!$D:$D,$E7,'6月数据源'!$F:$F,"HK01")*K$185-SUMIFS('6月数据源'!$J:$J,'6月数据源'!$D:$D,$E7,'6月数据源'!$F:$F,"HK01")*K$185</f>
        <v/>
      </c>
      <c r="L7" s="89">
        <f>SUMIFS('7月数据源'!$I:$I,'7月数据源'!$D:$D,$E7,'7月数据源'!$F:$F,"HK01")*L$185-SUMIFS('7月数据源'!$J:$J,'7月数据源'!$D:$D,$E7,'7月数据源'!$F:$F,"HK01")*L$185</f>
        <v/>
      </c>
      <c r="M7" s="89">
        <f>SUMIFS('8月数据源'!$I:$I,'8月数据源'!$D:$D,$E7,'8月数据源'!$F:$F,"HK01")*M$185-SUMIFS('8月数据源'!$J:$J,'8月数据源'!$D:$D,$E7,'8月数据源'!$F:$F,"HK01")*M$185</f>
        <v/>
      </c>
      <c r="N7" s="89">
        <f>SUMIFS('9月数据源'!$I:$I,'9月数据源'!$D:$D,$E7,'9月数据源'!$F:$F,"HK01")*N$185-SUMIFS('9月数据源'!$J:$J,'9月数据源'!$D:$D,$E7,'9月数据源'!$F:$F,"HK01")*N$185</f>
        <v/>
      </c>
      <c r="O7" s="89">
        <f>SUMIFS('10月数据源'!$I:$I,'10月数据源'!$D:$D,$E7,'10月数据源'!$F:$F,"HK01")*O$185-SUMIFS('10月数据源'!$J:$J,'10月数据源'!$D:$D,$E7,'10月数据源'!$F:$F,"HK01")*O$185</f>
        <v/>
      </c>
      <c r="P7" s="89">
        <f>SUMIFS('11月数据源'!$I:$I,'11月数据源'!$D:$D,$E7,'11月数据源'!$F:$F,"HK01")*P$185-SUMIFS('11月数据源'!$J:$J,'11月数据源'!$D:$D,$E7,'11月数据源'!$F:$F,"HK01")*P$185</f>
        <v/>
      </c>
      <c r="Q7" s="89">
        <f>SUMIFS('12月数据源'!$I:$I,'12月数据源'!$D:$D,$E7,'12月数据源'!$F:$F,"HK01")*Q$185-SUMIFS('12月数据源'!$J:$J,'12月数据源'!$D:$D,$E7,'12月数据源'!$F:$F,"HK01")*Q$185</f>
        <v/>
      </c>
    </row>
    <row r="8" s="83">
      <c r="A8" s="5" t="inlineStr">
        <is>
          <t>收入</t>
        </is>
      </c>
      <c r="B8" s="6" t="inlineStr">
        <is>
          <t>售后收入</t>
        </is>
      </c>
      <c r="D8" s="6" t="inlineStr">
        <is>
          <t>供应商赔偿款</t>
        </is>
      </c>
      <c r="E8" s="6" t="inlineStr">
        <is>
          <t>Q0202</t>
        </is>
      </c>
      <c r="F8" s="89">
        <f>SUMIFS('1月数据源'!$I:$I,'1月数据源'!$D:$D,$E8,'1月数据源'!$F:$F,"HK01")*F$185-SUMIFS('1月数据源'!$J:$J,'1月数据源'!$D:$D,$E8,'1月数据源'!$F:$F,"HK01")*F$185</f>
        <v/>
      </c>
      <c r="G8" s="89">
        <f>SUMIFS('2月数据源'!$I:$I,'2月数据源'!$D:$D,$E8,'2月数据源'!$F:$F,"HK01")*G$185-SUMIFS('2月数据源'!$J:$J,'2月数据源'!$D:$D,$E8,'2月数据源'!$F:$F,"HK01")*G$185</f>
        <v/>
      </c>
      <c r="H8" s="89">
        <f>SUMIFS('3月数据源'!$I:$I,'3月数据源'!$D:$D,$E8,'3月数据源'!$F:$F,"HK01")*H$185-SUMIFS('3月数据源'!$J:$J,'3月数据源'!$D:$D,$E8,'3月数据源'!$F:$F,"HK01")*H$185</f>
        <v/>
      </c>
      <c r="I8" s="89">
        <f>SUMIFS('4月数据源'!$I:$I,'4月数据源'!$D:$D,$E8,'4月数据源'!$F:$F,"HK01")*I$185-SUMIFS('4月数据源'!$J:$J,'4月数据源'!$D:$D,$E8,'4月数据源'!$F:$F,"HK01")*I$185</f>
        <v/>
      </c>
      <c r="J8" s="89">
        <f>SUMIFS('5月数据源'!$I:$I,'5月数据源'!$D:$D,$E8,'5月数据源'!$F:$F,"HK01")*J$185-SUMIFS('5月数据源'!$J:$J,'5月数据源'!$D:$D,$E8,'5月数据源'!$F:$F,"HK01")*J$185</f>
        <v/>
      </c>
      <c r="K8" s="89">
        <f>SUMIFS('6月数据源'!$I:$I,'6月数据源'!$D:$D,$E8,'6月数据源'!$F:$F,"HK01")*K$185-SUMIFS('6月数据源'!$J:$J,'6月数据源'!$D:$D,$E8,'6月数据源'!$F:$F,"HK01")*K$185</f>
        <v/>
      </c>
      <c r="L8" s="89">
        <f>SUMIFS('7月数据源'!$I:$I,'7月数据源'!$D:$D,$E8,'7月数据源'!$F:$F,"HK01")*L$185-SUMIFS('7月数据源'!$J:$J,'7月数据源'!$D:$D,$E8,'7月数据源'!$F:$F,"HK01")*L$185</f>
        <v/>
      </c>
      <c r="M8" s="89">
        <f>SUMIFS('8月数据源'!$I:$I,'8月数据源'!$D:$D,$E8,'8月数据源'!$F:$F,"HK01")*M$185-SUMIFS('8月数据源'!$J:$J,'8月数据源'!$D:$D,$E8,'8月数据源'!$F:$F,"HK01")*M$185</f>
        <v/>
      </c>
      <c r="N8" s="89">
        <f>SUMIFS('9月数据源'!$I:$I,'9月数据源'!$D:$D,$E8,'9月数据源'!$F:$F,"HK01")*N$185-SUMIFS('9月数据源'!$J:$J,'9月数据源'!$D:$D,$E8,'9月数据源'!$F:$F,"HK01")*N$185</f>
        <v/>
      </c>
      <c r="O8" s="89">
        <f>SUMIFS('10月数据源'!$I:$I,'10月数据源'!$D:$D,$E8,'10月数据源'!$F:$F,"HK01")*O$185-SUMIFS('10月数据源'!$J:$J,'10月数据源'!$D:$D,$E8,'10月数据源'!$F:$F,"HK01")*O$185</f>
        <v/>
      </c>
      <c r="P8" s="89">
        <f>SUMIFS('11月数据源'!$I:$I,'11月数据源'!$D:$D,$E8,'11月数据源'!$F:$F,"HK01")*P$185-SUMIFS('11月数据源'!$J:$J,'11月数据源'!$D:$D,$E8,'11月数据源'!$F:$F,"HK01")*P$185</f>
        <v/>
      </c>
      <c r="Q8" s="89">
        <f>SUMIFS('12月数据源'!$I:$I,'12月数据源'!$D:$D,$E8,'12月数据源'!$F:$F,"HK01")*Q$185-SUMIFS('12月数据源'!$J:$J,'12月数据源'!$D:$D,$E8,'12月数据源'!$F:$F,"HK01")*Q$185</f>
        <v/>
      </c>
    </row>
    <row r="9" s="83">
      <c r="A9" s="5" t="inlineStr">
        <is>
          <t>收入</t>
        </is>
      </c>
      <c r="B9" s="6" t="inlineStr">
        <is>
          <t>营业外收入</t>
        </is>
      </c>
      <c r="C9" s="6" t="inlineStr">
        <is>
          <t>营业外收入</t>
        </is>
      </c>
      <c r="D9" s="6" t="inlineStr">
        <is>
          <t>政府补贴收入</t>
        </is>
      </c>
      <c r="E9" s="6" t="inlineStr">
        <is>
          <t>Q0301</t>
        </is>
      </c>
      <c r="F9" s="89">
        <f>SUMIFS('1月数据源'!$I:$I,'1月数据源'!$D:$D,$E9,'1月数据源'!$F:$F,"HK01")*F$185-SUMIFS('1月数据源'!$J:$J,'1月数据源'!$D:$D,$E9,'1月数据源'!$F:$F,"HK01")*F$185</f>
        <v/>
      </c>
      <c r="G9" s="89">
        <f>SUMIFS('2月数据源'!$I:$I,'2月数据源'!$D:$D,$E9,'2月数据源'!$F:$F,"HK01")*G$185-SUMIFS('2月数据源'!$J:$J,'2月数据源'!$D:$D,$E9,'2月数据源'!$F:$F,"HK01")*G$185</f>
        <v/>
      </c>
      <c r="H9" s="89">
        <f>SUMIFS('3月数据源'!$I:$I,'3月数据源'!$D:$D,$E9,'3月数据源'!$F:$F,"HK01")*H$185-SUMIFS('3月数据源'!$J:$J,'3月数据源'!$D:$D,$E9,'3月数据源'!$F:$F,"HK01")*H$185</f>
        <v/>
      </c>
      <c r="I9" s="89">
        <f>SUMIFS('4月数据源'!$I:$I,'4月数据源'!$D:$D,$E9,'4月数据源'!$F:$F,"HK01")*I$185-SUMIFS('4月数据源'!$J:$J,'4月数据源'!$D:$D,$E9,'4月数据源'!$F:$F,"HK01")*I$185</f>
        <v/>
      </c>
      <c r="J9" s="89">
        <f>SUMIFS('5月数据源'!$I:$I,'5月数据源'!$D:$D,$E9,'5月数据源'!$F:$F,"HK01")*J$185-SUMIFS('5月数据源'!$J:$J,'5月数据源'!$D:$D,$E9,'5月数据源'!$F:$F,"HK01")*J$185</f>
        <v/>
      </c>
      <c r="K9" s="89">
        <f>SUMIFS('6月数据源'!$I:$I,'6月数据源'!$D:$D,$E9,'6月数据源'!$F:$F,"HK01")*K$185-SUMIFS('6月数据源'!$J:$J,'6月数据源'!$D:$D,$E9,'6月数据源'!$F:$F,"HK01")*K$185</f>
        <v/>
      </c>
      <c r="L9" s="89">
        <f>SUMIFS('7月数据源'!$I:$I,'7月数据源'!$D:$D,$E9,'7月数据源'!$F:$F,"HK01")*L$185-SUMIFS('7月数据源'!$J:$J,'7月数据源'!$D:$D,$E9,'7月数据源'!$F:$F,"HK01")*L$185</f>
        <v/>
      </c>
      <c r="M9" s="89">
        <f>SUMIFS('8月数据源'!$I:$I,'8月数据源'!$D:$D,$E9,'8月数据源'!$F:$F,"HK01")*M$185-SUMIFS('8月数据源'!$J:$J,'8月数据源'!$D:$D,$E9,'8月数据源'!$F:$F,"HK01")*M$185</f>
        <v/>
      </c>
      <c r="N9" s="89">
        <f>SUMIFS('9月数据源'!$I:$I,'9月数据源'!$D:$D,$E9,'9月数据源'!$F:$F,"HK01")*N$185-SUMIFS('9月数据源'!$J:$J,'9月数据源'!$D:$D,$E9,'9月数据源'!$F:$F,"HK01")*N$185</f>
        <v/>
      </c>
      <c r="O9" s="89">
        <f>SUMIFS('10月数据源'!$I:$I,'10月数据源'!$D:$D,$E9,'10月数据源'!$F:$F,"HK01")*O$185-SUMIFS('10月数据源'!$J:$J,'10月数据源'!$D:$D,$E9,'10月数据源'!$F:$F,"HK01")*O$185</f>
        <v/>
      </c>
      <c r="P9" s="89">
        <f>SUMIFS('11月数据源'!$I:$I,'11月数据源'!$D:$D,$E9,'11月数据源'!$F:$F,"HK01")*P$185-SUMIFS('11月数据源'!$J:$J,'11月数据源'!$D:$D,$E9,'11月数据源'!$F:$F,"HK01")*P$185</f>
        <v/>
      </c>
      <c r="Q9" s="89">
        <f>SUMIFS('12月数据源'!$I:$I,'12月数据源'!$D:$D,$E9,'12月数据源'!$F:$F,"HK01")*Q$185-SUMIFS('12月数据源'!$J:$J,'12月数据源'!$D:$D,$E9,'12月数据源'!$F:$F,"HK01")*Q$185</f>
        <v/>
      </c>
    </row>
    <row r="10" s="83">
      <c r="A10" s="5" t="inlineStr">
        <is>
          <t>收入</t>
        </is>
      </c>
      <c r="B10" s="6" t="inlineStr">
        <is>
          <t>营业外收入</t>
        </is>
      </c>
      <c r="D10" s="6" t="inlineStr">
        <is>
          <t>利息收入</t>
        </is>
      </c>
      <c r="E10" s="6" t="inlineStr">
        <is>
          <t>Q0302</t>
        </is>
      </c>
      <c r="F10" s="89">
        <f>SUMIFS('1月数据源'!$I:$I,'1月数据源'!$D:$D,$E10,'1月数据源'!$F:$F,"HK01")*F$185-SUMIFS('1月数据源'!$J:$J,'1月数据源'!$D:$D,$E10,'1月数据源'!$F:$F,"HK01")*F$185</f>
        <v/>
      </c>
      <c r="G10" s="89">
        <f>SUMIFS('2月数据源'!$I:$I,'2月数据源'!$D:$D,$E10,'2月数据源'!$F:$F,"HK01")*G$185-SUMIFS('2月数据源'!$J:$J,'2月数据源'!$D:$D,$E10,'2月数据源'!$F:$F,"HK01")*G$185</f>
        <v/>
      </c>
      <c r="H10" s="89">
        <f>SUMIFS('3月数据源'!$I:$I,'3月数据源'!$D:$D,$E10,'3月数据源'!$F:$F,"HK01")*H$185-SUMIFS('3月数据源'!$J:$J,'3月数据源'!$D:$D,$E10,'3月数据源'!$F:$F,"HK01")*H$185</f>
        <v/>
      </c>
      <c r="I10" s="89">
        <f>SUMIFS('4月数据源'!$I:$I,'4月数据源'!$D:$D,$E10,'4月数据源'!$F:$F,"HK01")*I$185-SUMIFS('4月数据源'!$J:$J,'4月数据源'!$D:$D,$E10,'4月数据源'!$F:$F,"HK01")*I$185</f>
        <v/>
      </c>
      <c r="J10" s="89">
        <f>SUMIFS('5月数据源'!$I:$I,'5月数据源'!$D:$D,$E10,'5月数据源'!$F:$F,"HK01")*J$185-SUMIFS('5月数据源'!$J:$J,'5月数据源'!$D:$D,$E10,'5月数据源'!$F:$F,"HK01")*J$185</f>
        <v/>
      </c>
      <c r="K10" s="89">
        <f>SUMIFS('6月数据源'!$I:$I,'6月数据源'!$D:$D,$E10,'6月数据源'!$F:$F,"HK01")*K$185-SUMIFS('6月数据源'!$J:$J,'6月数据源'!$D:$D,$E10,'6月数据源'!$F:$F,"HK01")*K$185</f>
        <v/>
      </c>
      <c r="L10" s="89">
        <f>SUMIFS('7月数据源'!$I:$I,'7月数据源'!$D:$D,$E10,'7月数据源'!$F:$F,"HK01")*L$185-SUMIFS('7月数据源'!$J:$J,'7月数据源'!$D:$D,$E10,'7月数据源'!$F:$F,"HK01")*L$185</f>
        <v/>
      </c>
      <c r="M10" s="89">
        <f>SUMIFS('8月数据源'!$I:$I,'8月数据源'!$D:$D,$E10,'8月数据源'!$F:$F,"HK01")*M$185-SUMIFS('8月数据源'!$J:$J,'8月数据源'!$D:$D,$E10,'8月数据源'!$F:$F,"HK01")*M$185</f>
        <v/>
      </c>
      <c r="N10" s="89">
        <f>SUMIFS('9月数据源'!$I:$I,'9月数据源'!$D:$D,$E10,'9月数据源'!$F:$F,"HK01")*N$185-SUMIFS('9月数据源'!$J:$J,'9月数据源'!$D:$D,$E10,'9月数据源'!$F:$F,"HK01")*N$185</f>
        <v/>
      </c>
      <c r="O10" s="89">
        <f>SUMIFS('10月数据源'!$I:$I,'10月数据源'!$D:$D,$E10,'10月数据源'!$F:$F,"HK01")*O$185-SUMIFS('10月数据源'!$J:$J,'10月数据源'!$D:$D,$E10,'10月数据源'!$F:$F,"HK01")*O$185</f>
        <v/>
      </c>
      <c r="P10" s="89">
        <f>SUMIFS('11月数据源'!$I:$I,'11月数据源'!$D:$D,$E10,'11月数据源'!$F:$F,"HK01")*P$185-SUMIFS('11月数据源'!$J:$J,'11月数据源'!$D:$D,$E10,'11月数据源'!$F:$F,"HK01")*P$185</f>
        <v/>
      </c>
      <c r="Q10" s="89">
        <f>SUMIFS('12月数据源'!$I:$I,'12月数据源'!$D:$D,$E10,'12月数据源'!$F:$F,"HK01")*Q$185-SUMIFS('12月数据源'!$J:$J,'12月数据源'!$D:$D,$E10,'12月数据源'!$F:$F,"HK01")*Q$185</f>
        <v/>
      </c>
    </row>
    <row r="11" s="83">
      <c r="A11" s="5" t="inlineStr">
        <is>
          <t>收入</t>
        </is>
      </c>
      <c r="B11" s="6" t="inlineStr">
        <is>
          <t>营业外收入</t>
        </is>
      </c>
      <c r="D11" s="6" t="inlineStr">
        <is>
          <t>其他收入</t>
        </is>
      </c>
      <c r="E11" s="6" t="inlineStr">
        <is>
          <t>Q0303</t>
        </is>
      </c>
      <c r="F11" s="89">
        <f>SUMIFS('1月数据源'!$I:$I,'1月数据源'!$D:$D,$E11,'1月数据源'!$F:$F,"HK01")*F$185-SUMIFS('1月数据源'!$J:$J,'1月数据源'!$D:$D,$E11,'1月数据源'!$F:$F,"HK01")*F$185</f>
        <v/>
      </c>
      <c r="G11" s="89">
        <f>SUMIFS('2月数据源'!$I:$I,'2月数据源'!$D:$D,$E11,'2月数据源'!$F:$F,"HK01")*G$185-SUMIFS('2月数据源'!$J:$J,'2月数据源'!$D:$D,$E11,'2月数据源'!$F:$F,"HK01")*G$185</f>
        <v/>
      </c>
      <c r="H11" s="89">
        <f>SUMIFS('3月数据源'!$I:$I,'3月数据源'!$D:$D,$E11,'3月数据源'!$F:$F,"HK01")*H$185-SUMIFS('3月数据源'!$J:$J,'3月数据源'!$D:$D,$E11,'3月数据源'!$F:$F,"HK01")*H$185</f>
        <v/>
      </c>
      <c r="I11" s="89">
        <f>SUMIFS('4月数据源'!$I:$I,'4月数据源'!$D:$D,$E11,'4月数据源'!$F:$F,"HK01")*I$185-SUMIFS('4月数据源'!$J:$J,'4月数据源'!$D:$D,$E11,'4月数据源'!$F:$F,"HK01")*I$185</f>
        <v/>
      </c>
      <c r="J11" s="89">
        <f>SUMIFS('5月数据源'!$I:$I,'5月数据源'!$D:$D,$E11,'5月数据源'!$F:$F,"HK01")*J$185-SUMIFS('5月数据源'!$J:$J,'5月数据源'!$D:$D,$E11,'5月数据源'!$F:$F,"HK01")*J$185</f>
        <v/>
      </c>
      <c r="K11" s="89">
        <f>SUMIFS('6月数据源'!$I:$I,'6月数据源'!$D:$D,$E11,'6月数据源'!$F:$F,"HK01")*K$185-SUMIFS('6月数据源'!$J:$J,'6月数据源'!$D:$D,$E11,'6月数据源'!$F:$F,"HK01")*K$185</f>
        <v/>
      </c>
      <c r="L11" s="89">
        <f>SUMIFS('7月数据源'!$I:$I,'7月数据源'!$D:$D,$E11,'7月数据源'!$F:$F,"HK01")*L$185-SUMIFS('7月数据源'!$J:$J,'7月数据源'!$D:$D,$E11,'7月数据源'!$F:$F,"HK01")*L$185</f>
        <v/>
      </c>
      <c r="M11" s="89">
        <f>SUMIFS('8月数据源'!$I:$I,'8月数据源'!$D:$D,$E11,'8月数据源'!$F:$F,"HK01")*M$185-SUMIFS('8月数据源'!$J:$J,'8月数据源'!$D:$D,$E11,'8月数据源'!$F:$F,"HK01")*M$185</f>
        <v/>
      </c>
      <c r="N11" s="89">
        <f>SUMIFS('9月数据源'!$I:$I,'9月数据源'!$D:$D,$E11,'9月数据源'!$F:$F,"HK01")*N$185-SUMIFS('9月数据源'!$J:$J,'9月数据源'!$D:$D,$E11,'9月数据源'!$F:$F,"HK01")*N$185</f>
        <v/>
      </c>
      <c r="O11" s="89">
        <f>SUMIFS('10月数据源'!$I:$I,'10月数据源'!$D:$D,$E11,'10月数据源'!$F:$F,"HK01")*O$185-SUMIFS('10月数据源'!$J:$J,'10月数据源'!$D:$D,$E11,'10月数据源'!$F:$F,"HK01")*O$185</f>
        <v/>
      </c>
      <c r="P11" s="89">
        <f>SUMIFS('11月数据源'!$I:$I,'11月数据源'!$D:$D,$E11,'11月数据源'!$F:$F,"HK01")*P$185-SUMIFS('11月数据源'!$J:$J,'11月数据源'!$D:$D,$E11,'11月数据源'!$F:$F,"HK01")*P$185</f>
        <v/>
      </c>
      <c r="Q11" s="89">
        <f>SUMIFS('12月数据源'!$I:$I,'12月数据源'!$D:$D,$E11,'12月数据源'!$F:$F,"HK01")*Q$185-SUMIFS('12月数据源'!$J:$J,'12月数据源'!$D:$D,$E11,'12月数据源'!$F:$F,"HK01")*Q$185</f>
        <v/>
      </c>
    </row>
    <row r="12" s="83">
      <c r="A12" s="49" t="inlineStr">
        <is>
          <t>收入合计</t>
        </is>
      </c>
      <c r="B12" s="50" t="n"/>
      <c r="C12" s="50" t="n"/>
      <c r="D12" s="49" t="n"/>
      <c r="E12" s="49" t="n"/>
      <c r="F12" s="89">
        <f>SUM(F3:F11)</f>
        <v/>
      </c>
      <c r="G12" s="89">
        <f>SUM(G3:G11)</f>
        <v/>
      </c>
      <c r="H12" s="89">
        <f>SUM(H3:H11)</f>
        <v/>
      </c>
      <c r="I12" s="89">
        <f>SUM(I3:I11)</f>
        <v/>
      </c>
      <c r="J12" s="89">
        <f>SUM(J3:J11)</f>
        <v/>
      </c>
      <c r="K12" s="89">
        <f>SUM(K3:K11)</f>
        <v/>
      </c>
      <c r="L12" s="89">
        <f>SUM(L3:L11)</f>
        <v/>
      </c>
      <c r="M12" s="89">
        <f>SUM(M3:M11)</f>
        <v/>
      </c>
      <c r="N12" s="89">
        <f>SUM(N3:N11)</f>
        <v/>
      </c>
      <c r="O12" s="89">
        <f>SUM(O3:O11)</f>
        <v/>
      </c>
      <c r="P12" s="89">
        <f>SUM(P3:P11)</f>
        <v/>
      </c>
      <c r="Q12" s="89">
        <f>SUM(Q3:Q11)</f>
        <v/>
      </c>
    </row>
    <row r="13" s="83">
      <c r="A13" s="5" t="inlineStr">
        <is>
          <t>往来款项收入</t>
        </is>
      </c>
      <c r="B13" s="6" t="inlineStr">
        <is>
          <t>往来款项收入</t>
        </is>
      </c>
      <c r="C13" s="6" t="inlineStr">
        <is>
          <t>往来款项收入</t>
        </is>
      </c>
      <c r="D13" s="5" t="inlineStr">
        <is>
          <t>内部往来收入</t>
        </is>
      </c>
      <c r="E13" s="6" t="inlineStr">
        <is>
          <t>Q0401</t>
        </is>
      </c>
      <c r="F13" s="89">
        <f>SUMIFS('1月数据源'!$I:$I,'1月数据源'!$D:$D,$E13,'1月数据源'!$F:$F,"HK01")*F$185-SUMIFS('1月数据源'!$J:$J,'1月数据源'!$D:$D,$E13,'1月数据源'!$F:$F,"HK01")*F$185</f>
        <v/>
      </c>
      <c r="G13" s="89">
        <f>SUMIFS('2月数据源'!$I:$I,'2月数据源'!$D:$D,$E13,'2月数据源'!$F:$F,"HK01")*G$185-SUMIFS('2月数据源'!$J:$J,'2月数据源'!$D:$D,$E13,'2月数据源'!$F:$F,"HK01")*G$185</f>
        <v/>
      </c>
      <c r="H13" s="89">
        <f>SUMIFS('3月数据源'!$I:$I,'3月数据源'!$D:$D,$E13,'3月数据源'!$F:$F,"HK01")*H$185-SUMIFS('3月数据源'!$J:$J,'3月数据源'!$D:$D,$E13,'3月数据源'!$F:$F,"HK01")*H$185</f>
        <v/>
      </c>
      <c r="I13" s="89">
        <f>SUMIFS('4月数据源'!$I:$I,'4月数据源'!$D:$D,$E13,'4月数据源'!$F:$F,"HK01")*I$185-SUMIFS('4月数据源'!$J:$J,'4月数据源'!$D:$D,$E13,'4月数据源'!$F:$F,"HK01")*I$185</f>
        <v/>
      </c>
      <c r="J13" s="89">
        <f>SUMIFS('5月数据源'!$I:$I,'5月数据源'!$D:$D,$E13,'5月数据源'!$F:$F,"HK01")*J$185-SUMIFS('5月数据源'!$J:$J,'5月数据源'!$D:$D,$E13,'5月数据源'!$F:$F,"HK01")*J$185</f>
        <v/>
      </c>
      <c r="K13" s="89">
        <f>SUMIFS('6月数据源'!$I:$I,'6月数据源'!$D:$D,$E13,'6月数据源'!$F:$F,"HK01")*K$185-SUMIFS('6月数据源'!$J:$J,'6月数据源'!$D:$D,$E13,'6月数据源'!$F:$F,"HK01")*K$185</f>
        <v/>
      </c>
      <c r="L13" s="89">
        <f>SUMIFS('7月数据源'!$I:$I,'7月数据源'!$D:$D,$E13,'7月数据源'!$F:$F,"HK01")*L$185-SUMIFS('7月数据源'!$J:$J,'7月数据源'!$D:$D,$E13,'7月数据源'!$F:$F,"HK01")*L$185</f>
        <v/>
      </c>
      <c r="M13" s="89">
        <f>SUMIFS('8月数据源'!$I:$I,'8月数据源'!$D:$D,$E13,'8月数据源'!$F:$F,"HK01")*M$185-SUMIFS('8月数据源'!$J:$J,'8月数据源'!$D:$D,$E13,'8月数据源'!$F:$F,"HK01")*M$185</f>
        <v/>
      </c>
      <c r="N13" s="89">
        <f>SUMIFS('9月数据源'!$I:$I,'9月数据源'!$D:$D,$E13,'9月数据源'!$F:$F,"HK01")*N$185-SUMIFS('9月数据源'!$J:$J,'9月数据源'!$D:$D,$E13,'9月数据源'!$F:$F,"HK01")*N$185</f>
        <v/>
      </c>
      <c r="O13" s="89">
        <f>SUMIFS('10月数据源'!$I:$I,'10月数据源'!$D:$D,$E13,'10月数据源'!$F:$F,"HK01")*O$185-SUMIFS('10月数据源'!$J:$J,'10月数据源'!$D:$D,$E13,'10月数据源'!$F:$F,"HK01")*O$185</f>
        <v/>
      </c>
      <c r="P13" s="89">
        <f>SUMIFS('11月数据源'!$I:$I,'11月数据源'!$D:$D,$E13,'11月数据源'!$F:$F,"HK01")*P$185-SUMIFS('11月数据源'!$J:$J,'11月数据源'!$D:$D,$E13,'11月数据源'!$F:$F,"HK01")*P$185</f>
        <v/>
      </c>
      <c r="Q13" s="89">
        <f>SUMIFS('12月数据源'!$I:$I,'12月数据源'!$D:$D,$E13,'12月数据源'!$F:$F,"HK01")*Q$185-SUMIFS('12月数据源'!$J:$J,'12月数据源'!$D:$D,$E13,'12月数据源'!$F:$F,"HK01")*Q$185</f>
        <v/>
      </c>
    </row>
    <row r="14" s="83">
      <c r="A14" s="5" t="inlineStr">
        <is>
          <t>往来款项收入</t>
        </is>
      </c>
      <c r="B14" s="6" t="inlineStr">
        <is>
          <t>往来款项收入</t>
        </is>
      </c>
      <c r="D14" s="5" t="inlineStr">
        <is>
          <t>外部往来收入</t>
        </is>
      </c>
      <c r="E14" s="6" t="inlineStr">
        <is>
          <t>Q0402</t>
        </is>
      </c>
      <c r="F14" s="89">
        <f>SUMIFS('1月数据源'!$I:$I,'1月数据源'!$D:$D,$E14,'1月数据源'!$F:$F,"HK01")*F$185-SUMIFS('1月数据源'!$J:$J,'1月数据源'!$D:$D,$E14,'1月数据源'!$F:$F,"HK01")*F$185</f>
        <v/>
      </c>
      <c r="G14" s="89">
        <f>SUMIFS('2月数据源'!$I:$I,'2月数据源'!$D:$D,$E14,'2月数据源'!$F:$F,"HK01")*G$185-SUMIFS('2月数据源'!$J:$J,'2月数据源'!$D:$D,$E14,'2月数据源'!$F:$F,"HK01")*G$185</f>
        <v/>
      </c>
      <c r="H14" s="89">
        <f>SUMIFS('3月数据源'!$I:$I,'3月数据源'!$D:$D,$E14,'3月数据源'!$F:$F,"HK01")*H$185-SUMIFS('3月数据源'!$J:$J,'3月数据源'!$D:$D,$E14,'3月数据源'!$F:$F,"HK01")*H$185</f>
        <v/>
      </c>
      <c r="I14" s="89">
        <f>SUMIFS('4月数据源'!$I:$I,'4月数据源'!$D:$D,$E14,'4月数据源'!$F:$F,"HK01")*I$185-SUMIFS('4月数据源'!$J:$J,'4月数据源'!$D:$D,$E14,'4月数据源'!$F:$F,"HK01")*I$185</f>
        <v/>
      </c>
      <c r="J14" s="89">
        <f>SUMIFS('5月数据源'!$I:$I,'5月数据源'!$D:$D,$E14,'5月数据源'!$F:$F,"HK01")*J$185-SUMIFS('5月数据源'!$J:$J,'5月数据源'!$D:$D,$E14,'5月数据源'!$F:$F,"HK01")*J$185</f>
        <v/>
      </c>
      <c r="K14" s="89">
        <f>SUMIFS('6月数据源'!$I:$I,'6月数据源'!$D:$D,$E14,'6月数据源'!$F:$F,"HK01")*K$185-SUMIFS('6月数据源'!$J:$J,'6月数据源'!$D:$D,$E14,'6月数据源'!$F:$F,"HK01")*K$185</f>
        <v/>
      </c>
      <c r="L14" s="89">
        <f>SUMIFS('7月数据源'!$I:$I,'7月数据源'!$D:$D,$E14,'7月数据源'!$F:$F,"HK01")*L$185-SUMIFS('7月数据源'!$J:$J,'7月数据源'!$D:$D,$E14,'7月数据源'!$F:$F,"HK01")*L$185</f>
        <v/>
      </c>
      <c r="M14" s="89">
        <f>SUMIFS('8月数据源'!$I:$I,'8月数据源'!$D:$D,$E14,'8月数据源'!$F:$F,"HK01")*M$185-SUMIFS('8月数据源'!$J:$J,'8月数据源'!$D:$D,$E14,'8月数据源'!$F:$F,"HK01")*M$185</f>
        <v/>
      </c>
      <c r="N14" s="89">
        <f>SUMIFS('9月数据源'!$I:$I,'9月数据源'!$D:$D,$E14,'9月数据源'!$F:$F,"HK01")*N$185-SUMIFS('9月数据源'!$J:$J,'9月数据源'!$D:$D,$E14,'9月数据源'!$F:$F,"HK01")*N$185</f>
        <v/>
      </c>
      <c r="O14" s="89">
        <f>SUMIFS('10月数据源'!$I:$I,'10月数据源'!$D:$D,$E14,'10月数据源'!$F:$F,"HK01")*O$185-SUMIFS('10月数据源'!$J:$J,'10月数据源'!$D:$D,$E14,'10月数据源'!$F:$F,"HK01")*O$185</f>
        <v/>
      </c>
      <c r="P14" s="89">
        <f>SUMIFS('11月数据源'!$I:$I,'11月数据源'!$D:$D,$E14,'11月数据源'!$F:$F,"HK01")*P$185-SUMIFS('11月数据源'!$J:$J,'11月数据源'!$D:$D,$E14,'11月数据源'!$F:$F,"HK01")*P$185</f>
        <v/>
      </c>
      <c r="Q14" s="89">
        <f>SUMIFS('12月数据源'!$I:$I,'12月数据源'!$D:$D,$E14,'12月数据源'!$F:$F,"HK01")*Q$185-SUMIFS('12月数据源'!$J:$J,'12月数据源'!$D:$D,$E14,'12月数据源'!$F:$F,"HK01")*Q$185</f>
        <v/>
      </c>
    </row>
    <row r="15" s="83">
      <c r="A15" s="49" t="inlineStr">
        <is>
          <t>往来款项收入合计</t>
        </is>
      </c>
      <c r="B15" s="50" t="n"/>
      <c r="C15" s="50" t="n"/>
      <c r="D15" s="49" t="n"/>
      <c r="E15" s="49" t="n"/>
      <c r="F15" s="89">
        <f>SUM(F13:F14)</f>
        <v/>
      </c>
      <c r="G15" s="89">
        <f>SUM(G13:G14)</f>
        <v/>
      </c>
      <c r="H15" s="89">
        <f>SUM(H13:H14)</f>
        <v/>
      </c>
      <c r="I15" s="89">
        <f>SUM(I13:I14)</f>
        <v/>
      </c>
      <c r="J15" s="89">
        <f>SUM(J13:J14)</f>
        <v/>
      </c>
      <c r="K15" s="89">
        <f>SUM(K13:K14)</f>
        <v/>
      </c>
      <c r="L15" s="89">
        <f>SUM(L13:L14)</f>
        <v/>
      </c>
      <c r="M15" s="89">
        <f>SUM(M13:M14)</f>
        <v/>
      </c>
      <c r="N15" s="89">
        <f>SUM(N13:N14)</f>
        <v/>
      </c>
      <c r="O15" s="89">
        <f>SUM(O13:O14)</f>
        <v/>
      </c>
      <c r="P15" s="89">
        <f>SUM(P13:P14)</f>
        <v/>
      </c>
      <c r="Q15" s="89">
        <f>SUM(Q13:Q14)</f>
        <v/>
      </c>
    </row>
    <row r="16" s="83">
      <c r="A16" s="5" t="inlineStr">
        <is>
          <t>投资款收入</t>
        </is>
      </c>
      <c r="B16" s="6" t="inlineStr">
        <is>
          <t>投资款收入</t>
        </is>
      </c>
      <c r="C16" s="6" t="inlineStr">
        <is>
          <t>投资款收入</t>
        </is>
      </c>
      <c r="D16" s="5" t="inlineStr">
        <is>
          <t>内部投资款收入</t>
        </is>
      </c>
      <c r="E16" s="6" t="inlineStr">
        <is>
          <t>Q0501</t>
        </is>
      </c>
      <c r="F16" s="89" t="n"/>
      <c r="G16" s="89" t="n"/>
      <c r="H16" s="89" t="n"/>
      <c r="I16" s="89" t="n"/>
      <c r="J16" s="89">
        <f>1500000*7.1833+500000*7.1991</f>
        <v/>
      </c>
      <c r="K16" s="89">
        <f>500000*7.1803+700000*7.1729</f>
        <v/>
      </c>
      <c r="L16" s="89" t="n"/>
      <c r="M16" s="89" t="n"/>
      <c r="N16" s="89" t="n"/>
      <c r="O16" s="89" t="n"/>
      <c r="P16" s="89" t="n"/>
      <c r="Q16" s="89" t="n"/>
    </row>
    <row r="17" s="83">
      <c r="A17" s="5" t="inlineStr">
        <is>
          <t>投资款收入</t>
        </is>
      </c>
      <c r="B17" s="6" t="inlineStr">
        <is>
          <t>投资款收入</t>
        </is>
      </c>
      <c r="D17" s="5" t="inlineStr">
        <is>
          <t>外部投资款收入</t>
        </is>
      </c>
      <c r="E17" s="6" t="inlineStr">
        <is>
          <t>Q0502</t>
        </is>
      </c>
      <c r="F17" s="89">
        <f>SUMIFS('1月数据源'!$I:$I,'1月数据源'!$D:$D,$E17,'1月数据源'!$F:$F,"HK01")*F$185-SUMIFS('1月数据源'!$J:$J,'1月数据源'!$D:$D,$E17,'1月数据源'!$F:$F,"HK01")*F$185</f>
        <v/>
      </c>
      <c r="G17" s="89">
        <f>SUMIFS('2月数据源'!$I:$I,'2月数据源'!$D:$D,$E17,'2月数据源'!$F:$F,"HK01")*G$185-SUMIFS('2月数据源'!$J:$J,'2月数据源'!$D:$D,$E17,'2月数据源'!$F:$F,"HK01")*G$185</f>
        <v/>
      </c>
      <c r="H17" s="89">
        <f>SUMIFS('3月数据源'!$I:$I,'3月数据源'!$D:$D,$E17,'3月数据源'!$F:$F,"HK01")*H$185-SUMIFS('3月数据源'!$J:$J,'3月数据源'!$D:$D,$E17,'3月数据源'!$F:$F,"HK01")*H$185</f>
        <v/>
      </c>
      <c r="I17" s="89">
        <f>SUMIFS('4月数据源'!$I:$I,'4月数据源'!$D:$D,$E17,'4月数据源'!$F:$F,"HK01")*I$185-SUMIFS('4月数据源'!$J:$J,'4月数据源'!$D:$D,$E17,'4月数据源'!$F:$F,"HK01")*I$185</f>
        <v/>
      </c>
      <c r="J17" s="89">
        <f>SUMIFS('5月数据源'!$I:$I,'5月数据源'!$D:$D,$E17,'5月数据源'!$F:$F,"HK01")*J$185-SUMIFS('5月数据源'!$J:$J,'5月数据源'!$D:$D,$E17,'5月数据源'!$F:$F,"HK01")*J$185</f>
        <v/>
      </c>
      <c r="K17" s="89">
        <f>SUMIFS('6月数据源'!$I:$I,'6月数据源'!$D:$D,$E17,'6月数据源'!$F:$F,"HK01")*K$185-SUMIFS('6月数据源'!$J:$J,'6月数据源'!$D:$D,$E17,'6月数据源'!$F:$F,"HK01")*K$185</f>
        <v/>
      </c>
      <c r="L17" s="89">
        <f>SUMIFS('7月数据源'!$I:$I,'7月数据源'!$D:$D,$E17,'7月数据源'!$F:$F,"HK01")*L$185-SUMIFS('7月数据源'!$J:$J,'7月数据源'!$D:$D,$E17,'7月数据源'!$F:$F,"HK01")*L$185</f>
        <v/>
      </c>
      <c r="M17" s="89">
        <f>SUMIFS('8月数据源'!$I:$I,'8月数据源'!$D:$D,$E17,'8月数据源'!$F:$F,"HK01")*M$185-SUMIFS('8月数据源'!$J:$J,'8月数据源'!$D:$D,$E17,'8月数据源'!$F:$F,"HK01")*M$185</f>
        <v/>
      </c>
      <c r="N17" s="89">
        <f>SUMIFS('9月数据源'!$I:$I,'9月数据源'!$D:$D,$E17,'9月数据源'!$F:$F,"HK01")*N$185-SUMIFS('9月数据源'!$J:$J,'9月数据源'!$D:$D,$E17,'9月数据源'!$F:$F,"HK01")*N$185</f>
        <v/>
      </c>
      <c r="O17" s="89">
        <f>SUMIFS('10月数据源'!$I:$I,'10月数据源'!$D:$D,$E17,'10月数据源'!$F:$F,"HK01")*O$185-SUMIFS('10月数据源'!$J:$J,'10月数据源'!$D:$D,$E17,'10月数据源'!$F:$F,"HK01")*O$185</f>
        <v/>
      </c>
      <c r="P17" s="89">
        <f>SUMIFS('11月数据源'!$I:$I,'11月数据源'!$D:$D,$E17,'11月数据源'!$F:$F,"HK01")*P$185-SUMIFS('11月数据源'!$J:$J,'11月数据源'!$D:$D,$E17,'11月数据源'!$F:$F,"HK01")*P$185</f>
        <v/>
      </c>
      <c r="Q17" s="89">
        <f>SUMIFS('12月数据源'!$I:$I,'12月数据源'!$D:$D,$E17,'12月数据源'!$F:$F,"HK01")*Q$185-SUMIFS('12月数据源'!$J:$J,'12月数据源'!$D:$D,$E17,'12月数据源'!$F:$F,"HK01")*Q$185</f>
        <v/>
      </c>
    </row>
    <row r="18" s="83">
      <c r="A18" s="49" t="inlineStr">
        <is>
          <t>投资款收入合计</t>
        </is>
      </c>
      <c r="B18" s="50" t="n"/>
      <c r="C18" s="50" t="n"/>
      <c r="D18" s="49" t="n"/>
      <c r="E18" s="49" t="n"/>
      <c r="F18" s="89">
        <f>SUM(F16:F17)</f>
        <v/>
      </c>
      <c r="G18" s="89">
        <f>SUM(G16:G17)</f>
        <v/>
      </c>
      <c r="H18" s="89">
        <f>SUM(H16:H17)</f>
        <v/>
      </c>
      <c r="I18" s="89">
        <f>SUM(I16:I17)</f>
        <v/>
      </c>
      <c r="J18" s="89">
        <f>SUM(J16:J17)</f>
        <v/>
      </c>
      <c r="K18" s="89">
        <f>SUM(K16:K17)</f>
        <v/>
      </c>
      <c r="L18" s="89">
        <f>SUM(L16:L17)</f>
        <v/>
      </c>
      <c r="M18" s="89">
        <f>SUM(M16:M17)</f>
        <v/>
      </c>
      <c r="N18" s="89">
        <f>SUM(N16:N17)</f>
        <v/>
      </c>
      <c r="O18" s="89">
        <f>SUM(O16:O17)</f>
        <v/>
      </c>
      <c r="P18" s="89">
        <f>SUM(P16:P17)</f>
        <v/>
      </c>
      <c r="Q18" s="89">
        <f>SUM(Q16:Q17)</f>
        <v/>
      </c>
    </row>
    <row r="19" s="83">
      <c r="A19" s="51" t="inlineStr">
        <is>
          <t>收款合计</t>
        </is>
      </c>
      <c r="B19" s="52" t="n"/>
      <c r="C19" s="52" t="n"/>
      <c r="D19" s="51" t="n"/>
      <c r="E19" s="51" t="n"/>
      <c r="F19" s="89">
        <f>ROUND(F12+F15+F18,2)</f>
        <v/>
      </c>
      <c r="G19" s="89">
        <f>ROUND(G12+G15+G18,2)</f>
        <v/>
      </c>
      <c r="H19" s="89">
        <f>ROUND(H12+H15+H18,2)</f>
        <v/>
      </c>
      <c r="I19" s="89">
        <f>ROUND(I12+I15+I18,2)</f>
        <v/>
      </c>
      <c r="J19" s="89">
        <f>ROUND(J12+J15+J18,2)</f>
        <v/>
      </c>
      <c r="K19" s="89">
        <f>ROUND(K12+K15+K18,2)</f>
        <v/>
      </c>
      <c r="L19" s="89">
        <f>ROUND(L12+L15+L18,2)</f>
        <v/>
      </c>
      <c r="M19" s="89">
        <f>ROUND(M12+M15+M18,2)</f>
        <v/>
      </c>
      <c r="N19" s="89">
        <f>ROUND(N12+N15+N18,2)</f>
        <v/>
      </c>
      <c r="O19" s="89">
        <f>ROUND(O12+O15+O18,2)</f>
        <v/>
      </c>
      <c r="P19" s="89">
        <f>ROUND(P12+P15+P18,2)</f>
        <v/>
      </c>
      <c r="Q19" s="89">
        <f>ROUND(Q12+Q15+Q18,2)</f>
        <v/>
      </c>
    </row>
    <row r="20" s="83">
      <c r="A20" s="5" t="inlineStr">
        <is>
          <t>往来款项支出</t>
        </is>
      </c>
      <c r="B20" s="6" t="inlineStr">
        <is>
          <t>往来款项支出</t>
        </is>
      </c>
      <c r="C20" s="6" t="inlineStr">
        <is>
          <t>往来款项支出</t>
        </is>
      </c>
      <c r="D20" s="5" t="inlineStr">
        <is>
          <t>内部往来支出</t>
        </is>
      </c>
      <c r="E20" s="6" t="inlineStr">
        <is>
          <t>Q0601</t>
        </is>
      </c>
      <c r="F20" s="89">
        <f>-SUMIFS('1月数据源'!$I:$I,'1月数据源'!$D:$D,$E20,'1月数据源'!$F:$F,"HK01")*F$185+SUMIFS('1月数据源'!$J:$J,'1月数据源'!$D:$D,$E20,'1月数据源'!$F:$F,"HK01")*F$185</f>
        <v/>
      </c>
      <c r="G20" s="89">
        <f>-SUMIFS('2月数据源'!$I:$I,'2月数据源'!$D:$D,$E20,'2月数据源'!$F:$F,"HK01")*G$185+SUMIFS('2月数据源'!$J:$J,'2月数据源'!$D:$D,$E20,'2月数据源'!$F:$F,"HK01")*G$185</f>
        <v/>
      </c>
      <c r="H20" s="89">
        <f>-SUMIFS('3月数据源'!$I:$I,'3月数据源'!$D:$D,$E20,'3月数据源'!$F:$F,"HK01")*H$185+SUMIFS('3月数据源'!$J:$J,'3月数据源'!$D:$D,$E20,'3月数据源'!$F:$F,"HK01")*H$185</f>
        <v/>
      </c>
      <c r="I20" s="89">
        <f>-SUMIFS('4月数据源'!$I:$I,'4月数据源'!$D:$D,$E20,'4月数据源'!$F:$F,"HK01")*I$185+SUMIFS('4月数据源'!$J:$J,'4月数据源'!$D:$D,$E20,'4月数据源'!$F:$F,"HK01")*I$185</f>
        <v/>
      </c>
      <c r="J20" s="89">
        <f>-SUMIFS('5月数据源'!$I:$I,'5月数据源'!$D:$D,$E20,'5月数据源'!$F:$F,"HK01")*J$185+SUMIFS('5月数据源'!$J:$J,'5月数据源'!$D:$D,$E20,'5月数据源'!$F:$F,"HK01")*J$185</f>
        <v/>
      </c>
      <c r="K20" s="89">
        <f>-SUMIFS('6月数据源'!$I:$I,'6月数据源'!$D:$D,$E20,'6月数据源'!$F:$F,"HK01")*K$185+SUMIFS('6月数据源'!$J:$J,'6月数据源'!$D:$D,$E20,'6月数据源'!$F:$F,"HK01")*K$185</f>
        <v/>
      </c>
      <c r="L20" s="89">
        <f>-SUMIFS('7月数据源'!$I:$I,'7月数据源'!$D:$D,$E20,'7月数据源'!$F:$F,"HK01")*L$185+SUMIFS('7月数据源'!$J:$J,'7月数据源'!$D:$D,$E20,'7月数据源'!$F:$F,"HK01")*L$185</f>
        <v/>
      </c>
      <c r="M20" s="89">
        <f>-SUMIFS('8月数据源'!$I:$I,'8月数据源'!$D:$D,$E20,'8月数据源'!$F:$F,"HK01")*M$185+SUMIFS('8月数据源'!$J:$J,'8月数据源'!$D:$D,$E20,'8月数据源'!$F:$F,"HK01")*M$185</f>
        <v/>
      </c>
      <c r="N20" s="89">
        <f>-SUMIFS('9月数据源'!$I:$I,'9月数据源'!$D:$D,$E20,'9月数据源'!$F:$F,"HK01")*N$185+SUMIFS('9月数据源'!$J:$J,'9月数据源'!$D:$D,$E20,'9月数据源'!$F:$F,"HK01")*N$185</f>
        <v/>
      </c>
      <c r="O20" s="89">
        <f>-SUMIFS('10月数据源'!$I:$I,'10月数据源'!$D:$D,$E20,'10月数据源'!$F:$F,"HK01")*O$185+SUMIFS('10月数据源'!$J:$J,'10月数据源'!$D:$D,$E20,'10月数据源'!$F:$F,"HK01")*O$185</f>
        <v/>
      </c>
      <c r="P20" s="89">
        <f>-SUMIFS('11月数据源'!$I:$I,'11月数据源'!$D:$D,$E20,'11月数据源'!$F:$F,"HK01")*P$185+SUMIFS('11月数据源'!$J:$J,'11月数据源'!$D:$D,$E20,'11月数据源'!$F:$F,"HK01")*P$185</f>
        <v/>
      </c>
      <c r="Q20" s="89">
        <f>-SUMIFS('12月数据源'!$I:$I,'12月数据源'!$D:$D,$E20,'12月数据源'!$F:$F,"HK01")*Q$185+SUMIFS('12月数据源'!$J:$J,'12月数据源'!$D:$D,$E20,'12月数据源'!$F:$F,"HK01")*Q$185</f>
        <v/>
      </c>
    </row>
    <row r="21" s="83">
      <c r="A21" s="5" t="inlineStr">
        <is>
          <t>往来款项支出</t>
        </is>
      </c>
      <c r="B21" s="6" t="inlineStr">
        <is>
          <t>往来款项支出</t>
        </is>
      </c>
      <c r="D21" s="5" t="inlineStr">
        <is>
          <t>外部往来支出</t>
        </is>
      </c>
      <c r="E21" s="6" t="inlineStr">
        <is>
          <t>Q0602</t>
        </is>
      </c>
      <c r="F21" s="89">
        <f>-SUMIFS('1月数据源'!$I:$I,'1月数据源'!$D:$D,$E21,'1月数据源'!$F:$F,"HK01")*F$185+SUMIFS('1月数据源'!$J:$J,'1月数据源'!$D:$D,$E21,'1月数据源'!$F:$F,"HK01")*F$185</f>
        <v/>
      </c>
      <c r="G21" s="89">
        <f>-SUMIFS('2月数据源'!$I:$I,'2月数据源'!$D:$D,$E21,'2月数据源'!$F:$F,"HK01")*G$185+SUMIFS('2月数据源'!$J:$J,'2月数据源'!$D:$D,$E21,'2月数据源'!$F:$F,"HK01")*G$185</f>
        <v/>
      </c>
      <c r="H21" s="89">
        <f>-SUMIFS('3月数据源'!$I:$I,'3月数据源'!$D:$D,$E21,'3月数据源'!$F:$F,"HK01")*H$185+SUMIFS('3月数据源'!$J:$J,'3月数据源'!$D:$D,$E21,'3月数据源'!$F:$F,"HK01")*H$185</f>
        <v/>
      </c>
      <c r="I21" s="89">
        <f>-SUMIFS('4月数据源'!$I:$I,'4月数据源'!$D:$D,$E21,'4月数据源'!$F:$F,"HK01")*I$185+SUMIFS('4月数据源'!$J:$J,'4月数据源'!$D:$D,$E21,'4月数据源'!$F:$F,"HK01")*I$185</f>
        <v/>
      </c>
      <c r="J21" s="89">
        <f>-SUMIFS('5月数据源'!$I:$I,'5月数据源'!$D:$D,$E21,'5月数据源'!$F:$F,"HK01")*J$185+SUMIFS('5月数据源'!$J:$J,'5月数据源'!$D:$D,$E21,'5月数据源'!$F:$F,"HK01")*J$185</f>
        <v/>
      </c>
      <c r="K21" s="89">
        <f>-SUMIFS('6月数据源'!$I:$I,'6月数据源'!$D:$D,$E21,'6月数据源'!$F:$F,"HK01")*K$185+SUMIFS('6月数据源'!$J:$J,'6月数据源'!$D:$D,$E21,'6月数据源'!$F:$F,"HK01")*K$185</f>
        <v/>
      </c>
      <c r="L21" s="89">
        <f>-SUMIFS('7月数据源'!$I:$I,'7月数据源'!$D:$D,$E21,'7月数据源'!$F:$F,"HK01")*L$185+SUMIFS('7月数据源'!$J:$J,'7月数据源'!$D:$D,$E21,'7月数据源'!$F:$F,"HK01")*L$185</f>
        <v/>
      </c>
      <c r="M21" s="89">
        <f>-SUMIFS('8月数据源'!$I:$I,'8月数据源'!$D:$D,$E21,'8月数据源'!$F:$F,"HK01")*M$185+SUMIFS('8月数据源'!$J:$J,'8月数据源'!$D:$D,$E21,'8月数据源'!$F:$F,"HK01")*M$185</f>
        <v/>
      </c>
      <c r="N21" s="89">
        <f>-SUMIFS('9月数据源'!$I:$I,'9月数据源'!$D:$D,$E21,'9月数据源'!$F:$F,"HK01")*N$185+SUMIFS('9月数据源'!$J:$J,'9月数据源'!$D:$D,$E21,'9月数据源'!$F:$F,"HK01")*N$185</f>
        <v/>
      </c>
      <c r="O21" s="89">
        <f>-SUMIFS('10月数据源'!$I:$I,'10月数据源'!$D:$D,$E21,'10月数据源'!$F:$F,"HK01")*O$185+SUMIFS('10月数据源'!$J:$J,'10月数据源'!$D:$D,$E21,'10月数据源'!$F:$F,"HK01")*O$185</f>
        <v/>
      </c>
      <c r="P21" s="89">
        <f>-SUMIFS('11月数据源'!$I:$I,'11月数据源'!$D:$D,$E21,'11月数据源'!$F:$F,"HK01")*P$185+SUMIFS('11月数据源'!$J:$J,'11月数据源'!$D:$D,$E21,'11月数据源'!$F:$F,"HK01")*P$185</f>
        <v/>
      </c>
      <c r="Q21" s="89">
        <f>-SUMIFS('12月数据源'!$I:$I,'12月数据源'!$D:$D,$E21,'12月数据源'!$F:$F,"HK01")*Q$185+SUMIFS('12月数据源'!$J:$J,'12月数据源'!$D:$D,$E21,'12月数据源'!$F:$F,"HK01")*Q$185</f>
        <v/>
      </c>
    </row>
    <row r="22" s="83">
      <c r="A22" s="49" t="inlineStr">
        <is>
          <t>往来款项支出合计</t>
        </is>
      </c>
      <c r="B22" s="50" t="n"/>
      <c r="C22" s="50" t="n"/>
      <c r="D22" s="49" t="n"/>
      <c r="E22" s="49" t="n"/>
      <c r="F22" s="89">
        <f>SUM(F20:F21)</f>
        <v/>
      </c>
      <c r="G22" s="89">
        <f>SUM(G20:G21)</f>
        <v/>
      </c>
      <c r="H22" s="89">
        <f>SUM(H20:H21)</f>
        <v/>
      </c>
      <c r="I22" s="89">
        <f>SUM(I20:I21)</f>
        <v/>
      </c>
      <c r="J22" s="89">
        <f>SUM(J20:J21)</f>
        <v/>
      </c>
      <c r="K22" s="89">
        <f>SUM(K20:K21)</f>
        <v/>
      </c>
      <c r="L22" s="89">
        <f>SUM(L20:L21)</f>
        <v/>
      </c>
      <c r="M22" s="89">
        <f>SUM(M20:M21)</f>
        <v/>
      </c>
      <c r="N22" s="89">
        <f>SUM(N20:N21)</f>
        <v/>
      </c>
      <c r="O22" s="89">
        <f>SUM(O20:O21)</f>
        <v/>
      </c>
      <c r="P22" s="89">
        <f>SUM(P20:P21)</f>
        <v/>
      </c>
      <c r="Q22" s="89">
        <f>SUM(Q20:Q21)</f>
        <v/>
      </c>
    </row>
    <row r="23" s="83">
      <c r="A23" s="5" t="inlineStr">
        <is>
          <t>投资款支出</t>
        </is>
      </c>
      <c r="B23" s="6" t="inlineStr">
        <is>
          <t>投资款支出</t>
        </is>
      </c>
      <c r="C23" s="6" t="inlineStr">
        <is>
          <t>投资款支出</t>
        </is>
      </c>
      <c r="D23" s="5" t="inlineStr">
        <is>
          <t>内部投资款支出</t>
        </is>
      </c>
      <c r="E23" s="6" t="inlineStr">
        <is>
          <t>Q0701</t>
        </is>
      </c>
      <c r="F23" s="89" t="n"/>
      <c r="G23" s="89" t="n"/>
      <c r="H23" s="89" t="n"/>
      <c r="I23" s="89" t="n"/>
      <c r="J23" s="89">
        <f>1500000*7.1833+500000*7.1991</f>
        <v/>
      </c>
      <c r="K23" s="89">
        <f>500000*7.1803</f>
        <v/>
      </c>
      <c r="L23" s="89" t="n"/>
      <c r="M23" s="89" t="n"/>
      <c r="N23" s="89" t="n"/>
      <c r="O23" s="89" t="n"/>
      <c r="P23" s="89" t="n"/>
      <c r="Q23" s="89" t="n"/>
    </row>
    <row r="24" s="83">
      <c r="A24" s="49" t="inlineStr">
        <is>
          <t>投资款支出合计</t>
        </is>
      </c>
      <c r="B24" s="50" t="n"/>
      <c r="C24" s="50" t="n"/>
      <c r="D24" s="49" t="n"/>
      <c r="E24" s="49" t="n"/>
      <c r="F24" s="89">
        <f>SUM(F23:F23)</f>
        <v/>
      </c>
      <c r="G24" s="89">
        <f>SUM(G23:G23)</f>
        <v/>
      </c>
      <c r="H24" s="89">
        <f>SUM(H23:H23)</f>
        <v/>
      </c>
      <c r="I24" s="89">
        <f>SUM(I23:I23)</f>
        <v/>
      </c>
      <c r="J24" s="89">
        <f>SUM(J23:J23)</f>
        <v/>
      </c>
      <c r="K24" s="89">
        <f>SUM(K23:K23)</f>
        <v/>
      </c>
      <c r="L24" s="89">
        <f>SUM(L23:L23)</f>
        <v/>
      </c>
      <c r="M24" s="89">
        <f>SUM(M23:M23)</f>
        <v/>
      </c>
      <c r="N24" s="89">
        <f>SUM(N23:N23)</f>
        <v/>
      </c>
      <c r="O24" s="89">
        <f>SUM(O23:O23)</f>
        <v/>
      </c>
      <c r="P24" s="89">
        <f>SUM(P23:P23)</f>
        <v/>
      </c>
      <c r="Q24" s="89">
        <f>SUM(Q23:Q23)</f>
        <v/>
      </c>
    </row>
    <row r="25" s="83">
      <c r="A25" s="5" t="inlineStr">
        <is>
          <t>人工成本</t>
        </is>
      </c>
      <c r="B25" s="6" t="inlineStr">
        <is>
          <t>人工成本</t>
        </is>
      </c>
      <c r="C25" s="6" t="inlineStr">
        <is>
          <t>人工成本</t>
        </is>
      </c>
      <c r="D25" s="5" t="inlineStr">
        <is>
          <t>实发工资</t>
        </is>
      </c>
      <c r="E25" s="6" t="inlineStr">
        <is>
          <t>Q0801</t>
        </is>
      </c>
      <c r="F25" s="89">
        <f>-SUMIFS('1月数据源'!$I:$I,'1月数据源'!$D:$D,$E25,'1月数据源'!$F:$F,"HK01")*F$185+SUMIFS('1月数据源'!$J:$J,'1月数据源'!$D:$D,$E25,'1月数据源'!$F:$F,"HK01")*F$185</f>
        <v/>
      </c>
      <c r="G25" s="89">
        <f>-SUMIFS('2月数据源'!$I:$I,'2月数据源'!$D:$D,$E25,'2月数据源'!$F:$F,"HK01")*G$185+SUMIFS('2月数据源'!$J:$J,'2月数据源'!$D:$D,$E25,'2月数据源'!$F:$F,"HK01")*G$185</f>
        <v/>
      </c>
      <c r="H25" s="89">
        <f>-SUMIFS('3月数据源'!$I:$I,'3月数据源'!$D:$D,$E25,'3月数据源'!$F:$F,"HK01")*H$185+SUMIFS('3月数据源'!$J:$J,'3月数据源'!$D:$D,$E25,'3月数据源'!$F:$F,"HK01")*H$185</f>
        <v/>
      </c>
      <c r="I25" s="89">
        <f>-SUMIFS('4月数据源'!$I:$I,'4月数据源'!$D:$D,$E25,'4月数据源'!$F:$F,"HK01")*I$185+SUMIFS('4月数据源'!$J:$J,'4月数据源'!$D:$D,$E25,'4月数据源'!$F:$F,"HK01")*I$185</f>
        <v/>
      </c>
      <c r="J25" s="89">
        <f>-SUMIFS('5月数据源'!$I:$I,'5月数据源'!$D:$D,$E25,'5月数据源'!$F:$F,"HK01")*J$185+SUMIFS('5月数据源'!$J:$J,'5月数据源'!$D:$D,$E25,'5月数据源'!$F:$F,"HK01")*J$185</f>
        <v/>
      </c>
      <c r="K25" s="89">
        <f>-SUMIFS('6月数据源'!$I:$I,'6月数据源'!$D:$D,$E25,'6月数据源'!$F:$F,"HK01")*K$185+SUMIFS('6月数据源'!$J:$J,'6月数据源'!$D:$D,$E25,'6月数据源'!$F:$F,"HK01")*K$185</f>
        <v/>
      </c>
      <c r="L25" s="89">
        <f>-SUMIFS('7月数据源'!$I:$I,'7月数据源'!$D:$D,$E25,'7月数据源'!$F:$F,"HK01")*L$185+SUMIFS('7月数据源'!$J:$J,'7月数据源'!$D:$D,$E25,'7月数据源'!$F:$F,"HK01")*L$185</f>
        <v/>
      </c>
      <c r="M25" s="89">
        <f>-SUMIFS('8月数据源'!$I:$I,'8月数据源'!$D:$D,$E25,'8月数据源'!$F:$F,"HK01")*M$185+SUMIFS('8月数据源'!$J:$J,'8月数据源'!$D:$D,$E25,'8月数据源'!$F:$F,"HK01")*M$185</f>
        <v/>
      </c>
      <c r="N25" s="89">
        <f>-SUMIFS('9月数据源'!$I:$I,'9月数据源'!$D:$D,$E25,'9月数据源'!$F:$F,"HK01")*N$185+SUMIFS('9月数据源'!$J:$J,'9月数据源'!$D:$D,$E25,'9月数据源'!$F:$F,"HK01")*N$185</f>
        <v/>
      </c>
      <c r="O25" s="89">
        <f>-SUMIFS('10月数据源'!$I:$I,'10月数据源'!$D:$D,$E25,'10月数据源'!$F:$F,"HK01")*O$185+SUMIFS('10月数据源'!$J:$J,'10月数据源'!$D:$D,$E25,'10月数据源'!$F:$F,"HK01")*O$185</f>
        <v/>
      </c>
      <c r="P25" s="89">
        <f>-SUMIFS('11月数据源'!$I:$I,'11月数据源'!$D:$D,$E25,'11月数据源'!$F:$F,"HK01")*P$185+SUMIFS('11月数据源'!$J:$J,'11月数据源'!$D:$D,$E25,'11月数据源'!$F:$F,"HK01")*P$185</f>
        <v/>
      </c>
      <c r="Q25" s="89">
        <f>-SUMIFS('12月数据源'!$I:$I,'12月数据源'!$D:$D,$E25,'12月数据源'!$F:$F,"HK01")*Q$185+SUMIFS('12月数据源'!$J:$J,'12月数据源'!$D:$D,$E25,'12月数据源'!$F:$F,"HK01")*Q$185</f>
        <v/>
      </c>
    </row>
    <row r="26" s="83">
      <c r="A26" s="5" t="inlineStr">
        <is>
          <t>人工成本</t>
        </is>
      </c>
      <c r="B26" s="6" t="inlineStr">
        <is>
          <t>人工成本</t>
        </is>
      </c>
      <c r="D26" s="5" t="inlineStr">
        <is>
          <t>奖金</t>
        </is>
      </c>
      <c r="E26" s="6" t="inlineStr">
        <is>
          <t>Q0802</t>
        </is>
      </c>
      <c r="F26" s="89">
        <f>-SUMIFS('1月数据源'!$I:$I,'1月数据源'!$D:$D,$E26,'1月数据源'!$F:$F,"HK01")*F$185+SUMIFS('1月数据源'!$J:$J,'1月数据源'!$D:$D,$E26,'1月数据源'!$F:$F,"HK01")*F$185</f>
        <v/>
      </c>
      <c r="G26" s="89">
        <f>-SUMIFS('2月数据源'!$I:$I,'2月数据源'!$D:$D,$E26,'2月数据源'!$F:$F,"HK01")*G$185+SUMIFS('2月数据源'!$J:$J,'2月数据源'!$D:$D,$E26,'2月数据源'!$F:$F,"HK01")*G$185</f>
        <v/>
      </c>
      <c r="H26" s="89">
        <f>-SUMIFS('3月数据源'!$I:$I,'3月数据源'!$D:$D,$E26,'3月数据源'!$F:$F,"HK01")*H$185+SUMIFS('3月数据源'!$J:$J,'3月数据源'!$D:$D,$E26,'3月数据源'!$F:$F,"HK01")*H$185</f>
        <v/>
      </c>
      <c r="I26" s="89">
        <f>-SUMIFS('4月数据源'!$I:$I,'4月数据源'!$D:$D,$E26,'4月数据源'!$F:$F,"HK01")*I$185+SUMIFS('4月数据源'!$J:$J,'4月数据源'!$D:$D,$E26,'4月数据源'!$F:$F,"HK01")*I$185</f>
        <v/>
      </c>
      <c r="J26" s="89">
        <f>-SUMIFS('5月数据源'!$I:$I,'5月数据源'!$D:$D,$E26,'5月数据源'!$F:$F,"HK01")*J$185+SUMIFS('5月数据源'!$J:$J,'5月数据源'!$D:$D,$E26,'5月数据源'!$F:$F,"HK01")*J$185</f>
        <v/>
      </c>
      <c r="K26" s="89">
        <f>-SUMIFS('6月数据源'!$I:$I,'6月数据源'!$D:$D,$E26,'6月数据源'!$F:$F,"HK01")*K$185+SUMIFS('6月数据源'!$J:$J,'6月数据源'!$D:$D,$E26,'6月数据源'!$F:$F,"HK01")*K$185</f>
        <v/>
      </c>
      <c r="L26" s="89">
        <f>-SUMIFS('7月数据源'!$I:$I,'7月数据源'!$D:$D,$E26,'7月数据源'!$F:$F,"HK01")*L$185+SUMIFS('7月数据源'!$J:$J,'7月数据源'!$D:$D,$E26,'7月数据源'!$F:$F,"HK01")*L$185</f>
        <v/>
      </c>
      <c r="M26" s="89">
        <f>-SUMIFS('8月数据源'!$I:$I,'8月数据源'!$D:$D,$E26,'8月数据源'!$F:$F,"HK01")*M$185+SUMIFS('8月数据源'!$J:$J,'8月数据源'!$D:$D,$E26,'8月数据源'!$F:$F,"HK01")*M$185</f>
        <v/>
      </c>
      <c r="N26" s="89">
        <f>-SUMIFS('9月数据源'!$I:$I,'9月数据源'!$D:$D,$E26,'9月数据源'!$F:$F,"HK01")*N$185+SUMIFS('9月数据源'!$J:$J,'9月数据源'!$D:$D,$E26,'9月数据源'!$F:$F,"HK01")*N$185</f>
        <v/>
      </c>
      <c r="O26" s="89">
        <f>-SUMIFS('10月数据源'!$I:$I,'10月数据源'!$D:$D,$E26,'10月数据源'!$F:$F,"HK01")*O$185+SUMIFS('10月数据源'!$J:$J,'10月数据源'!$D:$D,$E26,'10月数据源'!$F:$F,"HK01")*O$185</f>
        <v/>
      </c>
      <c r="P26" s="89">
        <f>-SUMIFS('11月数据源'!$I:$I,'11月数据源'!$D:$D,$E26,'11月数据源'!$F:$F,"HK01")*P$185+SUMIFS('11月数据源'!$J:$J,'11月数据源'!$D:$D,$E26,'11月数据源'!$F:$F,"HK01")*P$185</f>
        <v/>
      </c>
      <c r="Q26" s="89">
        <f>-SUMIFS('12月数据源'!$I:$I,'12月数据源'!$D:$D,$E26,'12月数据源'!$F:$F,"HK01")*Q$185+SUMIFS('12月数据源'!$J:$J,'12月数据源'!$D:$D,$E26,'12月数据源'!$F:$F,"HK01")*Q$185</f>
        <v/>
      </c>
    </row>
    <row r="27" s="83">
      <c r="A27" s="5" t="inlineStr">
        <is>
          <t>人工成本</t>
        </is>
      </c>
      <c r="B27" s="6" t="inlineStr">
        <is>
          <t>人工成本</t>
        </is>
      </c>
      <c r="D27" s="5" t="inlineStr">
        <is>
          <t>社保（单位+个人）</t>
        </is>
      </c>
      <c r="E27" s="6" t="inlineStr">
        <is>
          <t>Q0803</t>
        </is>
      </c>
      <c r="F27" s="89">
        <f>-SUMIFS('1月数据源'!$I:$I,'1月数据源'!$D:$D,$E27,'1月数据源'!$F:$F,"HK01")*F$185+SUMIFS('1月数据源'!$J:$J,'1月数据源'!$D:$D,$E27,'1月数据源'!$F:$F,"HK01")*F$185</f>
        <v/>
      </c>
      <c r="G27" s="89">
        <f>-SUMIFS('2月数据源'!$I:$I,'2月数据源'!$D:$D,$E27,'2月数据源'!$F:$F,"HK01")*G$185+SUMIFS('2月数据源'!$J:$J,'2月数据源'!$D:$D,$E27,'2月数据源'!$F:$F,"HK01")*G$185</f>
        <v/>
      </c>
      <c r="H27" s="89">
        <f>-SUMIFS('3月数据源'!$I:$I,'3月数据源'!$D:$D,$E27,'3月数据源'!$F:$F,"HK01")*H$185+SUMIFS('3月数据源'!$J:$J,'3月数据源'!$D:$D,$E27,'3月数据源'!$F:$F,"HK01")*H$185</f>
        <v/>
      </c>
      <c r="I27" s="89">
        <f>-SUMIFS('4月数据源'!$I:$I,'4月数据源'!$D:$D,$E27,'4月数据源'!$F:$F,"HK01")*I$185+SUMIFS('4月数据源'!$J:$J,'4月数据源'!$D:$D,$E27,'4月数据源'!$F:$F,"HK01")*I$185</f>
        <v/>
      </c>
      <c r="J27" s="89">
        <f>-SUMIFS('5月数据源'!$I:$I,'5月数据源'!$D:$D,$E27,'5月数据源'!$F:$F,"HK01")*J$185+SUMIFS('5月数据源'!$J:$J,'5月数据源'!$D:$D,$E27,'5月数据源'!$F:$F,"HK01")*J$185</f>
        <v/>
      </c>
      <c r="K27" s="89">
        <f>-SUMIFS('6月数据源'!$I:$I,'6月数据源'!$D:$D,$E27,'6月数据源'!$F:$F,"HK01")*K$185+SUMIFS('6月数据源'!$J:$J,'6月数据源'!$D:$D,$E27,'6月数据源'!$F:$F,"HK01")*K$185</f>
        <v/>
      </c>
      <c r="L27" s="89">
        <f>-SUMIFS('7月数据源'!$I:$I,'7月数据源'!$D:$D,$E27,'7月数据源'!$F:$F,"HK01")*L$185+SUMIFS('7月数据源'!$J:$J,'7月数据源'!$D:$D,$E27,'7月数据源'!$F:$F,"HK01")*L$185</f>
        <v/>
      </c>
      <c r="M27" s="89">
        <f>-SUMIFS('8月数据源'!$I:$I,'8月数据源'!$D:$D,$E27,'8月数据源'!$F:$F,"HK01")*M$185+SUMIFS('8月数据源'!$J:$J,'8月数据源'!$D:$D,$E27,'8月数据源'!$F:$F,"HK01")*M$185</f>
        <v/>
      </c>
      <c r="N27" s="89">
        <f>-SUMIFS('9月数据源'!$I:$I,'9月数据源'!$D:$D,$E27,'9月数据源'!$F:$F,"HK01")*N$185+SUMIFS('9月数据源'!$J:$J,'9月数据源'!$D:$D,$E27,'9月数据源'!$F:$F,"HK01")*N$185</f>
        <v/>
      </c>
      <c r="O27" s="89">
        <f>-SUMIFS('10月数据源'!$I:$I,'10月数据源'!$D:$D,$E27,'10月数据源'!$F:$F,"HK01")*O$185+SUMIFS('10月数据源'!$J:$J,'10月数据源'!$D:$D,$E27,'10月数据源'!$F:$F,"HK01")*O$185</f>
        <v/>
      </c>
      <c r="P27" s="89">
        <f>-SUMIFS('11月数据源'!$I:$I,'11月数据源'!$D:$D,$E27,'11月数据源'!$F:$F,"HK01")*P$185+SUMIFS('11月数据源'!$J:$J,'11月数据源'!$D:$D,$E27,'11月数据源'!$F:$F,"HK01")*P$185</f>
        <v/>
      </c>
      <c r="Q27" s="89">
        <f>-SUMIFS('12月数据源'!$I:$I,'12月数据源'!$D:$D,$E27,'12月数据源'!$F:$F,"HK01")*Q$185+SUMIFS('12月数据源'!$J:$J,'12月数据源'!$D:$D,$E27,'12月数据源'!$F:$F,"HK01")*Q$185</f>
        <v/>
      </c>
    </row>
    <row r="28" s="83">
      <c r="A28" s="5" t="inlineStr">
        <is>
          <t>人工成本</t>
        </is>
      </c>
      <c r="B28" s="6" t="inlineStr">
        <is>
          <t>人工成本</t>
        </is>
      </c>
      <c r="D28" s="5" t="inlineStr">
        <is>
          <t>公积金（单位+个人）</t>
        </is>
      </c>
      <c r="E28" s="6" t="inlineStr">
        <is>
          <t>Q0804</t>
        </is>
      </c>
      <c r="F28" s="89">
        <f>-SUMIFS('1月数据源'!$I:$I,'1月数据源'!$D:$D,$E28,'1月数据源'!$F:$F,"HK01")*F$185+SUMIFS('1月数据源'!$J:$J,'1月数据源'!$D:$D,$E28,'1月数据源'!$F:$F,"HK01")*F$185</f>
        <v/>
      </c>
      <c r="G28" s="89">
        <f>-SUMIFS('2月数据源'!$I:$I,'2月数据源'!$D:$D,$E28,'2月数据源'!$F:$F,"HK01")*G$185+SUMIFS('2月数据源'!$J:$J,'2月数据源'!$D:$D,$E28,'2月数据源'!$F:$F,"HK01")*G$185</f>
        <v/>
      </c>
      <c r="H28" s="89">
        <f>-SUMIFS('3月数据源'!$I:$I,'3月数据源'!$D:$D,$E28,'3月数据源'!$F:$F,"HK01")*H$185+SUMIFS('3月数据源'!$J:$J,'3月数据源'!$D:$D,$E28,'3月数据源'!$F:$F,"HK01")*H$185</f>
        <v/>
      </c>
      <c r="I28" s="89">
        <f>-SUMIFS('4月数据源'!$I:$I,'4月数据源'!$D:$D,$E28,'4月数据源'!$F:$F,"HK01")*I$185+SUMIFS('4月数据源'!$J:$J,'4月数据源'!$D:$D,$E28,'4月数据源'!$F:$F,"HK01")*I$185</f>
        <v/>
      </c>
      <c r="J28" s="89">
        <f>-SUMIFS('5月数据源'!$I:$I,'5月数据源'!$D:$D,$E28,'5月数据源'!$F:$F,"HK01")*J$185+SUMIFS('5月数据源'!$J:$J,'5月数据源'!$D:$D,$E28,'5月数据源'!$F:$F,"HK01")*J$185</f>
        <v/>
      </c>
      <c r="K28" s="89">
        <f>-SUMIFS('6月数据源'!$I:$I,'6月数据源'!$D:$D,$E28,'6月数据源'!$F:$F,"HK01")*K$185+SUMIFS('6月数据源'!$J:$J,'6月数据源'!$D:$D,$E28,'6月数据源'!$F:$F,"HK01")*K$185</f>
        <v/>
      </c>
      <c r="L28" s="89">
        <f>-SUMIFS('7月数据源'!$I:$I,'7月数据源'!$D:$D,$E28,'7月数据源'!$F:$F,"HK01")*L$185+SUMIFS('7月数据源'!$J:$J,'7月数据源'!$D:$D,$E28,'7月数据源'!$F:$F,"HK01")*L$185</f>
        <v/>
      </c>
      <c r="M28" s="89">
        <f>-SUMIFS('8月数据源'!$I:$I,'8月数据源'!$D:$D,$E28,'8月数据源'!$F:$F,"HK01")*M$185+SUMIFS('8月数据源'!$J:$J,'8月数据源'!$D:$D,$E28,'8月数据源'!$F:$F,"HK01")*M$185</f>
        <v/>
      </c>
      <c r="N28" s="89">
        <f>-SUMIFS('9月数据源'!$I:$I,'9月数据源'!$D:$D,$E28,'9月数据源'!$F:$F,"HK01")*N$185+SUMIFS('9月数据源'!$J:$J,'9月数据源'!$D:$D,$E28,'9月数据源'!$F:$F,"HK01")*N$185</f>
        <v/>
      </c>
      <c r="O28" s="89">
        <f>-SUMIFS('10月数据源'!$I:$I,'10月数据源'!$D:$D,$E28,'10月数据源'!$F:$F,"HK01")*O$185+SUMIFS('10月数据源'!$J:$J,'10月数据源'!$D:$D,$E28,'10月数据源'!$F:$F,"HK01")*O$185</f>
        <v/>
      </c>
      <c r="P28" s="89">
        <f>-SUMIFS('11月数据源'!$I:$I,'11月数据源'!$D:$D,$E28,'11月数据源'!$F:$F,"HK01")*P$185+SUMIFS('11月数据源'!$J:$J,'11月数据源'!$D:$D,$E28,'11月数据源'!$F:$F,"HK01")*P$185</f>
        <v/>
      </c>
      <c r="Q28" s="89">
        <f>-SUMIFS('12月数据源'!$I:$I,'12月数据源'!$D:$D,$E28,'12月数据源'!$F:$F,"HK01")*Q$185+SUMIFS('12月数据源'!$J:$J,'12月数据源'!$D:$D,$E28,'12月数据源'!$F:$F,"HK01")*Q$185</f>
        <v/>
      </c>
    </row>
    <row r="29" s="83">
      <c r="A29" s="5" t="inlineStr">
        <is>
          <t>人工成本</t>
        </is>
      </c>
      <c r="B29" s="6" t="inlineStr">
        <is>
          <t>人工成本</t>
        </is>
      </c>
      <c r="D29" s="5" t="inlineStr">
        <is>
          <t>个税</t>
        </is>
      </c>
      <c r="E29" s="6" t="inlineStr">
        <is>
          <t>Q0805</t>
        </is>
      </c>
      <c r="F29" s="89">
        <f>-SUMIFS('1月数据源'!$I:$I,'1月数据源'!$D:$D,$E29,'1月数据源'!$F:$F,"HK01")*F$185+SUMIFS('1月数据源'!$J:$J,'1月数据源'!$D:$D,$E29,'1月数据源'!$F:$F,"HK01")*F$185</f>
        <v/>
      </c>
      <c r="G29" s="89">
        <f>-SUMIFS('2月数据源'!$I:$I,'2月数据源'!$D:$D,$E29,'2月数据源'!$F:$F,"HK01")*G$185+SUMIFS('2月数据源'!$J:$J,'2月数据源'!$D:$D,$E29,'2月数据源'!$F:$F,"HK01")*G$185</f>
        <v/>
      </c>
      <c r="H29" s="89">
        <f>-SUMIFS('3月数据源'!$I:$I,'3月数据源'!$D:$D,$E29,'3月数据源'!$F:$F,"HK01")*H$185+SUMIFS('3月数据源'!$J:$J,'3月数据源'!$D:$D,$E29,'3月数据源'!$F:$F,"HK01")*H$185</f>
        <v/>
      </c>
      <c r="I29" s="89">
        <f>-SUMIFS('4月数据源'!$I:$I,'4月数据源'!$D:$D,$E29,'4月数据源'!$F:$F,"HK01")*I$185+SUMIFS('4月数据源'!$J:$J,'4月数据源'!$D:$D,$E29,'4月数据源'!$F:$F,"HK01")*I$185</f>
        <v/>
      </c>
      <c r="J29" s="89">
        <f>-SUMIFS('5月数据源'!$I:$I,'5月数据源'!$D:$D,$E29,'5月数据源'!$F:$F,"HK01")*J$185+SUMIFS('5月数据源'!$J:$J,'5月数据源'!$D:$D,$E29,'5月数据源'!$F:$F,"HK01")*J$185</f>
        <v/>
      </c>
      <c r="K29" s="89">
        <f>-SUMIFS('6月数据源'!$I:$I,'6月数据源'!$D:$D,$E29,'6月数据源'!$F:$F,"HK01")*K$185+SUMIFS('6月数据源'!$J:$J,'6月数据源'!$D:$D,$E29,'6月数据源'!$F:$F,"HK01")*K$185</f>
        <v/>
      </c>
      <c r="L29" s="89">
        <f>-SUMIFS('7月数据源'!$I:$I,'7月数据源'!$D:$D,$E29,'7月数据源'!$F:$F,"HK01")*L$185+SUMIFS('7月数据源'!$J:$J,'7月数据源'!$D:$D,$E29,'7月数据源'!$F:$F,"HK01")*L$185</f>
        <v/>
      </c>
      <c r="M29" s="89">
        <f>-SUMIFS('8月数据源'!$I:$I,'8月数据源'!$D:$D,$E29,'8月数据源'!$F:$F,"HK01")*M$185+SUMIFS('8月数据源'!$J:$J,'8月数据源'!$D:$D,$E29,'8月数据源'!$F:$F,"HK01")*M$185</f>
        <v/>
      </c>
      <c r="N29" s="89">
        <f>-SUMIFS('9月数据源'!$I:$I,'9月数据源'!$D:$D,$E29,'9月数据源'!$F:$F,"HK01")*N$185+SUMIFS('9月数据源'!$J:$J,'9月数据源'!$D:$D,$E29,'9月数据源'!$F:$F,"HK01")*N$185</f>
        <v/>
      </c>
      <c r="O29" s="89">
        <f>-SUMIFS('10月数据源'!$I:$I,'10月数据源'!$D:$D,$E29,'10月数据源'!$F:$F,"HK01")*O$185+SUMIFS('10月数据源'!$J:$J,'10月数据源'!$D:$D,$E29,'10月数据源'!$F:$F,"HK01")*O$185</f>
        <v/>
      </c>
      <c r="P29" s="89">
        <f>-SUMIFS('11月数据源'!$I:$I,'11月数据源'!$D:$D,$E29,'11月数据源'!$F:$F,"HK01")*P$185+SUMIFS('11月数据源'!$J:$J,'11月数据源'!$D:$D,$E29,'11月数据源'!$F:$F,"HK01")*P$185</f>
        <v/>
      </c>
      <c r="Q29" s="89">
        <f>-SUMIFS('12月数据源'!$I:$I,'12月数据源'!$D:$D,$E29,'12月数据源'!$F:$F,"HK01")*Q$185+SUMIFS('12月数据源'!$J:$J,'12月数据源'!$D:$D,$E29,'12月数据源'!$F:$F,"HK01")*Q$185</f>
        <v/>
      </c>
    </row>
    <row r="30" s="83">
      <c r="A30" s="5" t="inlineStr">
        <is>
          <t>人工成本</t>
        </is>
      </c>
      <c r="B30" s="6" t="inlineStr">
        <is>
          <t>人工成本</t>
        </is>
      </c>
      <c r="D30" s="5" t="inlineStr">
        <is>
          <t>福利费</t>
        </is>
      </c>
      <c r="E30" s="6" t="inlineStr">
        <is>
          <t>Q0806</t>
        </is>
      </c>
      <c r="F30" s="89">
        <f>-SUMIFS('1月数据源'!$I:$I,'1月数据源'!$D:$D,$E30,'1月数据源'!$F:$F,"HK01")*F$185+SUMIFS('1月数据源'!$J:$J,'1月数据源'!$D:$D,$E30,'1月数据源'!$F:$F,"HK01")*F$185</f>
        <v/>
      </c>
      <c r="G30" s="89">
        <f>-SUMIFS('2月数据源'!$I:$I,'2月数据源'!$D:$D,$E30,'2月数据源'!$F:$F,"HK01")*G$185+SUMIFS('2月数据源'!$J:$J,'2月数据源'!$D:$D,$E30,'2月数据源'!$F:$F,"HK01")*G$185</f>
        <v/>
      </c>
      <c r="H30" s="89">
        <f>-SUMIFS('3月数据源'!$I:$I,'3月数据源'!$D:$D,$E30,'3月数据源'!$F:$F,"HK01")*H$185+SUMIFS('3月数据源'!$J:$J,'3月数据源'!$D:$D,$E30,'3月数据源'!$F:$F,"HK01")*H$185</f>
        <v/>
      </c>
      <c r="I30" s="89">
        <f>-SUMIFS('4月数据源'!$I:$I,'4月数据源'!$D:$D,$E30,'4月数据源'!$F:$F,"HK01")*I$185+SUMIFS('4月数据源'!$J:$J,'4月数据源'!$D:$D,$E30,'4月数据源'!$F:$F,"HK01")*I$185</f>
        <v/>
      </c>
      <c r="J30" s="89">
        <f>-SUMIFS('5月数据源'!$I:$I,'5月数据源'!$D:$D,$E30,'5月数据源'!$F:$F,"HK01")*J$185+SUMIFS('5月数据源'!$J:$J,'5月数据源'!$D:$D,$E30,'5月数据源'!$F:$F,"HK01")*J$185</f>
        <v/>
      </c>
      <c r="K30" s="89">
        <f>-SUMIFS('6月数据源'!$I:$I,'6月数据源'!$D:$D,$E30,'6月数据源'!$F:$F,"HK01")*K$185+SUMIFS('6月数据源'!$J:$J,'6月数据源'!$D:$D,$E30,'6月数据源'!$F:$F,"HK01")*K$185</f>
        <v/>
      </c>
      <c r="L30" s="89">
        <f>-SUMIFS('7月数据源'!$I:$I,'7月数据源'!$D:$D,$E30,'7月数据源'!$F:$F,"HK01")*L$185+SUMIFS('7月数据源'!$J:$J,'7月数据源'!$D:$D,$E30,'7月数据源'!$F:$F,"HK01")*L$185</f>
        <v/>
      </c>
      <c r="M30" s="89">
        <f>-SUMIFS('8月数据源'!$I:$I,'8月数据源'!$D:$D,$E30,'8月数据源'!$F:$F,"HK01")*M$185+SUMIFS('8月数据源'!$J:$J,'8月数据源'!$D:$D,$E30,'8月数据源'!$F:$F,"HK01")*M$185</f>
        <v/>
      </c>
      <c r="N30" s="89">
        <f>-SUMIFS('9月数据源'!$I:$I,'9月数据源'!$D:$D,$E30,'9月数据源'!$F:$F,"HK01")*N$185+SUMIFS('9月数据源'!$J:$J,'9月数据源'!$D:$D,$E30,'9月数据源'!$F:$F,"HK01")*N$185</f>
        <v/>
      </c>
      <c r="O30" s="89">
        <f>-SUMIFS('10月数据源'!$I:$I,'10月数据源'!$D:$D,$E30,'10月数据源'!$F:$F,"HK01")*O$185+SUMIFS('10月数据源'!$J:$J,'10月数据源'!$D:$D,$E30,'10月数据源'!$F:$F,"HK01")*O$185</f>
        <v/>
      </c>
      <c r="P30" s="89">
        <f>-SUMIFS('11月数据源'!$I:$I,'11月数据源'!$D:$D,$E30,'11月数据源'!$F:$F,"HK01")*P$185+SUMIFS('11月数据源'!$J:$J,'11月数据源'!$D:$D,$E30,'11月数据源'!$F:$F,"HK01")*P$185</f>
        <v/>
      </c>
      <c r="Q30" s="89">
        <f>-SUMIFS('12月数据源'!$I:$I,'12月数据源'!$D:$D,$E30,'12月数据源'!$F:$F,"HK01")*Q$185+SUMIFS('12月数据源'!$J:$J,'12月数据源'!$D:$D,$E30,'12月数据源'!$F:$F,"HK01")*Q$185</f>
        <v/>
      </c>
    </row>
    <row r="31" s="83">
      <c r="A31" s="5" t="inlineStr">
        <is>
          <t>人工成本</t>
        </is>
      </c>
      <c r="B31" s="6" t="inlineStr">
        <is>
          <t>人工成本</t>
        </is>
      </c>
      <c r="D31" s="5" t="inlineStr">
        <is>
          <t>补偿金</t>
        </is>
      </c>
      <c r="E31" s="6" t="inlineStr">
        <is>
          <t>Q0807</t>
        </is>
      </c>
      <c r="F31" s="89">
        <f>-SUMIFS('1月数据源'!$I:$I,'1月数据源'!$D:$D,$E31,'1月数据源'!$F:$F,"HK01")*F$185+SUMIFS('1月数据源'!$J:$J,'1月数据源'!$D:$D,$E31,'1月数据源'!$F:$F,"HK01")*F$185</f>
        <v/>
      </c>
      <c r="G31" s="89">
        <f>-SUMIFS('2月数据源'!$I:$I,'2月数据源'!$D:$D,$E31,'2月数据源'!$F:$F,"HK01")*G$185+SUMIFS('2月数据源'!$J:$J,'2月数据源'!$D:$D,$E31,'2月数据源'!$F:$F,"HK01")*G$185</f>
        <v/>
      </c>
      <c r="H31" s="89">
        <f>-SUMIFS('3月数据源'!$I:$I,'3月数据源'!$D:$D,$E31,'3月数据源'!$F:$F,"HK01")*H$185+SUMIFS('3月数据源'!$J:$J,'3月数据源'!$D:$D,$E31,'3月数据源'!$F:$F,"HK01")*H$185</f>
        <v/>
      </c>
      <c r="I31" s="89">
        <f>-SUMIFS('4月数据源'!$I:$I,'4月数据源'!$D:$D,$E31,'4月数据源'!$F:$F,"HK01")*I$185+SUMIFS('4月数据源'!$J:$J,'4月数据源'!$D:$D,$E31,'4月数据源'!$F:$F,"HK01")*I$185</f>
        <v/>
      </c>
      <c r="J31" s="89">
        <f>-SUMIFS('5月数据源'!$I:$I,'5月数据源'!$D:$D,$E31,'5月数据源'!$F:$F,"HK01")*J$185+SUMIFS('5月数据源'!$J:$J,'5月数据源'!$D:$D,$E31,'5月数据源'!$F:$F,"HK01")*J$185</f>
        <v/>
      </c>
      <c r="K31" s="89">
        <f>-SUMIFS('6月数据源'!$I:$I,'6月数据源'!$D:$D,$E31,'6月数据源'!$F:$F,"HK01")*K$185+SUMIFS('6月数据源'!$J:$J,'6月数据源'!$D:$D,$E31,'6月数据源'!$F:$F,"HK01")*K$185</f>
        <v/>
      </c>
      <c r="L31" s="89">
        <f>-SUMIFS('7月数据源'!$I:$I,'7月数据源'!$D:$D,$E31,'7月数据源'!$F:$F,"HK01")*L$185+SUMIFS('7月数据源'!$J:$J,'7月数据源'!$D:$D,$E31,'7月数据源'!$F:$F,"HK01")*L$185</f>
        <v/>
      </c>
      <c r="M31" s="89">
        <f>-SUMIFS('8月数据源'!$I:$I,'8月数据源'!$D:$D,$E31,'8月数据源'!$F:$F,"HK01")*M$185+SUMIFS('8月数据源'!$J:$J,'8月数据源'!$D:$D,$E31,'8月数据源'!$F:$F,"HK01")*M$185</f>
        <v/>
      </c>
      <c r="N31" s="89">
        <f>-SUMIFS('9月数据源'!$I:$I,'9月数据源'!$D:$D,$E31,'9月数据源'!$F:$F,"HK01")*N$185+SUMIFS('9月数据源'!$J:$J,'9月数据源'!$D:$D,$E31,'9月数据源'!$F:$F,"HK01")*N$185</f>
        <v/>
      </c>
      <c r="O31" s="89">
        <f>-SUMIFS('10月数据源'!$I:$I,'10月数据源'!$D:$D,$E31,'10月数据源'!$F:$F,"HK01")*O$185+SUMIFS('10月数据源'!$J:$J,'10月数据源'!$D:$D,$E31,'10月数据源'!$F:$F,"HK01")*O$185</f>
        <v/>
      </c>
      <c r="P31" s="89">
        <f>-SUMIFS('11月数据源'!$I:$I,'11月数据源'!$D:$D,$E31,'11月数据源'!$F:$F,"HK01")*P$185+SUMIFS('11月数据源'!$J:$J,'11月数据源'!$D:$D,$E31,'11月数据源'!$F:$F,"HK01")*P$185</f>
        <v/>
      </c>
      <c r="Q31" s="89">
        <f>-SUMIFS('12月数据源'!$I:$I,'12月数据源'!$D:$D,$E31,'12月数据源'!$F:$F,"HK01")*Q$185+SUMIFS('12月数据源'!$J:$J,'12月数据源'!$D:$D,$E31,'12月数据源'!$F:$F,"HK01")*Q$185</f>
        <v/>
      </c>
    </row>
    <row r="32" s="83">
      <c r="A32" s="5" t="inlineStr">
        <is>
          <t>人工成本</t>
        </is>
      </c>
      <c r="B32" s="6" t="inlineStr">
        <is>
          <t>人工成本</t>
        </is>
      </c>
      <c r="D32" s="5" t="inlineStr">
        <is>
          <t>派遣费用</t>
        </is>
      </c>
      <c r="E32" s="6" t="inlineStr">
        <is>
          <t>Q0808</t>
        </is>
      </c>
      <c r="F32" s="89">
        <f>-SUMIFS('1月数据源'!$I:$I,'1月数据源'!$D:$D,$E32,'1月数据源'!$F:$F,"HK01")*F$185+SUMIFS('1月数据源'!$J:$J,'1月数据源'!$D:$D,$E32,'1月数据源'!$F:$F,"HK01")*F$185</f>
        <v/>
      </c>
      <c r="G32" s="89">
        <f>-SUMIFS('2月数据源'!$I:$I,'2月数据源'!$D:$D,$E32,'2月数据源'!$F:$F,"HK01")*G$185+SUMIFS('2月数据源'!$J:$J,'2月数据源'!$D:$D,$E32,'2月数据源'!$F:$F,"HK01")*G$185</f>
        <v/>
      </c>
      <c r="H32" s="89">
        <f>-SUMIFS('3月数据源'!$I:$I,'3月数据源'!$D:$D,$E32,'3月数据源'!$F:$F,"HK01")*H$185+SUMIFS('3月数据源'!$J:$J,'3月数据源'!$D:$D,$E32,'3月数据源'!$F:$F,"HK01")*H$185</f>
        <v/>
      </c>
      <c r="I32" s="89">
        <f>-SUMIFS('4月数据源'!$I:$I,'4月数据源'!$D:$D,$E32,'4月数据源'!$F:$F,"HK01")*I$185+SUMIFS('4月数据源'!$J:$J,'4月数据源'!$D:$D,$E32,'4月数据源'!$F:$F,"HK01")*I$185</f>
        <v/>
      </c>
      <c r="J32" s="89">
        <f>-SUMIFS('5月数据源'!$I:$I,'5月数据源'!$D:$D,$E32,'5月数据源'!$F:$F,"HK01")*J$185+SUMIFS('5月数据源'!$J:$J,'5月数据源'!$D:$D,$E32,'5月数据源'!$F:$F,"HK01")*J$185</f>
        <v/>
      </c>
      <c r="K32" s="89">
        <f>-SUMIFS('6月数据源'!$I:$I,'6月数据源'!$D:$D,$E32,'6月数据源'!$F:$F,"HK01")*K$185+SUMIFS('6月数据源'!$J:$J,'6月数据源'!$D:$D,$E32,'6月数据源'!$F:$F,"HK01")*K$185</f>
        <v/>
      </c>
      <c r="L32" s="89">
        <f>-SUMIFS('7月数据源'!$I:$I,'7月数据源'!$D:$D,$E32,'7月数据源'!$F:$F,"HK01")*L$185+SUMIFS('7月数据源'!$J:$J,'7月数据源'!$D:$D,$E32,'7月数据源'!$F:$F,"HK01")*L$185</f>
        <v/>
      </c>
      <c r="M32" s="89">
        <f>-SUMIFS('8月数据源'!$I:$I,'8月数据源'!$D:$D,$E32,'8月数据源'!$F:$F,"HK01")*M$185+SUMIFS('8月数据源'!$J:$J,'8月数据源'!$D:$D,$E32,'8月数据源'!$F:$F,"HK01")*M$185</f>
        <v/>
      </c>
      <c r="N32" s="89">
        <f>-SUMIFS('9月数据源'!$I:$I,'9月数据源'!$D:$D,$E32,'9月数据源'!$F:$F,"HK01")*N$185+SUMIFS('9月数据源'!$J:$J,'9月数据源'!$D:$D,$E32,'9月数据源'!$F:$F,"HK01")*N$185</f>
        <v/>
      </c>
      <c r="O32" s="89">
        <f>-SUMIFS('10月数据源'!$I:$I,'10月数据源'!$D:$D,$E32,'10月数据源'!$F:$F,"HK01")*O$185+SUMIFS('10月数据源'!$J:$J,'10月数据源'!$D:$D,$E32,'10月数据源'!$F:$F,"HK01")*O$185</f>
        <v/>
      </c>
      <c r="P32" s="89">
        <f>-SUMIFS('11月数据源'!$I:$I,'11月数据源'!$D:$D,$E32,'11月数据源'!$F:$F,"HK01")*P$185+SUMIFS('11月数据源'!$J:$J,'11月数据源'!$D:$D,$E32,'11月数据源'!$F:$F,"HK01")*P$185</f>
        <v/>
      </c>
      <c r="Q32" s="89">
        <f>-SUMIFS('12月数据源'!$I:$I,'12月数据源'!$D:$D,$E32,'12月数据源'!$F:$F,"HK01")*Q$185+SUMIFS('12月数据源'!$J:$J,'12月数据源'!$D:$D,$E32,'12月数据源'!$F:$F,"HK01")*Q$185</f>
        <v/>
      </c>
    </row>
    <row r="33" s="83">
      <c r="A33" s="5" t="inlineStr">
        <is>
          <t>人工成本</t>
        </is>
      </c>
      <c r="B33" s="6" t="inlineStr">
        <is>
          <t>人工成本</t>
        </is>
      </c>
      <c r="D33" s="5" t="inlineStr">
        <is>
          <t>顾问费</t>
        </is>
      </c>
      <c r="E33" s="6" t="inlineStr">
        <is>
          <t>Q0809</t>
        </is>
      </c>
      <c r="F33" s="89">
        <f>-SUMIFS('1月数据源'!$I:$I,'1月数据源'!$D:$D,$E33,'1月数据源'!$F:$F,"HK01")*F$185+SUMIFS('1月数据源'!$J:$J,'1月数据源'!$D:$D,$E33,'1月数据源'!$F:$F,"HK01")*F$185</f>
        <v/>
      </c>
      <c r="G33" s="89">
        <f>-SUMIFS('2月数据源'!$I:$I,'2月数据源'!$D:$D,$E33,'2月数据源'!$F:$F,"HK01")*G$185+SUMIFS('2月数据源'!$J:$J,'2月数据源'!$D:$D,$E33,'2月数据源'!$F:$F,"HK01")*G$185</f>
        <v/>
      </c>
      <c r="H33" s="89">
        <f>-SUMIFS('3月数据源'!$I:$I,'3月数据源'!$D:$D,$E33,'3月数据源'!$F:$F,"HK01")*H$185+SUMIFS('3月数据源'!$J:$J,'3月数据源'!$D:$D,$E33,'3月数据源'!$F:$F,"HK01")*H$185</f>
        <v/>
      </c>
      <c r="I33" s="89">
        <f>-SUMIFS('4月数据源'!$I:$I,'4月数据源'!$D:$D,$E33,'4月数据源'!$F:$F,"HK01")*I$185+SUMIFS('4月数据源'!$J:$J,'4月数据源'!$D:$D,$E33,'4月数据源'!$F:$F,"HK01")*I$185</f>
        <v/>
      </c>
      <c r="J33" s="89">
        <f>-SUMIFS('5月数据源'!$I:$I,'5月数据源'!$D:$D,$E33,'5月数据源'!$F:$F,"HK01")*J$185+SUMIFS('5月数据源'!$J:$J,'5月数据源'!$D:$D,$E33,'5月数据源'!$F:$F,"HK01")*J$185</f>
        <v/>
      </c>
      <c r="K33" s="89">
        <f>-SUMIFS('6月数据源'!$I:$I,'6月数据源'!$D:$D,$E33,'6月数据源'!$F:$F,"HK01")*K$185+SUMIFS('6月数据源'!$J:$J,'6月数据源'!$D:$D,$E33,'6月数据源'!$F:$F,"HK01")*K$185</f>
        <v/>
      </c>
      <c r="L33" s="89">
        <f>-SUMIFS('7月数据源'!$I:$I,'7月数据源'!$D:$D,$E33,'7月数据源'!$F:$F,"HK01")*L$185+SUMIFS('7月数据源'!$J:$J,'7月数据源'!$D:$D,$E33,'7月数据源'!$F:$F,"HK01")*L$185</f>
        <v/>
      </c>
      <c r="M33" s="89">
        <f>-SUMIFS('8月数据源'!$I:$I,'8月数据源'!$D:$D,$E33,'8月数据源'!$F:$F,"HK01")*M$185+SUMIFS('8月数据源'!$J:$J,'8月数据源'!$D:$D,$E33,'8月数据源'!$F:$F,"HK01")*M$185</f>
        <v/>
      </c>
      <c r="N33" s="89">
        <f>-SUMIFS('9月数据源'!$I:$I,'9月数据源'!$D:$D,$E33,'9月数据源'!$F:$F,"HK01")*N$185+SUMIFS('9月数据源'!$J:$J,'9月数据源'!$D:$D,$E33,'9月数据源'!$F:$F,"HK01")*N$185</f>
        <v/>
      </c>
      <c r="O33" s="89">
        <f>-SUMIFS('10月数据源'!$I:$I,'10月数据源'!$D:$D,$E33,'10月数据源'!$F:$F,"HK01")*O$185+SUMIFS('10月数据源'!$J:$J,'10月数据源'!$D:$D,$E33,'10月数据源'!$F:$F,"HK01")*O$185</f>
        <v/>
      </c>
      <c r="P33" s="89">
        <f>-SUMIFS('11月数据源'!$I:$I,'11月数据源'!$D:$D,$E33,'11月数据源'!$F:$F,"HK01")*P$185+SUMIFS('11月数据源'!$J:$J,'11月数据源'!$D:$D,$E33,'11月数据源'!$F:$F,"HK01")*P$185</f>
        <v/>
      </c>
      <c r="Q33" s="89">
        <f>-SUMIFS('12月数据源'!$I:$I,'12月数据源'!$D:$D,$E33,'12月数据源'!$F:$F,"HK01")*Q$185+SUMIFS('12月数据源'!$J:$J,'12月数据源'!$D:$D,$E33,'12月数据源'!$F:$F,"HK01")*Q$185</f>
        <v/>
      </c>
    </row>
    <row r="34" s="83">
      <c r="A34" s="5" t="inlineStr">
        <is>
          <t>人工成本</t>
        </is>
      </c>
      <c r="B34" s="6" t="inlineStr">
        <is>
          <t>人工成本</t>
        </is>
      </c>
      <c r="D34" s="5" t="inlineStr">
        <is>
          <t>其他人工成本</t>
        </is>
      </c>
      <c r="E34" s="6" t="inlineStr">
        <is>
          <t>Q08010</t>
        </is>
      </c>
      <c r="F34" s="89">
        <f>-SUMIFS('1月数据源'!$I:$I,'1月数据源'!$D:$D,$E34,'1月数据源'!$F:$F,"HK01")*F$185+SUMIFS('1月数据源'!$J:$J,'1月数据源'!$D:$D,$E34,'1月数据源'!$F:$F,"HK01")*F$185</f>
        <v/>
      </c>
      <c r="G34" s="89">
        <f>-SUMIFS('2月数据源'!$I:$I,'2月数据源'!$D:$D,$E34,'2月数据源'!$F:$F,"HK01")*G$185+SUMIFS('2月数据源'!$J:$J,'2月数据源'!$D:$D,$E34,'2月数据源'!$F:$F,"HK01")*G$185</f>
        <v/>
      </c>
      <c r="H34" s="89">
        <f>-SUMIFS('3月数据源'!$I:$I,'3月数据源'!$D:$D,$E34,'3月数据源'!$F:$F,"HK01")*H$185+SUMIFS('3月数据源'!$J:$J,'3月数据源'!$D:$D,$E34,'3月数据源'!$F:$F,"HK01")*H$185</f>
        <v/>
      </c>
      <c r="I34" s="89">
        <f>-SUMIFS('4月数据源'!$I:$I,'4月数据源'!$D:$D,$E34,'4月数据源'!$F:$F,"HK01")*I$185+SUMIFS('4月数据源'!$J:$J,'4月数据源'!$D:$D,$E34,'4月数据源'!$F:$F,"HK01")*I$185</f>
        <v/>
      </c>
      <c r="J34" s="89">
        <f>-SUMIFS('5月数据源'!$I:$I,'5月数据源'!$D:$D,$E34,'5月数据源'!$F:$F,"HK01")*J$185+SUMIFS('5月数据源'!$J:$J,'5月数据源'!$D:$D,$E34,'5月数据源'!$F:$F,"HK01")*J$185</f>
        <v/>
      </c>
      <c r="K34" s="89">
        <f>-SUMIFS('6月数据源'!$I:$I,'6月数据源'!$D:$D,$E34,'6月数据源'!$F:$F,"HK01")*K$185+SUMIFS('6月数据源'!$J:$J,'6月数据源'!$D:$D,$E34,'6月数据源'!$F:$F,"HK01")*K$185</f>
        <v/>
      </c>
      <c r="L34" s="89">
        <f>-SUMIFS('7月数据源'!$I:$I,'7月数据源'!$D:$D,$E34,'7月数据源'!$F:$F,"HK01")*L$185+SUMIFS('7月数据源'!$J:$J,'7月数据源'!$D:$D,$E34,'7月数据源'!$F:$F,"HK01")*L$185</f>
        <v/>
      </c>
      <c r="M34" s="89">
        <f>-SUMIFS('8月数据源'!$I:$I,'8月数据源'!$D:$D,$E34,'8月数据源'!$F:$F,"HK01")*M$185+SUMIFS('8月数据源'!$J:$J,'8月数据源'!$D:$D,$E34,'8月数据源'!$F:$F,"HK01")*M$185</f>
        <v/>
      </c>
      <c r="N34" s="89">
        <f>-SUMIFS('9月数据源'!$I:$I,'9月数据源'!$D:$D,$E34,'9月数据源'!$F:$F,"HK01")*N$185+SUMIFS('9月数据源'!$J:$J,'9月数据源'!$D:$D,$E34,'9月数据源'!$F:$F,"HK01")*N$185</f>
        <v/>
      </c>
      <c r="O34" s="89">
        <f>-SUMIFS('10月数据源'!$I:$I,'10月数据源'!$D:$D,$E34,'10月数据源'!$F:$F,"HK01")*O$185+SUMIFS('10月数据源'!$J:$J,'10月数据源'!$D:$D,$E34,'10月数据源'!$F:$F,"HK01")*O$185</f>
        <v/>
      </c>
      <c r="P34" s="89">
        <f>-SUMIFS('11月数据源'!$I:$I,'11月数据源'!$D:$D,$E34,'11月数据源'!$F:$F,"HK01")*P$185+SUMIFS('11月数据源'!$J:$J,'11月数据源'!$D:$D,$E34,'11月数据源'!$F:$F,"HK01")*P$185</f>
        <v/>
      </c>
      <c r="Q34" s="89">
        <f>-SUMIFS('12月数据源'!$I:$I,'12月数据源'!$D:$D,$E34,'12月数据源'!$F:$F,"HK01")*Q$185+SUMIFS('12月数据源'!$J:$J,'12月数据源'!$D:$D,$E34,'12月数据源'!$F:$F,"HK01")*Q$185</f>
        <v/>
      </c>
    </row>
    <row r="35" s="83">
      <c r="A35" s="49" t="inlineStr">
        <is>
          <t>人工成本合计</t>
        </is>
      </c>
      <c r="B35" s="50" t="n"/>
      <c r="C35" s="50" t="n"/>
      <c r="D35" s="49" t="n"/>
      <c r="E35" s="49" t="n"/>
      <c r="F35" s="89">
        <f>SUM(F25:F34)</f>
        <v/>
      </c>
      <c r="G35" s="89">
        <f>SUM(G25:G34)</f>
        <v/>
      </c>
      <c r="H35" s="89">
        <f>SUM(H25:H34)</f>
        <v/>
      </c>
      <c r="I35" s="89">
        <f>SUM(I25:I34)</f>
        <v/>
      </c>
      <c r="J35" s="89">
        <f>SUM(J25:J34)</f>
        <v/>
      </c>
      <c r="K35" s="89">
        <f>SUM(K25:K34)</f>
        <v/>
      </c>
      <c r="L35" s="89">
        <f>SUM(L25:L34)</f>
        <v/>
      </c>
      <c r="M35" s="89">
        <f>SUM(M25:M34)</f>
        <v/>
      </c>
      <c r="N35" s="89">
        <f>SUM(N25:N34)</f>
        <v/>
      </c>
      <c r="O35" s="89">
        <f>SUM(O25:O34)</f>
        <v/>
      </c>
      <c r="P35" s="89">
        <f>SUM(P25:P34)</f>
        <v/>
      </c>
      <c r="Q35" s="89">
        <f>SUM(Q25:Q34)</f>
        <v/>
      </c>
    </row>
    <row r="36" s="83">
      <c r="A36" s="5" t="inlineStr">
        <is>
          <t>硬件支出</t>
        </is>
      </c>
      <c r="B36" s="6" t="inlineStr">
        <is>
          <t>BONG MAX</t>
        </is>
      </c>
      <c r="C36" s="6" t="inlineStr">
        <is>
          <t>BONG MAX</t>
        </is>
      </c>
      <c r="D36" s="5" t="inlineStr">
        <is>
          <t>TCL平板电脑款项</t>
        </is>
      </c>
      <c r="E36" s="6" t="inlineStr">
        <is>
          <t>Q0901</t>
        </is>
      </c>
      <c r="F36" s="89">
        <f>-SUMIFS('1月数据源'!$I:$I,'1月数据源'!$D:$D,$E36,'1月数据源'!$F:$F,"HK01")*F$185+SUMIFS('1月数据源'!$J:$J,'1月数据源'!$D:$D,$E36,'1月数据源'!$F:$F,"HK01")*F$185</f>
        <v/>
      </c>
      <c r="G36" s="89">
        <f>-SUMIFS('2月数据源'!$I:$I,'2月数据源'!$D:$D,$E36,'2月数据源'!$F:$F,"HK01")*G$185+SUMIFS('2月数据源'!$J:$J,'2月数据源'!$D:$D,$E36,'2月数据源'!$F:$F,"HK01")*G$185</f>
        <v/>
      </c>
      <c r="H36" s="89">
        <f>-SUMIFS('3月数据源'!$I:$I,'3月数据源'!$D:$D,$E36,'3月数据源'!$F:$F,"HK01")*H$185+SUMIFS('3月数据源'!$J:$J,'3月数据源'!$D:$D,$E36,'3月数据源'!$F:$F,"HK01")*H$185</f>
        <v/>
      </c>
      <c r="I36" s="89">
        <f>-SUMIFS('4月数据源'!$I:$I,'4月数据源'!$D:$D,$E36,'4月数据源'!$F:$F,"HK01")*I$185+SUMIFS('4月数据源'!$J:$J,'4月数据源'!$D:$D,$E36,'4月数据源'!$F:$F,"HK01")*I$185</f>
        <v/>
      </c>
      <c r="J36" s="89">
        <f>-SUMIFS('5月数据源'!$I:$I,'5月数据源'!$D:$D,$E36,'5月数据源'!$F:$F,"HK01")*J$185+SUMIFS('5月数据源'!$J:$J,'5月数据源'!$D:$D,$E36,'5月数据源'!$F:$F,"HK01")*J$185</f>
        <v/>
      </c>
      <c r="K36" s="89">
        <f>-SUMIFS('6月数据源'!$I:$I,'6月数据源'!$D:$D,$E36,'6月数据源'!$F:$F,"HK01")*K$185+SUMIFS('6月数据源'!$J:$J,'6月数据源'!$D:$D,$E36,'6月数据源'!$F:$F,"HK01")*K$185</f>
        <v/>
      </c>
      <c r="L36" s="89">
        <f>-SUMIFS('7月数据源'!$I:$I,'7月数据源'!$D:$D,$E36,'7月数据源'!$F:$F,"HK01")*L$185+SUMIFS('7月数据源'!$J:$J,'7月数据源'!$D:$D,$E36,'7月数据源'!$F:$F,"HK01")*L$185</f>
        <v/>
      </c>
      <c r="M36" s="89">
        <f>-SUMIFS('8月数据源'!$I:$I,'8月数据源'!$D:$D,$E36,'8月数据源'!$F:$F,"HK01")*M$185+SUMIFS('8月数据源'!$J:$J,'8月数据源'!$D:$D,$E36,'8月数据源'!$F:$F,"HK01")*M$185</f>
        <v/>
      </c>
      <c r="N36" s="89">
        <f>-SUMIFS('9月数据源'!$I:$I,'9月数据源'!$D:$D,$E36,'9月数据源'!$F:$F,"HK01")*N$185+SUMIFS('9月数据源'!$J:$J,'9月数据源'!$D:$D,$E36,'9月数据源'!$F:$F,"HK01")*N$185</f>
        <v/>
      </c>
      <c r="O36" s="89">
        <f>-SUMIFS('10月数据源'!$I:$I,'10月数据源'!$D:$D,$E36,'10月数据源'!$F:$F,"HK01")*O$185+SUMIFS('10月数据源'!$J:$J,'10月数据源'!$D:$D,$E36,'10月数据源'!$F:$F,"HK01")*O$185</f>
        <v/>
      </c>
      <c r="P36" s="89">
        <f>-SUMIFS('11月数据源'!$I:$I,'11月数据源'!$D:$D,$E36,'11月数据源'!$F:$F,"HK01")*P$185+SUMIFS('11月数据源'!$J:$J,'11月数据源'!$D:$D,$E36,'11月数据源'!$F:$F,"HK01")*P$185</f>
        <v/>
      </c>
      <c r="Q36" s="89">
        <f>-SUMIFS('12月数据源'!$I:$I,'12月数据源'!$D:$D,$E36,'12月数据源'!$F:$F,"HK01")*Q$185+SUMIFS('12月数据源'!$J:$J,'12月数据源'!$D:$D,$E36,'12月数据源'!$F:$F,"HK01")*Q$185</f>
        <v/>
      </c>
    </row>
    <row r="37" s="83">
      <c r="A37" s="5" t="inlineStr">
        <is>
          <t>硬件支出</t>
        </is>
      </c>
      <c r="B37" s="6" t="inlineStr">
        <is>
          <t>BONG MAX</t>
        </is>
      </c>
      <c r="D37" s="5" t="inlineStr">
        <is>
          <t>保护套</t>
        </is>
      </c>
      <c r="E37" s="6" t="inlineStr">
        <is>
          <t>Q0902</t>
        </is>
      </c>
      <c r="F37" s="89">
        <f>-SUMIFS('1月数据源'!$I:$I,'1月数据源'!$D:$D,$E37,'1月数据源'!$F:$F,"HK01")*F$185+SUMIFS('1月数据源'!$J:$J,'1月数据源'!$D:$D,$E37,'1月数据源'!$F:$F,"HK01")*F$185</f>
        <v/>
      </c>
      <c r="G37" s="89">
        <f>-SUMIFS('2月数据源'!$I:$I,'2月数据源'!$D:$D,$E37,'2月数据源'!$F:$F,"HK01")*G$185+SUMIFS('2月数据源'!$J:$J,'2月数据源'!$D:$D,$E37,'2月数据源'!$F:$F,"HK01")*G$185</f>
        <v/>
      </c>
      <c r="H37" s="89">
        <f>-SUMIFS('3月数据源'!$I:$I,'3月数据源'!$D:$D,$E37,'3月数据源'!$F:$F,"HK01")*H$185+SUMIFS('3月数据源'!$J:$J,'3月数据源'!$D:$D,$E37,'3月数据源'!$F:$F,"HK01")*H$185</f>
        <v/>
      </c>
      <c r="I37" s="89">
        <f>-SUMIFS('4月数据源'!$I:$I,'4月数据源'!$D:$D,$E37,'4月数据源'!$F:$F,"HK01")*I$185+SUMIFS('4月数据源'!$J:$J,'4月数据源'!$D:$D,$E37,'4月数据源'!$F:$F,"HK01")*I$185</f>
        <v/>
      </c>
      <c r="J37" s="89">
        <f>-SUMIFS('5月数据源'!$I:$I,'5月数据源'!$D:$D,$E37,'5月数据源'!$F:$F,"HK01")*J$185+SUMIFS('5月数据源'!$J:$J,'5月数据源'!$D:$D,$E37,'5月数据源'!$F:$F,"HK01")*J$185</f>
        <v/>
      </c>
      <c r="K37" s="89">
        <f>-SUMIFS('6月数据源'!$I:$I,'6月数据源'!$D:$D,$E37,'6月数据源'!$F:$F,"HK01")*K$185+SUMIFS('6月数据源'!$J:$J,'6月数据源'!$D:$D,$E37,'6月数据源'!$F:$F,"HK01")*K$185</f>
        <v/>
      </c>
      <c r="L37" s="89">
        <f>-SUMIFS('7月数据源'!$I:$I,'7月数据源'!$D:$D,$E37,'7月数据源'!$F:$F,"HK01")*L$185+SUMIFS('7月数据源'!$J:$J,'7月数据源'!$D:$D,$E37,'7月数据源'!$F:$F,"HK01")*L$185</f>
        <v/>
      </c>
      <c r="M37" s="89">
        <f>-SUMIFS('8月数据源'!$I:$I,'8月数据源'!$D:$D,$E37,'8月数据源'!$F:$F,"HK01")*M$185+SUMIFS('8月数据源'!$J:$J,'8月数据源'!$D:$D,$E37,'8月数据源'!$F:$F,"HK01")*M$185</f>
        <v/>
      </c>
      <c r="N37" s="89">
        <f>-SUMIFS('9月数据源'!$I:$I,'9月数据源'!$D:$D,$E37,'9月数据源'!$F:$F,"HK01")*N$185+SUMIFS('9月数据源'!$J:$J,'9月数据源'!$D:$D,$E37,'9月数据源'!$F:$F,"HK01")*N$185</f>
        <v/>
      </c>
      <c r="O37" s="89">
        <f>-SUMIFS('10月数据源'!$I:$I,'10月数据源'!$D:$D,$E37,'10月数据源'!$F:$F,"HK01")*O$185+SUMIFS('10月数据源'!$J:$J,'10月数据源'!$D:$D,$E37,'10月数据源'!$F:$F,"HK01")*O$185</f>
        <v/>
      </c>
      <c r="P37" s="89">
        <f>-SUMIFS('11月数据源'!$I:$I,'11月数据源'!$D:$D,$E37,'11月数据源'!$F:$F,"HK01")*P$185+SUMIFS('11月数据源'!$J:$J,'11月数据源'!$D:$D,$E37,'11月数据源'!$F:$F,"HK01")*P$185</f>
        <v/>
      </c>
      <c r="Q37" s="89">
        <f>-SUMIFS('12月数据源'!$I:$I,'12月数据源'!$D:$D,$E37,'12月数据源'!$F:$F,"HK01")*Q$185+SUMIFS('12月数据源'!$J:$J,'12月数据源'!$D:$D,$E37,'12月数据源'!$F:$F,"HK01")*Q$185</f>
        <v/>
      </c>
    </row>
    <row r="38" s="83">
      <c r="A38" s="5" t="inlineStr">
        <is>
          <t>硬件支出</t>
        </is>
      </c>
      <c r="B38" s="6" t="inlineStr">
        <is>
          <t>BONG MAX</t>
        </is>
      </c>
      <c r="D38" s="5" t="inlineStr">
        <is>
          <t>包装盒</t>
        </is>
      </c>
      <c r="E38" s="6" t="inlineStr">
        <is>
          <t>Q0903</t>
        </is>
      </c>
      <c r="F38" s="89">
        <f>-SUMIFS('1月数据源'!$I:$I,'1月数据源'!$D:$D,$E38,'1月数据源'!$F:$F,"HK01")*F$185+SUMIFS('1月数据源'!$J:$J,'1月数据源'!$D:$D,$E38,'1月数据源'!$F:$F,"HK01")*F$185</f>
        <v/>
      </c>
      <c r="G38" s="89">
        <f>-SUMIFS('2月数据源'!$I:$I,'2月数据源'!$D:$D,$E38,'2月数据源'!$F:$F,"HK01")*G$185+SUMIFS('2月数据源'!$J:$J,'2月数据源'!$D:$D,$E38,'2月数据源'!$F:$F,"HK01")*G$185</f>
        <v/>
      </c>
      <c r="H38" s="89">
        <f>-SUMIFS('3月数据源'!$I:$I,'3月数据源'!$D:$D,$E38,'3月数据源'!$F:$F,"HK01")*H$185+SUMIFS('3月数据源'!$J:$J,'3月数据源'!$D:$D,$E38,'3月数据源'!$F:$F,"HK01")*H$185</f>
        <v/>
      </c>
      <c r="I38" s="89">
        <f>-SUMIFS('4月数据源'!$I:$I,'4月数据源'!$D:$D,$E38,'4月数据源'!$F:$F,"HK01")*I$185+SUMIFS('4月数据源'!$J:$J,'4月数据源'!$D:$D,$E38,'4月数据源'!$F:$F,"HK01")*I$185</f>
        <v/>
      </c>
      <c r="J38" s="89">
        <f>-SUMIFS('5月数据源'!$I:$I,'5月数据源'!$D:$D,$E38,'5月数据源'!$F:$F,"HK01")*J$185+SUMIFS('5月数据源'!$J:$J,'5月数据源'!$D:$D,$E38,'5月数据源'!$F:$F,"HK01")*J$185</f>
        <v/>
      </c>
      <c r="K38" s="89">
        <f>-SUMIFS('6月数据源'!$I:$I,'6月数据源'!$D:$D,$E38,'6月数据源'!$F:$F,"HK01")*K$185+SUMIFS('6月数据源'!$J:$J,'6月数据源'!$D:$D,$E38,'6月数据源'!$F:$F,"HK01")*K$185</f>
        <v/>
      </c>
      <c r="L38" s="89">
        <f>-SUMIFS('7月数据源'!$I:$I,'7月数据源'!$D:$D,$E38,'7月数据源'!$F:$F,"HK01")*L$185+SUMIFS('7月数据源'!$J:$J,'7月数据源'!$D:$D,$E38,'7月数据源'!$F:$F,"HK01")*L$185</f>
        <v/>
      </c>
      <c r="M38" s="89">
        <f>-SUMIFS('8月数据源'!$I:$I,'8月数据源'!$D:$D,$E38,'8月数据源'!$F:$F,"HK01")*M$185+SUMIFS('8月数据源'!$J:$J,'8月数据源'!$D:$D,$E38,'8月数据源'!$F:$F,"HK01")*M$185</f>
        <v/>
      </c>
      <c r="N38" s="89">
        <f>-SUMIFS('9月数据源'!$I:$I,'9月数据源'!$D:$D,$E38,'9月数据源'!$F:$F,"HK01")*N$185+SUMIFS('9月数据源'!$J:$J,'9月数据源'!$D:$D,$E38,'9月数据源'!$F:$F,"HK01")*N$185</f>
        <v/>
      </c>
      <c r="O38" s="89">
        <f>-SUMIFS('10月数据源'!$I:$I,'10月数据源'!$D:$D,$E38,'10月数据源'!$F:$F,"HK01")*O$185+SUMIFS('10月数据源'!$J:$J,'10月数据源'!$D:$D,$E38,'10月数据源'!$F:$F,"HK01")*O$185</f>
        <v/>
      </c>
      <c r="P38" s="89">
        <f>-SUMIFS('11月数据源'!$I:$I,'11月数据源'!$D:$D,$E38,'11月数据源'!$F:$F,"HK01")*P$185+SUMIFS('11月数据源'!$J:$J,'11月数据源'!$D:$D,$E38,'11月数据源'!$F:$F,"HK01")*P$185</f>
        <v/>
      </c>
      <c r="Q38" s="89">
        <f>-SUMIFS('12月数据源'!$I:$I,'12月数据源'!$D:$D,$E38,'12月数据源'!$F:$F,"HK01")*Q$185+SUMIFS('12月数据源'!$J:$J,'12月数据源'!$D:$D,$E38,'12月数据源'!$F:$F,"HK01")*Q$185</f>
        <v/>
      </c>
    </row>
    <row r="39" s="83">
      <c r="A39" s="5" t="inlineStr">
        <is>
          <t>硬件支出</t>
        </is>
      </c>
      <c r="B39" s="6" t="inlineStr">
        <is>
          <t>BONG MAX</t>
        </is>
      </c>
      <c r="D39" s="5" t="inlineStr">
        <is>
          <t>充电器</t>
        </is>
      </c>
      <c r="E39" s="6" t="inlineStr">
        <is>
          <t>Q0904</t>
        </is>
      </c>
      <c r="F39" s="89">
        <f>-SUMIFS('1月数据源'!$I:$I,'1月数据源'!$D:$D,$E39,'1月数据源'!$F:$F,"HK01")*F$185+SUMIFS('1月数据源'!$J:$J,'1月数据源'!$D:$D,$E39,'1月数据源'!$F:$F,"HK01")*F$185</f>
        <v/>
      </c>
      <c r="G39" s="89">
        <f>-SUMIFS('2月数据源'!$I:$I,'2月数据源'!$D:$D,$E39,'2月数据源'!$F:$F,"HK01")*G$185+SUMIFS('2月数据源'!$J:$J,'2月数据源'!$D:$D,$E39,'2月数据源'!$F:$F,"HK01")*G$185</f>
        <v/>
      </c>
      <c r="H39" s="89">
        <f>-SUMIFS('3月数据源'!$I:$I,'3月数据源'!$D:$D,$E39,'3月数据源'!$F:$F,"HK01")*H$185+SUMIFS('3月数据源'!$J:$J,'3月数据源'!$D:$D,$E39,'3月数据源'!$F:$F,"HK01")*H$185</f>
        <v/>
      </c>
      <c r="I39" s="89">
        <f>-SUMIFS('4月数据源'!$I:$I,'4月数据源'!$D:$D,$E39,'4月数据源'!$F:$F,"HK01")*I$185+SUMIFS('4月数据源'!$J:$J,'4月数据源'!$D:$D,$E39,'4月数据源'!$F:$F,"HK01")*I$185</f>
        <v/>
      </c>
      <c r="J39" s="89">
        <f>-SUMIFS('5月数据源'!$I:$I,'5月数据源'!$D:$D,$E39,'5月数据源'!$F:$F,"HK01")*J$185+SUMIFS('5月数据源'!$J:$J,'5月数据源'!$D:$D,$E39,'5月数据源'!$F:$F,"HK01")*J$185</f>
        <v/>
      </c>
      <c r="K39" s="89">
        <f>-SUMIFS('6月数据源'!$I:$I,'6月数据源'!$D:$D,$E39,'6月数据源'!$F:$F,"HK01")*K$185+SUMIFS('6月数据源'!$J:$J,'6月数据源'!$D:$D,$E39,'6月数据源'!$F:$F,"HK01")*K$185</f>
        <v/>
      </c>
      <c r="L39" s="89">
        <f>-SUMIFS('7月数据源'!$I:$I,'7月数据源'!$D:$D,$E39,'7月数据源'!$F:$F,"HK01")*L$185+SUMIFS('7月数据源'!$J:$J,'7月数据源'!$D:$D,$E39,'7月数据源'!$F:$F,"HK01")*L$185</f>
        <v/>
      </c>
      <c r="M39" s="89">
        <f>-SUMIFS('8月数据源'!$I:$I,'8月数据源'!$D:$D,$E39,'8月数据源'!$F:$F,"HK01")*M$185+SUMIFS('8月数据源'!$J:$J,'8月数据源'!$D:$D,$E39,'8月数据源'!$F:$F,"HK01")*M$185</f>
        <v/>
      </c>
      <c r="N39" s="89">
        <f>-SUMIFS('9月数据源'!$I:$I,'9月数据源'!$D:$D,$E39,'9月数据源'!$F:$F,"HK01")*N$185+SUMIFS('9月数据源'!$J:$J,'9月数据源'!$D:$D,$E39,'9月数据源'!$F:$F,"HK01")*N$185</f>
        <v/>
      </c>
      <c r="O39" s="89">
        <f>-SUMIFS('10月数据源'!$I:$I,'10月数据源'!$D:$D,$E39,'10月数据源'!$F:$F,"HK01")*O$185+SUMIFS('10月数据源'!$J:$J,'10月数据源'!$D:$D,$E39,'10月数据源'!$F:$F,"HK01")*O$185</f>
        <v/>
      </c>
      <c r="P39" s="89">
        <f>-SUMIFS('11月数据源'!$I:$I,'11月数据源'!$D:$D,$E39,'11月数据源'!$F:$F,"HK01")*P$185+SUMIFS('11月数据源'!$J:$J,'11月数据源'!$D:$D,$E39,'11月数据源'!$F:$F,"HK01")*P$185</f>
        <v/>
      </c>
      <c r="Q39" s="89">
        <f>-SUMIFS('12月数据源'!$I:$I,'12月数据源'!$D:$D,$E39,'12月数据源'!$F:$F,"HK01")*Q$185+SUMIFS('12月数据源'!$J:$J,'12月数据源'!$D:$D,$E39,'12月数据源'!$F:$F,"HK01")*Q$185</f>
        <v/>
      </c>
    </row>
    <row r="40" s="83">
      <c r="A40" s="5" t="inlineStr">
        <is>
          <t>硬件支出</t>
        </is>
      </c>
      <c r="B40" s="6" t="inlineStr">
        <is>
          <t>BONG MAX</t>
        </is>
      </c>
      <c r="D40" s="5" t="inlineStr">
        <is>
          <t>指学镜</t>
        </is>
      </c>
      <c r="E40" s="6" t="inlineStr">
        <is>
          <t>Q0905</t>
        </is>
      </c>
      <c r="F40" s="89">
        <f>-SUMIFS('1月数据源'!$I:$I,'1月数据源'!$D:$D,$E40,'1月数据源'!$F:$F,"HK01")*F$185+SUMIFS('1月数据源'!$J:$J,'1月数据源'!$D:$D,$E40,'1月数据源'!$F:$F,"HK01")*F$185</f>
        <v/>
      </c>
      <c r="G40" s="89">
        <f>-SUMIFS('2月数据源'!$I:$I,'2月数据源'!$D:$D,$E40,'2月数据源'!$F:$F,"HK01")*G$185+SUMIFS('2月数据源'!$J:$J,'2月数据源'!$D:$D,$E40,'2月数据源'!$F:$F,"HK01")*G$185</f>
        <v/>
      </c>
      <c r="H40" s="89">
        <f>-SUMIFS('3月数据源'!$I:$I,'3月数据源'!$D:$D,$E40,'3月数据源'!$F:$F,"HK01")*H$185+SUMIFS('3月数据源'!$J:$J,'3月数据源'!$D:$D,$E40,'3月数据源'!$F:$F,"HK01")*H$185</f>
        <v/>
      </c>
      <c r="I40" s="89">
        <f>-SUMIFS('4月数据源'!$I:$I,'4月数据源'!$D:$D,$E40,'4月数据源'!$F:$F,"HK01")*I$185+SUMIFS('4月数据源'!$J:$J,'4月数据源'!$D:$D,$E40,'4月数据源'!$F:$F,"HK01")*I$185</f>
        <v/>
      </c>
      <c r="J40" s="89">
        <f>-SUMIFS('5月数据源'!$I:$I,'5月数据源'!$D:$D,$E40,'5月数据源'!$F:$F,"HK01")*J$185+SUMIFS('5月数据源'!$J:$J,'5月数据源'!$D:$D,$E40,'5月数据源'!$F:$F,"HK01")*J$185</f>
        <v/>
      </c>
      <c r="K40" s="89">
        <f>-SUMIFS('6月数据源'!$I:$I,'6月数据源'!$D:$D,$E40,'6月数据源'!$F:$F,"HK01")*K$185+SUMIFS('6月数据源'!$J:$J,'6月数据源'!$D:$D,$E40,'6月数据源'!$F:$F,"HK01")*K$185</f>
        <v/>
      </c>
      <c r="L40" s="89">
        <f>-SUMIFS('7月数据源'!$I:$I,'7月数据源'!$D:$D,$E40,'7月数据源'!$F:$F,"HK01")*L$185+SUMIFS('7月数据源'!$J:$J,'7月数据源'!$D:$D,$E40,'7月数据源'!$F:$F,"HK01")*L$185</f>
        <v/>
      </c>
      <c r="M40" s="89">
        <f>-SUMIFS('8月数据源'!$I:$I,'8月数据源'!$D:$D,$E40,'8月数据源'!$F:$F,"HK01")*M$185+SUMIFS('8月数据源'!$J:$J,'8月数据源'!$D:$D,$E40,'8月数据源'!$F:$F,"HK01")*M$185</f>
        <v/>
      </c>
      <c r="N40" s="89">
        <f>-SUMIFS('9月数据源'!$I:$I,'9月数据源'!$D:$D,$E40,'9月数据源'!$F:$F,"HK01")*N$185+SUMIFS('9月数据源'!$J:$J,'9月数据源'!$D:$D,$E40,'9月数据源'!$F:$F,"HK01")*N$185</f>
        <v/>
      </c>
      <c r="O40" s="89">
        <f>-SUMIFS('10月数据源'!$I:$I,'10月数据源'!$D:$D,$E40,'10月数据源'!$F:$F,"HK01")*O$185+SUMIFS('10月数据源'!$J:$J,'10月数据源'!$D:$D,$E40,'10月数据源'!$F:$F,"HK01")*O$185</f>
        <v/>
      </c>
      <c r="P40" s="89">
        <f>-SUMIFS('11月数据源'!$I:$I,'11月数据源'!$D:$D,$E40,'11月数据源'!$F:$F,"HK01")*P$185+SUMIFS('11月数据源'!$J:$J,'11月数据源'!$D:$D,$E40,'11月数据源'!$F:$F,"HK01")*P$185</f>
        <v/>
      </c>
      <c r="Q40" s="89">
        <f>-SUMIFS('12月数据源'!$I:$I,'12月数据源'!$D:$D,$E40,'12月数据源'!$F:$F,"HK01")*Q$185+SUMIFS('12月数据源'!$J:$J,'12月数据源'!$D:$D,$E40,'12月数据源'!$F:$F,"HK01")*Q$185</f>
        <v/>
      </c>
    </row>
    <row r="41" s="83">
      <c r="A41" s="5" t="inlineStr">
        <is>
          <t>硬件支出</t>
        </is>
      </c>
      <c r="B41" s="6" t="inlineStr">
        <is>
          <t>BONG MAX</t>
        </is>
      </c>
      <c r="D41" s="5" t="inlineStr">
        <is>
          <t>学习机系统授权费</t>
        </is>
      </c>
      <c r="E41" s="6" t="inlineStr">
        <is>
          <t>Q0906</t>
        </is>
      </c>
      <c r="F41" s="89">
        <f>-SUMIFS('1月数据源'!$I:$I,'1月数据源'!$D:$D,$E41,'1月数据源'!$F:$F,"HK01")*F$185+SUMIFS('1月数据源'!$J:$J,'1月数据源'!$D:$D,$E41,'1月数据源'!$F:$F,"HK01")*F$185</f>
        <v/>
      </c>
      <c r="G41" s="89">
        <f>-SUMIFS('2月数据源'!$I:$I,'2月数据源'!$D:$D,$E41,'2月数据源'!$F:$F,"HK01")*G$185+SUMIFS('2月数据源'!$J:$J,'2月数据源'!$D:$D,$E41,'2月数据源'!$F:$F,"HK01")*G$185</f>
        <v/>
      </c>
      <c r="H41" s="89">
        <f>-SUMIFS('3月数据源'!$I:$I,'3月数据源'!$D:$D,$E41,'3月数据源'!$F:$F,"HK01")*H$185+SUMIFS('3月数据源'!$J:$J,'3月数据源'!$D:$D,$E41,'3月数据源'!$F:$F,"HK01")*H$185</f>
        <v/>
      </c>
      <c r="I41" s="89">
        <f>-SUMIFS('4月数据源'!$I:$I,'4月数据源'!$D:$D,$E41,'4月数据源'!$F:$F,"HK01")*I$185+SUMIFS('4月数据源'!$J:$J,'4月数据源'!$D:$D,$E41,'4月数据源'!$F:$F,"HK01")*I$185</f>
        <v/>
      </c>
      <c r="J41" s="89">
        <f>-SUMIFS('5月数据源'!$I:$I,'5月数据源'!$D:$D,$E41,'5月数据源'!$F:$F,"HK01")*J$185+SUMIFS('5月数据源'!$J:$J,'5月数据源'!$D:$D,$E41,'5月数据源'!$F:$F,"HK01")*J$185</f>
        <v/>
      </c>
      <c r="K41" s="89">
        <f>-SUMIFS('6月数据源'!$I:$I,'6月数据源'!$D:$D,$E41,'6月数据源'!$F:$F,"HK01")*K$185+SUMIFS('6月数据源'!$J:$J,'6月数据源'!$D:$D,$E41,'6月数据源'!$F:$F,"HK01")*K$185</f>
        <v/>
      </c>
      <c r="L41" s="89">
        <f>-SUMIFS('7月数据源'!$I:$I,'7月数据源'!$D:$D,$E41,'7月数据源'!$F:$F,"HK01")*L$185+SUMIFS('7月数据源'!$J:$J,'7月数据源'!$D:$D,$E41,'7月数据源'!$F:$F,"HK01")*L$185</f>
        <v/>
      </c>
      <c r="M41" s="89">
        <f>-SUMIFS('8月数据源'!$I:$I,'8月数据源'!$D:$D,$E41,'8月数据源'!$F:$F,"HK01")*M$185+SUMIFS('8月数据源'!$J:$J,'8月数据源'!$D:$D,$E41,'8月数据源'!$F:$F,"HK01")*M$185</f>
        <v/>
      </c>
      <c r="N41" s="89">
        <f>-SUMIFS('9月数据源'!$I:$I,'9月数据源'!$D:$D,$E41,'9月数据源'!$F:$F,"HK01")*N$185+SUMIFS('9月数据源'!$J:$J,'9月数据源'!$D:$D,$E41,'9月数据源'!$F:$F,"HK01")*N$185</f>
        <v/>
      </c>
      <c r="O41" s="89">
        <f>-SUMIFS('10月数据源'!$I:$I,'10月数据源'!$D:$D,$E41,'10月数据源'!$F:$F,"HK01")*O$185+SUMIFS('10月数据源'!$J:$J,'10月数据源'!$D:$D,$E41,'10月数据源'!$F:$F,"HK01")*O$185</f>
        <v/>
      </c>
      <c r="P41" s="89">
        <f>-SUMIFS('11月数据源'!$I:$I,'11月数据源'!$D:$D,$E41,'11月数据源'!$F:$F,"HK01")*P$185+SUMIFS('11月数据源'!$J:$J,'11月数据源'!$D:$D,$E41,'11月数据源'!$F:$F,"HK01")*P$185</f>
        <v/>
      </c>
      <c r="Q41" s="89">
        <f>-SUMIFS('12月数据源'!$I:$I,'12月数据源'!$D:$D,$E41,'12月数据源'!$F:$F,"HK01")*Q$185+SUMIFS('12月数据源'!$J:$J,'12月数据源'!$D:$D,$E41,'12月数据源'!$F:$F,"HK01")*Q$185</f>
        <v/>
      </c>
    </row>
    <row r="42" s="83">
      <c r="A42" s="5" t="inlineStr">
        <is>
          <t>硬件支出</t>
        </is>
      </c>
      <c r="B42" s="6" t="inlineStr">
        <is>
          <t>BONG PRO</t>
        </is>
      </c>
      <c r="C42" s="6" t="inlineStr">
        <is>
          <t>BONG PRO</t>
        </is>
      </c>
      <c r="D42" s="5" t="inlineStr">
        <is>
          <t>BOE平板电脑款项</t>
        </is>
      </c>
      <c r="E42" s="6" t="inlineStr">
        <is>
          <t>Q1001</t>
        </is>
      </c>
      <c r="F42" s="89">
        <f>-SUMIFS('1月数据源'!$I:$I,'1月数据源'!$D:$D,$E42,'1月数据源'!$F:$F,"HK01")*F$185+SUMIFS('1月数据源'!$J:$J,'1月数据源'!$D:$D,$E42,'1月数据源'!$F:$F,"HK01")*F$185</f>
        <v/>
      </c>
      <c r="G42" s="89">
        <f>-SUMIFS('2月数据源'!$I:$I,'2月数据源'!$D:$D,$E42,'2月数据源'!$F:$F,"HK01")*G$185+SUMIFS('2月数据源'!$J:$J,'2月数据源'!$D:$D,$E42,'2月数据源'!$F:$F,"HK01")*G$185</f>
        <v/>
      </c>
      <c r="H42" s="89">
        <f>-SUMIFS('3月数据源'!$I:$I,'3月数据源'!$D:$D,$E42,'3月数据源'!$F:$F,"HK01")*H$185+SUMIFS('3月数据源'!$J:$J,'3月数据源'!$D:$D,$E42,'3月数据源'!$F:$F,"HK01")*H$185</f>
        <v/>
      </c>
      <c r="I42" s="89">
        <f>-SUMIFS('4月数据源'!$I:$I,'4月数据源'!$D:$D,$E42,'4月数据源'!$F:$F,"HK01")*I$185+SUMIFS('4月数据源'!$J:$J,'4月数据源'!$D:$D,$E42,'4月数据源'!$F:$F,"HK01")*I$185</f>
        <v/>
      </c>
      <c r="J42" s="89">
        <f>-SUMIFS('5月数据源'!$I:$I,'5月数据源'!$D:$D,$E42,'5月数据源'!$F:$F,"HK01")*J$185+SUMIFS('5月数据源'!$J:$J,'5月数据源'!$D:$D,$E42,'5月数据源'!$F:$F,"HK01")*J$185</f>
        <v/>
      </c>
      <c r="K42" s="89">
        <f>-SUMIFS('6月数据源'!$I:$I,'6月数据源'!$D:$D,$E42,'6月数据源'!$F:$F,"HK01")*K$185+SUMIFS('6月数据源'!$J:$J,'6月数据源'!$D:$D,$E42,'6月数据源'!$F:$F,"HK01")*K$185</f>
        <v/>
      </c>
      <c r="L42" s="89">
        <f>-SUMIFS('7月数据源'!$I:$I,'7月数据源'!$D:$D,$E42,'7月数据源'!$F:$F,"HK01")*L$185+SUMIFS('7月数据源'!$J:$J,'7月数据源'!$D:$D,$E42,'7月数据源'!$F:$F,"HK01")*L$185</f>
        <v/>
      </c>
      <c r="M42" s="89">
        <f>-SUMIFS('8月数据源'!$I:$I,'8月数据源'!$D:$D,$E42,'8月数据源'!$F:$F,"HK01")*M$185+SUMIFS('8月数据源'!$J:$J,'8月数据源'!$D:$D,$E42,'8月数据源'!$F:$F,"HK01")*M$185</f>
        <v/>
      </c>
      <c r="N42" s="89">
        <f>-SUMIFS('9月数据源'!$I:$I,'9月数据源'!$D:$D,$E42,'9月数据源'!$F:$F,"HK01")*N$185+SUMIFS('9月数据源'!$J:$J,'9月数据源'!$D:$D,$E42,'9月数据源'!$F:$F,"HK01")*N$185</f>
        <v/>
      </c>
      <c r="O42" s="89">
        <f>-SUMIFS('10月数据源'!$I:$I,'10月数据源'!$D:$D,$E42,'10月数据源'!$F:$F,"HK01")*O$185+SUMIFS('10月数据源'!$J:$J,'10月数据源'!$D:$D,$E42,'10月数据源'!$F:$F,"HK01")*O$185</f>
        <v/>
      </c>
      <c r="P42" s="89">
        <f>-SUMIFS('11月数据源'!$I:$I,'11月数据源'!$D:$D,$E42,'11月数据源'!$F:$F,"HK01")*P$185+SUMIFS('11月数据源'!$J:$J,'11月数据源'!$D:$D,$E42,'11月数据源'!$F:$F,"HK01")*P$185</f>
        <v/>
      </c>
      <c r="Q42" s="89">
        <f>-SUMIFS('12月数据源'!$I:$I,'12月数据源'!$D:$D,$E42,'12月数据源'!$F:$F,"HK01")*Q$185+SUMIFS('12月数据源'!$J:$J,'12月数据源'!$D:$D,$E42,'12月数据源'!$F:$F,"HK01")*Q$185</f>
        <v/>
      </c>
    </row>
    <row r="43" s="83">
      <c r="A43" s="5" t="inlineStr">
        <is>
          <t>硬件支出</t>
        </is>
      </c>
      <c r="B43" s="6" t="inlineStr">
        <is>
          <t>BONG PRO</t>
        </is>
      </c>
      <c r="D43" s="5" t="inlineStr">
        <is>
          <t>保护套</t>
        </is>
      </c>
      <c r="E43" s="6" t="inlineStr">
        <is>
          <t>Q1002</t>
        </is>
      </c>
      <c r="F43" s="89">
        <f>-SUMIFS('1月数据源'!$I:$I,'1月数据源'!$D:$D,$E43,'1月数据源'!$F:$F,"HK01")*F$185+SUMIFS('1月数据源'!$J:$J,'1月数据源'!$D:$D,$E43,'1月数据源'!$F:$F,"HK01")*F$185</f>
        <v/>
      </c>
      <c r="G43" s="89">
        <f>-SUMIFS('2月数据源'!$I:$I,'2月数据源'!$D:$D,$E43,'2月数据源'!$F:$F,"HK01")*G$185+SUMIFS('2月数据源'!$J:$J,'2月数据源'!$D:$D,$E43,'2月数据源'!$F:$F,"HK01")*G$185</f>
        <v/>
      </c>
      <c r="H43" s="89">
        <f>-SUMIFS('3月数据源'!$I:$I,'3月数据源'!$D:$D,$E43,'3月数据源'!$F:$F,"HK01")*H$185+SUMIFS('3月数据源'!$J:$J,'3月数据源'!$D:$D,$E43,'3月数据源'!$F:$F,"HK01")*H$185</f>
        <v/>
      </c>
      <c r="I43" s="89">
        <f>-SUMIFS('4月数据源'!$I:$I,'4月数据源'!$D:$D,$E43,'4月数据源'!$F:$F,"HK01")*I$185+SUMIFS('4月数据源'!$J:$J,'4月数据源'!$D:$D,$E43,'4月数据源'!$F:$F,"HK01")*I$185</f>
        <v/>
      </c>
      <c r="J43" s="89">
        <f>-SUMIFS('5月数据源'!$I:$I,'5月数据源'!$D:$D,$E43,'5月数据源'!$F:$F,"HK01")*J$185+SUMIFS('5月数据源'!$J:$J,'5月数据源'!$D:$D,$E43,'5月数据源'!$F:$F,"HK01")*J$185</f>
        <v/>
      </c>
      <c r="K43" s="89">
        <f>-SUMIFS('6月数据源'!$I:$I,'6月数据源'!$D:$D,$E43,'6月数据源'!$F:$F,"HK01")*K$185+SUMIFS('6月数据源'!$J:$J,'6月数据源'!$D:$D,$E43,'6月数据源'!$F:$F,"HK01")*K$185</f>
        <v/>
      </c>
      <c r="L43" s="89">
        <f>-SUMIFS('7月数据源'!$I:$I,'7月数据源'!$D:$D,$E43,'7月数据源'!$F:$F,"HK01")*L$185+SUMIFS('7月数据源'!$J:$J,'7月数据源'!$D:$D,$E43,'7月数据源'!$F:$F,"HK01")*L$185</f>
        <v/>
      </c>
      <c r="M43" s="89">
        <f>-SUMIFS('8月数据源'!$I:$I,'8月数据源'!$D:$D,$E43,'8月数据源'!$F:$F,"HK01")*M$185+SUMIFS('8月数据源'!$J:$J,'8月数据源'!$D:$D,$E43,'8月数据源'!$F:$F,"HK01")*M$185</f>
        <v/>
      </c>
      <c r="N43" s="89">
        <f>-SUMIFS('9月数据源'!$I:$I,'9月数据源'!$D:$D,$E43,'9月数据源'!$F:$F,"HK01")*N$185+SUMIFS('9月数据源'!$J:$J,'9月数据源'!$D:$D,$E43,'9月数据源'!$F:$F,"HK01")*N$185</f>
        <v/>
      </c>
      <c r="O43" s="89">
        <f>-SUMIFS('10月数据源'!$I:$I,'10月数据源'!$D:$D,$E43,'10月数据源'!$F:$F,"HK01")*O$185+SUMIFS('10月数据源'!$J:$J,'10月数据源'!$D:$D,$E43,'10月数据源'!$F:$F,"HK01")*O$185</f>
        <v/>
      </c>
      <c r="P43" s="89">
        <f>-SUMIFS('11月数据源'!$I:$I,'11月数据源'!$D:$D,$E43,'11月数据源'!$F:$F,"HK01")*P$185+SUMIFS('11月数据源'!$J:$J,'11月数据源'!$D:$D,$E43,'11月数据源'!$F:$F,"HK01")*P$185</f>
        <v/>
      </c>
      <c r="Q43" s="89">
        <f>-SUMIFS('12月数据源'!$I:$I,'12月数据源'!$D:$D,$E43,'12月数据源'!$F:$F,"HK01")*Q$185+SUMIFS('12月数据源'!$J:$J,'12月数据源'!$D:$D,$E43,'12月数据源'!$F:$F,"HK01")*Q$185</f>
        <v/>
      </c>
    </row>
    <row r="44" s="83">
      <c r="A44" s="5" t="inlineStr">
        <is>
          <t>硬件支出</t>
        </is>
      </c>
      <c r="B44" s="6" t="inlineStr">
        <is>
          <t>BONG PRO</t>
        </is>
      </c>
      <c r="D44" s="5" t="inlineStr">
        <is>
          <t>包装盒</t>
        </is>
      </c>
      <c r="E44" s="6" t="inlineStr">
        <is>
          <t>Q1003</t>
        </is>
      </c>
      <c r="F44" s="89">
        <f>-SUMIFS('1月数据源'!$I:$I,'1月数据源'!$D:$D,$E44,'1月数据源'!$F:$F,"HK01")*F$185+SUMIFS('1月数据源'!$J:$J,'1月数据源'!$D:$D,$E44,'1月数据源'!$F:$F,"HK01")*F$185</f>
        <v/>
      </c>
      <c r="G44" s="89">
        <f>-SUMIFS('2月数据源'!$I:$I,'2月数据源'!$D:$D,$E44,'2月数据源'!$F:$F,"HK01")*G$185+SUMIFS('2月数据源'!$J:$J,'2月数据源'!$D:$D,$E44,'2月数据源'!$F:$F,"HK01")*G$185</f>
        <v/>
      </c>
      <c r="H44" s="89">
        <f>-SUMIFS('3月数据源'!$I:$I,'3月数据源'!$D:$D,$E44,'3月数据源'!$F:$F,"HK01")*H$185+SUMIFS('3月数据源'!$J:$J,'3月数据源'!$D:$D,$E44,'3月数据源'!$F:$F,"HK01")*H$185</f>
        <v/>
      </c>
      <c r="I44" s="89">
        <f>-SUMIFS('4月数据源'!$I:$I,'4月数据源'!$D:$D,$E44,'4月数据源'!$F:$F,"HK01")*I$185+SUMIFS('4月数据源'!$J:$J,'4月数据源'!$D:$D,$E44,'4月数据源'!$F:$F,"HK01")*I$185</f>
        <v/>
      </c>
      <c r="J44" s="89">
        <f>-SUMIFS('5月数据源'!$I:$I,'5月数据源'!$D:$D,$E44,'5月数据源'!$F:$F,"HK01")*J$185+SUMIFS('5月数据源'!$J:$J,'5月数据源'!$D:$D,$E44,'5月数据源'!$F:$F,"HK01")*J$185</f>
        <v/>
      </c>
      <c r="K44" s="89">
        <f>-SUMIFS('6月数据源'!$I:$I,'6月数据源'!$D:$D,$E44,'6月数据源'!$F:$F,"HK01")*K$185+SUMIFS('6月数据源'!$J:$J,'6月数据源'!$D:$D,$E44,'6月数据源'!$F:$F,"HK01")*K$185</f>
        <v/>
      </c>
      <c r="L44" s="89">
        <f>-SUMIFS('7月数据源'!$I:$I,'7月数据源'!$D:$D,$E44,'7月数据源'!$F:$F,"HK01")*L$185+SUMIFS('7月数据源'!$J:$J,'7月数据源'!$D:$D,$E44,'7月数据源'!$F:$F,"HK01")*L$185</f>
        <v/>
      </c>
      <c r="M44" s="89">
        <f>-SUMIFS('8月数据源'!$I:$I,'8月数据源'!$D:$D,$E44,'8月数据源'!$F:$F,"HK01")*M$185+SUMIFS('8月数据源'!$J:$J,'8月数据源'!$D:$D,$E44,'8月数据源'!$F:$F,"HK01")*M$185</f>
        <v/>
      </c>
      <c r="N44" s="89">
        <f>-SUMIFS('9月数据源'!$I:$I,'9月数据源'!$D:$D,$E44,'9月数据源'!$F:$F,"HK01")*N$185+SUMIFS('9月数据源'!$J:$J,'9月数据源'!$D:$D,$E44,'9月数据源'!$F:$F,"HK01")*N$185</f>
        <v/>
      </c>
      <c r="O44" s="89">
        <f>-SUMIFS('10月数据源'!$I:$I,'10月数据源'!$D:$D,$E44,'10月数据源'!$F:$F,"HK01")*O$185+SUMIFS('10月数据源'!$J:$J,'10月数据源'!$D:$D,$E44,'10月数据源'!$F:$F,"HK01")*O$185</f>
        <v/>
      </c>
      <c r="P44" s="89">
        <f>-SUMIFS('11月数据源'!$I:$I,'11月数据源'!$D:$D,$E44,'11月数据源'!$F:$F,"HK01")*P$185+SUMIFS('11月数据源'!$J:$J,'11月数据源'!$D:$D,$E44,'11月数据源'!$F:$F,"HK01")*P$185</f>
        <v/>
      </c>
      <c r="Q44" s="89">
        <f>-SUMIFS('12月数据源'!$I:$I,'12月数据源'!$D:$D,$E44,'12月数据源'!$F:$F,"HK01")*Q$185+SUMIFS('12月数据源'!$J:$J,'12月数据源'!$D:$D,$E44,'12月数据源'!$F:$F,"HK01")*Q$185</f>
        <v/>
      </c>
    </row>
    <row r="45" s="83">
      <c r="A45" s="5" t="inlineStr">
        <is>
          <t>硬件支出</t>
        </is>
      </c>
      <c r="B45" s="6" t="inlineStr">
        <is>
          <t>BONG PRO</t>
        </is>
      </c>
      <c r="D45" s="5" t="inlineStr">
        <is>
          <t>充电器</t>
        </is>
      </c>
      <c r="E45" s="6" t="inlineStr">
        <is>
          <t>Q1004</t>
        </is>
      </c>
      <c r="F45" s="89">
        <f>-SUMIFS('1月数据源'!$I:$I,'1月数据源'!$D:$D,$E45,'1月数据源'!$F:$F,"HK01")*F$185+SUMIFS('1月数据源'!$J:$J,'1月数据源'!$D:$D,$E45,'1月数据源'!$F:$F,"HK01")*F$185</f>
        <v/>
      </c>
      <c r="G45" s="89">
        <f>-SUMIFS('2月数据源'!$I:$I,'2月数据源'!$D:$D,$E45,'2月数据源'!$F:$F,"HK01")*G$185+SUMIFS('2月数据源'!$J:$J,'2月数据源'!$D:$D,$E45,'2月数据源'!$F:$F,"HK01")*G$185</f>
        <v/>
      </c>
      <c r="H45" s="89">
        <f>-SUMIFS('3月数据源'!$I:$I,'3月数据源'!$D:$D,$E45,'3月数据源'!$F:$F,"HK01")*H$185+SUMIFS('3月数据源'!$J:$J,'3月数据源'!$D:$D,$E45,'3月数据源'!$F:$F,"HK01")*H$185</f>
        <v/>
      </c>
      <c r="I45" s="89">
        <f>-SUMIFS('4月数据源'!$I:$I,'4月数据源'!$D:$D,$E45,'4月数据源'!$F:$F,"HK01")*I$185+SUMIFS('4月数据源'!$J:$J,'4月数据源'!$D:$D,$E45,'4月数据源'!$F:$F,"HK01")*I$185</f>
        <v/>
      </c>
      <c r="J45" s="89">
        <f>-SUMIFS('5月数据源'!$I:$I,'5月数据源'!$D:$D,$E45,'5月数据源'!$F:$F,"HK01")*J$185+SUMIFS('5月数据源'!$J:$J,'5月数据源'!$D:$D,$E45,'5月数据源'!$F:$F,"HK01")*J$185</f>
        <v/>
      </c>
      <c r="K45" s="89">
        <f>-SUMIFS('6月数据源'!$I:$I,'6月数据源'!$D:$D,$E45,'6月数据源'!$F:$F,"HK01")*K$185+SUMIFS('6月数据源'!$J:$J,'6月数据源'!$D:$D,$E45,'6月数据源'!$F:$F,"HK01")*K$185</f>
        <v/>
      </c>
      <c r="L45" s="89">
        <f>-SUMIFS('7月数据源'!$I:$I,'7月数据源'!$D:$D,$E45,'7月数据源'!$F:$F,"HK01")*L$185+SUMIFS('7月数据源'!$J:$J,'7月数据源'!$D:$D,$E45,'7月数据源'!$F:$F,"HK01")*L$185</f>
        <v/>
      </c>
      <c r="M45" s="89">
        <f>-SUMIFS('8月数据源'!$I:$I,'8月数据源'!$D:$D,$E45,'8月数据源'!$F:$F,"HK01")*M$185+SUMIFS('8月数据源'!$J:$J,'8月数据源'!$D:$D,$E45,'8月数据源'!$F:$F,"HK01")*M$185</f>
        <v/>
      </c>
      <c r="N45" s="89">
        <f>-SUMIFS('9月数据源'!$I:$I,'9月数据源'!$D:$D,$E45,'9月数据源'!$F:$F,"HK01")*N$185+SUMIFS('9月数据源'!$J:$J,'9月数据源'!$D:$D,$E45,'9月数据源'!$F:$F,"HK01")*N$185</f>
        <v/>
      </c>
      <c r="O45" s="89">
        <f>-SUMIFS('10月数据源'!$I:$I,'10月数据源'!$D:$D,$E45,'10月数据源'!$F:$F,"HK01")*O$185+SUMIFS('10月数据源'!$J:$J,'10月数据源'!$D:$D,$E45,'10月数据源'!$F:$F,"HK01")*O$185</f>
        <v/>
      </c>
      <c r="P45" s="89">
        <f>-SUMIFS('11月数据源'!$I:$I,'11月数据源'!$D:$D,$E45,'11月数据源'!$F:$F,"HK01")*P$185+SUMIFS('11月数据源'!$J:$J,'11月数据源'!$D:$D,$E45,'11月数据源'!$F:$F,"HK01")*P$185</f>
        <v/>
      </c>
      <c r="Q45" s="89">
        <f>-SUMIFS('12月数据源'!$I:$I,'12月数据源'!$D:$D,$E45,'12月数据源'!$F:$F,"HK01")*Q$185+SUMIFS('12月数据源'!$J:$J,'12月数据源'!$D:$D,$E45,'12月数据源'!$F:$F,"HK01")*Q$185</f>
        <v/>
      </c>
    </row>
    <row r="46" s="83">
      <c r="A46" s="5" t="inlineStr">
        <is>
          <t>硬件支出</t>
        </is>
      </c>
      <c r="B46" s="6" t="inlineStr">
        <is>
          <t>BONG PRO</t>
        </is>
      </c>
      <c r="D46" s="5" t="inlineStr">
        <is>
          <t>指学镜</t>
        </is>
      </c>
      <c r="E46" s="6" t="inlineStr">
        <is>
          <t>Q1005</t>
        </is>
      </c>
      <c r="F46" s="89">
        <f>-SUMIFS('1月数据源'!$I:$I,'1月数据源'!$D:$D,$E46,'1月数据源'!$F:$F,"HK01")*F$185+SUMIFS('1月数据源'!$J:$J,'1月数据源'!$D:$D,$E46,'1月数据源'!$F:$F,"HK01")*F$185</f>
        <v/>
      </c>
      <c r="G46" s="89">
        <f>-SUMIFS('2月数据源'!$I:$I,'2月数据源'!$D:$D,$E46,'2月数据源'!$F:$F,"HK01")*G$185+SUMIFS('2月数据源'!$J:$J,'2月数据源'!$D:$D,$E46,'2月数据源'!$F:$F,"HK01")*G$185</f>
        <v/>
      </c>
      <c r="H46" s="89">
        <f>-SUMIFS('3月数据源'!$I:$I,'3月数据源'!$D:$D,$E46,'3月数据源'!$F:$F,"HK01")*H$185+SUMIFS('3月数据源'!$J:$J,'3月数据源'!$D:$D,$E46,'3月数据源'!$F:$F,"HK01")*H$185</f>
        <v/>
      </c>
      <c r="I46" s="89">
        <f>-SUMIFS('4月数据源'!$I:$I,'4月数据源'!$D:$D,$E46,'4月数据源'!$F:$F,"HK01")*I$185+SUMIFS('4月数据源'!$J:$J,'4月数据源'!$D:$D,$E46,'4月数据源'!$F:$F,"HK01")*I$185</f>
        <v/>
      </c>
      <c r="J46" s="89">
        <f>-SUMIFS('5月数据源'!$I:$I,'5月数据源'!$D:$D,$E46,'5月数据源'!$F:$F,"HK01")*J$185+SUMIFS('5月数据源'!$J:$J,'5月数据源'!$D:$D,$E46,'5月数据源'!$F:$F,"HK01")*J$185</f>
        <v/>
      </c>
      <c r="K46" s="89">
        <f>-SUMIFS('6月数据源'!$I:$I,'6月数据源'!$D:$D,$E46,'6月数据源'!$F:$F,"HK01")*K$185+SUMIFS('6月数据源'!$J:$J,'6月数据源'!$D:$D,$E46,'6月数据源'!$F:$F,"HK01")*K$185</f>
        <v/>
      </c>
      <c r="L46" s="89">
        <f>-SUMIFS('7月数据源'!$I:$I,'7月数据源'!$D:$D,$E46,'7月数据源'!$F:$F,"HK01")*L$185+SUMIFS('7月数据源'!$J:$J,'7月数据源'!$D:$D,$E46,'7月数据源'!$F:$F,"HK01")*L$185</f>
        <v/>
      </c>
      <c r="M46" s="89">
        <f>-SUMIFS('8月数据源'!$I:$I,'8月数据源'!$D:$D,$E46,'8月数据源'!$F:$F,"HK01")*M$185+SUMIFS('8月数据源'!$J:$J,'8月数据源'!$D:$D,$E46,'8月数据源'!$F:$F,"HK01")*M$185</f>
        <v/>
      </c>
      <c r="N46" s="89">
        <f>-SUMIFS('9月数据源'!$I:$I,'9月数据源'!$D:$D,$E46,'9月数据源'!$F:$F,"HK01")*N$185+SUMIFS('9月数据源'!$J:$J,'9月数据源'!$D:$D,$E46,'9月数据源'!$F:$F,"HK01")*N$185</f>
        <v/>
      </c>
      <c r="O46" s="89">
        <f>-SUMIFS('10月数据源'!$I:$I,'10月数据源'!$D:$D,$E46,'10月数据源'!$F:$F,"HK01")*O$185+SUMIFS('10月数据源'!$J:$J,'10月数据源'!$D:$D,$E46,'10月数据源'!$F:$F,"HK01")*O$185</f>
        <v/>
      </c>
      <c r="P46" s="89">
        <f>-SUMIFS('11月数据源'!$I:$I,'11月数据源'!$D:$D,$E46,'11月数据源'!$F:$F,"HK01")*P$185+SUMIFS('11月数据源'!$J:$J,'11月数据源'!$D:$D,$E46,'11月数据源'!$F:$F,"HK01")*P$185</f>
        <v/>
      </c>
      <c r="Q46" s="89">
        <f>-SUMIFS('12月数据源'!$I:$I,'12月数据源'!$D:$D,$E46,'12月数据源'!$F:$F,"HK01")*Q$185+SUMIFS('12月数据源'!$J:$J,'12月数据源'!$D:$D,$E46,'12月数据源'!$F:$F,"HK01")*Q$185</f>
        <v/>
      </c>
    </row>
    <row r="47" s="83">
      <c r="A47" s="5" t="inlineStr">
        <is>
          <t>硬件支出</t>
        </is>
      </c>
      <c r="B47" s="6" t="inlineStr">
        <is>
          <t>BONG PRO</t>
        </is>
      </c>
      <c r="D47" s="5" t="inlineStr">
        <is>
          <t>学习机系统授权费</t>
        </is>
      </c>
      <c r="E47" s="6" t="inlineStr">
        <is>
          <t>Q1006</t>
        </is>
      </c>
      <c r="F47" s="89">
        <f>-SUMIFS('1月数据源'!$I:$I,'1月数据源'!$D:$D,$E47,'1月数据源'!$F:$F,"HK01")*F$185+SUMIFS('1月数据源'!$J:$J,'1月数据源'!$D:$D,$E47,'1月数据源'!$F:$F,"HK01")*F$185</f>
        <v/>
      </c>
      <c r="G47" s="89">
        <f>-SUMIFS('2月数据源'!$I:$I,'2月数据源'!$D:$D,$E47,'2月数据源'!$F:$F,"HK01")*G$185+SUMIFS('2月数据源'!$J:$J,'2月数据源'!$D:$D,$E47,'2月数据源'!$F:$F,"HK01")*G$185</f>
        <v/>
      </c>
      <c r="H47" s="89">
        <f>-SUMIFS('3月数据源'!$I:$I,'3月数据源'!$D:$D,$E47,'3月数据源'!$F:$F,"HK01")*H$185+SUMIFS('3月数据源'!$J:$J,'3月数据源'!$D:$D,$E47,'3月数据源'!$F:$F,"HK01")*H$185</f>
        <v/>
      </c>
      <c r="I47" s="89">
        <f>-SUMIFS('4月数据源'!$I:$I,'4月数据源'!$D:$D,$E47,'4月数据源'!$F:$F,"HK01")*I$185+SUMIFS('4月数据源'!$J:$J,'4月数据源'!$D:$D,$E47,'4月数据源'!$F:$F,"HK01")*I$185</f>
        <v/>
      </c>
      <c r="J47" s="89">
        <f>-SUMIFS('5月数据源'!$I:$I,'5月数据源'!$D:$D,$E47,'5月数据源'!$F:$F,"HK01")*J$185+SUMIFS('5月数据源'!$J:$J,'5月数据源'!$D:$D,$E47,'5月数据源'!$F:$F,"HK01")*J$185</f>
        <v/>
      </c>
      <c r="K47" s="89">
        <f>-SUMIFS('6月数据源'!$I:$I,'6月数据源'!$D:$D,$E47,'6月数据源'!$F:$F,"HK01")*K$185+SUMIFS('6月数据源'!$J:$J,'6月数据源'!$D:$D,$E47,'6月数据源'!$F:$F,"HK01")*K$185</f>
        <v/>
      </c>
      <c r="L47" s="89">
        <f>-SUMIFS('7月数据源'!$I:$I,'7月数据源'!$D:$D,$E47,'7月数据源'!$F:$F,"HK01")*L$185+SUMIFS('7月数据源'!$J:$J,'7月数据源'!$D:$D,$E47,'7月数据源'!$F:$F,"HK01")*L$185</f>
        <v/>
      </c>
      <c r="M47" s="89">
        <f>-SUMIFS('8月数据源'!$I:$I,'8月数据源'!$D:$D,$E47,'8月数据源'!$F:$F,"HK01")*M$185+SUMIFS('8月数据源'!$J:$J,'8月数据源'!$D:$D,$E47,'8月数据源'!$F:$F,"HK01")*M$185</f>
        <v/>
      </c>
      <c r="N47" s="89">
        <f>-SUMIFS('9月数据源'!$I:$I,'9月数据源'!$D:$D,$E47,'9月数据源'!$F:$F,"HK01")*N$185+SUMIFS('9月数据源'!$J:$J,'9月数据源'!$D:$D,$E47,'9月数据源'!$F:$F,"HK01")*N$185</f>
        <v/>
      </c>
      <c r="O47" s="89">
        <f>-SUMIFS('10月数据源'!$I:$I,'10月数据源'!$D:$D,$E47,'10月数据源'!$F:$F,"HK01")*O$185+SUMIFS('10月数据源'!$J:$J,'10月数据源'!$D:$D,$E47,'10月数据源'!$F:$F,"HK01")*O$185</f>
        <v/>
      </c>
      <c r="P47" s="89">
        <f>-SUMIFS('11月数据源'!$I:$I,'11月数据源'!$D:$D,$E47,'11月数据源'!$F:$F,"HK01")*P$185+SUMIFS('11月数据源'!$J:$J,'11月数据源'!$D:$D,$E47,'11月数据源'!$F:$F,"HK01")*P$185</f>
        <v/>
      </c>
      <c r="Q47" s="89">
        <f>-SUMIFS('12月数据源'!$I:$I,'12月数据源'!$D:$D,$E47,'12月数据源'!$F:$F,"HK01")*Q$185+SUMIFS('12月数据源'!$J:$J,'12月数据源'!$D:$D,$E47,'12月数据源'!$F:$F,"HK01")*Q$185</f>
        <v/>
      </c>
    </row>
    <row r="48" s="83">
      <c r="A48" s="5" t="inlineStr">
        <is>
          <t>硬件支出</t>
        </is>
      </c>
      <c r="B48" s="6" t="inlineStr">
        <is>
          <t>其他硬件成本</t>
        </is>
      </c>
      <c r="C48" s="6" t="inlineStr">
        <is>
          <t>其他硬件成本</t>
        </is>
      </c>
      <c r="D48" s="5" t="inlineStr">
        <is>
          <t>电容笔</t>
        </is>
      </c>
      <c r="E48" s="6" t="inlineStr">
        <is>
          <t>Q1101</t>
        </is>
      </c>
      <c r="F48" s="89">
        <f>-SUMIFS('1月数据源'!$I:$I,'1月数据源'!$D:$D,$E48,'1月数据源'!$F:$F,"HK01")*F$185+SUMIFS('1月数据源'!$J:$J,'1月数据源'!$D:$D,$E48,'1月数据源'!$F:$F,"HK01")*F$185</f>
        <v/>
      </c>
      <c r="G48" s="89">
        <f>-SUMIFS('2月数据源'!$I:$I,'2月数据源'!$D:$D,$E48,'2月数据源'!$F:$F,"HK01")*G$185+SUMIFS('2月数据源'!$J:$J,'2月数据源'!$D:$D,$E48,'2月数据源'!$F:$F,"HK01")*G$185</f>
        <v/>
      </c>
      <c r="H48" s="89">
        <f>-SUMIFS('3月数据源'!$I:$I,'3月数据源'!$D:$D,$E48,'3月数据源'!$F:$F,"HK01")*H$185+SUMIFS('3月数据源'!$J:$J,'3月数据源'!$D:$D,$E48,'3月数据源'!$F:$F,"HK01")*H$185</f>
        <v/>
      </c>
      <c r="I48" s="89">
        <f>-SUMIFS('4月数据源'!$I:$I,'4月数据源'!$D:$D,$E48,'4月数据源'!$F:$F,"HK01")*I$185+SUMIFS('4月数据源'!$J:$J,'4月数据源'!$D:$D,$E48,'4月数据源'!$F:$F,"HK01")*I$185</f>
        <v/>
      </c>
      <c r="J48" s="89">
        <f>-SUMIFS('5月数据源'!$I:$I,'5月数据源'!$D:$D,$E48,'5月数据源'!$F:$F,"HK01")*J$185+SUMIFS('5月数据源'!$J:$J,'5月数据源'!$D:$D,$E48,'5月数据源'!$F:$F,"HK01")*J$185</f>
        <v/>
      </c>
      <c r="K48" s="89">
        <f>-SUMIFS('6月数据源'!$I:$I,'6月数据源'!$D:$D,$E48,'6月数据源'!$F:$F,"HK01")*K$185+SUMIFS('6月数据源'!$J:$J,'6月数据源'!$D:$D,$E48,'6月数据源'!$F:$F,"HK01")*K$185</f>
        <v/>
      </c>
      <c r="L48" s="89">
        <f>-SUMIFS('7月数据源'!$I:$I,'7月数据源'!$D:$D,$E48,'7月数据源'!$F:$F,"HK01")*L$185+SUMIFS('7月数据源'!$J:$J,'7月数据源'!$D:$D,$E48,'7月数据源'!$F:$F,"HK01")*L$185</f>
        <v/>
      </c>
      <c r="M48" s="89">
        <f>-SUMIFS('8月数据源'!$I:$I,'8月数据源'!$D:$D,$E48,'8月数据源'!$F:$F,"HK01")*M$185+SUMIFS('8月数据源'!$J:$J,'8月数据源'!$D:$D,$E48,'8月数据源'!$F:$F,"HK01")*M$185</f>
        <v/>
      </c>
      <c r="N48" s="89">
        <f>-SUMIFS('9月数据源'!$I:$I,'9月数据源'!$D:$D,$E48,'9月数据源'!$F:$F,"HK01")*N$185+SUMIFS('9月数据源'!$J:$J,'9月数据源'!$D:$D,$E48,'9月数据源'!$F:$F,"HK01")*N$185</f>
        <v/>
      </c>
      <c r="O48" s="89">
        <f>-SUMIFS('10月数据源'!$I:$I,'10月数据源'!$D:$D,$E48,'10月数据源'!$F:$F,"HK01")*O$185+SUMIFS('10月数据源'!$J:$J,'10月数据源'!$D:$D,$E48,'10月数据源'!$F:$F,"HK01")*O$185</f>
        <v/>
      </c>
      <c r="P48" s="89">
        <f>-SUMIFS('11月数据源'!$I:$I,'11月数据源'!$D:$D,$E48,'11月数据源'!$F:$F,"HK01")*P$185+SUMIFS('11月数据源'!$J:$J,'11月数据源'!$D:$D,$E48,'11月数据源'!$F:$F,"HK01")*P$185</f>
        <v/>
      </c>
      <c r="Q48" s="89">
        <f>-SUMIFS('12月数据源'!$I:$I,'12月数据源'!$D:$D,$E48,'12月数据源'!$F:$F,"HK01")*Q$185+SUMIFS('12月数据源'!$J:$J,'12月数据源'!$D:$D,$E48,'12月数据源'!$F:$F,"HK01")*Q$185</f>
        <v/>
      </c>
    </row>
    <row r="49" s="83">
      <c r="A49" s="5" t="inlineStr">
        <is>
          <t>硬件支出</t>
        </is>
      </c>
      <c r="B49" s="6" t="inlineStr">
        <is>
          <t>其他硬件成本</t>
        </is>
      </c>
      <c r="D49" s="5" t="inlineStr">
        <is>
          <t>支架</t>
        </is>
      </c>
      <c r="E49" s="6" t="inlineStr">
        <is>
          <t>Q1102</t>
        </is>
      </c>
      <c r="F49" s="89">
        <f>-SUMIFS('1月数据源'!$I:$I,'1月数据源'!$D:$D,$E49,'1月数据源'!$F:$F,"HK01")*F$185+SUMIFS('1月数据源'!$J:$J,'1月数据源'!$D:$D,$E49,'1月数据源'!$F:$F,"HK01")*F$185</f>
        <v/>
      </c>
      <c r="G49" s="89">
        <f>-SUMIFS('2月数据源'!$I:$I,'2月数据源'!$D:$D,$E49,'2月数据源'!$F:$F,"HK01")*G$185+SUMIFS('2月数据源'!$J:$J,'2月数据源'!$D:$D,$E49,'2月数据源'!$F:$F,"HK01")*G$185</f>
        <v/>
      </c>
      <c r="H49" s="89">
        <f>-SUMIFS('3月数据源'!$I:$I,'3月数据源'!$D:$D,$E49,'3月数据源'!$F:$F,"HK01")*H$185+SUMIFS('3月数据源'!$J:$J,'3月数据源'!$D:$D,$E49,'3月数据源'!$F:$F,"HK01")*H$185</f>
        <v/>
      </c>
      <c r="I49" s="89">
        <f>-SUMIFS('4月数据源'!$I:$I,'4月数据源'!$D:$D,$E49,'4月数据源'!$F:$F,"HK01")*I$185+SUMIFS('4月数据源'!$J:$J,'4月数据源'!$D:$D,$E49,'4月数据源'!$F:$F,"HK01")*I$185</f>
        <v/>
      </c>
      <c r="J49" s="89">
        <f>-SUMIFS('5月数据源'!$I:$I,'5月数据源'!$D:$D,$E49,'5月数据源'!$F:$F,"HK01")*J$185+SUMIFS('5月数据源'!$J:$J,'5月数据源'!$D:$D,$E49,'5月数据源'!$F:$F,"HK01")*J$185</f>
        <v/>
      </c>
      <c r="K49" s="89">
        <f>-SUMIFS('6月数据源'!$I:$I,'6月数据源'!$D:$D,$E49,'6月数据源'!$F:$F,"HK01")*K$185+SUMIFS('6月数据源'!$J:$J,'6月数据源'!$D:$D,$E49,'6月数据源'!$F:$F,"HK01")*K$185</f>
        <v/>
      </c>
      <c r="L49" s="89">
        <f>-SUMIFS('7月数据源'!$I:$I,'7月数据源'!$D:$D,$E49,'7月数据源'!$F:$F,"HK01")*L$185+SUMIFS('7月数据源'!$J:$J,'7月数据源'!$D:$D,$E49,'7月数据源'!$F:$F,"HK01")*L$185</f>
        <v/>
      </c>
      <c r="M49" s="89">
        <f>-SUMIFS('8月数据源'!$I:$I,'8月数据源'!$D:$D,$E49,'8月数据源'!$F:$F,"HK01")*M$185+SUMIFS('8月数据源'!$J:$J,'8月数据源'!$D:$D,$E49,'8月数据源'!$F:$F,"HK01")*M$185</f>
        <v/>
      </c>
      <c r="N49" s="89">
        <f>-SUMIFS('9月数据源'!$I:$I,'9月数据源'!$D:$D,$E49,'9月数据源'!$F:$F,"HK01")*N$185+SUMIFS('9月数据源'!$J:$J,'9月数据源'!$D:$D,$E49,'9月数据源'!$F:$F,"HK01")*N$185</f>
        <v/>
      </c>
      <c r="O49" s="89">
        <f>-SUMIFS('10月数据源'!$I:$I,'10月数据源'!$D:$D,$E49,'10月数据源'!$F:$F,"HK01")*O$185+SUMIFS('10月数据源'!$J:$J,'10月数据源'!$D:$D,$E49,'10月数据源'!$F:$F,"HK01")*O$185</f>
        <v/>
      </c>
      <c r="P49" s="89">
        <f>-SUMIFS('11月数据源'!$I:$I,'11月数据源'!$D:$D,$E49,'11月数据源'!$F:$F,"HK01")*P$185+SUMIFS('11月数据源'!$J:$J,'11月数据源'!$D:$D,$E49,'11月数据源'!$F:$F,"HK01")*P$185</f>
        <v/>
      </c>
      <c r="Q49" s="89">
        <f>-SUMIFS('12月数据源'!$I:$I,'12月数据源'!$D:$D,$E49,'12月数据源'!$F:$F,"HK01")*Q$185+SUMIFS('12月数据源'!$J:$J,'12月数据源'!$D:$D,$E49,'12月数据源'!$F:$F,"HK01")*Q$185</f>
        <v/>
      </c>
    </row>
    <row r="50" s="83">
      <c r="A50" s="49" t="inlineStr">
        <is>
          <t>硬件支出合计</t>
        </is>
      </c>
      <c r="B50" s="50" t="n"/>
      <c r="C50" s="50" t="n"/>
      <c r="D50" s="49" t="n"/>
      <c r="E50" s="49" t="n"/>
      <c r="F50" s="89">
        <f>SUM(F36:F49)</f>
        <v/>
      </c>
      <c r="G50" s="89">
        <f>SUM(G36:G49)</f>
        <v/>
      </c>
      <c r="H50" s="89">
        <f>SUM(H36:H49)</f>
        <v/>
      </c>
      <c r="I50" s="89">
        <f>SUM(I36:I49)</f>
        <v/>
      </c>
      <c r="J50" s="89">
        <f>SUM(J36:J49)</f>
        <v/>
      </c>
      <c r="K50" s="89">
        <f>SUM(K36:K49)</f>
        <v/>
      </c>
      <c r="L50" s="89">
        <f>SUM(L36:L49)</f>
        <v/>
      </c>
      <c r="M50" s="89">
        <f>SUM(M36:M49)</f>
        <v/>
      </c>
      <c r="N50" s="89">
        <f>SUM(N36:N49)</f>
        <v/>
      </c>
      <c r="O50" s="89">
        <f>SUM(O36:O49)</f>
        <v/>
      </c>
      <c r="P50" s="89">
        <f>SUM(P36:P49)</f>
        <v/>
      </c>
      <c r="Q50" s="89">
        <f>SUM(Q36:Q49)</f>
        <v/>
      </c>
    </row>
    <row r="51" s="83">
      <c r="A51" s="5" t="inlineStr">
        <is>
          <t>制造费用</t>
        </is>
      </c>
      <c r="B51" s="5" t="inlineStr">
        <is>
          <t>制造费用</t>
        </is>
      </c>
      <c r="C51" s="6" t="inlineStr">
        <is>
          <t>制造费用</t>
        </is>
      </c>
      <c r="D51" s="5" t="inlineStr">
        <is>
          <t>西溪首座仓库租金</t>
        </is>
      </c>
      <c r="E51" s="6" t="inlineStr">
        <is>
          <t>Q3201</t>
        </is>
      </c>
      <c r="F51" s="89">
        <f>-SUMIFS('1月数据源'!$I:$I,'1月数据源'!$D:$D,$E51,'1月数据源'!$F:$F,"HK01")*F$185+SUMIFS('1月数据源'!$J:$J,'1月数据源'!$D:$D,$E51,'1月数据源'!$F:$F,"HK01")*F$185</f>
        <v/>
      </c>
      <c r="G51" s="89">
        <f>-SUMIFS('2月数据源'!$I:$I,'2月数据源'!$D:$D,$E51,'2月数据源'!$F:$F,"HK01")*G$185+SUMIFS('2月数据源'!$J:$J,'2月数据源'!$D:$D,$E51,'2月数据源'!$F:$F,"HK01")*G$185</f>
        <v/>
      </c>
      <c r="H51" s="89">
        <f>-SUMIFS('3月数据源'!$I:$I,'3月数据源'!$D:$D,$E51,'3月数据源'!$F:$F,"HK01")*H$185+SUMIFS('3月数据源'!$J:$J,'3月数据源'!$D:$D,$E51,'3月数据源'!$F:$F,"HK01")*H$185</f>
        <v/>
      </c>
      <c r="I51" s="89">
        <f>-SUMIFS('4月数据源'!$I:$I,'4月数据源'!$D:$D,$E51,'4月数据源'!$F:$F,"HK01")*I$185+SUMIFS('4月数据源'!$J:$J,'4月数据源'!$D:$D,$E51,'4月数据源'!$F:$F,"HK01")*I$185</f>
        <v/>
      </c>
      <c r="J51" s="89">
        <f>-SUMIFS('5月数据源'!$I:$I,'5月数据源'!$D:$D,$E51,'5月数据源'!$F:$F,"HK01")*J$185+SUMIFS('5月数据源'!$J:$J,'5月数据源'!$D:$D,$E51,'5月数据源'!$F:$F,"HK01")*J$185</f>
        <v/>
      </c>
      <c r="K51" s="89">
        <f>-SUMIFS('6月数据源'!$I:$I,'6月数据源'!$D:$D,$E51,'6月数据源'!$F:$F,"HK01")*K$185+SUMIFS('6月数据源'!$J:$J,'6月数据源'!$D:$D,$E51,'6月数据源'!$F:$F,"HK01")*K$185</f>
        <v/>
      </c>
      <c r="L51" s="89">
        <f>-SUMIFS('7月数据源'!$I:$I,'7月数据源'!$D:$D,$E51,'7月数据源'!$F:$F,"HK01")*L$185+SUMIFS('7月数据源'!$J:$J,'7月数据源'!$D:$D,$E51,'7月数据源'!$F:$F,"HK01")*L$185</f>
        <v/>
      </c>
      <c r="M51" s="89">
        <f>-SUMIFS('8月数据源'!$I:$I,'8月数据源'!$D:$D,$E51,'8月数据源'!$F:$F,"HK01")*M$185+SUMIFS('8月数据源'!$J:$J,'8月数据源'!$D:$D,$E51,'8月数据源'!$F:$F,"HK01")*M$185</f>
        <v/>
      </c>
      <c r="N51" s="89">
        <f>-SUMIFS('9月数据源'!$I:$I,'9月数据源'!$D:$D,$E51,'9月数据源'!$F:$F,"HK01")*N$185+SUMIFS('9月数据源'!$J:$J,'9月数据源'!$D:$D,$E51,'9月数据源'!$F:$F,"HK01")*N$185</f>
        <v/>
      </c>
      <c r="O51" s="89">
        <f>-SUMIFS('10月数据源'!$I:$I,'10月数据源'!$D:$D,$E51,'10月数据源'!$F:$F,"HK01")*O$185+SUMIFS('10月数据源'!$J:$J,'10月数据源'!$D:$D,$E51,'10月数据源'!$F:$F,"HK01")*O$185</f>
        <v/>
      </c>
      <c r="P51" s="89">
        <f>-SUMIFS('11月数据源'!$I:$I,'11月数据源'!$D:$D,$E51,'11月数据源'!$F:$F,"HK01")*P$185+SUMIFS('11月数据源'!$J:$J,'11月数据源'!$D:$D,$E51,'11月数据源'!$F:$F,"HK01")*P$185</f>
        <v/>
      </c>
      <c r="Q51" s="89">
        <f>-SUMIFS('12月数据源'!$I:$I,'12月数据源'!$D:$D,$E51,'12月数据源'!$F:$F,"HK01")*Q$185+SUMIFS('12月数据源'!$J:$J,'12月数据源'!$D:$D,$E51,'12月数据源'!$F:$F,"HK01")*Q$185</f>
        <v/>
      </c>
    </row>
    <row r="52" s="83">
      <c r="A52" s="5" t="inlineStr">
        <is>
          <t>制造费用</t>
        </is>
      </c>
      <c r="B52" s="5" t="inlineStr">
        <is>
          <t>制造费用</t>
        </is>
      </c>
      <c r="D52" s="5" t="inlineStr">
        <is>
          <t>西溪首座仓库物业水电费</t>
        </is>
      </c>
      <c r="E52" s="6" t="inlineStr">
        <is>
          <t>Q3202</t>
        </is>
      </c>
      <c r="F52" s="89">
        <f>-SUMIFS('1月数据源'!$I:$I,'1月数据源'!$D:$D,$E52,'1月数据源'!$F:$F,"HK01")*F$185+SUMIFS('1月数据源'!$J:$J,'1月数据源'!$D:$D,$E52,'1月数据源'!$F:$F,"HK01")*F$185</f>
        <v/>
      </c>
      <c r="G52" s="89">
        <f>-SUMIFS('2月数据源'!$I:$I,'2月数据源'!$D:$D,$E52,'2月数据源'!$F:$F,"HK01")*G$185+SUMIFS('2月数据源'!$J:$J,'2月数据源'!$D:$D,$E52,'2月数据源'!$F:$F,"HK01")*G$185</f>
        <v/>
      </c>
      <c r="H52" s="89">
        <f>-SUMIFS('3月数据源'!$I:$I,'3月数据源'!$D:$D,$E52,'3月数据源'!$F:$F,"HK01")*H$185+SUMIFS('3月数据源'!$J:$J,'3月数据源'!$D:$D,$E52,'3月数据源'!$F:$F,"HK01")*H$185</f>
        <v/>
      </c>
      <c r="I52" s="89">
        <f>-SUMIFS('4月数据源'!$I:$I,'4月数据源'!$D:$D,$E52,'4月数据源'!$F:$F,"HK01")*I$185+SUMIFS('4月数据源'!$J:$J,'4月数据源'!$D:$D,$E52,'4月数据源'!$F:$F,"HK01")*I$185</f>
        <v/>
      </c>
      <c r="J52" s="89">
        <f>-SUMIFS('5月数据源'!$I:$I,'5月数据源'!$D:$D,$E52,'5月数据源'!$F:$F,"HK01")*J$185+SUMIFS('5月数据源'!$J:$J,'5月数据源'!$D:$D,$E52,'5月数据源'!$F:$F,"HK01")*J$185</f>
        <v/>
      </c>
      <c r="K52" s="89">
        <f>-SUMIFS('6月数据源'!$I:$I,'6月数据源'!$D:$D,$E52,'6月数据源'!$F:$F,"HK01")*K$185+SUMIFS('6月数据源'!$J:$J,'6月数据源'!$D:$D,$E52,'6月数据源'!$F:$F,"HK01")*K$185</f>
        <v/>
      </c>
      <c r="L52" s="89">
        <f>-SUMIFS('7月数据源'!$I:$I,'7月数据源'!$D:$D,$E52,'7月数据源'!$F:$F,"HK01")*L$185+SUMIFS('7月数据源'!$J:$J,'7月数据源'!$D:$D,$E52,'7月数据源'!$F:$F,"HK01")*L$185</f>
        <v/>
      </c>
      <c r="M52" s="89">
        <f>-SUMIFS('8月数据源'!$I:$I,'8月数据源'!$D:$D,$E52,'8月数据源'!$F:$F,"HK01")*M$185+SUMIFS('8月数据源'!$J:$J,'8月数据源'!$D:$D,$E52,'8月数据源'!$F:$F,"HK01")*M$185</f>
        <v/>
      </c>
      <c r="N52" s="89">
        <f>-SUMIFS('9月数据源'!$I:$I,'9月数据源'!$D:$D,$E52,'9月数据源'!$F:$F,"HK01")*N$185+SUMIFS('9月数据源'!$J:$J,'9月数据源'!$D:$D,$E52,'9月数据源'!$F:$F,"HK01")*N$185</f>
        <v/>
      </c>
      <c r="O52" s="89">
        <f>-SUMIFS('10月数据源'!$I:$I,'10月数据源'!$D:$D,$E52,'10月数据源'!$F:$F,"HK01")*O$185+SUMIFS('10月数据源'!$J:$J,'10月数据源'!$D:$D,$E52,'10月数据源'!$F:$F,"HK01")*O$185</f>
        <v/>
      </c>
      <c r="P52" s="89">
        <f>-SUMIFS('11月数据源'!$I:$I,'11月数据源'!$D:$D,$E52,'11月数据源'!$F:$F,"HK01")*P$185+SUMIFS('11月数据源'!$J:$J,'11月数据源'!$D:$D,$E52,'11月数据源'!$F:$F,"HK01")*P$185</f>
        <v/>
      </c>
      <c r="Q52" s="89">
        <f>-SUMIFS('12月数据源'!$I:$I,'12月数据源'!$D:$D,$E52,'12月数据源'!$F:$F,"HK01")*Q$185+SUMIFS('12月数据源'!$J:$J,'12月数据源'!$D:$D,$E52,'12月数据源'!$F:$F,"HK01")*Q$185</f>
        <v/>
      </c>
    </row>
    <row r="53" s="83">
      <c r="A53" s="5" t="inlineStr">
        <is>
          <t>制造费用</t>
        </is>
      </c>
      <c r="B53" s="5" t="inlineStr">
        <is>
          <t>制造费用</t>
        </is>
      </c>
      <c r="D53" s="5" t="inlineStr">
        <is>
          <t>西溪首座仓库装修费</t>
        </is>
      </c>
      <c r="E53" s="6" t="inlineStr">
        <is>
          <t>Q3203</t>
        </is>
      </c>
      <c r="F53" s="89">
        <f>-SUMIFS('1月数据源'!$I:$I,'1月数据源'!$D:$D,$E53,'1月数据源'!$F:$F,"HK01")*F$185+SUMIFS('1月数据源'!$J:$J,'1月数据源'!$D:$D,$E53,'1月数据源'!$F:$F,"HK01")*F$185</f>
        <v/>
      </c>
      <c r="G53" s="89">
        <f>-SUMIFS('2月数据源'!$I:$I,'2月数据源'!$D:$D,$E53,'2月数据源'!$F:$F,"HK01")*G$185+SUMIFS('2月数据源'!$J:$J,'2月数据源'!$D:$D,$E53,'2月数据源'!$F:$F,"HK01")*G$185</f>
        <v/>
      </c>
      <c r="H53" s="89">
        <f>-SUMIFS('3月数据源'!$I:$I,'3月数据源'!$D:$D,$E53,'3月数据源'!$F:$F,"HK01")*H$185+SUMIFS('3月数据源'!$J:$J,'3月数据源'!$D:$D,$E53,'3月数据源'!$F:$F,"HK01")*H$185</f>
        <v/>
      </c>
      <c r="I53" s="89">
        <f>-SUMIFS('4月数据源'!$I:$I,'4月数据源'!$D:$D,$E53,'4月数据源'!$F:$F,"HK01")*I$185+SUMIFS('4月数据源'!$J:$J,'4月数据源'!$D:$D,$E53,'4月数据源'!$F:$F,"HK01")*I$185</f>
        <v/>
      </c>
      <c r="J53" s="89">
        <f>-SUMIFS('5月数据源'!$I:$I,'5月数据源'!$D:$D,$E53,'5月数据源'!$F:$F,"HK01")*J$185+SUMIFS('5月数据源'!$J:$J,'5月数据源'!$D:$D,$E53,'5月数据源'!$F:$F,"HK01")*J$185</f>
        <v/>
      </c>
      <c r="K53" s="89">
        <f>-SUMIFS('6月数据源'!$I:$I,'6月数据源'!$D:$D,$E53,'6月数据源'!$F:$F,"HK01")*K$185+SUMIFS('6月数据源'!$J:$J,'6月数据源'!$D:$D,$E53,'6月数据源'!$F:$F,"HK01")*K$185</f>
        <v/>
      </c>
      <c r="L53" s="89">
        <f>-SUMIFS('7月数据源'!$I:$I,'7月数据源'!$D:$D,$E53,'7月数据源'!$F:$F,"HK01")*L$185+SUMIFS('7月数据源'!$J:$J,'7月数据源'!$D:$D,$E53,'7月数据源'!$F:$F,"HK01")*L$185</f>
        <v/>
      </c>
      <c r="M53" s="89">
        <f>-SUMIFS('8月数据源'!$I:$I,'8月数据源'!$D:$D,$E53,'8月数据源'!$F:$F,"HK01")*M$185+SUMIFS('8月数据源'!$J:$J,'8月数据源'!$D:$D,$E53,'8月数据源'!$F:$F,"HK01")*M$185</f>
        <v/>
      </c>
      <c r="N53" s="89">
        <f>-SUMIFS('9月数据源'!$I:$I,'9月数据源'!$D:$D,$E53,'9月数据源'!$F:$F,"HK01")*N$185+SUMIFS('9月数据源'!$J:$J,'9月数据源'!$D:$D,$E53,'9月数据源'!$F:$F,"HK01")*N$185</f>
        <v/>
      </c>
      <c r="O53" s="89">
        <f>-SUMIFS('10月数据源'!$I:$I,'10月数据源'!$D:$D,$E53,'10月数据源'!$F:$F,"HK01")*O$185+SUMIFS('10月数据源'!$J:$J,'10月数据源'!$D:$D,$E53,'10月数据源'!$F:$F,"HK01")*O$185</f>
        <v/>
      </c>
      <c r="P53" s="89">
        <f>-SUMIFS('11月数据源'!$I:$I,'11月数据源'!$D:$D,$E53,'11月数据源'!$F:$F,"HK01")*P$185+SUMIFS('11月数据源'!$J:$J,'11月数据源'!$D:$D,$E53,'11月数据源'!$F:$F,"HK01")*P$185</f>
        <v/>
      </c>
      <c r="Q53" s="89">
        <f>-SUMIFS('12月数据源'!$I:$I,'12月数据源'!$D:$D,$E53,'12月数据源'!$F:$F,"HK01")*Q$185+SUMIFS('12月数据源'!$J:$J,'12月数据源'!$D:$D,$E53,'12月数据源'!$F:$F,"HK01")*Q$185</f>
        <v/>
      </c>
    </row>
    <row r="54" s="83">
      <c r="A54" s="5" t="inlineStr">
        <is>
          <t>制造费用</t>
        </is>
      </c>
      <c r="B54" s="5" t="inlineStr">
        <is>
          <t>制造费用</t>
        </is>
      </c>
      <c r="D54" s="5" t="inlineStr">
        <is>
          <t>运输费</t>
        </is>
      </c>
      <c r="E54" s="6" t="inlineStr">
        <is>
          <t>Q3204</t>
        </is>
      </c>
      <c r="F54" s="89">
        <f>-SUMIFS('1月数据源'!$I:$I,'1月数据源'!$D:$D,$E54,'1月数据源'!$F:$F,"HK01")*F$185+SUMIFS('1月数据源'!$J:$J,'1月数据源'!$D:$D,$E54,'1月数据源'!$F:$F,"HK01")*F$185</f>
        <v/>
      </c>
      <c r="G54" s="89">
        <f>-SUMIFS('2月数据源'!$I:$I,'2月数据源'!$D:$D,$E54,'2月数据源'!$F:$F,"HK01")*G$185+SUMIFS('2月数据源'!$J:$J,'2月数据源'!$D:$D,$E54,'2月数据源'!$F:$F,"HK01")*G$185</f>
        <v/>
      </c>
      <c r="H54" s="89">
        <f>-SUMIFS('3月数据源'!$I:$I,'3月数据源'!$D:$D,$E54,'3月数据源'!$F:$F,"HK01")*H$185+SUMIFS('3月数据源'!$J:$J,'3月数据源'!$D:$D,$E54,'3月数据源'!$F:$F,"HK01")*H$185</f>
        <v/>
      </c>
      <c r="I54" s="89">
        <f>-SUMIFS('4月数据源'!$I:$I,'4月数据源'!$D:$D,$E54,'4月数据源'!$F:$F,"HK01")*I$185+SUMIFS('4月数据源'!$J:$J,'4月数据源'!$D:$D,$E54,'4月数据源'!$F:$F,"HK01")*I$185</f>
        <v/>
      </c>
      <c r="J54" s="89">
        <f>-SUMIFS('5月数据源'!$I:$I,'5月数据源'!$D:$D,$E54,'5月数据源'!$F:$F,"HK01")*J$185+SUMIFS('5月数据源'!$J:$J,'5月数据源'!$D:$D,$E54,'5月数据源'!$F:$F,"HK01")*J$185</f>
        <v/>
      </c>
      <c r="K54" s="89">
        <f>-SUMIFS('6月数据源'!$I:$I,'6月数据源'!$D:$D,$E54,'6月数据源'!$F:$F,"HK01")*K$185+SUMIFS('6月数据源'!$J:$J,'6月数据源'!$D:$D,$E54,'6月数据源'!$F:$F,"HK01")*K$185</f>
        <v/>
      </c>
      <c r="L54" s="89">
        <f>-SUMIFS('7月数据源'!$I:$I,'7月数据源'!$D:$D,$E54,'7月数据源'!$F:$F,"HK01")*L$185+SUMIFS('7月数据源'!$J:$J,'7月数据源'!$D:$D,$E54,'7月数据源'!$F:$F,"HK01")*L$185</f>
        <v/>
      </c>
      <c r="M54" s="89">
        <f>-SUMIFS('8月数据源'!$I:$I,'8月数据源'!$D:$D,$E54,'8月数据源'!$F:$F,"HK01")*M$185+SUMIFS('8月数据源'!$J:$J,'8月数据源'!$D:$D,$E54,'8月数据源'!$F:$F,"HK01")*M$185</f>
        <v/>
      </c>
      <c r="N54" s="89">
        <f>-SUMIFS('9月数据源'!$I:$I,'9月数据源'!$D:$D,$E54,'9月数据源'!$F:$F,"HK01")*N$185+SUMIFS('9月数据源'!$J:$J,'9月数据源'!$D:$D,$E54,'9月数据源'!$F:$F,"HK01")*N$185</f>
        <v/>
      </c>
      <c r="O54" s="89">
        <f>-SUMIFS('10月数据源'!$I:$I,'10月数据源'!$D:$D,$E54,'10月数据源'!$F:$F,"HK01")*O$185+SUMIFS('10月数据源'!$J:$J,'10月数据源'!$D:$D,$E54,'10月数据源'!$F:$F,"HK01")*O$185</f>
        <v/>
      </c>
      <c r="P54" s="89">
        <f>-SUMIFS('11月数据源'!$I:$I,'11月数据源'!$D:$D,$E54,'11月数据源'!$F:$F,"HK01")*P$185+SUMIFS('11月数据源'!$J:$J,'11月数据源'!$D:$D,$E54,'11月数据源'!$F:$F,"HK01")*P$185</f>
        <v/>
      </c>
      <c r="Q54" s="89">
        <f>-SUMIFS('12月数据源'!$I:$I,'12月数据源'!$D:$D,$E54,'12月数据源'!$F:$F,"HK01")*Q$185+SUMIFS('12月数据源'!$J:$J,'12月数据源'!$D:$D,$E54,'12月数据源'!$F:$F,"HK01")*Q$185</f>
        <v/>
      </c>
    </row>
    <row r="55" s="83">
      <c r="A55" s="5" t="inlineStr">
        <is>
          <t>制造费用</t>
        </is>
      </c>
      <c r="B55" s="5" t="inlineStr">
        <is>
          <t>制造费用</t>
        </is>
      </c>
      <c r="D55" s="5" t="inlineStr">
        <is>
          <t>低值易耗品采购</t>
        </is>
      </c>
      <c r="E55" s="6" t="inlineStr">
        <is>
          <t>Q3205</t>
        </is>
      </c>
      <c r="F55" s="89">
        <f>-SUMIFS('1月数据源'!$I:$I,'1月数据源'!$D:$D,$E55,'1月数据源'!$F:$F,"HK01")*F$185+SUMIFS('1月数据源'!$J:$J,'1月数据源'!$D:$D,$E55,'1月数据源'!$F:$F,"HK01")*F$185</f>
        <v/>
      </c>
      <c r="G55" s="89">
        <f>-SUMIFS('2月数据源'!$I:$I,'2月数据源'!$D:$D,$E55,'2月数据源'!$F:$F,"HK01")*G$185+SUMIFS('2月数据源'!$J:$J,'2月数据源'!$D:$D,$E55,'2月数据源'!$F:$F,"HK01")*G$185</f>
        <v/>
      </c>
      <c r="H55" s="89">
        <f>-SUMIFS('3月数据源'!$I:$I,'3月数据源'!$D:$D,$E55,'3月数据源'!$F:$F,"HK01")*H$185+SUMIFS('3月数据源'!$J:$J,'3月数据源'!$D:$D,$E55,'3月数据源'!$F:$F,"HK01")*H$185</f>
        <v/>
      </c>
      <c r="I55" s="89">
        <f>-SUMIFS('4月数据源'!$I:$I,'4月数据源'!$D:$D,$E55,'4月数据源'!$F:$F,"HK01")*I$185+SUMIFS('4月数据源'!$J:$J,'4月数据源'!$D:$D,$E55,'4月数据源'!$F:$F,"HK01")*I$185</f>
        <v/>
      </c>
      <c r="J55" s="89">
        <f>-SUMIFS('5月数据源'!$I:$I,'5月数据源'!$D:$D,$E55,'5月数据源'!$F:$F,"HK01")*J$185+SUMIFS('5月数据源'!$J:$J,'5月数据源'!$D:$D,$E55,'5月数据源'!$F:$F,"HK01")*J$185</f>
        <v/>
      </c>
      <c r="K55" s="89">
        <f>-SUMIFS('6月数据源'!$I:$I,'6月数据源'!$D:$D,$E55,'6月数据源'!$F:$F,"HK01")*K$185+SUMIFS('6月数据源'!$J:$J,'6月数据源'!$D:$D,$E55,'6月数据源'!$F:$F,"HK01")*K$185</f>
        <v/>
      </c>
      <c r="L55" s="89">
        <f>-SUMIFS('7月数据源'!$I:$I,'7月数据源'!$D:$D,$E55,'7月数据源'!$F:$F,"HK01")*L$185+SUMIFS('7月数据源'!$J:$J,'7月数据源'!$D:$D,$E55,'7月数据源'!$F:$F,"HK01")*L$185</f>
        <v/>
      </c>
      <c r="M55" s="89">
        <f>-SUMIFS('8月数据源'!$I:$I,'8月数据源'!$D:$D,$E55,'8月数据源'!$F:$F,"HK01")*M$185+SUMIFS('8月数据源'!$J:$J,'8月数据源'!$D:$D,$E55,'8月数据源'!$F:$F,"HK01")*M$185</f>
        <v/>
      </c>
      <c r="N55" s="89">
        <f>-SUMIFS('9月数据源'!$I:$I,'9月数据源'!$D:$D,$E55,'9月数据源'!$F:$F,"HK01")*N$185+SUMIFS('9月数据源'!$J:$J,'9月数据源'!$D:$D,$E55,'9月数据源'!$F:$F,"HK01")*N$185</f>
        <v/>
      </c>
      <c r="O55" s="89">
        <f>-SUMIFS('10月数据源'!$I:$I,'10月数据源'!$D:$D,$E55,'10月数据源'!$F:$F,"HK01")*O$185+SUMIFS('10月数据源'!$J:$J,'10月数据源'!$D:$D,$E55,'10月数据源'!$F:$F,"HK01")*O$185</f>
        <v/>
      </c>
      <c r="P55" s="89">
        <f>-SUMIFS('11月数据源'!$I:$I,'11月数据源'!$D:$D,$E55,'11月数据源'!$F:$F,"HK01")*P$185+SUMIFS('11月数据源'!$J:$J,'11月数据源'!$D:$D,$E55,'11月数据源'!$F:$F,"HK01")*P$185</f>
        <v/>
      </c>
      <c r="Q55" s="89">
        <f>-SUMIFS('12月数据源'!$I:$I,'12月数据源'!$D:$D,$E55,'12月数据源'!$F:$F,"HK01")*Q$185+SUMIFS('12月数据源'!$J:$J,'12月数据源'!$D:$D,$E55,'12月数据源'!$F:$F,"HK01")*Q$185</f>
        <v/>
      </c>
    </row>
    <row r="56" s="83">
      <c r="A56" s="5" t="inlineStr">
        <is>
          <t>制造费用</t>
        </is>
      </c>
      <c r="B56" s="5" t="inlineStr">
        <is>
          <t>制造费用</t>
        </is>
      </c>
      <c r="D56" s="5" t="inlineStr">
        <is>
          <t>生产成本-员工报销</t>
        </is>
      </c>
      <c r="E56" s="6" t="inlineStr">
        <is>
          <t>Q3206</t>
        </is>
      </c>
      <c r="F56" s="89">
        <f>-SUMIFS('1月数据源'!$I:$I,'1月数据源'!$D:$D,$E56,'1月数据源'!$F:$F,"HK01")*F$185+SUMIFS('1月数据源'!$J:$J,'1月数据源'!$D:$D,$E56,'1月数据源'!$F:$F,"HK01")*F$185</f>
        <v/>
      </c>
      <c r="G56" s="89">
        <f>-SUMIFS('2月数据源'!$I:$I,'2月数据源'!$D:$D,$E56,'2月数据源'!$F:$F,"HK01")*G$185+SUMIFS('2月数据源'!$J:$J,'2月数据源'!$D:$D,$E56,'2月数据源'!$F:$F,"HK01")*G$185</f>
        <v/>
      </c>
      <c r="H56" s="89">
        <f>-SUMIFS('3月数据源'!$I:$I,'3月数据源'!$D:$D,$E56,'3月数据源'!$F:$F,"HK01")*H$185+SUMIFS('3月数据源'!$J:$J,'3月数据源'!$D:$D,$E56,'3月数据源'!$F:$F,"HK01")*H$185</f>
        <v/>
      </c>
      <c r="I56" s="89">
        <f>-SUMIFS('4月数据源'!$I:$I,'4月数据源'!$D:$D,$E56,'4月数据源'!$F:$F,"HK01")*I$185+SUMIFS('4月数据源'!$J:$J,'4月数据源'!$D:$D,$E56,'4月数据源'!$F:$F,"HK01")*I$185</f>
        <v/>
      </c>
      <c r="J56" s="89">
        <f>-SUMIFS('5月数据源'!$I:$I,'5月数据源'!$D:$D,$E56,'5月数据源'!$F:$F,"HK01")*J$185+SUMIFS('5月数据源'!$J:$J,'5月数据源'!$D:$D,$E56,'5月数据源'!$F:$F,"HK01")*J$185</f>
        <v/>
      </c>
      <c r="K56" s="89">
        <f>-SUMIFS('6月数据源'!$I:$I,'6月数据源'!$D:$D,$E56,'6月数据源'!$F:$F,"HK01")*K$185+SUMIFS('6月数据源'!$J:$J,'6月数据源'!$D:$D,$E56,'6月数据源'!$F:$F,"HK01")*K$185</f>
        <v/>
      </c>
      <c r="L56" s="89">
        <f>-SUMIFS('7月数据源'!$I:$I,'7月数据源'!$D:$D,$E56,'7月数据源'!$F:$F,"HK01")*L$185+SUMIFS('7月数据源'!$J:$J,'7月数据源'!$D:$D,$E56,'7月数据源'!$F:$F,"HK01")*L$185</f>
        <v/>
      </c>
      <c r="M56" s="89">
        <f>-SUMIFS('8月数据源'!$I:$I,'8月数据源'!$D:$D,$E56,'8月数据源'!$F:$F,"HK01")*M$185+SUMIFS('8月数据源'!$J:$J,'8月数据源'!$D:$D,$E56,'8月数据源'!$F:$F,"HK01")*M$185</f>
        <v/>
      </c>
      <c r="N56" s="89">
        <f>-SUMIFS('9月数据源'!$I:$I,'9月数据源'!$D:$D,$E56,'9月数据源'!$F:$F,"HK01")*N$185+SUMIFS('9月数据源'!$J:$J,'9月数据源'!$D:$D,$E56,'9月数据源'!$F:$F,"HK01")*N$185</f>
        <v/>
      </c>
      <c r="O56" s="89">
        <f>-SUMIFS('10月数据源'!$I:$I,'10月数据源'!$D:$D,$E56,'10月数据源'!$F:$F,"HK01")*O$185+SUMIFS('10月数据源'!$J:$J,'10月数据源'!$D:$D,$E56,'10月数据源'!$F:$F,"HK01")*O$185</f>
        <v/>
      </c>
      <c r="P56" s="89">
        <f>-SUMIFS('11月数据源'!$I:$I,'11月数据源'!$D:$D,$E56,'11月数据源'!$F:$F,"HK01")*P$185+SUMIFS('11月数据源'!$J:$J,'11月数据源'!$D:$D,$E56,'11月数据源'!$F:$F,"HK01")*P$185</f>
        <v/>
      </c>
      <c r="Q56" s="89">
        <f>-SUMIFS('12月数据源'!$I:$I,'12月数据源'!$D:$D,$E56,'12月数据源'!$F:$F,"HK01")*Q$185+SUMIFS('12月数据源'!$J:$J,'12月数据源'!$D:$D,$E56,'12月数据源'!$F:$F,"HK01")*Q$185</f>
        <v/>
      </c>
    </row>
    <row r="57" s="83">
      <c r="A57" s="5" t="inlineStr">
        <is>
          <t>制造费用</t>
        </is>
      </c>
      <c r="B57" s="5" t="inlineStr">
        <is>
          <t>制造费用</t>
        </is>
      </c>
      <c r="D57" s="5" t="inlineStr">
        <is>
          <t>包机膜</t>
        </is>
      </c>
      <c r="E57" s="6" t="inlineStr">
        <is>
          <t>Q3207</t>
        </is>
      </c>
      <c r="F57" s="89">
        <f>-SUMIFS('1月数据源'!$I:$I,'1月数据源'!$D:$D,$E57,'1月数据源'!$F:$F,"HK01")*F$185+SUMIFS('1月数据源'!$J:$J,'1月数据源'!$D:$D,$E57,'1月数据源'!$F:$F,"HK01")*F$185</f>
        <v/>
      </c>
      <c r="G57" s="89">
        <f>-SUMIFS('2月数据源'!$I:$I,'2月数据源'!$D:$D,$E57,'2月数据源'!$F:$F,"HK01")*G$185+SUMIFS('2月数据源'!$J:$J,'2月数据源'!$D:$D,$E57,'2月数据源'!$F:$F,"HK01")*G$185</f>
        <v/>
      </c>
      <c r="H57" s="89">
        <f>-SUMIFS('3月数据源'!$I:$I,'3月数据源'!$D:$D,$E57,'3月数据源'!$F:$F,"HK01")*H$185+SUMIFS('3月数据源'!$J:$J,'3月数据源'!$D:$D,$E57,'3月数据源'!$F:$F,"HK01")*H$185</f>
        <v/>
      </c>
      <c r="I57" s="89">
        <f>-SUMIFS('4月数据源'!$I:$I,'4月数据源'!$D:$D,$E57,'4月数据源'!$F:$F,"HK01")*I$185+SUMIFS('4月数据源'!$J:$J,'4月数据源'!$D:$D,$E57,'4月数据源'!$F:$F,"HK01")*I$185</f>
        <v/>
      </c>
      <c r="J57" s="89">
        <f>-SUMIFS('5月数据源'!$I:$I,'5月数据源'!$D:$D,$E57,'5月数据源'!$F:$F,"HK01")*J$185+SUMIFS('5月数据源'!$J:$J,'5月数据源'!$D:$D,$E57,'5月数据源'!$F:$F,"HK01")*J$185</f>
        <v/>
      </c>
      <c r="K57" s="89">
        <f>-SUMIFS('6月数据源'!$I:$I,'6月数据源'!$D:$D,$E57,'6月数据源'!$F:$F,"HK01")*K$185+SUMIFS('6月数据源'!$J:$J,'6月数据源'!$D:$D,$E57,'6月数据源'!$F:$F,"HK01")*K$185</f>
        <v/>
      </c>
      <c r="L57" s="89">
        <f>-SUMIFS('7月数据源'!$I:$I,'7月数据源'!$D:$D,$E57,'7月数据源'!$F:$F,"HK01")*L$185+SUMIFS('7月数据源'!$J:$J,'7月数据源'!$D:$D,$E57,'7月数据源'!$F:$F,"HK01")*L$185</f>
        <v/>
      </c>
      <c r="M57" s="89">
        <f>-SUMIFS('8月数据源'!$I:$I,'8月数据源'!$D:$D,$E57,'8月数据源'!$F:$F,"HK01")*M$185+SUMIFS('8月数据源'!$J:$J,'8月数据源'!$D:$D,$E57,'8月数据源'!$F:$F,"HK01")*M$185</f>
        <v/>
      </c>
      <c r="N57" s="89">
        <f>-SUMIFS('9月数据源'!$I:$I,'9月数据源'!$D:$D,$E57,'9月数据源'!$F:$F,"HK01")*N$185+SUMIFS('9月数据源'!$J:$J,'9月数据源'!$D:$D,$E57,'9月数据源'!$F:$F,"HK01")*N$185</f>
        <v/>
      </c>
      <c r="O57" s="89">
        <f>-SUMIFS('10月数据源'!$I:$I,'10月数据源'!$D:$D,$E57,'10月数据源'!$F:$F,"HK01")*O$185+SUMIFS('10月数据源'!$J:$J,'10月数据源'!$D:$D,$E57,'10月数据源'!$F:$F,"HK01")*O$185</f>
        <v/>
      </c>
      <c r="P57" s="89">
        <f>-SUMIFS('11月数据源'!$I:$I,'11月数据源'!$D:$D,$E57,'11月数据源'!$F:$F,"HK01")*P$185+SUMIFS('11月数据源'!$J:$J,'11月数据源'!$D:$D,$E57,'11月数据源'!$F:$F,"HK01")*P$185</f>
        <v/>
      </c>
      <c r="Q57" s="89">
        <f>-SUMIFS('12月数据源'!$I:$I,'12月数据源'!$D:$D,$E57,'12月数据源'!$F:$F,"HK01")*Q$185+SUMIFS('12月数据源'!$J:$J,'12月数据源'!$D:$D,$E57,'12月数据源'!$F:$F,"HK01")*Q$185</f>
        <v/>
      </c>
    </row>
    <row r="58" s="83">
      <c r="A58" s="5" t="inlineStr">
        <is>
          <t>制造费用</t>
        </is>
      </c>
      <c r="B58" s="5" t="inlineStr">
        <is>
          <t>制造费用</t>
        </is>
      </c>
      <c r="D58" s="5" t="inlineStr">
        <is>
          <t>贴纸/说明书</t>
        </is>
      </c>
      <c r="E58" s="6" t="inlineStr">
        <is>
          <t>Q3208</t>
        </is>
      </c>
      <c r="F58" s="89">
        <f>-SUMIFS('1月数据源'!$I:$I,'1月数据源'!$D:$D,$E58,'1月数据源'!$F:$F,"HK01")*F$185+SUMIFS('1月数据源'!$J:$J,'1月数据源'!$D:$D,$E58,'1月数据源'!$F:$F,"HK01")*F$185</f>
        <v/>
      </c>
      <c r="G58" s="89">
        <f>-SUMIFS('2月数据源'!$I:$I,'2月数据源'!$D:$D,$E58,'2月数据源'!$F:$F,"HK01")*G$185+SUMIFS('2月数据源'!$J:$J,'2月数据源'!$D:$D,$E58,'2月数据源'!$F:$F,"HK01")*G$185</f>
        <v/>
      </c>
      <c r="H58" s="89">
        <f>-SUMIFS('3月数据源'!$I:$I,'3月数据源'!$D:$D,$E58,'3月数据源'!$F:$F,"HK01")*H$185+SUMIFS('3月数据源'!$J:$J,'3月数据源'!$D:$D,$E58,'3月数据源'!$F:$F,"HK01")*H$185</f>
        <v/>
      </c>
      <c r="I58" s="89">
        <f>-SUMIFS('4月数据源'!$I:$I,'4月数据源'!$D:$D,$E58,'4月数据源'!$F:$F,"HK01")*I$185+SUMIFS('4月数据源'!$J:$J,'4月数据源'!$D:$D,$E58,'4月数据源'!$F:$F,"HK01")*I$185</f>
        <v/>
      </c>
      <c r="J58" s="89">
        <f>-SUMIFS('5月数据源'!$I:$I,'5月数据源'!$D:$D,$E58,'5月数据源'!$F:$F,"HK01")*J$185+SUMIFS('5月数据源'!$J:$J,'5月数据源'!$D:$D,$E58,'5月数据源'!$F:$F,"HK01")*J$185</f>
        <v/>
      </c>
      <c r="K58" s="89">
        <f>-SUMIFS('6月数据源'!$I:$I,'6月数据源'!$D:$D,$E58,'6月数据源'!$F:$F,"HK01")*K$185+SUMIFS('6月数据源'!$J:$J,'6月数据源'!$D:$D,$E58,'6月数据源'!$F:$F,"HK01")*K$185</f>
        <v/>
      </c>
      <c r="L58" s="89">
        <f>-SUMIFS('7月数据源'!$I:$I,'7月数据源'!$D:$D,$E58,'7月数据源'!$F:$F,"HK01")*L$185+SUMIFS('7月数据源'!$J:$J,'7月数据源'!$D:$D,$E58,'7月数据源'!$F:$F,"HK01")*L$185</f>
        <v/>
      </c>
      <c r="M58" s="89">
        <f>-SUMIFS('8月数据源'!$I:$I,'8月数据源'!$D:$D,$E58,'8月数据源'!$F:$F,"HK01")*M$185+SUMIFS('8月数据源'!$J:$J,'8月数据源'!$D:$D,$E58,'8月数据源'!$F:$F,"HK01")*M$185</f>
        <v/>
      </c>
      <c r="N58" s="89">
        <f>-SUMIFS('9月数据源'!$I:$I,'9月数据源'!$D:$D,$E58,'9月数据源'!$F:$F,"HK01")*N$185+SUMIFS('9月数据源'!$J:$J,'9月数据源'!$D:$D,$E58,'9月数据源'!$F:$F,"HK01")*N$185</f>
        <v/>
      </c>
      <c r="O58" s="89">
        <f>-SUMIFS('10月数据源'!$I:$I,'10月数据源'!$D:$D,$E58,'10月数据源'!$F:$F,"HK01")*O$185+SUMIFS('10月数据源'!$J:$J,'10月数据源'!$D:$D,$E58,'10月数据源'!$F:$F,"HK01")*O$185</f>
        <v/>
      </c>
      <c r="P58" s="89">
        <f>-SUMIFS('11月数据源'!$I:$I,'11月数据源'!$D:$D,$E58,'11月数据源'!$F:$F,"HK01")*P$185+SUMIFS('11月数据源'!$J:$J,'11月数据源'!$D:$D,$E58,'11月数据源'!$F:$F,"HK01")*P$185</f>
        <v/>
      </c>
      <c r="Q58" s="89">
        <f>-SUMIFS('12月数据源'!$I:$I,'12月数据源'!$D:$D,$E58,'12月数据源'!$F:$F,"HK01")*Q$185+SUMIFS('12月数据源'!$J:$J,'12月数据源'!$D:$D,$E58,'12月数据源'!$F:$F,"HK01")*Q$185</f>
        <v/>
      </c>
    </row>
    <row r="59" s="83">
      <c r="A59" s="5" t="inlineStr">
        <is>
          <t>制造费用</t>
        </is>
      </c>
      <c r="B59" s="5" t="inlineStr">
        <is>
          <t>制造费用</t>
        </is>
      </c>
      <c r="D59" s="5" t="inlineStr">
        <is>
          <t>笔尖</t>
        </is>
      </c>
      <c r="E59" s="6" t="inlineStr">
        <is>
          <t>Q3209</t>
        </is>
      </c>
      <c r="F59" s="89">
        <f>-SUMIFS('1月数据源'!$I:$I,'1月数据源'!$D:$D,$E59,'1月数据源'!$F:$F,"HK01")*F$185+SUMIFS('1月数据源'!$J:$J,'1月数据源'!$D:$D,$E59,'1月数据源'!$F:$F,"HK01")*F$185</f>
        <v/>
      </c>
      <c r="G59" s="89">
        <f>-SUMIFS('2月数据源'!$I:$I,'2月数据源'!$D:$D,$E59,'2月数据源'!$F:$F,"HK01")*G$185+SUMIFS('2月数据源'!$J:$J,'2月数据源'!$D:$D,$E59,'2月数据源'!$F:$F,"HK01")*G$185</f>
        <v/>
      </c>
      <c r="H59" s="89">
        <f>-SUMIFS('3月数据源'!$I:$I,'3月数据源'!$D:$D,$E59,'3月数据源'!$F:$F,"HK01")*H$185+SUMIFS('3月数据源'!$J:$J,'3月数据源'!$D:$D,$E59,'3月数据源'!$F:$F,"HK01")*H$185</f>
        <v/>
      </c>
      <c r="I59" s="89">
        <f>-SUMIFS('4月数据源'!$I:$I,'4月数据源'!$D:$D,$E59,'4月数据源'!$F:$F,"HK01")*I$185+SUMIFS('4月数据源'!$J:$J,'4月数据源'!$D:$D,$E59,'4月数据源'!$F:$F,"HK01")*I$185</f>
        <v/>
      </c>
      <c r="J59" s="89">
        <f>-SUMIFS('5月数据源'!$I:$I,'5月数据源'!$D:$D,$E59,'5月数据源'!$F:$F,"HK01")*J$185+SUMIFS('5月数据源'!$J:$J,'5月数据源'!$D:$D,$E59,'5月数据源'!$F:$F,"HK01")*J$185</f>
        <v/>
      </c>
      <c r="K59" s="89">
        <f>-SUMIFS('6月数据源'!$I:$I,'6月数据源'!$D:$D,$E59,'6月数据源'!$F:$F,"HK01")*K$185+SUMIFS('6月数据源'!$J:$J,'6月数据源'!$D:$D,$E59,'6月数据源'!$F:$F,"HK01")*K$185</f>
        <v/>
      </c>
      <c r="L59" s="89">
        <f>-SUMIFS('7月数据源'!$I:$I,'7月数据源'!$D:$D,$E59,'7月数据源'!$F:$F,"HK01")*L$185+SUMIFS('7月数据源'!$J:$J,'7月数据源'!$D:$D,$E59,'7月数据源'!$F:$F,"HK01")*L$185</f>
        <v/>
      </c>
      <c r="M59" s="89">
        <f>-SUMIFS('8月数据源'!$I:$I,'8月数据源'!$D:$D,$E59,'8月数据源'!$F:$F,"HK01")*M$185+SUMIFS('8月数据源'!$J:$J,'8月数据源'!$D:$D,$E59,'8月数据源'!$F:$F,"HK01")*M$185</f>
        <v/>
      </c>
      <c r="N59" s="89">
        <f>-SUMIFS('9月数据源'!$I:$I,'9月数据源'!$D:$D,$E59,'9月数据源'!$F:$F,"HK01")*N$185+SUMIFS('9月数据源'!$J:$J,'9月数据源'!$D:$D,$E59,'9月数据源'!$F:$F,"HK01")*N$185</f>
        <v/>
      </c>
      <c r="O59" s="89">
        <f>-SUMIFS('10月数据源'!$I:$I,'10月数据源'!$D:$D,$E59,'10月数据源'!$F:$F,"HK01")*O$185+SUMIFS('10月数据源'!$J:$J,'10月数据源'!$D:$D,$E59,'10月数据源'!$F:$F,"HK01")*O$185</f>
        <v/>
      </c>
      <c r="P59" s="89">
        <f>-SUMIFS('11月数据源'!$I:$I,'11月数据源'!$D:$D,$E59,'11月数据源'!$F:$F,"HK01")*P$185+SUMIFS('11月数据源'!$J:$J,'11月数据源'!$D:$D,$E59,'11月数据源'!$F:$F,"HK01")*P$185</f>
        <v/>
      </c>
      <c r="Q59" s="89">
        <f>-SUMIFS('12月数据源'!$I:$I,'12月数据源'!$D:$D,$E59,'12月数据源'!$F:$F,"HK01")*Q$185+SUMIFS('12月数据源'!$J:$J,'12月数据源'!$D:$D,$E59,'12月数据源'!$F:$F,"HK01")*Q$185</f>
        <v/>
      </c>
    </row>
    <row r="60" s="83">
      <c r="A60" s="5" t="inlineStr">
        <is>
          <t>制造费用</t>
        </is>
      </c>
      <c r="B60" s="5" t="inlineStr">
        <is>
          <t>制造费用</t>
        </is>
      </c>
      <c r="D60" s="5" t="inlineStr">
        <is>
          <t>华泰租金</t>
        </is>
      </c>
      <c r="E60" s="6" t="inlineStr">
        <is>
          <t>Q3210</t>
        </is>
      </c>
      <c r="F60" s="89">
        <f>-SUMIFS('1月数据源'!$I:$I,'1月数据源'!$D:$D,$E60,'1月数据源'!$F:$F,"HK01")*F$185+SUMIFS('1月数据源'!$J:$J,'1月数据源'!$D:$D,$E60,'1月数据源'!$F:$F,"HK01")*F$185</f>
        <v/>
      </c>
      <c r="G60" s="89">
        <f>-SUMIFS('2月数据源'!$I:$I,'2月数据源'!$D:$D,$E60,'2月数据源'!$F:$F,"HK01")*G$185+SUMIFS('2月数据源'!$J:$J,'2月数据源'!$D:$D,$E60,'2月数据源'!$F:$F,"HK01")*G$185</f>
        <v/>
      </c>
      <c r="H60" s="89">
        <f>-SUMIFS('3月数据源'!$I:$I,'3月数据源'!$D:$D,$E60,'3月数据源'!$F:$F,"HK01")*H$185+SUMIFS('3月数据源'!$J:$J,'3月数据源'!$D:$D,$E60,'3月数据源'!$F:$F,"HK01")*H$185</f>
        <v/>
      </c>
      <c r="I60" s="89">
        <f>-SUMIFS('4月数据源'!$I:$I,'4月数据源'!$D:$D,$E60,'4月数据源'!$F:$F,"HK01")*I$185+SUMIFS('4月数据源'!$J:$J,'4月数据源'!$D:$D,$E60,'4月数据源'!$F:$F,"HK01")*I$185</f>
        <v/>
      </c>
      <c r="J60" s="89">
        <f>-SUMIFS('5月数据源'!$I:$I,'5月数据源'!$D:$D,$E60,'5月数据源'!$F:$F,"HK01")*J$185+SUMIFS('5月数据源'!$J:$J,'5月数据源'!$D:$D,$E60,'5月数据源'!$F:$F,"HK01")*J$185</f>
        <v/>
      </c>
      <c r="K60" s="89">
        <f>-SUMIFS('6月数据源'!$I:$I,'6月数据源'!$D:$D,$E60,'6月数据源'!$F:$F,"HK01")*K$185+SUMIFS('6月数据源'!$J:$J,'6月数据源'!$D:$D,$E60,'6月数据源'!$F:$F,"HK01")*K$185</f>
        <v/>
      </c>
      <c r="L60" s="89">
        <f>-SUMIFS('7月数据源'!$I:$I,'7月数据源'!$D:$D,$E60,'7月数据源'!$F:$F,"HK01")*L$185+SUMIFS('7月数据源'!$J:$J,'7月数据源'!$D:$D,$E60,'7月数据源'!$F:$F,"HK01")*L$185</f>
        <v/>
      </c>
      <c r="M60" s="89">
        <f>-SUMIFS('8月数据源'!$I:$I,'8月数据源'!$D:$D,$E60,'8月数据源'!$F:$F,"HK01")*M$185+SUMIFS('8月数据源'!$J:$J,'8月数据源'!$D:$D,$E60,'8月数据源'!$F:$F,"HK01")*M$185</f>
        <v/>
      </c>
      <c r="N60" s="89">
        <f>-SUMIFS('9月数据源'!$I:$I,'9月数据源'!$D:$D,$E60,'9月数据源'!$F:$F,"HK01")*N$185+SUMIFS('9月数据源'!$J:$J,'9月数据源'!$D:$D,$E60,'9月数据源'!$F:$F,"HK01")*N$185</f>
        <v/>
      </c>
      <c r="O60" s="89">
        <f>-SUMIFS('10月数据源'!$I:$I,'10月数据源'!$D:$D,$E60,'10月数据源'!$F:$F,"HK01")*O$185+SUMIFS('10月数据源'!$J:$J,'10月数据源'!$D:$D,$E60,'10月数据源'!$F:$F,"HK01")*O$185</f>
        <v/>
      </c>
      <c r="P60" s="89">
        <f>-SUMIFS('11月数据源'!$I:$I,'11月数据源'!$D:$D,$E60,'11月数据源'!$F:$F,"HK01")*P$185+SUMIFS('11月数据源'!$J:$J,'11月数据源'!$D:$D,$E60,'11月数据源'!$F:$F,"HK01")*P$185</f>
        <v/>
      </c>
      <c r="Q60" s="89">
        <f>-SUMIFS('12月数据源'!$I:$I,'12月数据源'!$D:$D,$E60,'12月数据源'!$F:$F,"HK01")*Q$185+SUMIFS('12月数据源'!$J:$J,'12月数据源'!$D:$D,$E60,'12月数据源'!$F:$F,"HK01")*Q$185</f>
        <v/>
      </c>
    </row>
    <row r="61" s="83">
      <c r="A61" s="5" t="inlineStr">
        <is>
          <t>制造费用</t>
        </is>
      </c>
      <c r="B61" s="5" t="inlineStr">
        <is>
          <t>制造费用</t>
        </is>
      </c>
      <c r="D61" s="5" t="inlineStr">
        <is>
          <t>华泰水电费</t>
        </is>
      </c>
      <c r="E61" s="6" t="inlineStr">
        <is>
          <t>Q3211</t>
        </is>
      </c>
      <c r="F61" s="89">
        <f>-SUMIFS('1月数据源'!$I:$I,'1月数据源'!$D:$D,$E61,'1月数据源'!$F:$F,"HK01")*F$185+SUMIFS('1月数据源'!$J:$J,'1月数据源'!$D:$D,$E61,'1月数据源'!$F:$F,"HK01")*F$185</f>
        <v/>
      </c>
      <c r="G61" s="89">
        <f>-SUMIFS('2月数据源'!$I:$I,'2月数据源'!$D:$D,$E61,'2月数据源'!$F:$F,"HK01")*G$185+SUMIFS('2月数据源'!$J:$J,'2月数据源'!$D:$D,$E61,'2月数据源'!$F:$F,"HK01")*G$185</f>
        <v/>
      </c>
      <c r="H61" s="89">
        <f>-SUMIFS('3月数据源'!$I:$I,'3月数据源'!$D:$D,$E61,'3月数据源'!$F:$F,"HK01")*H$185+SUMIFS('3月数据源'!$J:$J,'3月数据源'!$D:$D,$E61,'3月数据源'!$F:$F,"HK01")*H$185</f>
        <v/>
      </c>
      <c r="I61" s="89">
        <f>-SUMIFS('4月数据源'!$I:$I,'4月数据源'!$D:$D,$E61,'4月数据源'!$F:$F,"HK01")*I$185+SUMIFS('4月数据源'!$J:$J,'4月数据源'!$D:$D,$E61,'4月数据源'!$F:$F,"HK01")*I$185</f>
        <v/>
      </c>
      <c r="J61" s="89">
        <f>-SUMIFS('5月数据源'!$I:$I,'5月数据源'!$D:$D,$E61,'5月数据源'!$F:$F,"HK01")*J$185+SUMIFS('5月数据源'!$J:$J,'5月数据源'!$D:$D,$E61,'5月数据源'!$F:$F,"HK01")*J$185</f>
        <v/>
      </c>
      <c r="K61" s="89">
        <f>-SUMIFS('6月数据源'!$I:$I,'6月数据源'!$D:$D,$E61,'6月数据源'!$F:$F,"HK01")*K$185+SUMIFS('6月数据源'!$J:$J,'6月数据源'!$D:$D,$E61,'6月数据源'!$F:$F,"HK01")*K$185</f>
        <v/>
      </c>
      <c r="L61" s="89">
        <f>-SUMIFS('7月数据源'!$I:$I,'7月数据源'!$D:$D,$E61,'7月数据源'!$F:$F,"HK01")*L$185+SUMIFS('7月数据源'!$J:$J,'7月数据源'!$D:$D,$E61,'7月数据源'!$F:$F,"HK01")*L$185</f>
        <v/>
      </c>
      <c r="M61" s="89">
        <f>-SUMIFS('8月数据源'!$I:$I,'8月数据源'!$D:$D,$E61,'8月数据源'!$F:$F,"HK01")*M$185+SUMIFS('8月数据源'!$J:$J,'8月数据源'!$D:$D,$E61,'8月数据源'!$F:$F,"HK01")*M$185</f>
        <v/>
      </c>
      <c r="N61" s="89">
        <f>-SUMIFS('9月数据源'!$I:$I,'9月数据源'!$D:$D,$E61,'9月数据源'!$F:$F,"HK01")*N$185+SUMIFS('9月数据源'!$J:$J,'9月数据源'!$D:$D,$E61,'9月数据源'!$F:$F,"HK01")*N$185</f>
        <v/>
      </c>
      <c r="O61" s="89">
        <f>-SUMIFS('10月数据源'!$I:$I,'10月数据源'!$D:$D,$E61,'10月数据源'!$F:$F,"HK01")*O$185+SUMIFS('10月数据源'!$J:$J,'10月数据源'!$D:$D,$E61,'10月数据源'!$F:$F,"HK01")*O$185</f>
        <v/>
      </c>
      <c r="P61" s="89">
        <f>-SUMIFS('11月数据源'!$I:$I,'11月数据源'!$D:$D,$E61,'11月数据源'!$F:$F,"HK01")*P$185+SUMIFS('11月数据源'!$J:$J,'11月数据源'!$D:$D,$E61,'11月数据源'!$F:$F,"HK01")*P$185</f>
        <v/>
      </c>
      <c r="Q61" s="89">
        <f>-SUMIFS('12月数据源'!$I:$I,'12月数据源'!$D:$D,$E61,'12月数据源'!$F:$F,"HK01")*Q$185+SUMIFS('12月数据源'!$J:$J,'12月数据源'!$D:$D,$E61,'12月数据源'!$F:$F,"HK01")*Q$185</f>
        <v/>
      </c>
    </row>
    <row r="62" s="83">
      <c r="A62" s="5" t="inlineStr">
        <is>
          <t>制造费用</t>
        </is>
      </c>
      <c r="B62" s="5" t="inlineStr">
        <is>
          <t>制造费用</t>
        </is>
      </c>
      <c r="D62" s="5" t="inlineStr">
        <is>
          <t>华泰装修费</t>
        </is>
      </c>
      <c r="E62" s="6" t="inlineStr">
        <is>
          <t>Q3212</t>
        </is>
      </c>
      <c r="F62" s="89">
        <f>-SUMIFS('1月数据源'!$I:$I,'1月数据源'!$D:$D,$E62,'1月数据源'!$F:$F,"HK01")*F$185+SUMIFS('1月数据源'!$J:$J,'1月数据源'!$D:$D,$E62,'1月数据源'!$F:$F,"HK01")*F$185</f>
        <v/>
      </c>
      <c r="G62" s="89">
        <f>-SUMIFS('2月数据源'!$I:$I,'2月数据源'!$D:$D,$E62,'2月数据源'!$F:$F,"HK01")*G$185+SUMIFS('2月数据源'!$J:$J,'2月数据源'!$D:$D,$E62,'2月数据源'!$F:$F,"HK01")*G$185</f>
        <v/>
      </c>
      <c r="H62" s="89">
        <f>-SUMIFS('3月数据源'!$I:$I,'3月数据源'!$D:$D,$E62,'3月数据源'!$F:$F,"HK01")*H$185+SUMIFS('3月数据源'!$J:$J,'3月数据源'!$D:$D,$E62,'3月数据源'!$F:$F,"HK01")*H$185</f>
        <v/>
      </c>
      <c r="I62" s="89">
        <f>-SUMIFS('4月数据源'!$I:$I,'4月数据源'!$D:$D,$E62,'4月数据源'!$F:$F,"HK01")*I$185+SUMIFS('4月数据源'!$J:$J,'4月数据源'!$D:$D,$E62,'4月数据源'!$F:$F,"HK01")*I$185</f>
        <v/>
      </c>
      <c r="J62" s="89">
        <f>-SUMIFS('5月数据源'!$I:$I,'5月数据源'!$D:$D,$E62,'5月数据源'!$F:$F,"HK01")*J$185+SUMIFS('5月数据源'!$J:$J,'5月数据源'!$D:$D,$E62,'5月数据源'!$F:$F,"HK01")*J$185</f>
        <v/>
      </c>
      <c r="K62" s="89">
        <f>-SUMIFS('6月数据源'!$I:$I,'6月数据源'!$D:$D,$E62,'6月数据源'!$F:$F,"HK01")*K$185+SUMIFS('6月数据源'!$J:$J,'6月数据源'!$D:$D,$E62,'6月数据源'!$F:$F,"HK01")*K$185</f>
        <v/>
      </c>
      <c r="L62" s="89">
        <f>-SUMIFS('7月数据源'!$I:$I,'7月数据源'!$D:$D,$E62,'7月数据源'!$F:$F,"HK01")*L$185+SUMIFS('7月数据源'!$J:$J,'7月数据源'!$D:$D,$E62,'7月数据源'!$F:$F,"HK01")*L$185</f>
        <v/>
      </c>
      <c r="M62" s="89">
        <f>-SUMIFS('8月数据源'!$I:$I,'8月数据源'!$D:$D,$E62,'8月数据源'!$F:$F,"HK01")*M$185+SUMIFS('8月数据源'!$J:$J,'8月数据源'!$D:$D,$E62,'8月数据源'!$F:$F,"HK01")*M$185</f>
        <v/>
      </c>
      <c r="N62" s="89">
        <f>-SUMIFS('9月数据源'!$I:$I,'9月数据源'!$D:$D,$E62,'9月数据源'!$F:$F,"HK01")*N$185+SUMIFS('9月数据源'!$J:$J,'9月数据源'!$D:$D,$E62,'9月数据源'!$F:$F,"HK01")*N$185</f>
        <v/>
      </c>
      <c r="O62" s="89">
        <f>-SUMIFS('10月数据源'!$I:$I,'10月数据源'!$D:$D,$E62,'10月数据源'!$F:$F,"HK01")*O$185+SUMIFS('10月数据源'!$J:$J,'10月数据源'!$D:$D,$E62,'10月数据源'!$F:$F,"HK01")*O$185</f>
        <v/>
      </c>
      <c r="P62" s="89">
        <f>-SUMIFS('11月数据源'!$I:$I,'11月数据源'!$D:$D,$E62,'11月数据源'!$F:$F,"HK01")*P$185+SUMIFS('11月数据源'!$J:$J,'11月数据源'!$D:$D,$E62,'11月数据源'!$F:$F,"HK01")*P$185</f>
        <v/>
      </c>
      <c r="Q62" s="89">
        <f>-SUMIFS('12月数据源'!$I:$I,'12月数据源'!$D:$D,$E62,'12月数据源'!$F:$F,"HK01")*Q$185+SUMIFS('12月数据源'!$J:$J,'12月数据源'!$D:$D,$E62,'12月数据源'!$F:$F,"HK01")*Q$185</f>
        <v/>
      </c>
    </row>
    <row r="63" s="83">
      <c r="A63" s="49" t="inlineStr">
        <is>
          <t>制造费用合计</t>
        </is>
      </c>
      <c r="B63" s="50" t="n"/>
      <c r="C63" s="50" t="n"/>
      <c r="D63" s="49" t="n"/>
      <c r="E63" s="49" t="n"/>
      <c r="F63" s="89">
        <f>SUM(F51:F62)</f>
        <v/>
      </c>
      <c r="G63" s="89">
        <f>SUM(G51:G62)</f>
        <v/>
      </c>
      <c r="H63" s="89">
        <f>SUM(H51:H62)</f>
        <v/>
      </c>
      <c r="I63" s="89">
        <f>SUM(I51:I62)</f>
        <v/>
      </c>
      <c r="J63" s="89">
        <f>SUM(J51:J62)</f>
        <v/>
      </c>
      <c r="K63" s="89">
        <f>SUM(K51:K62)</f>
        <v/>
      </c>
      <c r="L63" s="89">
        <f>SUM(L51:L62)</f>
        <v/>
      </c>
      <c r="M63" s="89">
        <f>SUM(M51:M62)</f>
        <v/>
      </c>
      <c r="N63" s="89">
        <f>SUM(N51:N62)</f>
        <v/>
      </c>
      <c r="O63" s="89">
        <f>SUM(O51:O62)</f>
        <v/>
      </c>
      <c r="P63" s="89">
        <f>SUM(P51:P62)</f>
        <v/>
      </c>
      <c r="Q63" s="89">
        <f>SUM(Q51:Q62)</f>
        <v/>
      </c>
    </row>
    <row r="64" s="83">
      <c r="A64" s="5" t="inlineStr">
        <is>
          <t>自习室支出</t>
        </is>
      </c>
      <c r="B64" s="5" t="inlineStr">
        <is>
          <t>自习室支出</t>
        </is>
      </c>
      <c r="C64" s="6" t="inlineStr">
        <is>
          <t>自习室支出</t>
        </is>
      </c>
      <c r="D64" s="5" t="inlineStr">
        <is>
          <t>人力成本</t>
        </is>
      </c>
      <c r="E64" s="53" t="n"/>
      <c r="G64" s="89" t="n"/>
      <c r="H64" s="89" t="n"/>
      <c r="I64" s="89" t="n"/>
      <c r="J64" s="89" t="n"/>
      <c r="K64" s="89" t="n"/>
      <c r="L64" s="89" t="n"/>
      <c r="M64" s="89" t="n"/>
      <c r="N64" s="89" t="n"/>
      <c r="O64" s="89" t="n"/>
      <c r="P64" s="89" t="n"/>
      <c r="Q64" s="89" t="n"/>
    </row>
    <row r="65" s="83">
      <c r="A65" s="5" t="inlineStr">
        <is>
          <t>自习室支出</t>
        </is>
      </c>
      <c r="B65" s="5" t="inlineStr">
        <is>
          <t>自习室支出</t>
        </is>
      </c>
      <c r="D65" s="5" t="inlineStr">
        <is>
          <t>装修支出</t>
        </is>
      </c>
      <c r="E65" s="53" t="n"/>
      <c r="G65" s="89" t="n"/>
      <c r="H65" s="89" t="n"/>
      <c r="I65" s="89" t="n"/>
      <c r="J65" s="89" t="n"/>
      <c r="K65" s="89" t="n"/>
      <c r="L65" s="89" t="n"/>
      <c r="M65" s="89" t="n"/>
      <c r="N65" s="89" t="n"/>
      <c r="O65" s="89" t="n"/>
      <c r="P65" s="89" t="n"/>
      <c r="Q65" s="89" t="n"/>
    </row>
    <row r="66" s="83">
      <c r="A66" s="5" t="inlineStr">
        <is>
          <t>自习室支出</t>
        </is>
      </c>
      <c r="B66" s="5" t="inlineStr">
        <is>
          <t>自习室支出</t>
        </is>
      </c>
      <c r="D66" s="5" t="inlineStr">
        <is>
          <t>推广费用</t>
        </is>
      </c>
      <c r="E66" s="53" t="n"/>
      <c r="G66" s="89" t="n"/>
      <c r="H66" s="89" t="n"/>
      <c r="I66" s="89" t="n"/>
      <c r="J66" s="89" t="n"/>
      <c r="K66" s="89" t="n"/>
      <c r="L66" s="89" t="n"/>
      <c r="M66" s="89" t="n"/>
      <c r="N66" s="89" t="n"/>
      <c r="O66" s="89" t="n"/>
      <c r="P66" s="89" t="n"/>
      <c r="Q66" s="89" t="n"/>
    </row>
    <row r="67" s="83">
      <c r="A67" s="5" t="inlineStr">
        <is>
          <t>自习室支出</t>
        </is>
      </c>
      <c r="B67" s="5" t="inlineStr">
        <is>
          <t>自习室支出</t>
        </is>
      </c>
      <c r="D67" s="5" t="inlineStr">
        <is>
          <t>管理系统</t>
        </is>
      </c>
      <c r="E67" s="53" t="n"/>
      <c r="G67" s="89" t="n"/>
      <c r="H67" s="89" t="n"/>
      <c r="I67" s="89" t="n"/>
      <c r="J67" s="89" t="n"/>
      <c r="K67" s="89" t="n"/>
      <c r="L67" s="89" t="n"/>
      <c r="M67" s="89" t="n"/>
      <c r="N67" s="89" t="n"/>
      <c r="O67" s="89" t="n"/>
      <c r="P67" s="89" t="n"/>
      <c r="Q67" s="89" t="n"/>
    </row>
    <row r="68" s="83">
      <c r="A68" s="5" t="inlineStr">
        <is>
          <t>自习室支出</t>
        </is>
      </c>
      <c r="B68" s="5" t="inlineStr">
        <is>
          <t>自习室支出</t>
        </is>
      </c>
      <c r="D68" s="5" t="inlineStr">
        <is>
          <t>其他经营支出</t>
        </is>
      </c>
      <c r="E68" s="53" t="n"/>
      <c r="G68" s="89" t="n"/>
      <c r="H68" s="89" t="n"/>
      <c r="I68" s="89" t="n"/>
      <c r="J68" s="89" t="n"/>
      <c r="K68" s="89" t="n"/>
      <c r="L68" s="89" t="n"/>
      <c r="M68" s="89" t="n"/>
      <c r="N68" s="89" t="n"/>
      <c r="O68" s="89" t="n"/>
      <c r="P68" s="89" t="n"/>
      <c r="Q68" s="89" t="n"/>
    </row>
    <row r="69" s="83">
      <c r="A69" s="49" t="inlineStr">
        <is>
          <t>自习室支出合计</t>
        </is>
      </c>
      <c r="B69" s="50" t="n"/>
      <c r="C69" s="50" t="n"/>
      <c r="D69" s="49" t="n"/>
      <c r="E69" s="49" t="n"/>
      <c r="F69" s="89">
        <f>SUM('SMART AI LIMITED:HK01'!F64:F68)</f>
        <v/>
      </c>
      <c r="G69" s="89">
        <f>SUM('SMART AI LIMITED:HK01'!G64:G68)</f>
        <v/>
      </c>
      <c r="H69" s="89">
        <f>SUM('SMART AI LIMITED:HK01'!H64:H68)</f>
        <v/>
      </c>
      <c r="I69" s="89">
        <f>SUM('SMART AI LIMITED:HK01'!I64:I68)</f>
        <v/>
      </c>
      <c r="J69" s="89">
        <f>SUM('SMART AI LIMITED:HK01'!J64:J68)</f>
        <v/>
      </c>
      <c r="K69" s="89">
        <f>SUM('SMART AI LIMITED:HK01'!K64:K68)</f>
        <v/>
      </c>
      <c r="L69" s="89">
        <f>SUM('SMART AI LIMITED:HK01'!L64:L68)</f>
        <v/>
      </c>
      <c r="M69" s="89">
        <f>SUM('SMART AI LIMITED:HK01'!M64:M68)</f>
        <v/>
      </c>
      <c r="N69" s="89">
        <f>SUM('SMART AI LIMITED:HK01'!N64:N68)</f>
        <v/>
      </c>
      <c r="O69" s="89">
        <f>SUM('SMART AI LIMITED:HK01'!O64:O68)</f>
        <v/>
      </c>
      <c r="P69" s="89">
        <f>SUM('SMART AI LIMITED:HK01'!P64:P68)</f>
        <v/>
      </c>
      <c r="Q69" s="89">
        <f>SUM('SMART AI LIMITED:HK01'!Q64:Q68)</f>
        <v/>
      </c>
    </row>
    <row r="70" s="83">
      <c r="A70" s="5" t="inlineStr">
        <is>
          <t>研发支出</t>
        </is>
      </c>
      <c r="B70" s="6" t="inlineStr">
        <is>
          <t>产品开发-MAX</t>
        </is>
      </c>
      <c r="C70" s="6" t="inlineStr">
        <is>
          <t>产品开发-MAX</t>
        </is>
      </c>
      <c r="D70" s="5" t="inlineStr">
        <is>
          <t>检测费</t>
        </is>
      </c>
      <c r="E70" s="6" t="inlineStr">
        <is>
          <t>Q1201</t>
        </is>
      </c>
      <c r="F70" s="89">
        <f>-SUMIFS('1月数据源'!$I:$I,'1月数据源'!$D:$D,$E70,'1月数据源'!$F:$F,"HK01")*F$185+SUMIFS('1月数据源'!$J:$J,'1月数据源'!$D:$D,$E70,'1月数据源'!$F:$F,"HK01")*F$185</f>
        <v/>
      </c>
      <c r="G70" s="89">
        <f>-SUMIFS('2月数据源'!$I:$I,'2月数据源'!$D:$D,$E70,'2月数据源'!$F:$F,"HK01")*G$185+SUMIFS('2月数据源'!$J:$J,'2月数据源'!$D:$D,$E70,'2月数据源'!$F:$F,"HK01")*G$185</f>
        <v/>
      </c>
      <c r="H70" s="89">
        <f>-SUMIFS('3月数据源'!$I:$I,'3月数据源'!$D:$D,$E70,'3月数据源'!$F:$F,"HK01")*H$185+SUMIFS('3月数据源'!$J:$J,'3月数据源'!$D:$D,$E70,'3月数据源'!$F:$F,"HK01")*H$185</f>
        <v/>
      </c>
      <c r="I70" s="89">
        <f>-SUMIFS('4月数据源'!$I:$I,'4月数据源'!$D:$D,$E70,'4月数据源'!$F:$F,"HK01")*I$185+SUMIFS('4月数据源'!$J:$J,'4月数据源'!$D:$D,$E70,'4月数据源'!$F:$F,"HK01")*I$185</f>
        <v/>
      </c>
      <c r="J70" s="89">
        <f>-SUMIFS('5月数据源'!$I:$I,'5月数据源'!$D:$D,$E70,'5月数据源'!$F:$F,"HK01")*J$185+SUMIFS('5月数据源'!$J:$J,'5月数据源'!$D:$D,$E70,'5月数据源'!$F:$F,"HK01")*J$185</f>
        <v/>
      </c>
      <c r="K70" s="89">
        <f>-SUMIFS('6月数据源'!$I:$I,'6月数据源'!$D:$D,$E70,'6月数据源'!$F:$F,"HK01")*K$185+SUMIFS('6月数据源'!$J:$J,'6月数据源'!$D:$D,$E70,'6月数据源'!$F:$F,"HK01")*K$185</f>
        <v/>
      </c>
      <c r="L70" s="89">
        <f>-SUMIFS('7月数据源'!$I:$I,'7月数据源'!$D:$D,$E70,'7月数据源'!$F:$F,"HK01")*L$185+SUMIFS('7月数据源'!$J:$J,'7月数据源'!$D:$D,$E70,'7月数据源'!$F:$F,"HK01")*L$185</f>
        <v/>
      </c>
      <c r="M70" s="89">
        <f>-SUMIFS('8月数据源'!$I:$I,'8月数据源'!$D:$D,$E70,'8月数据源'!$F:$F,"HK01")*M$185+SUMIFS('8月数据源'!$J:$J,'8月数据源'!$D:$D,$E70,'8月数据源'!$F:$F,"HK01")*M$185</f>
        <v/>
      </c>
      <c r="N70" s="89">
        <f>-SUMIFS('9月数据源'!$I:$I,'9月数据源'!$D:$D,$E70,'9月数据源'!$F:$F,"HK01")*N$185+SUMIFS('9月数据源'!$J:$J,'9月数据源'!$D:$D,$E70,'9月数据源'!$F:$F,"HK01")*N$185</f>
        <v/>
      </c>
      <c r="O70" s="89">
        <f>-SUMIFS('10月数据源'!$I:$I,'10月数据源'!$D:$D,$E70,'10月数据源'!$F:$F,"HK01")*O$185+SUMIFS('10月数据源'!$J:$J,'10月数据源'!$D:$D,$E70,'10月数据源'!$F:$F,"HK01")*O$185</f>
        <v/>
      </c>
      <c r="P70" s="89">
        <f>-SUMIFS('11月数据源'!$I:$I,'11月数据源'!$D:$D,$E70,'11月数据源'!$F:$F,"HK01")*P$185+SUMIFS('11月数据源'!$J:$J,'11月数据源'!$D:$D,$E70,'11月数据源'!$F:$F,"HK01")*P$185</f>
        <v/>
      </c>
      <c r="Q70" s="89">
        <f>-SUMIFS('12月数据源'!$I:$I,'12月数据源'!$D:$D,$E70,'12月数据源'!$F:$F,"HK01")*Q$185+SUMIFS('12月数据源'!$J:$J,'12月数据源'!$D:$D,$E70,'12月数据源'!$F:$F,"HK01")*Q$185</f>
        <v/>
      </c>
    </row>
    <row r="71" s="83">
      <c r="A71" s="5" t="inlineStr">
        <is>
          <t>研发支出</t>
        </is>
      </c>
      <c r="B71" s="6" t="inlineStr">
        <is>
          <t>产品开发-MAX</t>
        </is>
      </c>
      <c r="D71" s="5" t="inlineStr">
        <is>
          <t>认证费</t>
        </is>
      </c>
      <c r="E71" s="6" t="inlineStr">
        <is>
          <t>Q1202</t>
        </is>
      </c>
      <c r="F71" s="89">
        <f>-SUMIFS('1月数据源'!$I:$I,'1月数据源'!$D:$D,$E71,'1月数据源'!$F:$F,"HK01")*F$185+SUMIFS('1月数据源'!$J:$J,'1月数据源'!$D:$D,$E71,'1月数据源'!$F:$F,"HK01")*F$185</f>
        <v/>
      </c>
      <c r="G71" s="89">
        <f>-SUMIFS('2月数据源'!$I:$I,'2月数据源'!$D:$D,$E71,'2月数据源'!$F:$F,"HK01")*G$185+SUMIFS('2月数据源'!$J:$J,'2月数据源'!$D:$D,$E71,'2月数据源'!$F:$F,"HK01")*G$185</f>
        <v/>
      </c>
      <c r="H71" s="89">
        <f>-SUMIFS('3月数据源'!$I:$I,'3月数据源'!$D:$D,$E71,'3月数据源'!$F:$F,"HK01")*H$185+SUMIFS('3月数据源'!$J:$J,'3月数据源'!$D:$D,$E71,'3月数据源'!$F:$F,"HK01")*H$185</f>
        <v/>
      </c>
      <c r="I71" s="89">
        <f>-SUMIFS('4月数据源'!$I:$I,'4月数据源'!$D:$D,$E71,'4月数据源'!$F:$F,"HK01")*I$185+SUMIFS('4月数据源'!$J:$J,'4月数据源'!$D:$D,$E71,'4月数据源'!$F:$F,"HK01")*I$185</f>
        <v/>
      </c>
      <c r="J71" s="89">
        <f>-SUMIFS('5月数据源'!$I:$I,'5月数据源'!$D:$D,$E71,'5月数据源'!$F:$F,"HK01")*J$185+SUMIFS('5月数据源'!$J:$J,'5月数据源'!$D:$D,$E71,'5月数据源'!$F:$F,"HK01")*J$185</f>
        <v/>
      </c>
      <c r="K71" s="89">
        <f>-SUMIFS('6月数据源'!$I:$I,'6月数据源'!$D:$D,$E71,'6月数据源'!$F:$F,"HK01")*K$185+SUMIFS('6月数据源'!$J:$J,'6月数据源'!$D:$D,$E71,'6月数据源'!$F:$F,"HK01")*K$185</f>
        <v/>
      </c>
      <c r="L71" s="89">
        <f>-SUMIFS('7月数据源'!$I:$I,'7月数据源'!$D:$D,$E71,'7月数据源'!$F:$F,"HK01")*L$185+SUMIFS('7月数据源'!$J:$J,'7月数据源'!$D:$D,$E71,'7月数据源'!$F:$F,"HK01")*L$185</f>
        <v/>
      </c>
      <c r="M71" s="89">
        <f>-SUMIFS('8月数据源'!$I:$I,'8月数据源'!$D:$D,$E71,'8月数据源'!$F:$F,"HK01")*M$185+SUMIFS('8月数据源'!$J:$J,'8月数据源'!$D:$D,$E71,'8月数据源'!$F:$F,"HK01")*M$185</f>
        <v/>
      </c>
      <c r="N71" s="89">
        <f>-SUMIFS('9月数据源'!$I:$I,'9月数据源'!$D:$D,$E71,'9月数据源'!$F:$F,"HK01")*N$185+SUMIFS('9月数据源'!$J:$J,'9月数据源'!$D:$D,$E71,'9月数据源'!$F:$F,"HK01")*N$185</f>
        <v/>
      </c>
      <c r="O71" s="89">
        <f>-SUMIFS('10月数据源'!$I:$I,'10月数据源'!$D:$D,$E71,'10月数据源'!$F:$F,"HK01")*O$185+SUMIFS('10月数据源'!$J:$J,'10月数据源'!$D:$D,$E71,'10月数据源'!$F:$F,"HK01")*O$185</f>
        <v/>
      </c>
      <c r="P71" s="89">
        <f>-SUMIFS('11月数据源'!$I:$I,'11月数据源'!$D:$D,$E71,'11月数据源'!$F:$F,"HK01")*P$185+SUMIFS('11月数据源'!$J:$J,'11月数据源'!$D:$D,$E71,'11月数据源'!$F:$F,"HK01")*P$185</f>
        <v/>
      </c>
      <c r="Q71" s="89">
        <f>-SUMIFS('12月数据源'!$I:$I,'12月数据源'!$D:$D,$E71,'12月数据源'!$F:$F,"HK01")*Q$185+SUMIFS('12月数据源'!$J:$J,'12月数据源'!$D:$D,$E71,'12月数据源'!$F:$F,"HK01")*Q$185</f>
        <v/>
      </c>
    </row>
    <row r="72" s="83">
      <c r="A72" s="5" t="inlineStr">
        <is>
          <t>研发支出</t>
        </is>
      </c>
      <c r="B72" s="6" t="inlineStr">
        <is>
          <t>产品开发-MAX</t>
        </is>
      </c>
      <c r="D72" s="5" t="inlineStr">
        <is>
          <t>设计费</t>
        </is>
      </c>
      <c r="E72" s="6" t="inlineStr">
        <is>
          <t>Q1203</t>
        </is>
      </c>
      <c r="F72" s="89">
        <f>-SUMIFS('1月数据源'!$I:$I,'1月数据源'!$D:$D,$E72,'1月数据源'!$F:$F,"HK01")*F$185+SUMIFS('1月数据源'!$J:$J,'1月数据源'!$D:$D,$E72,'1月数据源'!$F:$F,"HK01")*F$185</f>
        <v/>
      </c>
      <c r="G72" s="89">
        <f>-SUMIFS('2月数据源'!$I:$I,'2月数据源'!$D:$D,$E72,'2月数据源'!$F:$F,"HK01")*G$185+SUMIFS('2月数据源'!$J:$J,'2月数据源'!$D:$D,$E72,'2月数据源'!$F:$F,"HK01")*G$185</f>
        <v/>
      </c>
      <c r="H72" s="89">
        <f>-SUMIFS('3月数据源'!$I:$I,'3月数据源'!$D:$D,$E72,'3月数据源'!$F:$F,"HK01")*H$185+SUMIFS('3月数据源'!$J:$J,'3月数据源'!$D:$D,$E72,'3月数据源'!$F:$F,"HK01")*H$185</f>
        <v/>
      </c>
      <c r="I72" s="89">
        <f>-SUMIFS('4月数据源'!$I:$I,'4月数据源'!$D:$D,$E72,'4月数据源'!$F:$F,"HK01")*I$185+SUMIFS('4月数据源'!$J:$J,'4月数据源'!$D:$D,$E72,'4月数据源'!$F:$F,"HK01")*I$185</f>
        <v/>
      </c>
      <c r="J72" s="89">
        <f>-SUMIFS('5月数据源'!$I:$I,'5月数据源'!$D:$D,$E72,'5月数据源'!$F:$F,"HK01")*J$185+SUMIFS('5月数据源'!$J:$J,'5月数据源'!$D:$D,$E72,'5月数据源'!$F:$F,"HK01")*J$185</f>
        <v/>
      </c>
      <c r="K72" s="89">
        <f>-SUMIFS('6月数据源'!$I:$I,'6月数据源'!$D:$D,$E72,'6月数据源'!$F:$F,"HK01")*K$185+SUMIFS('6月数据源'!$J:$J,'6月数据源'!$D:$D,$E72,'6月数据源'!$F:$F,"HK01")*K$185</f>
        <v/>
      </c>
      <c r="L72" s="89">
        <f>-SUMIFS('7月数据源'!$I:$I,'7月数据源'!$D:$D,$E72,'7月数据源'!$F:$F,"HK01")*L$185+SUMIFS('7月数据源'!$J:$J,'7月数据源'!$D:$D,$E72,'7月数据源'!$F:$F,"HK01")*L$185</f>
        <v/>
      </c>
      <c r="M72" s="89">
        <f>-SUMIFS('8月数据源'!$I:$I,'8月数据源'!$D:$D,$E72,'8月数据源'!$F:$F,"HK01")*M$185+SUMIFS('8月数据源'!$J:$J,'8月数据源'!$D:$D,$E72,'8月数据源'!$F:$F,"HK01")*M$185</f>
        <v/>
      </c>
      <c r="N72" s="89">
        <f>-SUMIFS('9月数据源'!$I:$I,'9月数据源'!$D:$D,$E72,'9月数据源'!$F:$F,"HK01")*N$185+SUMIFS('9月数据源'!$J:$J,'9月数据源'!$D:$D,$E72,'9月数据源'!$F:$F,"HK01")*N$185</f>
        <v/>
      </c>
      <c r="O72" s="89">
        <f>-SUMIFS('10月数据源'!$I:$I,'10月数据源'!$D:$D,$E72,'10月数据源'!$F:$F,"HK01")*O$185+SUMIFS('10月数据源'!$J:$J,'10月数据源'!$D:$D,$E72,'10月数据源'!$F:$F,"HK01")*O$185</f>
        <v/>
      </c>
      <c r="P72" s="89">
        <f>-SUMIFS('11月数据源'!$I:$I,'11月数据源'!$D:$D,$E72,'11月数据源'!$F:$F,"HK01")*P$185+SUMIFS('11月数据源'!$J:$J,'11月数据源'!$D:$D,$E72,'11月数据源'!$F:$F,"HK01")*P$185</f>
        <v/>
      </c>
      <c r="Q72" s="89">
        <f>-SUMIFS('12月数据源'!$I:$I,'12月数据源'!$D:$D,$E72,'12月数据源'!$F:$F,"HK01")*Q$185+SUMIFS('12月数据源'!$J:$J,'12月数据源'!$D:$D,$E72,'12月数据源'!$F:$F,"HK01")*Q$185</f>
        <v/>
      </c>
    </row>
    <row r="73" s="83">
      <c r="A73" s="5" t="inlineStr">
        <is>
          <t>研发支出</t>
        </is>
      </c>
      <c r="B73" s="6" t="inlineStr">
        <is>
          <t>产品开发-MAX</t>
        </is>
      </c>
      <c r="D73" s="5" t="inlineStr">
        <is>
          <t>OTA费用</t>
        </is>
      </c>
      <c r="E73" s="6" t="inlineStr">
        <is>
          <t>Q1204</t>
        </is>
      </c>
      <c r="F73" s="89">
        <f>-SUMIFS('1月数据源'!$I:$I,'1月数据源'!$D:$D,$E73,'1月数据源'!$F:$F,"HK01")*F$185+SUMIFS('1月数据源'!$J:$J,'1月数据源'!$D:$D,$E73,'1月数据源'!$F:$F,"HK01")*F$185</f>
        <v/>
      </c>
      <c r="G73" s="89">
        <f>-SUMIFS('2月数据源'!$I:$I,'2月数据源'!$D:$D,$E73,'2月数据源'!$F:$F,"HK01")*G$185+SUMIFS('2月数据源'!$J:$J,'2月数据源'!$D:$D,$E73,'2月数据源'!$F:$F,"HK01")*G$185</f>
        <v/>
      </c>
      <c r="H73" s="89">
        <f>-SUMIFS('3月数据源'!$I:$I,'3月数据源'!$D:$D,$E73,'3月数据源'!$F:$F,"HK01")*H$185+SUMIFS('3月数据源'!$J:$J,'3月数据源'!$D:$D,$E73,'3月数据源'!$F:$F,"HK01")*H$185</f>
        <v/>
      </c>
      <c r="I73" s="89">
        <f>-SUMIFS('4月数据源'!$I:$I,'4月数据源'!$D:$D,$E73,'4月数据源'!$F:$F,"HK01")*I$185+SUMIFS('4月数据源'!$J:$J,'4月数据源'!$D:$D,$E73,'4月数据源'!$F:$F,"HK01")*I$185</f>
        <v/>
      </c>
      <c r="J73" s="89">
        <f>-SUMIFS('5月数据源'!$I:$I,'5月数据源'!$D:$D,$E73,'5月数据源'!$F:$F,"HK01")*J$185+SUMIFS('5月数据源'!$J:$J,'5月数据源'!$D:$D,$E73,'5月数据源'!$F:$F,"HK01")*J$185</f>
        <v/>
      </c>
      <c r="K73" s="89">
        <f>-SUMIFS('6月数据源'!$I:$I,'6月数据源'!$D:$D,$E73,'6月数据源'!$F:$F,"HK01")*K$185+SUMIFS('6月数据源'!$J:$J,'6月数据源'!$D:$D,$E73,'6月数据源'!$F:$F,"HK01")*K$185</f>
        <v/>
      </c>
      <c r="L73" s="89">
        <f>-SUMIFS('7月数据源'!$I:$I,'7月数据源'!$D:$D,$E73,'7月数据源'!$F:$F,"HK01")*L$185+SUMIFS('7月数据源'!$J:$J,'7月数据源'!$D:$D,$E73,'7月数据源'!$F:$F,"HK01")*L$185</f>
        <v/>
      </c>
      <c r="M73" s="89">
        <f>-SUMIFS('8月数据源'!$I:$I,'8月数据源'!$D:$D,$E73,'8月数据源'!$F:$F,"HK01")*M$185+SUMIFS('8月数据源'!$J:$J,'8月数据源'!$D:$D,$E73,'8月数据源'!$F:$F,"HK01")*M$185</f>
        <v/>
      </c>
      <c r="N73" s="89">
        <f>-SUMIFS('9月数据源'!$I:$I,'9月数据源'!$D:$D,$E73,'9月数据源'!$F:$F,"HK01")*N$185+SUMIFS('9月数据源'!$J:$J,'9月数据源'!$D:$D,$E73,'9月数据源'!$F:$F,"HK01")*N$185</f>
        <v/>
      </c>
      <c r="O73" s="89">
        <f>-SUMIFS('10月数据源'!$I:$I,'10月数据源'!$D:$D,$E73,'10月数据源'!$F:$F,"HK01")*O$185+SUMIFS('10月数据源'!$J:$J,'10月数据源'!$D:$D,$E73,'10月数据源'!$F:$F,"HK01")*O$185</f>
        <v/>
      </c>
      <c r="P73" s="89">
        <f>-SUMIFS('11月数据源'!$I:$I,'11月数据源'!$D:$D,$E73,'11月数据源'!$F:$F,"HK01")*P$185+SUMIFS('11月数据源'!$J:$J,'11月数据源'!$D:$D,$E73,'11月数据源'!$F:$F,"HK01")*P$185</f>
        <v/>
      </c>
      <c r="Q73" s="89">
        <f>-SUMIFS('12月数据源'!$I:$I,'12月数据源'!$D:$D,$E73,'12月数据源'!$F:$F,"HK01")*Q$185+SUMIFS('12月数据源'!$J:$J,'12月数据源'!$D:$D,$E73,'12月数据源'!$F:$F,"HK01")*Q$185</f>
        <v/>
      </c>
    </row>
    <row r="74" s="83">
      <c r="A74" s="5" t="inlineStr">
        <is>
          <t>研发支出</t>
        </is>
      </c>
      <c r="B74" s="6" t="inlineStr">
        <is>
          <t>产品开发-MAX</t>
        </is>
      </c>
      <c r="D74" s="5" t="inlineStr">
        <is>
          <t>模具费用</t>
        </is>
      </c>
      <c r="E74" s="6" t="inlineStr">
        <is>
          <t>Q1205</t>
        </is>
      </c>
      <c r="F74" s="89">
        <f>-SUMIFS('1月数据源'!$I:$I,'1月数据源'!$D:$D,$E74,'1月数据源'!$F:$F,"HK01")*F$185+SUMIFS('1月数据源'!$J:$J,'1月数据源'!$D:$D,$E74,'1月数据源'!$F:$F,"HK01")*F$185</f>
        <v/>
      </c>
      <c r="G74" s="89">
        <f>-SUMIFS('2月数据源'!$I:$I,'2月数据源'!$D:$D,$E74,'2月数据源'!$F:$F,"HK01")*G$185+SUMIFS('2月数据源'!$J:$J,'2月数据源'!$D:$D,$E74,'2月数据源'!$F:$F,"HK01")*G$185</f>
        <v/>
      </c>
      <c r="H74" s="89">
        <f>-SUMIFS('3月数据源'!$I:$I,'3月数据源'!$D:$D,$E74,'3月数据源'!$F:$F,"HK01")*H$185+SUMIFS('3月数据源'!$J:$J,'3月数据源'!$D:$D,$E74,'3月数据源'!$F:$F,"HK01")*H$185</f>
        <v/>
      </c>
      <c r="I74" s="89">
        <f>-SUMIFS('4月数据源'!$I:$I,'4月数据源'!$D:$D,$E74,'4月数据源'!$F:$F,"HK01")*I$185+SUMIFS('4月数据源'!$J:$J,'4月数据源'!$D:$D,$E74,'4月数据源'!$F:$F,"HK01")*I$185</f>
        <v/>
      </c>
      <c r="J74" s="89">
        <f>-SUMIFS('5月数据源'!$I:$I,'5月数据源'!$D:$D,$E74,'5月数据源'!$F:$F,"HK01")*J$185+SUMIFS('5月数据源'!$J:$J,'5月数据源'!$D:$D,$E74,'5月数据源'!$F:$F,"HK01")*J$185</f>
        <v/>
      </c>
      <c r="K74" s="89">
        <f>-SUMIFS('6月数据源'!$I:$I,'6月数据源'!$D:$D,$E74,'6月数据源'!$F:$F,"HK01")*K$185+SUMIFS('6月数据源'!$J:$J,'6月数据源'!$D:$D,$E74,'6月数据源'!$F:$F,"HK01")*K$185</f>
        <v/>
      </c>
      <c r="L74" s="89">
        <f>-SUMIFS('7月数据源'!$I:$I,'7月数据源'!$D:$D,$E74,'7月数据源'!$F:$F,"HK01")*L$185+SUMIFS('7月数据源'!$J:$J,'7月数据源'!$D:$D,$E74,'7月数据源'!$F:$F,"HK01")*L$185</f>
        <v/>
      </c>
      <c r="M74" s="89">
        <f>-SUMIFS('8月数据源'!$I:$I,'8月数据源'!$D:$D,$E74,'8月数据源'!$F:$F,"HK01")*M$185+SUMIFS('8月数据源'!$J:$J,'8月数据源'!$D:$D,$E74,'8月数据源'!$F:$F,"HK01")*M$185</f>
        <v/>
      </c>
      <c r="N74" s="89">
        <f>-SUMIFS('9月数据源'!$I:$I,'9月数据源'!$D:$D,$E74,'9月数据源'!$F:$F,"HK01")*N$185+SUMIFS('9月数据源'!$J:$J,'9月数据源'!$D:$D,$E74,'9月数据源'!$F:$F,"HK01")*N$185</f>
        <v/>
      </c>
      <c r="O74" s="89">
        <f>-SUMIFS('10月数据源'!$I:$I,'10月数据源'!$D:$D,$E74,'10月数据源'!$F:$F,"HK01")*O$185+SUMIFS('10月数据源'!$J:$J,'10月数据源'!$D:$D,$E74,'10月数据源'!$F:$F,"HK01")*O$185</f>
        <v/>
      </c>
      <c r="P74" s="89">
        <f>-SUMIFS('11月数据源'!$I:$I,'11月数据源'!$D:$D,$E74,'11月数据源'!$F:$F,"HK01")*P$185+SUMIFS('11月数据源'!$J:$J,'11月数据源'!$D:$D,$E74,'11月数据源'!$F:$F,"HK01")*P$185</f>
        <v/>
      </c>
      <c r="Q74" s="89">
        <f>-SUMIFS('12月数据源'!$I:$I,'12月数据源'!$D:$D,$E74,'12月数据源'!$F:$F,"HK01")*Q$185+SUMIFS('12月数据源'!$J:$J,'12月数据源'!$D:$D,$E74,'12月数据源'!$F:$F,"HK01")*Q$185</f>
        <v/>
      </c>
    </row>
    <row r="75" s="83">
      <c r="A75" s="5" t="inlineStr">
        <is>
          <t>研发支出</t>
        </is>
      </c>
      <c r="B75" s="6" t="inlineStr">
        <is>
          <t>产品开发-MAX</t>
        </is>
      </c>
      <c r="D75" s="5" t="inlineStr">
        <is>
          <t>TCL研发费</t>
        </is>
      </c>
      <c r="E75" s="6" t="inlineStr">
        <is>
          <t>Q1206</t>
        </is>
      </c>
      <c r="F75" s="89">
        <f>-SUMIFS('1月数据源'!$I:$I,'1月数据源'!$D:$D,$E75,'1月数据源'!$F:$F,"HK01")*F$185+SUMIFS('1月数据源'!$J:$J,'1月数据源'!$D:$D,$E75,'1月数据源'!$F:$F,"HK01")*F$185</f>
        <v/>
      </c>
      <c r="G75" s="89">
        <f>-SUMIFS('2月数据源'!$I:$I,'2月数据源'!$D:$D,$E75,'2月数据源'!$F:$F,"HK01")*G$185+SUMIFS('2月数据源'!$J:$J,'2月数据源'!$D:$D,$E75,'2月数据源'!$F:$F,"HK01")*G$185</f>
        <v/>
      </c>
      <c r="H75" s="89">
        <f>-SUMIFS('3月数据源'!$I:$I,'3月数据源'!$D:$D,$E75,'3月数据源'!$F:$F,"HK01")*H$185+SUMIFS('3月数据源'!$J:$J,'3月数据源'!$D:$D,$E75,'3月数据源'!$F:$F,"HK01")*H$185</f>
        <v/>
      </c>
      <c r="I75" s="89">
        <f>-SUMIFS('4月数据源'!$I:$I,'4月数据源'!$D:$D,$E75,'4月数据源'!$F:$F,"HK01")*I$185+SUMIFS('4月数据源'!$J:$J,'4月数据源'!$D:$D,$E75,'4月数据源'!$F:$F,"HK01")*I$185</f>
        <v/>
      </c>
      <c r="J75" s="89">
        <f>-SUMIFS('5月数据源'!$I:$I,'5月数据源'!$D:$D,$E75,'5月数据源'!$F:$F,"HK01")*J$185+SUMIFS('5月数据源'!$J:$J,'5月数据源'!$D:$D,$E75,'5月数据源'!$F:$F,"HK01")*J$185</f>
        <v/>
      </c>
      <c r="K75" s="89">
        <f>-SUMIFS('6月数据源'!$I:$I,'6月数据源'!$D:$D,$E75,'6月数据源'!$F:$F,"HK01")*K$185+SUMIFS('6月数据源'!$J:$J,'6月数据源'!$D:$D,$E75,'6月数据源'!$F:$F,"HK01")*K$185</f>
        <v/>
      </c>
      <c r="L75" s="89">
        <f>-SUMIFS('7月数据源'!$I:$I,'7月数据源'!$D:$D,$E75,'7月数据源'!$F:$F,"HK01")*L$185+SUMIFS('7月数据源'!$J:$J,'7月数据源'!$D:$D,$E75,'7月数据源'!$F:$F,"HK01")*L$185</f>
        <v/>
      </c>
      <c r="M75" s="89">
        <f>-SUMIFS('8月数据源'!$I:$I,'8月数据源'!$D:$D,$E75,'8月数据源'!$F:$F,"HK01")*M$185+SUMIFS('8月数据源'!$J:$J,'8月数据源'!$D:$D,$E75,'8月数据源'!$F:$F,"HK01")*M$185</f>
        <v/>
      </c>
      <c r="N75" s="89">
        <f>-SUMIFS('9月数据源'!$I:$I,'9月数据源'!$D:$D,$E75,'9月数据源'!$F:$F,"HK01")*N$185+SUMIFS('9月数据源'!$J:$J,'9月数据源'!$D:$D,$E75,'9月数据源'!$F:$F,"HK01")*N$185</f>
        <v/>
      </c>
      <c r="O75" s="89">
        <f>-SUMIFS('10月数据源'!$I:$I,'10月数据源'!$D:$D,$E75,'10月数据源'!$F:$F,"HK01")*O$185+SUMIFS('10月数据源'!$J:$J,'10月数据源'!$D:$D,$E75,'10月数据源'!$F:$F,"HK01")*O$185</f>
        <v/>
      </c>
      <c r="P75" s="89">
        <f>-SUMIFS('11月数据源'!$I:$I,'11月数据源'!$D:$D,$E75,'11月数据源'!$F:$F,"HK01")*P$185+SUMIFS('11月数据源'!$J:$J,'11月数据源'!$D:$D,$E75,'11月数据源'!$F:$F,"HK01")*P$185</f>
        <v/>
      </c>
      <c r="Q75" s="89">
        <f>-SUMIFS('12月数据源'!$I:$I,'12月数据源'!$D:$D,$E75,'12月数据源'!$F:$F,"HK01")*Q$185+SUMIFS('12月数据源'!$J:$J,'12月数据源'!$D:$D,$E75,'12月数据源'!$F:$F,"HK01")*Q$185</f>
        <v/>
      </c>
    </row>
    <row r="76" s="83">
      <c r="A76" s="5" t="inlineStr">
        <is>
          <t>研发支出</t>
        </is>
      </c>
      <c r="B76" s="6" t="inlineStr">
        <is>
          <t>产品开发-MAX</t>
        </is>
      </c>
      <c r="D76" s="5" t="inlineStr">
        <is>
          <t>唤醒功能开发</t>
        </is>
      </c>
      <c r="E76" s="6" t="inlineStr">
        <is>
          <t>Q1207</t>
        </is>
      </c>
      <c r="F76" s="89">
        <f>-SUMIFS('1月数据源'!$I:$I,'1月数据源'!$D:$D,$E76,'1月数据源'!$F:$F,"HK01")*F$185+SUMIFS('1月数据源'!$J:$J,'1月数据源'!$D:$D,$E76,'1月数据源'!$F:$F,"HK01")*F$185</f>
        <v/>
      </c>
      <c r="G76" s="89">
        <f>-SUMIFS('2月数据源'!$I:$I,'2月数据源'!$D:$D,$E76,'2月数据源'!$F:$F,"HK01")*G$185+SUMIFS('2月数据源'!$J:$J,'2月数据源'!$D:$D,$E76,'2月数据源'!$F:$F,"HK01")*G$185</f>
        <v/>
      </c>
      <c r="H76" s="89">
        <f>-SUMIFS('3月数据源'!$I:$I,'3月数据源'!$D:$D,$E76,'3月数据源'!$F:$F,"HK01")*H$185+SUMIFS('3月数据源'!$J:$J,'3月数据源'!$D:$D,$E76,'3月数据源'!$F:$F,"HK01")*H$185</f>
        <v/>
      </c>
      <c r="I76" s="89">
        <f>-SUMIFS('4月数据源'!$I:$I,'4月数据源'!$D:$D,$E76,'4月数据源'!$F:$F,"HK01")*I$185+SUMIFS('4月数据源'!$J:$J,'4月数据源'!$D:$D,$E76,'4月数据源'!$F:$F,"HK01")*I$185</f>
        <v/>
      </c>
      <c r="J76" s="89">
        <f>-SUMIFS('5月数据源'!$I:$I,'5月数据源'!$D:$D,$E76,'5月数据源'!$F:$F,"HK01")*J$185+SUMIFS('5月数据源'!$J:$J,'5月数据源'!$D:$D,$E76,'5月数据源'!$F:$F,"HK01")*J$185</f>
        <v/>
      </c>
      <c r="K76" s="89">
        <f>-SUMIFS('6月数据源'!$I:$I,'6月数据源'!$D:$D,$E76,'6月数据源'!$F:$F,"HK01")*K$185+SUMIFS('6月数据源'!$J:$J,'6月数据源'!$D:$D,$E76,'6月数据源'!$F:$F,"HK01")*K$185</f>
        <v/>
      </c>
      <c r="L76" s="89">
        <f>-SUMIFS('7月数据源'!$I:$I,'7月数据源'!$D:$D,$E76,'7月数据源'!$F:$F,"HK01")*L$185+SUMIFS('7月数据源'!$J:$J,'7月数据源'!$D:$D,$E76,'7月数据源'!$F:$F,"HK01")*L$185</f>
        <v/>
      </c>
      <c r="M76" s="89">
        <f>-SUMIFS('8月数据源'!$I:$I,'8月数据源'!$D:$D,$E76,'8月数据源'!$F:$F,"HK01")*M$185+SUMIFS('8月数据源'!$J:$J,'8月数据源'!$D:$D,$E76,'8月数据源'!$F:$F,"HK01")*M$185</f>
        <v/>
      </c>
      <c r="N76" s="89">
        <f>-SUMIFS('9月数据源'!$I:$I,'9月数据源'!$D:$D,$E76,'9月数据源'!$F:$F,"HK01")*N$185+SUMIFS('9月数据源'!$J:$J,'9月数据源'!$D:$D,$E76,'9月数据源'!$F:$F,"HK01")*N$185</f>
        <v/>
      </c>
      <c r="O76" s="89">
        <f>-SUMIFS('10月数据源'!$I:$I,'10月数据源'!$D:$D,$E76,'10月数据源'!$F:$F,"HK01")*O$185+SUMIFS('10月数据源'!$J:$J,'10月数据源'!$D:$D,$E76,'10月数据源'!$F:$F,"HK01")*O$185</f>
        <v/>
      </c>
      <c r="P76" s="89">
        <f>-SUMIFS('11月数据源'!$I:$I,'11月数据源'!$D:$D,$E76,'11月数据源'!$F:$F,"HK01")*P$185+SUMIFS('11月数据源'!$J:$J,'11月数据源'!$D:$D,$E76,'11月数据源'!$F:$F,"HK01")*P$185</f>
        <v/>
      </c>
      <c r="Q76" s="89">
        <f>-SUMIFS('12月数据源'!$I:$I,'12月数据源'!$D:$D,$E76,'12月数据源'!$F:$F,"HK01")*Q$185+SUMIFS('12月数据源'!$J:$J,'12月数据源'!$D:$D,$E76,'12月数据源'!$F:$F,"HK01")*Q$185</f>
        <v/>
      </c>
    </row>
    <row r="77" s="83">
      <c r="A77" s="5" t="inlineStr">
        <is>
          <t>研发支出</t>
        </is>
      </c>
      <c r="B77" s="6" t="inlineStr">
        <is>
          <t>产品开发-MAX</t>
        </is>
      </c>
      <c r="D77" s="5" t="inlineStr">
        <is>
          <t>题库费</t>
        </is>
      </c>
      <c r="E77" s="6" t="inlineStr">
        <is>
          <t>Q1208</t>
        </is>
      </c>
      <c r="F77" s="89">
        <f>-SUMIFS('1月数据源'!$I:$I,'1月数据源'!$D:$D,$E77,'1月数据源'!$F:$F,"HK01")*F$185+SUMIFS('1月数据源'!$J:$J,'1月数据源'!$D:$D,$E77,'1月数据源'!$F:$F,"HK01")*F$185</f>
        <v/>
      </c>
      <c r="G77" s="89">
        <f>-SUMIFS('2月数据源'!$I:$I,'2月数据源'!$D:$D,$E77,'2月数据源'!$F:$F,"HK01")*G$185+SUMIFS('2月数据源'!$J:$J,'2月数据源'!$D:$D,$E77,'2月数据源'!$F:$F,"HK01")*G$185</f>
        <v/>
      </c>
      <c r="H77" s="89">
        <f>-SUMIFS('3月数据源'!$I:$I,'3月数据源'!$D:$D,$E77,'3月数据源'!$F:$F,"HK01")*H$185+SUMIFS('3月数据源'!$J:$J,'3月数据源'!$D:$D,$E77,'3月数据源'!$F:$F,"HK01")*H$185</f>
        <v/>
      </c>
      <c r="I77" s="89">
        <f>-SUMIFS('4月数据源'!$I:$I,'4月数据源'!$D:$D,$E77,'4月数据源'!$F:$F,"HK01")*I$185+SUMIFS('4月数据源'!$J:$J,'4月数据源'!$D:$D,$E77,'4月数据源'!$F:$F,"HK01")*I$185</f>
        <v/>
      </c>
      <c r="J77" s="89">
        <f>-SUMIFS('5月数据源'!$I:$I,'5月数据源'!$D:$D,$E77,'5月数据源'!$F:$F,"HK01")*J$185+SUMIFS('5月数据源'!$J:$J,'5月数据源'!$D:$D,$E77,'5月数据源'!$F:$F,"HK01")*J$185</f>
        <v/>
      </c>
      <c r="K77" s="89">
        <f>-SUMIFS('6月数据源'!$I:$I,'6月数据源'!$D:$D,$E77,'6月数据源'!$F:$F,"HK01")*K$185+SUMIFS('6月数据源'!$J:$J,'6月数据源'!$D:$D,$E77,'6月数据源'!$F:$F,"HK01")*K$185</f>
        <v/>
      </c>
      <c r="L77" s="89">
        <f>-SUMIFS('7月数据源'!$I:$I,'7月数据源'!$D:$D,$E77,'7月数据源'!$F:$F,"HK01")*L$185+SUMIFS('7月数据源'!$J:$J,'7月数据源'!$D:$D,$E77,'7月数据源'!$F:$F,"HK01")*L$185</f>
        <v/>
      </c>
      <c r="M77" s="89">
        <f>-SUMIFS('8月数据源'!$I:$I,'8月数据源'!$D:$D,$E77,'8月数据源'!$F:$F,"HK01")*M$185+SUMIFS('8月数据源'!$J:$J,'8月数据源'!$D:$D,$E77,'8月数据源'!$F:$F,"HK01")*M$185</f>
        <v/>
      </c>
      <c r="N77" s="89">
        <f>-SUMIFS('9月数据源'!$I:$I,'9月数据源'!$D:$D,$E77,'9月数据源'!$F:$F,"HK01")*N$185+SUMIFS('9月数据源'!$J:$J,'9月数据源'!$D:$D,$E77,'9月数据源'!$F:$F,"HK01")*N$185</f>
        <v/>
      </c>
      <c r="O77" s="89">
        <f>-SUMIFS('10月数据源'!$I:$I,'10月数据源'!$D:$D,$E77,'10月数据源'!$F:$F,"HK01")*O$185+SUMIFS('10月数据源'!$J:$J,'10月数据源'!$D:$D,$E77,'10月数据源'!$F:$F,"HK01")*O$185</f>
        <v/>
      </c>
      <c r="P77" s="89">
        <f>-SUMIFS('11月数据源'!$I:$I,'11月数据源'!$D:$D,$E77,'11月数据源'!$F:$F,"HK01")*P$185+SUMIFS('11月数据源'!$J:$J,'11月数据源'!$D:$D,$E77,'11月数据源'!$F:$F,"HK01")*P$185</f>
        <v/>
      </c>
      <c r="Q77" s="89">
        <f>-SUMIFS('12月数据源'!$I:$I,'12月数据源'!$D:$D,$E77,'12月数据源'!$F:$F,"HK01")*Q$185+SUMIFS('12月数据源'!$J:$J,'12月数据源'!$D:$D,$E77,'12月数据源'!$F:$F,"HK01")*Q$185</f>
        <v/>
      </c>
    </row>
    <row r="78" s="83">
      <c r="A78" s="5" t="inlineStr">
        <is>
          <t>研发支出</t>
        </is>
      </c>
      <c r="B78" s="6" t="inlineStr">
        <is>
          <t>产品开发-PRO</t>
        </is>
      </c>
      <c r="C78" s="6" t="inlineStr">
        <is>
          <t>产品开发-PRO</t>
        </is>
      </c>
      <c r="D78" s="5" t="inlineStr">
        <is>
          <t>检测费</t>
        </is>
      </c>
      <c r="E78" s="6" t="inlineStr">
        <is>
          <t>Q1301</t>
        </is>
      </c>
      <c r="F78" s="89">
        <f>-SUMIFS('1月数据源'!$I:$I,'1月数据源'!$D:$D,$E78,'1月数据源'!$F:$F,"HK01")*F$185+SUMIFS('1月数据源'!$J:$J,'1月数据源'!$D:$D,$E78,'1月数据源'!$F:$F,"HK01")*F$185</f>
        <v/>
      </c>
      <c r="G78" s="89">
        <f>-SUMIFS('2月数据源'!$I:$I,'2月数据源'!$D:$D,$E78,'2月数据源'!$F:$F,"HK01")*G$185+SUMIFS('2月数据源'!$J:$J,'2月数据源'!$D:$D,$E78,'2月数据源'!$F:$F,"HK01")*G$185</f>
        <v/>
      </c>
      <c r="H78" s="89">
        <f>-SUMIFS('3月数据源'!$I:$I,'3月数据源'!$D:$D,$E78,'3月数据源'!$F:$F,"HK01")*H$185+SUMIFS('3月数据源'!$J:$J,'3月数据源'!$D:$D,$E78,'3月数据源'!$F:$F,"HK01")*H$185</f>
        <v/>
      </c>
      <c r="I78" s="89">
        <f>-SUMIFS('4月数据源'!$I:$I,'4月数据源'!$D:$D,$E78,'4月数据源'!$F:$F,"HK01")*I$185+SUMIFS('4月数据源'!$J:$J,'4月数据源'!$D:$D,$E78,'4月数据源'!$F:$F,"HK01")*I$185</f>
        <v/>
      </c>
      <c r="J78" s="89">
        <f>-SUMIFS('5月数据源'!$I:$I,'5月数据源'!$D:$D,$E78,'5月数据源'!$F:$F,"HK01")*J$185+SUMIFS('5月数据源'!$J:$J,'5月数据源'!$D:$D,$E78,'5月数据源'!$F:$F,"HK01")*J$185</f>
        <v/>
      </c>
      <c r="K78" s="89">
        <f>-SUMIFS('6月数据源'!$I:$I,'6月数据源'!$D:$D,$E78,'6月数据源'!$F:$F,"HK01")*K$185+SUMIFS('6月数据源'!$J:$J,'6月数据源'!$D:$D,$E78,'6月数据源'!$F:$F,"HK01")*K$185</f>
        <v/>
      </c>
      <c r="L78" s="89">
        <f>-SUMIFS('7月数据源'!$I:$I,'7月数据源'!$D:$D,$E78,'7月数据源'!$F:$F,"HK01")*L$185+SUMIFS('7月数据源'!$J:$J,'7月数据源'!$D:$D,$E78,'7月数据源'!$F:$F,"HK01")*L$185</f>
        <v/>
      </c>
      <c r="M78" s="89">
        <f>-SUMIFS('8月数据源'!$I:$I,'8月数据源'!$D:$D,$E78,'8月数据源'!$F:$F,"HK01")*M$185+SUMIFS('8月数据源'!$J:$J,'8月数据源'!$D:$D,$E78,'8月数据源'!$F:$F,"HK01")*M$185</f>
        <v/>
      </c>
      <c r="N78" s="89">
        <f>-SUMIFS('9月数据源'!$I:$I,'9月数据源'!$D:$D,$E78,'9月数据源'!$F:$F,"HK01")*N$185+SUMIFS('9月数据源'!$J:$J,'9月数据源'!$D:$D,$E78,'9月数据源'!$F:$F,"HK01")*N$185</f>
        <v/>
      </c>
      <c r="O78" s="89">
        <f>-SUMIFS('10月数据源'!$I:$I,'10月数据源'!$D:$D,$E78,'10月数据源'!$F:$F,"HK01")*O$185+SUMIFS('10月数据源'!$J:$J,'10月数据源'!$D:$D,$E78,'10月数据源'!$F:$F,"HK01")*O$185</f>
        <v/>
      </c>
      <c r="P78" s="89">
        <f>-SUMIFS('11月数据源'!$I:$I,'11月数据源'!$D:$D,$E78,'11月数据源'!$F:$F,"HK01")*P$185+SUMIFS('11月数据源'!$J:$J,'11月数据源'!$D:$D,$E78,'11月数据源'!$F:$F,"HK01")*P$185</f>
        <v/>
      </c>
      <c r="Q78" s="89">
        <f>-SUMIFS('12月数据源'!$I:$I,'12月数据源'!$D:$D,$E78,'12月数据源'!$F:$F,"HK01")*Q$185+SUMIFS('12月数据源'!$J:$J,'12月数据源'!$D:$D,$E78,'12月数据源'!$F:$F,"HK01")*Q$185</f>
        <v/>
      </c>
    </row>
    <row r="79" s="83">
      <c r="A79" s="5" t="inlineStr">
        <is>
          <t>研发支出</t>
        </is>
      </c>
      <c r="B79" s="6" t="inlineStr">
        <is>
          <t>产品开发-PRO</t>
        </is>
      </c>
      <c r="D79" s="5" t="inlineStr">
        <is>
          <t>认证费</t>
        </is>
      </c>
      <c r="E79" s="6" t="inlineStr">
        <is>
          <t>Q1302</t>
        </is>
      </c>
      <c r="F79" s="89">
        <f>-SUMIFS('1月数据源'!$I:$I,'1月数据源'!$D:$D,$E79,'1月数据源'!$F:$F,"HK01")*F$185+SUMIFS('1月数据源'!$J:$J,'1月数据源'!$D:$D,$E79,'1月数据源'!$F:$F,"HK01")*F$185</f>
        <v/>
      </c>
      <c r="G79" s="89">
        <f>-SUMIFS('2月数据源'!$I:$I,'2月数据源'!$D:$D,$E79,'2月数据源'!$F:$F,"HK01")*G$185+SUMIFS('2月数据源'!$J:$J,'2月数据源'!$D:$D,$E79,'2月数据源'!$F:$F,"HK01")*G$185</f>
        <v/>
      </c>
      <c r="H79" s="89">
        <f>-SUMIFS('3月数据源'!$I:$I,'3月数据源'!$D:$D,$E79,'3月数据源'!$F:$F,"HK01")*H$185+SUMIFS('3月数据源'!$J:$J,'3月数据源'!$D:$D,$E79,'3月数据源'!$F:$F,"HK01")*H$185</f>
        <v/>
      </c>
      <c r="I79" s="89">
        <f>-SUMIFS('4月数据源'!$I:$I,'4月数据源'!$D:$D,$E79,'4月数据源'!$F:$F,"HK01")*I$185+SUMIFS('4月数据源'!$J:$J,'4月数据源'!$D:$D,$E79,'4月数据源'!$F:$F,"HK01")*I$185</f>
        <v/>
      </c>
      <c r="J79" s="89">
        <f>-SUMIFS('5月数据源'!$I:$I,'5月数据源'!$D:$D,$E79,'5月数据源'!$F:$F,"HK01")*J$185+SUMIFS('5月数据源'!$J:$J,'5月数据源'!$D:$D,$E79,'5月数据源'!$F:$F,"HK01")*J$185</f>
        <v/>
      </c>
      <c r="K79" s="89">
        <f>-SUMIFS('6月数据源'!$I:$I,'6月数据源'!$D:$D,$E79,'6月数据源'!$F:$F,"HK01")*K$185+SUMIFS('6月数据源'!$J:$J,'6月数据源'!$D:$D,$E79,'6月数据源'!$F:$F,"HK01")*K$185</f>
        <v/>
      </c>
      <c r="L79" s="89">
        <f>-SUMIFS('7月数据源'!$I:$I,'7月数据源'!$D:$D,$E79,'7月数据源'!$F:$F,"HK01")*L$185+SUMIFS('7月数据源'!$J:$J,'7月数据源'!$D:$D,$E79,'7月数据源'!$F:$F,"HK01")*L$185</f>
        <v/>
      </c>
      <c r="M79" s="89">
        <f>-SUMIFS('8月数据源'!$I:$I,'8月数据源'!$D:$D,$E79,'8月数据源'!$F:$F,"HK01")*M$185+SUMIFS('8月数据源'!$J:$J,'8月数据源'!$D:$D,$E79,'8月数据源'!$F:$F,"HK01")*M$185</f>
        <v/>
      </c>
      <c r="N79" s="89">
        <f>-SUMIFS('9月数据源'!$I:$I,'9月数据源'!$D:$D,$E79,'9月数据源'!$F:$F,"HK01")*N$185+SUMIFS('9月数据源'!$J:$J,'9月数据源'!$D:$D,$E79,'9月数据源'!$F:$F,"HK01")*N$185</f>
        <v/>
      </c>
      <c r="O79" s="89">
        <f>-SUMIFS('10月数据源'!$I:$I,'10月数据源'!$D:$D,$E79,'10月数据源'!$F:$F,"HK01")*O$185+SUMIFS('10月数据源'!$J:$J,'10月数据源'!$D:$D,$E79,'10月数据源'!$F:$F,"HK01")*O$185</f>
        <v/>
      </c>
      <c r="P79" s="89">
        <f>-SUMIFS('11月数据源'!$I:$I,'11月数据源'!$D:$D,$E79,'11月数据源'!$F:$F,"HK01")*P$185+SUMIFS('11月数据源'!$J:$J,'11月数据源'!$D:$D,$E79,'11月数据源'!$F:$F,"HK01")*P$185</f>
        <v/>
      </c>
      <c r="Q79" s="89">
        <f>-SUMIFS('12月数据源'!$I:$I,'12月数据源'!$D:$D,$E79,'12月数据源'!$F:$F,"HK01")*Q$185+SUMIFS('12月数据源'!$J:$J,'12月数据源'!$D:$D,$E79,'12月数据源'!$F:$F,"HK01")*Q$185</f>
        <v/>
      </c>
    </row>
    <row r="80" s="83">
      <c r="A80" s="5" t="inlineStr">
        <is>
          <t>研发支出</t>
        </is>
      </c>
      <c r="B80" s="6" t="inlineStr">
        <is>
          <t>产品开发-PRO</t>
        </is>
      </c>
      <c r="D80" s="5" t="inlineStr">
        <is>
          <t>设计费</t>
        </is>
      </c>
      <c r="E80" s="6" t="inlineStr">
        <is>
          <t>Q1303</t>
        </is>
      </c>
      <c r="F80" s="89">
        <f>-SUMIFS('1月数据源'!$I:$I,'1月数据源'!$D:$D,$E80,'1月数据源'!$F:$F,"HK01")*F$185+SUMIFS('1月数据源'!$J:$J,'1月数据源'!$D:$D,$E80,'1月数据源'!$F:$F,"HK01")*F$185</f>
        <v/>
      </c>
      <c r="G80" s="89">
        <f>-SUMIFS('2月数据源'!$I:$I,'2月数据源'!$D:$D,$E80,'2月数据源'!$F:$F,"HK01")*G$185+SUMIFS('2月数据源'!$J:$J,'2月数据源'!$D:$D,$E80,'2月数据源'!$F:$F,"HK01")*G$185</f>
        <v/>
      </c>
      <c r="H80" s="89">
        <f>-SUMIFS('3月数据源'!$I:$I,'3月数据源'!$D:$D,$E80,'3月数据源'!$F:$F,"HK01")*H$185+SUMIFS('3月数据源'!$J:$J,'3月数据源'!$D:$D,$E80,'3月数据源'!$F:$F,"HK01")*H$185</f>
        <v/>
      </c>
      <c r="I80" s="89">
        <f>-SUMIFS('4月数据源'!$I:$I,'4月数据源'!$D:$D,$E80,'4月数据源'!$F:$F,"HK01")*I$185+SUMIFS('4月数据源'!$J:$J,'4月数据源'!$D:$D,$E80,'4月数据源'!$F:$F,"HK01")*I$185</f>
        <v/>
      </c>
      <c r="J80" s="89">
        <f>-SUMIFS('5月数据源'!$I:$I,'5月数据源'!$D:$D,$E80,'5月数据源'!$F:$F,"HK01")*J$185+SUMIFS('5月数据源'!$J:$J,'5月数据源'!$D:$D,$E80,'5月数据源'!$F:$F,"HK01")*J$185</f>
        <v/>
      </c>
      <c r="K80" s="89">
        <f>-SUMIFS('6月数据源'!$I:$I,'6月数据源'!$D:$D,$E80,'6月数据源'!$F:$F,"HK01")*K$185+SUMIFS('6月数据源'!$J:$J,'6月数据源'!$D:$D,$E80,'6月数据源'!$F:$F,"HK01")*K$185</f>
        <v/>
      </c>
      <c r="L80" s="89">
        <f>-SUMIFS('7月数据源'!$I:$I,'7月数据源'!$D:$D,$E80,'7月数据源'!$F:$F,"HK01")*L$185+SUMIFS('7月数据源'!$J:$J,'7月数据源'!$D:$D,$E80,'7月数据源'!$F:$F,"HK01")*L$185</f>
        <v/>
      </c>
      <c r="M80" s="89">
        <f>-SUMIFS('8月数据源'!$I:$I,'8月数据源'!$D:$D,$E80,'8月数据源'!$F:$F,"HK01")*M$185+SUMIFS('8月数据源'!$J:$J,'8月数据源'!$D:$D,$E80,'8月数据源'!$F:$F,"HK01")*M$185</f>
        <v/>
      </c>
      <c r="N80" s="89">
        <f>-SUMIFS('9月数据源'!$I:$I,'9月数据源'!$D:$D,$E80,'9月数据源'!$F:$F,"HK01")*N$185+SUMIFS('9月数据源'!$J:$J,'9月数据源'!$D:$D,$E80,'9月数据源'!$F:$F,"HK01")*N$185</f>
        <v/>
      </c>
      <c r="O80" s="89">
        <f>-SUMIFS('10月数据源'!$I:$I,'10月数据源'!$D:$D,$E80,'10月数据源'!$F:$F,"HK01")*O$185+SUMIFS('10月数据源'!$J:$J,'10月数据源'!$D:$D,$E80,'10月数据源'!$F:$F,"HK01")*O$185</f>
        <v/>
      </c>
      <c r="P80" s="89">
        <f>-SUMIFS('11月数据源'!$I:$I,'11月数据源'!$D:$D,$E80,'11月数据源'!$F:$F,"HK01")*P$185+SUMIFS('11月数据源'!$J:$J,'11月数据源'!$D:$D,$E80,'11月数据源'!$F:$F,"HK01")*P$185</f>
        <v/>
      </c>
      <c r="Q80" s="89">
        <f>-SUMIFS('12月数据源'!$I:$I,'12月数据源'!$D:$D,$E80,'12月数据源'!$F:$F,"HK01")*Q$185+SUMIFS('12月数据源'!$J:$J,'12月数据源'!$D:$D,$E80,'12月数据源'!$F:$F,"HK01")*Q$185</f>
        <v/>
      </c>
    </row>
    <row r="81" s="83">
      <c r="A81" s="5" t="inlineStr">
        <is>
          <t>研发支出</t>
        </is>
      </c>
      <c r="B81" s="6" t="inlineStr">
        <is>
          <t>产品开发-PRO</t>
        </is>
      </c>
      <c r="D81" s="5" t="inlineStr">
        <is>
          <t>OTA费用</t>
        </is>
      </c>
      <c r="E81" s="6" t="inlineStr">
        <is>
          <t>Q1304</t>
        </is>
      </c>
      <c r="F81" s="89">
        <f>-SUMIFS('1月数据源'!$I:$I,'1月数据源'!$D:$D,$E81,'1月数据源'!$F:$F,"HK01")*F$185+SUMIFS('1月数据源'!$J:$J,'1月数据源'!$D:$D,$E81,'1月数据源'!$F:$F,"HK01")*F$185</f>
        <v/>
      </c>
      <c r="G81" s="89">
        <f>-SUMIFS('2月数据源'!$I:$I,'2月数据源'!$D:$D,$E81,'2月数据源'!$F:$F,"HK01")*G$185+SUMIFS('2月数据源'!$J:$J,'2月数据源'!$D:$D,$E81,'2月数据源'!$F:$F,"HK01")*G$185</f>
        <v/>
      </c>
      <c r="H81" s="89">
        <f>-SUMIFS('3月数据源'!$I:$I,'3月数据源'!$D:$D,$E81,'3月数据源'!$F:$F,"HK01")*H$185+SUMIFS('3月数据源'!$J:$J,'3月数据源'!$D:$D,$E81,'3月数据源'!$F:$F,"HK01")*H$185</f>
        <v/>
      </c>
      <c r="I81" s="89">
        <f>-SUMIFS('4月数据源'!$I:$I,'4月数据源'!$D:$D,$E81,'4月数据源'!$F:$F,"HK01")*I$185+SUMIFS('4月数据源'!$J:$J,'4月数据源'!$D:$D,$E81,'4月数据源'!$F:$F,"HK01")*I$185</f>
        <v/>
      </c>
      <c r="J81" s="89">
        <f>-SUMIFS('5月数据源'!$I:$I,'5月数据源'!$D:$D,$E81,'5月数据源'!$F:$F,"HK01")*J$185+SUMIFS('5月数据源'!$J:$J,'5月数据源'!$D:$D,$E81,'5月数据源'!$F:$F,"HK01")*J$185</f>
        <v/>
      </c>
      <c r="K81" s="89">
        <f>-SUMIFS('6月数据源'!$I:$I,'6月数据源'!$D:$D,$E81,'6月数据源'!$F:$F,"HK01")*K$185+SUMIFS('6月数据源'!$J:$J,'6月数据源'!$D:$D,$E81,'6月数据源'!$F:$F,"HK01")*K$185</f>
        <v/>
      </c>
      <c r="L81" s="89">
        <f>-SUMIFS('7月数据源'!$I:$I,'7月数据源'!$D:$D,$E81,'7月数据源'!$F:$F,"HK01")*L$185+SUMIFS('7月数据源'!$J:$J,'7月数据源'!$D:$D,$E81,'7月数据源'!$F:$F,"HK01")*L$185</f>
        <v/>
      </c>
      <c r="M81" s="89">
        <f>-SUMIFS('8月数据源'!$I:$I,'8月数据源'!$D:$D,$E81,'8月数据源'!$F:$F,"HK01")*M$185+SUMIFS('8月数据源'!$J:$J,'8月数据源'!$D:$D,$E81,'8月数据源'!$F:$F,"HK01")*M$185</f>
        <v/>
      </c>
      <c r="N81" s="89">
        <f>-SUMIFS('9月数据源'!$I:$I,'9月数据源'!$D:$D,$E81,'9月数据源'!$F:$F,"HK01")*N$185+SUMIFS('9月数据源'!$J:$J,'9月数据源'!$D:$D,$E81,'9月数据源'!$F:$F,"HK01")*N$185</f>
        <v/>
      </c>
      <c r="O81" s="89">
        <f>-SUMIFS('10月数据源'!$I:$I,'10月数据源'!$D:$D,$E81,'10月数据源'!$F:$F,"HK01")*O$185+SUMIFS('10月数据源'!$J:$J,'10月数据源'!$D:$D,$E81,'10月数据源'!$F:$F,"HK01")*O$185</f>
        <v/>
      </c>
      <c r="P81" s="89">
        <f>-SUMIFS('11月数据源'!$I:$I,'11月数据源'!$D:$D,$E81,'11月数据源'!$F:$F,"HK01")*P$185+SUMIFS('11月数据源'!$J:$J,'11月数据源'!$D:$D,$E81,'11月数据源'!$F:$F,"HK01")*P$185</f>
        <v/>
      </c>
      <c r="Q81" s="89">
        <f>-SUMIFS('12月数据源'!$I:$I,'12月数据源'!$D:$D,$E81,'12月数据源'!$F:$F,"HK01")*Q$185+SUMIFS('12月数据源'!$J:$J,'12月数据源'!$D:$D,$E81,'12月数据源'!$F:$F,"HK01")*Q$185</f>
        <v/>
      </c>
    </row>
    <row r="82" s="83">
      <c r="A82" s="5" t="inlineStr">
        <is>
          <t>研发支出</t>
        </is>
      </c>
      <c r="B82" s="6" t="inlineStr">
        <is>
          <t>产品开发-PRO</t>
        </is>
      </c>
      <c r="D82" s="5" t="inlineStr">
        <is>
          <t>模具费用</t>
        </is>
      </c>
      <c r="E82" s="6" t="inlineStr">
        <is>
          <t>Q1305</t>
        </is>
      </c>
      <c r="F82" s="89">
        <f>-SUMIFS('1月数据源'!$I:$I,'1月数据源'!$D:$D,$E82,'1月数据源'!$F:$F,"HK01")*F$185+SUMIFS('1月数据源'!$J:$J,'1月数据源'!$D:$D,$E82,'1月数据源'!$F:$F,"HK01")*F$185</f>
        <v/>
      </c>
      <c r="G82" s="89">
        <f>-SUMIFS('2月数据源'!$I:$I,'2月数据源'!$D:$D,$E82,'2月数据源'!$F:$F,"HK01")*G$185+SUMIFS('2月数据源'!$J:$J,'2月数据源'!$D:$D,$E82,'2月数据源'!$F:$F,"HK01")*G$185</f>
        <v/>
      </c>
      <c r="H82" s="89">
        <f>-SUMIFS('3月数据源'!$I:$I,'3月数据源'!$D:$D,$E82,'3月数据源'!$F:$F,"HK01")*H$185+SUMIFS('3月数据源'!$J:$J,'3月数据源'!$D:$D,$E82,'3月数据源'!$F:$F,"HK01")*H$185</f>
        <v/>
      </c>
      <c r="I82" s="89">
        <f>-SUMIFS('4月数据源'!$I:$I,'4月数据源'!$D:$D,$E82,'4月数据源'!$F:$F,"HK01")*I$185+SUMIFS('4月数据源'!$J:$J,'4月数据源'!$D:$D,$E82,'4月数据源'!$F:$F,"HK01")*I$185</f>
        <v/>
      </c>
      <c r="J82" s="89">
        <f>-SUMIFS('5月数据源'!$I:$I,'5月数据源'!$D:$D,$E82,'5月数据源'!$F:$F,"HK01")*J$185+SUMIFS('5月数据源'!$J:$J,'5月数据源'!$D:$D,$E82,'5月数据源'!$F:$F,"HK01")*J$185</f>
        <v/>
      </c>
      <c r="K82" s="89">
        <f>-SUMIFS('6月数据源'!$I:$I,'6月数据源'!$D:$D,$E82,'6月数据源'!$F:$F,"HK01")*K$185+SUMIFS('6月数据源'!$J:$J,'6月数据源'!$D:$D,$E82,'6月数据源'!$F:$F,"HK01")*K$185</f>
        <v/>
      </c>
      <c r="L82" s="89">
        <f>-SUMIFS('7月数据源'!$I:$I,'7月数据源'!$D:$D,$E82,'7月数据源'!$F:$F,"HK01")*L$185+SUMIFS('7月数据源'!$J:$J,'7月数据源'!$D:$D,$E82,'7月数据源'!$F:$F,"HK01")*L$185</f>
        <v/>
      </c>
      <c r="M82" s="89">
        <f>-SUMIFS('8月数据源'!$I:$I,'8月数据源'!$D:$D,$E82,'8月数据源'!$F:$F,"HK01")*M$185+SUMIFS('8月数据源'!$J:$J,'8月数据源'!$D:$D,$E82,'8月数据源'!$F:$F,"HK01")*M$185</f>
        <v/>
      </c>
      <c r="N82" s="89">
        <f>-SUMIFS('9月数据源'!$I:$I,'9月数据源'!$D:$D,$E82,'9月数据源'!$F:$F,"HK01")*N$185+SUMIFS('9月数据源'!$J:$J,'9月数据源'!$D:$D,$E82,'9月数据源'!$F:$F,"HK01")*N$185</f>
        <v/>
      </c>
      <c r="O82" s="89">
        <f>-SUMIFS('10月数据源'!$I:$I,'10月数据源'!$D:$D,$E82,'10月数据源'!$F:$F,"HK01")*O$185+SUMIFS('10月数据源'!$J:$J,'10月数据源'!$D:$D,$E82,'10月数据源'!$F:$F,"HK01")*O$185</f>
        <v/>
      </c>
      <c r="P82" s="89">
        <f>-SUMIFS('11月数据源'!$I:$I,'11月数据源'!$D:$D,$E82,'11月数据源'!$F:$F,"HK01")*P$185+SUMIFS('11月数据源'!$J:$J,'11月数据源'!$D:$D,$E82,'11月数据源'!$F:$F,"HK01")*P$185</f>
        <v/>
      </c>
      <c r="Q82" s="89">
        <f>-SUMIFS('12月数据源'!$I:$I,'12月数据源'!$D:$D,$E82,'12月数据源'!$F:$F,"HK01")*Q$185+SUMIFS('12月数据源'!$J:$J,'12月数据源'!$D:$D,$E82,'12月数据源'!$F:$F,"HK01")*Q$185</f>
        <v/>
      </c>
    </row>
    <row r="83" s="83">
      <c r="A83" s="5" t="inlineStr">
        <is>
          <t>研发支出</t>
        </is>
      </c>
      <c r="B83" s="6" t="inlineStr">
        <is>
          <t>产品开发-PRO</t>
        </is>
      </c>
      <c r="D83" s="5" t="inlineStr">
        <is>
          <t>BOE研发费</t>
        </is>
      </c>
      <c r="E83" s="6" t="inlineStr">
        <is>
          <t>Q1306</t>
        </is>
      </c>
      <c r="F83" s="89">
        <f>-SUMIFS('1月数据源'!$I:$I,'1月数据源'!$D:$D,$E83,'1月数据源'!$F:$F,"HK01")*F$185+SUMIFS('1月数据源'!$J:$J,'1月数据源'!$D:$D,$E83,'1月数据源'!$F:$F,"HK01")*F$185</f>
        <v/>
      </c>
      <c r="G83" s="89">
        <f>-SUMIFS('2月数据源'!$I:$I,'2月数据源'!$D:$D,$E83,'2月数据源'!$F:$F,"HK01")*G$185+SUMIFS('2月数据源'!$J:$J,'2月数据源'!$D:$D,$E83,'2月数据源'!$F:$F,"HK01")*G$185</f>
        <v/>
      </c>
      <c r="H83" s="89">
        <f>-SUMIFS('3月数据源'!$I:$I,'3月数据源'!$D:$D,$E83,'3月数据源'!$F:$F,"HK01")*H$185+SUMIFS('3月数据源'!$J:$J,'3月数据源'!$D:$D,$E83,'3月数据源'!$F:$F,"HK01")*H$185</f>
        <v/>
      </c>
      <c r="I83" s="89">
        <f>-SUMIFS('4月数据源'!$I:$I,'4月数据源'!$D:$D,$E83,'4月数据源'!$F:$F,"HK01")*I$185+SUMIFS('4月数据源'!$J:$J,'4月数据源'!$D:$D,$E83,'4月数据源'!$F:$F,"HK01")*I$185</f>
        <v/>
      </c>
      <c r="J83" s="89">
        <f>-SUMIFS('5月数据源'!$I:$I,'5月数据源'!$D:$D,$E83,'5月数据源'!$F:$F,"HK01")*J$185+SUMIFS('5月数据源'!$J:$J,'5月数据源'!$D:$D,$E83,'5月数据源'!$F:$F,"HK01")*J$185</f>
        <v/>
      </c>
      <c r="K83" s="89">
        <f>-SUMIFS('6月数据源'!$I:$I,'6月数据源'!$D:$D,$E83,'6月数据源'!$F:$F,"HK01")*K$185+SUMIFS('6月数据源'!$J:$J,'6月数据源'!$D:$D,$E83,'6月数据源'!$F:$F,"HK01")*K$185</f>
        <v/>
      </c>
      <c r="L83" s="89">
        <f>-SUMIFS('7月数据源'!$I:$I,'7月数据源'!$D:$D,$E83,'7月数据源'!$F:$F,"HK01")*L$185+SUMIFS('7月数据源'!$J:$J,'7月数据源'!$D:$D,$E83,'7月数据源'!$F:$F,"HK01")*L$185</f>
        <v/>
      </c>
      <c r="M83" s="89">
        <f>-SUMIFS('8月数据源'!$I:$I,'8月数据源'!$D:$D,$E83,'8月数据源'!$F:$F,"HK01")*M$185+SUMIFS('8月数据源'!$J:$J,'8月数据源'!$D:$D,$E83,'8月数据源'!$F:$F,"HK01")*M$185</f>
        <v/>
      </c>
      <c r="N83" s="89">
        <f>-SUMIFS('9月数据源'!$I:$I,'9月数据源'!$D:$D,$E83,'9月数据源'!$F:$F,"HK01")*N$185+SUMIFS('9月数据源'!$J:$J,'9月数据源'!$D:$D,$E83,'9月数据源'!$F:$F,"HK01")*N$185</f>
        <v/>
      </c>
      <c r="O83" s="89">
        <f>-SUMIFS('10月数据源'!$I:$I,'10月数据源'!$D:$D,$E83,'10月数据源'!$F:$F,"HK01")*O$185+SUMIFS('10月数据源'!$J:$J,'10月数据源'!$D:$D,$E83,'10月数据源'!$F:$F,"HK01")*O$185</f>
        <v/>
      </c>
      <c r="P83" s="89">
        <f>-SUMIFS('11月数据源'!$I:$I,'11月数据源'!$D:$D,$E83,'11月数据源'!$F:$F,"HK01")*P$185+SUMIFS('11月数据源'!$J:$J,'11月数据源'!$D:$D,$E83,'11月数据源'!$F:$F,"HK01")*P$185</f>
        <v/>
      </c>
      <c r="Q83" s="89">
        <f>-SUMIFS('12月数据源'!$I:$I,'12月数据源'!$D:$D,$E83,'12月数据源'!$F:$F,"HK01")*Q$185+SUMIFS('12月数据源'!$J:$J,'12月数据源'!$D:$D,$E83,'12月数据源'!$F:$F,"HK01")*Q$185</f>
        <v/>
      </c>
    </row>
    <row r="84" s="83">
      <c r="A84" s="5" t="inlineStr">
        <is>
          <t>研发支出</t>
        </is>
      </c>
      <c r="B84" s="6" t="inlineStr">
        <is>
          <t>产品开发-PRO</t>
        </is>
      </c>
      <c r="D84" s="5" t="inlineStr">
        <is>
          <t>题库费</t>
        </is>
      </c>
      <c r="E84" s="6" t="inlineStr">
        <is>
          <t>Q1307</t>
        </is>
      </c>
      <c r="F84" s="89">
        <f>-SUMIFS('1月数据源'!$I:$I,'1月数据源'!$D:$D,$E84,'1月数据源'!$F:$F,"HK01")*F$185+SUMIFS('1月数据源'!$J:$J,'1月数据源'!$D:$D,$E84,'1月数据源'!$F:$F,"HK01")*F$185</f>
        <v/>
      </c>
      <c r="G84" s="89">
        <f>-SUMIFS('2月数据源'!$I:$I,'2月数据源'!$D:$D,$E84,'2月数据源'!$F:$F,"HK01")*G$185+SUMIFS('2月数据源'!$J:$J,'2月数据源'!$D:$D,$E84,'2月数据源'!$F:$F,"HK01")*G$185</f>
        <v/>
      </c>
      <c r="H84" s="89">
        <f>-SUMIFS('3月数据源'!$I:$I,'3月数据源'!$D:$D,$E84,'3月数据源'!$F:$F,"HK01")*H$185+SUMIFS('3月数据源'!$J:$J,'3月数据源'!$D:$D,$E84,'3月数据源'!$F:$F,"HK01")*H$185</f>
        <v/>
      </c>
      <c r="I84" s="89">
        <f>-SUMIFS('4月数据源'!$I:$I,'4月数据源'!$D:$D,$E84,'4月数据源'!$F:$F,"HK01")*I$185+SUMIFS('4月数据源'!$J:$J,'4月数据源'!$D:$D,$E84,'4月数据源'!$F:$F,"HK01")*I$185</f>
        <v/>
      </c>
      <c r="J84" s="89">
        <f>-SUMIFS('5月数据源'!$I:$I,'5月数据源'!$D:$D,$E84,'5月数据源'!$F:$F,"HK01")*J$185+SUMIFS('5月数据源'!$J:$J,'5月数据源'!$D:$D,$E84,'5月数据源'!$F:$F,"HK01")*J$185</f>
        <v/>
      </c>
      <c r="K84" s="89">
        <f>-SUMIFS('6月数据源'!$I:$I,'6月数据源'!$D:$D,$E84,'6月数据源'!$F:$F,"HK01")*K$185+SUMIFS('6月数据源'!$J:$J,'6月数据源'!$D:$D,$E84,'6月数据源'!$F:$F,"HK01")*K$185</f>
        <v/>
      </c>
      <c r="L84" s="89">
        <f>-SUMIFS('7月数据源'!$I:$I,'7月数据源'!$D:$D,$E84,'7月数据源'!$F:$F,"HK01")*L$185+SUMIFS('7月数据源'!$J:$J,'7月数据源'!$D:$D,$E84,'7月数据源'!$F:$F,"HK01")*L$185</f>
        <v/>
      </c>
      <c r="M84" s="89">
        <f>-SUMIFS('8月数据源'!$I:$I,'8月数据源'!$D:$D,$E84,'8月数据源'!$F:$F,"HK01")*M$185+SUMIFS('8月数据源'!$J:$J,'8月数据源'!$D:$D,$E84,'8月数据源'!$F:$F,"HK01")*M$185</f>
        <v/>
      </c>
      <c r="N84" s="89">
        <f>-SUMIFS('9月数据源'!$I:$I,'9月数据源'!$D:$D,$E84,'9月数据源'!$F:$F,"HK01")*N$185+SUMIFS('9月数据源'!$J:$J,'9月数据源'!$D:$D,$E84,'9月数据源'!$F:$F,"HK01")*N$185</f>
        <v/>
      </c>
      <c r="O84" s="89">
        <f>-SUMIFS('10月数据源'!$I:$I,'10月数据源'!$D:$D,$E84,'10月数据源'!$F:$F,"HK01")*O$185+SUMIFS('10月数据源'!$J:$J,'10月数据源'!$D:$D,$E84,'10月数据源'!$F:$F,"HK01")*O$185</f>
        <v/>
      </c>
      <c r="P84" s="89">
        <f>-SUMIFS('11月数据源'!$I:$I,'11月数据源'!$D:$D,$E84,'11月数据源'!$F:$F,"HK01")*P$185+SUMIFS('11月数据源'!$J:$J,'11月数据源'!$D:$D,$E84,'11月数据源'!$F:$F,"HK01")*P$185</f>
        <v/>
      </c>
      <c r="Q84" s="89">
        <f>-SUMIFS('12月数据源'!$I:$I,'12月数据源'!$D:$D,$E84,'12月数据源'!$F:$F,"HK01")*Q$185+SUMIFS('12月数据源'!$J:$J,'12月数据源'!$D:$D,$E84,'12月数据源'!$F:$F,"HK01")*Q$185</f>
        <v/>
      </c>
    </row>
    <row r="85" s="83">
      <c r="A85" s="5" t="inlineStr">
        <is>
          <t>研发支出</t>
        </is>
      </c>
      <c r="B85" s="6" t="inlineStr">
        <is>
          <t>其他产品开发</t>
        </is>
      </c>
      <c r="C85" s="6" t="inlineStr">
        <is>
          <t>其他产品开发</t>
        </is>
      </c>
      <c r="D85" s="5" t="inlineStr">
        <is>
          <t>产品开发-员工报销</t>
        </is>
      </c>
      <c r="E85" s="6" t="inlineStr">
        <is>
          <t>Q1402</t>
        </is>
      </c>
      <c r="F85" s="89">
        <f>-SUMIFS('1月数据源'!$I:$I,'1月数据源'!$D:$D,$E85,'1月数据源'!$F:$F,"HK01")*F$185+SUMIFS('1月数据源'!$J:$J,'1月数据源'!$D:$D,$E85,'1月数据源'!$F:$F,"HK01")*F$185</f>
        <v/>
      </c>
      <c r="G85" s="89">
        <f>-SUMIFS('2月数据源'!$I:$I,'2月数据源'!$D:$D,$E85,'2月数据源'!$F:$F,"HK01")*G$185+SUMIFS('2月数据源'!$J:$J,'2月数据源'!$D:$D,$E85,'2月数据源'!$F:$F,"HK01")*G$185</f>
        <v/>
      </c>
      <c r="H85" s="89">
        <f>-SUMIFS('3月数据源'!$I:$I,'3月数据源'!$D:$D,$E85,'3月数据源'!$F:$F,"HK01")*H$185+SUMIFS('3月数据源'!$J:$J,'3月数据源'!$D:$D,$E85,'3月数据源'!$F:$F,"HK01")*H$185</f>
        <v/>
      </c>
      <c r="I85" s="89">
        <f>-SUMIFS('4月数据源'!$I:$I,'4月数据源'!$D:$D,$E85,'4月数据源'!$F:$F,"HK01")*I$185+SUMIFS('4月数据源'!$J:$J,'4月数据源'!$D:$D,$E85,'4月数据源'!$F:$F,"HK01")*I$185</f>
        <v/>
      </c>
      <c r="J85" s="89">
        <f>-SUMIFS('5月数据源'!$I:$I,'5月数据源'!$D:$D,$E85,'5月数据源'!$F:$F,"HK01")*J$185+SUMIFS('5月数据源'!$J:$J,'5月数据源'!$D:$D,$E85,'5月数据源'!$F:$F,"HK01")*J$185</f>
        <v/>
      </c>
      <c r="K85" s="89">
        <f>-SUMIFS('6月数据源'!$I:$I,'6月数据源'!$D:$D,$E85,'6月数据源'!$F:$F,"HK01")*K$185+SUMIFS('6月数据源'!$J:$J,'6月数据源'!$D:$D,$E85,'6月数据源'!$F:$F,"HK01")*K$185</f>
        <v/>
      </c>
      <c r="L85" s="89">
        <f>-SUMIFS('7月数据源'!$I:$I,'7月数据源'!$D:$D,$E85,'7月数据源'!$F:$F,"HK01")*L$185+SUMIFS('7月数据源'!$J:$J,'7月数据源'!$D:$D,$E85,'7月数据源'!$F:$F,"HK01")*L$185</f>
        <v/>
      </c>
      <c r="M85" s="89">
        <f>-SUMIFS('8月数据源'!$I:$I,'8月数据源'!$D:$D,$E85,'8月数据源'!$F:$F,"HK01")*M$185+SUMIFS('8月数据源'!$J:$J,'8月数据源'!$D:$D,$E85,'8月数据源'!$F:$F,"HK01")*M$185</f>
        <v/>
      </c>
      <c r="N85" s="89">
        <f>-SUMIFS('9月数据源'!$I:$I,'9月数据源'!$D:$D,$E85,'9月数据源'!$F:$F,"HK01")*N$185+SUMIFS('9月数据源'!$J:$J,'9月数据源'!$D:$D,$E85,'9月数据源'!$F:$F,"HK01")*N$185</f>
        <v/>
      </c>
      <c r="O85" s="89">
        <f>-SUMIFS('10月数据源'!$I:$I,'10月数据源'!$D:$D,$E85,'10月数据源'!$F:$F,"HK01")*O$185+SUMIFS('10月数据源'!$J:$J,'10月数据源'!$D:$D,$E85,'10月数据源'!$F:$F,"HK01")*O$185</f>
        <v/>
      </c>
      <c r="P85" s="89">
        <f>-SUMIFS('11月数据源'!$I:$I,'11月数据源'!$D:$D,$E85,'11月数据源'!$F:$F,"HK01")*P$185+SUMIFS('11月数据源'!$J:$J,'11月数据源'!$D:$D,$E85,'11月数据源'!$F:$F,"HK01")*P$185</f>
        <v/>
      </c>
      <c r="Q85" s="89">
        <f>-SUMIFS('12月数据源'!$I:$I,'12月数据源'!$D:$D,$E85,'12月数据源'!$F:$F,"HK01")*Q$185+SUMIFS('12月数据源'!$J:$J,'12月数据源'!$D:$D,$E85,'12月数据源'!$F:$F,"HK01")*Q$185</f>
        <v/>
      </c>
    </row>
    <row r="86" s="83">
      <c r="A86" s="5" t="inlineStr">
        <is>
          <t>研发支出</t>
        </is>
      </c>
      <c r="B86" s="6" t="inlineStr">
        <is>
          <t>其他产品开发</t>
        </is>
      </c>
      <c r="D86" s="5" t="inlineStr">
        <is>
          <t>软件使用费</t>
        </is>
      </c>
      <c r="E86" s="6" t="inlineStr">
        <is>
          <t>Q1401</t>
        </is>
      </c>
      <c r="F86" s="89">
        <f>-SUMIFS('1月数据源'!$I:$I,'1月数据源'!$D:$D,$E86,'1月数据源'!$F:$F,"HK01")*F$185+SUMIFS('1月数据源'!$J:$J,'1月数据源'!$D:$D,$E86,'1月数据源'!$F:$F,"HK01")*F$185</f>
        <v/>
      </c>
      <c r="G86" s="89">
        <f>-SUMIFS('2月数据源'!$I:$I,'2月数据源'!$D:$D,$E86,'2月数据源'!$F:$F,"HK01")*G$185+SUMIFS('2月数据源'!$J:$J,'2月数据源'!$D:$D,$E86,'2月数据源'!$F:$F,"HK01")*G$185</f>
        <v/>
      </c>
      <c r="H86" s="89">
        <f>-SUMIFS('3月数据源'!$I:$I,'3月数据源'!$D:$D,$E86,'3月数据源'!$F:$F,"HK01")*H$185+SUMIFS('3月数据源'!$J:$J,'3月数据源'!$D:$D,$E86,'3月数据源'!$F:$F,"HK01")*H$185</f>
        <v/>
      </c>
      <c r="I86" s="89">
        <f>-SUMIFS('4月数据源'!$I:$I,'4月数据源'!$D:$D,$E86,'4月数据源'!$F:$F,"HK01")*I$185+SUMIFS('4月数据源'!$J:$J,'4月数据源'!$D:$D,$E86,'4月数据源'!$F:$F,"HK01")*I$185</f>
        <v/>
      </c>
      <c r="J86" s="89">
        <f>-SUMIFS('5月数据源'!$I:$I,'5月数据源'!$D:$D,$E86,'5月数据源'!$F:$F,"HK01")*J$185+SUMIFS('5月数据源'!$J:$J,'5月数据源'!$D:$D,$E86,'5月数据源'!$F:$F,"HK01")*J$185</f>
        <v/>
      </c>
      <c r="K86" s="89">
        <f>-SUMIFS('6月数据源'!$I:$I,'6月数据源'!$D:$D,$E86,'6月数据源'!$F:$F,"HK01")*K$185+SUMIFS('6月数据源'!$J:$J,'6月数据源'!$D:$D,$E86,'6月数据源'!$F:$F,"HK01")*K$185</f>
        <v/>
      </c>
      <c r="L86" s="89">
        <f>-SUMIFS('7月数据源'!$I:$I,'7月数据源'!$D:$D,$E86,'7月数据源'!$F:$F,"HK01")*L$185+SUMIFS('7月数据源'!$J:$J,'7月数据源'!$D:$D,$E86,'7月数据源'!$F:$F,"HK01")*L$185</f>
        <v/>
      </c>
      <c r="M86" s="89">
        <f>-SUMIFS('8月数据源'!$I:$I,'8月数据源'!$D:$D,$E86,'8月数据源'!$F:$F,"HK01")*M$185+SUMIFS('8月数据源'!$J:$J,'8月数据源'!$D:$D,$E86,'8月数据源'!$F:$F,"HK01")*M$185</f>
        <v/>
      </c>
      <c r="N86" s="89">
        <f>-SUMIFS('9月数据源'!$I:$I,'9月数据源'!$D:$D,$E86,'9月数据源'!$F:$F,"HK01")*N$185+SUMIFS('9月数据源'!$J:$J,'9月数据源'!$D:$D,$E86,'9月数据源'!$F:$F,"HK01")*N$185</f>
        <v/>
      </c>
      <c r="O86" s="89">
        <f>-SUMIFS('10月数据源'!$I:$I,'10月数据源'!$D:$D,$E86,'10月数据源'!$F:$F,"HK01")*O$185+SUMIFS('10月数据源'!$J:$J,'10月数据源'!$D:$D,$E86,'10月数据源'!$F:$F,"HK01")*O$185</f>
        <v/>
      </c>
      <c r="P86" s="89">
        <f>-SUMIFS('11月数据源'!$I:$I,'11月数据源'!$D:$D,$E86,'11月数据源'!$F:$F,"HK01")*P$185+SUMIFS('11月数据源'!$J:$J,'11月数据源'!$D:$D,$E86,'11月数据源'!$F:$F,"HK01")*P$185</f>
        <v/>
      </c>
      <c r="Q86" s="89">
        <f>-SUMIFS('12月数据源'!$I:$I,'12月数据源'!$D:$D,$E86,'12月数据源'!$F:$F,"HK01")*Q$185+SUMIFS('12月数据源'!$J:$J,'12月数据源'!$D:$D,$E86,'12月数据源'!$F:$F,"HK01")*Q$185</f>
        <v/>
      </c>
    </row>
    <row r="87" s="83">
      <c r="A87" s="5" t="inlineStr">
        <is>
          <t>研发支出</t>
        </is>
      </c>
      <c r="B87" s="6" t="inlineStr">
        <is>
          <t>服务器算法充值</t>
        </is>
      </c>
      <c r="C87" s="6" t="inlineStr">
        <is>
          <t>服务器算法充值</t>
        </is>
      </c>
      <c r="D87" s="5" t="inlineStr">
        <is>
          <t>阿里云充值费用</t>
        </is>
      </c>
      <c r="E87" s="6" t="inlineStr">
        <is>
          <t>Q1501</t>
        </is>
      </c>
      <c r="F87" s="89">
        <f>-SUMIFS('1月数据源'!$I:$I,'1月数据源'!$D:$D,$E87,'1月数据源'!$F:$F,"HK01")*F$185+SUMIFS('1月数据源'!$J:$J,'1月数据源'!$D:$D,$E87,'1月数据源'!$F:$F,"HK01")*F$185</f>
        <v/>
      </c>
      <c r="G87" s="89">
        <f>-SUMIFS('2月数据源'!$I:$I,'2月数据源'!$D:$D,$E87,'2月数据源'!$F:$F,"HK01")*G$185+SUMIFS('2月数据源'!$J:$J,'2月数据源'!$D:$D,$E87,'2月数据源'!$F:$F,"HK01")*G$185</f>
        <v/>
      </c>
      <c r="H87" s="89">
        <f>-SUMIFS('3月数据源'!$I:$I,'3月数据源'!$D:$D,$E87,'3月数据源'!$F:$F,"HK01")*H$185+SUMIFS('3月数据源'!$J:$J,'3月数据源'!$D:$D,$E87,'3月数据源'!$F:$F,"HK01")*H$185</f>
        <v/>
      </c>
      <c r="I87" s="89">
        <f>-SUMIFS('4月数据源'!$I:$I,'4月数据源'!$D:$D,$E87,'4月数据源'!$F:$F,"HK01")*I$185+SUMIFS('4月数据源'!$J:$J,'4月数据源'!$D:$D,$E87,'4月数据源'!$F:$F,"HK01")*I$185</f>
        <v/>
      </c>
      <c r="J87" s="89">
        <f>-SUMIFS('5月数据源'!$I:$I,'5月数据源'!$D:$D,$E87,'5月数据源'!$F:$F,"HK01")*J$185+SUMIFS('5月数据源'!$J:$J,'5月数据源'!$D:$D,$E87,'5月数据源'!$F:$F,"HK01")*J$185</f>
        <v/>
      </c>
      <c r="K87" s="89">
        <f>-SUMIFS('6月数据源'!$I:$I,'6月数据源'!$D:$D,$E87,'6月数据源'!$F:$F,"HK01")*K$185+SUMIFS('6月数据源'!$J:$J,'6月数据源'!$D:$D,$E87,'6月数据源'!$F:$F,"HK01")*K$185</f>
        <v/>
      </c>
      <c r="L87" s="89">
        <f>-SUMIFS('7月数据源'!$I:$I,'7月数据源'!$D:$D,$E87,'7月数据源'!$F:$F,"HK01")*L$185+SUMIFS('7月数据源'!$J:$J,'7月数据源'!$D:$D,$E87,'7月数据源'!$F:$F,"HK01")*L$185</f>
        <v/>
      </c>
      <c r="M87" s="89">
        <f>-SUMIFS('8月数据源'!$I:$I,'8月数据源'!$D:$D,$E87,'8月数据源'!$F:$F,"HK01")*M$185+SUMIFS('8月数据源'!$J:$J,'8月数据源'!$D:$D,$E87,'8月数据源'!$F:$F,"HK01")*M$185</f>
        <v/>
      </c>
      <c r="N87" s="89">
        <f>-SUMIFS('9月数据源'!$I:$I,'9月数据源'!$D:$D,$E87,'9月数据源'!$F:$F,"HK01")*N$185+SUMIFS('9月数据源'!$J:$J,'9月数据源'!$D:$D,$E87,'9月数据源'!$F:$F,"HK01")*N$185</f>
        <v/>
      </c>
      <c r="O87" s="89">
        <f>-SUMIFS('10月数据源'!$I:$I,'10月数据源'!$D:$D,$E87,'10月数据源'!$F:$F,"HK01")*O$185+SUMIFS('10月数据源'!$J:$J,'10月数据源'!$D:$D,$E87,'10月数据源'!$F:$F,"HK01")*O$185</f>
        <v/>
      </c>
      <c r="P87" s="89">
        <f>-SUMIFS('11月数据源'!$I:$I,'11月数据源'!$D:$D,$E87,'11月数据源'!$F:$F,"HK01")*P$185+SUMIFS('11月数据源'!$J:$J,'11月数据源'!$D:$D,$E87,'11月数据源'!$F:$F,"HK01")*P$185</f>
        <v/>
      </c>
      <c r="Q87" s="89">
        <f>-SUMIFS('12月数据源'!$I:$I,'12月数据源'!$D:$D,$E87,'12月数据源'!$F:$F,"HK01")*Q$185+SUMIFS('12月数据源'!$J:$J,'12月数据源'!$D:$D,$E87,'12月数据源'!$F:$F,"HK01")*Q$185</f>
        <v/>
      </c>
    </row>
    <row r="88" s="83">
      <c r="A88" s="5" t="inlineStr">
        <is>
          <t>研发支出</t>
        </is>
      </c>
      <c r="B88" s="6" t="inlineStr">
        <is>
          <t>服务器算法充值</t>
        </is>
      </c>
      <c r="D88" s="5" t="inlineStr">
        <is>
          <t>微软充值费用</t>
        </is>
      </c>
      <c r="E88" s="6" t="inlineStr">
        <is>
          <t>Q1502</t>
        </is>
      </c>
      <c r="F88" s="89">
        <f>-SUMIFS('1月数据源'!$I:$I,'1月数据源'!$D:$D,$E88,'1月数据源'!$F:$F,"HK01")*F$185+SUMIFS('1月数据源'!$J:$J,'1月数据源'!$D:$D,$E88,'1月数据源'!$F:$F,"HK01")*F$185</f>
        <v/>
      </c>
      <c r="G88" s="89">
        <f>-SUMIFS('2月数据源'!$I:$I,'2月数据源'!$D:$D,$E88,'2月数据源'!$F:$F,"HK01")*G$185+SUMIFS('2月数据源'!$J:$J,'2月数据源'!$D:$D,$E88,'2月数据源'!$F:$F,"HK01")*G$185</f>
        <v/>
      </c>
      <c r="H88" s="89">
        <f>-SUMIFS('3月数据源'!$I:$I,'3月数据源'!$D:$D,$E88,'3月数据源'!$F:$F,"HK01")*H$185+SUMIFS('3月数据源'!$J:$J,'3月数据源'!$D:$D,$E88,'3月数据源'!$F:$F,"HK01")*H$185</f>
        <v/>
      </c>
      <c r="I88" s="89">
        <f>-SUMIFS('4月数据源'!$I:$I,'4月数据源'!$D:$D,$E88,'4月数据源'!$F:$F,"HK01")*I$185+SUMIFS('4月数据源'!$J:$J,'4月数据源'!$D:$D,$E88,'4月数据源'!$F:$F,"HK01")*I$185</f>
        <v/>
      </c>
      <c r="J88" s="89">
        <f>-SUMIFS('5月数据源'!$I:$I,'5月数据源'!$D:$D,$E88,'5月数据源'!$F:$F,"HK01")*J$185+SUMIFS('5月数据源'!$J:$J,'5月数据源'!$D:$D,$E88,'5月数据源'!$F:$F,"HK01")*J$185</f>
        <v/>
      </c>
      <c r="K88" s="89">
        <f>-SUMIFS('6月数据源'!$I:$I,'6月数据源'!$D:$D,$E88,'6月数据源'!$F:$F,"HK01")*K$185+SUMIFS('6月数据源'!$J:$J,'6月数据源'!$D:$D,$E88,'6月数据源'!$F:$F,"HK01")*K$185</f>
        <v/>
      </c>
      <c r="L88" s="89">
        <f>-SUMIFS('7月数据源'!$I:$I,'7月数据源'!$D:$D,$E88,'7月数据源'!$F:$F,"HK01")*L$185+SUMIFS('7月数据源'!$J:$J,'7月数据源'!$D:$D,$E88,'7月数据源'!$F:$F,"HK01")*L$185</f>
        <v/>
      </c>
      <c r="M88" s="89">
        <f>-SUMIFS('8月数据源'!$I:$I,'8月数据源'!$D:$D,$E88,'8月数据源'!$F:$F,"HK01")*M$185+SUMIFS('8月数据源'!$J:$J,'8月数据源'!$D:$D,$E88,'8月数据源'!$F:$F,"HK01")*M$185</f>
        <v/>
      </c>
      <c r="N88" s="89">
        <f>-SUMIFS('9月数据源'!$I:$I,'9月数据源'!$D:$D,$E88,'9月数据源'!$F:$F,"HK01")*N$185+SUMIFS('9月数据源'!$J:$J,'9月数据源'!$D:$D,$E88,'9月数据源'!$F:$F,"HK01")*N$185</f>
        <v/>
      </c>
      <c r="O88" s="89">
        <f>-SUMIFS('10月数据源'!$I:$I,'10月数据源'!$D:$D,$E88,'10月数据源'!$F:$F,"HK01")*O$185+SUMIFS('10月数据源'!$J:$J,'10月数据源'!$D:$D,$E88,'10月数据源'!$F:$F,"HK01")*O$185</f>
        <v/>
      </c>
      <c r="P88" s="89">
        <f>-SUMIFS('11月数据源'!$I:$I,'11月数据源'!$D:$D,$E88,'11月数据源'!$F:$F,"HK01")*P$185+SUMIFS('11月数据源'!$J:$J,'11月数据源'!$D:$D,$E88,'11月数据源'!$F:$F,"HK01")*P$185</f>
        <v/>
      </c>
      <c r="Q88" s="89">
        <f>-SUMIFS('12月数据源'!$I:$I,'12月数据源'!$D:$D,$E88,'12月数据源'!$F:$F,"HK01")*Q$185+SUMIFS('12月数据源'!$J:$J,'12月数据源'!$D:$D,$E88,'12月数据源'!$F:$F,"HK01")*Q$185</f>
        <v/>
      </c>
    </row>
    <row r="89" s="83">
      <c r="A89" s="5" t="inlineStr">
        <is>
          <t>研发支出</t>
        </is>
      </c>
      <c r="B89" s="6" t="inlineStr">
        <is>
          <t>服务器算法充值</t>
        </is>
      </c>
      <c r="D89" s="5" t="inlineStr">
        <is>
          <t>kimi充值费用</t>
        </is>
      </c>
      <c r="E89" s="6" t="inlineStr">
        <is>
          <t>Q1503</t>
        </is>
      </c>
      <c r="F89" s="89">
        <f>-SUMIFS('1月数据源'!$I:$I,'1月数据源'!$D:$D,$E89,'1月数据源'!$F:$F,"HK01")*F$185+SUMIFS('1月数据源'!$J:$J,'1月数据源'!$D:$D,$E89,'1月数据源'!$F:$F,"HK01")*F$185</f>
        <v/>
      </c>
      <c r="G89" s="89">
        <f>-SUMIFS('2月数据源'!$I:$I,'2月数据源'!$D:$D,$E89,'2月数据源'!$F:$F,"HK01")*G$185+SUMIFS('2月数据源'!$J:$J,'2月数据源'!$D:$D,$E89,'2月数据源'!$F:$F,"HK01")*G$185</f>
        <v/>
      </c>
      <c r="H89" s="89">
        <f>-SUMIFS('3月数据源'!$I:$I,'3月数据源'!$D:$D,$E89,'3月数据源'!$F:$F,"HK01")*H$185+SUMIFS('3月数据源'!$J:$J,'3月数据源'!$D:$D,$E89,'3月数据源'!$F:$F,"HK01")*H$185</f>
        <v/>
      </c>
      <c r="I89" s="89">
        <f>-SUMIFS('4月数据源'!$I:$I,'4月数据源'!$D:$D,$E89,'4月数据源'!$F:$F,"HK01")*I$185+SUMIFS('4月数据源'!$J:$J,'4月数据源'!$D:$D,$E89,'4月数据源'!$F:$F,"HK01")*I$185</f>
        <v/>
      </c>
      <c r="J89" s="89">
        <f>-SUMIFS('5月数据源'!$I:$I,'5月数据源'!$D:$D,$E89,'5月数据源'!$F:$F,"HK01")*J$185+SUMIFS('5月数据源'!$J:$J,'5月数据源'!$D:$D,$E89,'5月数据源'!$F:$F,"HK01")*J$185</f>
        <v/>
      </c>
      <c r="K89" s="89">
        <f>-SUMIFS('6月数据源'!$I:$I,'6月数据源'!$D:$D,$E89,'6月数据源'!$F:$F,"HK01")*K$185+SUMIFS('6月数据源'!$J:$J,'6月数据源'!$D:$D,$E89,'6月数据源'!$F:$F,"HK01")*K$185</f>
        <v/>
      </c>
      <c r="L89" s="89">
        <f>-SUMIFS('7月数据源'!$I:$I,'7月数据源'!$D:$D,$E89,'7月数据源'!$F:$F,"HK01")*L$185+SUMIFS('7月数据源'!$J:$J,'7月数据源'!$D:$D,$E89,'7月数据源'!$F:$F,"HK01")*L$185</f>
        <v/>
      </c>
      <c r="M89" s="89">
        <f>-SUMIFS('8月数据源'!$I:$I,'8月数据源'!$D:$D,$E89,'8月数据源'!$F:$F,"HK01")*M$185+SUMIFS('8月数据源'!$J:$J,'8月数据源'!$D:$D,$E89,'8月数据源'!$F:$F,"HK01")*M$185</f>
        <v/>
      </c>
      <c r="N89" s="89">
        <f>-SUMIFS('9月数据源'!$I:$I,'9月数据源'!$D:$D,$E89,'9月数据源'!$F:$F,"HK01")*N$185+SUMIFS('9月数据源'!$J:$J,'9月数据源'!$D:$D,$E89,'9月数据源'!$F:$F,"HK01")*N$185</f>
        <v/>
      </c>
      <c r="O89" s="89">
        <f>-SUMIFS('10月数据源'!$I:$I,'10月数据源'!$D:$D,$E89,'10月数据源'!$F:$F,"HK01")*O$185+SUMIFS('10月数据源'!$J:$J,'10月数据源'!$D:$D,$E89,'10月数据源'!$F:$F,"HK01")*O$185</f>
        <v/>
      </c>
      <c r="P89" s="89">
        <f>-SUMIFS('11月数据源'!$I:$I,'11月数据源'!$D:$D,$E89,'11月数据源'!$F:$F,"HK01")*P$185+SUMIFS('11月数据源'!$J:$J,'11月数据源'!$D:$D,$E89,'11月数据源'!$F:$F,"HK01")*P$185</f>
        <v/>
      </c>
      <c r="Q89" s="89">
        <f>-SUMIFS('12月数据源'!$I:$I,'12月数据源'!$D:$D,$E89,'12月数据源'!$F:$F,"HK01")*Q$185+SUMIFS('12月数据源'!$J:$J,'12月数据源'!$D:$D,$E89,'12月数据源'!$F:$F,"HK01")*Q$185</f>
        <v/>
      </c>
    </row>
    <row r="90" s="83">
      <c r="A90" s="5" t="inlineStr">
        <is>
          <t>研发支出</t>
        </is>
      </c>
      <c r="B90" s="6" t="inlineStr">
        <is>
          <t>服务器算法充值</t>
        </is>
      </c>
      <c r="D90" s="5" t="inlineStr">
        <is>
          <t>智普AI充值费用</t>
        </is>
      </c>
      <c r="E90" s="6" t="inlineStr">
        <is>
          <t>Q1504</t>
        </is>
      </c>
      <c r="F90" s="89">
        <f>-SUMIFS('1月数据源'!$I:$I,'1月数据源'!$D:$D,$E90,'1月数据源'!$F:$F,"HK01")*F$185+SUMIFS('1月数据源'!$J:$J,'1月数据源'!$D:$D,$E90,'1月数据源'!$F:$F,"HK01")*F$185</f>
        <v/>
      </c>
      <c r="G90" s="89">
        <f>-SUMIFS('2月数据源'!$I:$I,'2月数据源'!$D:$D,$E90,'2月数据源'!$F:$F,"HK01")*G$185+SUMIFS('2月数据源'!$J:$J,'2月数据源'!$D:$D,$E90,'2月数据源'!$F:$F,"HK01")*G$185</f>
        <v/>
      </c>
      <c r="H90" s="89">
        <f>-SUMIFS('3月数据源'!$I:$I,'3月数据源'!$D:$D,$E90,'3月数据源'!$F:$F,"HK01")*H$185+SUMIFS('3月数据源'!$J:$J,'3月数据源'!$D:$D,$E90,'3月数据源'!$F:$F,"HK01")*H$185</f>
        <v/>
      </c>
      <c r="I90" s="89">
        <f>-SUMIFS('4月数据源'!$I:$I,'4月数据源'!$D:$D,$E90,'4月数据源'!$F:$F,"HK01")*I$185+SUMIFS('4月数据源'!$J:$J,'4月数据源'!$D:$D,$E90,'4月数据源'!$F:$F,"HK01")*I$185</f>
        <v/>
      </c>
      <c r="J90" s="89">
        <f>-SUMIFS('5月数据源'!$I:$I,'5月数据源'!$D:$D,$E90,'5月数据源'!$F:$F,"HK01")*J$185+SUMIFS('5月数据源'!$J:$J,'5月数据源'!$D:$D,$E90,'5月数据源'!$F:$F,"HK01")*J$185</f>
        <v/>
      </c>
      <c r="K90" s="89">
        <f>-SUMIFS('6月数据源'!$I:$I,'6月数据源'!$D:$D,$E90,'6月数据源'!$F:$F,"HK01")*K$185+SUMIFS('6月数据源'!$J:$J,'6月数据源'!$D:$D,$E90,'6月数据源'!$F:$F,"HK01")*K$185</f>
        <v/>
      </c>
      <c r="L90" s="89">
        <f>-SUMIFS('7月数据源'!$I:$I,'7月数据源'!$D:$D,$E90,'7月数据源'!$F:$F,"HK01")*L$185+SUMIFS('7月数据源'!$J:$J,'7月数据源'!$D:$D,$E90,'7月数据源'!$F:$F,"HK01")*L$185</f>
        <v/>
      </c>
      <c r="M90" s="89">
        <f>-SUMIFS('8月数据源'!$I:$I,'8月数据源'!$D:$D,$E90,'8月数据源'!$F:$F,"HK01")*M$185+SUMIFS('8月数据源'!$J:$J,'8月数据源'!$D:$D,$E90,'8月数据源'!$F:$F,"HK01")*M$185</f>
        <v/>
      </c>
      <c r="N90" s="89">
        <f>-SUMIFS('9月数据源'!$I:$I,'9月数据源'!$D:$D,$E90,'9月数据源'!$F:$F,"HK01")*N$185+SUMIFS('9月数据源'!$J:$J,'9月数据源'!$D:$D,$E90,'9月数据源'!$F:$F,"HK01")*N$185</f>
        <v/>
      </c>
      <c r="O90" s="89">
        <f>-SUMIFS('10月数据源'!$I:$I,'10月数据源'!$D:$D,$E90,'10月数据源'!$F:$F,"HK01")*O$185+SUMIFS('10月数据源'!$J:$J,'10月数据源'!$D:$D,$E90,'10月数据源'!$F:$F,"HK01")*O$185</f>
        <v/>
      </c>
      <c r="P90" s="89">
        <f>-SUMIFS('11月数据源'!$I:$I,'11月数据源'!$D:$D,$E90,'11月数据源'!$F:$F,"HK01")*P$185+SUMIFS('11月数据源'!$J:$J,'11月数据源'!$D:$D,$E90,'11月数据源'!$F:$F,"HK01")*P$185</f>
        <v/>
      </c>
      <c r="Q90" s="89">
        <f>-SUMIFS('12月数据源'!$I:$I,'12月数据源'!$D:$D,$E90,'12月数据源'!$F:$F,"HK01")*Q$185+SUMIFS('12月数据源'!$J:$J,'12月数据源'!$D:$D,$E90,'12月数据源'!$F:$F,"HK01")*Q$185</f>
        <v/>
      </c>
    </row>
    <row r="91" s="83">
      <c r="A91" s="5" t="inlineStr">
        <is>
          <t>研发支出</t>
        </is>
      </c>
      <c r="B91" s="6" t="inlineStr">
        <is>
          <t>服务器算法充值</t>
        </is>
      </c>
      <c r="D91" s="5" t="inlineStr">
        <is>
          <t>硅基流动充值费用</t>
        </is>
      </c>
      <c r="E91" s="6" t="inlineStr">
        <is>
          <t>Q1506</t>
        </is>
      </c>
      <c r="F91" s="89">
        <f>-SUMIFS('1月数据源'!$I:$I,'1月数据源'!$D:$D,$E91,'1月数据源'!$F:$F,"HK01")*F$185+SUMIFS('1月数据源'!$J:$J,'1月数据源'!$D:$D,$E91,'1月数据源'!$F:$F,"HK01")*F$185</f>
        <v/>
      </c>
      <c r="G91" s="89">
        <f>-SUMIFS('2月数据源'!$I:$I,'2月数据源'!$D:$D,$E91,'2月数据源'!$F:$F,"HK01")*G$185+SUMIFS('2月数据源'!$J:$J,'2月数据源'!$D:$D,$E91,'2月数据源'!$F:$F,"HK01")*G$185</f>
        <v/>
      </c>
      <c r="H91" s="89">
        <f>-SUMIFS('3月数据源'!$I:$I,'3月数据源'!$D:$D,$E91,'3月数据源'!$F:$F,"HK01")*H$185+SUMIFS('3月数据源'!$J:$J,'3月数据源'!$D:$D,$E91,'3月数据源'!$F:$F,"HK01")*H$185</f>
        <v/>
      </c>
      <c r="I91" s="89">
        <f>-SUMIFS('4月数据源'!$I:$I,'4月数据源'!$D:$D,$E91,'4月数据源'!$F:$F,"HK01")*I$185+SUMIFS('4月数据源'!$J:$J,'4月数据源'!$D:$D,$E91,'4月数据源'!$F:$F,"HK01")*I$185</f>
        <v/>
      </c>
      <c r="J91" s="89">
        <f>-SUMIFS('5月数据源'!$I:$I,'5月数据源'!$D:$D,$E91,'5月数据源'!$F:$F,"HK01")*J$185+SUMIFS('5月数据源'!$J:$J,'5月数据源'!$D:$D,$E91,'5月数据源'!$F:$F,"HK01")*J$185</f>
        <v/>
      </c>
      <c r="K91" s="89">
        <f>-SUMIFS('6月数据源'!$I:$I,'6月数据源'!$D:$D,$E91,'6月数据源'!$F:$F,"HK01")*K$185+SUMIFS('6月数据源'!$J:$J,'6月数据源'!$D:$D,$E91,'6月数据源'!$F:$F,"HK01")*K$185</f>
        <v/>
      </c>
      <c r="L91" s="89">
        <f>-SUMIFS('7月数据源'!$I:$I,'7月数据源'!$D:$D,$E91,'7月数据源'!$F:$F,"HK01")*L$185+SUMIFS('7月数据源'!$J:$J,'7月数据源'!$D:$D,$E91,'7月数据源'!$F:$F,"HK01")*L$185</f>
        <v/>
      </c>
      <c r="M91" s="89">
        <f>-SUMIFS('8月数据源'!$I:$I,'8月数据源'!$D:$D,$E91,'8月数据源'!$F:$F,"HK01")*M$185+SUMIFS('8月数据源'!$J:$J,'8月数据源'!$D:$D,$E91,'8月数据源'!$F:$F,"HK01")*M$185</f>
        <v/>
      </c>
      <c r="N91" s="89">
        <f>-SUMIFS('9月数据源'!$I:$I,'9月数据源'!$D:$D,$E91,'9月数据源'!$F:$F,"HK01")*N$185+SUMIFS('9月数据源'!$J:$J,'9月数据源'!$D:$D,$E91,'9月数据源'!$F:$F,"HK01")*N$185</f>
        <v/>
      </c>
      <c r="O91" s="89">
        <f>-SUMIFS('10月数据源'!$I:$I,'10月数据源'!$D:$D,$E91,'10月数据源'!$F:$F,"HK01")*O$185+SUMIFS('10月数据源'!$J:$J,'10月数据源'!$D:$D,$E91,'10月数据源'!$F:$F,"HK01")*O$185</f>
        <v/>
      </c>
      <c r="P91" s="89">
        <f>-SUMIFS('11月数据源'!$I:$I,'11月数据源'!$D:$D,$E91,'11月数据源'!$F:$F,"HK01")*P$185+SUMIFS('11月数据源'!$J:$J,'11月数据源'!$D:$D,$E91,'11月数据源'!$F:$F,"HK01")*P$185</f>
        <v/>
      </c>
      <c r="Q91" s="89">
        <f>-SUMIFS('12月数据源'!$I:$I,'12月数据源'!$D:$D,$E91,'12月数据源'!$F:$F,"HK01")*Q$185+SUMIFS('12月数据源'!$J:$J,'12月数据源'!$D:$D,$E91,'12月数据源'!$F:$F,"HK01")*Q$185</f>
        <v/>
      </c>
    </row>
    <row r="92" s="83">
      <c r="A92" s="5" t="inlineStr">
        <is>
          <t>研发支出</t>
        </is>
      </c>
      <c r="B92" s="6" t="inlineStr">
        <is>
          <t>服务器算法充值</t>
        </is>
      </c>
      <c r="D92" s="5" t="inlineStr">
        <is>
          <t>无问芯穹充值费用</t>
        </is>
      </c>
      <c r="E92" s="6" t="inlineStr">
        <is>
          <t>Q1507</t>
        </is>
      </c>
      <c r="F92" s="89">
        <f>-SUMIFS('1月数据源'!$I:$I,'1月数据源'!$D:$D,$E92,'1月数据源'!$F:$F,"HK01")*F$185+SUMIFS('1月数据源'!$J:$J,'1月数据源'!$D:$D,$E92,'1月数据源'!$F:$F,"HK01")*F$185</f>
        <v/>
      </c>
      <c r="G92" s="89">
        <f>-SUMIFS('2月数据源'!$I:$I,'2月数据源'!$D:$D,$E92,'2月数据源'!$F:$F,"HK01")*G$185+SUMIFS('2月数据源'!$J:$J,'2月数据源'!$D:$D,$E92,'2月数据源'!$F:$F,"HK01")*G$185</f>
        <v/>
      </c>
      <c r="H92" s="89">
        <f>-SUMIFS('3月数据源'!$I:$I,'3月数据源'!$D:$D,$E92,'3月数据源'!$F:$F,"HK01")*H$185+SUMIFS('3月数据源'!$J:$J,'3月数据源'!$D:$D,$E92,'3月数据源'!$F:$F,"HK01")*H$185</f>
        <v/>
      </c>
      <c r="I92" s="89">
        <f>-SUMIFS('4月数据源'!$I:$I,'4月数据源'!$D:$D,$E92,'4月数据源'!$F:$F,"HK01")*I$185+SUMIFS('4月数据源'!$J:$J,'4月数据源'!$D:$D,$E92,'4月数据源'!$F:$F,"HK01")*I$185</f>
        <v/>
      </c>
      <c r="J92" s="89">
        <f>-SUMIFS('5月数据源'!$I:$I,'5月数据源'!$D:$D,$E92,'5月数据源'!$F:$F,"HK01")*J$185+SUMIFS('5月数据源'!$J:$J,'5月数据源'!$D:$D,$E92,'5月数据源'!$F:$F,"HK01")*J$185</f>
        <v/>
      </c>
      <c r="K92" s="89">
        <f>-SUMIFS('6月数据源'!$I:$I,'6月数据源'!$D:$D,$E92,'6月数据源'!$F:$F,"HK01")*K$185+SUMIFS('6月数据源'!$J:$J,'6月数据源'!$D:$D,$E92,'6月数据源'!$F:$F,"HK01")*K$185</f>
        <v/>
      </c>
      <c r="L92" s="89">
        <f>-SUMIFS('7月数据源'!$I:$I,'7月数据源'!$D:$D,$E92,'7月数据源'!$F:$F,"HK01")*L$185+SUMIFS('7月数据源'!$J:$J,'7月数据源'!$D:$D,$E92,'7月数据源'!$F:$F,"HK01")*L$185</f>
        <v/>
      </c>
      <c r="M92" s="89">
        <f>-SUMIFS('8月数据源'!$I:$I,'8月数据源'!$D:$D,$E92,'8月数据源'!$F:$F,"HK01")*M$185+SUMIFS('8月数据源'!$J:$J,'8月数据源'!$D:$D,$E92,'8月数据源'!$F:$F,"HK01")*M$185</f>
        <v/>
      </c>
      <c r="N92" s="89">
        <f>-SUMIFS('9月数据源'!$I:$I,'9月数据源'!$D:$D,$E92,'9月数据源'!$F:$F,"HK01")*N$185+SUMIFS('9月数据源'!$J:$J,'9月数据源'!$D:$D,$E92,'9月数据源'!$F:$F,"HK01")*N$185</f>
        <v/>
      </c>
      <c r="O92" s="89">
        <f>-SUMIFS('10月数据源'!$I:$I,'10月数据源'!$D:$D,$E92,'10月数据源'!$F:$F,"HK01")*O$185+SUMIFS('10月数据源'!$J:$J,'10月数据源'!$D:$D,$E92,'10月数据源'!$F:$F,"HK01")*O$185</f>
        <v/>
      </c>
      <c r="P92" s="89">
        <f>-SUMIFS('11月数据源'!$I:$I,'11月数据源'!$D:$D,$E92,'11月数据源'!$F:$F,"HK01")*P$185+SUMIFS('11月数据源'!$J:$J,'11月数据源'!$D:$D,$E92,'11月数据源'!$F:$F,"HK01")*P$185</f>
        <v/>
      </c>
      <c r="Q92" s="89">
        <f>-SUMIFS('12月数据源'!$I:$I,'12月数据源'!$D:$D,$E92,'12月数据源'!$F:$F,"HK01")*Q$185+SUMIFS('12月数据源'!$J:$J,'12月数据源'!$D:$D,$E92,'12月数据源'!$F:$F,"HK01")*Q$185</f>
        <v/>
      </c>
    </row>
    <row r="93" s="83">
      <c r="A93" s="5" t="inlineStr">
        <is>
          <t>研发支出</t>
        </is>
      </c>
      <c r="B93" s="6" t="inlineStr">
        <is>
          <t>服务器算法充值</t>
        </is>
      </c>
      <c r="D93" s="5" t="inlineStr">
        <is>
          <t>其他服务器算法充值</t>
        </is>
      </c>
      <c r="E93" s="6" t="inlineStr">
        <is>
          <t>Q1505</t>
        </is>
      </c>
      <c r="F93" s="89">
        <f>-SUMIFS('1月数据源'!$I:$I,'1月数据源'!$D:$D,$E93,'1月数据源'!$F:$F,"HK01")*F$185+SUMIFS('1月数据源'!$J:$J,'1月数据源'!$D:$D,$E93,'1月数据源'!$F:$F,"HK01")*F$185</f>
        <v/>
      </c>
      <c r="G93" s="89">
        <f>-SUMIFS('2月数据源'!$I:$I,'2月数据源'!$D:$D,$E93,'2月数据源'!$F:$F,"HK01")*G$185+SUMIFS('2月数据源'!$J:$J,'2月数据源'!$D:$D,$E93,'2月数据源'!$F:$F,"HK01")*G$185</f>
        <v/>
      </c>
      <c r="H93" s="89">
        <f>-SUMIFS('3月数据源'!$I:$I,'3月数据源'!$D:$D,$E93,'3月数据源'!$F:$F,"HK01")*H$185+SUMIFS('3月数据源'!$J:$J,'3月数据源'!$D:$D,$E93,'3月数据源'!$F:$F,"HK01")*H$185</f>
        <v/>
      </c>
      <c r="I93" s="89">
        <f>-SUMIFS('4月数据源'!$I:$I,'4月数据源'!$D:$D,$E93,'4月数据源'!$F:$F,"HK01")*I$185+SUMIFS('4月数据源'!$J:$J,'4月数据源'!$D:$D,$E93,'4月数据源'!$F:$F,"HK01")*I$185</f>
        <v/>
      </c>
      <c r="J93" s="89">
        <f>-SUMIFS('5月数据源'!$I:$I,'5月数据源'!$D:$D,$E93,'5月数据源'!$F:$F,"HK01")*J$185+SUMIFS('5月数据源'!$J:$J,'5月数据源'!$D:$D,$E93,'5月数据源'!$F:$F,"HK01")*J$185</f>
        <v/>
      </c>
      <c r="K93" s="89">
        <f>-SUMIFS('6月数据源'!$I:$I,'6月数据源'!$D:$D,$E93,'6月数据源'!$F:$F,"HK01")*K$185+SUMIFS('6月数据源'!$J:$J,'6月数据源'!$D:$D,$E93,'6月数据源'!$F:$F,"HK01")*K$185</f>
        <v/>
      </c>
      <c r="L93" s="89">
        <f>-SUMIFS('7月数据源'!$I:$I,'7月数据源'!$D:$D,$E93,'7月数据源'!$F:$F,"HK01")*L$185+SUMIFS('7月数据源'!$J:$J,'7月数据源'!$D:$D,$E93,'7月数据源'!$F:$F,"HK01")*L$185</f>
        <v/>
      </c>
      <c r="M93" s="89">
        <f>-SUMIFS('8月数据源'!$I:$I,'8月数据源'!$D:$D,$E93,'8月数据源'!$F:$F,"HK01")*M$185+SUMIFS('8月数据源'!$J:$J,'8月数据源'!$D:$D,$E93,'8月数据源'!$F:$F,"HK01")*M$185</f>
        <v/>
      </c>
      <c r="N93" s="89">
        <f>-SUMIFS('9月数据源'!$I:$I,'9月数据源'!$D:$D,$E93,'9月数据源'!$F:$F,"HK01")*N$185+SUMIFS('9月数据源'!$J:$J,'9月数据源'!$D:$D,$E93,'9月数据源'!$F:$F,"HK01")*N$185</f>
        <v/>
      </c>
      <c r="O93" s="89">
        <f>-SUMIFS('10月数据源'!$I:$I,'10月数据源'!$D:$D,$E93,'10月数据源'!$F:$F,"HK01")*O$185+SUMIFS('10月数据源'!$J:$J,'10月数据源'!$D:$D,$E93,'10月数据源'!$F:$F,"HK01")*O$185</f>
        <v/>
      </c>
      <c r="P93" s="89">
        <f>-SUMIFS('11月数据源'!$I:$I,'11月数据源'!$D:$D,$E93,'11月数据源'!$F:$F,"HK01")*P$185+SUMIFS('11月数据源'!$J:$J,'11月数据源'!$D:$D,$E93,'11月数据源'!$F:$F,"HK01")*P$185</f>
        <v/>
      </c>
      <c r="Q93" s="89">
        <f>-SUMIFS('12月数据源'!$I:$I,'12月数据源'!$D:$D,$E93,'12月数据源'!$F:$F,"HK01")*Q$185+SUMIFS('12月数据源'!$J:$J,'12月数据源'!$D:$D,$E93,'12月数据源'!$F:$F,"HK01")*Q$185</f>
        <v/>
      </c>
    </row>
    <row r="94" s="83">
      <c r="A94" s="5" t="inlineStr">
        <is>
          <t>研发支出</t>
        </is>
      </c>
      <c r="B94" s="6" t="inlineStr">
        <is>
          <t>研发-服务费</t>
        </is>
      </c>
      <c r="C94" s="6" t="inlineStr">
        <is>
          <t>研发-服务费</t>
        </is>
      </c>
      <c r="D94" s="5" t="inlineStr">
        <is>
          <t>设计外包服务费</t>
        </is>
      </c>
      <c r="E94" s="6" t="inlineStr">
        <is>
          <t>Q1601</t>
        </is>
      </c>
      <c r="F94" s="89">
        <f>-SUMIFS('1月数据源'!$I:$I,'1月数据源'!$D:$D,$E94,'1月数据源'!$F:$F,"HK01")*F$185+SUMIFS('1月数据源'!$J:$J,'1月数据源'!$D:$D,$E94,'1月数据源'!$F:$F,"HK01")*F$185</f>
        <v/>
      </c>
      <c r="G94" s="89">
        <f>-SUMIFS('2月数据源'!$I:$I,'2月数据源'!$D:$D,$E94,'2月数据源'!$F:$F,"HK01")*G$185+SUMIFS('2月数据源'!$J:$J,'2月数据源'!$D:$D,$E94,'2月数据源'!$F:$F,"HK01")*G$185</f>
        <v/>
      </c>
      <c r="H94" s="89">
        <f>-SUMIFS('3月数据源'!$I:$I,'3月数据源'!$D:$D,$E94,'3月数据源'!$F:$F,"HK01")*H$185+SUMIFS('3月数据源'!$J:$J,'3月数据源'!$D:$D,$E94,'3月数据源'!$F:$F,"HK01")*H$185</f>
        <v/>
      </c>
      <c r="I94" s="89">
        <f>-SUMIFS('4月数据源'!$I:$I,'4月数据源'!$D:$D,$E94,'4月数据源'!$F:$F,"HK01")*I$185+SUMIFS('4月数据源'!$J:$J,'4月数据源'!$D:$D,$E94,'4月数据源'!$F:$F,"HK01")*I$185</f>
        <v/>
      </c>
      <c r="J94" s="89">
        <f>-SUMIFS('5月数据源'!$I:$I,'5月数据源'!$D:$D,$E94,'5月数据源'!$F:$F,"HK01")*J$185+SUMIFS('5月数据源'!$J:$J,'5月数据源'!$D:$D,$E94,'5月数据源'!$F:$F,"HK01")*J$185</f>
        <v/>
      </c>
      <c r="K94" s="89">
        <f>-SUMIFS('6月数据源'!$I:$I,'6月数据源'!$D:$D,$E94,'6月数据源'!$F:$F,"HK01")*K$185+SUMIFS('6月数据源'!$J:$J,'6月数据源'!$D:$D,$E94,'6月数据源'!$F:$F,"HK01")*K$185</f>
        <v/>
      </c>
      <c r="L94" s="89">
        <f>-SUMIFS('7月数据源'!$I:$I,'7月数据源'!$D:$D,$E94,'7月数据源'!$F:$F,"HK01")*L$185+SUMIFS('7月数据源'!$J:$J,'7月数据源'!$D:$D,$E94,'7月数据源'!$F:$F,"HK01")*L$185</f>
        <v/>
      </c>
      <c r="M94" s="89">
        <f>-SUMIFS('8月数据源'!$I:$I,'8月数据源'!$D:$D,$E94,'8月数据源'!$F:$F,"HK01")*M$185+SUMIFS('8月数据源'!$J:$J,'8月数据源'!$D:$D,$E94,'8月数据源'!$F:$F,"HK01")*M$185</f>
        <v/>
      </c>
      <c r="N94" s="89">
        <f>-SUMIFS('9月数据源'!$I:$I,'9月数据源'!$D:$D,$E94,'9月数据源'!$F:$F,"HK01")*N$185+SUMIFS('9月数据源'!$J:$J,'9月数据源'!$D:$D,$E94,'9月数据源'!$F:$F,"HK01")*N$185</f>
        <v/>
      </c>
      <c r="O94" s="89">
        <f>-SUMIFS('10月数据源'!$I:$I,'10月数据源'!$D:$D,$E94,'10月数据源'!$F:$F,"HK01")*O$185+SUMIFS('10月数据源'!$J:$J,'10月数据源'!$D:$D,$E94,'10月数据源'!$F:$F,"HK01")*O$185</f>
        <v/>
      </c>
      <c r="P94" s="89">
        <f>-SUMIFS('11月数据源'!$I:$I,'11月数据源'!$D:$D,$E94,'11月数据源'!$F:$F,"HK01")*P$185+SUMIFS('11月数据源'!$J:$J,'11月数据源'!$D:$D,$E94,'11月数据源'!$F:$F,"HK01")*P$185</f>
        <v/>
      </c>
      <c r="Q94" s="89">
        <f>-SUMIFS('12月数据源'!$I:$I,'12月数据源'!$D:$D,$E94,'12月数据源'!$F:$F,"HK01")*Q$185+SUMIFS('12月数据源'!$J:$J,'12月数据源'!$D:$D,$E94,'12月数据源'!$F:$F,"HK01")*Q$185</f>
        <v/>
      </c>
    </row>
    <row r="95" s="83">
      <c r="A95" s="5" t="inlineStr">
        <is>
          <t>研发支出</t>
        </is>
      </c>
      <c r="B95" s="6" t="inlineStr">
        <is>
          <t>研发-服务费</t>
        </is>
      </c>
      <c r="D95" s="5" t="inlineStr">
        <is>
          <t>AI技术外包服务费</t>
        </is>
      </c>
      <c r="E95" s="6" t="inlineStr">
        <is>
          <t>Q1602</t>
        </is>
      </c>
      <c r="F95" s="89">
        <f>-SUMIFS('1月数据源'!$I:$I,'1月数据源'!$D:$D,$E95,'1月数据源'!$F:$F,"HK01")*F$185+SUMIFS('1月数据源'!$J:$J,'1月数据源'!$D:$D,$E95,'1月数据源'!$F:$F,"HK01")*F$185</f>
        <v/>
      </c>
      <c r="G95" s="89">
        <f>-SUMIFS('2月数据源'!$I:$I,'2月数据源'!$D:$D,$E95,'2月数据源'!$F:$F,"HK01")*G$185+SUMIFS('2月数据源'!$J:$J,'2月数据源'!$D:$D,$E95,'2月数据源'!$F:$F,"HK01")*G$185</f>
        <v/>
      </c>
      <c r="H95" s="89">
        <f>-SUMIFS('3月数据源'!$I:$I,'3月数据源'!$D:$D,$E95,'3月数据源'!$F:$F,"HK01")*H$185+SUMIFS('3月数据源'!$J:$J,'3月数据源'!$D:$D,$E95,'3月数据源'!$F:$F,"HK01")*H$185</f>
        <v/>
      </c>
      <c r="I95" s="89">
        <f>-SUMIFS('4月数据源'!$I:$I,'4月数据源'!$D:$D,$E95,'4月数据源'!$F:$F,"HK01")*I$185+SUMIFS('4月数据源'!$J:$J,'4月数据源'!$D:$D,$E95,'4月数据源'!$F:$F,"HK01")*I$185</f>
        <v/>
      </c>
      <c r="J95" s="89">
        <f>-SUMIFS('5月数据源'!$I:$I,'5月数据源'!$D:$D,$E95,'5月数据源'!$F:$F,"HK01")*J$185+SUMIFS('5月数据源'!$J:$J,'5月数据源'!$D:$D,$E95,'5月数据源'!$F:$F,"HK01")*J$185</f>
        <v/>
      </c>
      <c r="K95" s="89">
        <f>-SUMIFS('6月数据源'!$I:$I,'6月数据源'!$D:$D,$E95,'6月数据源'!$F:$F,"HK01")*K$185+SUMIFS('6月数据源'!$J:$J,'6月数据源'!$D:$D,$E95,'6月数据源'!$F:$F,"HK01")*K$185</f>
        <v/>
      </c>
      <c r="L95" s="89">
        <f>-SUMIFS('7月数据源'!$I:$I,'7月数据源'!$D:$D,$E95,'7月数据源'!$F:$F,"HK01")*L$185+SUMIFS('7月数据源'!$J:$J,'7月数据源'!$D:$D,$E95,'7月数据源'!$F:$F,"HK01")*L$185</f>
        <v/>
      </c>
      <c r="M95" s="89">
        <f>-SUMIFS('8月数据源'!$I:$I,'8月数据源'!$D:$D,$E95,'8月数据源'!$F:$F,"HK01")*M$185+SUMIFS('8月数据源'!$J:$J,'8月数据源'!$D:$D,$E95,'8月数据源'!$F:$F,"HK01")*M$185</f>
        <v/>
      </c>
      <c r="N95" s="89">
        <f>-SUMIFS('9月数据源'!$I:$I,'9月数据源'!$D:$D,$E95,'9月数据源'!$F:$F,"HK01")*N$185+SUMIFS('9月数据源'!$J:$J,'9月数据源'!$D:$D,$E95,'9月数据源'!$F:$F,"HK01")*N$185</f>
        <v/>
      </c>
      <c r="O95" s="89">
        <f>-SUMIFS('10月数据源'!$I:$I,'10月数据源'!$D:$D,$E95,'10月数据源'!$F:$F,"HK01")*O$185+SUMIFS('10月数据源'!$J:$J,'10月数据源'!$D:$D,$E95,'10月数据源'!$F:$F,"HK01")*O$185</f>
        <v/>
      </c>
      <c r="P95" s="89">
        <f>-SUMIFS('11月数据源'!$I:$I,'11月数据源'!$D:$D,$E95,'11月数据源'!$F:$F,"HK01")*P$185+SUMIFS('11月数据源'!$J:$J,'11月数据源'!$D:$D,$E95,'11月数据源'!$F:$F,"HK01")*P$185</f>
        <v/>
      </c>
      <c r="Q95" s="89">
        <f>-SUMIFS('12月数据源'!$I:$I,'12月数据源'!$D:$D,$E95,'12月数据源'!$F:$F,"HK01")*Q$185+SUMIFS('12月数据源'!$J:$J,'12月数据源'!$D:$D,$E95,'12月数据源'!$F:$F,"HK01")*Q$185</f>
        <v/>
      </c>
    </row>
    <row r="96" s="83">
      <c r="A96" s="5" t="inlineStr">
        <is>
          <t>研发支出</t>
        </is>
      </c>
      <c r="B96" s="6" t="inlineStr">
        <is>
          <t>研发-服务费</t>
        </is>
      </c>
      <c r="D96" s="5" t="inlineStr">
        <is>
          <t>知识产权服务费</t>
        </is>
      </c>
      <c r="E96" s="6" t="inlineStr">
        <is>
          <t>Q1603</t>
        </is>
      </c>
      <c r="F96" s="89">
        <f>-SUMIFS('1月数据源'!$I:$I,'1月数据源'!$D:$D,$E96,'1月数据源'!$F:$F,"HK01")*F$185+SUMIFS('1月数据源'!$J:$J,'1月数据源'!$D:$D,$E96,'1月数据源'!$F:$F,"HK01")*F$185</f>
        <v/>
      </c>
      <c r="G96" s="89">
        <f>-SUMIFS('2月数据源'!$I:$I,'2月数据源'!$D:$D,$E96,'2月数据源'!$F:$F,"HK01")*G$185+SUMIFS('2月数据源'!$J:$J,'2月数据源'!$D:$D,$E96,'2月数据源'!$F:$F,"HK01")*G$185</f>
        <v/>
      </c>
      <c r="H96" s="89">
        <f>-SUMIFS('3月数据源'!$I:$I,'3月数据源'!$D:$D,$E96,'3月数据源'!$F:$F,"HK01")*H$185+SUMIFS('3月数据源'!$J:$J,'3月数据源'!$D:$D,$E96,'3月数据源'!$F:$F,"HK01")*H$185</f>
        <v/>
      </c>
      <c r="I96" s="89">
        <f>-SUMIFS('4月数据源'!$I:$I,'4月数据源'!$D:$D,$E96,'4月数据源'!$F:$F,"HK01")*I$185+SUMIFS('4月数据源'!$J:$J,'4月数据源'!$D:$D,$E96,'4月数据源'!$F:$F,"HK01")*I$185</f>
        <v/>
      </c>
      <c r="J96" s="89">
        <f>-SUMIFS('5月数据源'!$I:$I,'5月数据源'!$D:$D,$E96,'5月数据源'!$F:$F,"HK01")*J$185+SUMIFS('5月数据源'!$J:$J,'5月数据源'!$D:$D,$E96,'5月数据源'!$F:$F,"HK01")*J$185</f>
        <v/>
      </c>
      <c r="K96" s="89">
        <f>-SUMIFS('6月数据源'!$I:$I,'6月数据源'!$D:$D,$E96,'6月数据源'!$F:$F,"HK01")*K$185+SUMIFS('6月数据源'!$J:$J,'6月数据源'!$D:$D,$E96,'6月数据源'!$F:$F,"HK01")*K$185</f>
        <v/>
      </c>
      <c r="L96" s="89">
        <f>-SUMIFS('7月数据源'!$I:$I,'7月数据源'!$D:$D,$E96,'7月数据源'!$F:$F,"HK01")*L$185+SUMIFS('7月数据源'!$J:$J,'7月数据源'!$D:$D,$E96,'7月数据源'!$F:$F,"HK01")*L$185</f>
        <v/>
      </c>
      <c r="M96" s="89">
        <f>-SUMIFS('8月数据源'!$I:$I,'8月数据源'!$D:$D,$E96,'8月数据源'!$F:$F,"HK01")*M$185+SUMIFS('8月数据源'!$J:$J,'8月数据源'!$D:$D,$E96,'8月数据源'!$F:$F,"HK01")*M$185</f>
        <v/>
      </c>
      <c r="N96" s="89">
        <f>-SUMIFS('9月数据源'!$I:$I,'9月数据源'!$D:$D,$E96,'9月数据源'!$F:$F,"HK01")*N$185+SUMIFS('9月数据源'!$J:$J,'9月数据源'!$D:$D,$E96,'9月数据源'!$F:$F,"HK01")*N$185</f>
        <v/>
      </c>
      <c r="O96" s="89">
        <f>-SUMIFS('10月数据源'!$I:$I,'10月数据源'!$D:$D,$E96,'10月数据源'!$F:$F,"HK01")*O$185+SUMIFS('10月数据源'!$J:$J,'10月数据源'!$D:$D,$E96,'10月数据源'!$F:$F,"HK01")*O$185</f>
        <v/>
      </c>
      <c r="P96" s="89">
        <f>-SUMIFS('11月数据源'!$I:$I,'11月数据源'!$D:$D,$E96,'11月数据源'!$F:$F,"HK01")*P$185+SUMIFS('11月数据源'!$J:$J,'11月数据源'!$D:$D,$E96,'11月数据源'!$F:$F,"HK01")*P$185</f>
        <v/>
      </c>
      <c r="Q96" s="89">
        <f>-SUMIFS('12月数据源'!$I:$I,'12月数据源'!$D:$D,$E96,'12月数据源'!$F:$F,"HK01")*Q$185+SUMIFS('12月数据源'!$J:$J,'12月数据源'!$D:$D,$E96,'12月数据源'!$F:$F,"HK01")*Q$185</f>
        <v/>
      </c>
    </row>
    <row r="97" s="83">
      <c r="A97" s="5" t="inlineStr">
        <is>
          <t>研发支出</t>
        </is>
      </c>
      <c r="B97" s="6" t="inlineStr">
        <is>
          <t>研发-费用报销</t>
        </is>
      </c>
      <c r="C97" s="6" t="inlineStr">
        <is>
          <t>研发-费用报销</t>
        </is>
      </c>
      <c r="D97" s="5" t="inlineStr">
        <is>
          <t>研发员工报销</t>
        </is>
      </c>
      <c r="E97" s="6" t="inlineStr">
        <is>
          <t>Q1701</t>
        </is>
      </c>
      <c r="F97" s="89">
        <f>-SUMIFS('1月数据源'!$I:$I,'1月数据源'!$D:$D,$E97,'1月数据源'!$F:$F,"HK01")*F$185+SUMIFS('1月数据源'!$J:$J,'1月数据源'!$D:$D,$E97,'1月数据源'!$F:$F,"HK01")*F$185</f>
        <v/>
      </c>
      <c r="G97" s="89">
        <f>-SUMIFS('2月数据源'!$I:$I,'2月数据源'!$D:$D,$E97,'2月数据源'!$F:$F,"HK01")*G$185+SUMIFS('2月数据源'!$J:$J,'2月数据源'!$D:$D,$E97,'2月数据源'!$F:$F,"HK01")*G$185</f>
        <v/>
      </c>
      <c r="H97" s="89">
        <f>-SUMIFS('3月数据源'!$I:$I,'3月数据源'!$D:$D,$E97,'3月数据源'!$F:$F,"HK01")*H$185+SUMIFS('3月数据源'!$J:$J,'3月数据源'!$D:$D,$E97,'3月数据源'!$F:$F,"HK01")*H$185</f>
        <v/>
      </c>
      <c r="I97" s="89">
        <f>-SUMIFS('4月数据源'!$I:$I,'4月数据源'!$D:$D,$E97,'4月数据源'!$F:$F,"HK01")*I$185+SUMIFS('4月数据源'!$J:$J,'4月数据源'!$D:$D,$E97,'4月数据源'!$F:$F,"HK01")*I$185</f>
        <v/>
      </c>
      <c r="J97" s="89">
        <f>-SUMIFS('5月数据源'!$I:$I,'5月数据源'!$D:$D,$E97,'5月数据源'!$F:$F,"HK01")*J$185+SUMIFS('5月数据源'!$J:$J,'5月数据源'!$D:$D,$E97,'5月数据源'!$F:$F,"HK01")*J$185</f>
        <v/>
      </c>
      <c r="K97" s="89">
        <f>-SUMIFS('6月数据源'!$I:$I,'6月数据源'!$D:$D,$E97,'6月数据源'!$F:$F,"HK01")*K$185+SUMIFS('6月数据源'!$J:$J,'6月数据源'!$D:$D,$E97,'6月数据源'!$F:$F,"HK01")*K$185</f>
        <v/>
      </c>
      <c r="L97" s="89">
        <f>-SUMIFS('7月数据源'!$I:$I,'7月数据源'!$D:$D,$E97,'7月数据源'!$F:$F,"HK01")*L$185+SUMIFS('7月数据源'!$J:$J,'7月数据源'!$D:$D,$E97,'7月数据源'!$F:$F,"HK01")*L$185</f>
        <v/>
      </c>
      <c r="M97" s="89">
        <f>-SUMIFS('8月数据源'!$I:$I,'8月数据源'!$D:$D,$E97,'8月数据源'!$F:$F,"HK01")*M$185+SUMIFS('8月数据源'!$J:$J,'8月数据源'!$D:$D,$E97,'8月数据源'!$F:$F,"HK01")*M$185</f>
        <v/>
      </c>
      <c r="N97" s="89">
        <f>-SUMIFS('9月数据源'!$I:$I,'9月数据源'!$D:$D,$E97,'9月数据源'!$F:$F,"HK01")*N$185+SUMIFS('9月数据源'!$J:$J,'9月数据源'!$D:$D,$E97,'9月数据源'!$F:$F,"HK01")*N$185</f>
        <v/>
      </c>
      <c r="O97" s="89">
        <f>-SUMIFS('10月数据源'!$I:$I,'10月数据源'!$D:$D,$E97,'10月数据源'!$F:$F,"HK01")*O$185+SUMIFS('10月数据源'!$J:$J,'10月数据源'!$D:$D,$E97,'10月数据源'!$F:$F,"HK01")*O$185</f>
        <v/>
      </c>
      <c r="P97" s="89">
        <f>-SUMIFS('11月数据源'!$I:$I,'11月数据源'!$D:$D,$E97,'11月数据源'!$F:$F,"HK01")*P$185+SUMIFS('11月数据源'!$J:$J,'11月数据源'!$D:$D,$E97,'11月数据源'!$F:$F,"HK01")*P$185</f>
        <v/>
      </c>
      <c r="Q97" s="89">
        <f>-SUMIFS('12月数据源'!$I:$I,'12月数据源'!$D:$D,$E97,'12月数据源'!$F:$F,"HK01")*Q$185+SUMIFS('12月数据源'!$J:$J,'12月数据源'!$D:$D,$E97,'12月数据源'!$F:$F,"HK01")*Q$185</f>
        <v/>
      </c>
    </row>
    <row r="98" s="83">
      <c r="A98" s="49" t="inlineStr">
        <is>
          <t>研发支出合计</t>
        </is>
      </c>
      <c r="B98" s="50" t="n"/>
      <c r="C98" s="50" t="n"/>
      <c r="D98" s="49" t="n"/>
      <c r="E98" s="49" t="n"/>
      <c r="F98" s="89">
        <f>SUM(F70:F97)</f>
        <v/>
      </c>
      <c r="G98" s="89">
        <f>SUM(G70:G97)</f>
        <v/>
      </c>
      <c r="H98" s="89">
        <f>SUM(H70:H97)</f>
        <v/>
      </c>
      <c r="I98" s="89">
        <f>SUM(I70:I97)</f>
        <v/>
      </c>
      <c r="J98" s="89">
        <f>SUM(J70:J97)</f>
        <v/>
      </c>
      <c r="K98" s="89">
        <f>SUM(K70:K97)</f>
        <v/>
      </c>
      <c r="L98" s="89">
        <f>SUM(L70:L97)</f>
        <v/>
      </c>
      <c r="M98" s="89">
        <f>SUM(M70:M97)</f>
        <v/>
      </c>
      <c r="N98" s="89">
        <f>SUM(N70:N97)</f>
        <v/>
      </c>
      <c r="O98" s="89">
        <f>SUM(O70:O97)</f>
        <v/>
      </c>
      <c r="P98" s="89">
        <f>SUM(P70:P97)</f>
        <v/>
      </c>
      <c r="Q98" s="89">
        <f>SUM(Q70:Q97)</f>
        <v/>
      </c>
    </row>
    <row r="99" s="83">
      <c r="A99" s="5" t="inlineStr">
        <is>
          <t>销售费用</t>
        </is>
      </c>
      <c r="B99" s="6" t="inlineStr">
        <is>
          <t>品牌建设</t>
        </is>
      </c>
      <c r="C99" s="6" t="inlineStr">
        <is>
          <t>品牌建设</t>
        </is>
      </c>
      <c r="D99" s="5" t="inlineStr">
        <is>
          <t>媒体采购</t>
        </is>
      </c>
      <c r="E99" s="6" t="inlineStr">
        <is>
          <t>Q1801</t>
        </is>
      </c>
      <c r="F99" s="89">
        <f>-SUMIFS('1月数据源'!$I:$I,'1月数据源'!$D:$D,$E99,'1月数据源'!$F:$F,"HK01")*F$185+SUMIFS('1月数据源'!$J:$J,'1月数据源'!$D:$D,$E99,'1月数据源'!$F:$F,"HK01")*F$185</f>
        <v/>
      </c>
      <c r="G99" s="89">
        <f>-SUMIFS('2月数据源'!$I:$I,'2月数据源'!$D:$D,$E99,'2月数据源'!$F:$F,"HK01")*G$185+SUMIFS('2月数据源'!$J:$J,'2月数据源'!$D:$D,$E99,'2月数据源'!$F:$F,"HK01")*G$185</f>
        <v/>
      </c>
      <c r="H99" s="89">
        <f>-SUMIFS('3月数据源'!$I:$I,'3月数据源'!$D:$D,$E99,'3月数据源'!$F:$F,"HK01")*H$185+SUMIFS('3月数据源'!$J:$J,'3月数据源'!$D:$D,$E99,'3月数据源'!$F:$F,"HK01")*H$185</f>
        <v/>
      </c>
      <c r="I99" s="89">
        <f>-SUMIFS('4月数据源'!$I:$I,'4月数据源'!$D:$D,$E99,'4月数据源'!$F:$F,"HK01")*I$185+SUMIFS('4月数据源'!$J:$J,'4月数据源'!$D:$D,$E99,'4月数据源'!$F:$F,"HK01")*I$185</f>
        <v/>
      </c>
      <c r="J99" s="89">
        <f>-SUMIFS('5月数据源'!$I:$I,'5月数据源'!$D:$D,$E99,'5月数据源'!$F:$F,"HK01")*J$185+SUMIFS('5月数据源'!$J:$J,'5月数据源'!$D:$D,$E99,'5月数据源'!$F:$F,"HK01")*J$185</f>
        <v/>
      </c>
      <c r="K99" s="89">
        <f>-SUMIFS('6月数据源'!$I:$I,'6月数据源'!$D:$D,$E99,'6月数据源'!$F:$F,"HK01")*K$185+SUMIFS('6月数据源'!$J:$J,'6月数据源'!$D:$D,$E99,'6月数据源'!$F:$F,"HK01")*K$185</f>
        <v/>
      </c>
      <c r="L99" s="89">
        <f>-SUMIFS('7月数据源'!$I:$I,'7月数据源'!$D:$D,$E99,'7月数据源'!$F:$F,"HK01")*L$185+SUMIFS('7月数据源'!$J:$J,'7月数据源'!$D:$D,$E99,'7月数据源'!$F:$F,"HK01")*L$185</f>
        <v/>
      </c>
      <c r="M99" s="89">
        <f>-SUMIFS('8月数据源'!$I:$I,'8月数据源'!$D:$D,$E99,'8月数据源'!$F:$F,"HK01")*M$185+SUMIFS('8月数据源'!$J:$J,'8月数据源'!$D:$D,$E99,'8月数据源'!$F:$F,"HK01")*M$185</f>
        <v/>
      </c>
      <c r="N99" s="89">
        <f>-SUMIFS('9月数据源'!$I:$I,'9月数据源'!$D:$D,$E99,'9月数据源'!$F:$F,"HK01")*N$185+SUMIFS('9月数据源'!$J:$J,'9月数据源'!$D:$D,$E99,'9月数据源'!$F:$F,"HK01")*N$185</f>
        <v/>
      </c>
      <c r="O99" s="89">
        <f>-SUMIFS('10月数据源'!$I:$I,'10月数据源'!$D:$D,$E99,'10月数据源'!$F:$F,"HK01")*O$185+SUMIFS('10月数据源'!$J:$J,'10月数据源'!$D:$D,$E99,'10月数据源'!$F:$F,"HK01")*O$185</f>
        <v/>
      </c>
      <c r="P99" s="89">
        <f>-SUMIFS('11月数据源'!$I:$I,'11月数据源'!$D:$D,$E99,'11月数据源'!$F:$F,"HK01")*P$185+SUMIFS('11月数据源'!$J:$J,'11月数据源'!$D:$D,$E99,'11月数据源'!$F:$F,"HK01")*P$185</f>
        <v/>
      </c>
      <c r="Q99" s="89">
        <f>-SUMIFS('12月数据源'!$I:$I,'12月数据源'!$D:$D,$E99,'12月数据源'!$F:$F,"HK01")*Q$185+SUMIFS('12月数据源'!$J:$J,'12月数据源'!$D:$D,$E99,'12月数据源'!$F:$F,"HK01")*Q$185</f>
        <v/>
      </c>
    </row>
    <row r="100" s="83">
      <c r="A100" s="5" t="inlineStr">
        <is>
          <t>销售费用</t>
        </is>
      </c>
      <c r="B100" s="6" t="inlineStr">
        <is>
          <t>品牌建设</t>
        </is>
      </c>
      <c r="D100" s="5" t="inlineStr">
        <is>
          <t>舆情服务</t>
        </is>
      </c>
      <c r="E100" s="6" t="inlineStr">
        <is>
          <t>Q1802</t>
        </is>
      </c>
      <c r="F100" s="89">
        <f>-SUMIFS('1月数据源'!$I:$I,'1月数据源'!$D:$D,$E100,'1月数据源'!$F:$F,"HK01")*F$185+SUMIFS('1月数据源'!$J:$J,'1月数据源'!$D:$D,$E100,'1月数据源'!$F:$F,"HK01")*F$185</f>
        <v/>
      </c>
      <c r="G100" s="89">
        <f>-SUMIFS('2月数据源'!$I:$I,'2月数据源'!$D:$D,$E100,'2月数据源'!$F:$F,"HK01")*G$185+SUMIFS('2月数据源'!$J:$J,'2月数据源'!$D:$D,$E100,'2月数据源'!$F:$F,"HK01")*G$185</f>
        <v/>
      </c>
      <c r="H100" s="89">
        <f>-SUMIFS('3月数据源'!$I:$I,'3月数据源'!$D:$D,$E100,'3月数据源'!$F:$F,"HK01")*H$185+SUMIFS('3月数据源'!$J:$J,'3月数据源'!$D:$D,$E100,'3月数据源'!$F:$F,"HK01")*H$185</f>
        <v/>
      </c>
      <c r="I100" s="89">
        <f>-SUMIFS('4月数据源'!$I:$I,'4月数据源'!$D:$D,$E100,'4月数据源'!$F:$F,"HK01")*I$185+SUMIFS('4月数据源'!$J:$J,'4月数据源'!$D:$D,$E100,'4月数据源'!$F:$F,"HK01")*I$185</f>
        <v/>
      </c>
      <c r="J100" s="89">
        <f>-SUMIFS('5月数据源'!$I:$I,'5月数据源'!$D:$D,$E100,'5月数据源'!$F:$F,"HK01")*J$185+SUMIFS('5月数据源'!$J:$J,'5月数据源'!$D:$D,$E100,'5月数据源'!$F:$F,"HK01")*J$185</f>
        <v/>
      </c>
      <c r="K100" s="89">
        <f>-SUMIFS('6月数据源'!$I:$I,'6月数据源'!$D:$D,$E100,'6月数据源'!$F:$F,"HK01")*K$185+SUMIFS('6月数据源'!$J:$J,'6月数据源'!$D:$D,$E100,'6月数据源'!$F:$F,"HK01")*K$185</f>
        <v/>
      </c>
      <c r="L100" s="89">
        <f>-SUMIFS('7月数据源'!$I:$I,'7月数据源'!$D:$D,$E100,'7月数据源'!$F:$F,"HK01")*L$185+SUMIFS('7月数据源'!$J:$J,'7月数据源'!$D:$D,$E100,'7月数据源'!$F:$F,"HK01")*L$185</f>
        <v/>
      </c>
      <c r="M100" s="89">
        <f>-SUMIFS('8月数据源'!$I:$I,'8月数据源'!$D:$D,$E100,'8月数据源'!$F:$F,"HK01")*M$185+SUMIFS('8月数据源'!$J:$J,'8月数据源'!$D:$D,$E100,'8月数据源'!$F:$F,"HK01")*M$185</f>
        <v/>
      </c>
      <c r="N100" s="89">
        <f>-SUMIFS('9月数据源'!$I:$I,'9月数据源'!$D:$D,$E100,'9月数据源'!$F:$F,"HK01")*N$185+SUMIFS('9月数据源'!$J:$J,'9月数据源'!$D:$D,$E100,'9月数据源'!$F:$F,"HK01")*N$185</f>
        <v/>
      </c>
      <c r="O100" s="89">
        <f>-SUMIFS('10月数据源'!$I:$I,'10月数据源'!$D:$D,$E100,'10月数据源'!$F:$F,"HK01")*O$185+SUMIFS('10月数据源'!$J:$J,'10月数据源'!$D:$D,$E100,'10月数据源'!$F:$F,"HK01")*O$185</f>
        <v/>
      </c>
      <c r="P100" s="89">
        <f>-SUMIFS('11月数据源'!$I:$I,'11月数据源'!$D:$D,$E100,'11月数据源'!$F:$F,"HK01")*P$185+SUMIFS('11月数据源'!$J:$J,'11月数据源'!$D:$D,$E100,'11月数据源'!$F:$F,"HK01")*P$185</f>
        <v/>
      </c>
      <c r="Q100" s="89">
        <f>-SUMIFS('12月数据源'!$I:$I,'12月数据源'!$D:$D,$E100,'12月数据源'!$F:$F,"HK01")*Q$185+SUMIFS('12月数据源'!$J:$J,'12月数据源'!$D:$D,$E100,'12月数据源'!$F:$F,"HK01")*Q$185</f>
        <v/>
      </c>
    </row>
    <row r="101" s="83">
      <c r="A101" s="5" t="inlineStr">
        <is>
          <t>销售费用</t>
        </is>
      </c>
      <c r="B101" s="6" t="inlineStr">
        <is>
          <t>品牌建设</t>
        </is>
      </c>
      <c r="D101" s="5" t="inlineStr">
        <is>
          <t>会务服务</t>
        </is>
      </c>
      <c r="E101" s="6" t="inlineStr">
        <is>
          <t>Q1803</t>
        </is>
      </c>
      <c r="F101" s="89">
        <f>-SUMIFS('1月数据源'!$I:$I,'1月数据源'!$D:$D,$E101,'1月数据源'!$F:$F,"HK01")*F$185+SUMIFS('1月数据源'!$J:$J,'1月数据源'!$D:$D,$E101,'1月数据源'!$F:$F,"HK01")*F$185</f>
        <v/>
      </c>
      <c r="G101" s="89">
        <f>-SUMIFS('2月数据源'!$I:$I,'2月数据源'!$D:$D,$E101,'2月数据源'!$F:$F,"HK01")*G$185+SUMIFS('2月数据源'!$J:$J,'2月数据源'!$D:$D,$E101,'2月数据源'!$F:$F,"HK01")*G$185</f>
        <v/>
      </c>
      <c r="H101" s="89">
        <f>-SUMIFS('3月数据源'!$I:$I,'3月数据源'!$D:$D,$E101,'3月数据源'!$F:$F,"HK01")*H$185+SUMIFS('3月数据源'!$J:$J,'3月数据源'!$D:$D,$E101,'3月数据源'!$F:$F,"HK01")*H$185</f>
        <v/>
      </c>
      <c r="I101" s="89">
        <f>-SUMIFS('4月数据源'!$I:$I,'4月数据源'!$D:$D,$E101,'4月数据源'!$F:$F,"HK01")*I$185+SUMIFS('4月数据源'!$J:$J,'4月数据源'!$D:$D,$E101,'4月数据源'!$F:$F,"HK01")*I$185</f>
        <v/>
      </c>
      <c r="J101" s="89">
        <f>-SUMIFS('5月数据源'!$I:$I,'5月数据源'!$D:$D,$E101,'5月数据源'!$F:$F,"HK01")*J$185+SUMIFS('5月数据源'!$J:$J,'5月数据源'!$D:$D,$E101,'5月数据源'!$F:$F,"HK01")*J$185</f>
        <v/>
      </c>
      <c r="K101" s="89">
        <f>-SUMIFS('6月数据源'!$I:$I,'6月数据源'!$D:$D,$E101,'6月数据源'!$F:$F,"HK01")*K$185+SUMIFS('6月数据源'!$J:$J,'6月数据源'!$D:$D,$E101,'6月数据源'!$F:$F,"HK01")*K$185</f>
        <v/>
      </c>
      <c r="L101" s="89">
        <f>-SUMIFS('7月数据源'!$I:$I,'7月数据源'!$D:$D,$E101,'7月数据源'!$F:$F,"HK01")*L$185+SUMIFS('7月数据源'!$J:$J,'7月数据源'!$D:$D,$E101,'7月数据源'!$F:$F,"HK01")*L$185</f>
        <v/>
      </c>
      <c r="M101" s="89">
        <f>-SUMIFS('8月数据源'!$I:$I,'8月数据源'!$D:$D,$E101,'8月数据源'!$F:$F,"HK01")*M$185+SUMIFS('8月数据源'!$J:$J,'8月数据源'!$D:$D,$E101,'8月数据源'!$F:$F,"HK01")*M$185</f>
        <v/>
      </c>
      <c r="N101" s="89">
        <f>-SUMIFS('9月数据源'!$I:$I,'9月数据源'!$D:$D,$E101,'9月数据源'!$F:$F,"HK01")*N$185+SUMIFS('9月数据源'!$J:$J,'9月数据源'!$D:$D,$E101,'9月数据源'!$F:$F,"HK01")*N$185</f>
        <v/>
      </c>
      <c r="O101" s="89">
        <f>-SUMIFS('10月数据源'!$I:$I,'10月数据源'!$D:$D,$E101,'10月数据源'!$F:$F,"HK01")*O$185+SUMIFS('10月数据源'!$J:$J,'10月数据源'!$D:$D,$E101,'10月数据源'!$F:$F,"HK01")*O$185</f>
        <v/>
      </c>
      <c r="P101" s="89">
        <f>-SUMIFS('11月数据源'!$I:$I,'11月数据源'!$D:$D,$E101,'11月数据源'!$F:$F,"HK01")*P$185+SUMIFS('11月数据源'!$J:$J,'11月数据源'!$D:$D,$E101,'11月数据源'!$F:$F,"HK01")*P$185</f>
        <v/>
      </c>
      <c r="Q101" s="89">
        <f>-SUMIFS('12月数据源'!$I:$I,'12月数据源'!$D:$D,$E101,'12月数据源'!$F:$F,"HK01")*Q$185+SUMIFS('12月数据源'!$J:$J,'12月数据源'!$D:$D,$E101,'12月数据源'!$F:$F,"HK01")*Q$185</f>
        <v/>
      </c>
    </row>
    <row r="102" s="83">
      <c r="A102" s="5" t="inlineStr">
        <is>
          <t>销售费用</t>
        </is>
      </c>
      <c r="B102" s="6" t="inlineStr">
        <is>
          <t>品牌建设</t>
        </is>
      </c>
      <c r="D102" s="5" t="inlineStr">
        <is>
          <t>场地搭建</t>
        </is>
      </c>
      <c r="E102" s="6" t="inlineStr">
        <is>
          <t>Q1804</t>
        </is>
      </c>
      <c r="F102" s="89">
        <f>-SUMIFS('1月数据源'!$I:$I,'1月数据源'!$D:$D,$E102,'1月数据源'!$F:$F,"HK01")*F$185+SUMIFS('1月数据源'!$J:$J,'1月数据源'!$D:$D,$E102,'1月数据源'!$F:$F,"HK01")*F$185</f>
        <v/>
      </c>
      <c r="G102" s="89">
        <f>-SUMIFS('2月数据源'!$I:$I,'2月数据源'!$D:$D,$E102,'2月数据源'!$F:$F,"HK01")*G$185+SUMIFS('2月数据源'!$J:$J,'2月数据源'!$D:$D,$E102,'2月数据源'!$F:$F,"HK01")*G$185</f>
        <v/>
      </c>
      <c r="H102" s="89">
        <f>-SUMIFS('3月数据源'!$I:$I,'3月数据源'!$D:$D,$E102,'3月数据源'!$F:$F,"HK01")*H$185+SUMIFS('3月数据源'!$J:$J,'3月数据源'!$D:$D,$E102,'3月数据源'!$F:$F,"HK01")*H$185</f>
        <v/>
      </c>
      <c r="I102" s="89">
        <f>-SUMIFS('4月数据源'!$I:$I,'4月数据源'!$D:$D,$E102,'4月数据源'!$F:$F,"HK01")*I$185+SUMIFS('4月数据源'!$J:$J,'4月数据源'!$D:$D,$E102,'4月数据源'!$F:$F,"HK01")*I$185</f>
        <v/>
      </c>
      <c r="J102" s="89">
        <f>-SUMIFS('5月数据源'!$I:$I,'5月数据源'!$D:$D,$E102,'5月数据源'!$F:$F,"HK01")*J$185+SUMIFS('5月数据源'!$J:$J,'5月数据源'!$D:$D,$E102,'5月数据源'!$F:$F,"HK01")*J$185</f>
        <v/>
      </c>
      <c r="K102" s="89">
        <f>-SUMIFS('6月数据源'!$I:$I,'6月数据源'!$D:$D,$E102,'6月数据源'!$F:$F,"HK01")*K$185+SUMIFS('6月数据源'!$J:$J,'6月数据源'!$D:$D,$E102,'6月数据源'!$F:$F,"HK01")*K$185</f>
        <v/>
      </c>
      <c r="L102" s="89">
        <f>-SUMIFS('7月数据源'!$I:$I,'7月数据源'!$D:$D,$E102,'7月数据源'!$F:$F,"HK01")*L$185+SUMIFS('7月数据源'!$J:$J,'7月数据源'!$D:$D,$E102,'7月数据源'!$F:$F,"HK01")*L$185</f>
        <v/>
      </c>
      <c r="M102" s="89">
        <f>-SUMIFS('8月数据源'!$I:$I,'8月数据源'!$D:$D,$E102,'8月数据源'!$F:$F,"HK01")*M$185+SUMIFS('8月数据源'!$J:$J,'8月数据源'!$D:$D,$E102,'8月数据源'!$F:$F,"HK01")*M$185</f>
        <v/>
      </c>
      <c r="N102" s="89">
        <f>-SUMIFS('9月数据源'!$I:$I,'9月数据源'!$D:$D,$E102,'9月数据源'!$F:$F,"HK01")*N$185+SUMIFS('9月数据源'!$J:$J,'9月数据源'!$D:$D,$E102,'9月数据源'!$F:$F,"HK01")*N$185</f>
        <v/>
      </c>
      <c r="O102" s="89">
        <f>-SUMIFS('10月数据源'!$I:$I,'10月数据源'!$D:$D,$E102,'10月数据源'!$F:$F,"HK01")*O$185+SUMIFS('10月数据源'!$J:$J,'10月数据源'!$D:$D,$E102,'10月数据源'!$F:$F,"HK01")*O$185</f>
        <v/>
      </c>
      <c r="P102" s="89">
        <f>-SUMIFS('11月数据源'!$I:$I,'11月数据源'!$D:$D,$E102,'11月数据源'!$F:$F,"HK01")*P$185+SUMIFS('11月数据源'!$J:$J,'11月数据源'!$D:$D,$E102,'11月数据源'!$F:$F,"HK01")*P$185</f>
        <v/>
      </c>
      <c r="Q102" s="89">
        <f>-SUMIFS('12月数据源'!$I:$I,'12月数据源'!$D:$D,$E102,'12月数据源'!$F:$F,"HK01")*Q$185+SUMIFS('12月数据源'!$J:$J,'12月数据源'!$D:$D,$E102,'12月数据源'!$F:$F,"HK01")*Q$185</f>
        <v/>
      </c>
    </row>
    <row r="103" s="83">
      <c r="A103" s="5" t="inlineStr">
        <is>
          <t>销售费用</t>
        </is>
      </c>
      <c r="B103" s="6" t="inlineStr">
        <is>
          <t>品牌建设</t>
        </is>
      </c>
      <c r="D103" s="5" t="inlineStr">
        <is>
          <t>素材拍摄</t>
        </is>
      </c>
      <c r="E103" s="6" t="inlineStr">
        <is>
          <t>Q1805</t>
        </is>
      </c>
      <c r="F103" s="89">
        <f>-SUMIFS('1月数据源'!$I:$I,'1月数据源'!$D:$D,$E103,'1月数据源'!$F:$F,"HK01")*F$185+SUMIFS('1月数据源'!$J:$J,'1月数据源'!$D:$D,$E103,'1月数据源'!$F:$F,"HK01")*F$185</f>
        <v/>
      </c>
      <c r="G103" s="89">
        <f>-SUMIFS('2月数据源'!$I:$I,'2月数据源'!$D:$D,$E103,'2月数据源'!$F:$F,"HK01")*G$185+SUMIFS('2月数据源'!$J:$J,'2月数据源'!$D:$D,$E103,'2月数据源'!$F:$F,"HK01")*G$185</f>
        <v/>
      </c>
      <c r="H103" s="89">
        <f>-SUMIFS('3月数据源'!$I:$I,'3月数据源'!$D:$D,$E103,'3月数据源'!$F:$F,"HK01")*H$185+SUMIFS('3月数据源'!$J:$J,'3月数据源'!$D:$D,$E103,'3月数据源'!$F:$F,"HK01")*H$185</f>
        <v/>
      </c>
      <c r="I103" s="89">
        <f>-SUMIFS('4月数据源'!$I:$I,'4月数据源'!$D:$D,$E103,'4月数据源'!$F:$F,"HK01")*I$185+SUMIFS('4月数据源'!$J:$J,'4月数据源'!$D:$D,$E103,'4月数据源'!$F:$F,"HK01")*I$185</f>
        <v/>
      </c>
      <c r="J103" s="89">
        <f>-SUMIFS('5月数据源'!$I:$I,'5月数据源'!$D:$D,$E103,'5月数据源'!$F:$F,"HK01")*J$185+SUMIFS('5月数据源'!$J:$J,'5月数据源'!$D:$D,$E103,'5月数据源'!$F:$F,"HK01")*J$185</f>
        <v/>
      </c>
      <c r="K103" s="89">
        <f>-SUMIFS('6月数据源'!$I:$I,'6月数据源'!$D:$D,$E103,'6月数据源'!$F:$F,"HK01")*K$185+SUMIFS('6月数据源'!$J:$J,'6月数据源'!$D:$D,$E103,'6月数据源'!$F:$F,"HK01")*K$185</f>
        <v/>
      </c>
      <c r="L103" s="89">
        <f>-SUMIFS('7月数据源'!$I:$I,'7月数据源'!$D:$D,$E103,'7月数据源'!$F:$F,"HK01")*L$185+SUMIFS('7月数据源'!$J:$J,'7月数据源'!$D:$D,$E103,'7月数据源'!$F:$F,"HK01")*L$185</f>
        <v/>
      </c>
      <c r="M103" s="89">
        <f>-SUMIFS('8月数据源'!$I:$I,'8月数据源'!$D:$D,$E103,'8月数据源'!$F:$F,"HK01")*M$185+SUMIFS('8月数据源'!$J:$J,'8月数据源'!$D:$D,$E103,'8月数据源'!$F:$F,"HK01")*M$185</f>
        <v/>
      </c>
      <c r="N103" s="89">
        <f>-SUMIFS('9月数据源'!$I:$I,'9月数据源'!$D:$D,$E103,'9月数据源'!$F:$F,"HK01")*N$185+SUMIFS('9月数据源'!$J:$J,'9月数据源'!$D:$D,$E103,'9月数据源'!$F:$F,"HK01")*N$185</f>
        <v/>
      </c>
      <c r="O103" s="89">
        <f>-SUMIFS('10月数据源'!$I:$I,'10月数据源'!$D:$D,$E103,'10月数据源'!$F:$F,"HK01")*O$185+SUMIFS('10月数据源'!$J:$J,'10月数据源'!$D:$D,$E103,'10月数据源'!$F:$F,"HK01")*O$185</f>
        <v/>
      </c>
      <c r="P103" s="89">
        <f>-SUMIFS('11月数据源'!$I:$I,'11月数据源'!$D:$D,$E103,'11月数据源'!$F:$F,"HK01")*P$185+SUMIFS('11月数据源'!$J:$J,'11月数据源'!$D:$D,$E103,'11月数据源'!$F:$F,"HK01")*P$185</f>
        <v/>
      </c>
      <c r="Q103" s="89">
        <f>-SUMIFS('12月数据源'!$I:$I,'12月数据源'!$D:$D,$E103,'12月数据源'!$F:$F,"HK01")*Q$185+SUMIFS('12月数据源'!$J:$J,'12月数据源'!$D:$D,$E103,'12月数据源'!$F:$F,"HK01")*Q$185</f>
        <v/>
      </c>
    </row>
    <row r="104" s="83">
      <c r="A104" s="5" t="inlineStr">
        <is>
          <t>销售费用</t>
        </is>
      </c>
      <c r="B104" s="6" t="inlineStr">
        <is>
          <t>品牌建设</t>
        </is>
      </c>
      <c r="D104" s="5" t="inlineStr">
        <is>
          <t>背书合作费用</t>
        </is>
      </c>
      <c r="E104" s="6" t="inlineStr">
        <is>
          <t>Q1806</t>
        </is>
      </c>
      <c r="F104" s="89">
        <f>-SUMIFS('1月数据源'!$I:$I,'1月数据源'!$D:$D,$E104,'1月数据源'!$F:$F,"HK01")*F$185+SUMIFS('1月数据源'!$J:$J,'1月数据源'!$D:$D,$E104,'1月数据源'!$F:$F,"HK01")*F$185</f>
        <v/>
      </c>
      <c r="G104" s="89">
        <f>-SUMIFS('2月数据源'!$I:$I,'2月数据源'!$D:$D,$E104,'2月数据源'!$F:$F,"HK01")*G$185+SUMIFS('2月数据源'!$J:$J,'2月数据源'!$D:$D,$E104,'2月数据源'!$F:$F,"HK01")*G$185</f>
        <v/>
      </c>
      <c r="H104" s="89">
        <f>-SUMIFS('3月数据源'!$I:$I,'3月数据源'!$D:$D,$E104,'3月数据源'!$F:$F,"HK01")*H$185+SUMIFS('3月数据源'!$J:$J,'3月数据源'!$D:$D,$E104,'3月数据源'!$F:$F,"HK01")*H$185</f>
        <v/>
      </c>
      <c r="I104" s="89">
        <f>-SUMIFS('4月数据源'!$I:$I,'4月数据源'!$D:$D,$E104,'4月数据源'!$F:$F,"HK01")*I$185+SUMIFS('4月数据源'!$J:$J,'4月数据源'!$D:$D,$E104,'4月数据源'!$F:$F,"HK01")*I$185</f>
        <v/>
      </c>
      <c r="J104" s="89">
        <f>-SUMIFS('5月数据源'!$I:$I,'5月数据源'!$D:$D,$E104,'5月数据源'!$F:$F,"HK01")*J$185+SUMIFS('5月数据源'!$J:$J,'5月数据源'!$D:$D,$E104,'5月数据源'!$F:$F,"HK01")*J$185</f>
        <v/>
      </c>
      <c r="K104" s="89">
        <f>-SUMIFS('6月数据源'!$I:$I,'6月数据源'!$D:$D,$E104,'6月数据源'!$F:$F,"HK01")*K$185+SUMIFS('6月数据源'!$J:$J,'6月数据源'!$D:$D,$E104,'6月数据源'!$F:$F,"HK01")*K$185</f>
        <v/>
      </c>
      <c r="L104" s="89">
        <f>-SUMIFS('7月数据源'!$I:$I,'7月数据源'!$D:$D,$E104,'7月数据源'!$F:$F,"HK01")*L$185+SUMIFS('7月数据源'!$J:$J,'7月数据源'!$D:$D,$E104,'7月数据源'!$F:$F,"HK01")*L$185</f>
        <v/>
      </c>
      <c r="M104" s="89">
        <f>-SUMIFS('8月数据源'!$I:$I,'8月数据源'!$D:$D,$E104,'8月数据源'!$F:$F,"HK01")*M$185+SUMIFS('8月数据源'!$J:$J,'8月数据源'!$D:$D,$E104,'8月数据源'!$F:$F,"HK01")*M$185</f>
        <v/>
      </c>
      <c r="N104" s="89">
        <f>-SUMIFS('9月数据源'!$I:$I,'9月数据源'!$D:$D,$E104,'9月数据源'!$F:$F,"HK01")*N$185+SUMIFS('9月数据源'!$J:$J,'9月数据源'!$D:$D,$E104,'9月数据源'!$F:$F,"HK01")*N$185</f>
        <v/>
      </c>
      <c r="O104" s="89">
        <f>-SUMIFS('10月数据源'!$I:$I,'10月数据源'!$D:$D,$E104,'10月数据源'!$F:$F,"HK01")*O$185+SUMIFS('10月数据源'!$J:$J,'10月数据源'!$D:$D,$E104,'10月数据源'!$F:$F,"HK01")*O$185</f>
        <v/>
      </c>
      <c r="P104" s="89">
        <f>-SUMIFS('11月数据源'!$I:$I,'11月数据源'!$D:$D,$E104,'11月数据源'!$F:$F,"HK01")*P$185+SUMIFS('11月数据源'!$J:$J,'11月数据源'!$D:$D,$E104,'11月数据源'!$F:$F,"HK01")*P$185</f>
        <v/>
      </c>
      <c r="Q104" s="89">
        <f>-SUMIFS('12月数据源'!$I:$I,'12月数据源'!$D:$D,$E104,'12月数据源'!$F:$F,"HK01")*Q$185+SUMIFS('12月数据源'!$J:$J,'12月数据源'!$D:$D,$E104,'12月数据源'!$F:$F,"HK01")*Q$185</f>
        <v/>
      </c>
    </row>
    <row r="105" s="83">
      <c r="A105" s="5" t="inlineStr">
        <is>
          <t>销售费用</t>
        </is>
      </c>
      <c r="B105" s="6" t="inlineStr">
        <is>
          <t>内容种草</t>
        </is>
      </c>
      <c r="C105" s="6" t="inlineStr">
        <is>
          <t>内容种草</t>
        </is>
      </c>
      <c r="D105" s="5" t="inlineStr">
        <is>
          <t>抖音平台种草-GD广告</t>
        </is>
      </c>
      <c r="E105" s="6" t="inlineStr">
        <is>
          <t>Q1901</t>
        </is>
      </c>
      <c r="F105" s="89">
        <f>-SUMIFS('1月数据源'!$I:$I,'1月数据源'!$D:$D,$E105,'1月数据源'!$F:$F,"HK01")*F$185+SUMIFS('1月数据源'!$J:$J,'1月数据源'!$D:$D,$E105,'1月数据源'!$F:$F,"HK01")*F$185</f>
        <v/>
      </c>
      <c r="G105" s="89">
        <f>-SUMIFS('2月数据源'!$I:$I,'2月数据源'!$D:$D,$E105,'2月数据源'!$F:$F,"HK01")*G$185+SUMIFS('2月数据源'!$J:$J,'2月数据源'!$D:$D,$E105,'2月数据源'!$F:$F,"HK01")*G$185</f>
        <v/>
      </c>
      <c r="H105" s="89">
        <f>-SUMIFS('3月数据源'!$I:$I,'3月数据源'!$D:$D,$E105,'3月数据源'!$F:$F,"HK01")*H$185+SUMIFS('3月数据源'!$J:$J,'3月数据源'!$D:$D,$E105,'3月数据源'!$F:$F,"HK01")*H$185</f>
        <v/>
      </c>
      <c r="I105" s="89">
        <f>-SUMIFS('4月数据源'!$I:$I,'4月数据源'!$D:$D,$E105,'4月数据源'!$F:$F,"HK01")*I$185+SUMIFS('4月数据源'!$J:$J,'4月数据源'!$D:$D,$E105,'4月数据源'!$F:$F,"HK01")*I$185</f>
        <v/>
      </c>
      <c r="J105" s="89">
        <f>-SUMIFS('5月数据源'!$I:$I,'5月数据源'!$D:$D,$E105,'5月数据源'!$F:$F,"HK01")*J$185+SUMIFS('5月数据源'!$J:$J,'5月数据源'!$D:$D,$E105,'5月数据源'!$F:$F,"HK01")*J$185</f>
        <v/>
      </c>
      <c r="K105" s="89">
        <f>-SUMIFS('6月数据源'!$I:$I,'6月数据源'!$D:$D,$E105,'6月数据源'!$F:$F,"HK01")*K$185+SUMIFS('6月数据源'!$J:$J,'6月数据源'!$D:$D,$E105,'6月数据源'!$F:$F,"HK01")*K$185</f>
        <v/>
      </c>
      <c r="L105" s="89">
        <f>-SUMIFS('7月数据源'!$I:$I,'7月数据源'!$D:$D,$E105,'7月数据源'!$F:$F,"HK01")*L$185+SUMIFS('7月数据源'!$J:$J,'7月数据源'!$D:$D,$E105,'7月数据源'!$F:$F,"HK01")*L$185</f>
        <v/>
      </c>
      <c r="M105" s="89">
        <f>-SUMIFS('8月数据源'!$I:$I,'8月数据源'!$D:$D,$E105,'8月数据源'!$F:$F,"HK01")*M$185+SUMIFS('8月数据源'!$J:$J,'8月数据源'!$D:$D,$E105,'8月数据源'!$F:$F,"HK01")*M$185</f>
        <v/>
      </c>
      <c r="N105" s="89">
        <f>-SUMIFS('9月数据源'!$I:$I,'9月数据源'!$D:$D,$E105,'9月数据源'!$F:$F,"HK01")*N$185+SUMIFS('9月数据源'!$J:$J,'9月数据源'!$D:$D,$E105,'9月数据源'!$F:$F,"HK01")*N$185</f>
        <v/>
      </c>
      <c r="O105" s="89">
        <f>-SUMIFS('10月数据源'!$I:$I,'10月数据源'!$D:$D,$E105,'10月数据源'!$F:$F,"HK01")*O$185+SUMIFS('10月数据源'!$J:$J,'10月数据源'!$D:$D,$E105,'10月数据源'!$F:$F,"HK01")*O$185</f>
        <v/>
      </c>
      <c r="P105" s="89">
        <f>-SUMIFS('11月数据源'!$I:$I,'11月数据源'!$D:$D,$E105,'11月数据源'!$F:$F,"HK01")*P$185+SUMIFS('11月数据源'!$J:$J,'11月数据源'!$D:$D,$E105,'11月数据源'!$F:$F,"HK01")*P$185</f>
        <v/>
      </c>
      <c r="Q105" s="89">
        <f>-SUMIFS('12月数据源'!$I:$I,'12月数据源'!$D:$D,$E105,'12月数据源'!$F:$F,"HK01")*Q$185+SUMIFS('12月数据源'!$J:$J,'12月数据源'!$D:$D,$E105,'12月数据源'!$F:$F,"HK01")*Q$185</f>
        <v/>
      </c>
    </row>
    <row r="106" s="83">
      <c r="A106" s="5" t="inlineStr">
        <is>
          <t>销售费用</t>
        </is>
      </c>
      <c r="B106" s="6" t="inlineStr">
        <is>
          <t>内容种草</t>
        </is>
      </c>
      <c r="D106" s="5" t="inlineStr">
        <is>
          <t>抖音平台种草-种草通</t>
        </is>
      </c>
      <c r="E106" s="6" t="inlineStr">
        <is>
          <t>Q1902</t>
        </is>
      </c>
      <c r="F106" s="89">
        <f>-SUMIFS('1月数据源'!$I:$I,'1月数据源'!$D:$D,$E106,'1月数据源'!$F:$F,"HK01")*F$185+SUMIFS('1月数据源'!$J:$J,'1月数据源'!$D:$D,$E106,'1月数据源'!$F:$F,"HK01")*F$185</f>
        <v/>
      </c>
      <c r="G106" s="89">
        <f>-SUMIFS('2月数据源'!$I:$I,'2月数据源'!$D:$D,$E106,'2月数据源'!$F:$F,"HK01")*G$185+SUMIFS('2月数据源'!$J:$J,'2月数据源'!$D:$D,$E106,'2月数据源'!$F:$F,"HK01")*G$185</f>
        <v/>
      </c>
      <c r="H106" s="89">
        <f>-SUMIFS('3月数据源'!$I:$I,'3月数据源'!$D:$D,$E106,'3月数据源'!$F:$F,"HK01")*H$185+SUMIFS('3月数据源'!$J:$J,'3月数据源'!$D:$D,$E106,'3月数据源'!$F:$F,"HK01")*H$185</f>
        <v/>
      </c>
      <c r="I106" s="89">
        <f>-SUMIFS('4月数据源'!$I:$I,'4月数据源'!$D:$D,$E106,'4月数据源'!$F:$F,"HK01")*I$185+SUMIFS('4月数据源'!$J:$J,'4月数据源'!$D:$D,$E106,'4月数据源'!$F:$F,"HK01")*I$185</f>
        <v/>
      </c>
      <c r="J106" s="89">
        <f>-SUMIFS('5月数据源'!$I:$I,'5月数据源'!$D:$D,$E106,'5月数据源'!$F:$F,"HK01")*J$185+SUMIFS('5月数据源'!$J:$J,'5月数据源'!$D:$D,$E106,'5月数据源'!$F:$F,"HK01")*J$185</f>
        <v/>
      </c>
      <c r="K106" s="89">
        <f>-SUMIFS('6月数据源'!$I:$I,'6月数据源'!$D:$D,$E106,'6月数据源'!$F:$F,"HK01")*K$185+SUMIFS('6月数据源'!$J:$J,'6月数据源'!$D:$D,$E106,'6月数据源'!$F:$F,"HK01")*K$185</f>
        <v/>
      </c>
      <c r="L106" s="89">
        <f>-SUMIFS('7月数据源'!$I:$I,'7月数据源'!$D:$D,$E106,'7月数据源'!$F:$F,"HK01")*L$185+SUMIFS('7月数据源'!$J:$J,'7月数据源'!$D:$D,$E106,'7月数据源'!$F:$F,"HK01")*L$185</f>
        <v/>
      </c>
      <c r="M106" s="89">
        <f>-SUMIFS('8月数据源'!$I:$I,'8月数据源'!$D:$D,$E106,'8月数据源'!$F:$F,"HK01")*M$185+SUMIFS('8月数据源'!$J:$J,'8月数据源'!$D:$D,$E106,'8月数据源'!$F:$F,"HK01")*M$185</f>
        <v/>
      </c>
      <c r="N106" s="89">
        <f>-SUMIFS('9月数据源'!$I:$I,'9月数据源'!$D:$D,$E106,'9月数据源'!$F:$F,"HK01")*N$185+SUMIFS('9月数据源'!$J:$J,'9月数据源'!$D:$D,$E106,'9月数据源'!$F:$F,"HK01")*N$185</f>
        <v/>
      </c>
      <c r="O106" s="89">
        <f>-SUMIFS('10月数据源'!$I:$I,'10月数据源'!$D:$D,$E106,'10月数据源'!$F:$F,"HK01")*O$185+SUMIFS('10月数据源'!$J:$J,'10月数据源'!$D:$D,$E106,'10月数据源'!$F:$F,"HK01")*O$185</f>
        <v/>
      </c>
      <c r="P106" s="89">
        <f>-SUMIFS('11月数据源'!$I:$I,'11月数据源'!$D:$D,$E106,'11月数据源'!$F:$F,"HK01")*P$185+SUMIFS('11月数据源'!$J:$J,'11月数据源'!$D:$D,$E106,'11月数据源'!$F:$F,"HK01")*P$185</f>
        <v/>
      </c>
      <c r="Q106" s="89">
        <f>-SUMIFS('12月数据源'!$I:$I,'12月数据源'!$D:$D,$E106,'12月数据源'!$F:$F,"HK01")*Q$185+SUMIFS('12月数据源'!$J:$J,'12月数据源'!$D:$D,$E106,'12月数据源'!$F:$F,"HK01")*Q$185</f>
        <v/>
      </c>
    </row>
    <row r="107" s="83">
      <c r="A107" s="5" t="inlineStr">
        <is>
          <t>销售费用</t>
        </is>
      </c>
      <c r="B107" s="6" t="inlineStr">
        <is>
          <t>内容种草</t>
        </is>
      </c>
      <c r="D107" s="5" t="inlineStr">
        <is>
          <t>抖音平台种草-达人合作</t>
        </is>
      </c>
      <c r="E107" s="6" t="inlineStr">
        <is>
          <t>Q1903</t>
        </is>
      </c>
      <c r="F107" s="89">
        <f>-SUMIFS('1月数据源'!$I:$I,'1月数据源'!$D:$D,$E107,'1月数据源'!$F:$F,"HK01")*F$185+SUMIFS('1月数据源'!$J:$J,'1月数据源'!$D:$D,$E107,'1月数据源'!$F:$F,"HK01")*F$185</f>
        <v/>
      </c>
      <c r="G107" s="89">
        <f>-SUMIFS('2月数据源'!$I:$I,'2月数据源'!$D:$D,$E107,'2月数据源'!$F:$F,"HK01")*G$185+SUMIFS('2月数据源'!$J:$J,'2月数据源'!$D:$D,$E107,'2月数据源'!$F:$F,"HK01")*G$185</f>
        <v/>
      </c>
      <c r="H107" s="89">
        <f>-SUMIFS('3月数据源'!$I:$I,'3月数据源'!$D:$D,$E107,'3月数据源'!$F:$F,"HK01")*H$185+SUMIFS('3月数据源'!$J:$J,'3月数据源'!$D:$D,$E107,'3月数据源'!$F:$F,"HK01")*H$185</f>
        <v/>
      </c>
      <c r="I107" s="89">
        <f>-SUMIFS('4月数据源'!$I:$I,'4月数据源'!$D:$D,$E107,'4月数据源'!$F:$F,"HK01")*I$185+SUMIFS('4月数据源'!$J:$J,'4月数据源'!$D:$D,$E107,'4月数据源'!$F:$F,"HK01")*I$185</f>
        <v/>
      </c>
      <c r="J107" s="89">
        <f>-SUMIFS('5月数据源'!$I:$I,'5月数据源'!$D:$D,$E107,'5月数据源'!$F:$F,"HK01")*J$185+SUMIFS('5月数据源'!$J:$J,'5月数据源'!$D:$D,$E107,'5月数据源'!$F:$F,"HK01")*J$185</f>
        <v/>
      </c>
      <c r="K107" s="89">
        <f>-SUMIFS('6月数据源'!$I:$I,'6月数据源'!$D:$D,$E107,'6月数据源'!$F:$F,"HK01")*K$185+SUMIFS('6月数据源'!$J:$J,'6月数据源'!$D:$D,$E107,'6月数据源'!$F:$F,"HK01")*K$185</f>
        <v/>
      </c>
      <c r="L107" s="89">
        <f>-SUMIFS('7月数据源'!$I:$I,'7月数据源'!$D:$D,$E107,'7月数据源'!$F:$F,"HK01")*L$185+SUMIFS('7月数据源'!$J:$J,'7月数据源'!$D:$D,$E107,'7月数据源'!$F:$F,"HK01")*L$185</f>
        <v/>
      </c>
      <c r="M107" s="89">
        <f>-SUMIFS('8月数据源'!$I:$I,'8月数据源'!$D:$D,$E107,'8月数据源'!$F:$F,"HK01")*M$185+SUMIFS('8月数据源'!$J:$J,'8月数据源'!$D:$D,$E107,'8月数据源'!$F:$F,"HK01")*M$185</f>
        <v/>
      </c>
      <c r="N107" s="89">
        <f>-SUMIFS('9月数据源'!$I:$I,'9月数据源'!$D:$D,$E107,'9月数据源'!$F:$F,"HK01")*N$185+SUMIFS('9月数据源'!$J:$J,'9月数据源'!$D:$D,$E107,'9月数据源'!$F:$F,"HK01")*N$185</f>
        <v/>
      </c>
      <c r="O107" s="89">
        <f>-SUMIFS('10月数据源'!$I:$I,'10月数据源'!$D:$D,$E107,'10月数据源'!$F:$F,"HK01")*O$185+SUMIFS('10月数据源'!$J:$J,'10月数据源'!$D:$D,$E107,'10月数据源'!$F:$F,"HK01")*O$185</f>
        <v/>
      </c>
      <c r="P107" s="89">
        <f>-SUMIFS('11月数据源'!$I:$I,'11月数据源'!$D:$D,$E107,'11月数据源'!$F:$F,"HK01")*P$185+SUMIFS('11月数据源'!$J:$J,'11月数据源'!$D:$D,$E107,'11月数据源'!$F:$F,"HK01")*P$185</f>
        <v/>
      </c>
      <c r="Q107" s="89">
        <f>-SUMIFS('12月数据源'!$I:$I,'12月数据源'!$D:$D,$E107,'12月数据源'!$F:$F,"HK01")*Q$185+SUMIFS('12月数据源'!$J:$J,'12月数据源'!$D:$D,$E107,'12月数据源'!$F:$F,"HK01")*Q$185</f>
        <v/>
      </c>
    </row>
    <row r="108" s="83">
      <c r="A108" s="5" t="inlineStr">
        <is>
          <t>销售费用</t>
        </is>
      </c>
      <c r="B108" s="6" t="inlineStr">
        <is>
          <t>内容种草</t>
        </is>
      </c>
      <c r="D108" s="5" t="inlineStr">
        <is>
          <t>小红书平台种草-达人合作</t>
        </is>
      </c>
      <c r="E108" s="6" t="inlineStr">
        <is>
          <t>Q1904</t>
        </is>
      </c>
      <c r="F108" s="89">
        <f>-SUMIFS('1月数据源'!$I:$I,'1月数据源'!$D:$D,$E108,'1月数据源'!$F:$F,"HK01")*F$185+SUMIFS('1月数据源'!$J:$J,'1月数据源'!$D:$D,$E108,'1月数据源'!$F:$F,"HK01")*F$185</f>
        <v/>
      </c>
      <c r="G108" s="89">
        <f>-SUMIFS('2月数据源'!$I:$I,'2月数据源'!$D:$D,$E108,'2月数据源'!$F:$F,"HK01")*G$185+SUMIFS('2月数据源'!$J:$J,'2月数据源'!$D:$D,$E108,'2月数据源'!$F:$F,"HK01")*G$185</f>
        <v/>
      </c>
      <c r="H108" s="89">
        <f>-SUMIFS('3月数据源'!$I:$I,'3月数据源'!$D:$D,$E108,'3月数据源'!$F:$F,"HK01")*H$185+SUMIFS('3月数据源'!$J:$J,'3月数据源'!$D:$D,$E108,'3月数据源'!$F:$F,"HK01")*H$185</f>
        <v/>
      </c>
      <c r="I108" s="89">
        <f>-SUMIFS('4月数据源'!$I:$I,'4月数据源'!$D:$D,$E108,'4月数据源'!$F:$F,"HK01")*I$185+SUMIFS('4月数据源'!$J:$J,'4月数据源'!$D:$D,$E108,'4月数据源'!$F:$F,"HK01")*I$185</f>
        <v/>
      </c>
      <c r="J108" s="89">
        <f>-SUMIFS('5月数据源'!$I:$I,'5月数据源'!$D:$D,$E108,'5月数据源'!$F:$F,"HK01")*J$185+SUMIFS('5月数据源'!$J:$J,'5月数据源'!$D:$D,$E108,'5月数据源'!$F:$F,"HK01")*J$185</f>
        <v/>
      </c>
      <c r="K108" s="89">
        <f>-SUMIFS('6月数据源'!$I:$I,'6月数据源'!$D:$D,$E108,'6月数据源'!$F:$F,"HK01")*K$185+SUMIFS('6月数据源'!$J:$J,'6月数据源'!$D:$D,$E108,'6月数据源'!$F:$F,"HK01")*K$185</f>
        <v/>
      </c>
      <c r="L108" s="89">
        <f>-SUMIFS('7月数据源'!$I:$I,'7月数据源'!$D:$D,$E108,'7月数据源'!$F:$F,"HK01")*L$185+SUMIFS('7月数据源'!$J:$J,'7月数据源'!$D:$D,$E108,'7月数据源'!$F:$F,"HK01")*L$185</f>
        <v/>
      </c>
      <c r="M108" s="89">
        <f>-SUMIFS('8月数据源'!$I:$I,'8月数据源'!$D:$D,$E108,'8月数据源'!$F:$F,"HK01")*M$185+SUMIFS('8月数据源'!$J:$J,'8月数据源'!$D:$D,$E108,'8月数据源'!$F:$F,"HK01")*M$185</f>
        <v/>
      </c>
      <c r="N108" s="89">
        <f>-SUMIFS('9月数据源'!$I:$I,'9月数据源'!$D:$D,$E108,'9月数据源'!$F:$F,"HK01")*N$185+SUMIFS('9月数据源'!$J:$J,'9月数据源'!$D:$D,$E108,'9月数据源'!$F:$F,"HK01")*N$185</f>
        <v/>
      </c>
      <c r="O108" s="89">
        <f>-SUMIFS('10月数据源'!$I:$I,'10月数据源'!$D:$D,$E108,'10月数据源'!$F:$F,"HK01")*O$185+SUMIFS('10月数据源'!$J:$J,'10月数据源'!$D:$D,$E108,'10月数据源'!$F:$F,"HK01")*O$185</f>
        <v/>
      </c>
      <c r="P108" s="89">
        <f>-SUMIFS('11月数据源'!$I:$I,'11月数据源'!$D:$D,$E108,'11月数据源'!$F:$F,"HK01")*P$185+SUMIFS('11月数据源'!$J:$J,'11月数据源'!$D:$D,$E108,'11月数据源'!$F:$F,"HK01")*P$185</f>
        <v/>
      </c>
      <c r="Q108" s="89">
        <f>-SUMIFS('12月数据源'!$I:$I,'12月数据源'!$D:$D,$E108,'12月数据源'!$F:$F,"HK01")*Q$185+SUMIFS('12月数据源'!$J:$J,'12月数据源'!$D:$D,$E108,'12月数据源'!$F:$F,"HK01")*Q$185</f>
        <v/>
      </c>
    </row>
    <row r="109" s="83">
      <c r="A109" s="5" t="inlineStr">
        <is>
          <t>销售费用</t>
        </is>
      </c>
      <c r="B109" s="6" t="inlineStr">
        <is>
          <t>内容种草</t>
        </is>
      </c>
      <c r="D109" s="5" t="inlineStr">
        <is>
          <t>全平台种草-达人合作</t>
        </is>
      </c>
      <c r="E109" s="6" t="inlineStr">
        <is>
          <t>Q1905</t>
        </is>
      </c>
      <c r="F109" s="89">
        <f>-SUMIFS('1月数据源'!$I:$I,'1月数据源'!$D:$D,$E109,'1月数据源'!$F:$F,"HK01")*F$185+SUMIFS('1月数据源'!$J:$J,'1月数据源'!$D:$D,$E109,'1月数据源'!$F:$F,"HK01")*F$185</f>
        <v/>
      </c>
      <c r="G109" s="89">
        <f>-SUMIFS('2月数据源'!$I:$I,'2月数据源'!$D:$D,$E109,'2月数据源'!$F:$F,"HK01")*G$185+SUMIFS('2月数据源'!$J:$J,'2月数据源'!$D:$D,$E109,'2月数据源'!$F:$F,"HK01")*G$185</f>
        <v/>
      </c>
      <c r="H109" s="89">
        <f>-SUMIFS('3月数据源'!$I:$I,'3月数据源'!$D:$D,$E109,'3月数据源'!$F:$F,"HK01")*H$185+SUMIFS('3月数据源'!$J:$J,'3月数据源'!$D:$D,$E109,'3月数据源'!$F:$F,"HK01")*H$185</f>
        <v/>
      </c>
      <c r="I109" s="89">
        <f>-SUMIFS('4月数据源'!$I:$I,'4月数据源'!$D:$D,$E109,'4月数据源'!$F:$F,"HK01")*I$185+SUMIFS('4月数据源'!$J:$J,'4月数据源'!$D:$D,$E109,'4月数据源'!$F:$F,"HK01")*I$185</f>
        <v/>
      </c>
      <c r="J109" s="89">
        <f>-SUMIFS('5月数据源'!$I:$I,'5月数据源'!$D:$D,$E109,'5月数据源'!$F:$F,"HK01")*J$185+SUMIFS('5月数据源'!$J:$J,'5月数据源'!$D:$D,$E109,'5月数据源'!$F:$F,"HK01")*J$185</f>
        <v/>
      </c>
      <c r="K109" s="89">
        <f>-SUMIFS('6月数据源'!$I:$I,'6月数据源'!$D:$D,$E109,'6月数据源'!$F:$F,"HK01")*K$185+SUMIFS('6月数据源'!$J:$J,'6月数据源'!$D:$D,$E109,'6月数据源'!$F:$F,"HK01")*K$185</f>
        <v/>
      </c>
      <c r="L109" s="89">
        <f>-SUMIFS('7月数据源'!$I:$I,'7月数据源'!$D:$D,$E109,'7月数据源'!$F:$F,"HK01")*L$185+SUMIFS('7月数据源'!$J:$J,'7月数据源'!$D:$D,$E109,'7月数据源'!$F:$F,"HK01")*L$185</f>
        <v/>
      </c>
      <c r="M109" s="89">
        <f>-SUMIFS('8月数据源'!$I:$I,'8月数据源'!$D:$D,$E109,'8月数据源'!$F:$F,"HK01")*M$185+SUMIFS('8月数据源'!$J:$J,'8月数据源'!$D:$D,$E109,'8月数据源'!$F:$F,"HK01")*M$185</f>
        <v/>
      </c>
      <c r="N109" s="89">
        <f>-SUMIFS('9月数据源'!$I:$I,'9月数据源'!$D:$D,$E109,'9月数据源'!$F:$F,"HK01")*N$185+SUMIFS('9月数据源'!$J:$J,'9月数据源'!$D:$D,$E109,'9月数据源'!$F:$F,"HK01")*N$185</f>
        <v/>
      </c>
      <c r="O109" s="89">
        <f>-SUMIFS('10月数据源'!$I:$I,'10月数据源'!$D:$D,$E109,'10月数据源'!$F:$F,"HK01")*O$185+SUMIFS('10月数据源'!$J:$J,'10月数据源'!$D:$D,$E109,'10月数据源'!$F:$F,"HK01")*O$185</f>
        <v/>
      </c>
      <c r="P109" s="89">
        <f>-SUMIFS('11月数据源'!$I:$I,'11月数据源'!$D:$D,$E109,'11月数据源'!$F:$F,"HK01")*P$185+SUMIFS('11月数据源'!$J:$J,'11月数据源'!$D:$D,$E109,'11月数据源'!$F:$F,"HK01")*P$185</f>
        <v/>
      </c>
      <c r="Q109" s="89">
        <f>-SUMIFS('12月数据源'!$I:$I,'12月数据源'!$D:$D,$E109,'12月数据源'!$F:$F,"HK01")*Q$185+SUMIFS('12月数据源'!$J:$J,'12月数据源'!$D:$D,$E109,'12月数据源'!$F:$F,"HK01")*Q$185</f>
        <v/>
      </c>
    </row>
    <row r="110" s="83">
      <c r="A110" s="5" t="inlineStr">
        <is>
          <t>销售费用</t>
        </is>
      </c>
      <c r="B110" s="6" t="inlineStr">
        <is>
          <t>内容种草</t>
        </is>
      </c>
      <c r="D110" s="5" t="inlineStr">
        <is>
          <t>小红书种草充值</t>
        </is>
      </c>
      <c r="E110" s="6" t="inlineStr">
        <is>
          <t>Q1906</t>
        </is>
      </c>
      <c r="F110" s="89">
        <f>-SUMIFS('1月数据源'!$I:$I,'1月数据源'!$D:$D,$E110,'1月数据源'!$F:$F,"HK01")*F$185+SUMIFS('1月数据源'!$J:$J,'1月数据源'!$D:$D,$E110,'1月数据源'!$F:$F,"HK01")*F$185</f>
        <v/>
      </c>
      <c r="G110" s="89">
        <f>-SUMIFS('2月数据源'!$I:$I,'2月数据源'!$D:$D,$E110,'2月数据源'!$F:$F,"HK01")*G$185+SUMIFS('2月数据源'!$J:$J,'2月数据源'!$D:$D,$E110,'2月数据源'!$F:$F,"HK01")*G$185</f>
        <v/>
      </c>
      <c r="H110" s="89">
        <f>-SUMIFS('3月数据源'!$I:$I,'3月数据源'!$D:$D,$E110,'3月数据源'!$F:$F,"HK01")*H$185+SUMIFS('3月数据源'!$J:$J,'3月数据源'!$D:$D,$E110,'3月数据源'!$F:$F,"HK01")*H$185</f>
        <v/>
      </c>
      <c r="I110" s="89">
        <f>-SUMIFS('4月数据源'!$I:$I,'4月数据源'!$D:$D,$E110,'4月数据源'!$F:$F,"HK01")*I$185+SUMIFS('4月数据源'!$J:$J,'4月数据源'!$D:$D,$E110,'4月数据源'!$F:$F,"HK01")*I$185</f>
        <v/>
      </c>
      <c r="J110" s="89">
        <f>-SUMIFS('5月数据源'!$I:$I,'5月数据源'!$D:$D,$E110,'5月数据源'!$F:$F,"HK01")*J$185+SUMIFS('5月数据源'!$J:$J,'5月数据源'!$D:$D,$E110,'5月数据源'!$F:$F,"HK01")*J$185</f>
        <v/>
      </c>
      <c r="K110" s="89">
        <f>-SUMIFS('6月数据源'!$I:$I,'6月数据源'!$D:$D,$E110,'6月数据源'!$F:$F,"HK01")*K$185+SUMIFS('6月数据源'!$J:$J,'6月数据源'!$D:$D,$E110,'6月数据源'!$F:$F,"HK01")*K$185</f>
        <v/>
      </c>
      <c r="L110" s="89">
        <f>-SUMIFS('7月数据源'!$I:$I,'7月数据源'!$D:$D,$E110,'7月数据源'!$F:$F,"HK01")*L$185+SUMIFS('7月数据源'!$J:$J,'7月数据源'!$D:$D,$E110,'7月数据源'!$F:$F,"HK01")*L$185</f>
        <v/>
      </c>
      <c r="M110" s="89">
        <f>-SUMIFS('8月数据源'!$I:$I,'8月数据源'!$D:$D,$E110,'8月数据源'!$F:$F,"HK01")*M$185+SUMIFS('8月数据源'!$J:$J,'8月数据源'!$D:$D,$E110,'8月数据源'!$F:$F,"HK01")*M$185</f>
        <v/>
      </c>
      <c r="N110" s="89">
        <f>-SUMIFS('9月数据源'!$I:$I,'9月数据源'!$D:$D,$E110,'9月数据源'!$F:$F,"HK01")*N$185+SUMIFS('9月数据源'!$J:$J,'9月数据源'!$D:$D,$E110,'9月数据源'!$F:$F,"HK01")*N$185</f>
        <v/>
      </c>
      <c r="O110" s="89">
        <f>-SUMIFS('10月数据源'!$I:$I,'10月数据源'!$D:$D,$E110,'10月数据源'!$F:$F,"HK01")*O$185+SUMIFS('10月数据源'!$J:$J,'10月数据源'!$D:$D,$E110,'10月数据源'!$F:$F,"HK01")*O$185</f>
        <v/>
      </c>
      <c r="P110" s="89">
        <f>-SUMIFS('11月数据源'!$I:$I,'11月数据源'!$D:$D,$E110,'11月数据源'!$F:$F,"HK01")*P$185+SUMIFS('11月数据源'!$J:$J,'11月数据源'!$D:$D,$E110,'11月数据源'!$F:$F,"HK01")*P$185</f>
        <v/>
      </c>
      <c r="Q110" s="89">
        <f>-SUMIFS('12月数据源'!$I:$I,'12月数据源'!$D:$D,$E110,'12月数据源'!$F:$F,"HK01")*Q$185+SUMIFS('12月数据源'!$J:$J,'12月数据源'!$D:$D,$E110,'12月数据源'!$F:$F,"HK01")*Q$185</f>
        <v/>
      </c>
    </row>
    <row r="111" s="83">
      <c r="A111" s="5" t="inlineStr">
        <is>
          <t>销售费用</t>
        </is>
      </c>
      <c r="B111" s="6" t="inlineStr">
        <is>
          <t>投放转化</t>
        </is>
      </c>
      <c r="C111" s="6" t="inlineStr">
        <is>
          <t>投放转化</t>
        </is>
      </c>
      <c r="D111" s="5" t="inlineStr">
        <is>
          <t>信息流视频制作</t>
        </is>
      </c>
      <c r="E111" s="6" t="inlineStr">
        <is>
          <t>Q2001</t>
        </is>
      </c>
      <c r="F111" s="89">
        <f>-SUMIFS('1月数据源'!$I:$I,'1月数据源'!$D:$D,$E111,'1月数据源'!$F:$F,"HK01")*F$185+SUMIFS('1月数据源'!$J:$J,'1月数据源'!$D:$D,$E111,'1月数据源'!$F:$F,"HK01")*F$185</f>
        <v/>
      </c>
      <c r="G111" s="89">
        <f>-SUMIFS('2月数据源'!$I:$I,'2月数据源'!$D:$D,$E111,'2月数据源'!$F:$F,"HK01")*G$185+SUMIFS('2月数据源'!$J:$J,'2月数据源'!$D:$D,$E111,'2月数据源'!$F:$F,"HK01")*G$185</f>
        <v/>
      </c>
      <c r="H111" s="89">
        <f>-SUMIFS('3月数据源'!$I:$I,'3月数据源'!$D:$D,$E111,'3月数据源'!$F:$F,"HK01")*H$185+SUMIFS('3月数据源'!$J:$J,'3月数据源'!$D:$D,$E111,'3月数据源'!$F:$F,"HK01")*H$185</f>
        <v/>
      </c>
      <c r="I111" s="89">
        <f>-SUMIFS('4月数据源'!$I:$I,'4月数据源'!$D:$D,$E111,'4月数据源'!$F:$F,"HK01")*I$185+SUMIFS('4月数据源'!$J:$J,'4月数据源'!$D:$D,$E111,'4月数据源'!$F:$F,"HK01")*I$185</f>
        <v/>
      </c>
      <c r="J111" s="89">
        <f>-SUMIFS('5月数据源'!$I:$I,'5月数据源'!$D:$D,$E111,'5月数据源'!$F:$F,"HK01")*J$185+SUMIFS('5月数据源'!$J:$J,'5月数据源'!$D:$D,$E111,'5月数据源'!$F:$F,"HK01")*J$185</f>
        <v/>
      </c>
      <c r="K111" s="89">
        <f>-SUMIFS('6月数据源'!$I:$I,'6月数据源'!$D:$D,$E111,'6月数据源'!$F:$F,"HK01")*K$185+SUMIFS('6月数据源'!$J:$J,'6月数据源'!$D:$D,$E111,'6月数据源'!$F:$F,"HK01")*K$185</f>
        <v/>
      </c>
      <c r="L111" s="89">
        <f>-SUMIFS('7月数据源'!$I:$I,'7月数据源'!$D:$D,$E111,'7月数据源'!$F:$F,"HK01")*L$185+SUMIFS('7月数据源'!$J:$J,'7月数据源'!$D:$D,$E111,'7月数据源'!$F:$F,"HK01")*L$185</f>
        <v/>
      </c>
      <c r="M111" s="89">
        <f>-SUMIFS('8月数据源'!$I:$I,'8月数据源'!$D:$D,$E111,'8月数据源'!$F:$F,"HK01")*M$185+SUMIFS('8月数据源'!$J:$J,'8月数据源'!$D:$D,$E111,'8月数据源'!$F:$F,"HK01")*M$185</f>
        <v/>
      </c>
      <c r="N111" s="89">
        <f>-SUMIFS('9月数据源'!$I:$I,'9月数据源'!$D:$D,$E111,'9月数据源'!$F:$F,"HK01")*N$185+SUMIFS('9月数据源'!$J:$J,'9月数据源'!$D:$D,$E111,'9月数据源'!$F:$F,"HK01")*N$185</f>
        <v/>
      </c>
      <c r="O111" s="89">
        <f>-SUMIFS('10月数据源'!$I:$I,'10月数据源'!$D:$D,$E111,'10月数据源'!$F:$F,"HK01")*O$185+SUMIFS('10月数据源'!$J:$J,'10月数据源'!$D:$D,$E111,'10月数据源'!$F:$F,"HK01")*O$185</f>
        <v/>
      </c>
      <c r="P111" s="89">
        <f>-SUMIFS('11月数据源'!$I:$I,'11月数据源'!$D:$D,$E111,'11月数据源'!$F:$F,"HK01")*P$185+SUMIFS('11月数据源'!$J:$J,'11月数据源'!$D:$D,$E111,'11月数据源'!$F:$F,"HK01")*P$185</f>
        <v/>
      </c>
      <c r="Q111" s="89">
        <f>-SUMIFS('12月数据源'!$I:$I,'12月数据源'!$D:$D,$E111,'12月数据源'!$F:$F,"HK01")*Q$185+SUMIFS('12月数据源'!$J:$J,'12月数据源'!$D:$D,$E111,'12月数据源'!$F:$F,"HK01")*Q$185</f>
        <v/>
      </c>
    </row>
    <row r="112" s="83">
      <c r="A112" s="5" t="inlineStr">
        <is>
          <t>销售费用</t>
        </is>
      </c>
      <c r="B112" s="6" t="inlineStr">
        <is>
          <t>投放转化</t>
        </is>
      </c>
      <c r="D112" s="5" t="inlineStr">
        <is>
          <t>抖音投放充值</t>
        </is>
      </c>
      <c r="E112" s="6" t="inlineStr">
        <is>
          <t>Q2002</t>
        </is>
      </c>
      <c r="F112" s="89">
        <f>-SUMIFS('1月数据源'!$I:$I,'1月数据源'!$D:$D,$E112,'1月数据源'!$F:$F,"HK01")*F$185+SUMIFS('1月数据源'!$J:$J,'1月数据源'!$D:$D,$E112,'1月数据源'!$F:$F,"HK01")*F$185</f>
        <v/>
      </c>
      <c r="G112" s="89">
        <f>-SUMIFS('2月数据源'!$I:$I,'2月数据源'!$D:$D,$E112,'2月数据源'!$F:$F,"HK01")*G$185+SUMIFS('2月数据源'!$J:$J,'2月数据源'!$D:$D,$E112,'2月数据源'!$F:$F,"HK01")*G$185</f>
        <v/>
      </c>
      <c r="H112" s="89">
        <f>-SUMIFS('3月数据源'!$I:$I,'3月数据源'!$D:$D,$E112,'3月数据源'!$F:$F,"HK01")*H$185+SUMIFS('3月数据源'!$J:$J,'3月数据源'!$D:$D,$E112,'3月数据源'!$F:$F,"HK01")*H$185</f>
        <v/>
      </c>
      <c r="I112" s="89">
        <f>-SUMIFS('4月数据源'!$I:$I,'4月数据源'!$D:$D,$E112,'4月数据源'!$F:$F,"HK01")*I$185+SUMIFS('4月数据源'!$J:$J,'4月数据源'!$D:$D,$E112,'4月数据源'!$F:$F,"HK01")*I$185</f>
        <v/>
      </c>
      <c r="J112" s="89">
        <f>-SUMIFS('5月数据源'!$I:$I,'5月数据源'!$D:$D,$E112,'5月数据源'!$F:$F,"HK01")*J$185+SUMIFS('5月数据源'!$J:$J,'5月数据源'!$D:$D,$E112,'5月数据源'!$F:$F,"HK01")*J$185</f>
        <v/>
      </c>
      <c r="K112" s="89">
        <f>-SUMIFS('6月数据源'!$I:$I,'6月数据源'!$D:$D,$E112,'6月数据源'!$F:$F,"HK01")*K$185+SUMIFS('6月数据源'!$J:$J,'6月数据源'!$D:$D,$E112,'6月数据源'!$F:$F,"HK01")*K$185</f>
        <v/>
      </c>
      <c r="L112" s="89">
        <f>-SUMIFS('7月数据源'!$I:$I,'7月数据源'!$D:$D,$E112,'7月数据源'!$F:$F,"HK01")*L$185+SUMIFS('7月数据源'!$J:$J,'7月数据源'!$D:$D,$E112,'7月数据源'!$F:$F,"HK01")*L$185</f>
        <v/>
      </c>
      <c r="M112" s="89">
        <f>-SUMIFS('8月数据源'!$I:$I,'8月数据源'!$D:$D,$E112,'8月数据源'!$F:$F,"HK01")*M$185+SUMIFS('8月数据源'!$J:$J,'8月数据源'!$D:$D,$E112,'8月数据源'!$F:$F,"HK01")*M$185</f>
        <v/>
      </c>
      <c r="N112" s="89">
        <f>-SUMIFS('9月数据源'!$I:$I,'9月数据源'!$D:$D,$E112,'9月数据源'!$F:$F,"HK01")*N$185+SUMIFS('9月数据源'!$J:$J,'9月数据源'!$D:$D,$E112,'9月数据源'!$F:$F,"HK01")*N$185</f>
        <v/>
      </c>
      <c r="O112" s="89">
        <f>-SUMIFS('10月数据源'!$I:$I,'10月数据源'!$D:$D,$E112,'10月数据源'!$F:$F,"HK01")*O$185+SUMIFS('10月数据源'!$J:$J,'10月数据源'!$D:$D,$E112,'10月数据源'!$F:$F,"HK01")*O$185</f>
        <v/>
      </c>
      <c r="P112" s="89">
        <f>-SUMIFS('11月数据源'!$I:$I,'11月数据源'!$D:$D,$E112,'11月数据源'!$F:$F,"HK01")*P$185+SUMIFS('11月数据源'!$J:$J,'11月数据源'!$D:$D,$E112,'11月数据源'!$F:$F,"HK01")*P$185</f>
        <v/>
      </c>
      <c r="Q112" s="89">
        <f>-SUMIFS('12月数据源'!$I:$I,'12月数据源'!$D:$D,$E112,'12月数据源'!$F:$F,"HK01")*Q$185+SUMIFS('12月数据源'!$J:$J,'12月数据源'!$D:$D,$E112,'12月数据源'!$F:$F,"HK01")*Q$185</f>
        <v/>
      </c>
    </row>
    <row r="113" s="83">
      <c r="A113" s="5" t="inlineStr">
        <is>
          <t>销售费用</t>
        </is>
      </c>
      <c r="B113" s="6" t="inlineStr">
        <is>
          <t>投放转化</t>
        </is>
      </c>
      <c r="D113" s="5" t="inlineStr">
        <is>
          <t>京东平台投放充值</t>
        </is>
      </c>
      <c r="E113" s="6" t="inlineStr">
        <is>
          <t>Q2003</t>
        </is>
      </c>
      <c r="F113" s="89">
        <f>-SUMIFS('1月数据源'!$I:$I,'1月数据源'!$D:$D,$E113,'1月数据源'!$F:$F,"HK01")*F$185+SUMIFS('1月数据源'!$J:$J,'1月数据源'!$D:$D,$E113,'1月数据源'!$F:$F,"HK01")*F$185</f>
        <v/>
      </c>
      <c r="G113" s="89">
        <f>-SUMIFS('2月数据源'!$I:$I,'2月数据源'!$D:$D,$E113,'2月数据源'!$F:$F,"HK01")*G$185+SUMIFS('2月数据源'!$J:$J,'2月数据源'!$D:$D,$E113,'2月数据源'!$F:$F,"HK01")*G$185</f>
        <v/>
      </c>
      <c r="H113" s="89">
        <f>-SUMIFS('3月数据源'!$I:$I,'3月数据源'!$D:$D,$E113,'3月数据源'!$F:$F,"HK01")*H$185+SUMIFS('3月数据源'!$J:$J,'3月数据源'!$D:$D,$E113,'3月数据源'!$F:$F,"HK01")*H$185</f>
        <v/>
      </c>
      <c r="I113" s="89">
        <f>-SUMIFS('4月数据源'!$I:$I,'4月数据源'!$D:$D,$E113,'4月数据源'!$F:$F,"HK01")*I$185+SUMIFS('4月数据源'!$J:$J,'4月数据源'!$D:$D,$E113,'4月数据源'!$F:$F,"HK01")*I$185</f>
        <v/>
      </c>
      <c r="J113" s="89">
        <f>-SUMIFS('5月数据源'!$I:$I,'5月数据源'!$D:$D,$E113,'5月数据源'!$F:$F,"HK01")*J$185+SUMIFS('5月数据源'!$J:$J,'5月数据源'!$D:$D,$E113,'5月数据源'!$F:$F,"HK01")*J$185</f>
        <v/>
      </c>
      <c r="K113" s="89">
        <f>-SUMIFS('6月数据源'!$I:$I,'6月数据源'!$D:$D,$E113,'6月数据源'!$F:$F,"HK01")*K$185+SUMIFS('6月数据源'!$J:$J,'6月数据源'!$D:$D,$E113,'6月数据源'!$F:$F,"HK01")*K$185</f>
        <v/>
      </c>
      <c r="L113" s="89">
        <f>-SUMIFS('7月数据源'!$I:$I,'7月数据源'!$D:$D,$E113,'7月数据源'!$F:$F,"HK01")*L$185+SUMIFS('7月数据源'!$J:$J,'7月数据源'!$D:$D,$E113,'7月数据源'!$F:$F,"HK01")*L$185</f>
        <v/>
      </c>
      <c r="M113" s="89">
        <f>-SUMIFS('8月数据源'!$I:$I,'8月数据源'!$D:$D,$E113,'8月数据源'!$F:$F,"HK01")*M$185+SUMIFS('8月数据源'!$J:$J,'8月数据源'!$D:$D,$E113,'8月数据源'!$F:$F,"HK01")*M$185</f>
        <v/>
      </c>
      <c r="N113" s="89">
        <f>-SUMIFS('9月数据源'!$I:$I,'9月数据源'!$D:$D,$E113,'9月数据源'!$F:$F,"HK01")*N$185+SUMIFS('9月数据源'!$J:$J,'9月数据源'!$D:$D,$E113,'9月数据源'!$F:$F,"HK01")*N$185</f>
        <v/>
      </c>
      <c r="O113" s="89">
        <f>-SUMIFS('10月数据源'!$I:$I,'10月数据源'!$D:$D,$E113,'10月数据源'!$F:$F,"HK01")*O$185+SUMIFS('10月数据源'!$J:$J,'10月数据源'!$D:$D,$E113,'10月数据源'!$F:$F,"HK01")*O$185</f>
        <v/>
      </c>
      <c r="P113" s="89">
        <f>-SUMIFS('11月数据源'!$I:$I,'11月数据源'!$D:$D,$E113,'11月数据源'!$F:$F,"HK01")*P$185+SUMIFS('11月数据源'!$J:$J,'11月数据源'!$D:$D,$E113,'11月数据源'!$F:$F,"HK01")*P$185</f>
        <v/>
      </c>
      <c r="Q113" s="89">
        <f>-SUMIFS('12月数据源'!$I:$I,'12月数据源'!$D:$D,$E113,'12月数据源'!$F:$F,"HK01")*Q$185+SUMIFS('12月数据源'!$J:$J,'12月数据源'!$D:$D,$E113,'12月数据源'!$F:$F,"HK01")*Q$185</f>
        <v/>
      </c>
    </row>
    <row r="114" s="83">
      <c r="A114" s="5" t="inlineStr">
        <is>
          <t>销售费用</t>
        </is>
      </c>
      <c r="B114" s="6" t="inlineStr">
        <is>
          <t>投放转化</t>
        </is>
      </c>
      <c r="D114" s="5" t="inlineStr">
        <is>
          <t>视频号投放充值</t>
        </is>
      </c>
      <c r="E114" s="6" t="inlineStr">
        <is>
          <t>Q2004</t>
        </is>
      </c>
      <c r="F114" s="89">
        <f>-SUMIFS('1月数据源'!$I:$I,'1月数据源'!$D:$D,$E114,'1月数据源'!$F:$F,"HK01")*F$185+SUMIFS('1月数据源'!$J:$J,'1月数据源'!$D:$D,$E114,'1月数据源'!$F:$F,"HK01")*F$185</f>
        <v/>
      </c>
      <c r="G114" s="89">
        <f>-SUMIFS('2月数据源'!$I:$I,'2月数据源'!$D:$D,$E114,'2月数据源'!$F:$F,"HK01")*G$185+SUMIFS('2月数据源'!$J:$J,'2月数据源'!$D:$D,$E114,'2月数据源'!$F:$F,"HK01")*G$185</f>
        <v/>
      </c>
      <c r="H114" s="89">
        <f>-SUMIFS('3月数据源'!$I:$I,'3月数据源'!$D:$D,$E114,'3月数据源'!$F:$F,"HK01")*H$185+SUMIFS('3月数据源'!$J:$J,'3月数据源'!$D:$D,$E114,'3月数据源'!$F:$F,"HK01")*H$185</f>
        <v/>
      </c>
      <c r="I114" s="89">
        <f>-SUMIFS('4月数据源'!$I:$I,'4月数据源'!$D:$D,$E114,'4月数据源'!$F:$F,"HK01")*I$185+SUMIFS('4月数据源'!$J:$J,'4月数据源'!$D:$D,$E114,'4月数据源'!$F:$F,"HK01")*I$185</f>
        <v/>
      </c>
      <c r="J114" s="89">
        <f>-SUMIFS('5月数据源'!$I:$I,'5月数据源'!$D:$D,$E114,'5月数据源'!$F:$F,"HK01")*J$185+SUMIFS('5月数据源'!$J:$J,'5月数据源'!$D:$D,$E114,'5月数据源'!$F:$F,"HK01")*J$185</f>
        <v/>
      </c>
      <c r="K114" s="89">
        <f>-SUMIFS('6月数据源'!$I:$I,'6月数据源'!$D:$D,$E114,'6月数据源'!$F:$F,"HK01")*K$185+SUMIFS('6月数据源'!$J:$J,'6月数据源'!$D:$D,$E114,'6月数据源'!$F:$F,"HK01")*K$185</f>
        <v/>
      </c>
      <c r="L114" s="89">
        <f>-SUMIFS('7月数据源'!$I:$I,'7月数据源'!$D:$D,$E114,'7月数据源'!$F:$F,"HK01")*L$185+SUMIFS('7月数据源'!$J:$J,'7月数据源'!$D:$D,$E114,'7月数据源'!$F:$F,"HK01")*L$185</f>
        <v/>
      </c>
      <c r="M114" s="89">
        <f>-SUMIFS('8月数据源'!$I:$I,'8月数据源'!$D:$D,$E114,'8月数据源'!$F:$F,"HK01")*M$185+SUMIFS('8月数据源'!$J:$J,'8月数据源'!$D:$D,$E114,'8月数据源'!$F:$F,"HK01")*M$185</f>
        <v/>
      </c>
      <c r="N114" s="89">
        <f>-SUMIFS('9月数据源'!$I:$I,'9月数据源'!$D:$D,$E114,'9月数据源'!$F:$F,"HK01")*N$185+SUMIFS('9月数据源'!$J:$J,'9月数据源'!$D:$D,$E114,'9月数据源'!$F:$F,"HK01")*N$185</f>
        <v/>
      </c>
      <c r="O114" s="89">
        <f>-SUMIFS('10月数据源'!$I:$I,'10月数据源'!$D:$D,$E114,'10月数据源'!$F:$F,"HK01")*O$185+SUMIFS('10月数据源'!$J:$J,'10月数据源'!$D:$D,$E114,'10月数据源'!$F:$F,"HK01")*O$185</f>
        <v/>
      </c>
      <c r="P114" s="89">
        <f>-SUMIFS('11月数据源'!$I:$I,'11月数据源'!$D:$D,$E114,'11月数据源'!$F:$F,"HK01")*P$185+SUMIFS('11月数据源'!$J:$J,'11月数据源'!$D:$D,$E114,'11月数据源'!$F:$F,"HK01")*P$185</f>
        <v/>
      </c>
      <c r="Q114" s="89">
        <f>-SUMIFS('12月数据源'!$I:$I,'12月数据源'!$D:$D,$E114,'12月数据源'!$F:$F,"HK01")*Q$185+SUMIFS('12月数据源'!$J:$J,'12月数据源'!$D:$D,$E114,'12月数据源'!$F:$F,"HK01")*Q$185</f>
        <v/>
      </c>
    </row>
    <row r="115" s="83">
      <c r="A115" s="5" t="inlineStr">
        <is>
          <t>销售费用</t>
        </is>
      </c>
      <c r="B115" s="6" t="inlineStr">
        <is>
          <t>投放转化</t>
        </is>
      </c>
      <c r="D115" s="5" t="inlineStr">
        <is>
          <t>天猫平台投放充值</t>
        </is>
      </c>
      <c r="E115" s="6" t="inlineStr">
        <is>
          <t>Q2005</t>
        </is>
      </c>
      <c r="F115" s="89">
        <f>-SUMIFS('1月数据源'!$I:$I,'1月数据源'!$D:$D,$E115,'1月数据源'!$F:$F,"HK01")*F$185+SUMIFS('1月数据源'!$J:$J,'1月数据源'!$D:$D,$E115,'1月数据源'!$F:$F,"HK01")*F$185</f>
        <v/>
      </c>
      <c r="G115" s="89">
        <f>-SUMIFS('2月数据源'!$I:$I,'2月数据源'!$D:$D,$E115,'2月数据源'!$F:$F,"HK01")*G$185+SUMIFS('2月数据源'!$J:$J,'2月数据源'!$D:$D,$E115,'2月数据源'!$F:$F,"HK01")*G$185</f>
        <v/>
      </c>
      <c r="H115" s="89">
        <f>-SUMIFS('3月数据源'!$I:$I,'3月数据源'!$D:$D,$E115,'3月数据源'!$F:$F,"HK01")*H$185+SUMIFS('3月数据源'!$J:$J,'3月数据源'!$D:$D,$E115,'3月数据源'!$F:$F,"HK01")*H$185</f>
        <v/>
      </c>
      <c r="I115" s="89">
        <f>-SUMIFS('4月数据源'!$I:$I,'4月数据源'!$D:$D,$E115,'4月数据源'!$F:$F,"HK01")*I$185+SUMIFS('4月数据源'!$J:$J,'4月数据源'!$D:$D,$E115,'4月数据源'!$F:$F,"HK01")*I$185</f>
        <v/>
      </c>
      <c r="J115" s="89">
        <f>-SUMIFS('5月数据源'!$I:$I,'5月数据源'!$D:$D,$E115,'5月数据源'!$F:$F,"HK01")*J$185+SUMIFS('5月数据源'!$J:$J,'5月数据源'!$D:$D,$E115,'5月数据源'!$F:$F,"HK01")*J$185</f>
        <v/>
      </c>
      <c r="K115" s="89">
        <f>-SUMIFS('6月数据源'!$I:$I,'6月数据源'!$D:$D,$E115,'6月数据源'!$F:$F,"HK01")*K$185+SUMIFS('6月数据源'!$J:$J,'6月数据源'!$D:$D,$E115,'6月数据源'!$F:$F,"HK01")*K$185</f>
        <v/>
      </c>
      <c r="L115" s="89">
        <f>-SUMIFS('7月数据源'!$I:$I,'7月数据源'!$D:$D,$E115,'7月数据源'!$F:$F,"HK01")*L$185+SUMIFS('7月数据源'!$J:$J,'7月数据源'!$D:$D,$E115,'7月数据源'!$F:$F,"HK01")*L$185</f>
        <v/>
      </c>
      <c r="M115" s="89">
        <f>-SUMIFS('8月数据源'!$I:$I,'8月数据源'!$D:$D,$E115,'8月数据源'!$F:$F,"HK01")*M$185+SUMIFS('8月数据源'!$J:$J,'8月数据源'!$D:$D,$E115,'8月数据源'!$F:$F,"HK01")*M$185</f>
        <v/>
      </c>
      <c r="N115" s="89">
        <f>-SUMIFS('9月数据源'!$I:$I,'9月数据源'!$D:$D,$E115,'9月数据源'!$F:$F,"HK01")*N$185+SUMIFS('9月数据源'!$J:$J,'9月数据源'!$D:$D,$E115,'9月数据源'!$F:$F,"HK01")*N$185</f>
        <v/>
      </c>
      <c r="O115" s="89">
        <f>-SUMIFS('10月数据源'!$I:$I,'10月数据源'!$D:$D,$E115,'10月数据源'!$F:$F,"HK01")*O$185+SUMIFS('10月数据源'!$J:$J,'10月数据源'!$D:$D,$E115,'10月数据源'!$F:$F,"HK01")*O$185</f>
        <v/>
      </c>
      <c r="P115" s="89">
        <f>-SUMIFS('11月数据源'!$I:$I,'11月数据源'!$D:$D,$E115,'11月数据源'!$F:$F,"HK01")*P$185+SUMIFS('11月数据源'!$J:$J,'11月数据源'!$D:$D,$E115,'11月数据源'!$F:$F,"HK01")*P$185</f>
        <v/>
      </c>
      <c r="Q115" s="89">
        <f>-SUMIFS('12月数据源'!$I:$I,'12月数据源'!$D:$D,$E115,'12月数据源'!$F:$F,"HK01")*Q$185+SUMIFS('12月数据源'!$J:$J,'12月数据源'!$D:$D,$E115,'12月数据源'!$F:$F,"HK01")*Q$185</f>
        <v/>
      </c>
    </row>
    <row r="116" s="83">
      <c r="A116" s="5" t="inlineStr">
        <is>
          <t>销售费用</t>
        </is>
      </c>
      <c r="B116" s="6" t="inlineStr">
        <is>
          <t>直播间运营</t>
        </is>
      </c>
      <c r="C116" s="6" t="inlineStr">
        <is>
          <t>直播间运营</t>
        </is>
      </c>
      <c r="D116" s="5" t="inlineStr">
        <is>
          <t>DP-有熊团队服务费</t>
        </is>
      </c>
      <c r="E116" s="6" t="inlineStr">
        <is>
          <t>Q2101</t>
        </is>
      </c>
      <c r="F116" s="89">
        <f>-SUMIFS('1月数据源'!$I:$I,'1月数据源'!$D:$D,$E116,'1月数据源'!$F:$F,"HK01")*F$185+SUMIFS('1月数据源'!$J:$J,'1月数据源'!$D:$D,$E116,'1月数据源'!$F:$F,"HK01")*F$185</f>
        <v/>
      </c>
      <c r="G116" s="89">
        <f>-SUMIFS('2月数据源'!$I:$I,'2月数据源'!$D:$D,$E116,'2月数据源'!$F:$F,"HK01")*G$185+SUMIFS('2月数据源'!$J:$J,'2月数据源'!$D:$D,$E116,'2月数据源'!$F:$F,"HK01")*G$185</f>
        <v/>
      </c>
      <c r="H116" s="89">
        <f>-SUMIFS('3月数据源'!$I:$I,'3月数据源'!$D:$D,$E116,'3月数据源'!$F:$F,"HK01")*H$185+SUMIFS('3月数据源'!$J:$J,'3月数据源'!$D:$D,$E116,'3月数据源'!$F:$F,"HK01")*H$185</f>
        <v/>
      </c>
      <c r="I116" s="89">
        <f>-SUMIFS('4月数据源'!$I:$I,'4月数据源'!$D:$D,$E116,'4月数据源'!$F:$F,"HK01")*I$185+SUMIFS('4月数据源'!$J:$J,'4月数据源'!$D:$D,$E116,'4月数据源'!$F:$F,"HK01")*I$185</f>
        <v/>
      </c>
      <c r="J116" s="89">
        <f>-SUMIFS('5月数据源'!$I:$I,'5月数据源'!$D:$D,$E116,'5月数据源'!$F:$F,"HK01")*J$185+SUMIFS('5月数据源'!$J:$J,'5月数据源'!$D:$D,$E116,'5月数据源'!$F:$F,"HK01")*J$185</f>
        <v/>
      </c>
      <c r="K116" s="89">
        <f>-SUMIFS('6月数据源'!$I:$I,'6月数据源'!$D:$D,$E116,'6月数据源'!$F:$F,"HK01")*K$185+SUMIFS('6月数据源'!$J:$J,'6月数据源'!$D:$D,$E116,'6月数据源'!$F:$F,"HK01")*K$185</f>
        <v/>
      </c>
      <c r="L116" s="89">
        <f>-SUMIFS('7月数据源'!$I:$I,'7月数据源'!$D:$D,$E116,'7月数据源'!$F:$F,"HK01")*L$185+SUMIFS('7月数据源'!$J:$J,'7月数据源'!$D:$D,$E116,'7月数据源'!$F:$F,"HK01")*L$185</f>
        <v/>
      </c>
      <c r="M116" s="89">
        <f>-SUMIFS('8月数据源'!$I:$I,'8月数据源'!$D:$D,$E116,'8月数据源'!$F:$F,"HK01")*M$185+SUMIFS('8月数据源'!$J:$J,'8月数据源'!$D:$D,$E116,'8月数据源'!$F:$F,"HK01")*M$185</f>
        <v/>
      </c>
      <c r="N116" s="89">
        <f>-SUMIFS('9月数据源'!$I:$I,'9月数据源'!$D:$D,$E116,'9月数据源'!$F:$F,"HK01")*N$185+SUMIFS('9月数据源'!$J:$J,'9月数据源'!$D:$D,$E116,'9月数据源'!$F:$F,"HK01")*N$185</f>
        <v/>
      </c>
      <c r="O116" s="89">
        <f>-SUMIFS('10月数据源'!$I:$I,'10月数据源'!$D:$D,$E116,'10月数据源'!$F:$F,"HK01")*O$185+SUMIFS('10月数据源'!$J:$J,'10月数据源'!$D:$D,$E116,'10月数据源'!$F:$F,"HK01")*O$185</f>
        <v/>
      </c>
      <c r="P116" s="89">
        <f>-SUMIFS('11月数据源'!$I:$I,'11月数据源'!$D:$D,$E116,'11月数据源'!$F:$F,"HK01")*P$185+SUMIFS('11月数据源'!$J:$J,'11月数据源'!$D:$D,$E116,'11月数据源'!$F:$F,"HK01")*P$185</f>
        <v/>
      </c>
      <c r="Q116" s="89">
        <f>-SUMIFS('12月数据源'!$I:$I,'12月数据源'!$D:$D,$E116,'12月数据源'!$F:$F,"HK01")*Q$185+SUMIFS('12月数据源'!$J:$J,'12月数据源'!$D:$D,$E116,'12月数据源'!$F:$F,"HK01")*Q$185</f>
        <v/>
      </c>
    </row>
    <row r="117" s="83">
      <c r="A117" s="5" t="inlineStr">
        <is>
          <t>销售费用</t>
        </is>
      </c>
      <c r="B117" s="6" t="inlineStr">
        <is>
          <t>直播间运营</t>
        </is>
      </c>
      <c r="D117" s="5" t="inlineStr">
        <is>
          <t>DP-黑哥团队服务费</t>
        </is>
      </c>
      <c r="E117" s="6" t="inlineStr">
        <is>
          <t>Q2102</t>
        </is>
      </c>
      <c r="F117" s="89">
        <f>-SUMIFS('1月数据源'!$I:$I,'1月数据源'!$D:$D,$E117,'1月数据源'!$F:$F,"HK01")*F$185+SUMIFS('1月数据源'!$J:$J,'1月数据源'!$D:$D,$E117,'1月数据源'!$F:$F,"HK01")*F$185</f>
        <v/>
      </c>
      <c r="G117" s="89">
        <f>-SUMIFS('2月数据源'!$I:$I,'2月数据源'!$D:$D,$E117,'2月数据源'!$F:$F,"HK01")*G$185+SUMIFS('2月数据源'!$J:$J,'2月数据源'!$D:$D,$E117,'2月数据源'!$F:$F,"HK01")*G$185</f>
        <v/>
      </c>
      <c r="H117" s="89">
        <f>-SUMIFS('3月数据源'!$I:$I,'3月数据源'!$D:$D,$E117,'3月数据源'!$F:$F,"HK01")*H$185+SUMIFS('3月数据源'!$J:$J,'3月数据源'!$D:$D,$E117,'3月数据源'!$F:$F,"HK01")*H$185</f>
        <v/>
      </c>
      <c r="I117" s="89">
        <f>-SUMIFS('4月数据源'!$I:$I,'4月数据源'!$D:$D,$E117,'4月数据源'!$F:$F,"HK01")*I$185+SUMIFS('4月数据源'!$J:$J,'4月数据源'!$D:$D,$E117,'4月数据源'!$F:$F,"HK01")*I$185</f>
        <v/>
      </c>
      <c r="J117" s="89">
        <f>-SUMIFS('5月数据源'!$I:$I,'5月数据源'!$D:$D,$E117,'5月数据源'!$F:$F,"HK01")*J$185+SUMIFS('5月数据源'!$J:$J,'5月数据源'!$D:$D,$E117,'5月数据源'!$F:$F,"HK01")*J$185</f>
        <v/>
      </c>
      <c r="K117" s="89">
        <f>-SUMIFS('6月数据源'!$I:$I,'6月数据源'!$D:$D,$E117,'6月数据源'!$F:$F,"HK01")*K$185+SUMIFS('6月数据源'!$J:$J,'6月数据源'!$D:$D,$E117,'6月数据源'!$F:$F,"HK01")*K$185</f>
        <v/>
      </c>
      <c r="L117" s="89">
        <f>-SUMIFS('7月数据源'!$I:$I,'7月数据源'!$D:$D,$E117,'7月数据源'!$F:$F,"HK01")*L$185+SUMIFS('7月数据源'!$J:$J,'7月数据源'!$D:$D,$E117,'7月数据源'!$F:$F,"HK01")*L$185</f>
        <v/>
      </c>
      <c r="M117" s="89">
        <f>-SUMIFS('8月数据源'!$I:$I,'8月数据源'!$D:$D,$E117,'8月数据源'!$F:$F,"HK01")*M$185+SUMIFS('8月数据源'!$J:$J,'8月数据源'!$D:$D,$E117,'8月数据源'!$F:$F,"HK01")*M$185</f>
        <v/>
      </c>
      <c r="N117" s="89">
        <f>-SUMIFS('9月数据源'!$I:$I,'9月数据源'!$D:$D,$E117,'9月数据源'!$F:$F,"HK01")*N$185+SUMIFS('9月数据源'!$J:$J,'9月数据源'!$D:$D,$E117,'9月数据源'!$F:$F,"HK01")*N$185</f>
        <v/>
      </c>
      <c r="O117" s="89">
        <f>-SUMIFS('10月数据源'!$I:$I,'10月数据源'!$D:$D,$E117,'10月数据源'!$F:$F,"HK01")*O$185+SUMIFS('10月数据源'!$J:$J,'10月数据源'!$D:$D,$E117,'10月数据源'!$F:$F,"HK01")*O$185</f>
        <v/>
      </c>
      <c r="P117" s="89">
        <f>-SUMIFS('11月数据源'!$I:$I,'11月数据源'!$D:$D,$E117,'11月数据源'!$F:$F,"HK01")*P$185+SUMIFS('11月数据源'!$J:$J,'11月数据源'!$D:$D,$E117,'11月数据源'!$F:$F,"HK01")*P$185</f>
        <v/>
      </c>
      <c r="Q117" s="89">
        <f>-SUMIFS('12月数据源'!$I:$I,'12月数据源'!$D:$D,$E117,'12月数据源'!$F:$F,"HK01")*Q$185+SUMIFS('12月数据源'!$J:$J,'12月数据源'!$D:$D,$E117,'12月数据源'!$F:$F,"HK01")*Q$185</f>
        <v/>
      </c>
    </row>
    <row r="118" s="83">
      <c r="A118" s="5" t="inlineStr">
        <is>
          <t>销售费用</t>
        </is>
      </c>
      <c r="B118" s="6" t="inlineStr">
        <is>
          <t>直播间运营</t>
        </is>
      </c>
      <c r="D118" s="5" t="inlineStr">
        <is>
          <t>DP-小太阳团队服务费</t>
        </is>
      </c>
      <c r="E118" s="6" t="inlineStr">
        <is>
          <t>Q2103</t>
        </is>
      </c>
      <c r="F118" s="89">
        <f>-SUMIFS('1月数据源'!$I:$I,'1月数据源'!$D:$D,$E118,'1月数据源'!$F:$F,"HK01")*F$185+SUMIFS('1月数据源'!$J:$J,'1月数据源'!$D:$D,$E118,'1月数据源'!$F:$F,"HK01")*F$185</f>
        <v/>
      </c>
      <c r="G118" s="89">
        <f>-SUMIFS('2月数据源'!$I:$I,'2月数据源'!$D:$D,$E118,'2月数据源'!$F:$F,"HK01")*G$185+SUMIFS('2月数据源'!$J:$J,'2月数据源'!$D:$D,$E118,'2月数据源'!$F:$F,"HK01")*G$185</f>
        <v/>
      </c>
      <c r="H118" s="89">
        <f>-SUMIFS('3月数据源'!$I:$I,'3月数据源'!$D:$D,$E118,'3月数据源'!$F:$F,"HK01")*H$185+SUMIFS('3月数据源'!$J:$J,'3月数据源'!$D:$D,$E118,'3月数据源'!$F:$F,"HK01")*H$185</f>
        <v/>
      </c>
      <c r="I118" s="89">
        <f>-SUMIFS('4月数据源'!$I:$I,'4月数据源'!$D:$D,$E118,'4月数据源'!$F:$F,"HK01")*I$185+SUMIFS('4月数据源'!$J:$J,'4月数据源'!$D:$D,$E118,'4月数据源'!$F:$F,"HK01")*I$185</f>
        <v/>
      </c>
      <c r="J118" s="89">
        <f>-SUMIFS('5月数据源'!$I:$I,'5月数据源'!$D:$D,$E118,'5月数据源'!$F:$F,"HK01")*J$185+SUMIFS('5月数据源'!$J:$J,'5月数据源'!$D:$D,$E118,'5月数据源'!$F:$F,"HK01")*J$185</f>
        <v/>
      </c>
      <c r="K118" s="89">
        <f>-SUMIFS('6月数据源'!$I:$I,'6月数据源'!$D:$D,$E118,'6月数据源'!$F:$F,"HK01")*K$185+SUMIFS('6月数据源'!$J:$J,'6月数据源'!$D:$D,$E118,'6月数据源'!$F:$F,"HK01")*K$185</f>
        <v/>
      </c>
      <c r="L118" s="89">
        <f>-SUMIFS('7月数据源'!$I:$I,'7月数据源'!$D:$D,$E118,'7月数据源'!$F:$F,"HK01")*L$185+SUMIFS('7月数据源'!$J:$J,'7月数据源'!$D:$D,$E118,'7月数据源'!$F:$F,"HK01")*L$185</f>
        <v/>
      </c>
      <c r="M118" s="89">
        <f>-SUMIFS('8月数据源'!$I:$I,'8月数据源'!$D:$D,$E118,'8月数据源'!$F:$F,"HK01")*M$185+SUMIFS('8月数据源'!$J:$J,'8月数据源'!$D:$D,$E118,'8月数据源'!$F:$F,"HK01")*M$185</f>
        <v/>
      </c>
      <c r="N118" s="89">
        <f>-SUMIFS('9月数据源'!$I:$I,'9月数据源'!$D:$D,$E118,'9月数据源'!$F:$F,"HK01")*N$185+SUMIFS('9月数据源'!$J:$J,'9月数据源'!$D:$D,$E118,'9月数据源'!$F:$F,"HK01")*N$185</f>
        <v/>
      </c>
      <c r="O118" s="89">
        <f>-SUMIFS('10月数据源'!$I:$I,'10月数据源'!$D:$D,$E118,'10月数据源'!$F:$F,"HK01")*O$185+SUMIFS('10月数据源'!$J:$J,'10月数据源'!$D:$D,$E118,'10月数据源'!$F:$F,"HK01")*O$185</f>
        <v/>
      </c>
      <c r="P118" s="89">
        <f>-SUMIFS('11月数据源'!$I:$I,'11月数据源'!$D:$D,$E118,'11月数据源'!$F:$F,"HK01")*P$185+SUMIFS('11月数据源'!$J:$J,'11月数据源'!$D:$D,$E118,'11月数据源'!$F:$F,"HK01")*P$185</f>
        <v/>
      </c>
      <c r="Q118" s="89">
        <f>-SUMIFS('12月数据源'!$I:$I,'12月数据源'!$D:$D,$E118,'12月数据源'!$F:$F,"HK01")*Q$185+SUMIFS('12月数据源'!$J:$J,'12月数据源'!$D:$D,$E118,'12月数据源'!$F:$F,"HK01")*Q$185</f>
        <v/>
      </c>
    </row>
    <row r="119" s="83">
      <c r="A119" s="5" t="inlineStr">
        <is>
          <t>销售费用</t>
        </is>
      </c>
      <c r="B119" s="6" t="inlineStr">
        <is>
          <t>直播间运营</t>
        </is>
      </c>
      <c r="D119" s="5" t="inlineStr">
        <is>
          <t>直播间搭建费用</t>
        </is>
      </c>
      <c r="E119" s="6" t="inlineStr">
        <is>
          <t>Q2104</t>
        </is>
      </c>
      <c r="F119" s="89">
        <f>-SUMIFS('1月数据源'!$I:$I,'1月数据源'!$D:$D,$E119,'1月数据源'!$F:$F,"HK01")*F$185+SUMIFS('1月数据源'!$J:$J,'1月数据源'!$D:$D,$E119,'1月数据源'!$F:$F,"HK01")*F$185</f>
        <v/>
      </c>
      <c r="G119" s="89">
        <f>-SUMIFS('2月数据源'!$I:$I,'2月数据源'!$D:$D,$E119,'2月数据源'!$F:$F,"HK01")*G$185+SUMIFS('2月数据源'!$J:$J,'2月数据源'!$D:$D,$E119,'2月数据源'!$F:$F,"HK01")*G$185</f>
        <v/>
      </c>
      <c r="H119" s="89">
        <f>-SUMIFS('3月数据源'!$I:$I,'3月数据源'!$D:$D,$E119,'3月数据源'!$F:$F,"HK01")*H$185+SUMIFS('3月数据源'!$J:$J,'3月数据源'!$D:$D,$E119,'3月数据源'!$F:$F,"HK01")*H$185</f>
        <v/>
      </c>
      <c r="I119" s="89">
        <f>-SUMIFS('4月数据源'!$I:$I,'4月数据源'!$D:$D,$E119,'4月数据源'!$F:$F,"HK01")*I$185+SUMIFS('4月数据源'!$J:$J,'4月数据源'!$D:$D,$E119,'4月数据源'!$F:$F,"HK01")*I$185</f>
        <v/>
      </c>
      <c r="J119" s="89">
        <f>-SUMIFS('5月数据源'!$I:$I,'5月数据源'!$D:$D,$E119,'5月数据源'!$F:$F,"HK01")*J$185+SUMIFS('5月数据源'!$J:$J,'5月数据源'!$D:$D,$E119,'5月数据源'!$F:$F,"HK01")*J$185</f>
        <v/>
      </c>
      <c r="K119" s="89">
        <f>-SUMIFS('6月数据源'!$I:$I,'6月数据源'!$D:$D,$E119,'6月数据源'!$F:$F,"HK01")*K$185+SUMIFS('6月数据源'!$J:$J,'6月数据源'!$D:$D,$E119,'6月数据源'!$F:$F,"HK01")*K$185</f>
        <v/>
      </c>
      <c r="L119" s="89">
        <f>-SUMIFS('7月数据源'!$I:$I,'7月数据源'!$D:$D,$E119,'7月数据源'!$F:$F,"HK01")*L$185+SUMIFS('7月数据源'!$J:$J,'7月数据源'!$D:$D,$E119,'7月数据源'!$F:$F,"HK01")*L$185</f>
        <v/>
      </c>
      <c r="M119" s="89">
        <f>-SUMIFS('8月数据源'!$I:$I,'8月数据源'!$D:$D,$E119,'8月数据源'!$F:$F,"HK01")*M$185+SUMIFS('8月数据源'!$J:$J,'8月数据源'!$D:$D,$E119,'8月数据源'!$F:$F,"HK01")*M$185</f>
        <v/>
      </c>
      <c r="N119" s="89">
        <f>-SUMIFS('9月数据源'!$I:$I,'9月数据源'!$D:$D,$E119,'9月数据源'!$F:$F,"HK01")*N$185+SUMIFS('9月数据源'!$J:$J,'9月数据源'!$D:$D,$E119,'9月数据源'!$F:$F,"HK01")*N$185</f>
        <v/>
      </c>
      <c r="O119" s="89">
        <f>-SUMIFS('10月数据源'!$I:$I,'10月数据源'!$D:$D,$E119,'10月数据源'!$F:$F,"HK01")*O$185+SUMIFS('10月数据源'!$J:$J,'10月数据源'!$D:$D,$E119,'10月数据源'!$F:$F,"HK01")*O$185</f>
        <v/>
      </c>
      <c r="P119" s="89">
        <f>-SUMIFS('11月数据源'!$I:$I,'11月数据源'!$D:$D,$E119,'11月数据源'!$F:$F,"HK01")*P$185+SUMIFS('11月数据源'!$J:$J,'11月数据源'!$D:$D,$E119,'11月数据源'!$F:$F,"HK01")*P$185</f>
        <v/>
      </c>
      <c r="Q119" s="89">
        <f>-SUMIFS('12月数据源'!$I:$I,'12月数据源'!$D:$D,$E119,'12月数据源'!$F:$F,"HK01")*Q$185+SUMIFS('12月数据源'!$J:$J,'12月数据源'!$D:$D,$E119,'12月数据源'!$F:$F,"HK01")*Q$185</f>
        <v/>
      </c>
    </row>
    <row r="120" s="83">
      <c r="A120" s="5" t="inlineStr">
        <is>
          <t>销售费用</t>
        </is>
      </c>
      <c r="B120" s="6" t="inlineStr">
        <is>
          <t>平台运营</t>
        </is>
      </c>
      <c r="C120" s="6" t="inlineStr">
        <is>
          <t>平台运营</t>
        </is>
      </c>
      <c r="D120" s="5" t="inlineStr">
        <is>
          <t>分期服务费</t>
        </is>
      </c>
      <c r="E120" s="6" t="inlineStr">
        <is>
          <t>Q2204</t>
        </is>
      </c>
      <c r="F120" s="89">
        <f>-SUMIFS('1月数据源'!$I:$I,'1月数据源'!$D:$D,$E120,'1月数据源'!$F:$F,"HK01")*F$185+SUMIFS('1月数据源'!$J:$J,'1月数据源'!$D:$D,$E120,'1月数据源'!$F:$F,"HK01")*F$185</f>
        <v/>
      </c>
      <c r="G120" s="89">
        <f>-SUMIFS('2月数据源'!$I:$I,'2月数据源'!$D:$D,$E120,'2月数据源'!$F:$F,"HK01")*G$185+SUMIFS('2月数据源'!$J:$J,'2月数据源'!$D:$D,$E120,'2月数据源'!$F:$F,"HK01")*G$185</f>
        <v/>
      </c>
      <c r="H120" s="89">
        <f>-SUMIFS('3月数据源'!$I:$I,'3月数据源'!$D:$D,$E120,'3月数据源'!$F:$F,"HK01")*H$185+SUMIFS('3月数据源'!$J:$J,'3月数据源'!$D:$D,$E120,'3月数据源'!$F:$F,"HK01")*H$185</f>
        <v/>
      </c>
      <c r="I120" s="89">
        <f>-SUMIFS('4月数据源'!$I:$I,'4月数据源'!$D:$D,$E120,'4月数据源'!$F:$F,"HK01")*I$185+SUMIFS('4月数据源'!$J:$J,'4月数据源'!$D:$D,$E120,'4月数据源'!$F:$F,"HK01")*I$185</f>
        <v/>
      </c>
      <c r="J120" s="89">
        <f>-SUMIFS('5月数据源'!$I:$I,'5月数据源'!$D:$D,$E120,'5月数据源'!$F:$F,"HK01")*J$185+SUMIFS('5月数据源'!$J:$J,'5月数据源'!$D:$D,$E120,'5月数据源'!$F:$F,"HK01")*J$185</f>
        <v/>
      </c>
      <c r="K120" s="89">
        <f>-SUMIFS('6月数据源'!$I:$I,'6月数据源'!$D:$D,$E120,'6月数据源'!$F:$F,"HK01")*K$185+SUMIFS('6月数据源'!$J:$J,'6月数据源'!$D:$D,$E120,'6月数据源'!$F:$F,"HK01")*K$185</f>
        <v/>
      </c>
      <c r="L120" s="89">
        <f>-SUMIFS('7月数据源'!$I:$I,'7月数据源'!$D:$D,$E120,'7月数据源'!$F:$F,"HK01")*L$185+SUMIFS('7月数据源'!$J:$J,'7月数据源'!$D:$D,$E120,'7月数据源'!$F:$F,"HK01")*L$185</f>
        <v/>
      </c>
      <c r="M120" s="89">
        <f>-SUMIFS('8月数据源'!$I:$I,'8月数据源'!$D:$D,$E120,'8月数据源'!$F:$F,"HK01")*M$185+SUMIFS('8月数据源'!$J:$J,'8月数据源'!$D:$D,$E120,'8月数据源'!$F:$F,"HK01")*M$185</f>
        <v/>
      </c>
      <c r="N120" s="89">
        <f>-SUMIFS('9月数据源'!$I:$I,'9月数据源'!$D:$D,$E120,'9月数据源'!$F:$F,"HK01")*N$185+SUMIFS('9月数据源'!$J:$J,'9月数据源'!$D:$D,$E120,'9月数据源'!$F:$F,"HK01")*N$185</f>
        <v/>
      </c>
      <c r="O120" s="89">
        <f>-SUMIFS('10月数据源'!$I:$I,'10月数据源'!$D:$D,$E120,'10月数据源'!$F:$F,"HK01")*O$185+SUMIFS('10月数据源'!$J:$J,'10月数据源'!$D:$D,$E120,'10月数据源'!$F:$F,"HK01")*O$185</f>
        <v/>
      </c>
      <c r="P120" s="89">
        <f>-SUMIFS('11月数据源'!$I:$I,'11月数据源'!$D:$D,$E120,'11月数据源'!$F:$F,"HK01")*P$185+SUMIFS('11月数据源'!$J:$J,'11月数据源'!$D:$D,$E120,'11月数据源'!$F:$F,"HK01")*P$185</f>
        <v/>
      </c>
      <c r="Q120" s="89">
        <f>-SUMIFS('12月数据源'!$I:$I,'12月数据源'!$D:$D,$E120,'12月数据源'!$F:$F,"HK01")*Q$185+SUMIFS('12月数据源'!$J:$J,'12月数据源'!$D:$D,$E120,'12月数据源'!$F:$F,"HK01")*Q$185</f>
        <v/>
      </c>
    </row>
    <row r="121" s="83">
      <c r="A121" s="5" t="inlineStr">
        <is>
          <t>销售费用</t>
        </is>
      </c>
      <c r="B121" s="6" t="inlineStr">
        <is>
          <t>平台运营</t>
        </is>
      </c>
      <c r="D121" s="5" t="inlineStr">
        <is>
          <t>平台服务费</t>
        </is>
      </c>
      <c r="E121" s="6" t="inlineStr">
        <is>
          <t>Q2201</t>
        </is>
      </c>
      <c r="F121" s="89">
        <f>-SUMIFS('1月数据源'!$I:$I,'1月数据源'!$D:$D,$E121,'1月数据源'!$F:$F,"HK01")*F$185+SUMIFS('1月数据源'!$J:$J,'1月数据源'!$D:$D,$E121,'1月数据源'!$F:$F,"HK01")*F$185</f>
        <v/>
      </c>
      <c r="G121" s="89">
        <f>-SUMIFS('2月数据源'!$I:$I,'2月数据源'!$D:$D,$E121,'2月数据源'!$F:$F,"HK01")*G$185+SUMIFS('2月数据源'!$J:$J,'2月数据源'!$D:$D,$E121,'2月数据源'!$F:$F,"HK01")*G$185</f>
        <v/>
      </c>
      <c r="H121" s="89">
        <f>-SUMIFS('3月数据源'!$I:$I,'3月数据源'!$D:$D,$E121,'3月数据源'!$F:$F,"HK01")*H$185+SUMIFS('3月数据源'!$J:$J,'3月数据源'!$D:$D,$E121,'3月数据源'!$F:$F,"HK01")*H$185</f>
        <v/>
      </c>
      <c r="I121" s="89">
        <f>-SUMIFS('4月数据源'!$I:$I,'4月数据源'!$D:$D,$E121,'4月数据源'!$F:$F,"HK01")*I$185+SUMIFS('4月数据源'!$J:$J,'4月数据源'!$D:$D,$E121,'4月数据源'!$F:$F,"HK01")*I$185</f>
        <v/>
      </c>
      <c r="J121" s="89">
        <f>-SUMIFS('5月数据源'!$I:$I,'5月数据源'!$D:$D,$E121,'5月数据源'!$F:$F,"HK01")*J$185+SUMIFS('5月数据源'!$J:$J,'5月数据源'!$D:$D,$E121,'5月数据源'!$F:$F,"HK01")*J$185</f>
        <v/>
      </c>
      <c r="K121" s="89">
        <f>-SUMIFS('6月数据源'!$I:$I,'6月数据源'!$D:$D,$E121,'6月数据源'!$F:$F,"HK01")*K$185+SUMIFS('6月数据源'!$J:$J,'6月数据源'!$D:$D,$E121,'6月数据源'!$F:$F,"HK01")*K$185</f>
        <v/>
      </c>
      <c r="L121" s="89">
        <f>-SUMIFS('7月数据源'!$I:$I,'7月数据源'!$D:$D,$E121,'7月数据源'!$F:$F,"HK01")*L$185+SUMIFS('7月数据源'!$J:$J,'7月数据源'!$D:$D,$E121,'7月数据源'!$F:$F,"HK01")*L$185</f>
        <v/>
      </c>
      <c r="M121" s="89">
        <f>-SUMIFS('8月数据源'!$I:$I,'8月数据源'!$D:$D,$E121,'8月数据源'!$F:$F,"HK01")*M$185+SUMIFS('8月数据源'!$J:$J,'8月数据源'!$D:$D,$E121,'8月数据源'!$F:$F,"HK01")*M$185</f>
        <v/>
      </c>
      <c r="N121" s="89">
        <f>-SUMIFS('9月数据源'!$I:$I,'9月数据源'!$D:$D,$E121,'9月数据源'!$F:$F,"HK01")*N$185+SUMIFS('9月数据源'!$J:$J,'9月数据源'!$D:$D,$E121,'9月数据源'!$F:$F,"HK01")*N$185</f>
        <v/>
      </c>
      <c r="O121" s="89">
        <f>-SUMIFS('10月数据源'!$I:$I,'10月数据源'!$D:$D,$E121,'10月数据源'!$F:$F,"HK01")*O$185+SUMIFS('10月数据源'!$J:$J,'10月数据源'!$D:$D,$E121,'10月数据源'!$F:$F,"HK01")*O$185</f>
        <v/>
      </c>
      <c r="P121" s="89">
        <f>-SUMIFS('11月数据源'!$I:$I,'11月数据源'!$D:$D,$E121,'11月数据源'!$F:$F,"HK01")*P$185+SUMIFS('11月数据源'!$J:$J,'11月数据源'!$D:$D,$E121,'11月数据源'!$F:$F,"HK01")*P$185</f>
        <v/>
      </c>
      <c r="Q121" s="89">
        <f>-SUMIFS('12月数据源'!$I:$I,'12月数据源'!$D:$D,$E121,'12月数据源'!$F:$F,"HK01")*Q$185+SUMIFS('12月数据源'!$J:$J,'12月数据源'!$D:$D,$E121,'12月数据源'!$F:$F,"HK01")*Q$185</f>
        <v/>
      </c>
    </row>
    <row r="122" s="83">
      <c r="A122" s="5" t="inlineStr">
        <is>
          <t>销售费用</t>
        </is>
      </c>
      <c r="B122" s="6" t="inlineStr">
        <is>
          <t>平台运营</t>
        </is>
      </c>
      <c r="D122" s="5" t="inlineStr">
        <is>
          <t>权益保险</t>
        </is>
      </c>
      <c r="E122" s="6" t="inlineStr">
        <is>
          <t>Q2205</t>
        </is>
      </c>
      <c r="F122" s="89">
        <f>-SUMIFS('1月数据源'!$I:$I,'1月数据源'!$D:$D,$E122,'1月数据源'!$F:$F,"HK01")*F$185+SUMIFS('1月数据源'!$J:$J,'1月数据源'!$D:$D,$E122,'1月数据源'!$F:$F,"HK01")*F$185</f>
        <v/>
      </c>
      <c r="G122" s="89">
        <f>-SUMIFS('2月数据源'!$I:$I,'2月数据源'!$D:$D,$E122,'2月数据源'!$F:$F,"HK01")*G$185+SUMIFS('2月数据源'!$J:$J,'2月数据源'!$D:$D,$E122,'2月数据源'!$F:$F,"HK01")*G$185</f>
        <v/>
      </c>
      <c r="H122" s="89">
        <f>-SUMIFS('3月数据源'!$I:$I,'3月数据源'!$D:$D,$E122,'3月数据源'!$F:$F,"HK01")*H$185+SUMIFS('3月数据源'!$J:$J,'3月数据源'!$D:$D,$E122,'3月数据源'!$F:$F,"HK01")*H$185</f>
        <v/>
      </c>
      <c r="I122" s="89">
        <f>-SUMIFS('4月数据源'!$I:$I,'4月数据源'!$D:$D,$E122,'4月数据源'!$F:$F,"HK01")*I$185+SUMIFS('4月数据源'!$J:$J,'4月数据源'!$D:$D,$E122,'4月数据源'!$F:$F,"HK01")*I$185</f>
        <v/>
      </c>
      <c r="J122" s="89">
        <f>-SUMIFS('5月数据源'!$I:$I,'5月数据源'!$D:$D,$E122,'5月数据源'!$F:$F,"HK01")*J$185+SUMIFS('5月数据源'!$J:$J,'5月数据源'!$D:$D,$E122,'5月数据源'!$F:$F,"HK01")*J$185</f>
        <v/>
      </c>
      <c r="K122" s="89">
        <f>-SUMIFS('6月数据源'!$I:$I,'6月数据源'!$D:$D,$E122,'6月数据源'!$F:$F,"HK01")*K$185+SUMIFS('6月数据源'!$J:$J,'6月数据源'!$D:$D,$E122,'6月数据源'!$F:$F,"HK01")*K$185</f>
        <v/>
      </c>
      <c r="L122" s="89">
        <f>-SUMIFS('7月数据源'!$I:$I,'7月数据源'!$D:$D,$E122,'7月数据源'!$F:$F,"HK01")*L$185+SUMIFS('7月数据源'!$J:$J,'7月数据源'!$D:$D,$E122,'7月数据源'!$F:$F,"HK01")*L$185</f>
        <v/>
      </c>
      <c r="M122" s="89">
        <f>-SUMIFS('8月数据源'!$I:$I,'8月数据源'!$D:$D,$E122,'8月数据源'!$F:$F,"HK01")*M$185+SUMIFS('8月数据源'!$J:$J,'8月数据源'!$D:$D,$E122,'8月数据源'!$F:$F,"HK01")*M$185</f>
        <v/>
      </c>
      <c r="N122" s="89">
        <f>-SUMIFS('9月数据源'!$I:$I,'9月数据源'!$D:$D,$E122,'9月数据源'!$F:$F,"HK01")*N$185+SUMIFS('9月数据源'!$J:$J,'9月数据源'!$D:$D,$E122,'9月数据源'!$F:$F,"HK01")*N$185</f>
        <v/>
      </c>
      <c r="O122" s="89">
        <f>-SUMIFS('10月数据源'!$I:$I,'10月数据源'!$D:$D,$E122,'10月数据源'!$F:$F,"HK01")*O$185+SUMIFS('10月数据源'!$J:$J,'10月数据源'!$D:$D,$E122,'10月数据源'!$F:$F,"HK01")*O$185</f>
        <v/>
      </c>
      <c r="P122" s="89">
        <f>-SUMIFS('11月数据源'!$I:$I,'11月数据源'!$D:$D,$E122,'11月数据源'!$F:$F,"HK01")*P$185+SUMIFS('11月数据源'!$J:$J,'11月数据源'!$D:$D,$E122,'11月数据源'!$F:$F,"HK01")*P$185</f>
        <v/>
      </c>
      <c r="Q122" s="89">
        <f>-SUMIFS('12月数据源'!$I:$I,'12月数据源'!$D:$D,$E122,'12月数据源'!$F:$F,"HK01")*Q$185+SUMIFS('12月数据源'!$J:$J,'12月数据源'!$D:$D,$E122,'12月数据源'!$F:$F,"HK01")*Q$185</f>
        <v/>
      </c>
    </row>
    <row r="123" s="83">
      <c r="A123" s="5" t="inlineStr">
        <is>
          <t>销售费用</t>
        </is>
      </c>
      <c r="B123" s="6" t="inlineStr">
        <is>
          <t>平台运营</t>
        </is>
      </c>
      <c r="D123" s="5" t="inlineStr">
        <is>
          <t>消费者赔付</t>
        </is>
      </c>
      <c r="E123" s="6" t="inlineStr">
        <is>
          <t>Q2206</t>
        </is>
      </c>
      <c r="F123" s="89">
        <f>-SUMIFS('1月数据源'!$I:$I,'1月数据源'!$D:$D,$E123,'1月数据源'!$F:$F,"HK01")*F$185+SUMIFS('1月数据源'!$J:$J,'1月数据源'!$D:$D,$E123,'1月数据源'!$F:$F,"HK01")*F$185</f>
        <v/>
      </c>
      <c r="G123" s="89">
        <f>-SUMIFS('2月数据源'!$I:$I,'2月数据源'!$D:$D,$E123,'2月数据源'!$F:$F,"HK01")*G$185+SUMIFS('2月数据源'!$J:$J,'2月数据源'!$D:$D,$E123,'2月数据源'!$F:$F,"HK01")*G$185</f>
        <v/>
      </c>
      <c r="H123" s="89">
        <f>-SUMIFS('3月数据源'!$I:$I,'3月数据源'!$D:$D,$E123,'3月数据源'!$F:$F,"HK01")*H$185+SUMIFS('3月数据源'!$J:$J,'3月数据源'!$D:$D,$E123,'3月数据源'!$F:$F,"HK01")*H$185</f>
        <v/>
      </c>
      <c r="I123" s="89">
        <f>-SUMIFS('4月数据源'!$I:$I,'4月数据源'!$D:$D,$E123,'4月数据源'!$F:$F,"HK01")*I$185+SUMIFS('4月数据源'!$J:$J,'4月数据源'!$D:$D,$E123,'4月数据源'!$F:$F,"HK01")*I$185</f>
        <v/>
      </c>
      <c r="J123" s="89">
        <f>-SUMIFS('5月数据源'!$I:$I,'5月数据源'!$D:$D,$E123,'5月数据源'!$F:$F,"HK01")*J$185+SUMIFS('5月数据源'!$J:$J,'5月数据源'!$D:$D,$E123,'5月数据源'!$F:$F,"HK01")*J$185</f>
        <v/>
      </c>
      <c r="K123" s="89">
        <f>-SUMIFS('6月数据源'!$I:$I,'6月数据源'!$D:$D,$E123,'6月数据源'!$F:$F,"HK01")*K$185+SUMIFS('6月数据源'!$J:$J,'6月数据源'!$D:$D,$E123,'6月数据源'!$F:$F,"HK01")*K$185</f>
        <v/>
      </c>
      <c r="L123" s="89">
        <f>-SUMIFS('7月数据源'!$I:$I,'7月数据源'!$D:$D,$E123,'7月数据源'!$F:$F,"HK01")*L$185+SUMIFS('7月数据源'!$J:$J,'7月数据源'!$D:$D,$E123,'7月数据源'!$F:$F,"HK01")*L$185</f>
        <v/>
      </c>
      <c r="M123" s="89">
        <f>-SUMIFS('8月数据源'!$I:$I,'8月数据源'!$D:$D,$E123,'8月数据源'!$F:$F,"HK01")*M$185+SUMIFS('8月数据源'!$J:$J,'8月数据源'!$D:$D,$E123,'8月数据源'!$F:$F,"HK01")*M$185</f>
        <v/>
      </c>
      <c r="N123" s="89">
        <f>-SUMIFS('9月数据源'!$I:$I,'9月数据源'!$D:$D,$E123,'9月数据源'!$F:$F,"HK01")*N$185+SUMIFS('9月数据源'!$J:$J,'9月数据源'!$D:$D,$E123,'9月数据源'!$F:$F,"HK01")*N$185</f>
        <v/>
      </c>
      <c r="O123" s="89">
        <f>-SUMIFS('10月数据源'!$I:$I,'10月数据源'!$D:$D,$E123,'10月数据源'!$F:$F,"HK01")*O$185+SUMIFS('10月数据源'!$J:$J,'10月数据源'!$D:$D,$E123,'10月数据源'!$F:$F,"HK01")*O$185</f>
        <v/>
      </c>
      <c r="P123" s="89">
        <f>-SUMIFS('11月数据源'!$I:$I,'11月数据源'!$D:$D,$E123,'11月数据源'!$F:$F,"HK01")*P$185+SUMIFS('11月数据源'!$J:$J,'11月数据源'!$D:$D,$E123,'11月数据源'!$F:$F,"HK01")*P$185</f>
        <v/>
      </c>
      <c r="Q123" s="89">
        <f>-SUMIFS('12月数据源'!$I:$I,'12月数据源'!$D:$D,$E123,'12月数据源'!$F:$F,"HK01")*Q$185+SUMIFS('12月数据源'!$J:$J,'12月数据源'!$D:$D,$E123,'12月数据源'!$F:$F,"HK01")*Q$185</f>
        <v/>
      </c>
    </row>
    <row r="124" s="83">
      <c r="A124" s="5" t="inlineStr">
        <is>
          <t>销售费用</t>
        </is>
      </c>
      <c r="B124" s="6" t="inlineStr">
        <is>
          <t>平台运营</t>
        </is>
      </c>
      <c r="D124" s="5" t="inlineStr">
        <is>
          <t>平台积分扣款</t>
        </is>
      </c>
      <c r="E124" s="6" t="inlineStr">
        <is>
          <t>Q2207</t>
        </is>
      </c>
      <c r="F124" s="89">
        <f>-SUMIFS('1月数据源'!$I:$I,'1月数据源'!$D:$D,$E124,'1月数据源'!$F:$F,"HK01")*F$185+SUMIFS('1月数据源'!$J:$J,'1月数据源'!$D:$D,$E124,'1月数据源'!$F:$F,"HK01")*F$185</f>
        <v/>
      </c>
      <c r="G124" s="89">
        <f>-SUMIFS('2月数据源'!$I:$I,'2月数据源'!$D:$D,$E124,'2月数据源'!$F:$F,"HK01")*G$185+SUMIFS('2月数据源'!$J:$J,'2月数据源'!$D:$D,$E124,'2月数据源'!$F:$F,"HK01")*G$185</f>
        <v/>
      </c>
      <c r="H124" s="89">
        <f>-SUMIFS('3月数据源'!$I:$I,'3月数据源'!$D:$D,$E124,'3月数据源'!$F:$F,"HK01")*H$185+SUMIFS('3月数据源'!$J:$J,'3月数据源'!$D:$D,$E124,'3月数据源'!$F:$F,"HK01")*H$185</f>
        <v/>
      </c>
      <c r="I124" s="89">
        <f>-SUMIFS('4月数据源'!$I:$I,'4月数据源'!$D:$D,$E124,'4月数据源'!$F:$F,"HK01")*I$185+SUMIFS('4月数据源'!$J:$J,'4月数据源'!$D:$D,$E124,'4月数据源'!$F:$F,"HK01")*I$185</f>
        <v/>
      </c>
      <c r="J124" s="89">
        <f>-SUMIFS('5月数据源'!$I:$I,'5月数据源'!$D:$D,$E124,'5月数据源'!$F:$F,"HK01")*J$185+SUMIFS('5月数据源'!$J:$J,'5月数据源'!$D:$D,$E124,'5月数据源'!$F:$F,"HK01")*J$185</f>
        <v/>
      </c>
      <c r="K124" s="89">
        <f>-SUMIFS('6月数据源'!$I:$I,'6月数据源'!$D:$D,$E124,'6月数据源'!$F:$F,"HK01")*K$185+SUMIFS('6月数据源'!$J:$J,'6月数据源'!$D:$D,$E124,'6月数据源'!$F:$F,"HK01")*K$185</f>
        <v/>
      </c>
      <c r="L124" s="89">
        <f>-SUMIFS('7月数据源'!$I:$I,'7月数据源'!$D:$D,$E124,'7月数据源'!$F:$F,"HK01")*L$185+SUMIFS('7月数据源'!$J:$J,'7月数据源'!$D:$D,$E124,'7月数据源'!$F:$F,"HK01")*L$185</f>
        <v/>
      </c>
      <c r="M124" s="89">
        <f>-SUMIFS('8月数据源'!$I:$I,'8月数据源'!$D:$D,$E124,'8月数据源'!$F:$F,"HK01")*M$185+SUMIFS('8月数据源'!$J:$J,'8月数据源'!$D:$D,$E124,'8月数据源'!$F:$F,"HK01")*M$185</f>
        <v/>
      </c>
      <c r="N124" s="89">
        <f>-SUMIFS('9月数据源'!$I:$I,'9月数据源'!$D:$D,$E124,'9月数据源'!$F:$F,"HK01")*N$185+SUMIFS('9月数据源'!$J:$J,'9月数据源'!$D:$D,$E124,'9月数据源'!$F:$F,"HK01")*N$185</f>
        <v/>
      </c>
      <c r="O124" s="89">
        <f>-SUMIFS('10月数据源'!$I:$I,'10月数据源'!$D:$D,$E124,'10月数据源'!$F:$F,"HK01")*O$185+SUMIFS('10月数据源'!$J:$J,'10月数据源'!$D:$D,$E124,'10月数据源'!$F:$F,"HK01")*O$185</f>
        <v/>
      </c>
      <c r="P124" s="89">
        <f>-SUMIFS('11月数据源'!$I:$I,'11月数据源'!$D:$D,$E124,'11月数据源'!$F:$F,"HK01")*P$185+SUMIFS('11月数据源'!$J:$J,'11月数据源'!$D:$D,$E124,'11月数据源'!$F:$F,"HK01")*P$185</f>
        <v/>
      </c>
      <c r="Q124" s="89">
        <f>-SUMIFS('12月数据源'!$I:$I,'12月数据源'!$D:$D,$E124,'12月数据源'!$F:$F,"HK01")*Q$185+SUMIFS('12月数据源'!$J:$J,'12月数据源'!$D:$D,$E124,'12月数据源'!$F:$F,"HK01")*Q$185</f>
        <v/>
      </c>
    </row>
    <row r="125" s="83">
      <c r="A125" s="5" t="inlineStr">
        <is>
          <t>销售费用</t>
        </is>
      </c>
      <c r="B125" s="6" t="inlineStr">
        <is>
          <t>平台运营</t>
        </is>
      </c>
      <c r="D125" s="5" t="inlineStr">
        <is>
          <t>平台推荐佣金</t>
        </is>
      </c>
      <c r="E125" s="6" t="inlineStr">
        <is>
          <t>Q2208</t>
        </is>
      </c>
      <c r="F125" s="89">
        <f>-SUMIFS('1月数据源'!$I:$I,'1月数据源'!$D:$D,$E125,'1月数据源'!$F:$F,"HK01")*F$185+SUMIFS('1月数据源'!$J:$J,'1月数据源'!$D:$D,$E125,'1月数据源'!$F:$F,"HK01")*F$185</f>
        <v/>
      </c>
      <c r="G125" s="89">
        <f>-SUMIFS('2月数据源'!$I:$I,'2月数据源'!$D:$D,$E125,'2月数据源'!$F:$F,"HK01")*G$185+SUMIFS('2月数据源'!$J:$J,'2月数据源'!$D:$D,$E125,'2月数据源'!$F:$F,"HK01")*G$185</f>
        <v/>
      </c>
      <c r="H125" s="89">
        <f>-SUMIFS('3月数据源'!$I:$I,'3月数据源'!$D:$D,$E125,'3月数据源'!$F:$F,"HK01")*H$185+SUMIFS('3月数据源'!$J:$J,'3月数据源'!$D:$D,$E125,'3月数据源'!$F:$F,"HK01")*H$185</f>
        <v/>
      </c>
      <c r="I125" s="89">
        <f>-SUMIFS('4月数据源'!$I:$I,'4月数据源'!$D:$D,$E125,'4月数据源'!$F:$F,"HK01")*I$185+SUMIFS('4月数据源'!$J:$J,'4月数据源'!$D:$D,$E125,'4月数据源'!$F:$F,"HK01")*I$185</f>
        <v/>
      </c>
      <c r="J125" s="89">
        <f>-SUMIFS('5月数据源'!$I:$I,'5月数据源'!$D:$D,$E125,'5月数据源'!$F:$F,"HK01")*J$185+SUMIFS('5月数据源'!$J:$J,'5月数据源'!$D:$D,$E125,'5月数据源'!$F:$F,"HK01")*J$185</f>
        <v/>
      </c>
      <c r="K125" s="89">
        <f>-SUMIFS('6月数据源'!$I:$I,'6月数据源'!$D:$D,$E125,'6月数据源'!$F:$F,"HK01")*K$185+SUMIFS('6月数据源'!$J:$J,'6月数据源'!$D:$D,$E125,'6月数据源'!$F:$F,"HK01")*K$185</f>
        <v/>
      </c>
      <c r="L125" s="89">
        <f>-SUMIFS('7月数据源'!$I:$I,'7月数据源'!$D:$D,$E125,'7月数据源'!$F:$F,"HK01")*L$185+SUMIFS('7月数据源'!$J:$J,'7月数据源'!$D:$D,$E125,'7月数据源'!$F:$F,"HK01")*L$185</f>
        <v/>
      </c>
      <c r="M125" s="89">
        <f>-SUMIFS('8月数据源'!$I:$I,'8月数据源'!$D:$D,$E125,'8月数据源'!$F:$F,"HK01")*M$185+SUMIFS('8月数据源'!$J:$J,'8月数据源'!$D:$D,$E125,'8月数据源'!$F:$F,"HK01")*M$185</f>
        <v/>
      </c>
      <c r="N125" s="89">
        <f>-SUMIFS('9月数据源'!$I:$I,'9月数据源'!$D:$D,$E125,'9月数据源'!$F:$F,"HK01")*N$185+SUMIFS('9月数据源'!$J:$J,'9月数据源'!$D:$D,$E125,'9月数据源'!$F:$F,"HK01")*N$185</f>
        <v/>
      </c>
      <c r="O125" s="89">
        <f>-SUMIFS('10月数据源'!$I:$I,'10月数据源'!$D:$D,$E125,'10月数据源'!$F:$F,"HK01")*O$185+SUMIFS('10月数据源'!$J:$J,'10月数据源'!$D:$D,$E125,'10月数据源'!$F:$F,"HK01")*O$185</f>
        <v/>
      </c>
      <c r="P125" s="89">
        <f>-SUMIFS('11月数据源'!$I:$I,'11月数据源'!$D:$D,$E125,'11月数据源'!$F:$F,"HK01")*P$185+SUMIFS('11月数据源'!$J:$J,'11月数据源'!$D:$D,$E125,'11月数据源'!$F:$F,"HK01")*P$185</f>
        <v/>
      </c>
      <c r="Q125" s="89">
        <f>-SUMIFS('12月数据源'!$I:$I,'12月数据源'!$D:$D,$E125,'12月数据源'!$F:$F,"HK01")*Q$185+SUMIFS('12月数据源'!$J:$J,'12月数据源'!$D:$D,$E125,'12月数据源'!$F:$F,"HK01")*Q$185</f>
        <v/>
      </c>
    </row>
    <row r="126" s="83">
      <c r="A126" s="5" t="inlineStr">
        <is>
          <t>销售费用</t>
        </is>
      </c>
      <c r="B126" s="6" t="inlineStr">
        <is>
          <t>平台运营</t>
        </is>
      </c>
      <c r="D126" s="5" t="inlineStr">
        <is>
          <t>保证金及认证费用</t>
        </is>
      </c>
      <c r="E126" s="6" t="inlineStr">
        <is>
          <t>Q2202</t>
        </is>
      </c>
      <c r="F126" s="89">
        <f>-SUMIFS('1月数据源'!$I:$I,'1月数据源'!$D:$D,$E126,'1月数据源'!$F:$F,"HK01")*F$185+SUMIFS('1月数据源'!$J:$J,'1月数据源'!$D:$D,$E126,'1月数据源'!$F:$F,"HK01")*F$185</f>
        <v/>
      </c>
      <c r="G126" s="89">
        <f>-SUMIFS('2月数据源'!$I:$I,'2月数据源'!$D:$D,$E126,'2月数据源'!$F:$F,"HK01")*G$185+SUMIFS('2月数据源'!$J:$J,'2月数据源'!$D:$D,$E126,'2月数据源'!$F:$F,"HK01")*G$185</f>
        <v/>
      </c>
      <c r="H126" s="89">
        <f>-SUMIFS('3月数据源'!$I:$I,'3月数据源'!$D:$D,$E126,'3月数据源'!$F:$F,"HK01")*H$185+SUMIFS('3月数据源'!$J:$J,'3月数据源'!$D:$D,$E126,'3月数据源'!$F:$F,"HK01")*H$185</f>
        <v/>
      </c>
      <c r="I126" s="89">
        <f>-SUMIFS('4月数据源'!$I:$I,'4月数据源'!$D:$D,$E126,'4月数据源'!$F:$F,"HK01")*I$185+SUMIFS('4月数据源'!$J:$J,'4月数据源'!$D:$D,$E126,'4月数据源'!$F:$F,"HK01")*I$185</f>
        <v/>
      </c>
      <c r="J126" s="89">
        <f>-SUMIFS('5月数据源'!$I:$I,'5月数据源'!$D:$D,$E126,'5月数据源'!$F:$F,"HK01")*J$185+SUMIFS('5月数据源'!$J:$J,'5月数据源'!$D:$D,$E126,'5月数据源'!$F:$F,"HK01")*J$185</f>
        <v/>
      </c>
      <c r="K126" s="89">
        <f>-SUMIFS('6月数据源'!$I:$I,'6月数据源'!$D:$D,$E126,'6月数据源'!$F:$F,"HK01")*K$185+SUMIFS('6月数据源'!$J:$J,'6月数据源'!$D:$D,$E126,'6月数据源'!$F:$F,"HK01")*K$185</f>
        <v/>
      </c>
      <c r="L126" s="89">
        <f>-SUMIFS('7月数据源'!$I:$I,'7月数据源'!$D:$D,$E126,'7月数据源'!$F:$F,"HK01")*L$185+SUMIFS('7月数据源'!$J:$J,'7月数据源'!$D:$D,$E126,'7月数据源'!$F:$F,"HK01")*L$185</f>
        <v/>
      </c>
      <c r="M126" s="89">
        <f>-SUMIFS('8月数据源'!$I:$I,'8月数据源'!$D:$D,$E126,'8月数据源'!$F:$F,"HK01")*M$185+SUMIFS('8月数据源'!$J:$J,'8月数据源'!$D:$D,$E126,'8月数据源'!$F:$F,"HK01")*M$185</f>
        <v/>
      </c>
      <c r="N126" s="89">
        <f>-SUMIFS('9月数据源'!$I:$I,'9月数据源'!$D:$D,$E126,'9月数据源'!$F:$F,"HK01")*N$185+SUMIFS('9月数据源'!$J:$J,'9月数据源'!$D:$D,$E126,'9月数据源'!$F:$F,"HK01")*N$185</f>
        <v/>
      </c>
      <c r="O126" s="89">
        <f>-SUMIFS('10月数据源'!$I:$I,'10月数据源'!$D:$D,$E126,'10月数据源'!$F:$F,"HK01")*O$185+SUMIFS('10月数据源'!$J:$J,'10月数据源'!$D:$D,$E126,'10月数据源'!$F:$F,"HK01")*O$185</f>
        <v/>
      </c>
      <c r="P126" s="89">
        <f>-SUMIFS('11月数据源'!$I:$I,'11月数据源'!$D:$D,$E126,'11月数据源'!$F:$F,"HK01")*P$185+SUMIFS('11月数据源'!$J:$J,'11月数据源'!$D:$D,$E126,'11月数据源'!$F:$F,"HK01")*P$185</f>
        <v/>
      </c>
      <c r="Q126" s="89">
        <f>-SUMIFS('12月数据源'!$I:$I,'12月数据源'!$D:$D,$E126,'12月数据源'!$F:$F,"HK01")*Q$185+SUMIFS('12月数据源'!$J:$J,'12月数据源'!$D:$D,$E126,'12月数据源'!$F:$F,"HK01")*Q$185</f>
        <v/>
      </c>
    </row>
    <row r="127" s="83">
      <c r="A127" s="5" t="inlineStr">
        <is>
          <t>销售费用</t>
        </is>
      </c>
      <c r="B127" s="6" t="inlineStr">
        <is>
          <t>平台运营</t>
        </is>
      </c>
      <c r="D127" s="5" t="inlineStr">
        <is>
          <t>品专支出</t>
        </is>
      </c>
      <c r="E127" s="6" t="inlineStr">
        <is>
          <t>Q2203</t>
        </is>
      </c>
      <c r="F127" s="89">
        <f>-SUMIFS('1月数据源'!$I:$I,'1月数据源'!$D:$D,$E127,'1月数据源'!$F:$F,"HK01")*F$185+SUMIFS('1月数据源'!$J:$J,'1月数据源'!$D:$D,$E127,'1月数据源'!$F:$F,"HK01")*F$185</f>
        <v/>
      </c>
      <c r="G127" s="89">
        <f>-SUMIFS('2月数据源'!$I:$I,'2月数据源'!$D:$D,$E127,'2月数据源'!$F:$F,"HK01")*G$185+SUMIFS('2月数据源'!$J:$J,'2月数据源'!$D:$D,$E127,'2月数据源'!$F:$F,"HK01")*G$185</f>
        <v/>
      </c>
      <c r="H127" s="89">
        <f>-SUMIFS('3月数据源'!$I:$I,'3月数据源'!$D:$D,$E127,'3月数据源'!$F:$F,"HK01")*H$185+SUMIFS('3月数据源'!$J:$J,'3月数据源'!$D:$D,$E127,'3月数据源'!$F:$F,"HK01")*H$185</f>
        <v/>
      </c>
      <c r="I127" s="89">
        <f>-SUMIFS('4月数据源'!$I:$I,'4月数据源'!$D:$D,$E127,'4月数据源'!$F:$F,"HK01")*I$185+SUMIFS('4月数据源'!$J:$J,'4月数据源'!$D:$D,$E127,'4月数据源'!$F:$F,"HK01")*I$185</f>
        <v/>
      </c>
      <c r="J127" s="89">
        <f>-SUMIFS('5月数据源'!$I:$I,'5月数据源'!$D:$D,$E127,'5月数据源'!$F:$F,"HK01")*J$185+SUMIFS('5月数据源'!$J:$J,'5月数据源'!$D:$D,$E127,'5月数据源'!$F:$F,"HK01")*J$185</f>
        <v/>
      </c>
      <c r="K127" s="89">
        <f>-SUMIFS('6月数据源'!$I:$I,'6月数据源'!$D:$D,$E127,'6月数据源'!$F:$F,"HK01")*K$185+SUMIFS('6月数据源'!$J:$J,'6月数据源'!$D:$D,$E127,'6月数据源'!$F:$F,"HK01")*K$185</f>
        <v/>
      </c>
      <c r="L127" s="89">
        <f>-SUMIFS('7月数据源'!$I:$I,'7月数据源'!$D:$D,$E127,'7月数据源'!$F:$F,"HK01")*L$185+SUMIFS('7月数据源'!$J:$J,'7月数据源'!$D:$D,$E127,'7月数据源'!$F:$F,"HK01")*L$185</f>
        <v/>
      </c>
      <c r="M127" s="89">
        <f>-SUMIFS('8月数据源'!$I:$I,'8月数据源'!$D:$D,$E127,'8月数据源'!$F:$F,"HK01")*M$185+SUMIFS('8月数据源'!$J:$J,'8月数据源'!$D:$D,$E127,'8月数据源'!$F:$F,"HK01")*M$185</f>
        <v/>
      </c>
      <c r="N127" s="89">
        <f>-SUMIFS('9月数据源'!$I:$I,'9月数据源'!$D:$D,$E127,'9月数据源'!$F:$F,"HK01")*N$185+SUMIFS('9月数据源'!$J:$J,'9月数据源'!$D:$D,$E127,'9月数据源'!$F:$F,"HK01")*N$185</f>
        <v/>
      </c>
      <c r="O127" s="89">
        <f>-SUMIFS('10月数据源'!$I:$I,'10月数据源'!$D:$D,$E127,'10月数据源'!$F:$F,"HK01")*O$185+SUMIFS('10月数据源'!$J:$J,'10月数据源'!$D:$D,$E127,'10月数据源'!$F:$F,"HK01")*O$185</f>
        <v/>
      </c>
      <c r="P127" s="89">
        <f>-SUMIFS('11月数据源'!$I:$I,'11月数据源'!$D:$D,$E127,'11月数据源'!$F:$F,"HK01")*P$185+SUMIFS('11月数据源'!$J:$J,'11月数据源'!$D:$D,$E127,'11月数据源'!$F:$F,"HK01")*P$185</f>
        <v/>
      </c>
      <c r="Q127" s="89">
        <f>-SUMIFS('12月数据源'!$I:$I,'12月数据源'!$D:$D,$E127,'12月数据源'!$F:$F,"HK01")*Q$185+SUMIFS('12月数据源'!$J:$J,'12月数据源'!$D:$D,$E127,'12月数据源'!$F:$F,"HK01")*Q$185</f>
        <v/>
      </c>
    </row>
    <row r="128" s="83">
      <c r="A128" s="5" t="inlineStr">
        <is>
          <t>销售费用</t>
        </is>
      </c>
      <c r="B128" s="6" t="inlineStr">
        <is>
          <t>平台运营</t>
        </is>
      </c>
      <c r="D128" s="5" t="inlineStr">
        <is>
          <t>其他平台扣款</t>
        </is>
      </c>
      <c r="E128" s="6" t="inlineStr">
        <is>
          <t>Q2209</t>
        </is>
      </c>
      <c r="F128" s="89">
        <f>-SUMIFS('1月数据源'!$I:$I,'1月数据源'!$D:$D,$E128,'1月数据源'!$F:$F,"HK01")*F$185+SUMIFS('1月数据源'!$J:$J,'1月数据源'!$D:$D,$E128,'1月数据源'!$F:$F,"HK01")*F$185</f>
        <v/>
      </c>
      <c r="G128" s="89">
        <f>-SUMIFS('2月数据源'!$I:$I,'2月数据源'!$D:$D,$E128,'2月数据源'!$F:$F,"HK01")*G$185+SUMIFS('2月数据源'!$J:$J,'2月数据源'!$D:$D,$E128,'2月数据源'!$F:$F,"HK01")*G$185</f>
        <v/>
      </c>
      <c r="H128" s="89">
        <f>-SUMIFS('3月数据源'!$I:$I,'3月数据源'!$D:$D,$E128,'3月数据源'!$F:$F,"HK01")*H$185+SUMIFS('3月数据源'!$J:$J,'3月数据源'!$D:$D,$E128,'3月数据源'!$F:$F,"HK01")*H$185</f>
        <v/>
      </c>
      <c r="I128" s="89">
        <f>-SUMIFS('4月数据源'!$I:$I,'4月数据源'!$D:$D,$E128,'4月数据源'!$F:$F,"HK01")*I$185+SUMIFS('4月数据源'!$J:$J,'4月数据源'!$D:$D,$E128,'4月数据源'!$F:$F,"HK01")*I$185</f>
        <v/>
      </c>
      <c r="J128" s="89">
        <f>-SUMIFS('5月数据源'!$I:$I,'5月数据源'!$D:$D,$E128,'5月数据源'!$F:$F,"HK01")*J$185+SUMIFS('5月数据源'!$J:$J,'5月数据源'!$D:$D,$E128,'5月数据源'!$F:$F,"HK01")*J$185</f>
        <v/>
      </c>
      <c r="K128" s="89">
        <f>-SUMIFS('6月数据源'!$I:$I,'6月数据源'!$D:$D,$E128,'6月数据源'!$F:$F,"HK01")*K$185+SUMIFS('6月数据源'!$J:$J,'6月数据源'!$D:$D,$E128,'6月数据源'!$F:$F,"HK01")*K$185</f>
        <v/>
      </c>
      <c r="L128" s="89">
        <f>-SUMIFS('7月数据源'!$I:$I,'7月数据源'!$D:$D,$E128,'7月数据源'!$F:$F,"HK01")*L$185+SUMIFS('7月数据源'!$J:$J,'7月数据源'!$D:$D,$E128,'7月数据源'!$F:$F,"HK01")*L$185</f>
        <v/>
      </c>
      <c r="M128" s="89">
        <f>-SUMIFS('8月数据源'!$I:$I,'8月数据源'!$D:$D,$E128,'8月数据源'!$F:$F,"HK01")*M$185+SUMIFS('8月数据源'!$J:$J,'8月数据源'!$D:$D,$E128,'8月数据源'!$F:$F,"HK01")*M$185</f>
        <v/>
      </c>
      <c r="N128" s="89">
        <f>-SUMIFS('9月数据源'!$I:$I,'9月数据源'!$D:$D,$E128,'9月数据源'!$F:$F,"HK01")*N$185+SUMIFS('9月数据源'!$J:$J,'9月数据源'!$D:$D,$E128,'9月数据源'!$F:$F,"HK01")*N$185</f>
        <v/>
      </c>
      <c r="O128" s="89">
        <f>-SUMIFS('10月数据源'!$I:$I,'10月数据源'!$D:$D,$E128,'10月数据源'!$F:$F,"HK01")*O$185+SUMIFS('10月数据源'!$J:$J,'10月数据源'!$D:$D,$E128,'10月数据源'!$F:$F,"HK01")*O$185</f>
        <v/>
      </c>
      <c r="P128" s="89">
        <f>-SUMIFS('11月数据源'!$I:$I,'11月数据源'!$D:$D,$E128,'11月数据源'!$F:$F,"HK01")*P$185+SUMIFS('11月数据源'!$J:$J,'11月数据源'!$D:$D,$E128,'11月数据源'!$F:$F,"HK01")*P$185</f>
        <v/>
      </c>
      <c r="Q128" s="89">
        <f>-SUMIFS('12月数据源'!$I:$I,'12月数据源'!$D:$D,$E128,'12月数据源'!$F:$F,"HK01")*Q$185+SUMIFS('12月数据源'!$J:$J,'12月数据源'!$D:$D,$E128,'12月数据源'!$F:$F,"HK01")*Q$185</f>
        <v/>
      </c>
    </row>
    <row r="129" s="83">
      <c r="A129" s="5" t="inlineStr">
        <is>
          <t>销售费用</t>
        </is>
      </c>
      <c r="B129" s="6" t="inlineStr">
        <is>
          <t>私域运营</t>
        </is>
      </c>
      <c r="C129" s="6" t="inlineStr">
        <is>
          <t>私域运营</t>
        </is>
      </c>
      <c r="D129" s="5" t="inlineStr">
        <is>
          <t>返现活动</t>
        </is>
      </c>
      <c r="E129" s="6" t="inlineStr">
        <is>
          <t>Q2301</t>
        </is>
      </c>
      <c r="F129" s="89">
        <f>-SUMIFS('1月数据源'!$I:$I,'1月数据源'!$D:$D,$E129,'1月数据源'!$F:$F,"HK01")*F$185+SUMIFS('1月数据源'!$J:$J,'1月数据源'!$D:$D,$E129,'1月数据源'!$F:$F,"HK01")*F$185</f>
        <v/>
      </c>
      <c r="G129" s="89">
        <f>-SUMIFS('2月数据源'!$I:$I,'2月数据源'!$D:$D,$E129,'2月数据源'!$F:$F,"HK01")*G$185+SUMIFS('2月数据源'!$J:$J,'2月数据源'!$D:$D,$E129,'2月数据源'!$F:$F,"HK01")*G$185</f>
        <v/>
      </c>
      <c r="H129" s="89">
        <f>-SUMIFS('3月数据源'!$I:$I,'3月数据源'!$D:$D,$E129,'3月数据源'!$F:$F,"HK01")*H$185+SUMIFS('3月数据源'!$J:$J,'3月数据源'!$D:$D,$E129,'3月数据源'!$F:$F,"HK01")*H$185</f>
        <v/>
      </c>
      <c r="I129" s="89">
        <f>-SUMIFS('4月数据源'!$I:$I,'4月数据源'!$D:$D,$E129,'4月数据源'!$F:$F,"HK01")*I$185+SUMIFS('4月数据源'!$J:$J,'4月数据源'!$D:$D,$E129,'4月数据源'!$F:$F,"HK01")*I$185</f>
        <v/>
      </c>
      <c r="J129" s="89">
        <f>-SUMIFS('5月数据源'!$I:$I,'5月数据源'!$D:$D,$E129,'5月数据源'!$F:$F,"HK01")*J$185+SUMIFS('5月数据源'!$J:$J,'5月数据源'!$D:$D,$E129,'5月数据源'!$F:$F,"HK01")*J$185</f>
        <v/>
      </c>
      <c r="K129" s="89">
        <f>-SUMIFS('6月数据源'!$I:$I,'6月数据源'!$D:$D,$E129,'6月数据源'!$F:$F,"HK01")*K$185+SUMIFS('6月数据源'!$J:$J,'6月数据源'!$D:$D,$E129,'6月数据源'!$F:$F,"HK01")*K$185</f>
        <v/>
      </c>
      <c r="L129" s="89">
        <f>-SUMIFS('7月数据源'!$I:$I,'7月数据源'!$D:$D,$E129,'7月数据源'!$F:$F,"HK01")*L$185+SUMIFS('7月数据源'!$J:$J,'7月数据源'!$D:$D,$E129,'7月数据源'!$F:$F,"HK01")*L$185</f>
        <v/>
      </c>
      <c r="M129" s="89">
        <f>-SUMIFS('8月数据源'!$I:$I,'8月数据源'!$D:$D,$E129,'8月数据源'!$F:$F,"HK01")*M$185+SUMIFS('8月数据源'!$J:$J,'8月数据源'!$D:$D,$E129,'8月数据源'!$F:$F,"HK01")*M$185</f>
        <v/>
      </c>
      <c r="N129" s="89">
        <f>-SUMIFS('9月数据源'!$I:$I,'9月数据源'!$D:$D,$E129,'9月数据源'!$F:$F,"HK01")*N$185+SUMIFS('9月数据源'!$J:$J,'9月数据源'!$D:$D,$E129,'9月数据源'!$F:$F,"HK01")*N$185</f>
        <v/>
      </c>
      <c r="O129" s="89">
        <f>-SUMIFS('10月数据源'!$I:$I,'10月数据源'!$D:$D,$E129,'10月数据源'!$F:$F,"HK01")*O$185+SUMIFS('10月数据源'!$J:$J,'10月数据源'!$D:$D,$E129,'10月数据源'!$F:$F,"HK01")*O$185</f>
        <v/>
      </c>
      <c r="P129" s="89">
        <f>-SUMIFS('11月数据源'!$I:$I,'11月数据源'!$D:$D,$E129,'11月数据源'!$F:$F,"HK01")*P$185+SUMIFS('11月数据源'!$J:$J,'11月数据源'!$D:$D,$E129,'11月数据源'!$F:$F,"HK01")*P$185</f>
        <v/>
      </c>
      <c r="Q129" s="89">
        <f>-SUMIFS('12月数据源'!$I:$I,'12月数据源'!$D:$D,$E129,'12月数据源'!$F:$F,"HK01")*Q$185+SUMIFS('12月数据源'!$J:$J,'12月数据源'!$D:$D,$E129,'12月数据源'!$F:$F,"HK01")*Q$185</f>
        <v/>
      </c>
    </row>
    <row r="130" s="83">
      <c r="A130" s="5" t="inlineStr">
        <is>
          <t>销售费用</t>
        </is>
      </c>
      <c r="B130" s="6" t="inlineStr">
        <is>
          <t>私域运营</t>
        </is>
      </c>
      <c r="D130" s="5" t="inlineStr">
        <is>
          <t>转介绍佣金</t>
        </is>
      </c>
      <c r="E130" s="6" t="inlineStr">
        <is>
          <t>Q2302</t>
        </is>
      </c>
      <c r="F130" s="89">
        <f>-SUMIFS('1月数据源'!$I:$I,'1月数据源'!$D:$D,$E130,'1月数据源'!$F:$F,"HK01")*F$185+SUMIFS('1月数据源'!$J:$J,'1月数据源'!$D:$D,$E130,'1月数据源'!$F:$F,"HK01")*F$185</f>
        <v/>
      </c>
      <c r="G130" s="89">
        <f>-SUMIFS('2月数据源'!$I:$I,'2月数据源'!$D:$D,$E130,'2月数据源'!$F:$F,"HK01")*G$185+SUMIFS('2月数据源'!$J:$J,'2月数据源'!$D:$D,$E130,'2月数据源'!$F:$F,"HK01")*G$185</f>
        <v/>
      </c>
      <c r="H130" s="89">
        <f>-SUMIFS('3月数据源'!$I:$I,'3月数据源'!$D:$D,$E130,'3月数据源'!$F:$F,"HK01")*H$185+SUMIFS('3月数据源'!$J:$J,'3月数据源'!$D:$D,$E130,'3月数据源'!$F:$F,"HK01")*H$185</f>
        <v/>
      </c>
      <c r="I130" s="89">
        <f>-SUMIFS('4月数据源'!$I:$I,'4月数据源'!$D:$D,$E130,'4月数据源'!$F:$F,"HK01")*I$185+SUMIFS('4月数据源'!$J:$J,'4月数据源'!$D:$D,$E130,'4月数据源'!$F:$F,"HK01")*I$185</f>
        <v/>
      </c>
      <c r="J130" s="89">
        <f>-SUMIFS('5月数据源'!$I:$I,'5月数据源'!$D:$D,$E130,'5月数据源'!$F:$F,"HK01")*J$185+SUMIFS('5月数据源'!$J:$J,'5月数据源'!$D:$D,$E130,'5月数据源'!$F:$F,"HK01")*J$185</f>
        <v/>
      </c>
      <c r="K130" s="89">
        <f>-SUMIFS('6月数据源'!$I:$I,'6月数据源'!$D:$D,$E130,'6月数据源'!$F:$F,"HK01")*K$185+SUMIFS('6月数据源'!$J:$J,'6月数据源'!$D:$D,$E130,'6月数据源'!$F:$F,"HK01")*K$185</f>
        <v/>
      </c>
      <c r="L130" s="89">
        <f>-SUMIFS('7月数据源'!$I:$I,'7月数据源'!$D:$D,$E130,'7月数据源'!$F:$F,"HK01")*L$185+SUMIFS('7月数据源'!$J:$J,'7月数据源'!$D:$D,$E130,'7月数据源'!$F:$F,"HK01")*L$185</f>
        <v/>
      </c>
      <c r="M130" s="89">
        <f>-SUMIFS('8月数据源'!$I:$I,'8月数据源'!$D:$D,$E130,'8月数据源'!$F:$F,"HK01")*M$185+SUMIFS('8月数据源'!$J:$J,'8月数据源'!$D:$D,$E130,'8月数据源'!$F:$F,"HK01")*M$185</f>
        <v/>
      </c>
      <c r="N130" s="89">
        <f>-SUMIFS('9月数据源'!$I:$I,'9月数据源'!$D:$D,$E130,'9月数据源'!$F:$F,"HK01")*N$185+SUMIFS('9月数据源'!$J:$J,'9月数据源'!$D:$D,$E130,'9月数据源'!$F:$F,"HK01")*N$185</f>
        <v/>
      </c>
      <c r="O130" s="89">
        <f>-SUMIFS('10月数据源'!$I:$I,'10月数据源'!$D:$D,$E130,'10月数据源'!$F:$F,"HK01")*O$185+SUMIFS('10月数据源'!$J:$J,'10月数据源'!$D:$D,$E130,'10月数据源'!$F:$F,"HK01")*O$185</f>
        <v/>
      </c>
      <c r="P130" s="89">
        <f>-SUMIFS('11月数据源'!$I:$I,'11月数据源'!$D:$D,$E130,'11月数据源'!$F:$F,"HK01")*P$185+SUMIFS('11月数据源'!$J:$J,'11月数据源'!$D:$D,$E130,'11月数据源'!$F:$F,"HK01")*P$185</f>
        <v/>
      </c>
      <c r="Q130" s="89">
        <f>-SUMIFS('12月数据源'!$I:$I,'12月数据源'!$D:$D,$E130,'12月数据源'!$F:$F,"HK01")*Q$185+SUMIFS('12月数据源'!$J:$J,'12月数据源'!$D:$D,$E130,'12月数据源'!$F:$F,"HK01")*Q$185</f>
        <v/>
      </c>
    </row>
    <row r="131" s="83">
      <c r="A131" s="5" t="inlineStr">
        <is>
          <t>销售费用</t>
        </is>
      </c>
      <c r="B131" s="6" t="inlineStr">
        <is>
          <t>达人带货</t>
        </is>
      </c>
      <c r="C131" s="6" t="inlineStr">
        <is>
          <t>达人带货</t>
        </is>
      </c>
      <c r="D131" s="5" t="inlineStr">
        <is>
          <t>坑位费</t>
        </is>
      </c>
      <c r="E131" s="6" t="inlineStr">
        <is>
          <t>Q2401</t>
        </is>
      </c>
      <c r="F131" s="89">
        <f>-SUMIFS('1月数据源'!$I:$I,'1月数据源'!$D:$D,$E131,'1月数据源'!$F:$F,"HK01")*F$185+SUMIFS('1月数据源'!$J:$J,'1月数据源'!$D:$D,$E131,'1月数据源'!$F:$F,"HK01")*F$185</f>
        <v/>
      </c>
      <c r="G131" s="89">
        <f>-SUMIFS('2月数据源'!$I:$I,'2月数据源'!$D:$D,$E131,'2月数据源'!$F:$F,"HK01")*G$185+SUMIFS('2月数据源'!$J:$J,'2月数据源'!$D:$D,$E131,'2月数据源'!$F:$F,"HK01")*G$185</f>
        <v/>
      </c>
      <c r="H131" s="89">
        <f>-SUMIFS('3月数据源'!$I:$I,'3月数据源'!$D:$D,$E131,'3月数据源'!$F:$F,"HK01")*H$185+SUMIFS('3月数据源'!$J:$J,'3月数据源'!$D:$D,$E131,'3月数据源'!$F:$F,"HK01")*H$185</f>
        <v/>
      </c>
      <c r="I131" s="89">
        <f>-SUMIFS('4月数据源'!$I:$I,'4月数据源'!$D:$D,$E131,'4月数据源'!$F:$F,"HK01")*I$185+SUMIFS('4月数据源'!$J:$J,'4月数据源'!$D:$D,$E131,'4月数据源'!$F:$F,"HK01")*I$185</f>
        <v/>
      </c>
      <c r="J131" s="89">
        <f>-SUMIFS('5月数据源'!$I:$I,'5月数据源'!$D:$D,$E131,'5月数据源'!$F:$F,"HK01")*J$185+SUMIFS('5月数据源'!$J:$J,'5月数据源'!$D:$D,$E131,'5月数据源'!$F:$F,"HK01")*J$185</f>
        <v/>
      </c>
      <c r="K131" s="89">
        <f>-SUMIFS('6月数据源'!$I:$I,'6月数据源'!$D:$D,$E131,'6月数据源'!$F:$F,"HK01")*K$185+SUMIFS('6月数据源'!$J:$J,'6月数据源'!$D:$D,$E131,'6月数据源'!$F:$F,"HK01")*K$185</f>
        <v/>
      </c>
      <c r="L131" s="89">
        <f>-SUMIFS('7月数据源'!$I:$I,'7月数据源'!$D:$D,$E131,'7月数据源'!$F:$F,"HK01")*L$185+SUMIFS('7月数据源'!$J:$J,'7月数据源'!$D:$D,$E131,'7月数据源'!$F:$F,"HK01")*L$185</f>
        <v/>
      </c>
      <c r="M131" s="89">
        <f>-SUMIFS('8月数据源'!$I:$I,'8月数据源'!$D:$D,$E131,'8月数据源'!$F:$F,"HK01")*M$185+SUMIFS('8月数据源'!$J:$J,'8月数据源'!$D:$D,$E131,'8月数据源'!$F:$F,"HK01")*M$185</f>
        <v/>
      </c>
      <c r="N131" s="89">
        <f>-SUMIFS('9月数据源'!$I:$I,'9月数据源'!$D:$D,$E131,'9月数据源'!$F:$F,"HK01")*N$185+SUMIFS('9月数据源'!$J:$J,'9月数据源'!$D:$D,$E131,'9月数据源'!$F:$F,"HK01")*N$185</f>
        <v/>
      </c>
      <c r="O131" s="89">
        <f>-SUMIFS('10月数据源'!$I:$I,'10月数据源'!$D:$D,$E131,'10月数据源'!$F:$F,"HK01")*O$185+SUMIFS('10月数据源'!$J:$J,'10月数据源'!$D:$D,$E131,'10月数据源'!$F:$F,"HK01")*O$185</f>
        <v/>
      </c>
      <c r="P131" s="89">
        <f>-SUMIFS('11月数据源'!$I:$I,'11月数据源'!$D:$D,$E131,'11月数据源'!$F:$F,"HK01")*P$185+SUMIFS('11月数据源'!$J:$J,'11月数据源'!$D:$D,$E131,'11月数据源'!$F:$F,"HK01")*P$185</f>
        <v/>
      </c>
      <c r="Q131" s="89">
        <f>-SUMIFS('12月数据源'!$I:$I,'12月数据源'!$D:$D,$E131,'12月数据源'!$F:$F,"HK01")*Q$185+SUMIFS('12月数据源'!$J:$J,'12月数据源'!$D:$D,$E131,'12月数据源'!$F:$F,"HK01")*Q$185</f>
        <v/>
      </c>
    </row>
    <row r="132" s="83">
      <c r="A132" s="5" t="inlineStr">
        <is>
          <t>销售费用</t>
        </is>
      </c>
      <c r="B132" s="6" t="inlineStr">
        <is>
          <t>达人带货</t>
        </is>
      </c>
      <c r="D132" s="5" t="inlineStr">
        <is>
          <t>佣金</t>
        </is>
      </c>
      <c r="E132" s="6" t="inlineStr">
        <is>
          <t>Q2402</t>
        </is>
      </c>
      <c r="F132" s="89">
        <f>-SUMIFS('1月数据源'!$I:$I,'1月数据源'!$D:$D,$E132,'1月数据源'!$F:$F,"HK01")*F$185+SUMIFS('1月数据源'!$J:$J,'1月数据源'!$D:$D,$E132,'1月数据源'!$F:$F,"HK01")*F$185</f>
        <v/>
      </c>
      <c r="G132" s="89">
        <f>-SUMIFS('2月数据源'!$I:$I,'2月数据源'!$D:$D,$E132,'2月数据源'!$F:$F,"HK01")*G$185+SUMIFS('2月数据源'!$J:$J,'2月数据源'!$D:$D,$E132,'2月数据源'!$F:$F,"HK01")*G$185</f>
        <v/>
      </c>
      <c r="H132" s="89">
        <f>-SUMIFS('3月数据源'!$I:$I,'3月数据源'!$D:$D,$E132,'3月数据源'!$F:$F,"HK01")*H$185+SUMIFS('3月数据源'!$J:$J,'3月数据源'!$D:$D,$E132,'3月数据源'!$F:$F,"HK01")*H$185</f>
        <v/>
      </c>
      <c r="I132" s="89">
        <f>-SUMIFS('4月数据源'!$I:$I,'4月数据源'!$D:$D,$E132,'4月数据源'!$F:$F,"HK01")*I$185+SUMIFS('4月数据源'!$J:$J,'4月数据源'!$D:$D,$E132,'4月数据源'!$F:$F,"HK01")*I$185</f>
        <v/>
      </c>
      <c r="J132" s="89">
        <f>-SUMIFS('5月数据源'!$I:$I,'5月数据源'!$D:$D,$E132,'5月数据源'!$F:$F,"HK01")*J$185+SUMIFS('5月数据源'!$J:$J,'5月数据源'!$D:$D,$E132,'5月数据源'!$F:$F,"HK01")*J$185</f>
        <v/>
      </c>
      <c r="K132" s="89">
        <f>-SUMIFS('6月数据源'!$I:$I,'6月数据源'!$D:$D,$E132,'6月数据源'!$F:$F,"HK01")*K$185+SUMIFS('6月数据源'!$J:$J,'6月数据源'!$D:$D,$E132,'6月数据源'!$F:$F,"HK01")*K$185</f>
        <v/>
      </c>
      <c r="L132" s="89">
        <f>-SUMIFS('7月数据源'!$I:$I,'7月数据源'!$D:$D,$E132,'7月数据源'!$F:$F,"HK01")*L$185+SUMIFS('7月数据源'!$J:$J,'7月数据源'!$D:$D,$E132,'7月数据源'!$F:$F,"HK01")*L$185</f>
        <v/>
      </c>
      <c r="M132" s="89">
        <f>-SUMIFS('8月数据源'!$I:$I,'8月数据源'!$D:$D,$E132,'8月数据源'!$F:$F,"HK01")*M$185+SUMIFS('8月数据源'!$J:$J,'8月数据源'!$D:$D,$E132,'8月数据源'!$F:$F,"HK01")*M$185</f>
        <v/>
      </c>
      <c r="N132" s="89">
        <f>-SUMIFS('9月数据源'!$I:$I,'9月数据源'!$D:$D,$E132,'9月数据源'!$F:$F,"HK01")*N$185+SUMIFS('9月数据源'!$J:$J,'9月数据源'!$D:$D,$E132,'9月数据源'!$F:$F,"HK01")*N$185</f>
        <v/>
      </c>
      <c r="O132" s="89">
        <f>-SUMIFS('10月数据源'!$I:$I,'10月数据源'!$D:$D,$E132,'10月数据源'!$F:$F,"HK01")*O$185+SUMIFS('10月数据源'!$J:$J,'10月数据源'!$D:$D,$E132,'10月数据源'!$F:$F,"HK01")*O$185</f>
        <v/>
      </c>
      <c r="P132" s="89">
        <f>-SUMIFS('11月数据源'!$I:$I,'11月数据源'!$D:$D,$E132,'11月数据源'!$F:$F,"HK01")*P$185+SUMIFS('11月数据源'!$J:$J,'11月数据源'!$D:$D,$E132,'11月数据源'!$F:$F,"HK01")*P$185</f>
        <v/>
      </c>
      <c r="Q132" s="89">
        <f>-SUMIFS('12月数据源'!$I:$I,'12月数据源'!$D:$D,$E132,'12月数据源'!$F:$F,"HK01")*Q$185+SUMIFS('12月数据源'!$J:$J,'12月数据源'!$D:$D,$E132,'12月数据源'!$F:$F,"HK01")*Q$185</f>
        <v/>
      </c>
    </row>
    <row r="133" s="83">
      <c r="A133" s="5" t="inlineStr">
        <is>
          <t>销售费用</t>
        </is>
      </c>
      <c r="B133" s="6" t="inlineStr">
        <is>
          <t>达人带货</t>
        </is>
      </c>
      <c r="D133" s="5" t="inlineStr">
        <is>
          <t>助播费用</t>
        </is>
      </c>
      <c r="E133" s="6" t="inlineStr">
        <is>
          <t>Q2403</t>
        </is>
      </c>
      <c r="F133" s="89">
        <f>-SUMIFS('1月数据源'!$I:$I,'1月数据源'!$D:$D,$E133,'1月数据源'!$F:$F,"HK01")*F$185+SUMIFS('1月数据源'!$J:$J,'1月数据源'!$D:$D,$E133,'1月数据源'!$F:$F,"HK01")*F$185</f>
        <v/>
      </c>
      <c r="G133" s="89">
        <f>-SUMIFS('2月数据源'!$I:$I,'2月数据源'!$D:$D,$E133,'2月数据源'!$F:$F,"HK01")*G$185+SUMIFS('2月数据源'!$J:$J,'2月数据源'!$D:$D,$E133,'2月数据源'!$F:$F,"HK01")*G$185</f>
        <v/>
      </c>
      <c r="H133" s="89">
        <f>-SUMIFS('3月数据源'!$I:$I,'3月数据源'!$D:$D,$E133,'3月数据源'!$F:$F,"HK01")*H$185+SUMIFS('3月数据源'!$J:$J,'3月数据源'!$D:$D,$E133,'3月数据源'!$F:$F,"HK01")*H$185</f>
        <v/>
      </c>
      <c r="I133" s="89">
        <f>-SUMIFS('4月数据源'!$I:$I,'4月数据源'!$D:$D,$E133,'4月数据源'!$F:$F,"HK01")*I$185+SUMIFS('4月数据源'!$J:$J,'4月数据源'!$D:$D,$E133,'4月数据源'!$F:$F,"HK01")*I$185</f>
        <v/>
      </c>
      <c r="J133" s="89">
        <f>-SUMIFS('5月数据源'!$I:$I,'5月数据源'!$D:$D,$E133,'5月数据源'!$F:$F,"HK01")*J$185+SUMIFS('5月数据源'!$J:$J,'5月数据源'!$D:$D,$E133,'5月数据源'!$F:$F,"HK01")*J$185</f>
        <v/>
      </c>
      <c r="K133" s="89">
        <f>-SUMIFS('6月数据源'!$I:$I,'6月数据源'!$D:$D,$E133,'6月数据源'!$F:$F,"HK01")*K$185+SUMIFS('6月数据源'!$J:$J,'6月数据源'!$D:$D,$E133,'6月数据源'!$F:$F,"HK01")*K$185</f>
        <v/>
      </c>
      <c r="L133" s="89">
        <f>-SUMIFS('7月数据源'!$I:$I,'7月数据源'!$D:$D,$E133,'7月数据源'!$F:$F,"HK01")*L$185+SUMIFS('7月数据源'!$J:$J,'7月数据源'!$D:$D,$E133,'7月数据源'!$F:$F,"HK01")*L$185</f>
        <v/>
      </c>
      <c r="M133" s="89">
        <f>-SUMIFS('8月数据源'!$I:$I,'8月数据源'!$D:$D,$E133,'8月数据源'!$F:$F,"HK01")*M$185+SUMIFS('8月数据源'!$J:$J,'8月数据源'!$D:$D,$E133,'8月数据源'!$F:$F,"HK01")*M$185</f>
        <v/>
      </c>
      <c r="N133" s="89">
        <f>-SUMIFS('9月数据源'!$I:$I,'9月数据源'!$D:$D,$E133,'9月数据源'!$F:$F,"HK01")*N$185+SUMIFS('9月数据源'!$J:$J,'9月数据源'!$D:$D,$E133,'9月数据源'!$F:$F,"HK01")*N$185</f>
        <v/>
      </c>
      <c r="O133" s="89">
        <f>-SUMIFS('10月数据源'!$I:$I,'10月数据源'!$D:$D,$E133,'10月数据源'!$F:$F,"HK01")*O$185+SUMIFS('10月数据源'!$J:$J,'10月数据源'!$D:$D,$E133,'10月数据源'!$F:$F,"HK01")*O$185</f>
        <v/>
      </c>
      <c r="P133" s="89">
        <f>-SUMIFS('11月数据源'!$I:$I,'11月数据源'!$D:$D,$E133,'11月数据源'!$F:$F,"HK01")*P$185+SUMIFS('11月数据源'!$J:$J,'11月数据源'!$D:$D,$E133,'11月数据源'!$F:$F,"HK01")*P$185</f>
        <v/>
      </c>
      <c r="Q133" s="89">
        <f>-SUMIFS('12月数据源'!$I:$I,'12月数据源'!$D:$D,$E133,'12月数据源'!$F:$F,"HK01")*Q$185+SUMIFS('12月数据源'!$J:$J,'12月数据源'!$D:$D,$E133,'12月数据源'!$F:$F,"HK01")*Q$185</f>
        <v/>
      </c>
    </row>
    <row r="134" s="83">
      <c r="A134" s="5" t="inlineStr">
        <is>
          <t>销售费用</t>
        </is>
      </c>
      <c r="B134" s="6" t="inlineStr">
        <is>
          <t>发货成本</t>
        </is>
      </c>
      <c r="C134" s="6" t="inlineStr">
        <is>
          <t>发货成本</t>
        </is>
      </c>
      <c r="D134" s="5" t="inlineStr">
        <is>
          <t>快递费</t>
        </is>
      </c>
      <c r="E134" s="6" t="inlineStr">
        <is>
          <t>Q2501</t>
        </is>
      </c>
      <c r="F134" s="89">
        <f>-SUMIFS('1月数据源'!$I:$I,'1月数据源'!$D:$D,$E134,'1月数据源'!$F:$F,"HK01")*F$185+SUMIFS('1月数据源'!$J:$J,'1月数据源'!$D:$D,$E134,'1月数据源'!$F:$F,"HK01")*F$185</f>
        <v/>
      </c>
      <c r="G134" s="89">
        <f>-SUMIFS('2月数据源'!$I:$I,'2月数据源'!$D:$D,$E134,'2月数据源'!$F:$F,"HK01")*G$185+SUMIFS('2月数据源'!$J:$J,'2月数据源'!$D:$D,$E134,'2月数据源'!$F:$F,"HK01")*G$185</f>
        <v/>
      </c>
      <c r="H134" s="89">
        <f>-SUMIFS('3月数据源'!$I:$I,'3月数据源'!$D:$D,$E134,'3月数据源'!$F:$F,"HK01")*H$185+SUMIFS('3月数据源'!$J:$J,'3月数据源'!$D:$D,$E134,'3月数据源'!$F:$F,"HK01")*H$185</f>
        <v/>
      </c>
      <c r="I134" s="89">
        <f>-SUMIFS('4月数据源'!$I:$I,'4月数据源'!$D:$D,$E134,'4月数据源'!$F:$F,"HK01")*I$185+SUMIFS('4月数据源'!$J:$J,'4月数据源'!$D:$D,$E134,'4月数据源'!$F:$F,"HK01")*I$185</f>
        <v/>
      </c>
      <c r="J134" s="89">
        <f>-SUMIFS('5月数据源'!$I:$I,'5月数据源'!$D:$D,$E134,'5月数据源'!$F:$F,"HK01")*J$185+SUMIFS('5月数据源'!$J:$J,'5月数据源'!$D:$D,$E134,'5月数据源'!$F:$F,"HK01")*J$185</f>
        <v/>
      </c>
      <c r="K134" s="89">
        <f>-SUMIFS('6月数据源'!$I:$I,'6月数据源'!$D:$D,$E134,'6月数据源'!$F:$F,"HK01")*K$185+SUMIFS('6月数据源'!$J:$J,'6月数据源'!$D:$D,$E134,'6月数据源'!$F:$F,"HK01")*K$185</f>
        <v/>
      </c>
      <c r="L134" s="89">
        <f>-SUMIFS('7月数据源'!$I:$I,'7月数据源'!$D:$D,$E134,'7月数据源'!$F:$F,"HK01")*L$185+SUMIFS('7月数据源'!$J:$J,'7月数据源'!$D:$D,$E134,'7月数据源'!$F:$F,"HK01")*L$185</f>
        <v/>
      </c>
      <c r="M134" s="89">
        <f>-SUMIFS('8月数据源'!$I:$I,'8月数据源'!$D:$D,$E134,'8月数据源'!$F:$F,"HK01")*M$185+SUMIFS('8月数据源'!$J:$J,'8月数据源'!$D:$D,$E134,'8月数据源'!$F:$F,"HK01")*M$185</f>
        <v/>
      </c>
      <c r="N134" s="89">
        <f>-SUMIFS('9月数据源'!$I:$I,'9月数据源'!$D:$D,$E134,'9月数据源'!$F:$F,"HK01")*N$185+SUMIFS('9月数据源'!$J:$J,'9月数据源'!$D:$D,$E134,'9月数据源'!$F:$F,"HK01")*N$185</f>
        <v/>
      </c>
      <c r="O134" s="89">
        <f>-SUMIFS('10月数据源'!$I:$I,'10月数据源'!$D:$D,$E134,'10月数据源'!$F:$F,"HK01")*O$185+SUMIFS('10月数据源'!$J:$J,'10月数据源'!$D:$D,$E134,'10月数据源'!$F:$F,"HK01")*O$185</f>
        <v/>
      </c>
      <c r="P134" s="89">
        <f>-SUMIFS('11月数据源'!$I:$I,'11月数据源'!$D:$D,$E134,'11月数据源'!$F:$F,"HK01")*P$185+SUMIFS('11月数据源'!$J:$J,'11月数据源'!$D:$D,$E134,'11月数据源'!$F:$F,"HK01")*P$185</f>
        <v/>
      </c>
      <c r="Q134" s="89">
        <f>-SUMIFS('12月数据源'!$I:$I,'12月数据源'!$D:$D,$E134,'12月数据源'!$F:$F,"HK01")*Q$185+SUMIFS('12月数据源'!$J:$J,'12月数据源'!$D:$D,$E134,'12月数据源'!$F:$F,"HK01")*Q$185</f>
        <v/>
      </c>
    </row>
    <row r="135" s="83">
      <c r="A135" s="5" t="inlineStr">
        <is>
          <t>销售费用</t>
        </is>
      </c>
      <c r="B135" s="6" t="inlineStr">
        <is>
          <t>发货成本</t>
        </is>
      </c>
      <c r="D135" s="5" t="inlineStr">
        <is>
          <t>云仓租金</t>
        </is>
      </c>
      <c r="E135" s="6" t="inlineStr">
        <is>
          <t>Q2502</t>
        </is>
      </c>
      <c r="F135" s="89">
        <f>-SUMIFS('1月数据源'!$I:$I,'1月数据源'!$D:$D,$E135,'1月数据源'!$F:$F,"HK01")*F$185+SUMIFS('1月数据源'!$J:$J,'1月数据源'!$D:$D,$E135,'1月数据源'!$F:$F,"HK01")*F$185</f>
        <v/>
      </c>
      <c r="G135" s="89">
        <f>-SUMIFS('2月数据源'!$I:$I,'2月数据源'!$D:$D,$E135,'2月数据源'!$F:$F,"HK01")*G$185+SUMIFS('2月数据源'!$J:$J,'2月数据源'!$D:$D,$E135,'2月数据源'!$F:$F,"HK01")*G$185</f>
        <v/>
      </c>
      <c r="H135" s="89">
        <f>-SUMIFS('3月数据源'!$I:$I,'3月数据源'!$D:$D,$E135,'3月数据源'!$F:$F,"HK01")*H$185+SUMIFS('3月数据源'!$J:$J,'3月数据源'!$D:$D,$E135,'3月数据源'!$F:$F,"HK01")*H$185</f>
        <v/>
      </c>
      <c r="I135" s="89">
        <f>-SUMIFS('4月数据源'!$I:$I,'4月数据源'!$D:$D,$E135,'4月数据源'!$F:$F,"HK01")*I$185+SUMIFS('4月数据源'!$J:$J,'4月数据源'!$D:$D,$E135,'4月数据源'!$F:$F,"HK01")*I$185</f>
        <v/>
      </c>
      <c r="J135" s="89">
        <f>-SUMIFS('5月数据源'!$I:$I,'5月数据源'!$D:$D,$E135,'5月数据源'!$F:$F,"HK01")*J$185+SUMIFS('5月数据源'!$J:$J,'5月数据源'!$D:$D,$E135,'5月数据源'!$F:$F,"HK01")*J$185</f>
        <v/>
      </c>
      <c r="K135" s="89">
        <f>-SUMIFS('6月数据源'!$I:$I,'6月数据源'!$D:$D,$E135,'6月数据源'!$F:$F,"HK01")*K$185+SUMIFS('6月数据源'!$J:$J,'6月数据源'!$D:$D,$E135,'6月数据源'!$F:$F,"HK01")*K$185</f>
        <v/>
      </c>
      <c r="L135" s="89">
        <f>-SUMIFS('7月数据源'!$I:$I,'7月数据源'!$D:$D,$E135,'7月数据源'!$F:$F,"HK01")*L$185+SUMIFS('7月数据源'!$J:$J,'7月数据源'!$D:$D,$E135,'7月数据源'!$F:$F,"HK01")*L$185</f>
        <v/>
      </c>
      <c r="M135" s="89">
        <f>-SUMIFS('8月数据源'!$I:$I,'8月数据源'!$D:$D,$E135,'8月数据源'!$F:$F,"HK01")*M$185+SUMIFS('8月数据源'!$J:$J,'8月数据源'!$D:$D,$E135,'8月数据源'!$F:$F,"HK01")*M$185</f>
        <v/>
      </c>
      <c r="N135" s="89">
        <f>-SUMIFS('9月数据源'!$I:$I,'9月数据源'!$D:$D,$E135,'9月数据源'!$F:$F,"HK01")*N$185+SUMIFS('9月数据源'!$J:$J,'9月数据源'!$D:$D,$E135,'9月数据源'!$F:$F,"HK01")*N$185</f>
        <v/>
      </c>
      <c r="O135" s="89">
        <f>-SUMIFS('10月数据源'!$I:$I,'10月数据源'!$D:$D,$E135,'10月数据源'!$F:$F,"HK01")*O$185+SUMIFS('10月数据源'!$J:$J,'10月数据源'!$D:$D,$E135,'10月数据源'!$F:$F,"HK01")*O$185</f>
        <v/>
      </c>
      <c r="P135" s="89">
        <f>-SUMIFS('11月数据源'!$I:$I,'11月数据源'!$D:$D,$E135,'11月数据源'!$F:$F,"HK01")*P$185+SUMIFS('11月数据源'!$J:$J,'11月数据源'!$D:$D,$E135,'11月数据源'!$F:$F,"HK01")*P$185</f>
        <v/>
      </c>
      <c r="Q135" s="89">
        <f>-SUMIFS('12月数据源'!$I:$I,'12月数据源'!$D:$D,$E135,'12月数据源'!$F:$F,"HK01")*Q$185+SUMIFS('12月数据源'!$J:$J,'12月数据源'!$D:$D,$E135,'12月数据源'!$F:$F,"HK01")*Q$185</f>
        <v/>
      </c>
    </row>
    <row r="136" s="83">
      <c r="A136" s="5" t="inlineStr">
        <is>
          <t>销售费用</t>
        </is>
      </c>
      <c r="B136" s="6" t="inlineStr">
        <is>
          <t>品销-费用报销</t>
        </is>
      </c>
      <c r="C136" s="6" t="inlineStr">
        <is>
          <t>品销-费用报销</t>
        </is>
      </c>
      <c r="D136" s="5" t="inlineStr">
        <is>
          <t>品销员工报销</t>
        </is>
      </c>
      <c r="E136" s="6" t="inlineStr">
        <is>
          <t>Q2601</t>
        </is>
      </c>
      <c r="F136" s="89">
        <f>-SUMIFS('1月数据源'!$I:$I,'1月数据源'!$D:$D,$E136,'1月数据源'!$F:$F,"HK01")*F$185+SUMIFS('1月数据源'!$J:$J,'1月数据源'!$D:$D,$E136,'1月数据源'!$F:$F,"HK01")*F$185</f>
        <v/>
      </c>
      <c r="G136" s="89">
        <f>-SUMIFS('2月数据源'!$I:$I,'2月数据源'!$D:$D,$E136,'2月数据源'!$F:$F,"HK01")*G$185+SUMIFS('2月数据源'!$J:$J,'2月数据源'!$D:$D,$E136,'2月数据源'!$F:$F,"HK01")*G$185</f>
        <v/>
      </c>
      <c r="H136" s="89">
        <f>-SUMIFS('3月数据源'!$I:$I,'3月数据源'!$D:$D,$E136,'3月数据源'!$F:$F,"HK01")*H$185+SUMIFS('3月数据源'!$J:$J,'3月数据源'!$D:$D,$E136,'3月数据源'!$F:$F,"HK01")*H$185</f>
        <v/>
      </c>
      <c r="I136" s="89">
        <f>-SUMIFS('4月数据源'!$I:$I,'4月数据源'!$D:$D,$E136,'4月数据源'!$F:$F,"HK01")*I$185+SUMIFS('4月数据源'!$J:$J,'4月数据源'!$D:$D,$E136,'4月数据源'!$F:$F,"HK01")*I$185</f>
        <v/>
      </c>
      <c r="J136" s="89">
        <f>-SUMIFS('5月数据源'!$I:$I,'5月数据源'!$D:$D,$E136,'5月数据源'!$F:$F,"HK01")*J$185+SUMIFS('5月数据源'!$J:$J,'5月数据源'!$D:$D,$E136,'5月数据源'!$F:$F,"HK01")*J$185</f>
        <v/>
      </c>
      <c r="K136" s="89">
        <f>-SUMIFS('6月数据源'!$I:$I,'6月数据源'!$D:$D,$E136,'6月数据源'!$F:$F,"HK01")*K$185+SUMIFS('6月数据源'!$J:$J,'6月数据源'!$D:$D,$E136,'6月数据源'!$F:$F,"HK01")*K$185</f>
        <v/>
      </c>
      <c r="L136" s="89">
        <f>-SUMIFS('7月数据源'!$I:$I,'7月数据源'!$D:$D,$E136,'7月数据源'!$F:$F,"HK01")*L$185+SUMIFS('7月数据源'!$J:$J,'7月数据源'!$D:$D,$E136,'7月数据源'!$F:$F,"HK01")*L$185</f>
        <v/>
      </c>
      <c r="M136" s="89">
        <f>-SUMIFS('8月数据源'!$I:$I,'8月数据源'!$D:$D,$E136,'8月数据源'!$F:$F,"HK01")*M$185+SUMIFS('8月数据源'!$J:$J,'8月数据源'!$D:$D,$E136,'8月数据源'!$F:$F,"HK01")*M$185</f>
        <v/>
      </c>
      <c r="N136" s="89">
        <f>-SUMIFS('9月数据源'!$I:$I,'9月数据源'!$D:$D,$E136,'9月数据源'!$F:$F,"HK01")*N$185+SUMIFS('9月数据源'!$J:$J,'9月数据源'!$D:$D,$E136,'9月数据源'!$F:$F,"HK01")*N$185</f>
        <v/>
      </c>
      <c r="O136" s="89">
        <f>-SUMIFS('10月数据源'!$I:$I,'10月数据源'!$D:$D,$E136,'10月数据源'!$F:$F,"HK01")*O$185+SUMIFS('10月数据源'!$J:$J,'10月数据源'!$D:$D,$E136,'10月数据源'!$F:$F,"HK01")*O$185</f>
        <v/>
      </c>
      <c r="P136" s="89">
        <f>-SUMIFS('11月数据源'!$I:$I,'11月数据源'!$D:$D,$E136,'11月数据源'!$F:$F,"HK01")*P$185+SUMIFS('11月数据源'!$J:$J,'11月数据源'!$D:$D,$E136,'11月数据源'!$F:$F,"HK01")*P$185</f>
        <v/>
      </c>
      <c r="Q136" s="89">
        <f>-SUMIFS('12月数据源'!$I:$I,'12月数据源'!$D:$D,$E136,'12月数据源'!$F:$F,"HK01")*Q$185+SUMIFS('12月数据源'!$J:$J,'12月数据源'!$D:$D,$E136,'12月数据源'!$F:$F,"HK01")*Q$185</f>
        <v/>
      </c>
    </row>
    <row r="137" s="83">
      <c r="A137" s="49" t="inlineStr">
        <is>
          <t>销售费用合计</t>
        </is>
      </c>
      <c r="B137" s="50" t="n"/>
      <c r="C137" s="50" t="n"/>
      <c r="D137" s="49" t="n"/>
      <c r="E137" s="49" t="n"/>
      <c r="F137" s="89">
        <f>SUM(F99:F136)</f>
        <v/>
      </c>
      <c r="G137" s="89">
        <f>SUM(G99:G136)</f>
        <v/>
      </c>
      <c r="H137" s="89">
        <f>SUM(H99:H136)</f>
        <v/>
      </c>
      <c r="I137" s="89">
        <f>SUM(I99:I136)</f>
        <v/>
      </c>
      <c r="J137" s="89">
        <f>SUM(J99:J136)</f>
        <v/>
      </c>
      <c r="K137" s="89">
        <f>SUM(K99:K136)</f>
        <v/>
      </c>
      <c r="L137" s="89">
        <f>SUM(L99:L136)</f>
        <v/>
      </c>
      <c r="M137" s="89">
        <f>SUM(M99:M136)</f>
        <v/>
      </c>
      <c r="N137" s="89">
        <f>SUM(N99:N136)</f>
        <v/>
      </c>
      <c r="O137" s="89">
        <f>SUM(O99:O136)</f>
        <v/>
      </c>
      <c r="P137" s="89">
        <f>SUM(P99:P136)</f>
        <v/>
      </c>
      <c r="Q137" s="89">
        <f>SUM(Q99:Q136)</f>
        <v/>
      </c>
    </row>
    <row r="138" s="83">
      <c r="A138" s="5" t="inlineStr">
        <is>
          <t>管理费用</t>
        </is>
      </c>
      <c r="B138" s="6" t="inlineStr">
        <is>
          <t>办公场地使用费</t>
        </is>
      </c>
      <c r="C138" s="6" t="inlineStr">
        <is>
          <t>办公场地使用费</t>
        </is>
      </c>
      <c r="D138" s="5" t="inlineStr">
        <is>
          <t>西溪首座办公场地租金</t>
        </is>
      </c>
      <c r="E138" s="6" t="inlineStr">
        <is>
          <t>Q2702</t>
        </is>
      </c>
      <c r="F138" s="89">
        <f>-SUMIFS('1月数据源'!$I:$I,'1月数据源'!$D:$D,$E138,'1月数据源'!$F:$F,"HK01")*F$185+SUMIFS('1月数据源'!$J:$J,'1月数据源'!$D:$D,$E138,'1月数据源'!$F:$F,"HK01")*F$185</f>
        <v/>
      </c>
      <c r="G138" s="89">
        <f>-SUMIFS('2月数据源'!$I:$I,'2月数据源'!$D:$D,$E138,'2月数据源'!$F:$F,"HK01")*G$185+SUMIFS('2月数据源'!$J:$J,'2月数据源'!$D:$D,$E138,'2月数据源'!$F:$F,"HK01")*G$185</f>
        <v/>
      </c>
      <c r="H138" s="89">
        <f>-SUMIFS('3月数据源'!$I:$I,'3月数据源'!$D:$D,$E138,'3月数据源'!$F:$F,"HK01")*H$185+SUMIFS('3月数据源'!$J:$J,'3月数据源'!$D:$D,$E138,'3月数据源'!$F:$F,"HK01")*H$185</f>
        <v/>
      </c>
      <c r="I138" s="89">
        <f>-SUMIFS('4月数据源'!$I:$I,'4月数据源'!$D:$D,$E138,'4月数据源'!$F:$F,"HK01")*I$185+SUMIFS('4月数据源'!$J:$J,'4月数据源'!$D:$D,$E138,'4月数据源'!$F:$F,"HK01")*I$185</f>
        <v/>
      </c>
      <c r="J138" s="89">
        <f>-SUMIFS('5月数据源'!$I:$I,'5月数据源'!$D:$D,$E138,'5月数据源'!$F:$F,"HK01")*J$185+SUMIFS('5月数据源'!$J:$J,'5月数据源'!$D:$D,$E138,'5月数据源'!$F:$F,"HK01")*J$185</f>
        <v/>
      </c>
      <c r="K138" s="89">
        <f>-SUMIFS('6月数据源'!$I:$I,'6月数据源'!$D:$D,$E138,'6月数据源'!$F:$F,"HK01")*K$185+SUMIFS('6月数据源'!$J:$J,'6月数据源'!$D:$D,$E138,'6月数据源'!$F:$F,"HK01")*K$185</f>
        <v/>
      </c>
      <c r="L138" s="89">
        <f>-SUMIFS('7月数据源'!$I:$I,'7月数据源'!$D:$D,$E138,'7月数据源'!$F:$F,"HK01")*L$185+SUMIFS('7月数据源'!$J:$J,'7月数据源'!$D:$D,$E138,'7月数据源'!$F:$F,"HK01")*L$185</f>
        <v/>
      </c>
      <c r="M138" s="89">
        <f>-SUMIFS('8月数据源'!$I:$I,'8月数据源'!$D:$D,$E138,'8月数据源'!$F:$F,"HK01")*M$185+SUMIFS('8月数据源'!$J:$J,'8月数据源'!$D:$D,$E138,'8月数据源'!$F:$F,"HK01")*M$185</f>
        <v/>
      </c>
      <c r="N138" s="89">
        <f>-SUMIFS('9月数据源'!$I:$I,'9月数据源'!$D:$D,$E138,'9月数据源'!$F:$F,"HK01")*N$185+SUMIFS('9月数据源'!$J:$J,'9月数据源'!$D:$D,$E138,'9月数据源'!$F:$F,"HK01")*N$185</f>
        <v/>
      </c>
      <c r="O138" s="89">
        <f>-SUMIFS('10月数据源'!$I:$I,'10月数据源'!$D:$D,$E138,'10月数据源'!$F:$F,"HK01")*O$185+SUMIFS('10月数据源'!$J:$J,'10月数据源'!$D:$D,$E138,'10月数据源'!$F:$F,"HK01")*O$185</f>
        <v/>
      </c>
      <c r="P138" s="89">
        <f>-SUMIFS('11月数据源'!$I:$I,'11月数据源'!$D:$D,$E138,'11月数据源'!$F:$F,"HK01")*P$185+SUMIFS('11月数据源'!$J:$J,'11月数据源'!$D:$D,$E138,'11月数据源'!$F:$F,"HK01")*P$185</f>
        <v/>
      </c>
      <c r="Q138" s="89">
        <f>-SUMIFS('12月数据源'!$I:$I,'12月数据源'!$D:$D,$E138,'12月数据源'!$F:$F,"HK01")*Q$185+SUMIFS('12月数据源'!$J:$J,'12月数据源'!$D:$D,$E138,'12月数据源'!$F:$F,"HK01")*Q$185</f>
        <v/>
      </c>
    </row>
    <row r="139" s="83">
      <c r="A139" s="5" t="inlineStr">
        <is>
          <t>管理费用</t>
        </is>
      </c>
      <c r="B139" s="6" t="inlineStr">
        <is>
          <t>办公场地使用费</t>
        </is>
      </c>
      <c r="D139" s="5" t="inlineStr">
        <is>
          <t>西溪首座办公场地装修费</t>
        </is>
      </c>
      <c r="E139" s="6" t="inlineStr">
        <is>
          <t>Q2701</t>
        </is>
      </c>
      <c r="F139" s="89">
        <f>-SUMIFS('1月数据源'!$I:$I,'1月数据源'!$D:$D,$E139,'1月数据源'!$F:$F,"HK01")*F$185+SUMIFS('1月数据源'!$J:$J,'1月数据源'!$D:$D,$E139,'1月数据源'!$F:$F,"HK01")*F$185</f>
        <v/>
      </c>
      <c r="G139" s="89">
        <f>-SUMIFS('2月数据源'!$I:$I,'2月数据源'!$D:$D,$E139,'2月数据源'!$F:$F,"HK01")*G$185+SUMIFS('2月数据源'!$J:$J,'2月数据源'!$D:$D,$E139,'2月数据源'!$F:$F,"HK01")*G$185</f>
        <v/>
      </c>
      <c r="H139" s="89">
        <f>-SUMIFS('3月数据源'!$I:$I,'3月数据源'!$D:$D,$E139,'3月数据源'!$F:$F,"HK01")*H$185+SUMIFS('3月数据源'!$J:$J,'3月数据源'!$D:$D,$E139,'3月数据源'!$F:$F,"HK01")*H$185</f>
        <v/>
      </c>
      <c r="I139" s="89">
        <f>-SUMIFS('4月数据源'!$I:$I,'4月数据源'!$D:$D,$E139,'4月数据源'!$F:$F,"HK01")*I$185+SUMIFS('4月数据源'!$J:$J,'4月数据源'!$D:$D,$E139,'4月数据源'!$F:$F,"HK01")*I$185</f>
        <v/>
      </c>
      <c r="J139" s="89">
        <f>-SUMIFS('5月数据源'!$I:$I,'5月数据源'!$D:$D,$E139,'5月数据源'!$F:$F,"HK01")*J$185+SUMIFS('5月数据源'!$J:$J,'5月数据源'!$D:$D,$E139,'5月数据源'!$F:$F,"HK01")*J$185</f>
        <v/>
      </c>
      <c r="K139" s="89">
        <f>-SUMIFS('6月数据源'!$I:$I,'6月数据源'!$D:$D,$E139,'6月数据源'!$F:$F,"HK01")*K$185+SUMIFS('6月数据源'!$J:$J,'6月数据源'!$D:$D,$E139,'6月数据源'!$F:$F,"HK01")*K$185</f>
        <v/>
      </c>
      <c r="L139" s="89">
        <f>-SUMIFS('7月数据源'!$I:$I,'7月数据源'!$D:$D,$E139,'7月数据源'!$F:$F,"HK01")*L$185+SUMIFS('7月数据源'!$J:$J,'7月数据源'!$D:$D,$E139,'7月数据源'!$F:$F,"HK01")*L$185</f>
        <v/>
      </c>
      <c r="M139" s="89">
        <f>-SUMIFS('8月数据源'!$I:$I,'8月数据源'!$D:$D,$E139,'8月数据源'!$F:$F,"HK01")*M$185+SUMIFS('8月数据源'!$J:$J,'8月数据源'!$D:$D,$E139,'8月数据源'!$F:$F,"HK01")*M$185</f>
        <v/>
      </c>
      <c r="N139" s="89">
        <f>-SUMIFS('9月数据源'!$I:$I,'9月数据源'!$D:$D,$E139,'9月数据源'!$F:$F,"HK01")*N$185+SUMIFS('9月数据源'!$J:$J,'9月数据源'!$D:$D,$E139,'9月数据源'!$F:$F,"HK01")*N$185</f>
        <v/>
      </c>
      <c r="O139" s="89">
        <f>-SUMIFS('10月数据源'!$I:$I,'10月数据源'!$D:$D,$E139,'10月数据源'!$F:$F,"HK01")*O$185+SUMIFS('10月数据源'!$J:$J,'10月数据源'!$D:$D,$E139,'10月数据源'!$F:$F,"HK01")*O$185</f>
        <v/>
      </c>
      <c r="P139" s="89">
        <f>-SUMIFS('11月数据源'!$I:$I,'11月数据源'!$D:$D,$E139,'11月数据源'!$F:$F,"HK01")*P$185+SUMIFS('11月数据源'!$J:$J,'11月数据源'!$D:$D,$E139,'11月数据源'!$F:$F,"HK01")*P$185</f>
        <v/>
      </c>
      <c r="Q139" s="89">
        <f>-SUMIFS('12月数据源'!$I:$I,'12月数据源'!$D:$D,$E139,'12月数据源'!$F:$F,"HK01")*Q$185+SUMIFS('12月数据源'!$J:$J,'12月数据源'!$D:$D,$E139,'12月数据源'!$F:$F,"HK01")*Q$185</f>
        <v/>
      </c>
    </row>
    <row r="140" s="83">
      <c r="A140" s="5" t="inlineStr">
        <is>
          <t>管理费用</t>
        </is>
      </c>
      <c r="B140" s="6" t="inlineStr">
        <is>
          <t>办公场地使用费</t>
        </is>
      </c>
      <c r="D140" s="5" t="inlineStr">
        <is>
          <t>西溪首座办公室物业水电费</t>
        </is>
      </c>
      <c r="E140" s="6" t="inlineStr">
        <is>
          <t>Q2703</t>
        </is>
      </c>
      <c r="F140" s="89">
        <f>-SUMIFS('1月数据源'!$I:$I,'1月数据源'!$D:$D,$E140,'1月数据源'!$F:$F,"HK01")*F$185+SUMIFS('1月数据源'!$J:$J,'1月数据源'!$D:$D,$E140,'1月数据源'!$F:$F,"HK01")*F$185</f>
        <v/>
      </c>
      <c r="G140" s="89">
        <f>-SUMIFS('2月数据源'!$I:$I,'2月数据源'!$D:$D,$E140,'2月数据源'!$F:$F,"HK01")*G$185+SUMIFS('2月数据源'!$J:$J,'2月数据源'!$D:$D,$E140,'2月数据源'!$F:$F,"HK01")*G$185</f>
        <v/>
      </c>
      <c r="H140" s="89">
        <f>-SUMIFS('3月数据源'!$I:$I,'3月数据源'!$D:$D,$E140,'3月数据源'!$F:$F,"HK01")*H$185+SUMIFS('3月数据源'!$J:$J,'3月数据源'!$D:$D,$E140,'3月数据源'!$F:$F,"HK01")*H$185</f>
        <v/>
      </c>
      <c r="I140" s="89">
        <f>-SUMIFS('4月数据源'!$I:$I,'4月数据源'!$D:$D,$E140,'4月数据源'!$F:$F,"HK01")*I$185+SUMIFS('4月数据源'!$J:$J,'4月数据源'!$D:$D,$E140,'4月数据源'!$F:$F,"HK01")*I$185</f>
        <v/>
      </c>
      <c r="J140" s="89">
        <f>-SUMIFS('5月数据源'!$I:$I,'5月数据源'!$D:$D,$E140,'5月数据源'!$F:$F,"HK01")*J$185+SUMIFS('5月数据源'!$J:$J,'5月数据源'!$D:$D,$E140,'5月数据源'!$F:$F,"HK01")*J$185</f>
        <v/>
      </c>
      <c r="K140" s="89">
        <f>-SUMIFS('6月数据源'!$I:$I,'6月数据源'!$D:$D,$E140,'6月数据源'!$F:$F,"HK01")*K$185+SUMIFS('6月数据源'!$J:$J,'6月数据源'!$D:$D,$E140,'6月数据源'!$F:$F,"HK01")*K$185</f>
        <v/>
      </c>
      <c r="L140" s="89">
        <f>-SUMIFS('7月数据源'!$I:$I,'7月数据源'!$D:$D,$E140,'7月数据源'!$F:$F,"HK01")*L$185+SUMIFS('7月数据源'!$J:$J,'7月数据源'!$D:$D,$E140,'7月数据源'!$F:$F,"HK01")*L$185</f>
        <v/>
      </c>
      <c r="M140" s="89">
        <f>-SUMIFS('8月数据源'!$I:$I,'8月数据源'!$D:$D,$E140,'8月数据源'!$F:$F,"HK01")*M$185+SUMIFS('8月数据源'!$J:$J,'8月数据源'!$D:$D,$E140,'8月数据源'!$F:$F,"HK01")*M$185</f>
        <v/>
      </c>
      <c r="N140" s="89">
        <f>-SUMIFS('9月数据源'!$I:$I,'9月数据源'!$D:$D,$E140,'9月数据源'!$F:$F,"HK01")*N$185+SUMIFS('9月数据源'!$J:$J,'9月数据源'!$D:$D,$E140,'9月数据源'!$F:$F,"HK01")*N$185</f>
        <v/>
      </c>
      <c r="O140" s="89">
        <f>-SUMIFS('10月数据源'!$I:$I,'10月数据源'!$D:$D,$E140,'10月数据源'!$F:$F,"HK01")*O$185+SUMIFS('10月数据源'!$J:$J,'10月数据源'!$D:$D,$E140,'10月数据源'!$F:$F,"HK01")*O$185</f>
        <v/>
      </c>
      <c r="P140" s="89">
        <f>-SUMIFS('11月数据源'!$I:$I,'11月数据源'!$D:$D,$E140,'11月数据源'!$F:$F,"HK01")*P$185+SUMIFS('11月数据源'!$J:$J,'11月数据源'!$D:$D,$E140,'11月数据源'!$F:$F,"HK01")*P$185</f>
        <v/>
      </c>
      <c r="Q140" s="89">
        <f>-SUMIFS('12月数据源'!$I:$I,'12月数据源'!$D:$D,$E140,'12月数据源'!$F:$F,"HK01")*Q$185+SUMIFS('12月数据源'!$J:$J,'12月数据源'!$D:$D,$E140,'12月数据源'!$F:$F,"HK01")*Q$185</f>
        <v/>
      </c>
    </row>
    <row r="141" s="83">
      <c r="A141" s="5" t="inlineStr">
        <is>
          <t>管理费用</t>
        </is>
      </c>
      <c r="B141" s="6" t="inlineStr">
        <is>
          <t>办公场地使用费</t>
        </is>
      </c>
      <c r="D141" s="5" t="inlineStr">
        <is>
          <t>合肥办公室租金</t>
        </is>
      </c>
      <c r="E141" s="6" t="inlineStr">
        <is>
          <t>Q2704</t>
        </is>
      </c>
      <c r="F141" s="89">
        <f>-SUMIFS('1月数据源'!$I:$I,'1月数据源'!$D:$D,$E141,'1月数据源'!$F:$F,"HK01")*F$185+SUMIFS('1月数据源'!$J:$J,'1月数据源'!$D:$D,$E141,'1月数据源'!$F:$F,"HK01")*F$185</f>
        <v/>
      </c>
      <c r="G141" s="89">
        <f>-SUMIFS('2月数据源'!$I:$I,'2月数据源'!$D:$D,$E141,'2月数据源'!$F:$F,"HK01")*G$185+SUMIFS('2月数据源'!$J:$J,'2月数据源'!$D:$D,$E141,'2月数据源'!$F:$F,"HK01")*G$185</f>
        <v/>
      </c>
      <c r="H141" s="89">
        <f>-SUMIFS('3月数据源'!$I:$I,'3月数据源'!$D:$D,$E141,'3月数据源'!$F:$F,"HK01")*H$185+SUMIFS('3月数据源'!$J:$J,'3月数据源'!$D:$D,$E141,'3月数据源'!$F:$F,"HK01")*H$185</f>
        <v/>
      </c>
      <c r="I141" s="89">
        <f>-SUMIFS('4月数据源'!$I:$I,'4月数据源'!$D:$D,$E141,'4月数据源'!$F:$F,"HK01")*I$185+SUMIFS('4月数据源'!$J:$J,'4月数据源'!$D:$D,$E141,'4月数据源'!$F:$F,"HK01")*I$185</f>
        <v/>
      </c>
      <c r="J141" s="89">
        <f>-SUMIFS('5月数据源'!$I:$I,'5月数据源'!$D:$D,$E141,'5月数据源'!$F:$F,"HK01")*J$185+SUMIFS('5月数据源'!$J:$J,'5月数据源'!$D:$D,$E141,'5月数据源'!$F:$F,"HK01")*J$185</f>
        <v/>
      </c>
      <c r="K141" s="89">
        <f>-SUMIFS('6月数据源'!$I:$I,'6月数据源'!$D:$D,$E141,'6月数据源'!$F:$F,"HK01")*K$185+SUMIFS('6月数据源'!$J:$J,'6月数据源'!$D:$D,$E141,'6月数据源'!$F:$F,"HK01")*K$185</f>
        <v/>
      </c>
      <c r="L141" s="89">
        <f>-SUMIFS('7月数据源'!$I:$I,'7月数据源'!$D:$D,$E141,'7月数据源'!$F:$F,"HK01")*L$185+SUMIFS('7月数据源'!$J:$J,'7月数据源'!$D:$D,$E141,'7月数据源'!$F:$F,"HK01")*L$185</f>
        <v/>
      </c>
      <c r="M141" s="89">
        <f>-SUMIFS('8月数据源'!$I:$I,'8月数据源'!$D:$D,$E141,'8月数据源'!$F:$F,"HK01")*M$185+SUMIFS('8月数据源'!$J:$J,'8月数据源'!$D:$D,$E141,'8月数据源'!$F:$F,"HK01")*M$185</f>
        <v/>
      </c>
      <c r="N141" s="89">
        <f>-SUMIFS('9月数据源'!$I:$I,'9月数据源'!$D:$D,$E141,'9月数据源'!$F:$F,"HK01")*N$185+SUMIFS('9月数据源'!$J:$J,'9月数据源'!$D:$D,$E141,'9月数据源'!$F:$F,"HK01")*N$185</f>
        <v/>
      </c>
      <c r="O141" s="89">
        <f>-SUMIFS('10月数据源'!$I:$I,'10月数据源'!$D:$D,$E141,'10月数据源'!$F:$F,"HK01")*O$185+SUMIFS('10月数据源'!$J:$J,'10月数据源'!$D:$D,$E141,'10月数据源'!$F:$F,"HK01")*O$185</f>
        <v/>
      </c>
      <c r="P141" s="89">
        <f>-SUMIFS('11月数据源'!$I:$I,'11月数据源'!$D:$D,$E141,'11月数据源'!$F:$F,"HK01")*P$185+SUMIFS('11月数据源'!$J:$J,'11月数据源'!$D:$D,$E141,'11月数据源'!$F:$F,"HK01")*P$185</f>
        <v/>
      </c>
      <c r="Q141" s="89">
        <f>-SUMIFS('12月数据源'!$I:$I,'12月数据源'!$D:$D,$E141,'12月数据源'!$F:$F,"HK01")*Q$185+SUMIFS('12月数据源'!$J:$J,'12月数据源'!$D:$D,$E141,'12月数据源'!$F:$F,"HK01")*Q$185</f>
        <v/>
      </c>
    </row>
    <row r="142" s="83">
      <c r="A142" s="5" t="inlineStr">
        <is>
          <t>管理费用</t>
        </is>
      </c>
      <c r="B142" s="6" t="inlineStr">
        <is>
          <t>办公场地使用费</t>
        </is>
      </c>
      <c r="D142" s="5" t="inlineStr">
        <is>
          <t>合肥办公室物业水电费</t>
        </is>
      </c>
      <c r="E142" s="6" t="inlineStr">
        <is>
          <t>Q2705</t>
        </is>
      </c>
      <c r="F142" s="89">
        <f>-SUMIFS('1月数据源'!$I:$I,'1月数据源'!$D:$D,$E142,'1月数据源'!$F:$F,"HK01")*F$185+SUMIFS('1月数据源'!$J:$J,'1月数据源'!$D:$D,$E142,'1月数据源'!$F:$F,"HK01")*F$185</f>
        <v/>
      </c>
      <c r="G142" s="89">
        <f>-SUMIFS('2月数据源'!$I:$I,'2月数据源'!$D:$D,$E142,'2月数据源'!$F:$F,"HK01")*G$185+SUMIFS('2月数据源'!$J:$J,'2月数据源'!$D:$D,$E142,'2月数据源'!$F:$F,"HK01")*G$185</f>
        <v/>
      </c>
      <c r="H142" s="89">
        <f>-SUMIFS('3月数据源'!$I:$I,'3月数据源'!$D:$D,$E142,'3月数据源'!$F:$F,"HK01")*H$185+SUMIFS('3月数据源'!$J:$J,'3月数据源'!$D:$D,$E142,'3月数据源'!$F:$F,"HK01")*H$185</f>
        <v/>
      </c>
      <c r="I142" s="89">
        <f>-SUMIFS('4月数据源'!$I:$I,'4月数据源'!$D:$D,$E142,'4月数据源'!$F:$F,"HK01")*I$185+SUMIFS('4月数据源'!$J:$J,'4月数据源'!$D:$D,$E142,'4月数据源'!$F:$F,"HK01")*I$185</f>
        <v/>
      </c>
      <c r="J142" s="89">
        <f>-SUMIFS('5月数据源'!$I:$I,'5月数据源'!$D:$D,$E142,'5月数据源'!$F:$F,"HK01")*J$185+SUMIFS('5月数据源'!$J:$J,'5月数据源'!$D:$D,$E142,'5月数据源'!$F:$F,"HK01")*J$185</f>
        <v/>
      </c>
      <c r="K142" s="89">
        <f>-SUMIFS('6月数据源'!$I:$I,'6月数据源'!$D:$D,$E142,'6月数据源'!$F:$F,"HK01")*K$185+SUMIFS('6月数据源'!$J:$J,'6月数据源'!$D:$D,$E142,'6月数据源'!$F:$F,"HK01")*K$185</f>
        <v/>
      </c>
      <c r="L142" s="89">
        <f>-SUMIFS('7月数据源'!$I:$I,'7月数据源'!$D:$D,$E142,'7月数据源'!$F:$F,"HK01")*L$185+SUMIFS('7月数据源'!$J:$J,'7月数据源'!$D:$D,$E142,'7月数据源'!$F:$F,"HK01")*L$185</f>
        <v/>
      </c>
      <c r="M142" s="89">
        <f>-SUMIFS('8月数据源'!$I:$I,'8月数据源'!$D:$D,$E142,'8月数据源'!$F:$F,"HK01")*M$185+SUMIFS('8月数据源'!$J:$J,'8月数据源'!$D:$D,$E142,'8月数据源'!$F:$F,"HK01")*M$185</f>
        <v/>
      </c>
      <c r="N142" s="89">
        <f>-SUMIFS('9月数据源'!$I:$I,'9月数据源'!$D:$D,$E142,'9月数据源'!$F:$F,"HK01")*N$185+SUMIFS('9月数据源'!$J:$J,'9月数据源'!$D:$D,$E142,'9月数据源'!$F:$F,"HK01")*N$185</f>
        <v/>
      </c>
      <c r="O142" s="89">
        <f>-SUMIFS('10月数据源'!$I:$I,'10月数据源'!$D:$D,$E142,'10月数据源'!$F:$F,"HK01")*O$185+SUMIFS('10月数据源'!$J:$J,'10月数据源'!$D:$D,$E142,'10月数据源'!$F:$F,"HK01")*O$185</f>
        <v/>
      </c>
      <c r="P142" s="89">
        <f>-SUMIFS('11月数据源'!$I:$I,'11月数据源'!$D:$D,$E142,'11月数据源'!$F:$F,"HK01")*P$185+SUMIFS('11月数据源'!$J:$J,'11月数据源'!$D:$D,$E142,'11月数据源'!$F:$F,"HK01")*P$185</f>
        <v/>
      </c>
      <c r="Q142" s="89">
        <f>-SUMIFS('12月数据源'!$I:$I,'12月数据源'!$D:$D,$E142,'12月数据源'!$F:$F,"HK01")*Q$185+SUMIFS('12月数据源'!$J:$J,'12月数据源'!$D:$D,$E142,'12月数据源'!$F:$F,"HK01")*Q$185</f>
        <v/>
      </c>
    </row>
    <row r="143" s="83">
      <c r="A143" s="5" t="inlineStr">
        <is>
          <t>管理费用</t>
        </is>
      </c>
      <c r="B143" s="6" t="inlineStr">
        <is>
          <t>办公场地使用费</t>
        </is>
      </c>
      <c r="D143" s="5" t="inlineStr">
        <is>
          <t>其他办公场地使用费</t>
        </is>
      </c>
      <c r="E143" s="6" t="inlineStr">
        <is>
          <t>Q2706</t>
        </is>
      </c>
      <c r="F143" s="89">
        <f>-SUMIFS('1月数据源'!$I:$I,'1月数据源'!$D:$D,$E143,'1月数据源'!$F:$F,"HK01")*F$185+SUMIFS('1月数据源'!$J:$J,'1月数据源'!$D:$D,$E143,'1月数据源'!$F:$F,"HK01")*F$185</f>
        <v/>
      </c>
      <c r="G143" s="89">
        <f>-SUMIFS('2月数据源'!$I:$I,'2月数据源'!$D:$D,$E143,'2月数据源'!$F:$F,"HK01")*G$185+SUMIFS('2月数据源'!$J:$J,'2月数据源'!$D:$D,$E143,'2月数据源'!$F:$F,"HK01")*G$185</f>
        <v/>
      </c>
      <c r="H143" s="89">
        <f>-SUMIFS('3月数据源'!$I:$I,'3月数据源'!$D:$D,$E143,'3月数据源'!$F:$F,"HK01")*H$185+SUMIFS('3月数据源'!$J:$J,'3月数据源'!$D:$D,$E143,'3月数据源'!$F:$F,"HK01")*H$185</f>
        <v/>
      </c>
      <c r="I143" s="89">
        <f>-SUMIFS('4月数据源'!$I:$I,'4月数据源'!$D:$D,$E143,'4月数据源'!$F:$F,"HK01")*I$185+SUMIFS('4月数据源'!$J:$J,'4月数据源'!$D:$D,$E143,'4月数据源'!$F:$F,"HK01")*I$185</f>
        <v/>
      </c>
      <c r="J143" s="89">
        <f>-SUMIFS('5月数据源'!$I:$I,'5月数据源'!$D:$D,$E143,'5月数据源'!$F:$F,"HK01")*J$185+SUMIFS('5月数据源'!$J:$J,'5月数据源'!$D:$D,$E143,'5月数据源'!$F:$F,"HK01")*J$185</f>
        <v/>
      </c>
      <c r="K143" s="89">
        <f>-SUMIFS('6月数据源'!$I:$I,'6月数据源'!$D:$D,$E143,'6月数据源'!$F:$F,"HK01")*K$185+SUMIFS('6月数据源'!$J:$J,'6月数据源'!$D:$D,$E143,'6月数据源'!$F:$F,"HK01")*K$185</f>
        <v/>
      </c>
      <c r="L143" s="89">
        <f>-SUMIFS('7月数据源'!$I:$I,'7月数据源'!$D:$D,$E143,'7月数据源'!$F:$F,"HK01")*L$185+SUMIFS('7月数据源'!$J:$J,'7月数据源'!$D:$D,$E143,'7月数据源'!$F:$F,"HK01")*L$185</f>
        <v/>
      </c>
      <c r="M143" s="89">
        <f>-SUMIFS('8月数据源'!$I:$I,'8月数据源'!$D:$D,$E143,'8月数据源'!$F:$F,"HK01")*M$185+SUMIFS('8月数据源'!$J:$J,'8月数据源'!$D:$D,$E143,'8月数据源'!$F:$F,"HK01")*M$185</f>
        <v/>
      </c>
      <c r="N143" s="89">
        <f>-SUMIFS('9月数据源'!$I:$I,'9月数据源'!$D:$D,$E143,'9月数据源'!$F:$F,"HK01")*N$185+SUMIFS('9月数据源'!$J:$J,'9月数据源'!$D:$D,$E143,'9月数据源'!$F:$F,"HK01")*N$185</f>
        <v/>
      </c>
      <c r="O143" s="89">
        <f>-SUMIFS('10月数据源'!$I:$I,'10月数据源'!$D:$D,$E143,'10月数据源'!$F:$F,"HK01")*O$185+SUMIFS('10月数据源'!$J:$J,'10月数据源'!$D:$D,$E143,'10月数据源'!$F:$F,"HK01")*O$185</f>
        <v/>
      </c>
      <c r="P143" s="89">
        <f>-SUMIFS('11月数据源'!$I:$I,'11月数据源'!$D:$D,$E143,'11月数据源'!$F:$F,"HK01")*P$185+SUMIFS('11月数据源'!$J:$J,'11月数据源'!$D:$D,$E143,'11月数据源'!$F:$F,"HK01")*P$185</f>
        <v/>
      </c>
      <c r="Q143" s="89">
        <f>-SUMIFS('12月数据源'!$I:$I,'12月数据源'!$D:$D,$E143,'12月数据源'!$F:$F,"HK01")*Q$185+SUMIFS('12月数据源'!$J:$J,'12月数据源'!$D:$D,$E143,'12月数据源'!$F:$F,"HK01")*Q$185</f>
        <v/>
      </c>
    </row>
    <row r="144" s="83">
      <c r="A144" s="5" t="inlineStr">
        <is>
          <t>管理费用</t>
        </is>
      </c>
      <c r="B144" s="6" t="inlineStr">
        <is>
          <t>办公场地使用费</t>
        </is>
      </c>
      <c r="D144" s="5" t="inlineStr">
        <is>
          <t>其他办公场地物业水电费</t>
        </is>
      </c>
      <c r="E144" s="6" t="inlineStr">
        <is>
          <t>Q2708</t>
        </is>
      </c>
      <c r="F144" s="89">
        <f>-SUMIFS('1月数据源'!$I:$I,'1月数据源'!$D:$D,$E144,'1月数据源'!$F:$F,"HK01")*F$185+SUMIFS('1月数据源'!$J:$J,'1月数据源'!$D:$D,$E144,'1月数据源'!$F:$F,"HK01")*F$185</f>
        <v/>
      </c>
      <c r="G144" s="89">
        <f>-SUMIFS('2月数据源'!$I:$I,'2月数据源'!$D:$D,$E144,'2月数据源'!$F:$F,"HK01")*G$185+SUMIFS('2月数据源'!$J:$J,'2月数据源'!$D:$D,$E144,'2月数据源'!$F:$F,"HK01")*G$185</f>
        <v/>
      </c>
      <c r="H144" s="89">
        <f>-SUMIFS('3月数据源'!$I:$I,'3月数据源'!$D:$D,$E144,'3月数据源'!$F:$F,"HK01")*H$185+SUMIFS('3月数据源'!$J:$J,'3月数据源'!$D:$D,$E144,'3月数据源'!$F:$F,"HK01")*H$185</f>
        <v/>
      </c>
      <c r="I144" s="89">
        <f>-SUMIFS('4月数据源'!$I:$I,'4月数据源'!$D:$D,$E144,'4月数据源'!$F:$F,"HK01")*I$185+SUMIFS('4月数据源'!$J:$J,'4月数据源'!$D:$D,$E144,'4月数据源'!$F:$F,"HK01")*I$185</f>
        <v/>
      </c>
      <c r="J144" s="89">
        <f>-SUMIFS('5月数据源'!$I:$I,'5月数据源'!$D:$D,$E144,'5月数据源'!$F:$F,"HK01")*J$185+SUMIFS('5月数据源'!$J:$J,'5月数据源'!$D:$D,$E144,'5月数据源'!$F:$F,"HK01")*J$185</f>
        <v/>
      </c>
      <c r="K144" s="89">
        <f>-SUMIFS('6月数据源'!$I:$I,'6月数据源'!$D:$D,$E144,'6月数据源'!$F:$F,"HK01")*K$185+SUMIFS('6月数据源'!$J:$J,'6月数据源'!$D:$D,$E144,'6月数据源'!$F:$F,"HK01")*K$185</f>
        <v/>
      </c>
      <c r="L144" s="89">
        <f>-SUMIFS('7月数据源'!$I:$I,'7月数据源'!$D:$D,$E144,'7月数据源'!$F:$F,"HK01")*L$185+SUMIFS('7月数据源'!$J:$J,'7月数据源'!$D:$D,$E144,'7月数据源'!$F:$F,"HK01")*L$185</f>
        <v/>
      </c>
      <c r="M144" s="89">
        <f>-SUMIFS('8月数据源'!$I:$I,'8月数据源'!$D:$D,$E144,'8月数据源'!$F:$F,"HK01")*M$185+SUMIFS('8月数据源'!$J:$J,'8月数据源'!$D:$D,$E144,'8月数据源'!$F:$F,"HK01")*M$185</f>
        <v/>
      </c>
      <c r="N144" s="89">
        <f>-SUMIFS('9月数据源'!$I:$I,'9月数据源'!$D:$D,$E144,'9月数据源'!$F:$F,"HK01")*N$185+SUMIFS('9月数据源'!$J:$J,'9月数据源'!$D:$D,$E144,'9月数据源'!$F:$F,"HK01")*N$185</f>
        <v/>
      </c>
      <c r="O144" s="89">
        <f>-SUMIFS('10月数据源'!$I:$I,'10月数据源'!$D:$D,$E144,'10月数据源'!$F:$F,"HK01")*O$185+SUMIFS('10月数据源'!$J:$J,'10月数据源'!$D:$D,$E144,'10月数据源'!$F:$F,"HK01")*O$185</f>
        <v/>
      </c>
      <c r="P144" s="89">
        <f>-SUMIFS('11月数据源'!$I:$I,'11月数据源'!$D:$D,$E144,'11月数据源'!$F:$F,"HK01")*P$185+SUMIFS('11月数据源'!$J:$J,'11月数据源'!$D:$D,$E144,'11月数据源'!$F:$F,"HK01")*P$185</f>
        <v/>
      </c>
      <c r="Q144" s="89">
        <f>-SUMIFS('12月数据源'!$I:$I,'12月数据源'!$D:$D,$E144,'12月数据源'!$F:$F,"HK01")*Q$185+SUMIFS('12月数据源'!$J:$J,'12月数据源'!$D:$D,$E144,'12月数据源'!$F:$F,"HK01")*Q$185</f>
        <v/>
      </c>
    </row>
    <row r="145" s="83">
      <c r="A145" s="5" t="inlineStr">
        <is>
          <t>管理费用</t>
        </is>
      </c>
      <c r="B145" s="6" t="inlineStr">
        <is>
          <t>办公场地使用费</t>
        </is>
      </c>
      <c r="D145" s="5" t="inlineStr">
        <is>
          <t>押金</t>
        </is>
      </c>
      <c r="E145" s="6" t="inlineStr">
        <is>
          <t>Q2707</t>
        </is>
      </c>
      <c r="F145" s="89">
        <f>-SUMIFS('1月数据源'!$I:$I,'1月数据源'!$D:$D,$E145,'1月数据源'!$F:$F,"HK01")*F$185+SUMIFS('1月数据源'!$J:$J,'1月数据源'!$D:$D,$E145,'1月数据源'!$F:$F,"HK01")*F$185</f>
        <v/>
      </c>
      <c r="G145" s="89">
        <f>-SUMIFS('2月数据源'!$I:$I,'2月数据源'!$D:$D,$E145,'2月数据源'!$F:$F,"HK01")*G$185+SUMIFS('2月数据源'!$J:$J,'2月数据源'!$D:$D,$E145,'2月数据源'!$F:$F,"HK01")*G$185</f>
        <v/>
      </c>
      <c r="H145" s="89">
        <f>-SUMIFS('3月数据源'!$I:$I,'3月数据源'!$D:$D,$E145,'3月数据源'!$F:$F,"HK01")*H$185+SUMIFS('3月数据源'!$J:$J,'3月数据源'!$D:$D,$E145,'3月数据源'!$F:$F,"HK01")*H$185</f>
        <v/>
      </c>
      <c r="I145" s="89">
        <f>-SUMIFS('4月数据源'!$I:$I,'4月数据源'!$D:$D,$E145,'4月数据源'!$F:$F,"HK01")*I$185+SUMIFS('4月数据源'!$J:$J,'4月数据源'!$D:$D,$E145,'4月数据源'!$F:$F,"HK01")*I$185</f>
        <v/>
      </c>
      <c r="J145" s="89">
        <f>-SUMIFS('5月数据源'!$I:$I,'5月数据源'!$D:$D,$E145,'5月数据源'!$F:$F,"HK01")*J$185+SUMIFS('5月数据源'!$J:$J,'5月数据源'!$D:$D,$E145,'5月数据源'!$F:$F,"HK01")*J$185</f>
        <v/>
      </c>
      <c r="K145" s="89">
        <f>-SUMIFS('6月数据源'!$I:$I,'6月数据源'!$D:$D,$E145,'6月数据源'!$F:$F,"HK01")*K$185+SUMIFS('6月数据源'!$J:$J,'6月数据源'!$D:$D,$E145,'6月数据源'!$F:$F,"HK01")*K$185</f>
        <v/>
      </c>
      <c r="L145" s="89">
        <f>-SUMIFS('7月数据源'!$I:$I,'7月数据源'!$D:$D,$E145,'7月数据源'!$F:$F,"HK01")*L$185+SUMIFS('7月数据源'!$J:$J,'7月数据源'!$D:$D,$E145,'7月数据源'!$F:$F,"HK01")*L$185</f>
        <v/>
      </c>
      <c r="M145" s="89">
        <f>-SUMIFS('8月数据源'!$I:$I,'8月数据源'!$D:$D,$E145,'8月数据源'!$F:$F,"HK01")*M$185+SUMIFS('8月数据源'!$J:$J,'8月数据源'!$D:$D,$E145,'8月数据源'!$F:$F,"HK01")*M$185</f>
        <v/>
      </c>
      <c r="N145" s="89">
        <f>-SUMIFS('9月数据源'!$I:$I,'9月数据源'!$D:$D,$E145,'9月数据源'!$F:$F,"HK01")*N$185+SUMIFS('9月数据源'!$J:$J,'9月数据源'!$D:$D,$E145,'9月数据源'!$F:$F,"HK01")*N$185</f>
        <v/>
      </c>
      <c r="O145" s="89">
        <f>-SUMIFS('10月数据源'!$I:$I,'10月数据源'!$D:$D,$E145,'10月数据源'!$F:$F,"HK01")*O$185+SUMIFS('10月数据源'!$J:$J,'10月数据源'!$D:$D,$E145,'10月数据源'!$F:$F,"HK01")*O$185</f>
        <v/>
      </c>
      <c r="P145" s="89">
        <f>-SUMIFS('11月数据源'!$I:$I,'11月数据源'!$D:$D,$E145,'11月数据源'!$F:$F,"HK01")*P$185+SUMIFS('11月数据源'!$J:$J,'11月数据源'!$D:$D,$E145,'11月数据源'!$F:$F,"HK01")*P$185</f>
        <v/>
      </c>
      <c r="Q145" s="89">
        <f>-SUMIFS('12月数据源'!$I:$I,'12月数据源'!$D:$D,$E145,'12月数据源'!$F:$F,"HK01")*Q$185+SUMIFS('12月数据源'!$J:$J,'12月数据源'!$D:$D,$E145,'12月数据源'!$F:$F,"HK01")*Q$185</f>
        <v/>
      </c>
    </row>
    <row r="146" s="83">
      <c r="A146" s="5" t="inlineStr">
        <is>
          <t>管理费用</t>
        </is>
      </c>
      <c r="B146" s="6" t="inlineStr">
        <is>
          <t>服务费</t>
        </is>
      </c>
      <c r="C146" s="6" t="inlineStr">
        <is>
          <t>服务费</t>
        </is>
      </c>
      <c r="D146" s="5" t="inlineStr">
        <is>
          <t>律师费</t>
        </is>
      </c>
      <c r="E146" s="6" t="inlineStr">
        <is>
          <t>Q2801</t>
        </is>
      </c>
      <c r="F146" s="89">
        <f>-SUMIFS('1月数据源'!$I:$I,'1月数据源'!$D:$D,$E146,'1月数据源'!$F:$F,"HK01")*F$185+SUMIFS('1月数据源'!$J:$J,'1月数据源'!$D:$D,$E146,'1月数据源'!$F:$F,"HK01")*F$185</f>
        <v/>
      </c>
      <c r="G146" s="89">
        <f>-SUMIFS('2月数据源'!$I:$I,'2月数据源'!$D:$D,$E146,'2月数据源'!$F:$F,"HK01")*G$185+SUMIFS('2月数据源'!$J:$J,'2月数据源'!$D:$D,$E146,'2月数据源'!$F:$F,"HK01")*G$185</f>
        <v/>
      </c>
      <c r="H146" s="89">
        <f>-SUMIFS('3月数据源'!$I:$I,'3月数据源'!$D:$D,$E146,'3月数据源'!$F:$F,"HK01")*H$185+SUMIFS('3月数据源'!$J:$J,'3月数据源'!$D:$D,$E146,'3月数据源'!$F:$F,"HK01")*H$185</f>
        <v/>
      </c>
      <c r="I146" s="89">
        <f>-SUMIFS('4月数据源'!$I:$I,'4月数据源'!$D:$D,$E146,'4月数据源'!$F:$F,"HK01")*I$185+SUMIFS('4月数据源'!$J:$J,'4月数据源'!$D:$D,$E146,'4月数据源'!$F:$F,"HK01")*I$185</f>
        <v/>
      </c>
      <c r="J146" s="89">
        <f>-SUMIFS('5月数据源'!$I:$I,'5月数据源'!$D:$D,$E146,'5月数据源'!$F:$F,"HK01")*J$185+SUMIFS('5月数据源'!$J:$J,'5月数据源'!$D:$D,$E146,'5月数据源'!$F:$F,"HK01")*J$185</f>
        <v/>
      </c>
      <c r="K146" s="89">
        <f>-SUMIFS('6月数据源'!$I:$I,'6月数据源'!$D:$D,$E146,'6月数据源'!$F:$F,"HK01")*K$185+SUMIFS('6月数据源'!$J:$J,'6月数据源'!$D:$D,$E146,'6月数据源'!$F:$F,"HK01")*K$185</f>
        <v/>
      </c>
      <c r="L146" s="89">
        <f>-SUMIFS('7月数据源'!$I:$I,'7月数据源'!$D:$D,$E146,'7月数据源'!$F:$F,"HK01")*L$185+SUMIFS('7月数据源'!$J:$J,'7月数据源'!$D:$D,$E146,'7月数据源'!$F:$F,"HK01")*L$185</f>
        <v/>
      </c>
      <c r="M146" s="89">
        <f>-SUMIFS('8月数据源'!$I:$I,'8月数据源'!$D:$D,$E146,'8月数据源'!$F:$F,"HK01")*M$185+SUMIFS('8月数据源'!$J:$J,'8月数据源'!$D:$D,$E146,'8月数据源'!$F:$F,"HK01")*M$185</f>
        <v/>
      </c>
      <c r="N146" s="89">
        <f>-SUMIFS('9月数据源'!$I:$I,'9月数据源'!$D:$D,$E146,'9月数据源'!$F:$F,"HK01")*N$185+SUMIFS('9月数据源'!$J:$J,'9月数据源'!$D:$D,$E146,'9月数据源'!$F:$F,"HK01")*N$185</f>
        <v/>
      </c>
      <c r="O146" s="89">
        <f>-SUMIFS('10月数据源'!$I:$I,'10月数据源'!$D:$D,$E146,'10月数据源'!$F:$F,"HK01")*O$185+SUMIFS('10月数据源'!$J:$J,'10月数据源'!$D:$D,$E146,'10月数据源'!$F:$F,"HK01")*O$185</f>
        <v/>
      </c>
      <c r="P146" s="89">
        <f>-SUMIFS('11月数据源'!$I:$I,'11月数据源'!$D:$D,$E146,'11月数据源'!$F:$F,"HK01")*P$185+SUMIFS('11月数据源'!$J:$J,'11月数据源'!$D:$D,$E146,'11月数据源'!$F:$F,"HK01")*P$185</f>
        <v/>
      </c>
      <c r="Q146" s="89">
        <f>-SUMIFS('12月数据源'!$I:$I,'12月数据源'!$D:$D,$E146,'12月数据源'!$F:$F,"HK01")*Q$185+SUMIFS('12月数据源'!$J:$J,'12月数据源'!$D:$D,$E146,'12月数据源'!$F:$F,"HK01")*Q$185</f>
        <v/>
      </c>
    </row>
    <row r="147" s="83">
      <c r="A147" s="5" t="inlineStr">
        <is>
          <t>管理费用</t>
        </is>
      </c>
      <c r="B147" s="6" t="inlineStr">
        <is>
          <t>服务费</t>
        </is>
      </c>
      <c r="D147" s="5" t="inlineStr">
        <is>
          <t>中介代理费用</t>
        </is>
      </c>
      <c r="E147" s="6" t="inlineStr">
        <is>
          <t>Q2802</t>
        </is>
      </c>
      <c r="F147" s="89">
        <f>-SUMIFS('1月数据源'!$I:$I,'1月数据源'!$D:$D,$E147,'1月数据源'!$F:$F,"HK01")*F$185+SUMIFS('1月数据源'!$J:$J,'1月数据源'!$D:$D,$E147,'1月数据源'!$F:$F,"HK01")*F$185</f>
        <v/>
      </c>
      <c r="G147" s="89">
        <f>-SUMIFS('2月数据源'!$I:$I,'2月数据源'!$D:$D,$E147,'2月数据源'!$F:$F,"HK01")*G$185+SUMIFS('2月数据源'!$J:$J,'2月数据源'!$D:$D,$E147,'2月数据源'!$F:$F,"HK01")*G$185</f>
        <v/>
      </c>
      <c r="H147" s="89">
        <f>-SUMIFS('3月数据源'!$I:$I,'3月数据源'!$D:$D,$E147,'3月数据源'!$F:$F,"HK01")*H$185+SUMIFS('3月数据源'!$J:$J,'3月数据源'!$D:$D,$E147,'3月数据源'!$F:$F,"HK01")*H$185</f>
        <v/>
      </c>
      <c r="I147" s="89">
        <f>-SUMIFS('4月数据源'!$I:$I,'4月数据源'!$D:$D,$E147,'4月数据源'!$F:$F,"HK01")*I$185+SUMIFS('4月数据源'!$J:$J,'4月数据源'!$D:$D,$E147,'4月数据源'!$F:$F,"HK01")*I$185</f>
        <v/>
      </c>
      <c r="J147" s="89">
        <f>-SUMIFS('5月数据源'!$I:$I,'5月数据源'!$D:$D,$E147,'5月数据源'!$F:$F,"HK01")*J$185+SUMIFS('5月数据源'!$J:$J,'5月数据源'!$D:$D,$E147,'5月数据源'!$F:$F,"HK01")*J$185</f>
        <v/>
      </c>
      <c r="K147" s="89">
        <f>-SUMIFS('6月数据源'!$I:$I,'6月数据源'!$D:$D,$E147,'6月数据源'!$F:$F,"HK01")*K$185+SUMIFS('6月数据源'!$J:$J,'6月数据源'!$D:$D,$E147,'6月数据源'!$F:$F,"HK01")*K$185</f>
        <v/>
      </c>
      <c r="L147" s="89">
        <f>-SUMIFS('7月数据源'!$I:$I,'7月数据源'!$D:$D,$E147,'7月数据源'!$F:$F,"HK01")*L$185+SUMIFS('7月数据源'!$J:$J,'7月数据源'!$D:$D,$E147,'7月数据源'!$F:$F,"HK01")*L$185</f>
        <v/>
      </c>
      <c r="M147" s="89">
        <f>-SUMIFS('8月数据源'!$I:$I,'8月数据源'!$D:$D,$E147,'8月数据源'!$F:$F,"HK01")*M$185+SUMIFS('8月数据源'!$J:$J,'8月数据源'!$D:$D,$E147,'8月数据源'!$F:$F,"HK01")*M$185</f>
        <v/>
      </c>
      <c r="N147" s="89">
        <f>-SUMIFS('9月数据源'!$I:$I,'9月数据源'!$D:$D,$E147,'9月数据源'!$F:$F,"HK01")*N$185+SUMIFS('9月数据源'!$J:$J,'9月数据源'!$D:$D,$E147,'9月数据源'!$F:$F,"HK01")*N$185</f>
        <v/>
      </c>
      <c r="O147" s="89">
        <f>-SUMIFS('10月数据源'!$I:$I,'10月数据源'!$D:$D,$E147,'10月数据源'!$F:$F,"HK01")*O$185+SUMIFS('10月数据源'!$J:$J,'10月数据源'!$D:$D,$E147,'10月数据源'!$F:$F,"HK01")*O$185</f>
        <v/>
      </c>
      <c r="P147" s="89">
        <f>-SUMIFS('11月数据源'!$I:$I,'11月数据源'!$D:$D,$E147,'11月数据源'!$F:$F,"HK01")*P$185+SUMIFS('11月数据源'!$J:$J,'11月数据源'!$D:$D,$E147,'11月数据源'!$F:$F,"HK01")*P$185</f>
        <v/>
      </c>
      <c r="Q147" s="89">
        <f>-SUMIFS('12月数据源'!$I:$I,'12月数据源'!$D:$D,$E147,'12月数据源'!$F:$F,"HK01")*Q$185+SUMIFS('12月数据源'!$J:$J,'12月数据源'!$D:$D,$E147,'12月数据源'!$F:$F,"HK01")*Q$185</f>
        <v/>
      </c>
    </row>
    <row r="148" s="83">
      <c r="A148" s="5" t="inlineStr">
        <is>
          <t>管理费用</t>
        </is>
      </c>
      <c r="B148" s="6" t="inlineStr">
        <is>
          <t>服务费</t>
        </is>
      </c>
      <c r="D148" s="5" t="inlineStr">
        <is>
          <t>财务咨询费</t>
        </is>
      </c>
      <c r="E148" s="6" t="inlineStr">
        <is>
          <t>Q2803</t>
        </is>
      </c>
      <c r="F148" s="89">
        <f>-SUMIFS('1月数据源'!$I:$I,'1月数据源'!$D:$D,$E148,'1月数据源'!$F:$F,"HK01")*F$185+SUMIFS('1月数据源'!$J:$J,'1月数据源'!$D:$D,$E148,'1月数据源'!$F:$F,"HK01")*F$185</f>
        <v/>
      </c>
      <c r="G148" s="89">
        <f>-SUMIFS('2月数据源'!$I:$I,'2月数据源'!$D:$D,$E148,'2月数据源'!$F:$F,"HK01")*G$185+SUMIFS('2月数据源'!$J:$J,'2月数据源'!$D:$D,$E148,'2月数据源'!$F:$F,"HK01")*G$185</f>
        <v/>
      </c>
      <c r="H148" s="89">
        <f>-SUMIFS('3月数据源'!$I:$I,'3月数据源'!$D:$D,$E148,'3月数据源'!$F:$F,"HK01")*H$185+SUMIFS('3月数据源'!$J:$J,'3月数据源'!$D:$D,$E148,'3月数据源'!$F:$F,"HK01")*H$185</f>
        <v/>
      </c>
      <c r="I148" s="89">
        <f>-SUMIFS('4月数据源'!$I:$I,'4月数据源'!$D:$D,$E148,'4月数据源'!$F:$F,"HK01")*I$185+SUMIFS('4月数据源'!$J:$J,'4月数据源'!$D:$D,$E148,'4月数据源'!$F:$F,"HK01")*I$185</f>
        <v/>
      </c>
      <c r="J148" s="89">
        <f>-SUMIFS('5月数据源'!$I:$I,'5月数据源'!$D:$D,$E148,'5月数据源'!$F:$F,"HK01")*J$185+SUMIFS('5月数据源'!$J:$J,'5月数据源'!$D:$D,$E148,'5月数据源'!$F:$F,"HK01")*J$185</f>
        <v/>
      </c>
      <c r="K148" s="89">
        <f>-SUMIFS('6月数据源'!$I:$I,'6月数据源'!$D:$D,$E148,'6月数据源'!$F:$F,"HK01")*K$185+SUMIFS('6月数据源'!$J:$J,'6月数据源'!$D:$D,$E148,'6月数据源'!$F:$F,"HK01")*K$185</f>
        <v/>
      </c>
      <c r="L148" s="89">
        <f>-SUMIFS('7月数据源'!$I:$I,'7月数据源'!$D:$D,$E148,'7月数据源'!$F:$F,"HK01")*L$185+SUMIFS('7月数据源'!$J:$J,'7月数据源'!$D:$D,$E148,'7月数据源'!$F:$F,"HK01")*L$185</f>
        <v/>
      </c>
      <c r="M148" s="89">
        <f>-SUMIFS('8月数据源'!$I:$I,'8月数据源'!$D:$D,$E148,'8月数据源'!$F:$F,"HK01")*M$185+SUMIFS('8月数据源'!$J:$J,'8月数据源'!$D:$D,$E148,'8月数据源'!$F:$F,"HK01")*M$185</f>
        <v/>
      </c>
      <c r="N148" s="89">
        <f>-SUMIFS('9月数据源'!$I:$I,'9月数据源'!$D:$D,$E148,'9月数据源'!$F:$F,"HK01")*N$185+SUMIFS('9月数据源'!$J:$J,'9月数据源'!$D:$D,$E148,'9月数据源'!$F:$F,"HK01")*N$185</f>
        <v/>
      </c>
      <c r="O148" s="89">
        <f>-SUMIFS('10月数据源'!$I:$I,'10月数据源'!$D:$D,$E148,'10月数据源'!$F:$F,"HK01")*O$185+SUMIFS('10月数据源'!$J:$J,'10月数据源'!$D:$D,$E148,'10月数据源'!$F:$F,"HK01")*O$185</f>
        <v/>
      </c>
      <c r="P148" s="89">
        <f>-SUMIFS('11月数据源'!$I:$I,'11月数据源'!$D:$D,$E148,'11月数据源'!$F:$F,"HK01")*P$185+SUMIFS('11月数据源'!$J:$J,'11月数据源'!$D:$D,$E148,'11月数据源'!$F:$F,"HK01")*P$185</f>
        <v/>
      </c>
      <c r="Q148" s="89">
        <f>-SUMIFS('12月数据源'!$I:$I,'12月数据源'!$D:$D,$E148,'12月数据源'!$F:$F,"HK01")*Q$185+SUMIFS('12月数据源'!$J:$J,'12月数据源'!$D:$D,$E148,'12月数据源'!$F:$F,"HK01")*Q$185</f>
        <v/>
      </c>
    </row>
    <row r="149" s="83">
      <c r="A149" s="5" t="inlineStr">
        <is>
          <t>管理费用</t>
        </is>
      </c>
      <c r="B149" s="6" t="inlineStr">
        <is>
          <t>服务费</t>
        </is>
      </c>
      <c r="D149" s="5" t="inlineStr">
        <is>
          <t>审计费</t>
        </is>
      </c>
      <c r="E149" s="6" t="inlineStr">
        <is>
          <t>Q2804</t>
        </is>
      </c>
      <c r="F149" s="89">
        <f>-SUMIFS('1月数据源'!$I:$I,'1月数据源'!$D:$D,$E149,'1月数据源'!$F:$F,"HK01")*F$185+SUMIFS('1月数据源'!$J:$J,'1月数据源'!$D:$D,$E149,'1月数据源'!$F:$F,"HK01")*F$185</f>
        <v/>
      </c>
      <c r="G149" s="89">
        <f>-SUMIFS('2月数据源'!$I:$I,'2月数据源'!$D:$D,$E149,'2月数据源'!$F:$F,"HK01")*G$185+SUMIFS('2月数据源'!$J:$J,'2月数据源'!$D:$D,$E149,'2月数据源'!$F:$F,"HK01")*G$185</f>
        <v/>
      </c>
      <c r="H149" s="89">
        <f>-SUMIFS('3月数据源'!$I:$I,'3月数据源'!$D:$D,$E149,'3月数据源'!$F:$F,"HK01")*H$185+SUMIFS('3月数据源'!$J:$J,'3月数据源'!$D:$D,$E149,'3月数据源'!$F:$F,"HK01")*H$185</f>
        <v/>
      </c>
      <c r="I149" s="89">
        <f>-SUMIFS('4月数据源'!$I:$I,'4月数据源'!$D:$D,$E149,'4月数据源'!$F:$F,"HK01")*I$185+SUMIFS('4月数据源'!$J:$J,'4月数据源'!$D:$D,$E149,'4月数据源'!$F:$F,"HK01")*I$185</f>
        <v/>
      </c>
      <c r="J149" s="89">
        <f>-SUMIFS('5月数据源'!$I:$I,'5月数据源'!$D:$D,$E149,'5月数据源'!$F:$F,"HK01")*J$185+SUMIFS('5月数据源'!$J:$J,'5月数据源'!$D:$D,$E149,'5月数据源'!$F:$F,"HK01")*J$185</f>
        <v/>
      </c>
      <c r="K149" s="89">
        <f>-SUMIFS('6月数据源'!$I:$I,'6月数据源'!$D:$D,$E149,'6月数据源'!$F:$F,"HK01")*K$185+SUMIFS('6月数据源'!$J:$J,'6月数据源'!$D:$D,$E149,'6月数据源'!$F:$F,"HK01")*K$185</f>
        <v/>
      </c>
      <c r="L149" s="89">
        <f>-SUMIFS('7月数据源'!$I:$I,'7月数据源'!$D:$D,$E149,'7月数据源'!$F:$F,"HK01")*L$185+SUMIFS('7月数据源'!$J:$J,'7月数据源'!$D:$D,$E149,'7月数据源'!$F:$F,"HK01")*L$185</f>
        <v/>
      </c>
      <c r="M149" s="89">
        <f>-SUMIFS('8月数据源'!$I:$I,'8月数据源'!$D:$D,$E149,'8月数据源'!$F:$F,"HK01")*M$185+SUMIFS('8月数据源'!$J:$J,'8月数据源'!$D:$D,$E149,'8月数据源'!$F:$F,"HK01")*M$185</f>
        <v/>
      </c>
      <c r="N149" s="89">
        <f>-SUMIFS('9月数据源'!$I:$I,'9月数据源'!$D:$D,$E149,'9月数据源'!$F:$F,"HK01")*N$185+SUMIFS('9月数据源'!$J:$J,'9月数据源'!$D:$D,$E149,'9月数据源'!$F:$F,"HK01")*N$185</f>
        <v/>
      </c>
      <c r="O149" s="89">
        <f>-SUMIFS('10月数据源'!$I:$I,'10月数据源'!$D:$D,$E149,'10月数据源'!$F:$F,"HK01")*O$185+SUMIFS('10月数据源'!$J:$J,'10月数据源'!$D:$D,$E149,'10月数据源'!$F:$F,"HK01")*O$185</f>
        <v/>
      </c>
      <c r="P149" s="89">
        <f>-SUMIFS('11月数据源'!$I:$I,'11月数据源'!$D:$D,$E149,'11月数据源'!$F:$F,"HK01")*P$185+SUMIFS('11月数据源'!$J:$J,'11月数据源'!$D:$D,$E149,'11月数据源'!$F:$F,"HK01")*P$185</f>
        <v/>
      </c>
      <c r="Q149" s="89">
        <f>-SUMIFS('12月数据源'!$I:$I,'12月数据源'!$D:$D,$E149,'12月数据源'!$F:$F,"HK01")*Q$185+SUMIFS('12月数据源'!$J:$J,'12月数据源'!$D:$D,$E149,'12月数据源'!$F:$F,"HK01")*Q$185</f>
        <v/>
      </c>
    </row>
    <row r="150" s="83">
      <c r="A150" s="5" t="inlineStr">
        <is>
          <t>管理费用</t>
        </is>
      </c>
      <c r="B150" s="6" t="inlineStr">
        <is>
          <t>服务费</t>
        </is>
      </c>
      <c r="D150" s="5" t="inlineStr">
        <is>
          <t>招聘费用</t>
        </is>
      </c>
      <c r="E150" s="6" t="inlineStr">
        <is>
          <t>Q2805</t>
        </is>
      </c>
      <c r="F150" s="89">
        <f>-SUMIFS('1月数据源'!$I:$I,'1月数据源'!$D:$D,$E150,'1月数据源'!$F:$F,"HK01")*F$185+SUMIFS('1月数据源'!$J:$J,'1月数据源'!$D:$D,$E150,'1月数据源'!$F:$F,"HK01")*F$185</f>
        <v/>
      </c>
      <c r="G150" s="89">
        <f>-SUMIFS('2月数据源'!$I:$I,'2月数据源'!$D:$D,$E150,'2月数据源'!$F:$F,"HK01")*G$185+SUMIFS('2月数据源'!$J:$J,'2月数据源'!$D:$D,$E150,'2月数据源'!$F:$F,"HK01")*G$185</f>
        <v/>
      </c>
      <c r="H150" s="89">
        <f>-SUMIFS('3月数据源'!$I:$I,'3月数据源'!$D:$D,$E150,'3月数据源'!$F:$F,"HK01")*H$185+SUMIFS('3月数据源'!$J:$J,'3月数据源'!$D:$D,$E150,'3月数据源'!$F:$F,"HK01")*H$185</f>
        <v/>
      </c>
      <c r="I150" s="89">
        <f>-SUMIFS('4月数据源'!$I:$I,'4月数据源'!$D:$D,$E150,'4月数据源'!$F:$F,"HK01")*I$185+SUMIFS('4月数据源'!$J:$J,'4月数据源'!$D:$D,$E150,'4月数据源'!$F:$F,"HK01")*I$185</f>
        <v/>
      </c>
      <c r="J150" s="89">
        <f>-SUMIFS('5月数据源'!$I:$I,'5月数据源'!$D:$D,$E150,'5月数据源'!$F:$F,"HK01")*J$185+SUMIFS('5月数据源'!$J:$J,'5月数据源'!$D:$D,$E150,'5月数据源'!$F:$F,"HK01")*J$185</f>
        <v/>
      </c>
      <c r="K150" s="89">
        <f>-SUMIFS('6月数据源'!$I:$I,'6月数据源'!$D:$D,$E150,'6月数据源'!$F:$F,"HK01")*K$185+SUMIFS('6月数据源'!$J:$J,'6月数据源'!$D:$D,$E150,'6月数据源'!$F:$F,"HK01")*K$185</f>
        <v/>
      </c>
      <c r="L150" s="89">
        <f>-SUMIFS('7月数据源'!$I:$I,'7月数据源'!$D:$D,$E150,'7月数据源'!$F:$F,"HK01")*L$185+SUMIFS('7月数据源'!$J:$J,'7月数据源'!$D:$D,$E150,'7月数据源'!$F:$F,"HK01")*L$185</f>
        <v/>
      </c>
      <c r="M150" s="89">
        <f>-SUMIFS('8月数据源'!$I:$I,'8月数据源'!$D:$D,$E150,'8月数据源'!$F:$F,"HK01")*M$185+SUMIFS('8月数据源'!$J:$J,'8月数据源'!$D:$D,$E150,'8月数据源'!$F:$F,"HK01")*M$185</f>
        <v/>
      </c>
      <c r="N150" s="89">
        <f>-SUMIFS('9月数据源'!$I:$I,'9月数据源'!$D:$D,$E150,'9月数据源'!$F:$F,"HK01")*N$185+SUMIFS('9月数据源'!$J:$J,'9月数据源'!$D:$D,$E150,'9月数据源'!$F:$F,"HK01")*N$185</f>
        <v/>
      </c>
      <c r="O150" s="89">
        <f>-SUMIFS('10月数据源'!$I:$I,'10月数据源'!$D:$D,$E150,'10月数据源'!$F:$F,"HK01")*O$185+SUMIFS('10月数据源'!$J:$J,'10月数据源'!$D:$D,$E150,'10月数据源'!$F:$F,"HK01")*O$185</f>
        <v/>
      </c>
      <c r="P150" s="89">
        <f>-SUMIFS('11月数据源'!$I:$I,'11月数据源'!$D:$D,$E150,'11月数据源'!$F:$F,"HK01")*P$185+SUMIFS('11月数据源'!$J:$J,'11月数据源'!$D:$D,$E150,'11月数据源'!$F:$F,"HK01")*P$185</f>
        <v/>
      </c>
      <c r="Q150" s="89">
        <f>-SUMIFS('12月数据源'!$I:$I,'12月数据源'!$D:$D,$E150,'12月数据源'!$F:$F,"HK01")*Q$185+SUMIFS('12月数据源'!$J:$J,'12月数据源'!$D:$D,$E150,'12月数据源'!$F:$F,"HK01")*Q$185</f>
        <v/>
      </c>
    </row>
    <row r="151" s="83">
      <c r="A151" s="5" t="inlineStr">
        <is>
          <t>管理费用</t>
        </is>
      </c>
      <c r="B151" s="6" t="inlineStr">
        <is>
          <t>服务费</t>
        </is>
      </c>
      <c r="D151" s="5" t="inlineStr">
        <is>
          <t>软件服务费</t>
        </is>
      </c>
      <c r="E151" s="6" t="inlineStr">
        <is>
          <t>Q2807</t>
        </is>
      </c>
      <c r="F151" s="89">
        <f>-SUMIFS('1月数据源'!$I:$I,'1月数据源'!$D:$D,$E151,'1月数据源'!$F:$F,"HK01")*F$185+SUMIFS('1月数据源'!$J:$J,'1月数据源'!$D:$D,$E151,'1月数据源'!$F:$F,"HK01")*F$185</f>
        <v/>
      </c>
      <c r="G151" s="89">
        <f>-SUMIFS('2月数据源'!$I:$I,'2月数据源'!$D:$D,$E151,'2月数据源'!$F:$F,"HK01")*G$185+SUMIFS('2月数据源'!$J:$J,'2月数据源'!$D:$D,$E151,'2月数据源'!$F:$F,"HK01")*G$185</f>
        <v/>
      </c>
      <c r="H151" s="89">
        <f>-SUMIFS('3月数据源'!$I:$I,'3月数据源'!$D:$D,$E151,'3月数据源'!$F:$F,"HK01")*H$185+SUMIFS('3月数据源'!$J:$J,'3月数据源'!$D:$D,$E151,'3月数据源'!$F:$F,"HK01")*H$185</f>
        <v/>
      </c>
      <c r="I151" s="89">
        <f>-SUMIFS('4月数据源'!$I:$I,'4月数据源'!$D:$D,$E151,'4月数据源'!$F:$F,"HK01")*I$185+SUMIFS('4月数据源'!$J:$J,'4月数据源'!$D:$D,$E151,'4月数据源'!$F:$F,"HK01")*I$185</f>
        <v/>
      </c>
      <c r="J151" s="89">
        <f>-SUMIFS('5月数据源'!$I:$I,'5月数据源'!$D:$D,$E151,'5月数据源'!$F:$F,"HK01")*J$185+SUMIFS('5月数据源'!$J:$J,'5月数据源'!$D:$D,$E151,'5月数据源'!$F:$F,"HK01")*J$185</f>
        <v/>
      </c>
      <c r="K151" s="89">
        <f>-SUMIFS('6月数据源'!$I:$I,'6月数据源'!$D:$D,$E151,'6月数据源'!$F:$F,"HK01")*K$185+SUMIFS('6月数据源'!$J:$J,'6月数据源'!$D:$D,$E151,'6月数据源'!$F:$F,"HK01")*K$185</f>
        <v/>
      </c>
      <c r="L151" s="89">
        <f>-SUMIFS('7月数据源'!$I:$I,'7月数据源'!$D:$D,$E151,'7月数据源'!$F:$F,"HK01")*L$185+SUMIFS('7月数据源'!$J:$J,'7月数据源'!$D:$D,$E151,'7月数据源'!$F:$F,"HK01")*L$185</f>
        <v/>
      </c>
      <c r="M151" s="89">
        <f>-SUMIFS('8月数据源'!$I:$I,'8月数据源'!$D:$D,$E151,'8月数据源'!$F:$F,"HK01")*M$185+SUMIFS('8月数据源'!$J:$J,'8月数据源'!$D:$D,$E151,'8月数据源'!$F:$F,"HK01")*M$185</f>
        <v/>
      </c>
      <c r="N151" s="89">
        <f>-SUMIFS('9月数据源'!$I:$I,'9月数据源'!$D:$D,$E151,'9月数据源'!$F:$F,"HK01")*N$185+SUMIFS('9月数据源'!$J:$J,'9月数据源'!$D:$D,$E151,'9月数据源'!$F:$F,"HK01")*N$185</f>
        <v/>
      </c>
      <c r="O151" s="89">
        <f>-SUMIFS('10月数据源'!$I:$I,'10月数据源'!$D:$D,$E151,'10月数据源'!$F:$F,"HK01")*O$185+SUMIFS('10月数据源'!$J:$J,'10月数据源'!$D:$D,$E151,'10月数据源'!$F:$F,"HK01")*O$185</f>
        <v/>
      </c>
      <c r="P151" s="89">
        <f>-SUMIFS('11月数据源'!$I:$I,'11月数据源'!$D:$D,$E151,'11月数据源'!$F:$F,"HK01")*P$185+SUMIFS('11月数据源'!$J:$J,'11月数据源'!$D:$D,$E151,'11月数据源'!$F:$F,"HK01")*P$185</f>
        <v/>
      </c>
      <c r="Q151" s="89">
        <f>-SUMIFS('12月数据源'!$I:$I,'12月数据源'!$D:$D,$E151,'12月数据源'!$F:$F,"HK01")*Q$185+SUMIFS('12月数据源'!$J:$J,'12月数据源'!$D:$D,$E151,'12月数据源'!$F:$F,"HK01")*Q$185</f>
        <v/>
      </c>
    </row>
    <row r="152" s="83">
      <c r="A152" s="5" t="inlineStr">
        <is>
          <t>管理费用</t>
        </is>
      </c>
      <c r="B152" s="6" t="inlineStr">
        <is>
          <t>服务费</t>
        </is>
      </c>
      <c r="D152" s="5" t="inlineStr">
        <is>
          <t>其他服务费</t>
        </is>
      </c>
      <c r="E152" s="6" t="inlineStr">
        <is>
          <t>Q2806</t>
        </is>
      </c>
      <c r="F152" s="89">
        <f>-SUMIFS('1月数据源'!$I:$I,'1月数据源'!$D:$D,$E152,'1月数据源'!$F:$F,"HK01")*F$185+SUMIFS('1月数据源'!$J:$J,'1月数据源'!$D:$D,$E152,'1月数据源'!$F:$F,"HK01")*F$185</f>
        <v/>
      </c>
      <c r="G152" s="89">
        <f>-SUMIFS('2月数据源'!$I:$I,'2月数据源'!$D:$D,$E152,'2月数据源'!$F:$F,"HK01")*G$185+SUMIFS('2月数据源'!$J:$J,'2月数据源'!$D:$D,$E152,'2月数据源'!$F:$F,"HK01")*G$185</f>
        <v/>
      </c>
      <c r="H152" s="89">
        <f>-SUMIFS('3月数据源'!$I:$I,'3月数据源'!$D:$D,$E152,'3月数据源'!$F:$F,"HK01")*H$185+SUMIFS('3月数据源'!$J:$J,'3月数据源'!$D:$D,$E152,'3月数据源'!$F:$F,"HK01")*H$185</f>
        <v/>
      </c>
      <c r="I152" s="89">
        <f>-SUMIFS('4月数据源'!$I:$I,'4月数据源'!$D:$D,$E152,'4月数据源'!$F:$F,"HK01")*I$185+SUMIFS('4月数据源'!$J:$J,'4月数据源'!$D:$D,$E152,'4月数据源'!$F:$F,"HK01")*I$185</f>
        <v/>
      </c>
      <c r="J152" s="89">
        <f>-SUMIFS('5月数据源'!$I:$I,'5月数据源'!$D:$D,$E152,'5月数据源'!$F:$F,"HK01")*J$185+SUMIFS('5月数据源'!$J:$J,'5月数据源'!$D:$D,$E152,'5月数据源'!$F:$F,"HK01")*J$185</f>
        <v/>
      </c>
      <c r="K152" s="89">
        <f>-SUMIFS('6月数据源'!$I:$I,'6月数据源'!$D:$D,$E152,'6月数据源'!$F:$F,"HK01")*K$185+SUMIFS('6月数据源'!$J:$J,'6月数据源'!$D:$D,$E152,'6月数据源'!$F:$F,"HK01")*K$185</f>
        <v/>
      </c>
      <c r="L152" s="89">
        <f>-SUMIFS('7月数据源'!$I:$I,'7月数据源'!$D:$D,$E152,'7月数据源'!$F:$F,"HK01")*L$185+SUMIFS('7月数据源'!$J:$J,'7月数据源'!$D:$D,$E152,'7月数据源'!$F:$F,"HK01")*L$185</f>
        <v/>
      </c>
      <c r="M152" s="89">
        <f>-SUMIFS('8月数据源'!$I:$I,'8月数据源'!$D:$D,$E152,'8月数据源'!$F:$F,"HK01")*M$185+SUMIFS('8月数据源'!$J:$J,'8月数据源'!$D:$D,$E152,'8月数据源'!$F:$F,"HK01")*M$185</f>
        <v/>
      </c>
      <c r="N152" s="89">
        <f>-SUMIFS('9月数据源'!$I:$I,'9月数据源'!$D:$D,$E152,'9月数据源'!$F:$F,"HK01")*N$185+SUMIFS('9月数据源'!$J:$J,'9月数据源'!$D:$D,$E152,'9月数据源'!$F:$F,"HK01")*N$185</f>
        <v/>
      </c>
      <c r="O152" s="89">
        <f>-SUMIFS('10月数据源'!$I:$I,'10月数据源'!$D:$D,$E152,'10月数据源'!$F:$F,"HK01")*O$185+SUMIFS('10月数据源'!$J:$J,'10月数据源'!$D:$D,$E152,'10月数据源'!$F:$F,"HK01")*O$185</f>
        <v/>
      </c>
      <c r="P152" s="89">
        <f>-SUMIFS('11月数据源'!$I:$I,'11月数据源'!$D:$D,$E152,'11月数据源'!$F:$F,"HK01")*P$185+SUMIFS('11月数据源'!$J:$J,'11月数据源'!$D:$D,$E152,'11月数据源'!$F:$F,"HK01")*P$185</f>
        <v/>
      </c>
      <c r="Q152" s="89">
        <f>-SUMIFS('12月数据源'!$I:$I,'12月数据源'!$D:$D,$E152,'12月数据源'!$F:$F,"HK01")*Q$185+SUMIFS('12月数据源'!$J:$J,'12月数据源'!$D:$D,$E152,'12月数据源'!$F:$F,"HK01")*Q$185</f>
        <v/>
      </c>
    </row>
    <row r="153" s="83">
      <c r="A153" s="5" t="inlineStr">
        <is>
          <t>管理费用</t>
        </is>
      </c>
      <c r="B153" s="6" t="inlineStr">
        <is>
          <t>办公费用</t>
        </is>
      </c>
      <c r="C153" s="6" t="inlineStr">
        <is>
          <t>办公费用</t>
        </is>
      </c>
      <c r="D153" s="5" t="inlineStr">
        <is>
          <t>固定资产采购</t>
        </is>
      </c>
      <c r="E153" s="6" t="inlineStr">
        <is>
          <t>Q2901</t>
        </is>
      </c>
      <c r="F153" s="89">
        <f>-SUMIFS('1月数据源'!$I:$I,'1月数据源'!$D:$D,$E153,'1月数据源'!$F:$F,"HK01")*F$185+SUMIFS('1月数据源'!$J:$J,'1月数据源'!$D:$D,$E153,'1月数据源'!$F:$F,"HK01")*F$185</f>
        <v/>
      </c>
      <c r="G153" s="89">
        <f>-SUMIFS('2月数据源'!$I:$I,'2月数据源'!$D:$D,$E153,'2月数据源'!$F:$F,"HK01")*G$185+SUMIFS('2月数据源'!$J:$J,'2月数据源'!$D:$D,$E153,'2月数据源'!$F:$F,"HK01")*G$185</f>
        <v/>
      </c>
      <c r="H153" s="89">
        <f>-SUMIFS('3月数据源'!$I:$I,'3月数据源'!$D:$D,$E153,'3月数据源'!$F:$F,"HK01")*H$185+SUMIFS('3月数据源'!$J:$J,'3月数据源'!$D:$D,$E153,'3月数据源'!$F:$F,"HK01")*H$185</f>
        <v/>
      </c>
      <c r="I153" s="89">
        <f>-SUMIFS('4月数据源'!$I:$I,'4月数据源'!$D:$D,$E153,'4月数据源'!$F:$F,"HK01")*I$185+SUMIFS('4月数据源'!$J:$J,'4月数据源'!$D:$D,$E153,'4月数据源'!$F:$F,"HK01")*I$185</f>
        <v/>
      </c>
      <c r="J153" s="89">
        <f>-SUMIFS('5月数据源'!$I:$I,'5月数据源'!$D:$D,$E153,'5月数据源'!$F:$F,"HK01")*J$185+SUMIFS('5月数据源'!$J:$J,'5月数据源'!$D:$D,$E153,'5月数据源'!$F:$F,"HK01")*J$185</f>
        <v/>
      </c>
      <c r="K153" s="89">
        <f>-SUMIFS('6月数据源'!$I:$I,'6月数据源'!$D:$D,$E153,'6月数据源'!$F:$F,"HK01")*K$185+SUMIFS('6月数据源'!$J:$J,'6月数据源'!$D:$D,$E153,'6月数据源'!$F:$F,"HK01")*K$185</f>
        <v/>
      </c>
      <c r="L153" s="89">
        <f>-SUMIFS('7月数据源'!$I:$I,'7月数据源'!$D:$D,$E153,'7月数据源'!$F:$F,"HK01")*L$185+SUMIFS('7月数据源'!$J:$J,'7月数据源'!$D:$D,$E153,'7月数据源'!$F:$F,"HK01")*L$185</f>
        <v/>
      </c>
      <c r="M153" s="89">
        <f>-SUMIFS('8月数据源'!$I:$I,'8月数据源'!$D:$D,$E153,'8月数据源'!$F:$F,"HK01")*M$185+SUMIFS('8月数据源'!$J:$J,'8月数据源'!$D:$D,$E153,'8月数据源'!$F:$F,"HK01")*M$185</f>
        <v/>
      </c>
      <c r="N153" s="89">
        <f>-SUMIFS('9月数据源'!$I:$I,'9月数据源'!$D:$D,$E153,'9月数据源'!$F:$F,"HK01")*N$185+SUMIFS('9月数据源'!$J:$J,'9月数据源'!$D:$D,$E153,'9月数据源'!$F:$F,"HK01")*N$185</f>
        <v/>
      </c>
      <c r="O153" s="89">
        <f>-SUMIFS('10月数据源'!$I:$I,'10月数据源'!$D:$D,$E153,'10月数据源'!$F:$F,"HK01")*O$185+SUMIFS('10月数据源'!$J:$J,'10月数据源'!$D:$D,$E153,'10月数据源'!$F:$F,"HK01")*O$185</f>
        <v/>
      </c>
      <c r="P153" s="89">
        <f>-SUMIFS('11月数据源'!$I:$I,'11月数据源'!$D:$D,$E153,'11月数据源'!$F:$F,"HK01")*P$185+SUMIFS('11月数据源'!$J:$J,'11月数据源'!$D:$D,$E153,'11月数据源'!$F:$F,"HK01")*P$185</f>
        <v/>
      </c>
      <c r="Q153" s="89">
        <f>-SUMIFS('12月数据源'!$I:$I,'12月数据源'!$D:$D,$E153,'12月数据源'!$F:$F,"HK01")*Q$185+SUMIFS('12月数据源'!$J:$J,'12月数据源'!$D:$D,$E153,'12月数据源'!$F:$F,"HK01")*Q$185</f>
        <v/>
      </c>
    </row>
    <row r="154" s="83">
      <c r="A154" s="5" t="inlineStr">
        <is>
          <t>管理费用</t>
        </is>
      </c>
      <c r="B154" s="6" t="inlineStr">
        <is>
          <t>办公费用</t>
        </is>
      </c>
      <c r="D154" s="5" t="inlineStr">
        <is>
          <t>办公用品采购</t>
        </is>
      </c>
      <c r="E154" s="6" t="inlineStr">
        <is>
          <t>Q2902</t>
        </is>
      </c>
      <c r="F154" s="89">
        <f>-SUMIFS('1月数据源'!$I:$I,'1月数据源'!$D:$D,$E154,'1月数据源'!$F:$F,"HK01")*F$185+SUMIFS('1月数据源'!$J:$J,'1月数据源'!$D:$D,$E154,'1月数据源'!$F:$F,"HK01")*F$185</f>
        <v/>
      </c>
      <c r="G154" s="89">
        <f>-SUMIFS('2月数据源'!$I:$I,'2月数据源'!$D:$D,$E154,'2月数据源'!$F:$F,"HK01")*G$185+SUMIFS('2月数据源'!$J:$J,'2月数据源'!$D:$D,$E154,'2月数据源'!$F:$F,"HK01")*G$185</f>
        <v/>
      </c>
      <c r="H154" s="89">
        <f>-SUMIFS('3月数据源'!$I:$I,'3月数据源'!$D:$D,$E154,'3月数据源'!$F:$F,"HK01")*H$185+SUMIFS('3月数据源'!$J:$J,'3月数据源'!$D:$D,$E154,'3月数据源'!$F:$F,"HK01")*H$185</f>
        <v/>
      </c>
      <c r="I154" s="89">
        <f>-SUMIFS('4月数据源'!$I:$I,'4月数据源'!$D:$D,$E154,'4月数据源'!$F:$F,"HK01")*I$185+SUMIFS('4月数据源'!$J:$J,'4月数据源'!$D:$D,$E154,'4月数据源'!$F:$F,"HK01")*I$185</f>
        <v/>
      </c>
      <c r="J154" s="89">
        <f>-SUMIFS('5月数据源'!$I:$I,'5月数据源'!$D:$D,$E154,'5月数据源'!$F:$F,"HK01")*J$185+SUMIFS('5月数据源'!$J:$J,'5月数据源'!$D:$D,$E154,'5月数据源'!$F:$F,"HK01")*J$185</f>
        <v/>
      </c>
      <c r="K154" s="89">
        <f>-SUMIFS('6月数据源'!$I:$I,'6月数据源'!$D:$D,$E154,'6月数据源'!$F:$F,"HK01")*K$185+SUMIFS('6月数据源'!$J:$J,'6月数据源'!$D:$D,$E154,'6月数据源'!$F:$F,"HK01")*K$185</f>
        <v/>
      </c>
      <c r="L154" s="89">
        <f>-SUMIFS('7月数据源'!$I:$I,'7月数据源'!$D:$D,$E154,'7月数据源'!$F:$F,"HK01")*L$185+SUMIFS('7月数据源'!$J:$J,'7月数据源'!$D:$D,$E154,'7月数据源'!$F:$F,"HK01")*L$185</f>
        <v/>
      </c>
      <c r="M154" s="89">
        <f>-SUMIFS('8月数据源'!$I:$I,'8月数据源'!$D:$D,$E154,'8月数据源'!$F:$F,"HK01")*M$185+SUMIFS('8月数据源'!$J:$J,'8月数据源'!$D:$D,$E154,'8月数据源'!$F:$F,"HK01")*M$185</f>
        <v/>
      </c>
      <c r="N154" s="89">
        <f>-SUMIFS('9月数据源'!$I:$I,'9月数据源'!$D:$D,$E154,'9月数据源'!$F:$F,"HK01")*N$185+SUMIFS('9月数据源'!$J:$J,'9月数据源'!$D:$D,$E154,'9月数据源'!$F:$F,"HK01")*N$185</f>
        <v/>
      </c>
      <c r="O154" s="89">
        <f>-SUMIFS('10月数据源'!$I:$I,'10月数据源'!$D:$D,$E154,'10月数据源'!$F:$F,"HK01")*O$185+SUMIFS('10月数据源'!$J:$J,'10月数据源'!$D:$D,$E154,'10月数据源'!$F:$F,"HK01")*O$185</f>
        <v/>
      </c>
      <c r="P154" s="89">
        <f>-SUMIFS('11月数据源'!$I:$I,'11月数据源'!$D:$D,$E154,'11月数据源'!$F:$F,"HK01")*P$185+SUMIFS('11月数据源'!$J:$J,'11月数据源'!$D:$D,$E154,'11月数据源'!$F:$F,"HK01")*P$185</f>
        <v/>
      </c>
      <c r="Q154" s="89">
        <f>-SUMIFS('12月数据源'!$I:$I,'12月数据源'!$D:$D,$E154,'12月数据源'!$F:$F,"HK01")*Q$185+SUMIFS('12月数据源'!$J:$J,'12月数据源'!$D:$D,$E154,'12月数据源'!$F:$F,"HK01")*Q$185</f>
        <v/>
      </c>
    </row>
    <row r="155" s="83">
      <c r="A155" s="5" t="inlineStr">
        <is>
          <t>管理费用</t>
        </is>
      </c>
      <c r="B155" s="6" t="inlineStr">
        <is>
          <t>办公费用</t>
        </is>
      </c>
      <c r="D155" s="5" t="inlineStr">
        <is>
          <t>网络费</t>
        </is>
      </c>
      <c r="E155" s="6" t="inlineStr">
        <is>
          <t>Q2903</t>
        </is>
      </c>
      <c r="F155" s="89">
        <f>-SUMIFS('1月数据源'!$I:$I,'1月数据源'!$D:$D,$E155,'1月数据源'!$F:$F,"HK01")*F$185+SUMIFS('1月数据源'!$J:$J,'1月数据源'!$D:$D,$E155,'1月数据源'!$F:$F,"HK01")*F$185</f>
        <v/>
      </c>
      <c r="G155" s="89">
        <f>-SUMIFS('2月数据源'!$I:$I,'2月数据源'!$D:$D,$E155,'2月数据源'!$F:$F,"HK01")*G$185+SUMIFS('2月数据源'!$J:$J,'2月数据源'!$D:$D,$E155,'2月数据源'!$F:$F,"HK01")*G$185</f>
        <v/>
      </c>
      <c r="H155" s="89">
        <f>-SUMIFS('3月数据源'!$I:$I,'3月数据源'!$D:$D,$E155,'3月数据源'!$F:$F,"HK01")*H$185+SUMIFS('3月数据源'!$J:$J,'3月数据源'!$D:$D,$E155,'3月数据源'!$F:$F,"HK01")*H$185</f>
        <v/>
      </c>
      <c r="I155" s="89">
        <f>-SUMIFS('4月数据源'!$I:$I,'4月数据源'!$D:$D,$E155,'4月数据源'!$F:$F,"HK01")*I$185+SUMIFS('4月数据源'!$J:$J,'4月数据源'!$D:$D,$E155,'4月数据源'!$F:$F,"HK01")*I$185</f>
        <v/>
      </c>
      <c r="J155" s="89">
        <f>-SUMIFS('5月数据源'!$I:$I,'5月数据源'!$D:$D,$E155,'5月数据源'!$F:$F,"HK01")*J$185+SUMIFS('5月数据源'!$J:$J,'5月数据源'!$D:$D,$E155,'5月数据源'!$F:$F,"HK01")*J$185</f>
        <v/>
      </c>
      <c r="K155" s="89">
        <f>-SUMIFS('6月数据源'!$I:$I,'6月数据源'!$D:$D,$E155,'6月数据源'!$F:$F,"HK01")*K$185+SUMIFS('6月数据源'!$J:$J,'6月数据源'!$D:$D,$E155,'6月数据源'!$F:$F,"HK01")*K$185</f>
        <v/>
      </c>
      <c r="L155" s="89">
        <f>-SUMIFS('7月数据源'!$I:$I,'7月数据源'!$D:$D,$E155,'7月数据源'!$F:$F,"HK01")*L$185+SUMIFS('7月数据源'!$J:$J,'7月数据源'!$D:$D,$E155,'7月数据源'!$F:$F,"HK01")*L$185</f>
        <v/>
      </c>
      <c r="M155" s="89">
        <f>-SUMIFS('8月数据源'!$I:$I,'8月数据源'!$D:$D,$E155,'8月数据源'!$F:$F,"HK01")*M$185+SUMIFS('8月数据源'!$J:$J,'8月数据源'!$D:$D,$E155,'8月数据源'!$F:$F,"HK01")*M$185</f>
        <v/>
      </c>
      <c r="N155" s="89">
        <f>-SUMIFS('9月数据源'!$I:$I,'9月数据源'!$D:$D,$E155,'9月数据源'!$F:$F,"HK01")*N$185+SUMIFS('9月数据源'!$J:$J,'9月数据源'!$D:$D,$E155,'9月数据源'!$F:$F,"HK01")*N$185</f>
        <v/>
      </c>
      <c r="O155" s="89">
        <f>-SUMIFS('10月数据源'!$I:$I,'10月数据源'!$D:$D,$E155,'10月数据源'!$F:$F,"HK01")*O$185+SUMIFS('10月数据源'!$J:$J,'10月数据源'!$D:$D,$E155,'10月数据源'!$F:$F,"HK01")*O$185</f>
        <v/>
      </c>
      <c r="P155" s="89">
        <f>-SUMIFS('11月数据源'!$I:$I,'11月数据源'!$D:$D,$E155,'11月数据源'!$F:$F,"HK01")*P$185+SUMIFS('11月数据源'!$J:$J,'11月数据源'!$D:$D,$E155,'11月数据源'!$F:$F,"HK01")*P$185</f>
        <v/>
      </c>
      <c r="Q155" s="89">
        <f>-SUMIFS('12月数据源'!$I:$I,'12月数据源'!$D:$D,$E155,'12月数据源'!$F:$F,"HK01")*Q$185+SUMIFS('12月数据源'!$J:$J,'12月数据源'!$D:$D,$E155,'12月数据源'!$F:$F,"HK01")*Q$185</f>
        <v/>
      </c>
    </row>
    <row r="156" s="83">
      <c r="A156" s="5" t="inlineStr">
        <is>
          <t>管理费用</t>
        </is>
      </c>
      <c r="B156" s="6" t="inlineStr">
        <is>
          <t>办公费用</t>
        </is>
      </c>
      <c r="D156" s="5" t="inlineStr">
        <is>
          <t>通讯费</t>
        </is>
      </c>
      <c r="E156" s="6" t="inlineStr">
        <is>
          <t>Q2904</t>
        </is>
      </c>
      <c r="F156" s="89">
        <f>-SUMIFS('1月数据源'!$I:$I,'1月数据源'!$D:$D,$E156,'1月数据源'!$F:$F,"HK01")*F$185+SUMIFS('1月数据源'!$J:$J,'1月数据源'!$D:$D,$E156,'1月数据源'!$F:$F,"HK01")*F$185</f>
        <v/>
      </c>
      <c r="G156" s="89">
        <f>-SUMIFS('2月数据源'!$I:$I,'2月数据源'!$D:$D,$E156,'2月数据源'!$F:$F,"HK01")*G$185+SUMIFS('2月数据源'!$J:$J,'2月数据源'!$D:$D,$E156,'2月数据源'!$F:$F,"HK01")*G$185</f>
        <v/>
      </c>
      <c r="H156" s="89">
        <f>-SUMIFS('3月数据源'!$I:$I,'3月数据源'!$D:$D,$E156,'3月数据源'!$F:$F,"HK01")*H$185+SUMIFS('3月数据源'!$J:$J,'3月数据源'!$D:$D,$E156,'3月数据源'!$F:$F,"HK01")*H$185</f>
        <v/>
      </c>
      <c r="I156" s="89">
        <f>-SUMIFS('4月数据源'!$I:$I,'4月数据源'!$D:$D,$E156,'4月数据源'!$F:$F,"HK01")*I$185+SUMIFS('4月数据源'!$J:$J,'4月数据源'!$D:$D,$E156,'4月数据源'!$F:$F,"HK01")*I$185</f>
        <v/>
      </c>
      <c r="J156" s="89">
        <f>-SUMIFS('5月数据源'!$I:$I,'5月数据源'!$D:$D,$E156,'5月数据源'!$F:$F,"HK01")*J$185+SUMIFS('5月数据源'!$J:$J,'5月数据源'!$D:$D,$E156,'5月数据源'!$F:$F,"HK01")*J$185</f>
        <v/>
      </c>
      <c r="K156" s="89">
        <f>-SUMIFS('6月数据源'!$I:$I,'6月数据源'!$D:$D,$E156,'6月数据源'!$F:$F,"HK01")*K$185+SUMIFS('6月数据源'!$J:$J,'6月数据源'!$D:$D,$E156,'6月数据源'!$F:$F,"HK01")*K$185</f>
        <v/>
      </c>
      <c r="L156" s="89">
        <f>-SUMIFS('7月数据源'!$I:$I,'7月数据源'!$D:$D,$E156,'7月数据源'!$F:$F,"HK01")*L$185+SUMIFS('7月数据源'!$J:$J,'7月数据源'!$D:$D,$E156,'7月数据源'!$F:$F,"HK01")*L$185</f>
        <v/>
      </c>
      <c r="M156" s="89">
        <f>-SUMIFS('8月数据源'!$I:$I,'8月数据源'!$D:$D,$E156,'8月数据源'!$F:$F,"HK01")*M$185+SUMIFS('8月数据源'!$J:$J,'8月数据源'!$D:$D,$E156,'8月数据源'!$F:$F,"HK01")*M$185</f>
        <v/>
      </c>
      <c r="N156" s="89">
        <f>-SUMIFS('9月数据源'!$I:$I,'9月数据源'!$D:$D,$E156,'9月数据源'!$F:$F,"HK01")*N$185+SUMIFS('9月数据源'!$J:$J,'9月数据源'!$D:$D,$E156,'9月数据源'!$F:$F,"HK01")*N$185</f>
        <v/>
      </c>
      <c r="O156" s="89">
        <f>-SUMIFS('10月数据源'!$I:$I,'10月数据源'!$D:$D,$E156,'10月数据源'!$F:$F,"HK01")*O$185+SUMIFS('10月数据源'!$J:$J,'10月数据源'!$D:$D,$E156,'10月数据源'!$F:$F,"HK01")*O$185</f>
        <v/>
      </c>
      <c r="P156" s="89">
        <f>-SUMIFS('11月数据源'!$I:$I,'11月数据源'!$D:$D,$E156,'11月数据源'!$F:$F,"HK01")*P$185+SUMIFS('11月数据源'!$J:$J,'11月数据源'!$D:$D,$E156,'11月数据源'!$F:$F,"HK01")*P$185</f>
        <v/>
      </c>
      <c r="Q156" s="89">
        <f>-SUMIFS('12月数据源'!$I:$I,'12月数据源'!$D:$D,$E156,'12月数据源'!$F:$F,"HK01")*Q$185+SUMIFS('12月数据源'!$J:$J,'12月数据源'!$D:$D,$E156,'12月数据源'!$F:$F,"HK01")*Q$185</f>
        <v/>
      </c>
    </row>
    <row r="157" s="83">
      <c r="A157" s="5" t="inlineStr">
        <is>
          <t>管理费用</t>
        </is>
      </c>
      <c r="B157" s="6" t="inlineStr">
        <is>
          <t>办公费用</t>
        </is>
      </c>
      <c r="D157" s="5" t="inlineStr">
        <is>
          <t>快递费</t>
        </is>
      </c>
      <c r="E157" s="6" t="inlineStr">
        <is>
          <t>Q2905</t>
        </is>
      </c>
      <c r="F157" s="89">
        <f>-SUMIFS('1月数据源'!$I:$I,'1月数据源'!$D:$D,$E157,'1月数据源'!$F:$F,"HK01")*F$185+SUMIFS('1月数据源'!$J:$J,'1月数据源'!$D:$D,$E157,'1月数据源'!$F:$F,"HK01")*F$185</f>
        <v/>
      </c>
      <c r="G157" s="89">
        <f>-SUMIFS('2月数据源'!$I:$I,'2月数据源'!$D:$D,$E157,'2月数据源'!$F:$F,"HK01")*G$185+SUMIFS('2月数据源'!$J:$J,'2月数据源'!$D:$D,$E157,'2月数据源'!$F:$F,"HK01")*G$185</f>
        <v/>
      </c>
      <c r="H157" s="89">
        <f>-SUMIFS('3月数据源'!$I:$I,'3月数据源'!$D:$D,$E157,'3月数据源'!$F:$F,"HK01")*H$185+SUMIFS('3月数据源'!$J:$J,'3月数据源'!$D:$D,$E157,'3月数据源'!$F:$F,"HK01")*H$185</f>
        <v/>
      </c>
      <c r="I157" s="89">
        <f>-SUMIFS('4月数据源'!$I:$I,'4月数据源'!$D:$D,$E157,'4月数据源'!$F:$F,"HK01")*I$185+SUMIFS('4月数据源'!$J:$J,'4月数据源'!$D:$D,$E157,'4月数据源'!$F:$F,"HK01")*I$185</f>
        <v/>
      </c>
      <c r="J157" s="89">
        <f>-SUMIFS('5月数据源'!$I:$I,'5月数据源'!$D:$D,$E157,'5月数据源'!$F:$F,"HK01")*J$185+SUMIFS('5月数据源'!$J:$J,'5月数据源'!$D:$D,$E157,'5月数据源'!$F:$F,"HK01")*J$185</f>
        <v/>
      </c>
      <c r="K157" s="89">
        <f>-SUMIFS('6月数据源'!$I:$I,'6月数据源'!$D:$D,$E157,'6月数据源'!$F:$F,"HK01")*K$185+SUMIFS('6月数据源'!$J:$J,'6月数据源'!$D:$D,$E157,'6月数据源'!$F:$F,"HK01")*K$185</f>
        <v/>
      </c>
      <c r="L157" s="89">
        <f>-SUMIFS('7月数据源'!$I:$I,'7月数据源'!$D:$D,$E157,'7月数据源'!$F:$F,"HK01")*L$185+SUMIFS('7月数据源'!$J:$J,'7月数据源'!$D:$D,$E157,'7月数据源'!$F:$F,"HK01")*L$185</f>
        <v/>
      </c>
      <c r="M157" s="89">
        <f>-SUMIFS('8月数据源'!$I:$I,'8月数据源'!$D:$D,$E157,'8月数据源'!$F:$F,"HK01")*M$185+SUMIFS('8月数据源'!$J:$J,'8月数据源'!$D:$D,$E157,'8月数据源'!$F:$F,"HK01")*M$185</f>
        <v/>
      </c>
      <c r="N157" s="89">
        <f>-SUMIFS('9月数据源'!$I:$I,'9月数据源'!$D:$D,$E157,'9月数据源'!$F:$F,"HK01")*N$185+SUMIFS('9月数据源'!$J:$J,'9月数据源'!$D:$D,$E157,'9月数据源'!$F:$F,"HK01")*N$185</f>
        <v/>
      </c>
      <c r="O157" s="89">
        <f>-SUMIFS('10月数据源'!$I:$I,'10月数据源'!$D:$D,$E157,'10月数据源'!$F:$F,"HK01")*O$185+SUMIFS('10月数据源'!$J:$J,'10月数据源'!$D:$D,$E157,'10月数据源'!$F:$F,"HK01")*O$185</f>
        <v/>
      </c>
      <c r="P157" s="89">
        <f>-SUMIFS('11月数据源'!$I:$I,'11月数据源'!$D:$D,$E157,'11月数据源'!$F:$F,"HK01")*P$185+SUMIFS('11月数据源'!$J:$J,'11月数据源'!$D:$D,$E157,'11月数据源'!$F:$F,"HK01")*P$185</f>
        <v/>
      </c>
      <c r="Q157" s="89">
        <f>-SUMIFS('12月数据源'!$I:$I,'12月数据源'!$D:$D,$E157,'12月数据源'!$F:$F,"HK01")*Q$185+SUMIFS('12月数据源'!$J:$J,'12月数据源'!$D:$D,$E157,'12月数据源'!$F:$F,"HK01")*Q$185</f>
        <v/>
      </c>
    </row>
    <row r="158" s="83">
      <c r="A158" s="5" t="inlineStr">
        <is>
          <t>管理费用</t>
        </is>
      </c>
      <c r="B158" s="6" t="inlineStr">
        <is>
          <t>办公费用</t>
        </is>
      </c>
      <c r="D158" s="5" t="inlineStr">
        <is>
          <t>其他员工报销</t>
        </is>
      </c>
      <c r="E158" s="6" t="inlineStr">
        <is>
          <t>Q2907</t>
        </is>
      </c>
      <c r="F158" s="89">
        <f>-SUMIFS('1月数据源'!$I:$I,'1月数据源'!$D:$D,$E158,'1月数据源'!$F:$F,"HK01")*F$185+SUMIFS('1月数据源'!$J:$J,'1月数据源'!$D:$D,$E158,'1月数据源'!$F:$F,"HK01")*F$185</f>
        <v/>
      </c>
      <c r="G158" s="89">
        <f>-SUMIFS('2月数据源'!$I:$I,'2月数据源'!$D:$D,$E158,'2月数据源'!$F:$F,"HK01")*G$185+SUMIFS('2月数据源'!$J:$J,'2月数据源'!$D:$D,$E158,'2月数据源'!$F:$F,"HK01")*G$185</f>
        <v/>
      </c>
      <c r="H158" s="89">
        <f>-SUMIFS('3月数据源'!$I:$I,'3月数据源'!$D:$D,$E158,'3月数据源'!$F:$F,"HK01")*H$185+SUMIFS('3月数据源'!$J:$J,'3月数据源'!$D:$D,$E158,'3月数据源'!$F:$F,"HK01")*H$185</f>
        <v/>
      </c>
      <c r="I158" s="89">
        <f>-SUMIFS('4月数据源'!$I:$I,'4月数据源'!$D:$D,$E158,'4月数据源'!$F:$F,"HK01")*I$185+SUMIFS('4月数据源'!$J:$J,'4月数据源'!$D:$D,$E158,'4月数据源'!$F:$F,"HK01")*I$185</f>
        <v/>
      </c>
      <c r="J158" s="89">
        <f>-SUMIFS('5月数据源'!$I:$I,'5月数据源'!$D:$D,$E158,'5月数据源'!$F:$F,"HK01")*J$185+SUMIFS('5月数据源'!$J:$J,'5月数据源'!$D:$D,$E158,'5月数据源'!$F:$F,"HK01")*J$185</f>
        <v/>
      </c>
      <c r="K158" s="89">
        <f>-SUMIFS('6月数据源'!$I:$I,'6月数据源'!$D:$D,$E158,'6月数据源'!$F:$F,"HK01")*K$185+SUMIFS('6月数据源'!$J:$J,'6月数据源'!$D:$D,$E158,'6月数据源'!$F:$F,"HK01")*K$185</f>
        <v/>
      </c>
      <c r="L158" s="89">
        <f>-SUMIFS('7月数据源'!$I:$I,'7月数据源'!$D:$D,$E158,'7月数据源'!$F:$F,"HK01")*L$185+SUMIFS('7月数据源'!$J:$J,'7月数据源'!$D:$D,$E158,'7月数据源'!$F:$F,"HK01")*L$185</f>
        <v/>
      </c>
      <c r="M158" s="89">
        <f>-SUMIFS('8月数据源'!$I:$I,'8月数据源'!$D:$D,$E158,'8月数据源'!$F:$F,"HK01")*M$185+SUMIFS('8月数据源'!$J:$J,'8月数据源'!$D:$D,$E158,'8月数据源'!$F:$F,"HK01")*M$185</f>
        <v/>
      </c>
      <c r="N158" s="89">
        <f>-SUMIFS('9月数据源'!$I:$I,'9月数据源'!$D:$D,$E158,'9月数据源'!$F:$F,"HK01")*N$185+SUMIFS('9月数据源'!$J:$J,'9月数据源'!$D:$D,$E158,'9月数据源'!$F:$F,"HK01")*N$185</f>
        <v/>
      </c>
      <c r="O158" s="89">
        <f>-SUMIFS('10月数据源'!$I:$I,'10月数据源'!$D:$D,$E158,'10月数据源'!$F:$F,"HK01")*O$185+SUMIFS('10月数据源'!$J:$J,'10月数据源'!$D:$D,$E158,'10月数据源'!$F:$F,"HK01")*O$185</f>
        <v/>
      </c>
      <c r="P158" s="89">
        <f>-SUMIFS('11月数据源'!$I:$I,'11月数据源'!$D:$D,$E158,'11月数据源'!$F:$F,"HK01")*P$185+SUMIFS('11月数据源'!$J:$J,'11月数据源'!$D:$D,$E158,'11月数据源'!$F:$F,"HK01")*P$185</f>
        <v/>
      </c>
      <c r="Q158" s="89">
        <f>-SUMIFS('12月数据源'!$I:$I,'12月数据源'!$D:$D,$E158,'12月数据源'!$F:$F,"HK01")*Q$185+SUMIFS('12月数据源'!$J:$J,'12月数据源'!$D:$D,$E158,'12月数据源'!$F:$F,"HK01")*Q$185</f>
        <v/>
      </c>
    </row>
    <row r="159" s="83">
      <c r="A159" s="5" t="inlineStr">
        <is>
          <t>管理费用</t>
        </is>
      </c>
      <c r="B159" s="6" t="inlineStr">
        <is>
          <t>办公费用</t>
        </is>
      </c>
      <c r="D159" s="5" t="inlineStr">
        <is>
          <t>办公设备租赁费</t>
        </is>
      </c>
      <c r="E159" s="6" t="inlineStr">
        <is>
          <t>Q2908</t>
        </is>
      </c>
      <c r="F159" s="89">
        <f>-SUMIFS('1月数据源'!$I:$I,'1月数据源'!$D:$D,$E159,'1月数据源'!$F:$F,"HK01")*F$185+SUMIFS('1月数据源'!$J:$J,'1月数据源'!$D:$D,$E159,'1月数据源'!$F:$F,"HK01")*F$185</f>
        <v/>
      </c>
      <c r="G159" s="89">
        <f>-SUMIFS('2月数据源'!$I:$I,'2月数据源'!$D:$D,$E159,'2月数据源'!$F:$F,"HK01")*G$185+SUMIFS('2月数据源'!$J:$J,'2月数据源'!$D:$D,$E159,'2月数据源'!$F:$F,"HK01")*G$185</f>
        <v/>
      </c>
      <c r="H159" s="89">
        <f>-SUMIFS('3月数据源'!$I:$I,'3月数据源'!$D:$D,$E159,'3月数据源'!$F:$F,"HK01")*H$185+SUMIFS('3月数据源'!$J:$J,'3月数据源'!$D:$D,$E159,'3月数据源'!$F:$F,"HK01")*H$185</f>
        <v/>
      </c>
      <c r="I159" s="89">
        <f>-SUMIFS('4月数据源'!$I:$I,'4月数据源'!$D:$D,$E159,'4月数据源'!$F:$F,"HK01")*I$185+SUMIFS('4月数据源'!$J:$J,'4月数据源'!$D:$D,$E159,'4月数据源'!$F:$F,"HK01")*I$185</f>
        <v/>
      </c>
      <c r="J159" s="89">
        <f>-SUMIFS('5月数据源'!$I:$I,'5月数据源'!$D:$D,$E159,'5月数据源'!$F:$F,"HK01")*J$185+SUMIFS('5月数据源'!$J:$J,'5月数据源'!$D:$D,$E159,'5月数据源'!$F:$F,"HK01")*J$185</f>
        <v/>
      </c>
      <c r="K159" s="89">
        <f>-SUMIFS('6月数据源'!$I:$I,'6月数据源'!$D:$D,$E159,'6月数据源'!$F:$F,"HK01")*K$185+SUMIFS('6月数据源'!$J:$J,'6月数据源'!$D:$D,$E159,'6月数据源'!$F:$F,"HK01")*K$185</f>
        <v/>
      </c>
      <c r="L159" s="89">
        <f>-SUMIFS('7月数据源'!$I:$I,'7月数据源'!$D:$D,$E159,'7月数据源'!$F:$F,"HK01")*L$185+SUMIFS('7月数据源'!$J:$J,'7月数据源'!$D:$D,$E159,'7月数据源'!$F:$F,"HK01")*L$185</f>
        <v/>
      </c>
      <c r="M159" s="89">
        <f>-SUMIFS('8月数据源'!$I:$I,'8月数据源'!$D:$D,$E159,'8月数据源'!$F:$F,"HK01")*M$185+SUMIFS('8月数据源'!$J:$J,'8月数据源'!$D:$D,$E159,'8月数据源'!$F:$F,"HK01")*M$185</f>
        <v/>
      </c>
      <c r="N159" s="89">
        <f>-SUMIFS('9月数据源'!$I:$I,'9月数据源'!$D:$D,$E159,'9月数据源'!$F:$F,"HK01")*N$185+SUMIFS('9月数据源'!$J:$J,'9月数据源'!$D:$D,$E159,'9月数据源'!$F:$F,"HK01")*N$185</f>
        <v/>
      </c>
      <c r="O159" s="89">
        <f>-SUMIFS('10月数据源'!$I:$I,'10月数据源'!$D:$D,$E159,'10月数据源'!$F:$F,"HK01")*O$185+SUMIFS('10月数据源'!$J:$J,'10月数据源'!$D:$D,$E159,'10月数据源'!$F:$F,"HK01")*O$185</f>
        <v/>
      </c>
      <c r="P159" s="89">
        <f>-SUMIFS('11月数据源'!$I:$I,'11月数据源'!$D:$D,$E159,'11月数据源'!$F:$F,"HK01")*P$185+SUMIFS('11月数据源'!$J:$J,'11月数据源'!$D:$D,$E159,'11月数据源'!$F:$F,"HK01")*P$185</f>
        <v/>
      </c>
      <c r="Q159" s="89">
        <f>-SUMIFS('12月数据源'!$I:$I,'12月数据源'!$D:$D,$E159,'12月数据源'!$F:$F,"HK01")*Q$185+SUMIFS('12月数据源'!$J:$J,'12月数据源'!$D:$D,$E159,'12月数据源'!$F:$F,"HK01")*Q$185</f>
        <v/>
      </c>
    </row>
    <row r="160" s="83">
      <c r="A160" s="5" t="inlineStr">
        <is>
          <t>管理费用</t>
        </is>
      </c>
      <c r="B160" s="6" t="inlineStr">
        <is>
          <t>办公费用</t>
        </is>
      </c>
      <c r="D160" s="5" t="inlineStr">
        <is>
          <t>总经办报销费用</t>
        </is>
      </c>
      <c r="E160" s="6" t="inlineStr">
        <is>
          <t>Q2909</t>
        </is>
      </c>
      <c r="F160" s="89">
        <f>-SUMIFS('1月数据源'!$I:$I,'1月数据源'!$D:$D,$E160,'1月数据源'!$F:$F,"HK01")*F$185+SUMIFS('1月数据源'!$J:$J,'1月数据源'!$D:$D,$E160,'1月数据源'!$F:$F,"HK01")*F$185</f>
        <v/>
      </c>
      <c r="G160" s="89">
        <f>-SUMIFS('2月数据源'!$I:$I,'2月数据源'!$D:$D,$E160,'2月数据源'!$F:$F,"HK01")*G$185+SUMIFS('2月数据源'!$J:$J,'2月数据源'!$D:$D,$E160,'2月数据源'!$F:$F,"HK01")*G$185</f>
        <v/>
      </c>
      <c r="H160" s="89">
        <f>-SUMIFS('3月数据源'!$I:$I,'3月数据源'!$D:$D,$E160,'3月数据源'!$F:$F,"HK01")*H$185+SUMIFS('3月数据源'!$J:$J,'3月数据源'!$D:$D,$E160,'3月数据源'!$F:$F,"HK01")*H$185</f>
        <v/>
      </c>
      <c r="I160" s="89">
        <f>-SUMIFS('4月数据源'!$I:$I,'4月数据源'!$D:$D,$E160,'4月数据源'!$F:$F,"HK01")*I$185+SUMIFS('4月数据源'!$J:$J,'4月数据源'!$D:$D,$E160,'4月数据源'!$F:$F,"HK01")*I$185</f>
        <v/>
      </c>
      <c r="J160" s="89">
        <f>-SUMIFS('5月数据源'!$I:$I,'5月数据源'!$D:$D,$E160,'5月数据源'!$F:$F,"HK01")*J$185+SUMIFS('5月数据源'!$J:$J,'5月数据源'!$D:$D,$E160,'5月数据源'!$F:$F,"HK01")*J$185</f>
        <v/>
      </c>
      <c r="K160" s="89">
        <f>-SUMIFS('6月数据源'!$I:$I,'6月数据源'!$D:$D,$E160,'6月数据源'!$F:$F,"HK01")*K$185+SUMIFS('6月数据源'!$J:$J,'6月数据源'!$D:$D,$E160,'6月数据源'!$F:$F,"HK01")*K$185</f>
        <v/>
      </c>
      <c r="L160" s="89">
        <f>-SUMIFS('7月数据源'!$I:$I,'7月数据源'!$D:$D,$E160,'7月数据源'!$F:$F,"HK01")*L$185+SUMIFS('7月数据源'!$J:$J,'7月数据源'!$D:$D,$E160,'7月数据源'!$F:$F,"HK01")*L$185</f>
        <v/>
      </c>
      <c r="M160" s="89">
        <f>-SUMIFS('8月数据源'!$I:$I,'8月数据源'!$D:$D,$E160,'8月数据源'!$F:$F,"HK01")*M$185+SUMIFS('8月数据源'!$J:$J,'8月数据源'!$D:$D,$E160,'8月数据源'!$F:$F,"HK01")*M$185</f>
        <v/>
      </c>
      <c r="N160" s="89">
        <f>-SUMIFS('9月数据源'!$I:$I,'9月数据源'!$D:$D,$E160,'9月数据源'!$F:$F,"HK01")*N$185+SUMIFS('9月数据源'!$J:$J,'9月数据源'!$D:$D,$E160,'9月数据源'!$F:$F,"HK01")*N$185</f>
        <v/>
      </c>
      <c r="O160" s="89">
        <f>-SUMIFS('10月数据源'!$I:$I,'10月数据源'!$D:$D,$E160,'10月数据源'!$F:$F,"HK01")*O$185+SUMIFS('10月数据源'!$J:$J,'10月数据源'!$D:$D,$E160,'10月数据源'!$F:$F,"HK01")*O$185</f>
        <v/>
      </c>
      <c r="P160" s="89">
        <f>-SUMIFS('11月数据源'!$I:$I,'11月数据源'!$D:$D,$E160,'11月数据源'!$F:$F,"HK01")*P$185+SUMIFS('11月数据源'!$J:$J,'11月数据源'!$D:$D,$E160,'11月数据源'!$F:$F,"HK01")*P$185</f>
        <v/>
      </c>
      <c r="Q160" s="89">
        <f>-SUMIFS('12月数据源'!$I:$I,'12月数据源'!$D:$D,$E160,'12月数据源'!$F:$F,"HK01")*Q$185+SUMIFS('12月数据源'!$J:$J,'12月数据源'!$D:$D,$E160,'12月数据源'!$F:$F,"HK01")*Q$185</f>
        <v/>
      </c>
    </row>
    <row r="161" s="83">
      <c r="A161" s="5" t="inlineStr">
        <is>
          <t>管理费用</t>
        </is>
      </c>
      <c r="B161" s="6" t="inlineStr">
        <is>
          <t>办公费用</t>
        </is>
      </c>
      <c r="D161" s="5" t="inlineStr">
        <is>
          <t>其他办公费用</t>
        </is>
      </c>
      <c r="E161" s="6" t="inlineStr">
        <is>
          <t>Q29010</t>
        </is>
      </c>
      <c r="F161" s="89">
        <f>-SUMIFS('1月数据源'!$I:$I,'1月数据源'!$D:$D,$E161,'1月数据源'!$F:$F,"HK01")*F$185+SUMIFS('1月数据源'!$J:$J,'1月数据源'!$D:$D,$E161,'1月数据源'!$F:$F,"HK01")*F$185</f>
        <v/>
      </c>
      <c r="G161" s="89">
        <f>-SUMIFS('2月数据源'!$I:$I,'2月数据源'!$D:$D,$E161,'2月数据源'!$F:$F,"HK01")*G$185+SUMIFS('2月数据源'!$J:$J,'2月数据源'!$D:$D,$E161,'2月数据源'!$F:$F,"HK01")*G$185</f>
        <v/>
      </c>
      <c r="H161" s="89">
        <f>-SUMIFS('3月数据源'!$I:$I,'3月数据源'!$D:$D,$E161,'3月数据源'!$F:$F,"HK01")*H$185+SUMIFS('3月数据源'!$J:$J,'3月数据源'!$D:$D,$E161,'3月数据源'!$F:$F,"HK01")*H$185</f>
        <v/>
      </c>
      <c r="I161" s="89">
        <f>-SUMIFS('4月数据源'!$I:$I,'4月数据源'!$D:$D,$E161,'4月数据源'!$F:$F,"HK01")*I$185+SUMIFS('4月数据源'!$J:$J,'4月数据源'!$D:$D,$E161,'4月数据源'!$F:$F,"HK01")*I$185</f>
        <v/>
      </c>
      <c r="J161" s="89">
        <f>-SUMIFS('5月数据源'!$I:$I,'5月数据源'!$D:$D,$E161,'5月数据源'!$F:$F,"HK01")*J$185+SUMIFS('5月数据源'!$J:$J,'5月数据源'!$D:$D,$E161,'5月数据源'!$F:$F,"HK01")*J$185</f>
        <v/>
      </c>
      <c r="K161" s="89">
        <f>-SUMIFS('6月数据源'!$I:$I,'6月数据源'!$D:$D,$E161,'6月数据源'!$F:$F,"HK01")*K$185+SUMIFS('6月数据源'!$J:$J,'6月数据源'!$D:$D,$E161,'6月数据源'!$F:$F,"HK01")*K$185</f>
        <v/>
      </c>
      <c r="L161" s="89">
        <f>-SUMIFS('7月数据源'!$I:$I,'7月数据源'!$D:$D,$E161,'7月数据源'!$F:$F,"HK01")*L$185+SUMIFS('7月数据源'!$J:$J,'7月数据源'!$D:$D,$E161,'7月数据源'!$F:$F,"HK01")*L$185</f>
        <v/>
      </c>
      <c r="M161" s="89">
        <f>-SUMIFS('8月数据源'!$I:$I,'8月数据源'!$D:$D,$E161,'8月数据源'!$F:$F,"HK01")*M$185+SUMIFS('8月数据源'!$J:$J,'8月数据源'!$D:$D,$E161,'8月数据源'!$F:$F,"HK01")*M$185</f>
        <v/>
      </c>
      <c r="N161" s="89">
        <f>-SUMIFS('9月数据源'!$I:$I,'9月数据源'!$D:$D,$E161,'9月数据源'!$F:$F,"HK01")*N$185+SUMIFS('9月数据源'!$J:$J,'9月数据源'!$D:$D,$E161,'9月数据源'!$F:$F,"HK01")*N$185</f>
        <v/>
      </c>
      <c r="O161" s="89">
        <f>-SUMIFS('10月数据源'!$I:$I,'10月数据源'!$D:$D,$E161,'10月数据源'!$F:$F,"HK01")*O$185+SUMIFS('10月数据源'!$J:$J,'10月数据源'!$D:$D,$E161,'10月数据源'!$F:$F,"HK01")*O$185</f>
        <v/>
      </c>
      <c r="P161" s="89">
        <f>-SUMIFS('11月数据源'!$I:$I,'11月数据源'!$D:$D,$E161,'11月数据源'!$F:$F,"HK01")*P$185+SUMIFS('11月数据源'!$J:$J,'11月数据源'!$D:$D,$E161,'11月数据源'!$F:$F,"HK01")*P$185</f>
        <v/>
      </c>
      <c r="Q161" s="89">
        <f>-SUMIFS('12月数据源'!$I:$I,'12月数据源'!$D:$D,$E161,'12月数据源'!$F:$F,"HK01")*Q$185+SUMIFS('12月数据源'!$J:$J,'12月数据源'!$D:$D,$E161,'12月数据源'!$F:$F,"HK01")*Q$185</f>
        <v/>
      </c>
    </row>
    <row r="162" s="83">
      <c r="A162" s="49" t="inlineStr">
        <is>
          <t>管理费用合计</t>
        </is>
      </c>
      <c r="B162" s="50" t="n"/>
      <c r="C162" s="50" t="n"/>
      <c r="D162" s="49" t="n"/>
      <c r="E162" s="49" t="n"/>
      <c r="F162" s="89">
        <f>SUM(F138:F161)</f>
        <v/>
      </c>
      <c r="G162" s="89">
        <f>SUM(G138:G161)</f>
        <v/>
      </c>
      <c r="H162" s="89">
        <f>SUM(H138:H161)</f>
        <v/>
      </c>
      <c r="I162" s="89">
        <f>SUM(I138:I161)</f>
        <v/>
      </c>
      <c r="J162" s="89">
        <f>SUM(J138:J161)</f>
        <v/>
      </c>
      <c r="K162" s="89">
        <f>SUM(K138:K161)</f>
        <v/>
      </c>
      <c r="L162" s="89">
        <f>SUM(L138:L161)</f>
        <v/>
      </c>
      <c r="M162" s="89">
        <f>SUM(M138:M161)</f>
        <v/>
      </c>
      <c r="N162" s="89">
        <f>SUM(N138:N161)</f>
        <v/>
      </c>
      <c r="O162" s="89">
        <f>SUM(O138:O161)</f>
        <v/>
      </c>
      <c r="P162" s="89">
        <f>SUM(P138:P161)</f>
        <v/>
      </c>
      <c r="Q162" s="89">
        <f>SUM(Q138:Q161)</f>
        <v/>
      </c>
    </row>
    <row r="163" s="83">
      <c r="A163" s="5" t="inlineStr">
        <is>
          <t>税费成本</t>
        </is>
      </c>
      <c r="B163" s="6" t="inlineStr">
        <is>
          <t>税费成本</t>
        </is>
      </c>
      <c r="C163" s="6" t="inlineStr">
        <is>
          <t>税费成本</t>
        </is>
      </c>
      <c r="D163" s="5" t="inlineStr">
        <is>
          <t>增值税</t>
        </is>
      </c>
      <c r="E163" s="6" t="inlineStr">
        <is>
          <t>Q3001</t>
        </is>
      </c>
      <c r="F163" s="89">
        <f>-SUMIFS('1月数据源'!$I:$I,'1月数据源'!$D:$D,$E163,'1月数据源'!$F:$F,"HK01")*F$185+SUMIFS('1月数据源'!$J:$J,'1月数据源'!$D:$D,$E163,'1月数据源'!$F:$F,"HK01")*F$185</f>
        <v/>
      </c>
      <c r="G163" s="89">
        <f>-SUMIFS('2月数据源'!$I:$I,'2月数据源'!$D:$D,$E163,'2月数据源'!$F:$F,"HK01")*G$185+SUMIFS('2月数据源'!$J:$J,'2月数据源'!$D:$D,$E163,'2月数据源'!$F:$F,"HK01")*G$185</f>
        <v/>
      </c>
      <c r="H163" s="89">
        <f>-SUMIFS('3月数据源'!$I:$I,'3月数据源'!$D:$D,$E163,'3月数据源'!$F:$F,"HK01")*H$185+SUMIFS('3月数据源'!$J:$J,'3月数据源'!$D:$D,$E163,'3月数据源'!$F:$F,"HK01")*H$185</f>
        <v/>
      </c>
      <c r="I163" s="89">
        <f>-SUMIFS('4月数据源'!$I:$I,'4月数据源'!$D:$D,$E163,'4月数据源'!$F:$F,"HK01")*I$185+SUMIFS('4月数据源'!$J:$J,'4月数据源'!$D:$D,$E163,'4月数据源'!$F:$F,"HK01")*I$185</f>
        <v/>
      </c>
      <c r="J163" s="89">
        <f>-SUMIFS('5月数据源'!$I:$I,'5月数据源'!$D:$D,$E163,'5月数据源'!$F:$F,"HK01")*J$185+SUMIFS('5月数据源'!$J:$J,'5月数据源'!$D:$D,$E163,'5月数据源'!$F:$F,"HK01")*J$185</f>
        <v/>
      </c>
      <c r="K163" s="89">
        <f>-SUMIFS('6月数据源'!$I:$I,'6月数据源'!$D:$D,$E163,'6月数据源'!$F:$F,"HK01")*K$185+SUMIFS('6月数据源'!$J:$J,'6月数据源'!$D:$D,$E163,'6月数据源'!$F:$F,"HK01")*K$185</f>
        <v/>
      </c>
      <c r="L163" s="89">
        <f>-SUMIFS('7月数据源'!$I:$I,'7月数据源'!$D:$D,$E163,'7月数据源'!$F:$F,"HK01")*L$185+SUMIFS('7月数据源'!$J:$J,'7月数据源'!$D:$D,$E163,'7月数据源'!$F:$F,"HK01")*L$185</f>
        <v/>
      </c>
      <c r="M163" s="89">
        <f>-SUMIFS('8月数据源'!$I:$I,'8月数据源'!$D:$D,$E163,'8月数据源'!$F:$F,"HK01")*M$185+SUMIFS('8月数据源'!$J:$J,'8月数据源'!$D:$D,$E163,'8月数据源'!$F:$F,"HK01")*M$185</f>
        <v/>
      </c>
      <c r="N163" s="89">
        <f>-SUMIFS('9月数据源'!$I:$I,'9月数据源'!$D:$D,$E163,'9月数据源'!$F:$F,"HK01")*N$185+SUMIFS('9月数据源'!$J:$J,'9月数据源'!$D:$D,$E163,'9月数据源'!$F:$F,"HK01")*N$185</f>
        <v/>
      </c>
      <c r="O163" s="89">
        <f>-SUMIFS('10月数据源'!$I:$I,'10月数据源'!$D:$D,$E163,'10月数据源'!$F:$F,"HK01")*O$185+SUMIFS('10月数据源'!$J:$J,'10月数据源'!$D:$D,$E163,'10月数据源'!$F:$F,"HK01")*O$185</f>
        <v/>
      </c>
      <c r="P163" s="89">
        <f>-SUMIFS('11月数据源'!$I:$I,'11月数据源'!$D:$D,$E163,'11月数据源'!$F:$F,"HK01")*P$185+SUMIFS('11月数据源'!$J:$J,'11月数据源'!$D:$D,$E163,'11月数据源'!$F:$F,"HK01")*P$185</f>
        <v/>
      </c>
      <c r="Q163" s="89">
        <f>-SUMIFS('12月数据源'!$I:$I,'12月数据源'!$D:$D,$E163,'12月数据源'!$F:$F,"HK01")*Q$185+SUMIFS('12月数据源'!$J:$J,'12月数据源'!$D:$D,$E163,'12月数据源'!$F:$F,"HK01")*Q$185</f>
        <v/>
      </c>
    </row>
    <row r="164" s="83">
      <c r="A164" s="5" t="inlineStr">
        <is>
          <t>税费成本</t>
        </is>
      </c>
      <c r="B164" s="6" t="inlineStr">
        <is>
          <t>税费成本</t>
        </is>
      </c>
      <c r="D164" s="5" t="inlineStr">
        <is>
          <t>附加税</t>
        </is>
      </c>
      <c r="E164" s="6" t="inlineStr">
        <is>
          <t>Q3002</t>
        </is>
      </c>
      <c r="F164" s="89">
        <f>-SUMIFS('1月数据源'!$I:$I,'1月数据源'!$D:$D,$E164,'1月数据源'!$F:$F,"HK01")*F$185+SUMIFS('1月数据源'!$J:$J,'1月数据源'!$D:$D,$E164,'1月数据源'!$F:$F,"HK01")*F$185</f>
        <v/>
      </c>
      <c r="G164" s="89">
        <f>-SUMIFS('2月数据源'!$I:$I,'2月数据源'!$D:$D,$E164,'2月数据源'!$F:$F,"HK01")*G$185+SUMIFS('2月数据源'!$J:$J,'2月数据源'!$D:$D,$E164,'2月数据源'!$F:$F,"HK01")*G$185</f>
        <v/>
      </c>
      <c r="H164" s="89">
        <f>-SUMIFS('3月数据源'!$I:$I,'3月数据源'!$D:$D,$E164,'3月数据源'!$F:$F,"HK01")*H$185+SUMIFS('3月数据源'!$J:$J,'3月数据源'!$D:$D,$E164,'3月数据源'!$F:$F,"HK01")*H$185</f>
        <v/>
      </c>
      <c r="I164" s="89">
        <f>-SUMIFS('4月数据源'!$I:$I,'4月数据源'!$D:$D,$E164,'4月数据源'!$F:$F,"HK01")*I$185+SUMIFS('4月数据源'!$J:$J,'4月数据源'!$D:$D,$E164,'4月数据源'!$F:$F,"HK01")*I$185</f>
        <v/>
      </c>
      <c r="J164" s="89">
        <f>-SUMIFS('5月数据源'!$I:$I,'5月数据源'!$D:$D,$E164,'5月数据源'!$F:$F,"HK01")*J$185+SUMIFS('5月数据源'!$J:$J,'5月数据源'!$D:$D,$E164,'5月数据源'!$F:$F,"HK01")*J$185</f>
        <v/>
      </c>
      <c r="K164" s="89">
        <f>-SUMIFS('6月数据源'!$I:$I,'6月数据源'!$D:$D,$E164,'6月数据源'!$F:$F,"HK01")*K$185+SUMIFS('6月数据源'!$J:$J,'6月数据源'!$D:$D,$E164,'6月数据源'!$F:$F,"HK01")*K$185</f>
        <v/>
      </c>
      <c r="L164" s="89">
        <f>-SUMIFS('7月数据源'!$I:$I,'7月数据源'!$D:$D,$E164,'7月数据源'!$F:$F,"HK01")*L$185+SUMIFS('7月数据源'!$J:$J,'7月数据源'!$D:$D,$E164,'7月数据源'!$F:$F,"HK01")*L$185</f>
        <v/>
      </c>
      <c r="M164" s="89">
        <f>-SUMIFS('8月数据源'!$I:$I,'8月数据源'!$D:$D,$E164,'8月数据源'!$F:$F,"HK01")*M$185+SUMIFS('8月数据源'!$J:$J,'8月数据源'!$D:$D,$E164,'8月数据源'!$F:$F,"HK01")*M$185</f>
        <v/>
      </c>
      <c r="N164" s="89">
        <f>-SUMIFS('9月数据源'!$I:$I,'9月数据源'!$D:$D,$E164,'9月数据源'!$F:$F,"HK01")*N$185+SUMIFS('9月数据源'!$J:$J,'9月数据源'!$D:$D,$E164,'9月数据源'!$F:$F,"HK01")*N$185</f>
        <v/>
      </c>
      <c r="O164" s="89">
        <f>-SUMIFS('10月数据源'!$I:$I,'10月数据源'!$D:$D,$E164,'10月数据源'!$F:$F,"HK01")*O$185+SUMIFS('10月数据源'!$J:$J,'10月数据源'!$D:$D,$E164,'10月数据源'!$F:$F,"HK01")*O$185</f>
        <v/>
      </c>
      <c r="P164" s="89">
        <f>-SUMIFS('11月数据源'!$I:$I,'11月数据源'!$D:$D,$E164,'11月数据源'!$F:$F,"HK01")*P$185+SUMIFS('11月数据源'!$J:$J,'11月数据源'!$D:$D,$E164,'11月数据源'!$F:$F,"HK01")*P$185</f>
        <v/>
      </c>
      <c r="Q164" s="89">
        <f>-SUMIFS('12月数据源'!$I:$I,'12月数据源'!$D:$D,$E164,'12月数据源'!$F:$F,"HK01")*Q$185+SUMIFS('12月数据源'!$J:$J,'12月数据源'!$D:$D,$E164,'12月数据源'!$F:$F,"HK01")*Q$185</f>
        <v/>
      </c>
    </row>
    <row r="165" s="83">
      <c r="A165" s="5" t="inlineStr">
        <is>
          <t>税费成本</t>
        </is>
      </c>
      <c r="B165" s="6" t="inlineStr">
        <is>
          <t>税费成本</t>
        </is>
      </c>
      <c r="D165" s="5" t="inlineStr">
        <is>
          <t>印花税</t>
        </is>
      </c>
      <c r="E165" s="6" t="inlineStr">
        <is>
          <t>Q3003</t>
        </is>
      </c>
      <c r="F165" s="89">
        <f>-SUMIFS('1月数据源'!$I:$I,'1月数据源'!$D:$D,$E165,'1月数据源'!$F:$F,"HK01")*F$185+SUMIFS('1月数据源'!$J:$J,'1月数据源'!$D:$D,$E165,'1月数据源'!$F:$F,"HK01")*F$185</f>
        <v/>
      </c>
      <c r="G165" s="89">
        <f>-SUMIFS('2月数据源'!$I:$I,'2月数据源'!$D:$D,$E165,'2月数据源'!$F:$F,"HK01")*G$185+SUMIFS('2月数据源'!$J:$J,'2月数据源'!$D:$D,$E165,'2月数据源'!$F:$F,"HK01")*G$185</f>
        <v/>
      </c>
      <c r="H165" s="89">
        <f>-SUMIFS('3月数据源'!$I:$I,'3月数据源'!$D:$D,$E165,'3月数据源'!$F:$F,"HK01")*H$185+SUMIFS('3月数据源'!$J:$J,'3月数据源'!$D:$D,$E165,'3月数据源'!$F:$F,"HK01")*H$185</f>
        <v/>
      </c>
      <c r="I165" s="89">
        <f>-SUMIFS('4月数据源'!$I:$I,'4月数据源'!$D:$D,$E165,'4月数据源'!$F:$F,"HK01")*I$185+SUMIFS('4月数据源'!$J:$J,'4月数据源'!$D:$D,$E165,'4月数据源'!$F:$F,"HK01")*I$185</f>
        <v/>
      </c>
      <c r="J165" s="89">
        <f>-SUMIFS('5月数据源'!$I:$I,'5月数据源'!$D:$D,$E165,'5月数据源'!$F:$F,"HK01")*J$185+SUMIFS('5月数据源'!$J:$J,'5月数据源'!$D:$D,$E165,'5月数据源'!$F:$F,"HK01")*J$185</f>
        <v/>
      </c>
      <c r="K165" s="89">
        <f>-SUMIFS('6月数据源'!$I:$I,'6月数据源'!$D:$D,$E165,'6月数据源'!$F:$F,"HK01")*K$185+SUMIFS('6月数据源'!$J:$J,'6月数据源'!$D:$D,$E165,'6月数据源'!$F:$F,"HK01")*K$185</f>
        <v/>
      </c>
      <c r="L165" s="89">
        <f>-SUMIFS('7月数据源'!$I:$I,'7月数据源'!$D:$D,$E165,'7月数据源'!$F:$F,"HK01")*L$185+SUMIFS('7月数据源'!$J:$J,'7月数据源'!$D:$D,$E165,'7月数据源'!$F:$F,"HK01")*L$185</f>
        <v/>
      </c>
      <c r="M165" s="89">
        <f>-SUMIFS('8月数据源'!$I:$I,'8月数据源'!$D:$D,$E165,'8月数据源'!$F:$F,"HK01")*M$185+SUMIFS('8月数据源'!$J:$J,'8月数据源'!$D:$D,$E165,'8月数据源'!$F:$F,"HK01")*M$185</f>
        <v/>
      </c>
      <c r="N165" s="89">
        <f>-SUMIFS('9月数据源'!$I:$I,'9月数据源'!$D:$D,$E165,'9月数据源'!$F:$F,"HK01")*N$185+SUMIFS('9月数据源'!$J:$J,'9月数据源'!$D:$D,$E165,'9月数据源'!$F:$F,"HK01")*N$185</f>
        <v/>
      </c>
      <c r="O165" s="89">
        <f>-SUMIFS('10月数据源'!$I:$I,'10月数据源'!$D:$D,$E165,'10月数据源'!$F:$F,"HK01")*O$185+SUMIFS('10月数据源'!$J:$J,'10月数据源'!$D:$D,$E165,'10月数据源'!$F:$F,"HK01")*O$185</f>
        <v/>
      </c>
      <c r="P165" s="89">
        <f>-SUMIFS('11月数据源'!$I:$I,'11月数据源'!$D:$D,$E165,'11月数据源'!$F:$F,"HK01")*P$185+SUMIFS('11月数据源'!$J:$J,'11月数据源'!$D:$D,$E165,'11月数据源'!$F:$F,"HK01")*P$185</f>
        <v/>
      </c>
      <c r="Q165" s="89">
        <f>-SUMIFS('12月数据源'!$I:$I,'12月数据源'!$D:$D,$E165,'12月数据源'!$F:$F,"HK01")*Q$185+SUMIFS('12月数据源'!$J:$J,'12月数据源'!$D:$D,$E165,'12月数据源'!$F:$F,"HK01")*Q$185</f>
        <v/>
      </c>
    </row>
    <row r="166" s="83">
      <c r="A166" s="5" t="inlineStr">
        <is>
          <t>税费成本</t>
        </is>
      </c>
      <c r="B166" s="6" t="inlineStr">
        <is>
          <t>税费成本</t>
        </is>
      </c>
      <c r="D166" s="5" t="inlineStr">
        <is>
          <t>企业所得税</t>
        </is>
      </c>
      <c r="E166" s="6" t="inlineStr">
        <is>
          <t>Q3004</t>
        </is>
      </c>
      <c r="F166" s="89">
        <f>-SUMIFS('1月数据源'!$I:$I,'1月数据源'!$D:$D,$E166,'1月数据源'!$F:$F,"HK01")*F$185+SUMIFS('1月数据源'!$J:$J,'1月数据源'!$D:$D,$E166,'1月数据源'!$F:$F,"HK01")*F$185</f>
        <v/>
      </c>
      <c r="G166" s="89">
        <f>-SUMIFS('2月数据源'!$I:$I,'2月数据源'!$D:$D,$E166,'2月数据源'!$F:$F,"HK01")*G$185+SUMIFS('2月数据源'!$J:$J,'2月数据源'!$D:$D,$E166,'2月数据源'!$F:$F,"HK01")*G$185</f>
        <v/>
      </c>
      <c r="H166" s="89">
        <f>-SUMIFS('3月数据源'!$I:$I,'3月数据源'!$D:$D,$E166,'3月数据源'!$F:$F,"HK01")*H$185+SUMIFS('3月数据源'!$J:$J,'3月数据源'!$D:$D,$E166,'3月数据源'!$F:$F,"HK01")*H$185</f>
        <v/>
      </c>
      <c r="I166" s="89">
        <f>-SUMIFS('4月数据源'!$I:$I,'4月数据源'!$D:$D,$E166,'4月数据源'!$F:$F,"HK01")*I$185+SUMIFS('4月数据源'!$J:$J,'4月数据源'!$D:$D,$E166,'4月数据源'!$F:$F,"HK01")*I$185</f>
        <v/>
      </c>
      <c r="J166" s="89">
        <f>-SUMIFS('5月数据源'!$I:$I,'5月数据源'!$D:$D,$E166,'5月数据源'!$F:$F,"HK01")*J$185+SUMIFS('5月数据源'!$J:$J,'5月数据源'!$D:$D,$E166,'5月数据源'!$F:$F,"HK01")*J$185</f>
        <v/>
      </c>
      <c r="K166" s="89">
        <f>-SUMIFS('6月数据源'!$I:$I,'6月数据源'!$D:$D,$E166,'6月数据源'!$F:$F,"HK01")*K$185+SUMIFS('6月数据源'!$J:$J,'6月数据源'!$D:$D,$E166,'6月数据源'!$F:$F,"HK01")*K$185</f>
        <v/>
      </c>
      <c r="L166" s="89">
        <f>-SUMIFS('7月数据源'!$I:$I,'7月数据源'!$D:$D,$E166,'7月数据源'!$F:$F,"HK01")*L$185+SUMIFS('7月数据源'!$J:$J,'7月数据源'!$D:$D,$E166,'7月数据源'!$F:$F,"HK01")*L$185</f>
        <v/>
      </c>
      <c r="M166" s="89">
        <f>-SUMIFS('8月数据源'!$I:$I,'8月数据源'!$D:$D,$E166,'8月数据源'!$F:$F,"HK01")*M$185+SUMIFS('8月数据源'!$J:$J,'8月数据源'!$D:$D,$E166,'8月数据源'!$F:$F,"HK01")*M$185</f>
        <v/>
      </c>
      <c r="N166" s="89">
        <f>-SUMIFS('9月数据源'!$I:$I,'9月数据源'!$D:$D,$E166,'9月数据源'!$F:$F,"HK01")*N$185+SUMIFS('9月数据源'!$J:$J,'9月数据源'!$D:$D,$E166,'9月数据源'!$F:$F,"HK01")*N$185</f>
        <v/>
      </c>
      <c r="O166" s="89">
        <f>-SUMIFS('10月数据源'!$I:$I,'10月数据源'!$D:$D,$E166,'10月数据源'!$F:$F,"HK01")*O$185+SUMIFS('10月数据源'!$J:$J,'10月数据源'!$D:$D,$E166,'10月数据源'!$F:$F,"HK01")*O$185</f>
        <v/>
      </c>
      <c r="P166" s="89">
        <f>-SUMIFS('11月数据源'!$I:$I,'11月数据源'!$D:$D,$E166,'11月数据源'!$F:$F,"HK01")*P$185+SUMIFS('11月数据源'!$J:$J,'11月数据源'!$D:$D,$E166,'11月数据源'!$F:$F,"HK01")*P$185</f>
        <v/>
      </c>
      <c r="Q166" s="89">
        <f>-SUMIFS('12月数据源'!$I:$I,'12月数据源'!$D:$D,$E166,'12月数据源'!$F:$F,"HK01")*Q$185+SUMIFS('12月数据源'!$J:$J,'12月数据源'!$D:$D,$E166,'12月数据源'!$F:$F,"HK01")*Q$185</f>
        <v/>
      </c>
    </row>
    <row r="167" s="83">
      <c r="A167" s="49" t="inlineStr">
        <is>
          <t>税费成本合计</t>
        </is>
      </c>
      <c r="B167" s="50" t="n"/>
      <c r="C167" s="50" t="n"/>
      <c r="D167" s="49" t="n"/>
      <c r="E167" s="49" t="n"/>
      <c r="F167" s="89">
        <f>SUM(F163:F166)</f>
        <v/>
      </c>
      <c r="G167" s="89">
        <f>SUM(G163:G166)</f>
        <v/>
      </c>
      <c r="H167" s="89">
        <f>SUM(H163:H166)</f>
        <v/>
      </c>
      <c r="I167" s="89">
        <f>SUM(I163:I166)</f>
        <v/>
      </c>
      <c r="J167" s="89">
        <f>SUM(J163:J166)</f>
        <v/>
      </c>
      <c r="K167" s="89">
        <f>SUM(K163:K166)</f>
        <v/>
      </c>
      <c r="L167" s="89">
        <f>SUM(L163:L166)</f>
        <v/>
      </c>
      <c r="M167" s="89">
        <f>SUM(M163:M166)</f>
        <v/>
      </c>
      <c r="N167" s="89">
        <f>SUM(N163:N166)</f>
        <v/>
      </c>
      <c r="O167" s="89">
        <f>SUM(O163:O166)</f>
        <v/>
      </c>
      <c r="P167" s="89">
        <f>SUM(P163:P166)</f>
        <v/>
      </c>
      <c r="Q167" s="89">
        <f>SUM(Q163:Q166)</f>
        <v/>
      </c>
    </row>
    <row r="168" s="83">
      <c r="A168" s="5" t="inlineStr">
        <is>
          <t>营业外支出</t>
        </is>
      </c>
      <c r="B168" s="6" t="inlineStr">
        <is>
          <t>营业外支出</t>
        </is>
      </c>
      <c r="C168" s="34" t="inlineStr">
        <is>
          <t>营业外支出</t>
        </is>
      </c>
      <c r="D168" s="5" t="inlineStr">
        <is>
          <t>手续费</t>
        </is>
      </c>
      <c r="E168" s="6" t="inlineStr">
        <is>
          <t>Q3101</t>
        </is>
      </c>
      <c r="F168" s="89">
        <f>-SUMIFS('1月数据源'!$I:$I,'1月数据源'!$D:$D,$E168,'1月数据源'!$F:$F,"HK01")*F$185+SUMIFS('1月数据源'!$J:$J,'1月数据源'!$D:$D,$E168,'1月数据源'!$F:$F,"HK01")*F$185</f>
        <v/>
      </c>
      <c r="G168" s="89">
        <f>-SUMIFS('2月数据源'!$I:$I,'2月数据源'!$D:$D,$E168,'2月数据源'!$F:$F,"HK01")*G$185+SUMIFS('2月数据源'!$J:$J,'2月数据源'!$D:$D,$E168,'2月数据源'!$F:$F,"HK01")*G$185</f>
        <v/>
      </c>
      <c r="H168" s="89">
        <f>-SUMIFS('3月数据源'!$I:$I,'3月数据源'!$D:$D,$E168,'3月数据源'!$F:$F,"HK01")*H$185+SUMIFS('3月数据源'!$J:$J,'3月数据源'!$D:$D,$E168,'3月数据源'!$F:$F,"HK01")*H$185</f>
        <v/>
      </c>
      <c r="I168" s="89">
        <f>-SUMIFS('4月数据源'!$I:$I,'4月数据源'!$D:$D,$E168,'4月数据源'!$F:$F,"HK01")*I$185+SUMIFS('4月数据源'!$J:$J,'4月数据源'!$D:$D,$E168,'4月数据源'!$F:$F,"HK01")*I$185</f>
        <v/>
      </c>
      <c r="J168" s="89">
        <f>-SUMIFS('5月数据源'!$I:$I,'5月数据源'!$D:$D,$E168,'5月数据源'!$F:$F,"HK01")*J$185+SUMIFS('5月数据源'!$J:$J,'5月数据源'!$D:$D,$E168,'5月数据源'!$F:$F,"HK01")*J$185</f>
        <v/>
      </c>
      <c r="K168" s="89">
        <f>-SUMIFS('6月数据源'!$I:$I,'6月数据源'!$D:$D,$E168,'6月数据源'!$F:$F,"HK01")*K$185+SUMIFS('6月数据源'!$J:$J,'6月数据源'!$D:$D,$E168,'6月数据源'!$F:$F,"HK01")*K$185</f>
        <v/>
      </c>
      <c r="L168" s="89">
        <f>-SUMIFS('7月数据源'!$I:$I,'7月数据源'!$D:$D,$E168,'7月数据源'!$F:$F,"HK01")*L$185+SUMIFS('7月数据源'!$J:$J,'7月数据源'!$D:$D,$E168,'7月数据源'!$F:$F,"HK01")*L$185</f>
        <v/>
      </c>
      <c r="M168" s="89">
        <f>-SUMIFS('8月数据源'!$I:$I,'8月数据源'!$D:$D,$E168,'8月数据源'!$F:$F,"HK01")*M$185+SUMIFS('8月数据源'!$J:$J,'8月数据源'!$D:$D,$E168,'8月数据源'!$F:$F,"HK01")*M$185</f>
        <v/>
      </c>
      <c r="N168" s="89">
        <f>-SUMIFS('9月数据源'!$I:$I,'9月数据源'!$D:$D,$E168,'9月数据源'!$F:$F,"HK01")*N$185+SUMIFS('9月数据源'!$J:$J,'9月数据源'!$D:$D,$E168,'9月数据源'!$F:$F,"HK01")*N$185</f>
        <v/>
      </c>
      <c r="O168" s="89">
        <f>-SUMIFS('10月数据源'!$I:$I,'10月数据源'!$D:$D,$E168,'10月数据源'!$F:$F,"HK01")*O$185+SUMIFS('10月数据源'!$J:$J,'10月数据源'!$D:$D,$E168,'10月数据源'!$F:$F,"HK01")*O$185</f>
        <v/>
      </c>
      <c r="P168" s="89">
        <f>-SUMIFS('11月数据源'!$I:$I,'11月数据源'!$D:$D,$E168,'11月数据源'!$F:$F,"HK01")*P$185+SUMIFS('11月数据源'!$J:$J,'11月数据源'!$D:$D,$E168,'11月数据源'!$F:$F,"HK01")*P$185</f>
        <v/>
      </c>
      <c r="Q168" s="89">
        <f>-SUMIFS('12月数据源'!$I:$I,'12月数据源'!$D:$D,$E168,'12月数据源'!$F:$F,"HK01")*Q$185+SUMIFS('12月数据源'!$J:$J,'12月数据源'!$D:$D,$E168,'12月数据源'!$F:$F,"HK01")*Q$185</f>
        <v/>
      </c>
    </row>
    <row r="169" s="83">
      <c r="A169" s="5" t="inlineStr">
        <is>
          <t>营业外支出</t>
        </is>
      </c>
      <c r="B169" s="6" t="inlineStr">
        <is>
          <t>营业外支出</t>
        </is>
      </c>
      <c r="D169" s="5" t="inlineStr">
        <is>
          <t>罚款支出</t>
        </is>
      </c>
      <c r="E169" s="6" t="inlineStr">
        <is>
          <t>Q3102</t>
        </is>
      </c>
      <c r="F169" s="89">
        <f>-SUMIFS('1月数据源'!$I:$I,'1月数据源'!$D:$D,$E169,'1月数据源'!$F:$F,"HK01")*F$185+SUMIFS('1月数据源'!$J:$J,'1月数据源'!$D:$D,$E169,'1月数据源'!$F:$F,"HK01")*F$185</f>
        <v/>
      </c>
      <c r="G169" s="89">
        <f>-SUMIFS('2月数据源'!$I:$I,'2月数据源'!$D:$D,$E169,'2月数据源'!$F:$F,"HK01")*G$185+SUMIFS('2月数据源'!$J:$J,'2月数据源'!$D:$D,$E169,'2月数据源'!$F:$F,"HK01")*G$185</f>
        <v/>
      </c>
      <c r="H169" s="89">
        <f>-SUMIFS('3月数据源'!$I:$I,'3月数据源'!$D:$D,$E169,'3月数据源'!$F:$F,"HK01")*H$185+SUMIFS('3月数据源'!$J:$J,'3月数据源'!$D:$D,$E169,'3月数据源'!$F:$F,"HK01")*H$185</f>
        <v/>
      </c>
      <c r="I169" s="89">
        <f>-SUMIFS('4月数据源'!$I:$I,'4月数据源'!$D:$D,$E169,'4月数据源'!$F:$F,"HK01")*I$185+SUMIFS('4月数据源'!$J:$J,'4月数据源'!$D:$D,$E169,'4月数据源'!$F:$F,"HK01")*I$185</f>
        <v/>
      </c>
      <c r="J169" s="89">
        <f>-SUMIFS('5月数据源'!$I:$I,'5月数据源'!$D:$D,$E169,'5月数据源'!$F:$F,"HK01")*J$185+SUMIFS('5月数据源'!$J:$J,'5月数据源'!$D:$D,$E169,'5月数据源'!$F:$F,"HK01")*J$185</f>
        <v/>
      </c>
      <c r="K169" s="89">
        <f>-SUMIFS('6月数据源'!$I:$I,'6月数据源'!$D:$D,$E169,'6月数据源'!$F:$F,"HK01")*K$185+SUMIFS('6月数据源'!$J:$J,'6月数据源'!$D:$D,$E169,'6月数据源'!$F:$F,"HK01")*K$185</f>
        <v/>
      </c>
      <c r="L169" s="89">
        <f>-SUMIFS('7月数据源'!$I:$I,'7月数据源'!$D:$D,$E169,'7月数据源'!$F:$F,"HK01")*L$185+SUMIFS('7月数据源'!$J:$J,'7月数据源'!$D:$D,$E169,'7月数据源'!$F:$F,"HK01")*L$185</f>
        <v/>
      </c>
      <c r="M169" s="89">
        <f>-SUMIFS('8月数据源'!$I:$I,'8月数据源'!$D:$D,$E169,'8月数据源'!$F:$F,"HK01")*M$185+SUMIFS('8月数据源'!$J:$J,'8月数据源'!$D:$D,$E169,'8月数据源'!$F:$F,"HK01")*M$185</f>
        <v/>
      </c>
      <c r="N169" s="89">
        <f>-SUMIFS('9月数据源'!$I:$I,'9月数据源'!$D:$D,$E169,'9月数据源'!$F:$F,"HK01")*N$185+SUMIFS('9月数据源'!$J:$J,'9月数据源'!$D:$D,$E169,'9月数据源'!$F:$F,"HK01")*N$185</f>
        <v/>
      </c>
      <c r="O169" s="89">
        <f>-SUMIFS('10月数据源'!$I:$I,'10月数据源'!$D:$D,$E169,'10月数据源'!$F:$F,"HK01")*O$185+SUMIFS('10月数据源'!$J:$J,'10月数据源'!$D:$D,$E169,'10月数据源'!$F:$F,"HK01")*O$185</f>
        <v/>
      </c>
      <c r="P169" s="89">
        <f>-SUMIFS('11月数据源'!$I:$I,'11月数据源'!$D:$D,$E169,'11月数据源'!$F:$F,"HK01")*P$185+SUMIFS('11月数据源'!$J:$J,'11月数据源'!$D:$D,$E169,'11月数据源'!$F:$F,"HK01")*P$185</f>
        <v/>
      </c>
      <c r="Q169" s="89">
        <f>-SUMIFS('12月数据源'!$I:$I,'12月数据源'!$D:$D,$E169,'12月数据源'!$F:$F,"HK01")*Q$185+SUMIFS('12月数据源'!$J:$J,'12月数据源'!$D:$D,$E169,'12月数据源'!$F:$F,"HK01")*Q$185</f>
        <v/>
      </c>
    </row>
    <row r="170" s="83">
      <c r="A170" s="5" t="inlineStr">
        <is>
          <t>营业外支出</t>
        </is>
      </c>
      <c r="B170" s="6" t="inlineStr">
        <is>
          <t>营业外支出</t>
        </is>
      </c>
      <c r="D170" s="5" t="inlineStr">
        <is>
          <t>违约金支出</t>
        </is>
      </c>
      <c r="E170" s="6" t="inlineStr">
        <is>
          <t>Q3104</t>
        </is>
      </c>
      <c r="F170" s="89">
        <f>-SUMIFS('1月数据源'!$I:$I,'1月数据源'!$D:$D,$E170,'1月数据源'!$F:$F,"HK01")*F$185+SUMIFS('1月数据源'!$J:$J,'1月数据源'!$D:$D,$E170,'1月数据源'!$F:$F,"HK01")*F$185</f>
        <v/>
      </c>
      <c r="G170" s="89">
        <f>-SUMIFS('2月数据源'!$I:$I,'2月数据源'!$D:$D,$E170,'2月数据源'!$F:$F,"HK01")*G$185+SUMIFS('2月数据源'!$J:$J,'2月数据源'!$D:$D,$E170,'2月数据源'!$F:$F,"HK01")*G$185</f>
        <v/>
      </c>
      <c r="H170" s="89">
        <f>-SUMIFS('3月数据源'!$I:$I,'3月数据源'!$D:$D,$E170,'3月数据源'!$F:$F,"HK01")*H$185+SUMIFS('3月数据源'!$J:$J,'3月数据源'!$D:$D,$E170,'3月数据源'!$F:$F,"HK01")*H$185</f>
        <v/>
      </c>
      <c r="I170" s="89">
        <f>-SUMIFS('4月数据源'!$I:$I,'4月数据源'!$D:$D,$E170,'4月数据源'!$F:$F,"HK01")*I$185+SUMIFS('4月数据源'!$J:$J,'4月数据源'!$D:$D,$E170,'4月数据源'!$F:$F,"HK01")*I$185</f>
        <v/>
      </c>
      <c r="J170" s="89">
        <f>-SUMIFS('5月数据源'!$I:$I,'5月数据源'!$D:$D,$E170,'5月数据源'!$F:$F,"HK01")*J$185+SUMIFS('5月数据源'!$J:$J,'5月数据源'!$D:$D,$E170,'5月数据源'!$F:$F,"HK01")*J$185</f>
        <v/>
      </c>
      <c r="K170" s="89">
        <f>-SUMIFS('6月数据源'!$I:$I,'6月数据源'!$D:$D,$E170,'6月数据源'!$F:$F,"HK01")*K$185+SUMIFS('6月数据源'!$J:$J,'6月数据源'!$D:$D,$E170,'6月数据源'!$F:$F,"HK01")*K$185</f>
        <v/>
      </c>
      <c r="L170" s="89">
        <f>-SUMIFS('7月数据源'!$I:$I,'7月数据源'!$D:$D,$E170,'7月数据源'!$F:$F,"HK01")*L$185+SUMIFS('7月数据源'!$J:$J,'7月数据源'!$D:$D,$E170,'7月数据源'!$F:$F,"HK01")*L$185</f>
        <v/>
      </c>
      <c r="M170" s="89">
        <f>-SUMIFS('8月数据源'!$I:$I,'8月数据源'!$D:$D,$E170,'8月数据源'!$F:$F,"HK01")*M$185+SUMIFS('8月数据源'!$J:$J,'8月数据源'!$D:$D,$E170,'8月数据源'!$F:$F,"HK01")*M$185</f>
        <v/>
      </c>
      <c r="N170" s="89">
        <f>-SUMIFS('9月数据源'!$I:$I,'9月数据源'!$D:$D,$E170,'9月数据源'!$F:$F,"HK01")*N$185+SUMIFS('9月数据源'!$J:$J,'9月数据源'!$D:$D,$E170,'9月数据源'!$F:$F,"HK01")*N$185</f>
        <v/>
      </c>
      <c r="O170" s="89">
        <f>-SUMIFS('10月数据源'!$I:$I,'10月数据源'!$D:$D,$E170,'10月数据源'!$F:$F,"HK01")*O$185+SUMIFS('10月数据源'!$J:$J,'10月数据源'!$D:$D,$E170,'10月数据源'!$F:$F,"HK01")*O$185</f>
        <v/>
      </c>
      <c r="P170" s="89">
        <f>-SUMIFS('11月数据源'!$I:$I,'11月数据源'!$D:$D,$E170,'11月数据源'!$F:$F,"HK01")*P$185+SUMIFS('11月数据源'!$J:$J,'11月数据源'!$D:$D,$E170,'11月数据源'!$F:$F,"HK01")*P$185</f>
        <v/>
      </c>
      <c r="Q170" s="89">
        <f>-SUMIFS('12月数据源'!$I:$I,'12月数据源'!$D:$D,$E170,'12月数据源'!$F:$F,"HK01")*Q$185+SUMIFS('12月数据源'!$J:$J,'12月数据源'!$D:$D,$E170,'12月数据源'!$F:$F,"HK01")*Q$185</f>
        <v/>
      </c>
    </row>
    <row r="171" s="83">
      <c r="A171" s="5" t="inlineStr">
        <is>
          <t>营业外支出</t>
        </is>
      </c>
      <c r="B171" s="6" t="inlineStr">
        <is>
          <t>营业外支出</t>
        </is>
      </c>
      <c r="D171" s="5" t="inlineStr">
        <is>
          <t>滞纳金支出</t>
        </is>
      </c>
      <c r="E171" s="6" t="inlineStr">
        <is>
          <t>Q3103</t>
        </is>
      </c>
      <c r="F171" s="89">
        <f>-SUMIFS('1月数据源'!$I:$I,'1月数据源'!$D:$D,$E171,'1月数据源'!$F:$F,"HK01")*F$185+SUMIFS('1月数据源'!$J:$J,'1月数据源'!$D:$D,$E171,'1月数据源'!$F:$F,"HK01")*F$185</f>
        <v/>
      </c>
      <c r="G171" s="89">
        <f>-SUMIFS('2月数据源'!$I:$I,'2月数据源'!$D:$D,$E171,'2月数据源'!$F:$F,"HK01")*G$185+SUMIFS('2月数据源'!$J:$J,'2月数据源'!$D:$D,$E171,'2月数据源'!$F:$F,"HK01")*G$185</f>
        <v/>
      </c>
      <c r="H171" s="89">
        <f>-SUMIFS('3月数据源'!$I:$I,'3月数据源'!$D:$D,$E171,'3月数据源'!$F:$F,"HK01")*H$185+SUMIFS('3月数据源'!$J:$J,'3月数据源'!$D:$D,$E171,'3月数据源'!$F:$F,"HK01")*H$185</f>
        <v/>
      </c>
      <c r="I171" s="89">
        <f>-SUMIFS('4月数据源'!$I:$I,'4月数据源'!$D:$D,$E171,'4月数据源'!$F:$F,"HK01")*I$185+SUMIFS('4月数据源'!$J:$J,'4月数据源'!$D:$D,$E171,'4月数据源'!$F:$F,"HK01")*I$185</f>
        <v/>
      </c>
      <c r="J171" s="89">
        <f>-SUMIFS('5月数据源'!$I:$I,'5月数据源'!$D:$D,$E171,'5月数据源'!$F:$F,"HK01")*J$185+SUMIFS('5月数据源'!$J:$J,'5月数据源'!$D:$D,$E171,'5月数据源'!$F:$F,"HK01")*J$185</f>
        <v/>
      </c>
      <c r="K171" s="89">
        <f>-SUMIFS('6月数据源'!$I:$I,'6月数据源'!$D:$D,$E171,'6月数据源'!$F:$F,"HK01")*K$185+SUMIFS('6月数据源'!$J:$J,'6月数据源'!$D:$D,$E171,'6月数据源'!$F:$F,"HK01")*K$185</f>
        <v/>
      </c>
      <c r="L171" s="89">
        <f>-SUMIFS('7月数据源'!$I:$I,'7月数据源'!$D:$D,$E171,'7月数据源'!$F:$F,"HK01")*L$185+SUMIFS('7月数据源'!$J:$J,'7月数据源'!$D:$D,$E171,'7月数据源'!$F:$F,"HK01")*L$185</f>
        <v/>
      </c>
      <c r="M171" s="89">
        <f>-SUMIFS('8月数据源'!$I:$I,'8月数据源'!$D:$D,$E171,'8月数据源'!$F:$F,"HK01")*M$185+SUMIFS('8月数据源'!$J:$J,'8月数据源'!$D:$D,$E171,'8月数据源'!$F:$F,"HK01")*M$185</f>
        <v/>
      </c>
      <c r="N171" s="89">
        <f>-SUMIFS('9月数据源'!$I:$I,'9月数据源'!$D:$D,$E171,'9月数据源'!$F:$F,"HK01")*N$185+SUMIFS('9月数据源'!$J:$J,'9月数据源'!$D:$D,$E171,'9月数据源'!$F:$F,"HK01")*N$185</f>
        <v/>
      </c>
      <c r="O171" s="89">
        <f>-SUMIFS('10月数据源'!$I:$I,'10月数据源'!$D:$D,$E171,'10月数据源'!$F:$F,"HK01")*O$185+SUMIFS('10月数据源'!$J:$J,'10月数据源'!$D:$D,$E171,'10月数据源'!$F:$F,"HK01")*O$185</f>
        <v/>
      </c>
      <c r="P171" s="89">
        <f>-SUMIFS('11月数据源'!$I:$I,'11月数据源'!$D:$D,$E171,'11月数据源'!$F:$F,"HK01")*P$185+SUMIFS('11月数据源'!$J:$J,'11月数据源'!$D:$D,$E171,'11月数据源'!$F:$F,"HK01")*P$185</f>
        <v/>
      </c>
      <c r="Q171" s="89">
        <f>-SUMIFS('12月数据源'!$I:$I,'12月数据源'!$D:$D,$E171,'12月数据源'!$F:$F,"HK01")*Q$185+SUMIFS('12月数据源'!$J:$J,'12月数据源'!$D:$D,$E171,'12月数据源'!$F:$F,"HK01")*Q$185</f>
        <v/>
      </c>
    </row>
    <row r="172" s="83">
      <c r="A172" s="5" t="inlineStr">
        <is>
          <t>营业外支出</t>
        </is>
      </c>
      <c r="B172" s="6" t="inlineStr">
        <is>
          <t>营业外支出</t>
        </is>
      </c>
      <c r="D172" s="5" t="inlineStr">
        <is>
          <t>汇兑损益</t>
        </is>
      </c>
      <c r="E172" s="6" t="inlineStr">
        <is>
          <t>Q3105</t>
        </is>
      </c>
      <c r="F172" s="89" t="n">
        <v>727.49</v>
      </c>
      <c r="G172" s="89" t="n">
        <v>-153.1</v>
      </c>
      <c r="H172" s="89" t="n">
        <v>-174.94</v>
      </c>
      <c r="I172" s="89" t="n">
        <v>-913.7</v>
      </c>
      <c r="J172" s="89" t="n">
        <v>612.51</v>
      </c>
      <c r="K172" s="89" t="n">
        <v>11051.93</v>
      </c>
      <c r="L172" s="89" t="n"/>
      <c r="M172" s="89" t="n"/>
      <c r="N172" s="89" t="n"/>
      <c r="O172" s="89" t="n"/>
      <c r="P172" s="89" t="n"/>
      <c r="Q172" s="89" t="n"/>
    </row>
    <row r="173" s="83">
      <c r="A173" s="49" t="inlineStr">
        <is>
          <t>营业外支出合计</t>
        </is>
      </c>
      <c r="B173" s="50" t="n"/>
      <c r="C173" s="50" t="n"/>
      <c r="D173" s="49" t="n"/>
      <c r="E173" s="49" t="n"/>
      <c r="F173" s="89">
        <f>SUM(F168:F172)</f>
        <v/>
      </c>
      <c r="G173" s="89">
        <f>SUM(G168:G172)</f>
        <v/>
      </c>
      <c r="H173" s="89">
        <f>SUM(H168:H172)</f>
        <v/>
      </c>
      <c r="I173" s="89">
        <f>SUM(I168:I172)</f>
        <v/>
      </c>
      <c r="J173" s="89">
        <f>SUM(J168:J172)</f>
        <v/>
      </c>
      <c r="K173" s="89">
        <f>SUM(K168:K172)</f>
        <v/>
      </c>
      <c r="L173" s="89">
        <f>SUM(L168:L172)</f>
        <v/>
      </c>
      <c r="M173" s="89">
        <f>SUM(M168:M172)</f>
        <v/>
      </c>
      <c r="N173" s="89">
        <f>SUM(N168:N172)</f>
        <v/>
      </c>
      <c r="O173" s="89">
        <f>SUM(O168:O172)</f>
        <v/>
      </c>
      <c r="P173" s="89">
        <f>SUM(P168:P172)</f>
        <v/>
      </c>
      <c r="Q173" s="89">
        <f>SUM(Q168:Q172)</f>
        <v/>
      </c>
    </row>
    <row r="174" s="83">
      <c r="A174" s="5" t="inlineStr">
        <is>
          <t>理财收支</t>
        </is>
      </c>
      <c r="B174" s="6" t="inlineStr">
        <is>
          <t>理财收支</t>
        </is>
      </c>
      <c r="C174" s="6" t="inlineStr">
        <is>
          <t>理财支出</t>
        </is>
      </c>
      <c r="D174" s="5" t="inlineStr">
        <is>
          <t>理财收支</t>
        </is>
      </c>
      <c r="E174" s="6" t="inlineStr">
        <is>
          <t>Q3301</t>
        </is>
      </c>
      <c r="F174" s="89">
        <f>-SUMIFS('1月数据源'!$I:$I,'1月数据源'!$D:$D,$E174,'1月数据源'!$F:$F,"HK01")*F$185+SUMIFS('1月数据源'!$J:$J,'1月数据源'!$D:$D,$E174,'1月数据源'!$F:$F,"HK01")*F$185</f>
        <v/>
      </c>
      <c r="G174" s="89">
        <f>-SUMIFS('2月数据源'!$I:$I,'2月数据源'!$D:$D,$E174,'2月数据源'!$F:$F,"HK01")*G$185+SUMIFS('2月数据源'!$J:$J,'2月数据源'!$D:$D,$E174,'2月数据源'!$F:$F,"HK01")*G$185</f>
        <v/>
      </c>
      <c r="H174" s="89">
        <f>-SUMIFS('3月数据源'!$I:$I,'3月数据源'!$D:$D,$E174,'3月数据源'!$F:$F,"HK01")*H$185+SUMIFS('3月数据源'!$J:$J,'3月数据源'!$D:$D,$E174,'3月数据源'!$F:$F,"HK01")*H$185</f>
        <v/>
      </c>
      <c r="I174" s="89">
        <f>-SUMIFS('4月数据源'!$I:$I,'4月数据源'!$D:$D,$E174,'4月数据源'!$F:$F,"HK01")*I$185+SUMIFS('4月数据源'!$J:$J,'4月数据源'!$D:$D,$E174,'4月数据源'!$F:$F,"HK01")*I$185</f>
        <v/>
      </c>
      <c r="J174" s="89">
        <f>-SUMIFS('5月数据源'!$I:$I,'5月数据源'!$D:$D,$E174,'5月数据源'!$F:$F,"HK01")*J$185+SUMIFS('5月数据源'!$J:$J,'5月数据源'!$D:$D,$E174,'5月数据源'!$F:$F,"HK01")*J$185</f>
        <v/>
      </c>
      <c r="K174" s="89">
        <f>-SUMIFS('6月数据源'!$I:$I,'6月数据源'!$D:$D,$E174,'6月数据源'!$F:$F,"HK01")*K$185+SUMIFS('6月数据源'!$J:$J,'6月数据源'!$D:$D,$E174,'6月数据源'!$F:$F,"HK01")*K$185</f>
        <v/>
      </c>
      <c r="L174" s="89">
        <f>-SUMIFS('7月数据源'!$I:$I,'7月数据源'!$D:$D,$E174,'7月数据源'!$F:$F,"HK01")*L$185+SUMIFS('7月数据源'!$J:$J,'7月数据源'!$D:$D,$E174,'7月数据源'!$F:$F,"HK01")*L$185</f>
        <v/>
      </c>
      <c r="M174" s="89">
        <f>-SUMIFS('8月数据源'!$I:$I,'8月数据源'!$D:$D,$E174,'8月数据源'!$F:$F,"HK01")*M$185+SUMIFS('8月数据源'!$J:$J,'8月数据源'!$D:$D,$E174,'8月数据源'!$F:$F,"HK01")*M$185</f>
        <v/>
      </c>
      <c r="N174" s="89">
        <f>-SUMIFS('9月数据源'!$I:$I,'9月数据源'!$D:$D,$E174,'9月数据源'!$F:$F,"HK01")*N$185+SUMIFS('9月数据源'!$J:$J,'9月数据源'!$D:$D,$E174,'9月数据源'!$F:$F,"HK01")*N$185</f>
        <v/>
      </c>
      <c r="O174" s="89">
        <f>-SUMIFS('10月数据源'!$I:$I,'10月数据源'!$D:$D,$E174,'10月数据源'!$F:$F,"HK01")*O$185+SUMIFS('10月数据源'!$J:$J,'10月数据源'!$D:$D,$E174,'10月数据源'!$F:$F,"HK01")*O$185</f>
        <v/>
      </c>
      <c r="P174" s="89">
        <f>-SUMIFS('11月数据源'!$I:$I,'11月数据源'!$D:$D,$E174,'11月数据源'!$F:$F,"HK01")*P$185+SUMIFS('11月数据源'!$J:$J,'11月数据源'!$D:$D,$E174,'11月数据源'!$F:$F,"HK01")*P$185</f>
        <v/>
      </c>
      <c r="Q174" s="89">
        <f>-SUMIFS('12月数据源'!$I:$I,'12月数据源'!$D:$D,$E174,'12月数据源'!$F:$F,"HK01")*Q$185+SUMIFS('12月数据源'!$J:$J,'12月数据源'!$D:$D,$E174,'12月数据源'!$F:$F,"HK01")*Q$185</f>
        <v/>
      </c>
    </row>
    <row r="175" s="83">
      <c r="A175" s="49" t="inlineStr">
        <is>
          <t>理财收支合计</t>
        </is>
      </c>
      <c r="B175" s="50" t="n"/>
      <c r="C175" s="50" t="n"/>
      <c r="D175" s="49" t="n"/>
      <c r="E175" s="49" t="n"/>
      <c r="F175" s="89">
        <f>SUM(F174:F174)</f>
        <v/>
      </c>
      <c r="G175" s="89">
        <f>SUM(G174:G174)</f>
        <v/>
      </c>
      <c r="H175" s="89">
        <f>SUM(H174:H174)</f>
        <v/>
      </c>
      <c r="I175" s="89">
        <f>SUM(I174:I174)</f>
        <v/>
      </c>
      <c r="J175" s="89">
        <f>SUM(J174:J174)</f>
        <v/>
      </c>
      <c r="K175" s="89">
        <f>SUM(K174:K174)</f>
        <v/>
      </c>
      <c r="L175" s="89">
        <f>SUM(L174:L174)</f>
        <v/>
      </c>
      <c r="M175" s="89">
        <f>SUM(M174:M174)</f>
        <v/>
      </c>
      <c r="N175" s="89">
        <f>SUM(N174:N174)</f>
        <v/>
      </c>
      <c r="O175" s="89">
        <f>SUM(O174:O174)</f>
        <v/>
      </c>
      <c r="P175" s="89">
        <f>SUM(P174:P174)</f>
        <v/>
      </c>
      <c r="Q175" s="89">
        <f>SUM(Q174:Q174)</f>
        <v/>
      </c>
    </row>
    <row r="176" s="83">
      <c r="A176" s="51" t="inlineStr">
        <is>
          <t>付款合计</t>
        </is>
      </c>
      <c r="B176" s="52" t="n"/>
      <c r="C176" s="52" t="n"/>
      <c r="D176" s="51" t="n"/>
      <c r="E176" s="51" t="n"/>
      <c r="F176" s="89">
        <f>ROUND(F22+F24+F35+F50+F63+F98+F137+F162+F167+F173+F175,2)</f>
        <v/>
      </c>
      <c r="G176" s="89">
        <f>ROUND(G22+G24+G35+G50+G63+G98+G137+G162+G167+G173+G175,2)</f>
        <v/>
      </c>
      <c r="H176" s="89">
        <f>ROUND(H22+H24+H35+H50+H63+H98+H137+H162+H167+H173+H175,2)</f>
        <v/>
      </c>
      <c r="I176" s="89">
        <f>ROUND(I22+I24+I35+I50+I63+I98+I137+I162+I167+I173+I175,2)</f>
        <v/>
      </c>
      <c r="J176" s="89">
        <f>ROUND(J22+J24+J35+J50+J63+J98+J137+J162+J167+J173+J175,2)</f>
        <v/>
      </c>
      <c r="K176" s="89">
        <f>ROUND(K22+K24+K35+K50+K63+K98+K137+K162+K167+K173+K175,2)</f>
        <v/>
      </c>
      <c r="L176" s="89">
        <f>ROUND(L22+L24+L35+L50+L63+L98+L137+L162+L167+L173+L175,2)</f>
        <v/>
      </c>
      <c r="M176" s="89">
        <f>ROUND(M22+M24+M35+M50+M63+M98+M137+M162+M167+M173+M175,2)</f>
        <v/>
      </c>
      <c r="N176" s="89">
        <f>ROUND(N22+N24+N35+N50+N63+N98+N137+N162+N167+N173+N175,2)</f>
        <v/>
      </c>
      <c r="O176" s="89">
        <f>ROUND(O22+O24+O35+O50+O63+O98+O137+O162+O167+O173+O175,2)</f>
        <v/>
      </c>
      <c r="P176" s="89">
        <f>ROUND(P22+P24+P35+P50+P63+P98+P137+P162+P167+P173+P175,2)</f>
        <v/>
      </c>
      <c r="Q176" s="89">
        <f>ROUND(Q22+Q24+Q35+Q50+Q63+Q98+Q137+Q162+Q167+Q173+Q175,2)</f>
        <v/>
      </c>
    </row>
    <row r="177" s="83">
      <c r="A177" s="51" t="inlineStr">
        <is>
          <t>现金净流入</t>
        </is>
      </c>
      <c r="B177" s="54" t="n"/>
      <c r="C177" s="54" t="n"/>
      <c r="D177" s="51" t="n"/>
      <c r="E177" s="51" t="n"/>
      <c r="F177" s="89">
        <f>ROUND(F19-F176,2)</f>
        <v/>
      </c>
      <c r="G177" s="89">
        <f>ROUND(G19-G176,2)</f>
        <v/>
      </c>
      <c r="H177" s="89">
        <f>ROUND(H19-H176,2)</f>
        <v/>
      </c>
      <c r="I177" s="89">
        <f>ROUND(I19-I176,2)</f>
        <v/>
      </c>
      <c r="J177" s="89">
        <f>ROUND(J19-J176,2)</f>
        <v/>
      </c>
      <c r="K177" s="89">
        <f>ROUND(K19-K176,2)</f>
        <v/>
      </c>
      <c r="L177" s="89">
        <f>ROUND(L19-L176,2)</f>
        <v/>
      </c>
      <c r="M177" s="89">
        <f>ROUND(M19-M176,2)</f>
        <v/>
      </c>
      <c r="N177" s="89">
        <f>ROUND(N19-N176,2)</f>
        <v/>
      </c>
      <c r="O177" s="89">
        <f>ROUND(O19-O176,2)</f>
        <v/>
      </c>
      <c r="P177" s="89">
        <f>ROUND(P19-P176,2)</f>
        <v/>
      </c>
      <c r="Q177" s="89">
        <f>ROUND(Q19-Q176,2)</f>
        <v/>
      </c>
    </row>
    <row r="178" s="83">
      <c r="A178" s="51" t="inlineStr">
        <is>
          <t>现金期初数</t>
        </is>
      </c>
      <c r="B178" s="54" t="n"/>
      <c r="C178" s="54" t="n"/>
      <c r="D178" s="51" t="n"/>
      <c r="E178" s="51" t="n"/>
      <c r="F178" s="89" t="n">
        <v>286268.93</v>
      </c>
      <c r="G178" s="89">
        <f>F179</f>
        <v/>
      </c>
      <c r="H178" s="89">
        <f>G179</f>
        <v/>
      </c>
      <c r="I178" s="89">
        <f>H179</f>
        <v/>
      </c>
      <c r="J178" s="89">
        <f>I179</f>
        <v/>
      </c>
      <c r="K178" s="89">
        <f>J179</f>
        <v/>
      </c>
      <c r="L178" s="89">
        <f>K179</f>
        <v/>
      </c>
      <c r="M178" s="89">
        <f>L179</f>
        <v/>
      </c>
      <c r="N178" s="89">
        <f>M179</f>
        <v/>
      </c>
      <c r="O178" s="89">
        <f>N179</f>
        <v/>
      </c>
      <c r="P178" s="89">
        <f>O179</f>
        <v/>
      </c>
      <c r="Q178" s="89">
        <f>P179</f>
        <v/>
      </c>
    </row>
    <row r="179" s="83">
      <c r="A179" s="51" t="inlineStr">
        <is>
          <t>现金期末数</t>
        </is>
      </c>
      <c r="B179" s="54" t="n"/>
      <c r="C179" s="54" t="n"/>
      <c r="D179" s="51" t="n"/>
      <c r="E179" s="51" t="n"/>
      <c r="F179" s="89">
        <f>ROUND(F178+F177,2)</f>
        <v/>
      </c>
      <c r="G179" s="89">
        <f>ROUND(G178+G177,2)</f>
        <v/>
      </c>
      <c r="H179" s="89">
        <f>ROUND(H178+H177,2)</f>
        <v/>
      </c>
      <c r="I179" s="89">
        <f>ROUND(I178+I177,2)</f>
        <v/>
      </c>
      <c r="J179" s="89">
        <f>ROUND(J178+J177,2)</f>
        <v/>
      </c>
      <c r="K179" s="89">
        <f>ROUND(K178+K177,2)</f>
        <v/>
      </c>
      <c r="L179" s="89">
        <f>ROUND(L178+L177,2)</f>
        <v/>
      </c>
      <c r="M179" s="89">
        <f>ROUND(M178+M177,2)</f>
        <v/>
      </c>
      <c r="N179" s="89">
        <f>ROUND(N178+N177,2)</f>
        <v/>
      </c>
      <c r="O179" s="89">
        <f>ROUND(O178+O177,2)</f>
        <v/>
      </c>
      <c r="P179" s="89">
        <f>ROUND(P178+P177,2)</f>
        <v/>
      </c>
      <c r="Q179" s="89">
        <f>ROUND(Q178+Q177,2)</f>
        <v/>
      </c>
    </row>
    <row r="180" s="83">
      <c r="A180" s="51" t="inlineStr">
        <is>
          <t>报表期末数</t>
        </is>
      </c>
      <c r="B180" s="54" t="n"/>
      <c r="C180" s="54" t="n"/>
      <c r="D180" s="51" t="n"/>
      <c r="E180" s="51" t="n"/>
      <c r="F180" s="89">
        <f>ROUND(39834.27*F185,2)</f>
        <v/>
      </c>
      <c r="G180" s="89">
        <f>ROUND(39756.91*G185,2)</f>
        <v/>
      </c>
      <c r="H180" s="89">
        <f>ROUND(39765.58*H185,2)</f>
        <v/>
      </c>
      <c r="I180" s="89">
        <f>ROUND(39772.75*I185,2)</f>
        <v/>
      </c>
      <c r="J180" s="89">
        <f>ROUND(39899.48*J185,2)</f>
        <v/>
      </c>
      <c r="K180" s="89">
        <f>ROUND(739895.87*K185,2)</f>
        <v/>
      </c>
      <c r="L180" s="89" t="n"/>
      <c r="M180" s="89" t="n"/>
      <c r="N180" s="89" t="n"/>
      <c r="O180" s="89" t="n"/>
      <c r="P180" s="89" t="n"/>
      <c r="Q180" s="89" t="n"/>
    </row>
    <row r="181" s="83">
      <c r="A181" s="51" t="inlineStr">
        <is>
          <t>check</t>
        </is>
      </c>
      <c r="B181" s="54" t="n"/>
      <c r="C181" s="54" t="n"/>
      <c r="D181" s="51" t="n"/>
      <c r="E181" s="51" t="n"/>
      <c r="F181" s="89">
        <f>F180-F179</f>
        <v/>
      </c>
      <c r="G181" s="89">
        <f>G180-G179</f>
        <v/>
      </c>
      <c r="H181" s="89">
        <f>H180-H179</f>
        <v/>
      </c>
      <c r="I181" s="89">
        <f>I180-I179</f>
        <v/>
      </c>
      <c r="J181" s="89">
        <f>J180-J179</f>
        <v/>
      </c>
      <c r="K181" s="89">
        <f>K180-K179</f>
        <v/>
      </c>
      <c r="L181" s="89">
        <f>L180-L179</f>
        <v/>
      </c>
      <c r="M181" s="89">
        <f>M180-M179</f>
        <v/>
      </c>
      <c r="N181" s="89">
        <f>N180-N179</f>
        <v/>
      </c>
      <c r="O181" s="89">
        <f>O180-O179</f>
        <v/>
      </c>
      <c r="P181" s="89">
        <f>P180-P179</f>
        <v/>
      </c>
      <c r="Q181" s="89">
        <f>Q180-Q179</f>
        <v/>
      </c>
    </row>
    <row r="185" s="83">
      <c r="E185" s="5" t="inlineStr">
        <is>
          <t>本期末汇率-美元</t>
        </is>
      </c>
      <c r="F185" s="92" t="n">
        <v>7.1698</v>
      </c>
      <c r="G185" s="92" t="n">
        <v>7.1738</v>
      </c>
      <c r="H185" s="92" t="n">
        <v>7.1782</v>
      </c>
      <c r="I185" s="92" t="n">
        <v>7.2014</v>
      </c>
      <c r="J185" s="92">
        <f>'SMART AI LIMITED'!J185</f>
        <v/>
      </c>
      <c r="K185" s="92">
        <f>'SMART AI LIMITED'!K185</f>
        <v/>
      </c>
      <c r="L185" s="5" t="n">
        <v>7.1494</v>
      </c>
    </row>
    <row r="186" s="83">
      <c r="K186" s="92" t="n"/>
    </row>
    <row r="187" s="83">
      <c r="G187" s="89" t="n"/>
      <c r="H187" s="89" t="n"/>
      <c r="I187" s="89" t="n"/>
      <c r="J187" s="89" t="n"/>
      <c r="K187" s="89" t="n"/>
      <c r="L187" s="89" t="n"/>
      <c r="M187" s="89" t="n"/>
    </row>
    <row r="188" s="83">
      <c r="G188" s="89" t="n"/>
      <c r="H188" s="89" t="n"/>
      <c r="I188" s="89" t="n"/>
      <c r="J188" s="89" t="n"/>
      <c r="K188" s="89" t="n"/>
      <c r="L188" s="89" t="n"/>
      <c r="M188" s="89" t="n"/>
    </row>
  </sheetData>
  <autoFilter ref="A2:R181"/>
  <mergeCells count="30">
    <mergeCell ref="C20:C21"/>
    <mergeCell ref="C131:C133"/>
    <mergeCell ref="C116:C119"/>
    <mergeCell ref="C85:C86"/>
    <mergeCell ref="C134:C135"/>
    <mergeCell ref="C16:C17"/>
    <mergeCell ref="C42:C47"/>
    <mergeCell ref="C78:C84"/>
    <mergeCell ref="C120:C128"/>
    <mergeCell ref="C129:C130"/>
    <mergeCell ref="C111:C115"/>
    <mergeCell ref="C153:C161"/>
    <mergeCell ref="C163:C166"/>
    <mergeCell ref="C87:C93"/>
    <mergeCell ref="C105:C110"/>
    <mergeCell ref="C25:C34"/>
    <mergeCell ref="C99:C104"/>
    <mergeCell ref="C7:C8"/>
    <mergeCell ref="C94:C96"/>
    <mergeCell ref="C36:C41"/>
    <mergeCell ref="C48:C49"/>
    <mergeCell ref="C13:C14"/>
    <mergeCell ref="C70:C77"/>
    <mergeCell ref="C64:C68"/>
    <mergeCell ref="C146:C152"/>
    <mergeCell ref="C138:C145"/>
    <mergeCell ref="C3:C6"/>
    <mergeCell ref="C51:C62"/>
    <mergeCell ref="C168:C172"/>
    <mergeCell ref="C9:C1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J328"/>
  <sheetViews>
    <sheetView workbookViewId="0">
      <pane ySplit="1" topLeftCell="A2" activePane="bottomLeft" state="frozen"/>
      <selection activeCell="A1" sqref="A1"/>
      <selection pane="bottomLeft" activeCell="E13" sqref="E13"/>
    </sheetView>
  </sheetViews>
  <sheetFormatPr baseColWidth="8" defaultColWidth="9" defaultRowHeight="16.05" customHeight="1"/>
  <cols>
    <col width="11" customWidth="1" style="22" min="1" max="1"/>
    <col width="12.0769230769231" customWidth="1" style="22" min="2" max="2"/>
    <col width="13.1615384615385" customWidth="1" style="22" min="3" max="3"/>
    <col width="12.2307692307692" customWidth="1" style="22" min="4" max="4"/>
    <col width="14.5384615384615" customWidth="1" style="22" min="5" max="5"/>
    <col width="20.3384615384615" customWidth="1" style="22" min="6" max="6"/>
    <col width="9.5" customWidth="1" style="22" min="7" max="7"/>
    <col width="16.3076923076923" customWidth="1" style="23" min="8" max="8"/>
    <col width="10.3846153846154" customWidth="1" style="22" min="9" max="9"/>
    <col width="13.2307692307692" customWidth="1" style="22" min="10" max="10"/>
  </cols>
  <sheetData>
    <row r="1" customFormat="1" s="47">
      <c r="A1" s="43" t="inlineStr">
        <is>
          <t>科目编码</t>
        </is>
      </c>
      <c r="B1" s="43" t="inlineStr">
        <is>
          <t>科目名称</t>
        </is>
      </c>
      <c r="C1" s="43" t="inlineStr">
        <is>
          <t>日期</t>
        </is>
      </c>
      <c r="D1" s="43" t="inlineStr">
        <is>
          <t>费用项目编码</t>
        </is>
      </c>
      <c r="E1" s="43" t="inlineStr">
        <is>
          <t>费用项目名称</t>
        </is>
      </c>
      <c r="F1" s="43" t="inlineStr">
        <is>
          <t>核算账簿</t>
        </is>
      </c>
      <c r="G1" s="43" t="inlineStr">
        <is>
          <t>凭证号</t>
        </is>
      </c>
      <c r="H1" s="25" t="inlineStr">
        <is>
          <t>摘要</t>
        </is>
      </c>
      <c r="I1" s="43" t="inlineStr">
        <is>
          <t>借方本币</t>
        </is>
      </c>
      <c r="J1" s="43" t="inlineStr">
        <is>
          <t>贷方本币</t>
        </is>
      </c>
    </row>
    <row r="2" s="83">
      <c r="A2" s="27" t="inlineStr">
        <is>
          <t>100201</t>
        </is>
      </c>
      <c r="B2" s="27" t="n"/>
      <c r="C2" s="27" t="inlineStr">
        <is>
          <t>2025-01-28</t>
        </is>
      </c>
      <c r="D2" s="27" t="inlineStr">
        <is>
          <t>Q0302</t>
        </is>
      </c>
      <c r="E2" s="27" t="n"/>
      <c r="F2" s="27" t="inlineStr">
        <is>
          <t>SMART LEARNING HOLDING</t>
        </is>
      </c>
      <c r="G2" s="27" t="inlineStr">
        <is>
          <t>记-2</t>
        </is>
      </c>
      <c r="H2" s="27" t="n"/>
      <c r="I2" s="44" t="n">
        <v>1</v>
      </c>
      <c r="J2" s="44" t="n"/>
    </row>
    <row r="3" s="83">
      <c r="A3" s="26" t="inlineStr">
        <is>
          <t>100201</t>
        </is>
      </c>
      <c r="B3" s="26" t="n"/>
      <c r="C3" s="26" t="inlineStr">
        <is>
          <t>2025-01-31</t>
        </is>
      </c>
      <c r="D3" s="26" t="inlineStr">
        <is>
          <t>Q3105</t>
        </is>
      </c>
      <c r="E3" s="26" t="n"/>
      <c r="F3" s="26" t="inlineStr">
        <is>
          <t>SMART LEARNING HOLDING</t>
        </is>
      </c>
      <c r="G3" s="26" t="inlineStr">
        <is>
          <t>记-3</t>
        </is>
      </c>
      <c r="H3" s="26" t="n"/>
      <c r="I3" s="44" t="n">
        <v>1</v>
      </c>
      <c r="J3" s="45" t="n"/>
    </row>
    <row r="4" s="83">
      <c r="A4" s="26" t="inlineStr">
        <is>
          <t>100202</t>
        </is>
      </c>
      <c r="B4" s="26" t="n"/>
      <c r="C4" s="26" t="inlineStr">
        <is>
          <t>2025-01-28</t>
        </is>
      </c>
      <c r="D4" s="26" t="inlineStr">
        <is>
          <t>Q0302</t>
        </is>
      </c>
      <c r="E4" s="26" t="n"/>
      <c r="F4" s="26" t="inlineStr">
        <is>
          <t>SMART LEARNING HOLDING</t>
        </is>
      </c>
      <c r="G4" s="26" t="inlineStr">
        <is>
          <t>记-1</t>
        </is>
      </c>
      <c r="H4" s="26" t="n"/>
      <c r="I4" s="44" t="n">
        <v>1</v>
      </c>
      <c r="J4" s="45" t="n"/>
    </row>
    <row r="5" s="83">
      <c r="A5" s="26" t="inlineStr">
        <is>
          <t>100203</t>
        </is>
      </c>
      <c r="B5" s="26" t="n"/>
      <c r="C5" s="26" t="inlineStr">
        <is>
          <t>2025-01-31</t>
        </is>
      </c>
      <c r="D5" s="26" t="inlineStr">
        <is>
          <t>Q3105</t>
        </is>
      </c>
      <c r="E5" s="26" t="n"/>
      <c r="F5" s="26" t="inlineStr">
        <is>
          <t>SMART LEARNING HOLDING</t>
        </is>
      </c>
      <c r="G5" s="26" t="inlineStr">
        <is>
          <t>记-3</t>
        </is>
      </c>
      <c r="H5" s="26" t="n"/>
      <c r="I5" s="44" t="n">
        <v>1</v>
      </c>
      <c r="J5" s="45" t="n"/>
    </row>
    <row r="6" s="83">
      <c r="A6" s="27" t="inlineStr">
        <is>
          <t>100202</t>
        </is>
      </c>
      <c r="B6" s="27" t="n"/>
      <c r="C6" s="27" t="inlineStr">
        <is>
          <t>2025-01-28</t>
        </is>
      </c>
      <c r="D6" s="27" t="inlineStr">
        <is>
          <t>Q0302</t>
        </is>
      </c>
      <c r="E6" s="27" t="n"/>
      <c r="F6" s="27" t="inlineStr">
        <is>
          <t>SMART AI LIMITED</t>
        </is>
      </c>
      <c r="G6" s="27" t="inlineStr">
        <is>
          <t>记-1</t>
        </is>
      </c>
      <c r="H6" s="27" t="n"/>
      <c r="I6" s="44" t="n">
        <v>1</v>
      </c>
      <c r="J6" s="44" t="n"/>
    </row>
    <row r="7" s="83">
      <c r="A7" s="26" t="inlineStr">
        <is>
          <t>100203</t>
        </is>
      </c>
      <c r="B7" s="26" t="n"/>
      <c r="C7" s="26" t="inlineStr">
        <is>
          <t>2025-01-31</t>
        </is>
      </c>
      <c r="D7" s="26" t="inlineStr">
        <is>
          <t>Q3105</t>
        </is>
      </c>
      <c r="E7" s="26" t="n"/>
      <c r="F7" s="26" t="inlineStr">
        <is>
          <t>SMART AI LIMITED</t>
        </is>
      </c>
      <c r="G7" s="26" t="inlineStr">
        <is>
          <t>记-2</t>
        </is>
      </c>
      <c r="H7" s="26" t="n"/>
      <c r="I7" s="44" t="n">
        <v>1</v>
      </c>
      <c r="J7" s="45" t="n"/>
    </row>
    <row r="8" s="83">
      <c r="A8" s="27" t="inlineStr">
        <is>
          <t>100202</t>
        </is>
      </c>
      <c r="B8" s="27" t="n"/>
      <c r="C8" s="27" t="inlineStr">
        <is>
          <t>2025-01-28</t>
        </is>
      </c>
      <c r="D8" s="27" t="inlineStr">
        <is>
          <t>Q0302</t>
        </is>
      </c>
      <c r="E8" s="27" t="n"/>
      <c r="F8" s="27" t="inlineStr">
        <is>
          <t>HK01</t>
        </is>
      </c>
      <c r="G8" s="27" t="inlineStr">
        <is>
          <t>记-1</t>
        </is>
      </c>
      <c r="H8" s="27" t="n"/>
      <c r="I8" s="44" t="n">
        <v>1</v>
      </c>
      <c r="J8" s="44" t="n"/>
    </row>
    <row r="9" s="83">
      <c r="A9" s="26" t="inlineStr">
        <is>
          <t>100203</t>
        </is>
      </c>
      <c r="B9" s="26" t="n"/>
      <c r="C9" s="26" t="inlineStr">
        <is>
          <t>2025-01-31</t>
        </is>
      </c>
      <c r="D9" s="26" t="inlineStr">
        <is>
          <t>Q3105</t>
        </is>
      </c>
      <c r="E9" s="26" t="n"/>
      <c r="F9" s="26" t="inlineStr">
        <is>
          <t>HK01</t>
        </is>
      </c>
      <c r="G9" s="26" t="inlineStr">
        <is>
          <t>记-2</t>
        </is>
      </c>
      <c r="H9" s="26" t="n"/>
      <c r="I9" s="44" t="n">
        <v>1</v>
      </c>
      <c r="J9" s="45" t="n"/>
    </row>
    <row r="10" s="83">
      <c r="A10" s="27" t="inlineStr">
        <is>
          <t>100201</t>
        </is>
      </c>
      <c r="B10" s="27" t="n"/>
      <c r="C10" s="27" t="inlineStr">
        <is>
          <t>2025-01-21</t>
        </is>
      </c>
      <c r="D10" s="27" t="inlineStr">
        <is>
          <t>Q0401</t>
        </is>
      </c>
      <c r="E10" s="27" t="n"/>
      <c r="F10" s="27" t="inlineStr">
        <is>
          <t>杭州目标准科技有限公司</t>
        </is>
      </c>
      <c r="G10" s="27" t="inlineStr">
        <is>
          <t>记-1</t>
        </is>
      </c>
      <c r="H10" s="27" t="n"/>
      <c r="I10" s="44" t="n">
        <v>1</v>
      </c>
      <c r="J10" s="44" t="n"/>
    </row>
    <row r="11" s="83">
      <c r="A11" s="27" t="inlineStr">
        <is>
          <t>100201</t>
        </is>
      </c>
      <c r="B11" s="27" t="n"/>
      <c r="C11" s="27" t="inlineStr">
        <is>
          <t>2025-01-22</t>
        </is>
      </c>
      <c r="D11" s="27" t="inlineStr">
        <is>
          <t>Q3101</t>
        </is>
      </c>
      <c r="E11" s="27" t="n"/>
      <c r="F11" s="27" t="inlineStr">
        <is>
          <t>杭州目标准科技有限公司</t>
        </is>
      </c>
      <c r="G11" s="27" t="inlineStr">
        <is>
          <t>记-2</t>
        </is>
      </c>
      <c r="H11" s="27" t="n"/>
      <c r="I11" s="44" t="n"/>
      <c r="J11" s="44" t="n">
        <v>1</v>
      </c>
    </row>
    <row r="12" s="83">
      <c r="A12" s="27" t="inlineStr">
        <is>
          <t>100201</t>
        </is>
      </c>
      <c r="B12" s="27" t="n"/>
      <c r="C12" s="27" t="inlineStr">
        <is>
          <t>2025-01-02</t>
        </is>
      </c>
      <c r="D12" s="27" t="inlineStr">
        <is>
          <t>Q0803</t>
        </is>
      </c>
      <c r="E12" s="27" t="n"/>
      <c r="F12" s="27" t="inlineStr">
        <is>
          <t>杭州驷海宾朋智能科技有限公司</t>
        </is>
      </c>
      <c r="G12" s="27" t="inlineStr">
        <is>
          <t>记-2</t>
        </is>
      </c>
      <c r="H12" s="27" t="n"/>
      <c r="I12" s="44" t="n"/>
      <c r="J12" s="44" t="n">
        <v>1</v>
      </c>
    </row>
    <row r="13" s="83">
      <c r="A13" s="27" t="inlineStr">
        <is>
          <t>100201</t>
        </is>
      </c>
      <c r="B13" s="27" t="n"/>
      <c r="C13" s="27" t="inlineStr">
        <is>
          <t>2025-01-07</t>
        </is>
      </c>
      <c r="D13" s="27" t="inlineStr">
        <is>
          <t>Q2806</t>
        </is>
      </c>
      <c r="E13" s="27" t="n"/>
      <c r="F13" s="27" t="inlineStr">
        <is>
          <t>杭州驷海宾朋智能科技有限公司</t>
        </is>
      </c>
      <c r="G13" s="27" t="inlineStr">
        <is>
          <t>记-3</t>
        </is>
      </c>
      <c r="H13" s="27" t="n"/>
      <c r="I13" s="44" t="n">
        <v>1</v>
      </c>
      <c r="J13" s="44" t="n"/>
    </row>
    <row r="14" s="83">
      <c r="A14" s="26" t="inlineStr">
        <is>
          <t>100201</t>
        </is>
      </c>
      <c r="B14" s="26" t="n"/>
      <c r="C14" s="26" t="inlineStr">
        <is>
          <t>2025-01-02</t>
        </is>
      </c>
      <c r="D14" s="26" t="inlineStr">
        <is>
          <t>Q3101</t>
        </is>
      </c>
      <c r="E14" s="26" t="n"/>
      <c r="F14" s="26" t="inlineStr">
        <is>
          <t>杭州驷海宾朋智能科技有限公司</t>
        </is>
      </c>
      <c r="G14" s="26" t="inlineStr">
        <is>
          <t>记-1</t>
        </is>
      </c>
      <c r="H14" s="26" t="n"/>
      <c r="I14" s="45" t="n"/>
      <c r="J14" s="45" t="n">
        <v>1</v>
      </c>
    </row>
    <row r="15" s="83">
      <c r="A15" s="26" t="inlineStr">
        <is>
          <t>100201</t>
        </is>
      </c>
      <c r="B15" s="26" t="n"/>
      <c r="C15" s="26" t="inlineStr">
        <is>
          <t>2025-01-24</t>
        </is>
      </c>
      <c r="D15" s="26" t="inlineStr">
        <is>
          <t>Q0401</t>
        </is>
      </c>
      <c r="E15" s="26" t="n"/>
      <c r="F15" s="26" t="inlineStr">
        <is>
          <t>杭州实时查科技有限公司</t>
        </is>
      </c>
      <c r="G15" s="26" t="inlineStr">
        <is>
          <t>记-3</t>
        </is>
      </c>
      <c r="H15" s="26" t="n"/>
      <c r="I15" s="45" t="n">
        <v>1</v>
      </c>
      <c r="J15" s="45" t="n"/>
    </row>
    <row r="16" s="83">
      <c r="A16" s="26" t="inlineStr">
        <is>
          <t>100201</t>
        </is>
      </c>
      <c r="B16" s="26" t="n"/>
      <c r="C16" s="26" t="inlineStr">
        <is>
          <t>2025-01-26</t>
        </is>
      </c>
      <c r="D16" s="26" t="inlineStr">
        <is>
          <t>Q2002</t>
        </is>
      </c>
      <c r="E16" s="26" t="n"/>
      <c r="F16" s="26" t="inlineStr">
        <is>
          <t>杭州实时查科技有限公司</t>
        </is>
      </c>
      <c r="G16" s="26" t="inlineStr">
        <is>
          <t>记-4</t>
        </is>
      </c>
      <c r="H16" s="26" t="n"/>
      <c r="I16" s="45" t="n">
        <v>1</v>
      </c>
      <c r="J16" s="45" t="n"/>
    </row>
    <row r="17" s="83">
      <c r="A17" s="27" t="inlineStr">
        <is>
          <t>100201</t>
        </is>
      </c>
      <c r="B17" s="27" t="n"/>
      <c r="C17" s="27" t="inlineStr">
        <is>
          <t>2025-01-15</t>
        </is>
      </c>
      <c r="D17" s="27" t="inlineStr">
        <is>
          <t>Q3003</t>
        </is>
      </c>
      <c r="E17" s="27" t="n"/>
      <c r="F17" s="27" t="inlineStr">
        <is>
          <t>杭州实时查科技有限公司</t>
        </is>
      </c>
      <c r="G17" s="27" t="inlineStr">
        <is>
          <t>记-2</t>
        </is>
      </c>
      <c r="H17" s="27" t="n"/>
      <c r="I17" s="44" t="n"/>
      <c r="J17" s="44" t="n">
        <v>1</v>
      </c>
    </row>
    <row r="18" s="83">
      <c r="A18" s="26" t="inlineStr">
        <is>
          <t>100201</t>
        </is>
      </c>
      <c r="B18" s="26" t="n"/>
      <c r="C18" s="26" t="inlineStr">
        <is>
          <t>2025-01-02</t>
        </is>
      </c>
      <c r="D18" s="26" t="inlineStr">
        <is>
          <t>Q3101</t>
        </is>
      </c>
      <c r="E18" s="26" t="n"/>
      <c r="F18" s="26" t="inlineStr">
        <is>
          <t>杭州实时查科技有限公司</t>
        </is>
      </c>
      <c r="G18" s="26" t="inlineStr">
        <is>
          <t>记-1</t>
        </is>
      </c>
      <c r="H18" s="26" t="n"/>
      <c r="I18" s="45" t="n"/>
      <c r="J18" s="45" t="n">
        <v>1</v>
      </c>
    </row>
    <row r="19" s="83">
      <c r="A19" s="27" t="inlineStr">
        <is>
          <t>101203</t>
        </is>
      </c>
      <c r="B19" s="27" t="n"/>
      <c r="C19" s="27" t="inlineStr">
        <is>
          <t>2025-01-31</t>
        </is>
      </c>
      <c r="D19" s="27" t="inlineStr">
        <is>
          <t>Q0101</t>
        </is>
      </c>
      <c r="E19" s="27" t="n"/>
      <c r="F19" s="27" t="inlineStr">
        <is>
          <t>杭州实时查科技有限公司</t>
        </is>
      </c>
      <c r="G19" s="27" t="inlineStr">
        <is>
          <t>记-5</t>
        </is>
      </c>
      <c r="H19" s="27" t="n"/>
      <c r="I19" s="44" t="n">
        <v>1</v>
      </c>
      <c r="J19" s="44" t="n"/>
    </row>
    <row r="20" s="83">
      <c r="A20" s="26" t="inlineStr">
        <is>
          <t>101203</t>
        </is>
      </c>
      <c r="B20" s="26" t="n"/>
      <c r="C20" s="26" t="inlineStr">
        <is>
          <t>2025-01-31</t>
        </is>
      </c>
      <c r="D20" s="26" t="inlineStr">
        <is>
          <t>Q0101</t>
        </is>
      </c>
      <c r="E20" s="26" t="n"/>
      <c r="F20" s="26" t="inlineStr">
        <is>
          <t>杭州实时查科技有限公司</t>
        </is>
      </c>
      <c r="G20" s="26" t="inlineStr">
        <is>
          <t>记-7</t>
        </is>
      </c>
      <c r="H20" s="26" t="n"/>
      <c r="I20" s="45" t="n"/>
      <c r="J20" s="45" t="n">
        <v>1</v>
      </c>
    </row>
    <row r="21" s="83">
      <c r="A21" s="26" t="inlineStr">
        <is>
          <t>101203</t>
        </is>
      </c>
      <c r="B21" s="26" t="n"/>
      <c r="C21" s="26" t="inlineStr">
        <is>
          <t>2025-01-24</t>
        </is>
      </c>
      <c r="D21" s="26" t="inlineStr">
        <is>
          <t>Q0401</t>
        </is>
      </c>
      <c r="E21" s="26" t="n"/>
      <c r="F21" s="26" t="inlineStr">
        <is>
          <t>杭州实时查科技有限公司</t>
        </is>
      </c>
      <c r="G21" s="26" t="inlineStr">
        <is>
          <t>记-3</t>
        </is>
      </c>
      <c r="H21" s="26" t="n"/>
      <c r="I21" s="45" t="n"/>
      <c r="J21" s="45" t="n">
        <v>1</v>
      </c>
    </row>
    <row r="22" s="83">
      <c r="A22" s="27" t="inlineStr">
        <is>
          <t>101203</t>
        </is>
      </c>
      <c r="B22" s="27" t="n"/>
      <c r="C22" s="27" t="inlineStr">
        <is>
          <t>2025-01-31</t>
        </is>
      </c>
      <c r="D22" s="27" t="inlineStr">
        <is>
          <t>Q2201</t>
        </is>
      </c>
      <c r="E22" s="27" t="n"/>
      <c r="F22" s="27" t="inlineStr">
        <is>
          <t>杭州实时查科技有限公司</t>
        </is>
      </c>
      <c r="G22" s="27" t="inlineStr">
        <is>
          <t>记-6</t>
        </is>
      </c>
      <c r="H22" s="27" t="n"/>
      <c r="I22" s="44" t="n"/>
      <c r="J22" s="45" t="n">
        <v>1</v>
      </c>
    </row>
    <row r="23" s="83">
      <c r="A23" s="26" t="inlineStr">
        <is>
          <t>101203</t>
        </is>
      </c>
      <c r="B23" s="26" t="n"/>
      <c r="C23" s="26" t="inlineStr">
        <is>
          <t>2025-01-31</t>
        </is>
      </c>
      <c r="D23" s="26" t="inlineStr">
        <is>
          <t>Q2201</t>
        </is>
      </c>
      <c r="E23" s="26" t="n"/>
      <c r="F23" s="26" t="inlineStr">
        <is>
          <t>杭州实时查科技有限公司</t>
        </is>
      </c>
      <c r="G23" s="26" t="inlineStr">
        <is>
          <t>记-6</t>
        </is>
      </c>
      <c r="H23" s="26" t="n"/>
      <c r="I23" s="45" t="n"/>
      <c r="J23" s="45" t="n">
        <v>1</v>
      </c>
    </row>
    <row r="24" s="83">
      <c r="A24" s="27" t="inlineStr">
        <is>
          <t>101203</t>
        </is>
      </c>
      <c r="B24" s="27" t="n"/>
      <c r="C24" s="27" t="inlineStr">
        <is>
          <t>2025-01-31</t>
        </is>
      </c>
      <c r="D24" s="27" t="inlineStr">
        <is>
          <t>Q2201</t>
        </is>
      </c>
      <c r="E24" s="27" t="n"/>
      <c r="F24" s="27" t="inlineStr">
        <is>
          <t>杭州实时查科技有限公司</t>
        </is>
      </c>
      <c r="G24" s="27" t="inlineStr">
        <is>
          <t>记-6</t>
        </is>
      </c>
      <c r="H24" s="27" t="n"/>
      <c r="I24" s="44" t="n"/>
      <c r="J24" s="45" t="n">
        <v>1</v>
      </c>
    </row>
    <row r="25" s="83">
      <c r="A25" s="26" t="inlineStr">
        <is>
          <t>100201</t>
        </is>
      </c>
      <c r="B25" s="26" t="n"/>
      <c r="C25" s="26" t="inlineStr">
        <is>
          <t>2025-01-14</t>
        </is>
      </c>
      <c r="D25" s="26" t="inlineStr">
        <is>
          <t>Q0801</t>
        </is>
      </c>
      <c r="E25" s="26" t="n"/>
      <c r="F25" s="26" t="inlineStr">
        <is>
          <t>海南精准学科技有限公司</t>
        </is>
      </c>
      <c r="G25" s="26" t="inlineStr">
        <is>
          <t>记-5</t>
        </is>
      </c>
      <c r="H25" s="26" t="n"/>
      <c r="I25" s="45" t="n"/>
      <c r="J25" s="45" t="n">
        <v>1</v>
      </c>
    </row>
    <row r="26" s="83">
      <c r="A26" s="27" t="inlineStr">
        <is>
          <t>100201</t>
        </is>
      </c>
      <c r="B26" s="27" t="n"/>
      <c r="C26" s="27" t="inlineStr">
        <is>
          <t>2025-01-02</t>
        </is>
      </c>
      <c r="D26" s="27" t="inlineStr">
        <is>
          <t>Q0803</t>
        </is>
      </c>
      <c r="E26" s="27" t="n"/>
      <c r="F26" s="27" t="inlineStr">
        <is>
          <t>海南精准学科技有限公司</t>
        </is>
      </c>
      <c r="G26" s="27" t="inlineStr">
        <is>
          <t>记-1</t>
        </is>
      </c>
      <c r="H26" s="27" t="n"/>
      <c r="I26" s="44" t="n"/>
      <c r="J26" s="45" t="n">
        <v>1</v>
      </c>
    </row>
    <row r="27" s="83">
      <c r="A27" s="27" t="inlineStr">
        <is>
          <t>100201</t>
        </is>
      </c>
      <c r="B27" s="27" t="n"/>
      <c r="C27" s="27" t="inlineStr">
        <is>
          <t>2025-01-08</t>
        </is>
      </c>
      <c r="D27" s="27" t="inlineStr">
        <is>
          <t>Q0804</t>
        </is>
      </c>
      <c r="E27" s="27" t="n"/>
      <c r="F27" s="27" t="inlineStr">
        <is>
          <t>海南精准学科技有限公司</t>
        </is>
      </c>
      <c r="G27" s="27" t="inlineStr">
        <is>
          <t>记-3</t>
        </is>
      </c>
      <c r="H27" s="27" t="n"/>
      <c r="I27" s="44" t="n"/>
      <c r="J27" s="45" t="n">
        <v>1</v>
      </c>
    </row>
    <row r="28" s="83">
      <c r="A28" s="26" t="inlineStr">
        <is>
          <t>100201</t>
        </is>
      </c>
      <c r="B28" s="26" t="n"/>
      <c r="C28" s="26" t="inlineStr">
        <is>
          <t>2025-01-14</t>
        </is>
      </c>
      <c r="D28" s="26" t="inlineStr">
        <is>
          <t>Q0805</t>
        </is>
      </c>
      <c r="E28" s="26" t="n"/>
      <c r="F28" s="26" t="inlineStr">
        <is>
          <t>海南精准学科技有限公司</t>
        </is>
      </c>
      <c r="G28" s="26" t="inlineStr">
        <is>
          <t>记-4</t>
        </is>
      </c>
      <c r="H28" s="26" t="n"/>
      <c r="I28" s="45" t="n"/>
      <c r="J28" s="45" t="n">
        <v>1</v>
      </c>
    </row>
    <row r="29" s="83">
      <c r="A29" s="27" t="inlineStr">
        <is>
          <t>100201</t>
        </is>
      </c>
      <c r="B29" s="27" t="n"/>
      <c r="C29" s="27" t="inlineStr">
        <is>
          <t>2025-01-24</t>
        </is>
      </c>
      <c r="D29" s="27" t="inlineStr">
        <is>
          <t>Q2706</t>
        </is>
      </c>
      <c r="E29" s="27" t="n"/>
      <c r="F29" s="27" t="inlineStr">
        <is>
          <t>海南精准学科技有限公司</t>
        </is>
      </c>
      <c r="G29" s="27" t="inlineStr">
        <is>
          <t>记-10</t>
        </is>
      </c>
      <c r="H29" s="27" t="n"/>
      <c r="I29" s="44" t="n"/>
      <c r="J29" s="45" t="n">
        <v>1</v>
      </c>
    </row>
    <row r="30" s="83">
      <c r="A30" s="27" t="inlineStr">
        <is>
          <t>100201</t>
        </is>
      </c>
      <c r="B30" s="27" t="n"/>
      <c r="C30" s="27" t="inlineStr">
        <is>
          <t>2025-01-24</t>
        </is>
      </c>
      <c r="D30" s="27" t="inlineStr">
        <is>
          <t>Q2707</t>
        </is>
      </c>
      <c r="E30" s="27" t="n"/>
      <c r="F30" s="27" t="inlineStr">
        <is>
          <t>海南精准学科技有限公司</t>
        </is>
      </c>
      <c r="G30" s="27" t="inlineStr">
        <is>
          <t>记-9</t>
        </is>
      </c>
      <c r="H30" s="27" t="n"/>
      <c r="I30" s="44" t="n"/>
      <c r="J30" s="45" t="n">
        <v>1</v>
      </c>
    </row>
    <row r="31" s="83">
      <c r="A31" s="26" t="inlineStr">
        <is>
          <t>100201</t>
        </is>
      </c>
      <c r="B31" s="26" t="n"/>
      <c r="C31" s="26" t="inlineStr">
        <is>
          <t>2025-01-24</t>
        </is>
      </c>
      <c r="D31" s="26" t="inlineStr">
        <is>
          <t>Q2802</t>
        </is>
      </c>
      <c r="E31" s="26" t="n"/>
      <c r="F31" s="26" t="inlineStr">
        <is>
          <t>海南精准学科技有限公司</t>
        </is>
      </c>
      <c r="G31" s="26" t="inlineStr">
        <is>
          <t>记-8</t>
        </is>
      </c>
      <c r="H31" s="26" t="n"/>
      <c r="I31" s="45" t="n"/>
      <c r="J31" s="45" t="n">
        <v>1</v>
      </c>
    </row>
    <row r="32" s="83">
      <c r="A32" s="27" t="inlineStr">
        <is>
          <t>100201</t>
        </is>
      </c>
      <c r="B32" s="27" t="n"/>
      <c r="C32" s="27" t="inlineStr">
        <is>
          <t>2025-01-17</t>
        </is>
      </c>
      <c r="D32" s="27" t="inlineStr">
        <is>
          <t>Q3003</t>
        </is>
      </c>
      <c r="E32" s="27" t="n"/>
      <c r="F32" s="27" t="inlineStr">
        <is>
          <t>海南精准学科技有限公司</t>
        </is>
      </c>
      <c r="G32" s="27" t="inlineStr">
        <is>
          <t>记-7</t>
        </is>
      </c>
      <c r="H32" s="27" t="n"/>
      <c r="I32" s="44" t="n"/>
      <c r="J32" s="45" t="n">
        <v>1</v>
      </c>
    </row>
    <row r="33" s="83">
      <c r="A33" s="26" t="inlineStr">
        <is>
          <t>100201</t>
        </is>
      </c>
      <c r="B33" s="26" t="n"/>
      <c r="C33" s="26" t="inlineStr">
        <is>
          <t>2025-01-03</t>
        </is>
      </c>
      <c r="D33" s="26" t="inlineStr">
        <is>
          <t>Q3101</t>
        </is>
      </c>
      <c r="E33" s="26" t="n"/>
      <c r="F33" s="26" t="inlineStr">
        <is>
          <t>海南精准学科技有限公司</t>
        </is>
      </c>
      <c r="G33" s="26" t="inlineStr">
        <is>
          <t>记-2</t>
        </is>
      </c>
      <c r="H33" s="26" t="n"/>
      <c r="I33" s="45" t="n"/>
      <c r="J33" s="45" t="n">
        <v>1</v>
      </c>
    </row>
    <row r="34" s="83">
      <c r="A34" s="27" t="inlineStr">
        <is>
          <t>100201</t>
        </is>
      </c>
      <c r="B34" s="27" t="n"/>
      <c r="C34" s="27" t="inlineStr">
        <is>
          <t>2025-01-14</t>
        </is>
      </c>
      <c r="D34" s="27" t="inlineStr">
        <is>
          <t>Q3101</t>
        </is>
      </c>
      <c r="E34" s="27" t="n"/>
      <c r="F34" s="27" t="inlineStr">
        <is>
          <t>海南精准学科技有限公司</t>
        </is>
      </c>
      <c r="G34" s="27" t="inlineStr">
        <is>
          <t>记-6</t>
        </is>
      </c>
      <c r="H34" s="27" t="n"/>
      <c r="I34" s="44" t="n"/>
      <c r="J34" s="45" t="n">
        <v>1</v>
      </c>
    </row>
    <row r="35" s="83">
      <c r="A35" s="26" t="inlineStr">
        <is>
          <t>100202</t>
        </is>
      </c>
      <c r="B35" s="26" t="n"/>
      <c r="C35" s="26" t="inlineStr">
        <is>
          <t>2025-01-31</t>
        </is>
      </c>
      <c r="D35" s="26" t="inlineStr">
        <is>
          <t>Q3101</t>
        </is>
      </c>
      <c r="E35" s="26" t="n"/>
      <c r="F35" s="26" t="inlineStr">
        <is>
          <t>海南精准学科技有限公司</t>
        </is>
      </c>
      <c r="G35" s="26" t="inlineStr">
        <is>
          <t>记-15</t>
        </is>
      </c>
      <c r="H35" s="26" t="n"/>
      <c r="I35" s="45" t="n"/>
      <c r="J35" s="45" t="n">
        <v>1</v>
      </c>
    </row>
    <row r="36" s="83">
      <c r="A36" s="27" t="inlineStr">
        <is>
          <t>100201</t>
        </is>
      </c>
      <c r="B36" s="27" t="n"/>
      <c r="C36" s="27" t="inlineStr">
        <is>
          <t>2025-01-27</t>
        </is>
      </c>
      <c r="D36" s="27" t="inlineStr">
        <is>
          <t>Q0302</t>
        </is>
      </c>
      <c r="E36" s="27" t="n"/>
      <c r="F36" s="27" t="inlineStr">
        <is>
          <t>杭州知识跳跳科技有限公司</t>
        </is>
      </c>
      <c r="G36" s="27" t="inlineStr">
        <is>
          <t>记-39</t>
        </is>
      </c>
      <c r="H36" s="27" t="n"/>
      <c r="I36" s="45" t="n">
        <v>1</v>
      </c>
      <c r="J36" s="44" t="n"/>
    </row>
    <row r="37" s="83">
      <c r="A37" s="27" t="inlineStr">
        <is>
          <t>100201</t>
        </is>
      </c>
      <c r="B37" s="27" t="n"/>
      <c r="C37" s="27" t="inlineStr">
        <is>
          <t>2025-01-06</t>
        </is>
      </c>
      <c r="D37" s="27" t="inlineStr">
        <is>
          <t>Q0401</t>
        </is>
      </c>
      <c r="E37" s="27" t="n"/>
      <c r="F37" s="27" t="inlineStr">
        <is>
          <t>杭州知识跳跳科技有限公司</t>
        </is>
      </c>
      <c r="G37" s="27" t="inlineStr">
        <is>
          <t>记-3</t>
        </is>
      </c>
      <c r="H37" s="27" t="n"/>
      <c r="I37" s="45" t="n">
        <v>1</v>
      </c>
      <c r="J37" s="44" t="n"/>
    </row>
    <row r="38" s="83">
      <c r="A38" s="26" t="inlineStr">
        <is>
          <t>100201</t>
        </is>
      </c>
      <c r="B38" s="26" t="n"/>
      <c r="C38" s="26" t="inlineStr">
        <is>
          <t>2025-01-06</t>
        </is>
      </c>
      <c r="D38" s="26" t="inlineStr">
        <is>
          <t>Q0401</t>
        </is>
      </c>
      <c r="E38" s="26" t="n"/>
      <c r="F38" s="26" t="inlineStr">
        <is>
          <t>杭州知识跳跳科技有限公司</t>
        </is>
      </c>
      <c r="G38" s="26" t="inlineStr">
        <is>
          <t>记-3</t>
        </is>
      </c>
      <c r="H38" s="26" t="n"/>
      <c r="I38" s="45" t="n"/>
      <c r="J38" s="45" t="n">
        <v>1</v>
      </c>
    </row>
    <row r="39" s="83">
      <c r="A39" s="27" t="inlineStr">
        <is>
          <t>100201</t>
        </is>
      </c>
      <c r="B39" s="27" t="n"/>
      <c r="C39" s="27" t="inlineStr">
        <is>
          <t>2025-01-23</t>
        </is>
      </c>
      <c r="D39" s="27" t="inlineStr">
        <is>
          <t>Q0401</t>
        </is>
      </c>
      <c r="E39" s="27" t="n"/>
      <c r="F39" s="27" t="inlineStr">
        <is>
          <t>杭州知识跳跳科技有限公司</t>
        </is>
      </c>
      <c r="G39" s="27" t="inlineStr">
        <is>
          <t>记-33</t>
        </is>
      </c>
      <c r="H39" s="27" t="n"/>
      <c r="I39" s="45" t="n">
        <v>1</v>
      </c>
      <c r="J39" s="44" t="n"/>
    </row>
    <row r="40" s="83">
      <c r="A40" s="26" t="inlineStr">
        <is>
          <t>100201</t>
        </is>
      </c>
      <c r="B40" s="26" t="n"/>
      <c r="C40" s="26" t="inlineStr">
        <is>
          <t>2025-01-31</t>
        </is>
      </c>
      <c r="D40" s="26" t="inlineStr">
        <is>
          <t>Q0401</t>
        </is>
      </c>
      <c r="E40" s="26" t="n"/>
      <c r="F40" s="26" t="inlineStr">
        <is>
          <t>杭州知识跳跳科技有限公司</t>
        </is>
      </c>
      <c r="G40" s="26" t="inlineStr">
        <is>
          <t>记-48</t>
        </is>
      </c>
      <c r="H40" s="26" t="n"/>
      <c r="I40" s="45" t="n">
        <v>1</v>
      </c>
      <c r="J40" s="45" t="n"/>
    </row>
    <row r="41" s="83">
      <c r="A41" s="27" t="inlineStr">
        <is>
          <t>100201</t>
        </is>
      </c>
      <c r="B41" s="27" t="n"/>
      <c r="C41" s="27" t="inlineStr">
        <is>
          <t>2025-01-31</t>
        </is>
      </c>
      <c r="D41" s="27" t="inlineStr">
        <is>
          <t>Q0401</t>
        </is>
      </c>
      <c r="E41" s="27" t="n"/>
      <c r="F41" s="27" t="inlineStr">
        <is>
          <t>杭州知识跳跳科技有限公司</t>
        </is>
      </c>
      <c r="G41" s="27" t="inlineStr">
        <is>
          <t>记-48</t>
        </is>
      </c>
      <c r="H41" s="27" t="n"/>
      <c r="I41" s="45" t="n">
        <v>1</v>
      </c>
      <c r="J41" s="44" t="n"/>
    </row>
    <row r="42" s="83">
      <c r="A42" s="26" t="inlineStr">
        <is>
          <t>100201</t>
        </is>
      </c>
      <c r="B42" s="26" t="n"/>
      <c r="C42" s="26" t="inlineStr">
        <is>
          <t>2025-01-31</t>
        </is>
      </c>
      <c r="D42" s="26" t="inlineStr">
        <is>
          <t>Q0401</t>
        </is>
      </c>
      <c r="E42" s="26" t="n"/>
      <c r="F42" s="26" t="inlineStr">
        <is>
          <t>杭州知识跳跳科技有限公司</t>
        </is>
      </c>
      <c r="G42" s="26" t="inlineStr">
        <is>
          <t>记-48</t>
        </is>
      </c>
      <c r="H42" s="26" t="n"/>
      <c r="I42" s="45" t="n">
        <v>1</v>
      </c>
      <c r="J42" s="45" t="n"/>
    </row>
    <row r="43" s="83">
      <c r="A43" s="27" t="inlineStr">
        <is>
          <t>100201</t>
        </is>
      </c>
      <c r="B43" s="27" t="n"/>
      <c r="C43" s="27" t="inlineStr">
        <is>
          <t>2025-01-31</t>
        </is>
      </c>
      <c r="D43" s="27" t="inlineStr">
        <is>
          <t>Q0401</t>
        </is>
      </c>
      <c r="E43" s="27" t="n"/>
      <c r="F43" s="27" t="inlineStr">
        <is>
          <t>杭州知识跳跳科技有限公司</t>
        </is>
      </c>
      <c r="G43" s="27" t="inlineStr">
        <is>
          <t>记-48</t>
        </is>
      </c>
      <c r="H43" s="27" t="n"/>
      <c r="I43" s="45" t="n">
        <v>1</v>
      </c>
      <c r="J43" s="44" t="n"/>
    </row>
    <row r="44" s="83">
      <c r="A44" s="27" t="inlineStr">
        <is>
          <t>100201</t>
        </is>
      </c>
      <c r="B44" s="27" t="n"/>
      <c r="C44" s="27" t="inlineStr">
        <is>
          <t>2025-01-15</t>
        </is>
      </c>
      <c r="D44" s="27" t="inlineStr">
        <is>
          <t>Q0801</t>
        </is>
      </c>
      <c r="E44" s="27" t="n"/>
      <c r="F44" s="27" t="inlineStr">
        <is>
          <t>杭州知识跳跳科技有限公司</t>
        </is>
      </c>
      <c r="G44" s="27" t="inlineStr">
        <is>
          <t>记-11</t>
        </is>
      </c>
      <c r="H44" s="27" t="n"/>
      <c r="I44" s="44" t="n"/>
      <c r="J44" s="45" t="n">
        <v>1</v>
      </c>
    </row>
    <row r="45" s="83">
      <c r="A45" s="26" t="inlineStr">
        <is>
          <t>100201</t>
        </is>
      </c>
      <c r="B45" s="26" t="n"/>
      <c r="C45" s="26" t="inlineStr">
        <is>
          <t>2025-01-31</t>
        </is>
      </c>
      <c r="D45" s="26" t="inlineStr">
        <is>
          <t>Q0803</t>
        </is>
      </c>
      <c r="E45" s="26" t="n"/>
      <c r="F45" s="26" t="inlineStr">
        <is>
          <t>杭州知识跳跳科技有限公司</t>
        </is>
      </c>
      <c r="G45" s="26" t="inlineStr">
        <is>
          <t>记-40</t>
        </is>
      </c>
      <c r="H45" s="26" t="n"/>
      <c r="I45" s="45" t="n"/>
      <c r="J45" s="45" t="n">
        <v>1</v>
      </c>
    </row>
    <row r="46" s="83">
      <c r="A46" s="27" t="inlineStr">
        <is>
          <t>100201</t>
        </is>
      </c>
      <c r="B46" s="27" t="n"/>
      <c r="C46" s="27" t="inlineStr">
        <is>
          <t>2025-01-21</t>
        </is>
      </c>
      <c r="D46" s="27" t="inlineStr">
        <is>
          <t>Q0804</t>
        </is>
      </c>
      <c r="E46" s="27" t="n"/>
      <c r="F46" s="27" t="inlineStr">
        <is>
          <t>杭州知识跳跳科技有限公司</t>
        </is>
      </c>
      <c r="G46" s="27" t="inlineStr">
        <is>
          <t>记-23</t>
        </is>
      </c>
      <c r="H46" s="27" t="n"/>
      <c r="I46" s="44" t="n"/>
      <c r="J46" s="45" t="n">
        <v>1</v>
      </c>
    </row>
    <row r="47" s="83">
      <c r="A47" s="26" t="inlineStr">
        <is>
          <t>100201</t>
        </is>
      </c>
      <c r="B47" s="26" t="n"/>
      <c r="C47" s="26" t="inlineStr">
        <is>
          <t>2025-01-14</t>
        </is>
      </c>
      <c r="D47" s="26" t="inlineStr">
        <is>
          <t>Q0805</t>
        </is>
      </c>
      <c r="E47" s="26" t="n"/>
      <c r="F47" s="26" t="inlineStr">
        <is>
          <t>杭州知识跳跳科技有限公司</t>
        </is>
      </c>
      <c r="G47" s="26" t="inlineStr">
        <is>
          <t>记-9</t>
        </is>
      </c>
      <c r="H47" s="26" t="n"/>
      <c r="I47" s="45" t="n"/>
      <c r="J47" s="45" t="n">
        <v>1</v>
      </c>
    </row>
    <row r="48" s="83">
      <c r="A48" s="27" t="inlineStr">
        <is>
          <t>100201</t>
        </is>
      </c>
      <c r="B48" s="27" t="n"/>
      <c r="C48" s="27" t="inlineStr">
        <is>
          <t>2025-01-23</t>
        </is>
      </c>
      <c r="D48" s="27" t="inlineStr">
        <is>
          <t>Q0806</t>
        </is>
      </c>
      <c r="E48" s="27" t="n"/>
      <c r="F48" s="27" t="inlineStr">
        <is>
          <t>杭州知识跳跳科技有限公司</t>
        </is>
      </c>
      <c r="G48" s="27" t="inlineStr">
        <is>
          <t>记-32</t>
        </is>
      </c>
      <c r="H48" s="27" t="n"/>
      <c r="I48" s="44" t="n"/>
      <c r="J48" s="45" t="n">
        <v>1</v>
      </c>
    </row>
    <row r="49" s="83">
      <c r="A49" s="26" t="inlineStr">
        <is>
          <t>100201</t>
        </is>
      </c>
      <c r="B49" s="26" t="n"/>
      <c r="C49" s="26" t="inlineStr">
        <is>
          <t>2025-01-24</t>
        </is>
      </c>
      <c r="D49" s="26" t="inlineStr">
        <is>
          <t>Q0806</t>
        </is>
      </c>
      <c r="E49" s="26" t="n"/>
      <c r="F49" s="26" t="inlineStr">
        <is>
          <t>杭州知识跳跳科技有限公司</t>
        </is>
      </c>
      <c r="G49" s="26" t="inlineStr">
        <is>
          <t>记-36</t>
        </is>
      </c>
      <c r="H49" s="26" t="inlineStr">
        <is>
          <t>关联交易-精准学转账给</t>
        </is>
      </c>
      <c r="I49" s="45" t="n"/>
      <c r="J49" s="45" t="n">
        <v>1</v>
      </c>
    </row>
    <row r="50" s="83">
      <c r="A50" s="26" t="inlineStr">
        <is>
          <t>100201</t>
        </is>
      </c>
      <c r="B50" s="26" t="n"/>
      <c r="C50" s="26" t="inlineStr">
        <is>
          <t>2025-01-14</t>
        </is>
      </c>
      <c r="D50" s="26" t="inlineStr">
        <is>
          <t>Q0808</t>
        </is>
      </c>
      <c r="E50" s="26" t="n"/>
      <c r="F50" s="26" t="inlineStr">
        <is>
          <t>杭州知识跳跳科技有限公司</t>
        </is>
      </c>
      <c r="G50" s="26" t="inlineStr">
        <is>
          <t>记-10</t>
        </is>
      </c>
      <c r="H50" s="26" t="n"/>
      <c r="I50" s="45" t="n"/>
      <c r="J50" s="45" t="n">
        <v>1</v>
      </c>
    </row>
    <row r="51" s="83">
      <c r="A51" s="27" t="inlineStr">
        <is>
          <t>100201</t>
        </is>
      </c>
      <c r="B51" s="27" t="n"/>
      <c r="C51" s="27" t="inlineStr">
        <is>
          <t>2025-01-15</t>
        </is>
      </c>
      <c r="D51" s="27" t="inlineStr">
        <is>
          <t>Q0809</t>
        </is>
      </c>
      <c r="E51" s="27" t="n"/>
      <c r="F51" s="27" t="inlineStr">
        <is>
          <t>杭州知识跳跳科技有限公司</t>
        </is>
      </c>
      <c r="G51" s="27" t="inlineStr">
        <is>
          <t>记-12</t>
        </is>
      </c>
      <c r="H51" s="27" t="n"/>
      <c r="I51" s="44" t="n"/>
      <c r="J51" s="45" t="n">
        <v>1</v>
      </c>
    </row>
    <row r="52" s="83">
      <c r="A52" s="26" t="inlineStr">
        <is>
          <t>100201</t>
        </is>
      </c>
      <c r="B52" s="26" t="n"/>
      <c r="C52" s="26" t="inlineStr">
        <is>
          <t>2025-01-15</t>
        </is>
      </c>
      <c r="D52" s="26" t="inlineStr">
        <is>
          <t>Q0809</t>
        </is>
      </c>
      <c r="E52" s="26" t="n"/>
      <c r="F52" s="26" t="inlineStr">
        <is>
          <t>杭州知识跳跳科技有限公司</t>
        </is>
      </c>
      <c r="G52" s="26" t="inlineStr">
        <is>
          <t>记-13</t>
        </is>
      </c>
      <c r="H52" s="26" t="n"/>
      <c r="I52" s="45" t="n"/>
      <c r="J52" s="45" t="n">
        <v>1</v>
      </c>
    </row>
    <row r="53" s="83">
      <c r="A53" s="27" t="inlineStr">
        <is>
          <t>100201</t>
        </is>
      </c>
      <c r="B53" s="27" t="n"/>
      <c r="C53" s="27" t="inlineStr">
        <is>
          <t>2025-01-15</t>
        </is>
      </c>
      <c r="D53" s="27" t="inlineStr">
        <is>
          <t>Q0809</t>
        </is>
      </c>
      <c r="E53" s="27" t="n"/>
      <c r="F53" s="27" t="inlineStr">
        <is>
          <t>杭州知识跳跳科技有限公司</t>
        </is>
      </c>
      <c r="G53" s="27" t="inlineStr">
        <is>
          <t>记-14</t>
        </is>
      </c>
      <c r="H53" s="27" t="n"/>
      <c r="I53" s="44" t="n"/>
      <c r="J53" s="45" t="n">
        <v>1</v>
      </c>
    </row>
    <row r="54" s="83">
      <c r="A54" s="26" t="inlineStr">
        <is>
          <t>100201</t>
        </is>
      </c>
      <c r="B54" s="26" t="n"/>
      <c r="C54" s="26" t="inlineStr">
        <is>
          <t>2025-01-15</t>
        </is>
      </c>
      <c r="D54" s="26" t="inlineStr">
        <is>
          <t>Q0809</t>
        </is>
      </c>
      <c r="E54" s="26" t="n"/>
      <c r="F54" s="26" t="inlineStr">
        <is>
          <t>杭州知识跳跳科技有限公司</t>
        </is>
      </c>
      <c r="G54" s="26" t="inlineStr">
        <is>
          <t>记-15</t>
        </is>
      </c>
      <c r="H54" s="26" t="n"/>
      <c r="I54" s="45" t="n"/>
      <c r="J54" s="45" t="n">
        <v>1</v>
      </c>
    </row>
    <row r="55" s="83">
      <c r="A55" s="27" t="inlineStr">
        <is>
          <t>100201</t>
        </is>
      </c>
      <c r="B55" s="27" t="n"/>
      <c r="C55" s="27" t="inlineStr">
        <is>
          <t>2025-01-21</t>
        </is>
      </c>
      <c r="D55" s="27" t="inlineStr">
        <is>
          <t>Q0903</t>
        </is>
      </c>
      <c r="E55" s="27" t="n"/>
      <c r="F55" s="27" t="inlineStr">
        <is>
          <t>杭州知识跳跳科技有限公司</t>
        </is>
      </c>
      <c r="G55" s="27" t="inlineStr">
        <is>
          <t>记-22</t>
        </is>
      </c>
      <c r="H55" s="27" t="n"/>
      <c r="I55" s="44" t="n"/>
      <c r="J55" s="45" t="n">
        <v>1</v>
      </c>
    </row>
    <row r="56" s="83">
      <c r="A56" s="27" t="inlineStr">
        <is>
          <t>100201</t>
        </is>
      </c>
      <c r="B56" s="27" t="n"/>
      <c r="C56" s="27" t="inlineStr">
        <is>
          <t>2025-01-09</t>
        </is>
      </c>
      <c r="D56" s="27" t="inlineStr">
        <is>
          <t>Q1501</t>
        </is>
      </c>
      <c r="E56" s="27" t="n"/>
      <c r="F56" s="27" t="inlineStr">
        <is>
          <t>杭州知识跳跳科技有限公司</t>
        </is>
      </c>
      <c r="G56" s="27" t="inlineStr">
        <is>
          <t>记-7</t>
        </is>
      </c>
      <c r="H56" s="27" t="n"/>
      <c r="I56" s="44" t="n"/>
      <c r="J56" s="45" t="n">
        <v>1</v>
      </c>
    </row>
    <row r="57" s="83">
      <c r="A57" s="26" t="inlineStr">
        <is>
          <t>100201</t>
        </is>
      </c>
      <c r="B57" s="26" t="n"/>
      <c r="C57" s="26" t="inlineStr">
        <is>
          <t>2025-01-16</t>
        </is>
      </c>
      <c r="D57" s="26" t="inlineStr">
        <is>
          <t>Q1501</t>
        </is>
      </c>
      <c r="E57" s="26" t="n"/>
      <c r="F57" s="26" t="inlineStr">
        <is>
          <t>杭州知识跳跳科技有限公司</t>
        </is>
      </c>
      <c r="G57" s="26" t="inlineStr">
        <is>
          <t>记-17</t>
        </is>
      </c>
      <c r="H57" s="26" t="n"/>
      <c r="I57" s="45" t="n"/>
      <c r="J57" s="45" t="n">
        <v>1</v>
      </c>
    </row>
    <row r="58" s="83">
      <c r="A58" s="27" t="inlineStr">
        <is>
          <t>100201</t>
        </is>
      </c>
      <c r="B58" s="27" t="n"/>
      <c r="C58" s="27" t="inlineStr">
        <is>
          <t>2025-01-22</t>
        </is>
      </c>
      <c r="D58" s="27" t="inlineStr">
        <is>
          <t>Q1501</t>
        </is>
      </c>
      <c r="E58" s="27" t="n"/>
      <c r="F58" s="27" t="inlineStr">
        <is>
          <t>杭州知识跳跳科技有限公司</t>
        </is>
      </c>
      <c r="G58" s="27" t="inlineStr">
        <is>
          <t>记-26</t>
        </is>
      </c>
      <c r="H58" s="27" t="n"/>
      <c r="I58" s="44" t="n"/>
      <c r="J58" s="45" t="n">
        <v>1</v>
      </c>
    </row>
    <row r="59" s="83">
      <c r="A59" s="26" t="inlineStr">
        <is>
          <t>100201</t>
        </is>
      </c>
      <c r="B59" s="26" t="n"/>
      <c r="C59" s="26" t="inlineStr">
        <is>
          <t>2025-01-23</t>
        </is>
      </c>
      <c r="D59" s="26" t="inlineStr">
        <is>
          <t>Q1501</t>
        </is>
      </c>
      <c r="E59" s="26" t="n"/>
      <c r="F59" s="26" t="inlineStr">
        <is>
          <t>杭州知识跳跳科技有限公司</t>
        </is>
      </c>
      <c r="G59" s="26" t="inlineStr">
        <is>
          <t>记-31</t>
        </is>
      </c>
      <c r="H59" s="26" t="n"/>
      <c r="I59" s="45" t="n"/>
      <c r="J59" s="45" t="n">
        <v>1</v>
      </c>
    </row>
    <row r="60" s="83">
      <c r="A60" s="27" t="inlineStr">
        <is>
          <t>100201</t>
        </is>
      </c>
      <c r="B60" s="27" t="n"/>
      <c r="C60" s="27" t="inlineStr">
        <is>
          <t>2025-01-07</t>
        </is>
      </c>
      <c r="D60" s="27" t="inlineStr">
        <is>
          <t>Q1505</t>
        </is>
      </c>
      <c r="E60" s="27" t="n"/>
      <c r="F60" s="27" t="inlineStr">
        <is>
          <t>杭州知识跳跳科技有限公司</t>
        </is>
      </c>
      <c r="G60" s="27" t="inlineStr">
        <is>
          <t>记-5</t>
        </is>
      </c>
      <c r="H60" s="27" t="n"/>
      <c r="I60" s="44" t="n"/>
      <c r="J60" s="45" t="n">
        <v>1</v>
      </c>
    </row>
    <row r="61" s="83">
      <c r="A61" s="26" t="inlineStr">
        <is>
          <t>100201</t>
        </is>
      </c>
      <c r="B61" s="26" t="n"/>
      <c r="C61" s="26" t="inlineStr">
        <is>
          <t>2025-01-21</t>
        </is>
      </c>
      <c r="D61" s="26" t="inlineStr">
        <is>
          <t>Q1505</t>
        </is>
      </c>
      <c r="E61" s="26" t="n"/>
      <c r="F61" s="26" t="inlineStr">
        <is>
          <t>杭州知识跳跳科技有限公司</t>
        </is>
      </c>
      <c r="G61" s="26" t="inlineStr">
        <is>
          <t>记-24</t>
        </is>
      </c>
      <c r="H61" s="26" t="n"/>
      <c r="I61" s="45" t="n"/>
      <c r="J61" s="45" t="n">
        <v>1</v>
      </c>
    </row>
    <row r="62" s="83">
      <c r="A62" s="27" t="inlineStr">
        <is>
          <t>100201</t>
        </is>
      </c>
      <c r="B62" s="27" t="n"/>
      <c r="C62" s="27" t="inlineStr">
        <is>
          <t>2025-01-03</t>
        </is>
      </c>
      <c r="D62" s="27" t="inlineStr">
        <is>
          <t>Q1805</t>
        </is>
      </c>
      <c r="E62" s="27" t="n"/>
      <c r="F62" s="27" t="inlineStr">
        <is>
          <t>杭州知识跳跳科技有限公司</t>
        </is>
      </c>
      <c r="G62" s="27" t="inlineStr">
        <is>
          <t>记-1</t>
        </is>
      </c>
      <c r="H62" s="27" t="n"/>
      <c r="I62" s="45" t="n">
        <v>1</v>
      </c>
      <c r="J62" s="44" t="n"/>
    </row>
    <row r="63" s="83">
      <c r="A63" s="26" t="inlineStr">
        <is>
          <t>100201</t>
        </is>
      </c>
      <c r="B63" s="26" t="n"/>
      <c r="C63" s="26" t="inlineStr">
        <is>
          <t>2025-01-15</t>
        </is>
      </c>
      <c r="D63" s="26" t="inlineStr">
        <is>
          <t>Q2002</t>
        </is>
      </c>
      <c r="E63" s="26" t="n"/>
      <c r="F63" s="26" t="inlineStr">
        <is>
          <t>杭州知识跳跳科技有限公司</t>
        </is>
      </c>
      <c r="G63" s="26" t="inlineStr">
        <is>
          <t>记-16</t>
        </is>
      </c>
      <c r="H63" s="26" t="n"/>
      <c r="I63" s="45" t="n">
        <v>1</v>
      </c>
      <c r="J63" s="45" t="n"/>
    </row>
    <row r="64" s="83">
      <c r="A64" s="27" t="inlineStr">
        <is>
          <t>100201</t>
        </is>
      </c>
      <c r="B64" s="27" t="n"/>
      <c r="C64" s="27" t="inlineStr">
        <is>
          <t>2025-01-24</t>
        </is>
      </c>
      <c r="D64" s="27" t="inlineStr">
        <is>
          <t>Q2002</t>
        </is>
      </c>
      <c r="E64" s="27" t="n"/>
      <c r="F64" s="27" t="inlineStr">
        <is>
          <t>杭州知识跳跳科技有限公司</t>
        </is>
      </c>
      <c r="G64" s="27" t="inlineStr">
        <is>
          <t>记-38</t>
        </is>
      </c>
      <c r="H64" s="27" t="n"/>
      <c r="I64" s="45" t="n">
        <v>1</v>
      </c>
      <c r="J64" s="44" t="n"/>
    </row>
    <row r="65" s="83">
      <c r="A65" s="26" t="inlineStr">
        <is>
          <t>100201</t>
        </is>
      </c>
      <c r="B65" s="26" t="n"/>
      <c r="C65" s="26" t="inlineStr">
        <is>
          <t>2025-01-21</t>
        </is>
      </c>
      <c r="D65" s="26" t="inlineStr">
        <is>
          <t>Q2705</t>
        </is>
      </c>
      <c r="E65" s="26" t="n"/>
      <c r="F65" s="26" t="inlineStr">
        <is>
          <t>杭州知识跳跳科技有限公司</t>
        </is>
      </c>
      <c r="G65" s="26" t="inlineStr">
        <is>
          <t>记-21</t>
        </is>
      </c>
      <c r="H65" s="26" t="n"/>
      <c r="I65" s="45" t="n"/>
      <c r="J65" s="45" t="n">
        <v>1</v>
      </c>
    </row>
    <row r="66" s="83">
      <c r="A66" s="27" t="inlineStr">
        <is>
          <t>100201</t>
        </is>
      </c>
      <c r="B66" s="27" t="n"/>
      <c r="C66" s="27" t="inlineStr">
        <is>
          <t>2025-01-09</t>
        </is>
      </c>
      <c r="D66" s="27" t="inlineStr">
        <is>
          <t>Q2706</t>
        </is>
      </c>
      <c r="E66" s="27" t="n"/>
      <c r="F66" s="27" t="inlineStr">
        <is>
          <t>杭州知识跳跳科技有限公司</t>
        </is>
      </c>
      <c r="G66" s="27" t="inlineStr">
        <is>
          <t>记-8</t>
        </is>
      </c>
      <c r="H66" s="27" t="n"/>
      <c r="I66" s="44" t="n"/>
      <c r="J66" s="45" t="n">
        <v>1</v>
      </c>
    </row>
    <row r="67" s="83">
      <c r="A67" s="26" t="inlineStr">
        <is>
          <t>100201</t>
        </is>
      </c>
      <c r="B67" s="26" t="n"/>
      <c r="C67" s="26" t="inlineStr">
        <is>
          <t>2025-01-20</t>
        </is>
      </c>
      <c r="D67" s="26" t="inlineStr">
        <is>
          <t>Q2706</t>
        </is>
      </c>
      <c r="E67" s="26" t="n"/>
      <c r="F67" s="26" t="inlineStr">
        <is>
          <t>杭州知识跳跳科技有限公司</t>
        </is>
      </c>
      <c r="G67" s="26" t="inlineStr">
        <is>
          <t>记-19</t>
        </is>
      </c>
      <c r="H67" s="26" t="n"/>
      <c r="I67" s="45" t="n"/>
      <c r="J67" s="45" t="n">
        <v>1</v>
      </c>
    </row>
    <row r="68" s="83">
      <c r="A68" s="27" t="inlineStr">
        <is>
          <t>100201</t>
        </is>
      </c>
      <c r="B68" s="27" t="n"/>
      <c r="C68" s="27" t="inlineStr">
        <is>
          <t>2025-01-24</t>
        </is>
      </c>
      <c r="D68" s="27" t="inlineStr">
        <is>
          <t>Q2806</t>
        </is>
      </c>
      <c r="E68" s="27" t="n"/>
      <c r="F68" s="27" t="inlineStr">
        <is>
          <t>杭州知识跳跳科技有限公司</t>
        </is>
      </c>
      <c r="G68" s="27" t="inlineStr">
        <is>
          <t>记-37</t>
        </is>
      </c>
      <c r="H68" s="27" t="n"/>
      <c r="I68" s="44" t="n"/>
      <c r="J68" s="45" t="n">
        <v>1</v>
      </c>
    </row>
    <row r="69" s="83">
      <c r="A69" s="26" t="inlineStr">
        <is>
          <t>100201</t>
        </is>
      </c>
      <c r="B69" s="26" t="n"/>
      <c r="C69" s="26" t="inlineStr">
        <is>
          <t>2025-01-20</t>
        </is>
      </c>
      <c r="D69" s="26" t="inlineStr">
        <is>
          <t>Q29010</t>
        </is>
      </c>
      <c r="E69" s="26" t="n"/>
      <c r="F69" s="26" t="inlineStr">
        <is>
          <t>杭州知识跳跳科技有限公司</t>
        </is>
      </c>
      <c r="G69" s="26" t="inlineStr">
        <is>
          <t>记-20</t>
        </is>
      </c>
      <c r="H69" s="26" t="n"/>
      <c r="I69" s="45" t="n"/>
      <c r="J69" s="45" t="n">
        <v>1</v>
      </c>
    </row>
    <row r="70" s="83">
      <c r="A70" s="27" t="inlineStr">
        <is>
          <t>100201</t>
        </is>
      </c>
      <c r="B70" s="27" t="n"/>
      <c r="C70" s="27" t="inlineStr">
        <is>
          <t>2025-01-23</t>
        </is>
      </c>
      <c r="D70" s="27" t="inlineStr">
        <is>
          <t>Q29010</t>
        </is>
      </c>
      <c r="E70" s="27" t="n"/>
      <c r="F70" s="27" t="inlineStr">
        <is>
          <t>杭州知识跳跳科技有限公司</t>
        </is>
      </c>
      <c r="G70" s="27" t="inlineStr">
        <is>
          <t>记-35</t>
        </is>
      </c>
      <c r="H70" s="27" t="n"/>
      <c r="I70" s="44" t="n"/>
      <c r="J70" s="45" t="n">
        <v>1</v>
      </c>
    </row>
    <row r="71" s="83">
      <c r="A71" s="27" t="inlineStr">
        <is>
          <t>100201</t>
        </is>
      </c>
      <c r="B71" s="27" t="n"/>
      <c r="C71" s="27" t="inlineStr">
        <is>
          <t>2025-01-04</t>
        </is>
      </c>
      <c r="D71" s="27" t="inlineStr">
        <is>
          <t>Q2904</t>
        </is>
      </c>
      <c r="E71" s="27" t="n"/>
      <c r="F71" s="27" t="inlineStr">
        <is>
          <t>杭州知识跳跳科技有限公司</t>
        </is>
      </c>
      <c r="G71" s="27" t="inlineStr">
        <is>
          <t>记-2</t>
        </is>
      </c>
      <c r="H71" s="27" t="n"/>
      <c r="I71" s="44" t="n"/>
      <c r="J71" s="45" t="n">
        <v>1</v>
      </c>
    </row>
    <row r="72" s="83">
      <c r="A72" s="26" t="inlineStr">
        <is>
          <t>100201</t>
        </is>
      </c>
      <c r="B72" s="26" t="n"/>
      <c r="C72" s="26" t="inlineStr">
        <is>
          <t>2025-01-23</t>
        </is>
      </c>
      <c r="D72" s="26" t="inlineStr">
        <is>
          <t>Q2904</t>
        </is>
      </c>
      <c r="E72" s="26" t="n"/>
      <c r="F72" s="26" t="inlineStr">
        <is>
          <t>杭州知识跳跳科技有限公司</t>
        </is>
      </c>
      <c r="G72" s="26" t="inlineStr">
        <is>
          <t>记-34</t>
        </is>
      </c>
      <c r="H72" s="26" t="n"/>
      <c r="I72" s="45" t="n"/>
      <c r="J72" s="45" t="n">
        <v>1</v>
      </c>
    </row>
    <row r="73" s="83">
      <c r="A73" s="27" t="inlineStr">
        <is>
          <t>100201</t>
        </is>
      </c>
      <c r="B73" s="27" t="n"/>
      <c r="C73" s="27" t="inlineStr">
        <is>
          <t>2025-01-23</t>
        </is>
      </c>
      <c r="D73" s="27" t="inlineStr">
        <is>
          <t>Q2905</t>
        </is>
      </c>
      <c r="E73" s="27" t="n"/>
      <c r="F73" s="27" t="inlineStr">
        <is>
          <t>杭州知识跳跳科技有限公司</t>
        </is>
      </c>
      <c r="G73" s="27" t="inlineStr">
        <is>
          <t>记-28</t>
        </is>
      </c>
      <c r="H73" s="27" t="n"/>
      <c r="I73" s="44" t="n"/>
      <c r="J73" s="45" t="n">
        <v>1</v>
      </c>
    </row>
    <row r="74" s="83">
      <c r="A74" s="27" t="inlineStr">
        <is>
          <t>100201</t>
        </is>
      </c>
      <c r="B74" s="27" t="n"/>
      <c r="C74" s="27" t="inlineStr">
        <is>
          <t>2025-01-21</t>
        </is>
      </c>
      <c r="D74" s="27" t="inlineStr">
        <is>
          <t>Q2908</t>
        </is>
      </c>
      <c r="E74" s="27" t="n"/>
      <c r="F74" s="27" t="inlineStr">
        <is>
          <t>杭州知识跳跳科技有限公司</t>
        </is>
      </c>
      <c r="G74" s="27" t="inlineStr">
        <is>
          <t>记-25</t>
        </is>
      </c>
      <c r="H74" s="27" t="n"/>
      <c r="I74" s="44" t="n"/>
      <c r="J74" s="45" t="n">
        <v>1</v>
      </c>
    </row>
    <row r="75" s="83">
      <c r="A75" s="26" t="inlineStr">
        <is>
          <t>100201</t>
        </is>
      </c>
      <c r="B75" s="26" t="n"/>
      <c r="C75" s="26" t="inlineStr">
        <is>
          <t>2025-01-23</t>
        </is>
      </c>
      <c r="D75" s="26" t="inlineStr">
        <is>
          <t>Q2908</t>
        </is>
      </c>
      <c r="E75" s="26" t="n"/>
      <c r="F75" s="26" t="inlineStr">
        <is>
          <t>杭州知识跳跳科技有限公司</t>
        </is>
      </c>
      <c r="G75" s="26" t="inlineStr">
        <is>
          <t>记-29</t>
        </is>
      </c>
      <c r="H75" s="26" t="n"/>
      <c r="I75" s="45" t="n"/>
      <c r="J75" s="45" t="n">
        <v>1</v>
      </c>
    </row>
    <row r="76" s="83">
      <c r="A76" s="27" t="inlineStr">
        <is>
          <t>100201</t>
        </is>
      </c>
      <c r="B76" s="27" t="n"/>
      <c r="C76" s="27" t="inlineStr">
        <is>
          <t>2025-01-23</t>
        </is>
      </c>
      <c r="D76" s="27" t="inlineStr">
        <is>
          <t>Q2908</t>
        </is>
      </c>
      <c r="E76" s="27" t="n"/>
      <c r="F76" s="27" t="inlineStr">
        <is>
          <t>杭州知识跳跳科技有限公司</t>
        </is>
      </c>
      <c r="G76" s="27" t="inlineStr">
        <is>
          <t>记-30</t>
        </is>
      </c>
      <c r="H76" s="27" t="n"/>
      <c r="I76" s="44" t="n"/>
      <c r="J76" s="45" t="n">
        <v>1</v>
      </c>
    </row>
    <row r="77" s="83">
      <c r="A77" s="27" t="inlineStr">
        <is>
          <t>100201</t>
        </is>
      </c>
      <c r="B77" s="27" t="n"/>
      <c r="C77" s="27" t="inlineStr">
        <is>
          <t>2025-01-19</t>
        </is>
      </c>
      <c r="D77" s="27" t="inlineStr">
        <is>
          <t>Q3003</t>
        </is>
      </c>
      <c r="E77" s="27" t="n"/>
      <c r="F77" s="27" t="inlineStr">
        <is>
          <t>杭州知识跳跳科技有限公司</t>
        </is>
      </c>
      <c r="G77" s="27" t="inlineStr">
        <is>
          <t>记-18</t>
        </is>
      </c>
      <c r="H77" s="27" t="n"/>
      <c r="I77" s="44" t="n"/>
      <c r="J77" s="45" t="n">
        <v>1</v>
      </c>
    </row>
    <row r="78" s="83">
      <c r="A78" s="26" t="inlineStr">
        <is>
          <t>100201</t>
        </is>
      </c>
      <c r="B78" s="26" t="n"/>
      <c r="C78" s="26" t="inlineStr">
        <is>
          <t>2025-01-07</t>
        </is>
      </c>
      <c r="D78" s="26" t="inlineStr">
        <is>
          <t>Q3101</t>
        </is>
      </c>
      <c r="E78" s="26" t="n"/>
      <c r="F78" s="26" t="inlineStr">
        <is>
          <t>杭州知识跳跳科技有限公司</t>
        </is>
      </c>
      <c r="G78" s="26" t="inlineStr">
        <is>
          <t>记-6</t>
        </is>
      </c>
      <c r="H78" s="26" t="n"/>
      <c r="I78" s="45" t="n"/>
      <c r="J78" s="45" t="n">
        <v>1</v>
      </c>
    </row>
    <row r="79" s="83">
      <c r="A79" s="27" t="inlineStr">
        <is>
          <t>100201</t>
        </is>
      </c>
      <c r="B79" s="27" t="n"/>
      <c r="C79" s="27" t="inlineStr">
        <is>
          <t>2025-01-07</t>
        </is>
      </c>
      <c r="D79" s="27" t="inlineStr">
        <is>
          <t>Q3101</t>
        </is>
      </c>
      <c r="E79" s="27" t="n"/>
      <c r="F79" s="27" t="inlineStr">
        <is>
          <t>杭州知识跳跳科技有限公司</t>
        </is>
      </c>
      <c r="G79" s="27" t="inlineStr">
        <is>
          <t>记-6</t>
        </is>
      </c>
      <c r="H79" s="27" t="n"/>
      <c r="I79" s="44" t="n"/>
      <c r="J79" s="45" t="n">
        <v>1</v>
      </c>
    </row>
    <row r="80" s="83">
      <c r="A80" s="26" t="inlineStr">
        <is>
          <t>100201</t>
        </is>
      </c>
      <c r="B80" s="26" t="n"/>
      <c r="C80" s="26" t="inlineStr">
        <is>
          <t>2025-01-22</t>
        </is>
      </c>
      <c r="D80" s="26" t="inlineStr">
        <is>
          <t>Q3101</t>
        </is>
      </c>
      <c r="E80" s="26" t="n"/>
      <c r="F80" s="26" t="inlineStr">
        <is>
          <t>杭州知识跳跳科技有限公司</t>
        </is>
      </c>
      <c r="G80" s="26" t="inlineStr">
        <is>
          <t>记-27</t>
        </is>
      </c>
      <c r="H80" s="26" t="n"/>
      <c r="I80" s="45" t="n"/>
      <c r="J80" s="45" t="n">
        <v>1</v>
      </c>
    </row>
    <row r="81" s="83">
      <c r="A81" s="26" t="inlineStr">
        <is>
          <t>100201</t>
        </is>
      </c>
      <c r="B81" s="26" t="n"/>
      <c r="C81" s="26" t="inlineStr">
        <is>
          <t>2025-01-06</t>
        </is>
      </c>
      <c r="D81" s="26" t="inlineStr">
        <is>
          <t>Q3301</t>
        </is>
      </c>
      <c r="E81" s="26" t="n"/>
      <c r="F81" s="26" t="inlineStr">
        <is>
          <t>杭州知识跳跳科技有限公司</t>
        </is>
      </c>
      <c r="G81" s="26" t="inlineStr">
        <is>
          <t>记-4</t>
        </is>
      </c>
      <c r="H81" s="26" t="n"/>
      <c r="I81" s="45" t="n"/>
      <c r="J81" s="45" t="n">
        <v>1</v>
      </c>
    </row>
    <row r="82" s="83">
      <c r="A82" s="27" t="inlineStr">
        <is>
          <t>100201</t>
        </is>
      </c>
      <c r="B82" s="27" t="n"/>
      <c r="C82" s="27" t="inlineStr">
        <is>
          <t>2025-01-27</t>
        </is>
      </c>
      <c r="D82" s="27" t="inlineStr">
        <is>
          <t>Q3301</t>
        </is>
      </c>
      <c r="E82" s="27" t="n"/>
      <c r="F82" s="27" t="inlineStr">
        <is>
          <t>杭州知识跳跳科技有限公司</t>
        </is>
      </c>
      <c r="G82" s="27" t="inlineStr">
        <is>
          <t>记-39</t>
        </is>
      </c>
      <c r="H82" s="27" t="n"/>
      <c r="I82" s="45" t="n">
        <v>1</v>
      </c>
      <c r="J82" s="44" t="n"/>
    </row>
    <row r="83" s="83">
      <c r="A83" s="27" t="inlineStr">
        <is>
          <t>101203</t>
        </is>
      </c>
      <c r="B83" s="27" t="n"/>
      <c r="C83" s="27" t="inlineStr">
        <is>
          <t>2025-01-31</t>
        </is>
      </c>
      <c r="D83" s="27" t="inlineStr">
        <is>
          <t>Q0101</t>
        </is>
      </c>
      <c r="E83" s="27" t="n"/>
      <c r="F83" s="27" t="inlineStr">
        <is>
          <t>杭州知识跳跳科技有限公司</t>
        </is>
      </c>
      <c r="G83" s="27" t="inlineStr">
        <is>
          <t>记-41</t>
        </is>
      </c>
      <c r="H83" s="27" t="n"/>
      <c r="I83" s="45" t="n">
        <v>1</v>
      </c>
      <c r="J83" s="44" t="n"/>
    </row>
    <row r="84" s="83">
      <c r="A84" s="26" t="inlineStr">
        <is>
          <t>101203</t>
        </is>
      </c>
      <c r="B84" s="26" t="n"/>
      <c r="C84" s="26" t="inlineStr">
        <is>
          <t>2025-01-31</t>
        </is>
      </c>
      <c r="D84" s="26" t="inlineStr">
        <is>
          <t>Q0101</t>
        </is>
      </c>
      <c r="E84" s="26" t="n"/>
      <c r="F84" s="26" t="inlineStr">
        <is>
          <t>杭州知识跳跳科技有限公司</t>
        </is>
      </c>
      <c r="G84" s="26" t="inlineStr">
        <is>
          <t>记-41</t>
        </is>
      </c>
      <c r="H84" s="26" t="n"/>
      <c r="I84" s="45" t="n">
        <v>1</v>
      </c>
      <c r="J84" s="45" t="n"/>
    </row>
    <row r="85" s="83">
      <c r="A85" s="27" t="inlineStr">
        <is>
          <t>101203</t>
        </is>
      </c>
      <c r="B85" s="27" t="n"/>
      <c r="C85" s="27" t="inlineStr">
        <is>
          <t>2025-01-31</t>
        </is>
      </c>
      <c r="D85" s="27" t="inlineStr">
        <is>
          <t>Q0101</t>
        </is>
      </c>
      <c r="E85" s="27" t="n"/>
      <c r="F85" s="27" t="inlineStr">
        <is>
          <t>杭州知识跳跳科技有限公司</t>
        </is>
      </c>
      <c r="G85" s="27" t="inlineStr">
        <is>
          <t>记-43</t>
        </is>
      </c>
      <c r="H85" s="27" t="n"/>
      <c r="I85" s="44" t="n"/>
      <c r="J85" s="45" t="n">
        <v>1</v>
      </c>
    </row>
    <row r="86" s="83">
      <c r="A86" s="26" t="inlineStr">
        <is>
          <t>101203</t>
        </is>
      </c>
      <c r="B86" s="26" t="n"/>
      <c r="C86" s="26" t="inlineStr">
        <is>
          <t>2025-01-31</t>
        </is>
      </c>
      <c r="D86" s="26" t="inlineStr">
        <is>
          <t>Q0101</t>
        </is>
      </c>
      <c r="E86" s="26" t="n"/>
      <c r="F86" s="26" t="inlineStr">
        <is>
          <t>杭州知识跳跳科技有限公司</t>
        </is>
      </c>
      <c r="G86" s="26" t="inlineStr">
        <is>
          <t>记-44</t>
        </is>
      </c>
      <c r="H86" s="26" t="n"/>
      <c r="I86" s="45" t="n"/>
      <c r="J86" s="45" t="n">
        <v>1</v>
      </c>
    </row>
    <row r="87" s="83">
      <c r="A87" s="27" t="inlineStr">
        <is>
          <t>101203</t>
        </is>
      </c>
      <c r="B87" s="27" t="n"/>
      <c r="C87" s="27" t="inlineStr">
        <is>
          <t>2025-01-31</t>
        </is>
      </c>
      <c r="D87" s="27" t="inlineStr">
        <is>
          <t>Q0401</t>
        </is>
      </c>
      <c r="E87" s="27" t="n"/>
      <c r="F87" s="27" t="inlineStr">
        <is>
          <t>杭州知识跳跳科技有限公司</t>
        </is>
      </c>
      <c r="G87" s="27" t="inlineStr">
        <is>
          <t>记-48</t>
        </is>
      </c>
      <c r="H87" s="27" t="n"/>
      <c r="I87" s="44" t="n"/>
      <c r="J87" s="45" t="n">
        <v>1</v>
      </c>
    </row>
    <row r="88" s="83">
      <c r="A88" s="27" t="inlineStr">
        <is>
          <t>101203</t>
        </is>
      </c>
      <c r="B88" s="27" t="n"/>
      <c r="C88" s="27" t="inlineStr">
        <is>
          <t>2025-01-31</t>
        </is>
      </c>
      <c r="D88" s="27" t="inlineStr">
        <is>
          <t>Q2201</t>
        </is>
      </c>
      <c r="E88" s="27" t="n"/>
      <c r="F88" s="27" t="inlineStr">
        <is>
          <t>杭州知识跳跳科技有限公司</t>
        </is>
      </c>
      <c r="G88" s="27" t="inlineStr">
        <is>
          <t>记-43</t>
        </is>
      </c>
      <c r="H88" s="27" t="n"/>
      <c r="I88" s="44" t="n"/>
      <c r="J88" s="45" t="n">
        <v>1</v>
      </c>
    </row>
    <row r="89" s="83">
      <c r="A89" s="26" t="inlineStr">
        <is>
          <t>101203</t>
        </is>
      </c>
      <c r="B89" s="26" t="n"/>
      <c r="C89" s="26" t="inlineStr">
        <is>
          <t>2025-01-31</t>
        </is>
      </c>
      <c r="D89" s="26" t="inlineStr">
        <is>
          <t>Q2201</t>
        </is>
      </c>
      <c r="E89" s="26" t="n"/>
      <c r="F89" s="26" t="inlineStr">
        <is>
          <t>杭州知识跳跳科技有限公司</t>
        </is>
      </c>
      <c r="G89" s="26" t="inlineStr">
        <is>
          <t>记-43</t>
        </is>
      </c>
      <c r="H89" s="26" t="n"/>
      <c r="I89" s="45" t="n"/>
      <c r="J89" s="45" t="n">
        <v>1</v>
      </c>
    </row>
    <row r="90" s="83">
      <c r="A90" s="27" t="inlineStr">
        <is>
          <t>101203</t>
        </is>
      </c>
      <c r="B90" s="27" t="n"/>
      <c r="C90" s="27" t="inlineStr">
        <is>
          <t>2025-01-31</t>
        </is>
      </c>
      <c r="D90" s="27" t="inlineStr">
        <is>
          <t>Q2201</t>
        </is>
      </c>
      <c r="E90" s="27" t="n"/>
      <c r="F90" s="27" t="inlineStr">
        <is>
          <t>杭州知识跳跳科技有限公司</t>
        </is>
      </c>
      <c r="G90" s="27" t="inlineStr">
        <is>
          <t>记-43</t>
        </is>
      </c>
      <c r="H90" s="27" t="n"/>
      <c r="I90" s="44" t="n"/>
      <c r="J90" s="45" t="n">
        <v>1</v>
      </c>
    </row>
    <row r="91" s="83">
      <c r="A91" s="27" t="inlineStr">
        <is>
          <t>101203</t>
        </is>
      </c>
      <c r="B91" s="27" t="n"/>
      <c r="C91" s="27" t="inlineStr">
        <is>
          <t>2025-01-31</t>
        </is>
      </c>
      <c r="D91" s="27" t="inlineStr">
        <is>
          <t>Q2202</t>
        </is>
      </c>
      <c r="E91" s="27" t="n"/>
      <c r="F91" s="27" t="inlineStr">
        <is>
          <t>杭州知识跳跳科技有限公司</t>
        </is>
      </c>
      <c r="G91" s="27" t="inlineStr">
        <is>
          <t>记-43</t>
        </is>
      </c>
      <c r="H91" s="27" t="n"/>
      <c r="I91" s="44" t="n"/>
      <c r="J91" s="45" t="n">
        <v>1</v>
      </c>
    </row>
    <row r="92" s="83">
      <c r="A92" s="26" t="inlineStr">
        <is>
          <t>101204</t>
        </is>
      </c>
      <c r="B92" s="26" t="n"/>
      <c r="C92" s="26" t="inlineStr">
        <is>
          <t>2025-01-31</t>
        </is>
      </c>
      <c r="D92" s="26" t="inlineStr">
        <is>
          <t>Q0101</t>
        </is>
      </c>
      <c r="E92" s="26" t="n"/>
      <c r="F92" s="26" t="inlineStr">
        <is>
          <t>杭州知识跳跳科技有限公司</t>
        </is>
      </c>
      <c r="G92" s="26" t="inlineStr">
        <is>
          <t>记-45</t>
        </is>
      </c>
      <c r="H92" s="26" t="n"/>
      <c r="I92" s="45" t="n">
        <v>1</v>
      </c>
      <c r="J92" s="45" t="n"/>
    </row>
    <row r="93" s="83">
      <c r="A93" s="27" t="inlineStr">
        <is>
          <t>101204</t>
        </is>
      </c>
      <c r="B93" s="27" t="n"/>
      <c r="C93" s="27" t="inlineStr">
        <is>
          <t>2025-01-31</t>
        </is>
      </c>
      <c r="D93" s="27" t="inlineStr">
        <is>
          <t>Q0101</t>
        </is>
      </c>
      <c r="E93" s="27" t="n"/>
      <c r="F93" s="27" t="inlineStr">
        <is>
          <t>杭州知识跳跳科技有限公司</t>
        </is>
      </c>
      <c r="G93" s="27" t="inlineStr">
        <is>
          <t>记-54</t>
        </is>
      </c>
      <c r="H93" s="27" t="n"/>
      <c r="I93" s="44" t="n"/>
      <c r="J93" s="45" t="n">
        <v>1</v>
      </c>
    </row>
    <row r="94" s="83">
      <c r="A94" s="26" t="inlineStr">
        <is>
          <t>101204</t>
        </is>
      </c>
      <c r="B94" s="26" t="n"/>
      <c r="C94" s="26" t="inlineStr">
        <is>
          <t>2025-01-31</t>
        </is>
      </c>
      <c r="D94" s="26" t="inlineStr">
        <is>
          <t>Q0401</t>
        </is>
      </c>
      <c r="E94" s="26" t="n"/>
      <c r="F94" s="26" t="inlineStr">
        <is>
          <t>杭州知识跳跳科技有限公司</t>
        </is>
      </c>
      <c r="G94" s="26" t="inlineStr">
        <is>
          <t>记-48</t>
        </is>
      </c>
      <c r="H94" s="26" t="n"/>
      <c r="I94" s="45" t="n"/>
      <c r="J94" s="45" t="n">
        <v>1</v>
      </c>
    </row>
    <row r="95" s="83">
      <c r="A95" s="27" t="inlineStr">
        <is>
          <t>101204</t>
        </is>
      </c>
      <c r="B95" s="27" t="n"/>
      <c r="C95" s="27" t="inlineStr">
        <is>
          <t>2025-01-31</t>
        </is>
      </c>
      <c r="D95" s="27" t="inlineStr">
        <is>
          <t>Q2201</t>
        </is>
      </c>
      <c r="E95" s="27" t="n"/>
      <c r="F95" s="27" t="inlineStr">
        <is>
          <t>杭州知识跳跳科技有限公司</t>
        </is>
      </c>
      <c r="G95" s="27" t="inlineStr">
        <is>
          <t>记-47</t>
        </is>
      </c>
      <c r="H95" s="27" t="n"/>
      <c r="I95" s="44" t="n"/>
      <c r="J95" s="45" t="n">
        <v>1</v>
      </c>
    </row>
    <row r="96" s="83">
      <c r="A96" s="26" t="inlineStr">
        <is>
          <t>101204</t>
        </is>
      </c>
      <c r="B96" s="26" t="n"/>
      <c r="C96" s="26" t="inlineStr">
        <is>
          <t>2025-01-31</t>
        </is>
      </c>
      <c r="D96" s="26" t="inlineStr">
        <is>
          <t>Q2201</t>
        </is>
      </c>
      <c r="E96" s="26" t="n"/>
      <c r="F96" s="26" t="inlineStr">
        <is>
          <t>杭州知识跳跳科技有限公司</t>
        </is>
      </c>
      <c r="G96" s="26" t="inlineStr">
        <is>
          <t>记-47</t>
        </is>
      </c>
      <c r="H96" s="26" t="n"/>
      <c r="I96" s="45" t="n"/>
      <c r="J96" s="45" t="n">
        <v>1</v>
      </c>
    </row>
    <row r="97" s="83">
      <c r="A97" s="27" t="inlineStr">
        <is>
          <t>101204</t>
        </is>
      </c>
      <c r="B97" s="27" t="n"/>
      <c r="C97" s="27" t="inlineStr">
        <is>
          <t>2025-01-31</t>
        </is>
      </c>
      <c r="D97" s="27" t="inlineStr">
        <is>
          <t>Q2402</t>
        </is>
      </c>
      <c r="E97" s="27" t="n"/>
      <c r="F97" s="27" t="inlineStr">
        <is>
          <t>杭州知识跳跳科技有限公司</t>
        </is>
      </c>
      <c r="G97" s="27" t="inlineStr">
        <is>
          <t>记-47</t>
        </is>
      </c>
      <c r="H97" s="27" t="n"/>
      <c r="I97" s="44" t="n"/>
      <c r="J97" s="45" t="n">
        <v>1</v>
      </c>
    </row>
    <row r="98" s="83">
      <c r="A98" s="26" t="inlineStr">
        <is>
          <t>101205</t>
        </is>
      </c>
      <c r="B98" s="26" t="n"/>
      <c r="C98" s="26" t="inlineStr">
        <is>
          <t>2025-01-31</t>
        </is>
      </c>
      <c r="D98" s="26" t="inlineStr">
        <is>
          <t>Q0401</t>
        </is>
      </c>
      <c r="E98" s="26" t="n"/>
      <c r="F98" s="26" t="inlineStr">
        <is>
          <t>杭州知识跳跳科技有限公司</t>
        </is>
      </c>
      <c r="G98" s="26" t="inlineStr">
        <is>
          <t>记-48</t>
        </is>
      </c>
      <c r="H98" s="26" t="n"/>
      <c r="I98" s="45" t="n"/>
      <c r="J98" s="45" t="n">
        <v>1</v>
      </c>
    </row>
    <row r="99" s="83">
      <c r="A99" s="26" t="inlineStr">
        <is>
          <t>100201</t>
        </is>
      </c>
      <c r="B99" s="26" t="n"/>
      <c r="C99" s="26" t="inlineStr">
        <is>
          <t>2025-01-10</t>
        </is>
      </c>
      <c r="D99" s="26" t="inlineStr">
        <is>
          <t>Q0303</t>
        </is>
      </c>
      <c r="E99" s="26" t="n"/>
      <c r="F99" s="26" t="inlineStr">
        <is>
          <t>浙江精准学科技有限公司</t>
        </is>
      </c>
      <c r="G99" s="26" t="inlineStr">
        <is>
          <t>记-35</t>
        </is>
      </c>
      <c r="H99" s="26" t="n"/>
      <c r="I99" s="45" t="n">
        <v>1</v>
      </c>
      <c r="J99" s="45" t="n"/>
    </row>
    <row r="100" s="83">
      <c r="A100" s="27" t="inlineStr">
        <is>
          <t>100201</t>
        </is>
      </c>
      <c r="B100" s="27" t="n"/>
      <c r="C100" s="27" t="inlineStr">
        <is>
          <t>2025-01-23</t>
        </is>
      </c>
      <c r="D100" s="27" t="inlineStr">
        <is>
          <t>Q0303</t>
        </is>
      </c>
      <c r="E100" s="27" t="n"/>
      <c r="F100" s="27" t="inlineStr">
        <is>
          <t>浙江精准学科技有限公司</t>
        </is>
      </c>
      <c r="G100" s="27" t="inlineStr">
        <is>
          <t>记-101</t>
        </is>
      </c>
      <c r="H100" s="27" t="n"/>
      <c r="I100" s="45" t="n">
        <v>1</v>
      </c>
      <c r="J100" s="44" t="n"/>
    </row>
    <row r="101" s="83">
      <c r="A101" s="27" t="inlineStr">
        <is>
          <t>100201</t>
        </is>
      </c>
      <c r="B101" s="27" t="n"/>
      <c r="C101" s="27" t="inlineStr">
        <is>
          <t>2025-01-03</t>
        </is>
      </c>
      <c r="D101" s="27" t="inlineStr">
        <is>
          <t>Q0401</t>
        </is>
      </c>
      <c r="E101" s="27" t="n"/>
      <c r="F101" s="27" t="inlineStr">
        <is>
          <t>浙江精准学科技有限公司</t>
        </is>
      </c>
      <c r="G101" s="27" t="inlineStr">
        <is>
          <t>记-3</t>
        </is>
      </c>
      <c r="H101" s="27" t="n"/>
      <c r="I101" s="45" t="n">
        <v>1</v>
      </c>
      <c r="J101" s="44" t="n"/>
    </row>
    <row r="102" s="83">
      <c r="A102" s="26" t="inlineStr">
        <is>
          <t>100201</t>
        </is>
      </c>
      <c r="B102" s="26" t="n"/>
      <c r="C102" s="26" t="inlineStr">
        <is>
          <t>2025-01-03</t>
        </is>
      </c>
      <c r="D102" s="26" t="inlineStr">
        <is>
          <t>Q0401</t>
        </is>
      </c>
      <c r="E102" s="26" t="n"/>
      <c r="F102" s="26" t="inlineStr">
        <is>
          <t>浙江精准学科技有限公司</t>
        </is>
      </c>
      <c r="G102" s="26" t="inlineStr">
        <is>
          <t>记-4</t>
        </is>
      </c>
      <c r="H102" s="26" t="n"/>
      <c r="I102" s="45" t="n">
        <v>1</v>
      </c>
      <c r="J102" s="45" t="n"/>
    </row>
    <row r="103" s="83">
      <c r="A103" s="27" t="inlineStr">
        <is>
          <t>100201</t>
        </is>
      </c>
      <c r="B103" s="27" t="n"/>
      <c r="C103" s="27" t="inlineStr">
        <is>
          <t>2025-01-03</t>
        </is>
      </c>
      <c r="D103" s="27" t="inlineStr">
        <is>
          <t>Q0401</t>
        </is>
      </c>
      <c r="E103" s="27" t="n"/>
      <c r="F103" s="27" t="inlineStr">
        <is>
          <t>浙江精准学科技有限公司</t>
        </is>
      </c>
      <c r="G103" s="27" t="inlineStr">
        <is>
          <t>记-6</t>
        </is>
      </c>
      <c r="H103" s="27" t="n"/>
      <c r="I103" s="45" t="n">
        <v>1</v>
      </c>
      <c r="J103" s="44" t="n"/>
    </row>
    <row r="104" s="83">
      <c r="A104" s="26" t="inlineStr">
        <is>
          <t>100201</t>
        </is>
      </c>
      <c r="B104" s="26" t="n"/>
      <c r="C104" s="26" t="inlineStr">
        <is>
          <t>2025-01-03</t>
        </is>
      </c>
      <c r="D104" s="26" t="inlineStr">
        <is>
          <t>Q0401</t>
        </is>
      </c>
      <c r="E104" s="26" t="n"/>
      <c r="F104" s="26" t="inlineStr">
        <is>
          <t>浙江精准学科技有限公司</t>
        </is>
      </c>
      <c r="G104" s="26" t="inlineStr">
        <is>
          <t>记-6</t>
        </is>
      </c>
      <c r="H104" s="26" t="n"/>
      <c r="I104" s="45" t="n"/>
      <c r="J104" s="45" t="n">
        <v>1</v>
      </c>
    </row>
    <row r="105" s="83">
      <c r="A105" s="27" t="inlineStr">
        <is>
          <t>100201</t>
        </is>
      </c>
      <c r="B105" s="27" t="n"/>
      <c r="C105" s="27" t="inlineStr">
        <is>
          <t>2025-01-06</t>
        </is>
      </c>
      <c r="D105" s="27" t="inlineStr">
        <is>
          <t>Q0401</t>
        </is>
      </c>
      <c r="E105" s="27" t="n"/>
      <c r="F105" s="27" t="inlineStr">
        <is>
          <t>浙江精准学科技有限公司</t>
        </is>
      </c>
      <c r="G105" s="27" t="inlineStr">
        <is>
          <t>记-9</t>
        </is>
      </c>
      <c r="H105" s="27" t="n"/>
      <c r="I105" s="45" t="n">
        <v>1</v>
      </c>
      <c r="J105" s="44" t="n"/>
    </row>
    <row r="106" s="83">
      <c r="A106" s="26" t="inlineStr">
        <is>
          <t>100201</t>
        </is>
      </c>
      <c r="B106" s="26" t="n"/>
      <c r="C106" s="26" t="inlineStr">
        <is>
          <t>2025-01-14</t>
        </is>
      </c>
      <c r="D106" s="26" t="inlineStr">
        <is>
          <t>Q0401</t>
        </is>
      </c>
      <c r="E106" s="26" t="n"/>
      <c r="F106" s="26" t="inlineStr">
        <is>
          <t>浙江精准学科技有限公司</t>
        </is>
      </c>
      <c r="G106" s="26" t="inlineStr">
        <is>
          <t>记-46</t>
        </is>
      </c>
      <c r="H106" s="26" t="n"/>
      <c r="I106" s="45" t="n">
        <v>1</v>
      </c>
      <c r="J106" s="45" t="n"/>
    </row>
    <row r="107" s="83">
      <c r="A107" s="27" t="inlineStr">
        <is>
          <t>100201</t>
        </is>
      </c>
      <c r="B107" s="27" t="n"/>
      <c r="C107" s="27" t="inlineStr">
        <is>
          <t>2025-01-14</t>
        </is>
      </c>
      <c r="D107" s="27" t="inlineStr">
        <is>
          <t>Q0401</t>
        </is>
      </c>
      <c r="E107" s="27" t="n"/>
      <c r="F107" s="27" t="inlineStr">
        <is>
          <t>浙江精准学科技有限公司</t>
        </is>
      </c>
      <c r="G107" s="27" t="inlineStr">
        <is>
          <t>记-46</t>
        </is>
      </c>
      <c r="H107" s="27" t="n"/>
      <c r="I107" s="44" t="n"/>
      <c r="J107" s="45" t="n">
        <v>1</v>
      </c>
    </row>
    <row r="108" s="83">
      <c r="A108" s="26" t="inlineStr">
        <is>
          <t>100201</t>
        </is>
      </c>
      <c r="B108" s="26" t="n"/>
      <c r="C108" s="26" t="inlineStr">
        <is>
          <t>2025-01-15</t>
        </is>
      </c>
      <c r="D108" s="26" t="inlineStr">
        <is>
          <t>Q0401</t>
        </is>
      </c>
      <c r="E108" s="26" t="n"/>
      <c r="F108" s="26" t="inlineStr">
        <is>
          <t>浙江精准学科技有限公司</t>
        </is>
      </c>
      <c r="G108" s="26" t="inlineStr">
        <is>
          <t>记-48</t>
        </is>
      </c>
      <c r="H108" s="26" t="n"/>
      <c r="I108" s="45" t="n">
        <v>1</v>
      </c>
      <c r="J108" s="45" t="n"/>
    </row>
    <row r="109" s="83">
      <c r="A109" s="27" t="inlineStr">
        <is>
          <t>100201</t>
        </is>
      </c>
      <c r="B109" s="27" t="n"/>
      <c r="C109" s="27" t="inlineStr">
        <is>
          <t>2025-01-15</t>
        </is>
      </c>
      <c r="D109" s="27" t="inlineStr">
        <is>
          <t>Q0401</t>
        </is>
      </c>
      <c r="E109" s="27" t="n"/>
      <c r="F109" s="27" t="inlineStr">
        <is>
          <t>浙江精准学科技有限公司</t>
        </is>
      </c>
      <c r="G109" s="27" t="inlineStr">
        <is>
          <t>记-48</t>
        </is>
      </c>
      <c r="H109" s="27" t="n"/>
      <c r="I109" s="45" t="n">
        <v>1</v>
      </c>
      <c r="J109" s="44" t="n"/>
    </row>
    <row r="110" s="83">
      <c r="A110" s="26" t="inlineStr">
        <is>
          <t>100201</t>
        </is>
      </c>
      <c r="B110" s="26" t="n"/>
      <c r="C110" s="26" t="inlineStr">
        <is>
          <t>2025-01-15</t>
        </is>
      </c>
      <c r="D110" s="26" t="inlineStr">
        <is>
          <t>Q0401</t>
        </is>
      </c>
      <c r="E110" s="26" t="n"/>
      <c r="F110" s="26" t="inlineStr">
        <is>
          <t>浙江精准学科技有限公司</t>
        </is>
      </c>
      <c r="G110" s="26" t="inlineStr">
        <is>
          <t>记-48</t>
        </is>
      </c>
      <c r="H110" s="26" t="n"/>
      <c r="I110" s="45" t="n">
        <v>1</v>
      </c>
      <c r="J110" s="45" t="n"/>
    </row>
    <row r="111" s="83">
      <c r="A111" s="27" t="inlineStr">
        <is>
          <t>100201</t>
        </is>
      </c>
      <c r="B111" s="27" t="n"/>
      <c r="C111" s="27" t="inlineStr">
        <is>
          <t>2025-01-15</t>
        </is>
      </c>
      <c r="D111" s="27" t="inlineStr">
        <is>
          <t>Q0401</t>
        </is>
      </c>
      <c r="E111" s="27" t="n"/>
      <c r="F111" s="27" t="inlineStr">
        <is>
          <t>浙江精准学科技有限公司</t>
        </is>
      </c>
      <c r="G111" s="27" t="inlineStr">
        <is>
          <t>记-49</t>
        </is>
      </c>
      <c r="H111" s="27" t="n"/>
      <c r="I111" s="45" t="n">
        <v>1</v>
      </c>
      <c r="J111" s="44" t="n"/>
    </row>
    <row r="112" s="83">
      <c r="A112" s="26" t="inlineStr">
        <is>
          <t>100201</t>
        </is>
      </c>
      <c r="B112" s="26" t="n"/>
      <c r="C112" s="26" t="inlineStr">
        <is>
          <t>2025-01-15</t>
        </is>
      </c>
      <c r="D112" s="26" t="inlineStr">
        <is>
          <t>Q0401</t>
        </is>
      </c>
      <c r="E112" s="26" t="n"/>
      <c r="F112" s="26" t="inlineStr">
        <is>
          <t>浙江精准学科技有限公司</t>
        </is>
      </c>
      <c r="G112" s="26" t="inlineStr">
        <is>
          <t>记-49</t>
        </is>
      </c>
      <c r="H112" s="26" t="n"/>
      <c r="I112" s="45" t="n">
        <v>1</v>
      </c>
      <c r="J112" s="45" t="n"/>
    </row>
    <row r="113" s="83">
      <c r="A113" s="27" t="inlineStr">
        <is>
          <t>100201</t>
        </is>
      </c>
      <c r="B113" s="27" t="n"/>
      <c r="C113" s="27" t="inlineStr">
        <is>
          <t>2025-01-15</t>
        </is>
      </c>
      <c r="D113" s="27" t="inlineStr">
        <is>
          <t>Q0401</t>
        </is>
      </c>
      <c r="E113" s="27" t="n"/>
      <c r="F113" s="27" t="inlineStr">
        <is>
          <t>浙江精准学科技有限公司</t>
        </is>
      </c>
      <c r="G113" s="27" t="inlineStr">
        <is>
          <t>记-49</t>
        </is>
      </c>
      <c r="H113" s="27" t="n"/>
      <c r="I113" s="45" t="n">
        <v>1</v>
      </c>
      <c r="J113" s="44" t="n"/>
    </row>
    <row r="114" s="83">
      <c r="A114" s="26" t="inlineStr">
        <is>
          <t>100201</t>
        </is>
      </c>
      <c r="B114" s="26" t="n"/>
      <c r="C114" s="26" t="inlineStr">
        <is>
          <t>2025-01-15</t>
        </is>
      </c>
      <c r="D114" s="26" t="inlineStr">
        <is>
          <t>Q0401</t>
        </is>
      </c>
      <c r="E114" s="26" t="n"/>
      <c r="F114" s="26" t="inlineStr">
        <is>
          <t>浙江精准学科技有限公司</t>
        </is>
      </c>
      <c r="G114" s="26" t="inlineStr">
        <is>
          <t>记-49</t>
        </is>
      </c>
      <c r="H114" s="26" t="n"/>
      <c r="I114" s="45" t="n">
        <v>1</v>
      </c>
      <c r="J114" s="45" t="n"/>
    </row>
    <row r="115" s="83">
      <c r="A115" s="27" t="inlineStr">
        <is>
          <t>100201</t>
        </is>
      </c>
      <c r="B115" s="27" t="n"/>
      <c r="C115" s="27" t="inlineStr">
        <is>
          <t>2025-01-15</t>
        </is>
      </c>
      <c r="D115" s="27" t="inlineStr">
        <is>
          <t>Q0401</t>
        </is>
      </c>
      <c r="E115" s="27" t="n"/>
      <c r="F115" s="27" t="inlineStr">
        <is>
          <t>浙江精准学科技有限公司</t>
        </is>
      </c>
      <c r="G115" s="27" t="inlineStr">
        <is>
          <t>记-49</t>
        </is>
      </c>
      <c r="H115" s="27" t="n"/>
      <c r="I115" s="45" t="n">
        <v>1</v>
      </c>
      <c r="J115" s="44" t="n"/>
    </row>
    <row r="116" s="83">
      <c r="A116" s="26" t="inlineStr">
        <is>
          <t>100201</t>
        </is>
      </c>
      <c r="B116" s="26" t="n"/>
      <c r="C116" s="26" t="inlineStr">
        <is>
          <t>2025-01-15</t>
        </is>
      </c>
      <c r="D116" s="26" t="inlineStr">
        <is>
          <t>Q0401</t>
        </is>
      </c>
      <c r="E116" s="26" t="n"/>
      <c r="F116" s="26" t="inlineStr">
        <is>
          <t>浙江精准学科技有限公司</t>
        </is>
      </c>
      <c r="G116" s="26" t="inlineStr">
        <is>
          <t>记-49</t>
        </is>
      </c>
      <c r="H116" s="26" t="n"/>
      <c r="I116" s="45" t="n">
        <v>1</v>
      </c>
      <c r="J116" s="45" t="n"/>
    </row>
    <row r="117" s="83">
      <c r="A117" s="27" t="inlineStr">
        <is>
          <t>100201</t>
        </is>
      </c>
      <c r="B117" s="27" t="n"/>
      <c r="C117" s="27" t="inlineStr">
        <is>
          <t>2025-01-15</t>
        </is>
      </c>
      <c r="D117" s="27" t="inlineStr">
        <is>
          <t>Q0401</t>
        </is>
      </c>
      <c r="E117" s="27" t="n"/>
      <c r="F117" s="27" t="inlineStr">
        <is>
          <t>浙江精准学科技有限公司</t>
        </is>
      </c>
      <c r="G117" s="27" t="inlineStr">
        <is>
          <t>记-49</t>
        </is>
      </c>
      <c r="H117" s="27" t="n"/>
      <c r="I117" s="45" t="n">
        <v>1</v>
      </c>
      <c r="J117" s="44" t="n"/>
    </row>
    <row r="118" s="83">
      <c r="A118" s="26" t="inlineStr">
        <is>
          <t>100201</t>
        </is>
      </c>
      <c r="B118" s="26" t="n"/>
      <c r="C118" s="26" t="inlineStr">
        <is>
          <t>2025-01-15</t>
        </is>
      </c>
      <c r="D118" s="26" t="inlineStr">
        <is>
          <t>Q0401</t>
        </is>
      </c>
      <c r="E118" s="26" t="n"/>
      <c r="F118" s="26" t="inlineStr">
        <is>
          <t>浙江精准学科技有限公司</t>
        </is>
      </c>
      <c r="G118" s="26" t="inlineStr">
        <is>
          <t>记-49</t>
        </is>
      </c>
      <c r="H118" s="26" t="n"/>
      <c r="I118" s="45" t="n">
        <v>1</v>
      </c>
      <c r="J118" s="45" t="n"/>
    </row>
    <row r="119" s="83">
      <c r="A119" s="27" t="inlineStr">
        <is>
          <t>100201</t>
        </is>
      </c>
      <c r="B119" s="27" t="n"/>
      <c r="C119" s="27" t="inlineStr">
        <is>
          <t>2025-01-16</t>
        </is>
      </c>
      <c r="D119" s="27" t="inlineStr">
        <is>
          <t>Q0401</t>
        </is>
      </c>
      <c r="E119" s="27" t="n"/>
      <c r="F119" s="27" t="inlineStr">
        <is>
          <t>浙江精准学科技有限公司</t>
        </is>
      </c>
      <c r="G119" s="27" t="inlineStr">
        <is>
          <t>记-54</t>
        </is>
      </c>
      <c r="H119" s="27" t="n"/>
      <c r="I119" s="45" t="n">
        <v>1</v>
      </c>
      <c r="J119" s="44" t="n"/>
    </row>
    <row r="120" s="83">
      <c r="A120" s="26" t="inlineStr">
        <is>
          <t>100201</t>
        </is>
      </c>
      <c r="B120" s="26" t="n"/>
      <c r="C120" s="26" t="inlineStr">
        <is>
          <t>2025-01-17</t>
        </is>
      </c>
      <c r="D120" s="26" t="inlineStr">
        <is>
          <t>Q0401</t>
        </is>
      </c>
      <c r="E120" s="26" t="n"/>
      <c r="F120" s="26" t="inlineStr">
        <is>
          <t>浙江精准学科技有限公司</t>
        </is>
      </c>
      <c r="G120" s="26" t="inlineStr">
        <is>
          <t>记-57</t>
        </is>
      </c>
      <c r="H120" s="26" t="n"/>
      <c r="I120" s="45" t="n">
        <v>1</v>
      </c>
      <c r="J120" s="45" t="n"/>
    </row>
    <row r="121" s="83">
      <c r="A121" s="27" t="inlineStr">
        <is>
          <t>100201</t>
        </is>
      </c>
      <c r="B121" s="27" t="n"/>
      <c r="C121" s="27" t="inlineStr">
        <is>
          <t>2025-01-17</t>
        </is>
      </c>
      <c r="D121" s="27" t="inlineStr">
        <is>
          <t>Q0401</t>
        </is>
      </c>
      <c r="E121" s="27" t="n"/>
      <c r="F121" s="27" t="inlineStr">
        <is>
          <t>浙江精准学科技有限公司</t>
        </is>
      </c>
      <c r="G121" s="27" t="inlineStr">
        <is>
          <t>记-67</t>
        </is>
      </c>
      <c r="H121" s="27" t="n"/>
      <c r="I121" s="45" t="n">
        <v>1</v>
      </c>
      <c r="J121" s="44" t="n"/>
    </row>
    <row r="122" s="83">
      <c r="A122" s="26" t="inlineStr">
        <is>
          <t>100201</t>
        </is>
      </c>
      <c r="B122" s="26" t="n"/>
      <c r="C122" s="26" t="inlineStr">
        <is>
          <t>2025-01-17</t>
        </is>
      </c>
      <c r="D122" s="26" t="inlineStr">
        <is>
          <t>Q0401</t>
        </is>
      </c>
      <c r="E122" s="26" t="n"/>
      <c r="F122" s="26" t="inlineStr">
        <is>
          <t>浙江精准学科技有限公司</t>
        </is>
      </c>
      <c r="G122" s="26" t="inlineStr">
        <is>
          <t>记-69</t>
        </is>
      </c>
      <c r="H122" s="26" t="n"/>
      <c r="I122" s="45" t="n">
        <v>1</v>
      </c>
      <c r="J122" s="45" t="n"/>
    </row>
    <row r="123" s="83">
      <c r="A123" s="27" t="inlineStr">
        <is>
          <t>100201</t>
        </is>
      </c>
      <c r="B123" s="27" t="n"/>
      <c r="C123" s="27" t="inlineStr">
        <is>
          <t>2025-01-20</t>
        </is>
      </c>
      <c r="D123" s="27" t="inlineStr">
        <is>
          <t>Q0401</t>
        </is>
      </c>
      <c r="E123" s="27" t="n"/>
      <c r="F123" s="27" t="inlineStr">
        <is>
          <t>浙江精准学科技有限公司</t>
        </is>
      </c>
      <c r="G123" s="27" t="inlineStr">
        <is>
          <t>记-71</t>
        </is>
      </c>
      <c r="H123" s="27" t="n"/>
      <c r="I123" s="45" t="n">
        <v>1</v>
      </c>
      <c r="J123" s="44" t="n"/>
    </row>
    <row r="124" s="83">
      <c r="A124" s="26" t="inlineStr">
        <is>
          <t>100201</t>
        </is>
      </c>
      <c r="B124" s="26" t="n"/>
      <c r="C124" s="26" t="inlineStr">
        <is>
          <t>2025-01-20</t>
        </is>
      </c>
      <c r="D124" s="26" t="inlineStr">
        <is>
          <t>Q0401</t>
        </is>
      </c>
      <c r="E124" s="26" t="n"/>
      <c r="F124" s="26" t="inlineStr">
        <is>
          <t>浙江精准学科技有限公司</t>
        </is>
      </c>
      <c r="G124" s="26" t="inlineStr">
        <is>
          <t>记-72</t>
        </is>
      </c>
      <c r="H124" s="26" t="n"/>
      <c r="I124" s="45" t="n">
        <v>1</v>
      </c>
      <c r="J124" s="45" t="n"/>
    </row>
    <row r="125" s="83">
      <c r="A125" s="27" t="inlineStr">
        <is>
          <t>100201</t>
        </is>
      </c>
      <c r="B125" s="27" t="n"/>
      <c r="C125" s="27" t="inlineStr">
        <is>
          <t>2025-01-21</t>
        </is>
      </c>
      <c r="D125" s="27" t="inlineStr">
        <is>
          <t>Q0401</t>
        </is>
      </c>
      <c r="E125" s="27" t="n"/>
      <c r="F125" s="27" t="inlineStr">
        <is>
          <t>浙江精准学科技有限公司</t>
        </is>
      </c>
      <c r="G125" s="27" t="inlineStr">
        <is>
          <t>记-80</t>
        </is>
      </c>
      <c r="H125" s="27" t="n"/>
      <c r="I125" s="45" t="n">
        <v>1</v>
      </c>
      <c r="J125" s="44" t="n"/>
    </row>
    <row r="126" s="83">
      <c r="A126" s="26" t="inlineStr">
        <is>
          <t>100201</t>
        </is>
      </c>
      <c r="B126" s="26" t="n"/>
      <c r="C126" s="26" t="inlineStr">
        <is>
          <t>2025-01-22</t>
        </is>
      </c>
      <c r="D126" s="26" t="inlineStr">
        <is>
          <t>Q0401</t>
        </is>
      </c>
      <c r="E126" s="26" t="n"/>
      <c r="F126" s="26" t="inlineStr">
        <is>
          <t>浙江精准学科技有限公司</t>
        </is>
      </c>
      <c r="G126" s="26" t="inlineStr">
        <is>
          <t>记-87</t>
        </is>
      </c>
      <c r="H126" s="26" t="n"/>
      <c r="I126" s="45" t="n">
        <v>1</v>
      </c>
      <c r="J126" s="45" t="n"/>
    </row>
    <row r="127" s="83">
      <c r="A127" s="27" t="inlineStr">
        <is>
          <t>100201</t>
        </is>
      </c>
      <c r="B127" s="27" t="n"/>
      <c r="C127" s="27" t="inlineStr">
        <is>
          <t>2025-01-22</t>
        </is>
      </c>
      <c r="D127" s="27" t="inlineStr">
        <is>
          <t>Q0401</t>
        </is>
      </c>
      <c r="E127" s="27" t="n"/>
      <c r="F127" s="27" t="inlineStr">
        <is>
          <t>浙江精准学科技有限公司</t>
        </is>
      </c>
      <c r="G127" s="27" t="inlineStr">
        <is>
          <t>记-91</t>
        </is>
      </c>
      <c r="H127" s="27" t="n"/>
      <c r="I127" s="45" t="n">
        <v>1</v>
      </c>
      <c r="J127" s="44" t="n"/>
    </row>
    <row r="128" s="83">
      <c r="A128" s="26" t="inlineStr">
        <is>
          <t>100201</t>
        </is>
      </c>
      <c r="B128" s="26" t="n"/>
      <c r="C128" s="26" t="inlineStr">
        <is>
          <t>2025-01-22</t>
        </is>
      </c>
      <c r="D128" s="26" t="inlineStr">
        <is>
          <t>Q0401</t>
        </is>
      </c>
      <c r="E128" s="26" t="n"/>
      <c r="F128" s="26" t="inlineStr">
        <is>
          <t>浙江精准学科技有限公司</t>
        </is>
      </c>
      <c r="G128" s="26" t="inlineStr">
        <is>
          <t>记-91</t>
        </is>
      </c>
      <c r="H128" s="26" t="n"/>
      <c r="I128" s="45" t="n"/>
      <c r="J128" s="45" t="n">
        <v>1</v>
      </c>
    </row>
    <row r="129" s="83">
      <c r="A129" s="27" t="inlineStr">
        <is>
          <t>100201</t>
        </is>
      </c>
      <c r="B129" s="27" t="n"/>
      <c r="C129" s="27" t="inlineStr">
        <is>
          <t>2025-01-23</t>
        </is>
      </c>
      <c r="D129" s="27" t="inlineStr">
        <is>
          <t>Q0401</t>
        </is>
      </c>
      <c r="E129" s="27" t="n"/>
      <c r="F129" s="27" t="inlineStr">
        <is>
          <t>浙江精准学科技有限公司</t>
        </is>
      </c>
      <c r="G129" s="27" t="inlineStr">
        <is>
          <t>记-100</t>
        </is>
      </c>
      <c r="H129" s="27" t="n"/>
      <c r="I129" s="45" t="n">
        <v>1</v>
      </c>
      <c r="J129" s="44" t="n"/>
    </row>
    <row r="130" s="83">
      <c r="A130" s="26" t="inlineStr">
        <is>
          <t>100201</t>
        </is>
      </c>
      <c r="B130" s="26" t="n"/>
      <c r="C130" s="26" t="inlineStr">
        <is>
          <t>2025-01-24</t>
        </is>
      </c>
      <c r="D130" s="26" t="inlineStr">
        <is>
          <t>Q0401</t>
        </is>
      </c>
      <c r="E130" s="26" t="n"/>
      <c r="F130" s="26" t="inlineStr">
        <is>
          <t>浙江精准学科技有限公司</t>
        </is>
      </c>
      <c r="G130" s="26" t="inlineStr">
        <is>
          <t>记-122</t>
        </is>
      </c>
      <c r="H130" s="26" t="n"/>
      <c r="I130" s="45" t="n">
        <v>1</v>
      </c>
      <c r="J130" s="45" t="n"/>
    </row>
    <row r="131" s="83">
      <c r="A131" s="27" t="inlineStr">
        <is>
          <t>100201</t>
        </is>
      </c>
      <c r="B131" s="27" t="n"/>
      <c r="C131" s="27" t="inlineStr">
        <is>
          <t>2025-01-24</t>
        </is>
      </c>
      <c r="D131" s="27" t="inlineStr">
        <is>
          <t>Q0401</t>
        </is>
      </c>
      <c r="E131" s="27" t="n"/>
      <c r="F131" s="27" t="inlineStr">
        <is>
          <t>浙江精准学科技有限公司</t>
        </is>
      </c>
      <c r="G131" s="27" t="inlineStr">
        <is>
          <t>记-123</t>
        </is>
      </c>
      <c r="H131" s="27" t="n"/>
      <c r="I131" s="45" t="n">
        <v>1</v>
      </c>
      <c r="J131" s="44" t="n"/>
    </row>
    <row r="132" s="83">
      <c r="A132" s="26" t="inlineStr">
        <is>
          <t>100201</t>
        </is>
      </c>
      <c r="B132" s="26" t="n"/>
      <c r="C132" s="26" t="inlineStr">
        <is>
          <t>2025-01-24</t>
        </is>
      </c>
      <c r="D132" s="26" t="inlineStr">
        <is>
          <t>Q0401</t>
        </is>
      </c>
      <c r="E132" s="26" t="n"/>
      <c r="F132" s="26" t="inlineStr">
        <is>
          <t>浙江精准学科技有限公司</t>
        </is>
      </c>
      <c r="G132" s="26" t="inlineStr">
        <is>
          <t>记-124</t>
        </is>
      </c>
      <c r="H132" s="26" t="n"/>
      <c r="I132" s="45" t="n">
        <v>1</v>
      </c>
      <c r="J132" s="45" t="n"/>
    </row>
    <row r="133" s="83">
      <c r="A133" s="27" t="inlineStr">
        <is>
          <t>100201</t>
        </is>
      </c>
      <c r="B133" s="27" t="n"/>
      <c r="C133" s="27" t="inlineStr">
        <is>
          <t>2025-01-25</t>
        </is>
      </c>
      <c r="D133" s="27" t="inlineStr">
        <is>
          <t>Q0401</t>
        </is>
      </c>
      <c r="E133" s="27" t="n"/>
      <c r="F133" s="27" t="inlineStr">
        <is>
          <t>浙江精准学科技有限公司</t>
        </is>
      </c>
      <c r="G133" s="27" t="inlineStr">
        <is>
          <t>记-152</t>
        </is>
      </c>
      <c r="H133" s="27" t="n"/>
      <c r="I133" s="45" t="n">
        <v>1</v>
      </c>
      <c r="J133" s="44" t="n"/>
    </row>
    <row r="134" s="83">
      <c r="A134" s="26" t="inlineStr">
        <is>
          <t>100201</t>
        </is>
      </c>
      <c r="B134" s="26" t="n"/>
      <c r="C134" s="26" t="inlineStr">
        <is>
          <t>2025-01-29</t>
        </is>
      </c>
      <c r="D134" s="26" t="inlineStr">
        <is>
          <t>Q0401</t>
        </is>
      </c>
      <c r="E134" s="26" t="n"/>
      <c r="F134" s="26" t="inlineStr">
        <is>
          <t>浙江精准学科技有限公司</t>
        </is>
      </c>
      <c r="G134" s="26" t="inlineStr">
        <is>
          <t>记-153</t>
        </is>
      </c>
      <c r="H134" s="26" t="n"/>
      <c r="I134" s="45" t="n">
        <v>1</v>
      </c>
      <c r="J134" s="45" t="n"/>
    </row>
    <row r="135" s="83">
      <c r="A135" s="26" t="inlineStr">
        <is>
          <t>100201</t>
        </is>
      </c>
      <c r="B135" s="26" t="n"/>
      <c r="C135" s="26" t="inlineStr">
        <is>
          <t>2025-01-14</t>
        </is>
      </c>
      <c r="D135" s="26" t="inlineStr">
        <is>
          <t>Q0402</t>
        </is>
      </c>
      <c r="E135" s="26" t="n"/>
      <c r="F135" s="26" t="inlineStr">
        <is>
          <t>浙江精准学科技有限公司</t>
        </is>
      </c>
      <c r="G135" s="26" t="inlineStr">
        <is>
          <t>记-44</t>
        </is>
      </c>
      <c r="H135" s="26" t="n"/>
      <c r="I135" s="45" t="n"/>
      <c r="J135" s="45" t="n">
        <v>1</v>
      </c>
    </row>
    <row r="136" s="83">
      <c r="A136" s="27" t="inlineStr">
        <is>
          <t>100201</t>
        </is>
      </c>
      <c r="B136" s="27" t="n"/>
      <c r="C136" s="27" t="inlineStr">
        <is>
          <t>2025-01-14</t>
        </is>
      </c>
      <c r="D136" s="27" t="inlineStr">
        <is>
          <t>Q0402</t>
        </is>
      </c>
      <c r="E136" s="27" t="n"/>
      <c r="F136" s="27" t="inlineStr">
        <is>
          <t>浙江精准学科技有限公司</t>
        </is>
      </c>
      <c r="G136" s="27" t="inlineStr">
        <is>
          <t>记-45</t>
        </is>
      </c>
      <c r="H136" s="27" t="n"/>
      <c r="I136" s="44" t="n"/>
      <c r="J136" s="45" t="n">
        <v>1</v>
      </c>
    </row>
    <row r="137" s="83">
      <c r="A137" s="26" t="inlineStr">
        <is>
          <t>100201</t>
        </is>
      </c>
      <c r="B137" s="26" t="n"/>
      <c r="C137" s="26" t="inlineStr">
        <is>
          <t>2025-01-21</t>
        </is>
      </c>
      <c r="D137" s="26" t="inlineStr">
        <is>
          <t>Q0601</t>
        </is>
      </c>
      <c r="E137" s="26" t="n"/>
      <c r="F137" s="26" t="inlineStr">
        <is>
          <t>浙江精准学科技有限公司</t>
        </is>
      </c>
      <c r="G137" s="26" t="inlineStr">
        <is>
          <t>记-81</t>
        </is>
      </c>
      <c r="H137" s="26" t="n"/>
      <c r="I137" s="45" t="n"/>
      <c r="J137" s="45" t="n">
        <v>1</v>
      </c>
    </row>
    <row r="138" s="83">
      <c r="A138" s="27" t="inlineStr">
        <is>
          <t>100201</t>
        </is>
      </c>
      <c r="B138" s="27" t="n"/>
      <c r="C138" s="27" t="inlineStr">
        <is>
          <t>2025-01-23</t>
        </is>
      </c>
      <c r="D138" s="27" t="inlineStr">
        <is>
          <t>Q0601</t>
        </is>
      </c>
      <c r="E138" s="27" t="n"/>
      <c r="F138" s="27" t="inlineStr">
        <is>
          <t>浙江精准学科技有限公司</t>
        </is>
      </c>
      <c r="G138" s="27" t="inlineStr">
        <is>
          <t>记-117</t>
        </is>
      </c>
      <c r="H138" s="27" t="n"/>
      <c r="I138" s="44" t="n"/>
      <c r="J138" s="45" t="n">
        <v>1</v>
      </c>
    </row>
    <row r="139" s="83">
      <c r="A139" s="27" t="inlineStr">
        <is>
          <t>100201</t>
        </is>
      </c>
      <c r="B139" s="27" t="n"/>
      <c r="C139" s="27" t="inlineStr">
        <is>
          <t>2025-01-15</t>
        </is>
      </c>
      <c r="D139" s="27" t="inlineStr">
        <is>
          <t>Q0801</t>
        </is>
      </c>
      <c r="E139" s="27" t="n"/>
      <c r="F139" s="27" t="inlineStr">
        <is>
          <t>浙江精准学科技有限公司</t>
        </is>
      </c>
      <c r="G139" s="27" t="inlineStr">
        <is>
          <t>记-47</t>
        </is>
      </c>
      <c r="H139" s="27" t="n"/>
      <c r="I139" s="44" t="n"/>
      <c r="J139" s="45" t="n">
        <v>1</v>
      </c>
    </row>
    <row r="140" s="83">
      <c r="A140" s="26" t="inlineStr">
        <is>
          <t>100201</t>
        </is>
      </c>
      <c r="B140" s="26" t="n"/>
      <c r="C140" s="26" t="inlineStr">
        <is>
          <t>2025-01-02</t>
        </is>
      </c>
      <c r="D140" s="26" t="inlineStr">
        <is>
          <t>Q0803</t>
        </is>
      </c>
      <c r="E140" s="26" t="n"/>
      <c r="F140" s="26" t="inlineStr">
        <is>
          <t>浙江精准学科技有限公司</t>
        </is>
      </c>
      <c r="G140" s="26" t="inlineStr">
        <is>
          <t>记-1</t>
        </is>
      </c>
      <c r="H140" s="26" t="n"/>
      <c r="I140" s="45" t="n"/>
      <c r="J140" s="45" t="n">
        <v>1</v>
      </c>
    </row>
    <row r="141" s="83">
      <c r="A141" s="27" t="inlineStr">
        <is>
          <t>100201</t>
        </is>
      </c>
      <c r="B141" s="27" t="n"/>
      <c r="C141" s="27" t="inlineStr">
        <is>
          <t>2025-01-21</t>
        </is>
      </c>
      <c r="D141" s="27" t="inlineStr">
        <is>
          <t>Q0804</t>
        </is>
      </c>
      <c r="E141" s="27" t="n"/>
      <c r="F141" s="27" t="inlineStr">
        <is>
          <t>浙江精准学科技有限公司</t>
        </is>
      </c>
      <c r="G141" s="27" t="inlineStr">
        <is>
          <t>记-86</t>
        </is>
      </c>
      <c r="H141" s="27" t="n"/>
      <c r="I141" s="44" t="n"/>
      <c r="J141" s="45" t="n">
        <v>1</v>
      </c>
    </row>
    <row r="142" s="83">
      <c r="A142" s="27" t="inlineStr">
        <is>
          <t>100201</t>
        </is>
      </c>
      <c r="B142" s="27" t="n"/>
      <c r="C142" s="27" t="inlineStr">
        <is>
          <t>2025-01-14</t>
        </is>
      </c>
      <c r="D142" s="27" t="inlineStr">
        <is>
          <t>Q0805</t>
        </is>
      </c>
      <c r="E142" s="27" t="n"/>
      <c r="F142" s="27" t="inlineStr">
        <is>
          <t>浙江精准学科技有限公司</t>
        </is>
      </c>
      <c r="G142" s="27" t="inlineStr">
        <is>
          <t>记-41</t>
        </is>
      </c>
      <c r="H142" s="27" t="n"/>
      <c r="I142" s="44" t="n"/>
      <c r="J142" s="45" t="n">
        <v>1</v>
      </c>
    </row>
    <row r="143" s="83">
      <c r="A143" s="26" t="inlineStr">
        <is>
          <t>100201</t>
        </is>
      </c>
      <c r="B143" s="26" t="n"/>
      <c r="C143" s="26" t="inlineStr">
        <is>
          <t>2025-01-07</t>
        </is>
      </c>
      <c r="D143" s="26" t="inlineStr">
        <is>
          <t>Q0806</t>
        </is>
      </c>
      <c r="E143" s="26" t="n"/>
      <c r="F143" s="26" t="inlineStr">
        <is>
          <t>浙江精准学科技有限公司</t>
        </is>
      </c>
      <c r="G143" s="26" t="inlineStr">
        <is>
          <t>记-22</t>
        </is>
      </c>
      <c r="H143" s="26" t="n"/>
      <c r="I143" s="45" t="n"/>
      <c r="J143" s="45" t="n">
        <v>1</v>
      </c>
    </row>
    <row r="144" s="83">
      <c r="A144" s="27" t="inlineStr">
        <is>
          <t>100201</t>
        </is>
      </c>
      <c r="B144" s="27" t="n"/>
      <c r="C144" s="27" t="inlineStr">
        <is>
          <t>2025-01-23</t>
        </is>
      </c>
      <c r="D144" s="27" t="inlineStr">
        <is>
          <t>Q0806</t>
        </is>
      </c>
      <c r="E144" s="27" t="n"/>
      <c r="F144" s="27" t="inlineStr">
        <is>
          <t>浙江精准学科技有限公司</t>
        </is>
      </c>
      <c r="G144" s="27" t="inlineStr">
        <is>
          <t>记-111</t>
        </is>
      </c>
      <c r="H144" s="27" t="n"/>
      <c r="I144" s="44" t="n"/>
      <c r="J144" s="45" t="n">
        <v>1</v>
      </c>
    </row>
    <row r="145" s="83">
      <c r="A145" s="26" t="inlineStr">
        <is>
          <t>100201</t>
        </is>
      </c>
      <c r="B145" s="26" t="n"/>
      <c r="C145" s="26" t="inlineStr">
        <is>
          <t>2025-01-23</t>
        </is>
      </c>
      <c r="D145" s="26" t="inlineStr">
        <is>
          <t>Q0806</t>
        </is>
      </c>
      <c r="E145" s="26" t="n"/>
      <c r="F145" s="26" t="inlineStr">
        <is>
          <t>浙江精准学科技有限公司</t>
        </is>
      </c>
      <c r="G145" s="26" t="inlineStr">
        <is>
          <t>记-116</t>
        </is>
      </c>
      <c r="H145" s="26" t="n"/>
      <c r="I145" s="45" t="n"/>
      <c r="J145" s="45" t="n">
        <v>1</v>
      </c>
    </row>
    <row r="146" s="83">
      <c r="A146" s="27" t="inlineStr">
        <is>
          <t>100201</t>
        </is>
      </c>
      <c r="B146" s="27" t="n"/>
      <c r="C146" s="27" t="inlineStr">
        <is>
          <t>2025-01-24</t>
        </is>
      </c>
      <c r="D146" s="27" t="inlineStr">
        <is>
          <t>Q0806</t>
        </is>
      </c>
      <c r="E146" s="27" t="n"/>
      <c r="F146" s="27" t="inlineStr">
        <is>
          <t>浙江精准学科技有限公司</t>
        </is>
      </c>
      <c r="G146" s="27" t="inlineStr">
        <is>
          <t>记-126</t>
        </is>
      </c>
      <c r="H146" s="27" t="n"/>
      <c r="I146" s="44" t="n"/>
      <c r="J146" s="45" t="n">
        <v>1</v>
      </c>
    </row>
    <row r="147" s="83">
      <c r="A147" s="26" t="inlineStr">
        <is>
          <t>100201</t>
        </is>
      </c>
      <c r="B147" s="26" t="n"/>
      <c r="C147" s="26" t="inlineStr">
        <is>
          <t>2025-01-24</t>
        </is>
      </c>
      <c r="D147" s="26" t="inlineStr">
        <is>
          <t>Q0806</t>
        </is>
      </c>
      <c r="E147" s="26" t="n"/>
      <c r="F147" s="26" t="inlineStr">
        <is>
          <t>浙江精准学科技有限公司</t>
        </is>
      </c>
      <c r="G147" s="26" t="inlineStr">
        <is>
          <t>记-132</t>
        </is>
      </c>
      <c r="H147" s="26" t="n"/>
      <c r="I147" s="45" t="n"/>
      <c r="J147" s="45" t="n">
        <v>1</v>
      </c>
    </row>
    <row r="148" s="83">
      <c r="A148" s="27" t="inlineStr">
        <is>
          <t>100201</t>
        </is>
      </c>
      <c r="B148" s="27" t="n"/>
      <c r="C148" s="27" t="inlineStr">
        <is>
          <t>2025-01-24</t>
        </is>
      </c>
      <c r="D148" s="27" t="inlineStr">
        <is>
          <t>Q0806</t>
        </is>
      </c>
      <c r="E148" s="27" t="n"/>
      <c r="F148" s="27" t="inlineStr">
        <is>
          <t>浙江精准学科技有限公司</t>
        </is>
      </c>
      <c r="G148" s="27" t="inlineStr">
        <is>
          <t>记-138</t>
        </is>
      </c>
      <c r="H148" s="27" t="n"/>
      <c r="I148" s="44" t="n"/>
      <c r="J148" s="45" t="n">
        <v>1</v>
      </c>
    </row>
    <row r="149" s="83">
      <c r="A149" s="26" t="inlineStr">
        <is>
          <t>100201</t>
        </is>
      </c>
      <c r="B149" s="26" t="n"/>
      <c r="C149" s="26" t="inlineStr">
        <is>
          <t>2025-01-10</t>
        </is>
      </c>
      <c r="D149" s="26" t="inlineStr">
        <is>
          <t>Q1001</t>
        </is>
      </c>
      <c r="E149" s="26" t="n"/>
      <c r="F149" s="26" t="inlineStr">
        <is>
          <t>浙江精准学科技有限公司</t>
        </is>
      </c>
      <c r="G149" s="26" t="inlineStr">
        <is>
          <t>记-34</t>
        </is>
      </c>
      <c r="H149" s="26" t="n"/>
      <c r="I149" s="45" t="n"/>
      <c r="J149" s="45" t="n">
        <v>1</v>
      </c>
    </row>
    <row r="150" s="83">
      <c r="A150" s="27" t="inlineStr">
        <is>
          <t>100201</t>
        </is>
      </c>
      <c r="B150" s="27" t="n"/>
      <c r="C150" s="27" t="inlineStr">
        <is>
          <t>2025-01-22</t>
        </is>
      </c>
      <c r="D150" s="27" t="inlineStr">
        <is>
          <t>Q1001</t>
        </is>
      </c>
      <c r="E150" s="27" t="n"/>
      <c r="F150" s="27" t="inlineStr">
        <is>
          <t>浙江精准学科技有限公司</t>
        </is>
      </c>
      <c r="G150" s="27" t="inlineStr">
        <is>
          <t>记-90</t>
        </is>
      </c>
      <c r="H150" s="27" t="n"/>
      <c r="I150" s="44" t="n"/>
      <c r="J150" s="45" t="n">
        <v>1</v>
      </c>
    </row>
    <row r="151" s="83">
      <c r="A151" s="27" t="inlineStr">
        <is>
          <t>100201</t>
        </is>
      </c>
      <c r="B151" s="27" t="n"/>
      <c r="C151" s="27" t="inlineStr">
        <is>
          <t>2025-01-07</t>
        </is>
      </c>
      <c r="D151" s="27" t="inlineStr">
        <is>
          <t>Q1505</t>
        </is>
      </c>
      <c r="E151" s="27" t="n"/>
      <c r="F151" s="27" t="inlineStr">
        <is>
          <t>浙江精准学科技有限公司</t>
        </is>
      </c>
      <c r="G151" s="27" t="inlineStr">
        <is>
          <t>记-20</t>
        </is>
      </c>
      <c r="H151" s="27" t="n"/>
      <c r="I151" s="44" t="n"/>
      <c r="J151" s="45" t="n">
        <v>1</v>
      </c>
    </row>
    <row r="152" s="83">
      <c r="A152" s="26" t="inlineStr">
        <is>
          <t>100201</t>
        </is>
      </c>
      <c r="B152" s="26" t="n"/>
      <c r="C152" s="26" t="inlineStr">
        <is>
          <t>2025-01-23</t>
        </is>
      </c>
      <c r="D152" s="26" t="inlineStr">
        <is>
          <t>Q1505</t>
        </is>
      </c>
      <c r="E152" s="26" t="n"/>
      <c r="F152" s="26" t="inlineStr">
        <is>
          <t>浙江精准学科技有限公司</t>
        </is>
      </c>
      <c r="G152" s="26" t="inlineStr">
        <is>
          <t>记-118</t>
        </is>
      </c>
      <c r="H152" s="26" t="n"/>
      <c r="I152" s="45" t="n"/>
      <c r="J152" s="45" t="n">
        <v>1</v>
      </c>
    </row>
    <row r="153" s="83">
      <c r="A153" s="26" t="inlineStr">
        <is>
          <t>100201</t>
        </is>
      </c>
      <c r="B153" s="26" t="n"/>
      <c r="C153" s="26" t="inlineStr">
        <is>
          <t>2025-01-06</t>
        </is>
      </c>
      <c r="D153" s="26" t="inlineStr">
        <is>
          <t>Q1701</t>
        </is>
      </c>
      <c r="E153" s="26" t="n"/>
      <c r="F153" s="26" t="inlineStr">
        <is>
          <t>浙江精准学科技有限公司</t>
        </is>
      </c>
      <c r="G153" s="26" t="inlineStr">
        <is>
          <t>记-12</t>
        </is>
      </c>
      <c r="H153" s="26" t="n"/>
      <c r="I153" s="45" t="n"/>
      <c r="J153" s="45" t="n">
        <v>1</v>
      </c>
    </row>
    <row r="154" s="83">
      <c r="A154" s="27" t="inlineStr">
        <is>
          <t>100201</t>
        </is>
      </c>
      <c r="B154" s="27" t="n"/>
      <c r="C154" s="27" t="inlineStr">
        <is>
          <t>2025-01-07</t>
        </is>
      </c>
      <c r="D154" s="27" t="inlineStr">
        <is>
          <t>Q1701</t>
        </is>
      </c>
      <c r="E154" s="27" t="n"/>
      <c r="F154" s="27" t="inlineStr">
        <is>
          <t>浙江精准学科技有限公司</t>
        </is>
      </c>
      <c r="G154" s="27" t="inlineStr">
        <is>
          <t>记-23</t>
        </is>
      </c>
      <c r="H154" s="27" t="n"/>
      <c r="I154" s="44" t="n"/>
      <c r="J154" s="45" t="n">
        <v>1</v>
      </c>
    </row>
    <row r="155" s="83">
      <c r="A155" s="26" t="inlineStr">
        <is>
          <t>100201</t>
        </is>
      </c>
      <c r="B155" s="26" t="n"/>
      <c r="C155" s="26" t="inlineStr">
        <is>
          <t>2025-01-08</t>
        </is>
      </c>
      <c r="D155" s="26" t="inlineStr">
        <is>
          <t>Q1701</t>
        </is>
      </c>
      <c r="E155" s="26" t="n"/>
      <c r="F155" s="26" t="inlineStr">
        <is>
          <t>浙江精准学科技有限公司</t>
        </is>
      </c>
      <c r="G155" s="26" t="inlineStr">
        <is>
          <t>记-24</t>
        </is>
      </c>
      <c r="H155" s="26" t="n"/>
      <c r="I155" s="45" t="n"/>
      <c r="J155" s="45" t="n">
        <v>1</v>
      </c>
    </row>
    <row r="156" s="83">
      <c r="A156" s="27" t="inlineStr">
        <is>
          <t>100201</t>
        </is>
      </c>
      <c r="B156" s="27" t="n"/>
      <c r="C156" s="27" t="inlineStr">
        <is>
          <t>2025-01-09</t>
        </is>
      </c>
      <c r="D156" s="27" t="inlineStr">
        <is>
          <t>Q1701</t>
        </is>
      </c>
      <c r="E156" s="27" t="n"/>
      <c r="F156" s="27" t="inlineStr">
        <is>
          <t>浙江精准学科技有限公司</t>
        </is>
      </c>
      <c r="G156" s="27" t="inlineStr">
        <is>
          <t>记-26</t>
        </is>
      </c>
      <c r="H156" s="27" t="n"/>
      <c r="I156" s="44" t="n"/>
      <c r="J156" s="45" t="n">
        <v>1</v>
      </c>
    </row>
    <row r="157" s="83">
      <c r="A157" s="26" t="inlineStr">
        <is>
          <t>100201</t>
        </is>
      </c>
      <c r="B157" s="26" t="n"/>
      <c r="C157" s="26" t="inlineStr">
        <is>
          <t>2025-01-15</t>
        </is>
      </c>
      <c r="D157" s="26" t="inlineStr">
        <is>
          <t>Q1701</t>
        </is>
      </c>
      <c r="E157" s="26" t="n"/>
      <c r="F157" s="26" t="inlineStr">
        <is>
          <t>浙江精准学科技有限公司</t>
        </is>
      </c>
      <c r="G157" s="26" t="inlineStr">
        <is>
          <t>记-52</t>
        </is>
      </c>
      <c r="H157" s="26" t="n"/>
      <c r="I157" s="45" t="n"/>
      <c r="J157" s="45" t="n">
        <v>1</v>
      </c>
    </row>
    <row r="158" s="83">
      <c r="A158" s="27" t="inlineStr">
        <is>
          <t>100201</t>
        </is>
      </c>
      <c r="B158" s="27" t="n"/>
      <c r="C158" s="27" t="inlineStr">
        <is>
          <t>2025-01-22</t>
        </is>
      </c>
      <c r="D158" s="27" t="inlineStr">
        <is>
          <t>Q1701</t>
        </is>
      </c>
      <c r="E158" s="27" t="n"/>
      <c r="F158" s="27" t="inlineStr">
        <is>
          <t>浙江精准学科技有限公司</t>
        </is>
      </c>
      <c r="G158" s="27" t="inlineStr">
        <is>
          <t>记-97</t>
        </is>
      </c>
      <c r="H158" s="27" t="n"/>
      <c r="I158" s="44" t="n"/>
      <c r="J158" s="45" t="n">
        <v>1</v>
      </c>
    </row>
    <row r="159" s="83">
      <c r="A159" s="26" t="inlineStr">
        <is>
          <t>100201</t>
        </is>
      </c>
      <c r="B159" s="26" t="n"/>
      <c r="C159" s="26" t="inlineStr">
        <is>
          <t>2025-01-23</t>
        </is>
      </c>
      <c r="D159" s="26" t="inlineStr">
        <is>
          <t>Q1701</t>
        </is>
      </c>
      <c r="E159" s="26" t="n"/>
      <c r="F159" s="26" t="inlineStr">
        <is>
          <t>浙江精准学科技有限公司</t>
        </is>
      </c>
      <c r="G159" s="26" t="inlineStr">
        <is>
          <t>记-120</t>
        </is>
      </c>
      <c r="H159" s="26" t="n"/>
      <c r="I159" s="45" t="n"/>
      <c r="J159" s="45" t="n">
        <v>1</v>
      </c>
    </row>
    <row r="160" s="83">
      <c r="A160" s="27" t="inlineStr">
        <is>
          <t>100201</t>
        </is>
      </c>
      <c r="B160" s="27" t="n"/>
      <c r="C160" s="27" t="inlineStr">
        <is>
          <t>2025-01-24</t>
        </is>
      </c>
      <c r="D160" s="27" t="inlineStr">
        <is>
          <t>Q1701</t>
        </is>
      </c>
      <c r="E160" s="27" t="n"/>
      <c r="F160" s="27" t="inlineStr">
        <is>
          <t>浙江精准学科技有限公司</t>
        </is>
      </c>
      <c r="G160" s="27" t="inlineStr">
        <is>
          <t>记-129</t>
        </is>
      </c>
      <c r="H160" s="27" t="n"/>
      <c r="I160" s="44" t="n"/>
      <c r="J160" s="45" t="n">
        <v>1</v>
      </c>
    </row>
    <row r="161" s="83">
      <c r="A161" s="26" t="inlineStr">
        <is>
          <t>100201</t>
        </is>
      </c>
      <c r="B161" s="26" t="n"/>
      <c r="C161" s="26" t="inlineStr">
        <is>
          <t>2025-01-24</t>
        </is>
      </c>
      <c r="D161" s="26" t="inlineStr">
        <is>
          <t>Q1701</t>
        </is>
      </c>
      <c r="E161" s="26" t="n"/>
      <c r="F161" s="26" t="inlineStr">
        <is>
          <t>浙江精准学科技有限公司</t>
        </is>
      </c>
      <c r="G161" s="26" t="inlineStr">
        <is>
          <t>记-130</t>
        </is>
      </c>
      <c r="H161" s="26" t="n"/>
      <c r="I161" s="45" t="n"/>
      <c r="J161" s="45" t="n">
        <v>1</v>
      </c>
    </row>
    <row r="162" s="83">
      <c r="A162" s="27" t="inlineStr">
        <is>
          <t>100201</t>
        </is>
      </c>
      <c r="B162" s="27" t="n"/>
      <c r="C162" s="27" t="inlineStr">
        <is>
          <t>2025-01-24</t>
        </is>
      </c>
      <c r="D162" s="27" t="inlineStr">
        <is>
          <t>Q1701</t>
        </is>
      </c>
      <c r="E162" s="27" t="n"/>
      <c r="F162" s="27" t="inlineStr">
        <is>
          <t>浙江精准学科技有限公司</t>
        </is>
      </c>
      <c r="G162" s="27" t="inlineStr">
        <is>
          <t>记-136</t>
        </is>
      </c>
      <c r="H162" s="27" t="n"/>
      <c r="I162" s="44" t="n"/>
      <c r="J162" s="45" t="n">
        <v>1</v>
      </c>
    </row>
    <row r="163" s="83">
      <c r="A163" s="26" t="inlineStr">
        <is>
          <t>100201</t>
        </is>
      </c>
      <c r="B163" s="26" t="n"/>
      <c r="C163" s="26" t="inlineStr">
        <is>
          <t>2025-01-24</t>
        </is>
      </c>
      <c r="D163" s="26" t="inlineStr">
        <is>
          <t>Q1701</t>
        </is>
      </c>
      <c r="E163" s="26" t="n"/>
      <c r="F163" s="26" t="inlineStr">
        <is>
          <t>浙江精准学科技有限公司</t>
        </is>
      </c>
      <c r="G163" s="26" t="inlineStr">
        <is>
          <t>记-139</t>
        </is>
      </c>
      <c r="H163" s="26" t="n"/>
      <c r="I163" s="45" t="n"/>
      <c r="J163" s="45" t="n">
        <v>1</v>
      </c>
    </row>
    <row r="164" s="83">
      <c r="A164" s="27" t="inlineStr">
        <is>
          <t>100201</t>
        </is>
      </c>
      <c r="B164" s="27" t="n"/>
      <c r="C164" s="27" t="inlineStr">
        <is>
          <t>2025-01-15</t>
        </is>
      </c>
      <c r="D164" s="27" t="inlineStr">
        <is>
          <t>Q1801</t>
        </is>
      </c>
      <c r="E164" s="27" t="n"/>
      <c r="F164" s="27" t="inlineStr">
        <is>
          <t>浙江精准学科技有限公司</t>
        </is>
      </c>
      <c r="G164" s="27" t="inlineStr">
        <is>
          <t>记-50</t>
        </is>
      </c>
      <c r="H164" s="27" t="n"/>
      <c r="I164" s="44" t="n"/>
      <c r="J164" s="45" t="n">
        <v>1</v>
      </c>
    </row>
    <row r="165" s="83">
      <c r="A165" s="26" t="inlineStr">
        <is>
          <t>100201</t>
        </is>
      </c>
      <c r="B165" s="26" t="n"/>
      <c r="C165" s="26" t="inlineStr">
        <is>
          <t>2025-01-23</t>
        </is>
      </c>
      <c r="D165" s="26" t="inlineStr">
        <is>
          <t>Q1802</t>
        </is>
      </c>
      <c r="E165" s="26" t="n"/>
      <c r="F165" s="26" t="inlineStr">
        <is>
          <t>浙江精准学科技有限公司</t>
        </is>
      </c>
      <c r="G165" s="26" t="inlineStr">
        <is>
          <t>记-105</t>
        </is>
      </c>
      <c r="H165" s="26" t="n"/>
      <c r="I165" s="45" t="n"/>
      <c r="J165" s="45" t="n">
        <v>1</v>
      </c>
    </row>
    <row r="166" s="83">
      <c r="A166" s="26" t="inlineStr">
        <is>
          <t>100201</t>
        </is>
      </c>
      <c r="B166" s="26" t="n"/>
      <c r="C166" s="26" t="inlineStr">
        <is>
          <t>2025-01-17</t>
        </is>
      </c>
      <c r="D166" s="26" t="inlineStr">
        <is>
          <t>Q1803</t>
        </is>
      </c>
      <c r="E166" s="26" t="n"/>
      <c r="F166" s="26" t="inlineStr">
        <is>
          <t>浙江精准学科技有限公司</t>
        </is>
      </c>
      <c r="G166" s="26" t="inlineStr">
        <is>
          <t>记-66</t>
        </is>
      </c>
      <c r="H166" s="26" t="n"/>
      <c r="I166" s="45" t="n"/>
      <c r="J166" s="45" t="n">
        <v>1</v>
      </c>
    </row>
    <row r="167" s="83">
      <c r="A167" s="27" t="inlineStr">
        <is>
          <t>100201</t>
        </is>
      </c>
      <c r="B167" s="27" t="n"/>
      <c r="C167" s="27" t="inlineStr">
        <is>
          <t>2025-01-07</t>
        </is>
      </c>
      <c r="D167" s="27" t="inlineStr">
        <is>
          <t>Q1805</t>
        </is>
      </c>
      <c r="E167" s="27" t="n"/>
      <c r="F167" s="27" t="inlineStr">
        <is>
          <t>浙江精准学科技有限公司</t>
        </is>
      </c>
      <c r="G167" s="27" t="inlineStr">
        <is>
          <t>记-19</t>
        </is>
      </c>
      <c r="H167" s="27" t="n"/>
      <c r="I167" s="44" t="n"/>
      <c r="J167" s="45" t="n">
        <v>1</v>
      </c>
    </row>
    <row r="168" s="83">
      <c r="A168" s="26" t="inlineStr">
        <is>
          <t>100201</t>
        </is>
      </c>
      <c r="B168" s="26" t="n"/>
      <c r="C168" s="26" t="inlineStr">
        <is>
          <t>2025-01-09</t>
        </is>
      </c>
      <c r="D168" s="26" t="inlineStr">
        <is>
          <t>Q1805</t>
        </is>
      </c>
      <c r="E168" s="26" t="n"/>
      <c r="F168" s="26" t="inlineStr">
        <is>
          <t>浙江精准学科技有限公司</t>
        </is>
      </c>
      <c r="G168" s="26" t="inlineStr">
        <is>
          <t>记-30</t>
        </is>
      </c>
      <c r="H168" s="26" t="n"/>
      <c r="I168" s="45" t="n"/>
      <c r="J168" s="45" t="n">
        <v>1</v>
      </c>
    </row>
    <row r="169" s="83">
      <c r="A169" s="27" t="inlineStr">
        <is>
          <t>100201</t>
        </is>
      </c>
      <c r="B169" s="27" t="n"/>
      <c r="C169" s="27" t="inlineStr">
        <is>
          <t>2025-01-14</t>
        </is>
      </c>
      <c r="D169" s="27" t="inlineStr">
        <is>
          <t>Q1805</t>
        </is>
      </c>
      <c r="E169" s="27" t="n"/>
      <c r="F169" s="27" t="inlineStr">
        <is>
          <t>浙江精准学科技有限公司</t>
        </is>
      </c>
      <c r="G169" s="27" t="inlineStr">
        <is>
          <t>记-42</t>
        </is>
      </c>
      <c r="H169" s="27" t="n"/>
      <c r="I169" s="44" t="n"/>
      <c r="J169" s="45" t="n">
        <v>1</v>
      </c>
    </row>
    <row r="170" s="83">
      <c r="A170" s="26" t="inlineStr">
        <is>
          <t>100201</t>
        </is>
      </c>
      <c r="B170" s="26" t="n"/>
      <c r="C170" s="26" t="inlineStr">
        <is>
          <t>2025-01-03</t>
        </is>
      </c>
      <c r="D170" s="26" t="inlineStr">
        <is>
          <t>Q1902</t>
        </is>
      </c>
      <c r="E170" s="26" t="n"/>
      <c r="F170" s="26" t="inlineStr">
        <is>
          <t>浙江精准学科技有限公司</t>
        </is>
      </c>
      <c r="G170" s="26" t="inlineStr">
        <is>
          <t>记-7</t>
        </is>
      </c>
      <c r="H170" s="26" t="n"/>
      <c r="I170" s="45" t="n"/>
      <c r="J170" s="45" t="n">
        <v>1</v>
      </c>
    </row>
    <row r="171" s="83">
      <c r="A171" s="27" t="inlineStr">
        <is>
          <t>100201</t>
        </is>
      </c>
      <c r="B171" s="27" t="n"/>
      <c r="C171" s="27" t="inlineStr">
        <is>
          <t>2025-01-10</t>
        </is>
      </c>
      <c r="D171" s="27" t="inlineStr">
        <is>
          <t>Q1902</t>
        </is>
      </c>
      <c r="E171" s="27" t="n"/>
      <c r="F171" s="27" t="inlineStr">
        <is>
          <t>浙江精准学科技有限公司</t>
        </is>
      </c>
      <c r="G171" s="27" t="inlineStr">
        <is>
          <t>记-37</t>
        </is>
      </c>
      <c r="H171" s="27" t="n"/>
      <c r="I171" s="44" t="n"/>
      <c r="J171" s="45" t="n">
        <v>1</v>
      </c>
    </row>
    <row r="172" s="83">
      <c r="A172" s="26" t="inlineStr">
        <is>
          <t>100201</t>
        </is>
      </c>
      <c r="B172" s="26" t="n"/>
      <c r="C172" s="26" t="inlineStr">
        <is>
          <t>2025-01-24</t>
        </is>
      </c>
      <c r="D172" s="26" t="inlineStr">
        <is>
          <t>Q1904</t>
        </is>
      </c>
      <c r="E172" s="26" t="n"/>
      <c r="F172" s="26" t="inlineStr">
        <is>
          <t>浙江精准学科技有限公司</t>
        </is>
      </c>
      <c r="G172" s="26" t="inlineStr">
        <is>
          <t>记-147</t>
        </is>
      </c>
      <c r="H172" s="26" t="n"/>
      <c r="I172" s="45" t="n"/>
      <c r="J172" s="45" t="n">
        <v>1</v>
      </c>
    </row>
    <row r="173" s="83">
      <c r="A173" s="27" t="inlineStr">
        <is>
          <t>100201</t>
        </is>
      </c>
      <c r="B173" s="27" t="n"/>
      <c r="C173" s="27" t="inlineStr">
        <is>
          <t>2025-01-06</t>
        </is>
      </c>
      <c r="D173" s="27" t="inlineStr">
        <is>
          <t>Q2002</t>
        </is>
      </c>
      <c r="E173" s="27" t="n"/>
      <c r="F173" s="27" t="inlineStr">
        <is>
          <t>浙江精准学科技有限公司</t>
        </is>
      </c>
      <c r="G173" s="27" t="inlineStr">
        <is>
          <t>记-10</t>
        </is>
      </c>
      <c r="H173" s="27" t="n"/>
      <c r="I173" s="44" t="n"/>
      <c r="J173" s="45" t="n">
        <v>1</v>
      </c>
    </row>
    <row r="174" s="83">
      <c r="A174" s="26" t="inlineStr">
        <is>
          <t>100201</t>
        </is>
      </c>
      <c r="B174" s="26" t="n"/>
      <c r="C174" s="26" t="inlineStr">
        <is>
          <t>2025-01-06</t>
        </is>
      </c>
      <c r="D174" s="26" t="inlineStr">
        <is>
          <t>Q2002</t>
        </is>
      </c>
      <c r="E174" s="26" t="n"/>
      <c r="F174" s="26" t="inlineStr">
        <is>
          <t>浙江精准学科技有限公司</t>
        </is>
      </c>
      <c r="G174" s="26" t="inlineStr">
        <is>
          <t>记-11</t>
        </is>
      </c>
      <c r="H174" s="26" t="n"/>
      <c r="I174" s="45" t="n"/>
      <c r="J174" s="45" t="n">
        <v>1</v>
      </c>
    </row>
    <row r="175" s="83">
      <c r="A175" s="27" t="inlineStr">
        <is>
          <t>100201</t>
        </is>
      </c>
      <c r="B175" s="27" t="n"/>
      <c r="C175" s="27" t="inlineStr">
        <is>
          <t>2025-01-06</t>
        </is>
      </c>
      <c r="D175" s="27" t="inlineStr">
        <is>
          <t>Q2002</t>
        </is>
      </c>
      <c r="E175" s="27" t="n"/>
      <c r="F175" s="27" t="inlineStr">
        <is>
          <t>浙江精准学科技有限公司</t>
        </is>
      </c>
      <c r="G175" s="27" t="inlineStr">
        <is>
          <t>记-16</t>
        </is>
      </c>
      <c r="H175" s="27" t="n"/>
      <c r="I175" s="44" t="n"/>
      <c r="J175" s="45" t="n">
        <v>1</v>
      </c>
    </row>
    <row r="176" s="83">
      <c r="A176" s="26" t="inlineStr">
        <is>
          <t>100201</t>
        </is>
      </c>
      <c r="B176" s="26" t="n"/>
      <c r="C176" s="26" t="inlineStr">
        <is>
          <t>2025-01-09</t>
        </is>
      </c>
      <c r="D176" s="26" t="inlineStr">
        <is>
          <t>Q2002</t>
        </is>
      </c>
      <c r="E176" s="26" t="n"/>
      <c r="F176" s="26" t="inlineStr">
        <is>
          <t>浙江精准学科技有限公司</t>
        </is>
      </c>
      <c r="G176" s="26" t="inlineStr">
        <is>
          <t>记-29</t>
        </is>
      </c>
      <c r="H176" s="26" t="n"/>
      <c r="I176" s="45" t="n"/>
      <c r="J176" s="45" t="n">
        <v>1</v>
      </c>
    </row>
    <row r="177" s="83">
      <c r="A177" s="27" t="inlineStr">
        <is>
          <t>100201</t>
        </is>
      </c>
      <c r="B177" s="27" t="n"/>
      <c r="C177" s="27" t="inlineStr">
        <is>
          <t>2025-01-10</t>
        </is>
      </c>
      <c r="D177" s="27" t="inlineStr">
        <is>
          <t>Q2002</t>
        </is>
      </c>
      <c r="E177" s="27" t="n"/>
      <c r="F177" s="27" t="inlineStr">
        <is>
          <t>浙江精准学科技有限公司</t>
        </is>
      </c>
      <c r="G177" s="27" t="inlineStr">
        <is>
          <t>记-36</t>
        </is>
      </c>
      <c r="H177" s="27" t="n"/>
      <c r="I177" s="44" t="n"/>
      <c r="J177" s="45" t="n">
        <v>1</v>
      </c>
    </row>
    <row r="178" s="83">
      <c r="A178" s="26" t="inlineStr">
        <is>
          <t>100201</t>
        </is>
      </c>
      <c r="B178" s="26" t="n"/>
      <c r="C178" s="26" t="inlineStr">
        <is>
          <t>2025-01-10</t>
        </is>
      </c>
      <c r="D178" s="26" t="inlineStr">
        <is>
          <t>Q2002</t>
        </is>
      </c>
      <c r="E178" s="26" t="n"/>
      <c r="F178" s="26" t="inlineStr">
        <is>
          <t>浙江精准学科技有限公司</t>
        </is>
      </c>
      <c r="G178" s="26" t="inlineStr">
        <is>
          <t>记-38</t>
        </is>
      </c>
      <c r="H178" s="26" t="n"/>
      <c r="I178" s="45" t="n"/>
      <c r="J178" s="45" t="n">
        <v>1</v>
      </c>
    </row>
    <row r="179" s="83">
      <c r="A179" s="27" t="inlineStr">
        <is>
          <t>100201</t>
        </is>
      </c>
      <c r="B179" s="27" t="n"/>
      <c r="C179" s="27" t="inlineStr">
        <is>
          <t>2025-01-10</t>
        </is>
      </c>
      <c r="D179" s="27" t="inlineStr">
        <is>
          <t>Q2002</t>
        </is>
      </c>
      <c r="E179" s="27" t="n"/>
      <c r="F179" s="27" t="inlineStr">
        <is>
          <t>浙江精准学科技有限公司</t>
        </is>
      </c>
      <c r="G179" s="27" t="inlineStr">
        <is>
          <t>记-39</t>
        </is>
      </c>
      <c r="H179" s="27" t="n"/>
      <c r="I179" s="44" t="n"/>
      <c r="J179" s="45" t="n">
        <v>1</v>
      </c>
    </row>
    <row r="180" s="83">
      <c r="A180" s="26" t="inlineStr">
        <is>
          <t>100201</t>
        </is>
      </c>
      <c r="B180" s="26" t="n"/>
      <c r="C180" s="26" t="inlineStr">
        <is>
          <t>2025-01-14</t>
        </is>
      </c>
      <c r="D180" s="26" t="inlineStr">
        <is>
          <t>Q2002</t>
        </is>
      </c>
      <c r="E180" s="26" t="n"/>
      <c r="F180" s="26" t="inlineStr">
        <is>
          <t>浙江精准学科技有限公司</t>
        </is>
      </c>
      <c r="G180" s="26" t="inlineStr">
        <is>
          <t>记-43</t>
        </is>
      </c>
      <c r="H180" s="26" t="n"/>
      <c r="I180" s="45" t="n"/>
      <c r="J180" s="45" t="n">
        <v>1</v>
      </c>
    </row>
    <row r="181" s="83">
      <c r="A181" s="27" t="inlineStr">
        <is>
          <t>100201</t>
        </is>
      </c>
      <c r="B181" s="27" t="n"/>
      <c r="C181" s="27" t="inlineStr">
        <is>
          <t>2025-01-17</t>
        </is>
      </c>
      <c r="D181" s="27" t="inlineStr">
        <is>
          <t>Q2002</t>
        </is>
      </c>
      <c r="E181" s="27" t="n"/>
      <c r="F181" s="27" t="inlineStr">
        <is>
          <t>浙江精准学科技有限公司</t>
        </is>
      </c>
      <c r="G181" s="27" t="inlineStr">
        <is>
          <t>记-58</t>
        </is>
      </c>
      <c r="H181" s="27" t="n"/>
      <c r="I181" s="44" t="n"/>
      <c r="J181" s="45" t="n">
        <v>1</v>
      </c>
    </row>
    <row r="182" s="83">
      <c r="A182" s="26" t="inlineStr">
        <is>
          <t>100201</t>
        </is>
      </c>
      <c r="B182" s="26" t="n"/>
      <c r="C182" s="26" t="inlineStr">
        <is>
          <t>2025-01-17</t>
        </is>
      </c>
      <c r="D182" s="26" t="inlineStr">
        <is>
          <t>Q2002</t>
        </is>
      </c>
      <c r="E182" s="26" t="n"/>
      <c r="F182" s="26" t="inlineStr">
        <is>
          <t>浙江精准学科技有限公司</t>
        </is>
      </c>
      <c r="G182" s="26" t="inlineStr">
        <is>
          <t>记-60</t>
        </is>
      </c>
      <c r="H182" s="26" t="n"/>
      <c r="I182" s="45" t="n"/>
      <c r="J182" s="45" t="n">
        <v>1</v>
      </c>
    </row>
    <row r="183" s="83">
      <c r="A183" s="27" t="inlineStr">
        <is>
          <t>100201</t>
        </is>
      </c>
      <c r="B183" s="27" t="n"/>
      <c r="C183" s="27" t="inlineStr">
        <is>
          <t>2025-01-17</t>
        </is>
      </c>
      <c r="D183" s="27" t="inlineStr">
        <is>
          <t>Q2002</t>
        </is>
      </c>
      <c r="E183" s="27" t="n"/>
      <c r="F183" s="27" t="inlineStr">
        <is>
          <t>浙江精准学科技有限公司</t>
        </is>
      </c>
      <c r="G183" s="27" t="inlineStr">
        <is>
          <t>记-68</t>
        </is>
      </c>
      <c r="H183" s="27" t="n"/>
      <c r="I183" s="44" t="n"/>
      <c r="J183" s="45" t="n">
        <v>1</v>
      </c>
    </row>
    <row r="184" s="83">
      <c r="A184" s="26" t="inlineStr">
        <is>
          <t>100201</t>
        </is>
      </c>
      <c r="B184" s="26" t="n"/>
      <c r="C184" s="26" t="inlineStr">
        <is>
          <t>2025-01-20</t>
        </is>
      </c>
      <c r="D184" s="26" t="inlineStr">
        <is>
          <t>Q2002</t>
        </is>
      </c>
      <c r="E184" s="26" t="n"/>
      <c r="F184" s="26" t="inlineStr">
        <is>
          <t>浙江精准学科技有限公司</t>
        </is>
      </c>
      <c r="G184" s="26" t="inlineStr">
        <is>
          <t>记-73</t>
        </is>
      </c>
      <c r="H184" s="26" t="n"/>
      <c r="I184" s="45" t="n"/>
      <c r="J184" s="45" t="n">
        <v>1</v>
      </c>
    </row>
    <row r="185" s="83">
      <c r="A185" s="27" t="inlineStr">
        <is>
          <t>100201</t>
        </is>
      </c>
      <c r="B185" s="27" t="n"/>
      <c r="C185" s="27" t="inlineStr">
        <is>
          <t>2025-01-22</t>
        </is>
      </c>
      <c r="D185" s="27" t="inlineStr">
        <is>
          <t>Q2002</t>
        </is>
      </c>
      <c r="E185" s="27" t="n"/>
      <c r="F185" s="27" t="inlineStr">
        <is>
          <t>浙江精准学科技有限公司</t>
        </is>
      </c>
      <c r="G185" s="27" t="inlineStr">
        <is>
          <t>记-95</t>
        </is>
      </c>
      <c r="H185" s="27" t="n"/>
      <c r="I185" s="44" t="n"/>
      <c r="J185" s="45" t="n">
        <v>1</v>
      </c>
    </row>
    <row r="186" s="83">
      <c r="A186" s="27" t="inlineStr">
        <is>
          <t>100201</t>
        </is>
      </c>
      <c r="B186" s="27" t="n"/>
      <c r="C186" s="27" t="inlineStr">
        <is>
          <t>2025-01-17</t>
        </is>
      </c>
      <c r="D186" s="27" t="inlineStr">
        <is>
          <t>Q2003</t>
        </is>
      </c>
      <c r="E186" s="27" t="n"/>
      <c r="F186" s="27" t="inlineStr">
        <is>
          <t>浙江精准学科技有限公司</t>
        </is>
      </c>
      <c r="G186" s="27" t="inlineStr">
        <is>
          <t>记-63</t>
        </is>
      </c>
      <c r="H186" s="27" t="n"/>
      <c r="I186" s="44" t="n"/>
      <c r="J186" s="45" t="n">
        <v>1</v>
      </c>
    </row>
    <row r="187" s="83">
      <c r="A187" s="27" t="inlineStr">
        <is>
          <t>100201</t>
        </is>
      </c>
      <c r="B187" s="27" t="n"/>
      <c r="C187" s="27" t="inlineStr">
        <is>
          <t>2025-01-17</t>
        </is>
      </c>
      <c r="D187" s="27" t="inlineStr">
        <is>
          <t>Q2005</t>
        </is>
      </c>
      <c r="E187" s="27" t="n"/>
      <c r="F187" s="27" t="inlineStr">
        <is>
          <t>浙江精准学科技有限公司</t>
        </is>
      </c>
      <c r="G187" s="27" t="inlineStr">
        <is>
          <t>记-64</t>
        </is>
      </c>
      <c r="H187" s="27" t="n"/>
      <c r="I187" s="44" t="n"/>
      <c r="J187" s="45" t="n">
        <v>1</v>
      </c>
    </row>
    <row r="188" s="83">
      <c r="A188" s="27" t="inlineStr">
        <is>
          <t>100201</t>
        </is>
      </c>
      <c r="B188" s="27" t="n"/>
      <c r="C188" s="27" t="inlineStr">
        <is>
          <t>2025-01-06</t>
        </is>
      </c>
      <c r="D188" s="27" t="inlineStr">
        <is>
          <t>Q2101</t>
        </is>
      </c>
      <c r="E188" s="27" t="n"/>
      <c r="F188" s="27" t="inlineStr">
        <is>
          <t>浙江精准学科技有限公司</t>
        </is>
      </c>
      <c r="G188" s="27" t="inlineStr">
        <is>
          <t>记-15</t>
        </is>
      </c>
      <c r="H188" s="27" t="n"/>
      <c r="I188" s="44" t="n"/>
      <c r="J188" s="45" t="n">
        <v>1</v>
      </c>
    </row>
    <row r="189" s="83">
      <c r="A189" s="26" t="inlineStr">
        <is>
          <t>100201</t>
        </is>
      </c>
      <c r="B189" s="26" t="n"/>
      <c r="C189" s="26" t="inlineStr">
        <is>
          <t>2025-01-10</t>
        </is>
      </c>
      <c r="D189" s="26" t="inlineStr">
        <is>
          <t>Q2101</t>
        </is>
      </c>
      <c r="E189" s="26" t="n"/>
      <c r="F189" s="26" t="inlineStr">
        <is>
          <t>浙江精准学科技有限公司</t>
        </is>
      </c>
      <c r="G189" s="26" t="inlineStr">
        <is>
          <t>记-33</t>
        </is>
      </c>
      <c r="H189" s="26" t="n"/>
      <c r="I189" s="45" t="n"/>
      <c r="J189" s="45" t="n">
        <v>1</v>
      </c>
    </row>
    <row r="190" s="83">
      <c r="A190" s="27" t="inlineStr">
        <is>
          <t>100201</t>
        </is>
      </c>
      <c r="B190" s="27" t="n"/>
      <c r="C190" s="27" t="inlineStr">
        <is>
          <t>2025-01-23</t>
        </is>
      </c>
      <c r="D190" s="27" t="inlineStr">
        <is>
          <t>Q2101</t>
        </is>
      </c>
      <c r="E190" s="27" t="n"/>
      <c r="F190" s="27" t="inlineStr">
        <is>
          <t>浙江精准学科技有限公司</t>
        </is>
      </c>
      <c r="G190" s="27" t="inlineStr">
        <is>
          <t>记-113</t>
        </is>
      </c>
      <c r="H190" s="27" t="n"/>
      <c r="I190" s="44" t="n"/>
      <c r="J190" s="45" t="n">
        <v>1</v>
      </c>
    </row>
    <row r="191" s="83">
      <c r="A191" s="26" t="inlineStr">
        <is>
          <t>100201</t>
        </is>
      </c>
      <c r="B191" s="26" t="n"/>
      <c r="C191" s="26" t="inlineStr">
        <is>
          <t>2025-01-22</t>
        </is>
      </c>
      <c r="D191" s="26" t="inlineStr">
        <is>
          <t>Q2102</t>
        </is>
      </c>
      <c r="E191" s="26" t="n"/>
      <c r="F191" s="26" t="inlineStr">
        <is>
          <t>浙江精准学科技有限公司</t>
        </is>
      </c>
      <c r="G191" s="26" t="inlineStr">
        <is>
          <t>记-92</t>
        </is>
      </c>
      <c r="H191" s="26" t="n"/>
      <c r="I191" s="45" t="n"/>
      <c r="J191" s="45" t="n">
        <v>1</v>
      </c>
    </row>
    <row r="192" s="83">
      <c r="A192" s="26" t="inlineStr">
        <is>
          <t>100201</t>
        </is>
      </c>
      <c r="B192" s="26" t="n"/>
      <c r="C192" s="26" t="inlineStr">
        <is>
          <t>2025-01-16</t>
        </is>
      </c>
      <c r="D192" s="26" t="inlineStr">
        <is>
          <t>Q2302</t>
        </is>
      </c>
      <c r="E192" s="26" t="n"/>
      <c r="F192" s="26" t="inlineStr">
        <is>
          <t>浙江精准学科技有限公司</t>
        </is>
      </c>
      <c r="G192" s="26" t="inlineStr">
        <is>
          <t>记-55</t>
        </is>
      </c>
      <c r="H192" s="26" t="n"/>
      <c r="I192" s="45" t="n"/>
      <c r="J192" s="45" t="n">
        <v>1</v>
      </c>
    </row>
    <row r="193" s="83">
      <c r="A193" s="27" t="inlineStr">
        <is>
          <t>100201</t>
        </is>
      </c>
      <c r="B193" s="27" t="n"/>
      <c r="C193" s="27" t="inlineStr">
        <is>
          <t>2025-01-24</t>
        </is>
      </c>
      <c r="D193" s="27" t="inlineStr">
        <is>
          <t>Q2501</t>
        </is>
      </c>
      <c r="E193" s="27" t="n"/>
      <c r="F193" s="27" t="inlineStr">
        <is>
          <t>浙江精准学科技有限公司</t>
        </is>
      </c>
      <c r="G193" s="27" t="inlineStr">
        <is>
          <t>记-149</t>
        </is>
      </c>
      <c r="H193" s="27" t="n"/>
      <c r="I193" s="44" t="n"/>
      <c r="J193" s="45" t="n">
        <v>1</v>
      </c>
    </row>
    <row r="194" s="83">
      <c r="A194" s="27" t="inlineStr">
        <is>
          <t>100201</t>
        </is>
      </c>
      <c r="B194" s="27" t="n"/>
      <c r="C194" s="27" t="inlineStr">
        <is>
          <t>2025-01-03</t>
        </is>
      </c>
      <c r="D194" s="27" t="inlineStr">
        <is>
          <t>Q2601</t>
        </is>
      </c>
      <c r="E194" s="27" t="n"/>
      <c r="F194" s="27" t="inlineStr">
        <is>
          <t>浙江精准学科技有限公司</t>
        </is>
      </c>
      <c r="G194" s="27" t="inlineStr">
        <is>
          <t>记-5</t>
        </is>
      </c>
      <c r="H194" s="27" t="n"/>
      <c r="I194" s="44" t="n"/>
      <c r="J194" s="45" t="n">
        <v>1</v>
      </c>
    </row>
    <row r="195" s="83">
      <c r="A195" s="26" t="inlineStr">
        <is>
          <t>100201</t>
        </is>
      </c>
      <c r="B195" s="26" t="n"/>
      <c r="C195" s="26" t="inlineStr">
        <is>
          <t>2025-01-06</t>
        </is>
      </c>
      <c r="D195" s="26" t="inlineStr">
        <is>
          <t>Q2601</t>
        </is>
      </c>
      <c r="E195" s="26" t="n"/>
      <c r="F195" s="26" t="inlineStr">
        <is>
          <t>浙江精准学科技有限公司</t>
        </is>
      </c>
      <c r="G195" s="26" t="inlineStr">
        <is>
          <t>记-13</t>
        </is>
      </c>
      <c r="H195" s="26" t="n"/>
      <c r="I195" s="45" t="n"/>
      <c r="J195" s="45" t="n">
        <v>1</v>
      </c>
    </row>
    <row r="196" s="83">
      <c r="A196" s="27" t="inlineStr">
        <is>
          <t>100201</t>
        </is>
      </c>
      <c r="B196" s="27" t="n"/>
      <c r="C196" s="27" t="inlineStr">
        <is>
          <t>2025-01-06</t>
        </is>
      </c>
      <c r="D196" s="27" t="inlineStr">
        <is>
          <t>Q2601</t>
        </is>
      </c>
      <c r="E196" s="27" t="n"/>
      <c r="F196" s="27" t="inlineStr">
        <is>
          <t>浙江精准学科技有限公司</t>
        </is>
      </c>
      <c r="G196" s="27" t="inlineStr">
        <is>
          <t>记-14</t>
        </is>
      </c>
      <c r="H196" s="27" t="n"/>
      <c r="I196" s="44" t="n"/>
      <c r="J196" s="45" t="n">
        <v>1</v>
      </c>
    </row>
    <row r="197" s="83">
      <c r="A197" s="26" t="inlineStr">
        <is>
          <t>100201</t>
        </is>
      </c>
      <c r="B197" s="26" t="n"/>
      <c r="C197" s="26" t="inlineStr">
        <is>
          <t>2025-01-07</t>
        </is>
      </c>
      <c r="D197" s="26" t="inlineStr">
        <is>
          <t>Q2601</t>
        </is>
      </c>
      <c r="E197" s="26" t="n"/>
      <c r="F197" s="26" t="inlineStr">
        <is>
          <t>浙江精准学科技有限公司</t>
        </is>
      </c>
      <c r="G197" s="26" t="inlineStr">
        <is>
          <t>记-21</t>
        </is>
      </c>
      <c r="H197" s="26" t="n"/>
      <c r="I197" s="45" t="n"/>
      <c r="J197" s="45" t="n">
        <v>1</v>
      </c>
    </row>
    <row r="198" s="83">
      <c r="A198" s="27" t="inlineStr">
        <is>
          <t>100201</t>
        </is>
      </c>
      <c r="B198" s="27" t="n"/>
      <c r="C198" s="27" t="inlineStr">
        <is>
          <t>2025-01-21</t>
        </is>
      </c>
      <c r="D198" s="27" t="inlineStr">
        <is>
          <t>Q2601</t>
        </is>
      </c>
      <c r="E198" s="27" t="n"/>
      <c r="F198" s="27" t="inlineStr">
        <is>
          <t>浙江精准学科技有限公司</t>
        </is>
      </c>
      <c r="G198" s="27" t="inlineStr">
        <is>
          <t>记-82</t>
        </is>
      </c>
      <c r="H198" s="27" t="n"/>
      <c r="I198" s="44" t="n"/>
      <c r="J198" s="45" t="n">
        <v>1</v>
      </c>
    </row>
    <row r="199" s="83">
      <c r="A199" s="26" t="inlineStr">
        <is>
          <t>100201</t>
        </is>
      </c>
      <c r="B199" s="26" t="n"/>
      <c r="C199" s="26" t="inlineStr">
        <is>
          <t>2025-01-21</t>
        </is>
      </c>
      <c r="D199" s="26" t="inlineStr">
        <is>
          <t>Q2601</t>
        </is>
      </c>
      <c r="E199" s="26" t="n"/>
      <c r="F199" s="26" t="inlineStr">
        <is>
          <t>浙江精准学科技有限公司</t>
        </is>
      </c>
      <c r="G199" s="26" t="inlineStr">
        <is>
          <t>记-84</t>
        </is>
      </c>
      <c r="H199" s="26" t="n"/>
      <c r="I199" s="45" t="n"/>
      <c r="J199" s="45" t="n">
        <v>1</v>
      </c>
    </row>
    <row r="200" s="83">
      <c r="A200" s="27" t="inlineStr">
        <is>
          <t>100201</t>
        </is>
      </c>
      <c r="B200" s="27" t="n"/>
      <c r="C200" s="27" t="inlineStr">
        <is>
          <t>2025-01-24</t>
        </is>
      </c>
      <c r="D200" s="27" t="inlineStr">
        <is>
          <t>Q2601</t>
        </is>
      </c>
      <c r="E200" s="27" t="n"/>
      <c r="F200" s="27" t="inlineStr">
        <is>
          <t>浙江精准学科技有限公司</t>
        </is>
      </c>
      <c r="G200" s="27" t="inlineStr">
        <is>
          <t>记-125</t>
        </is>
      </c>
      <c r="H200" s="27" t="n"/>
      <c r="I200" s="44" t="n"/>
      <c r="J200" s="45" t="n">
        <v>1</v>
      </c>
    </row>
    <row r="201" s="83">
      <c r="A201" s="26" t="inlineStr">
        <is>
          <t>100201</t>
        </is>
      </c>
      <c r="B201" s="26" t="n"/>
      <c r="C201" s="26" t="inlineStr">
        <is>
          <t>2025-01-24</t>
        </is>
      </c>
      <c r="D201" s="26" t="inlineStr">
        <is>
          <t>Q2601</t>
        </is>
      </c>
      <c r="E201" s="26" t="n"/>
      <c r="F201" s="26" t="inlineStr">
        <is>
          <t>浙江精准学科技有限公司</t>
        </is>
      </c>
      <c r="G201" s="26" t="inlineStr">
        <is>
          <t>记-127</t>
        </is>
      </c>
      <c r="H201" s="26" t="n"/>
      <c r="I201" s="45" t="n"/>
      <c r="J201" s="45" t="n">
        <v>1</v>
      </c>
    </row>
    <row r="202" s="83">
      <c r="A202" s="27" t="inlineStr">
        <is>
          <t>100201</t>
        </is>
      </c>
      <c r="B202" s="27" t="n"/>
      <c r="C202" s="27" t="inlineStr">
        <is>
          <t>2025-01-24</t>
        </is>
      </c>
      <c r="D202" s="27" t="inlineStr">
        <is>
          <t>Q2601</t>
        </is>
      </c>
      <c r="E202" s="27" t="n"/>
      <c r="F202" s="27" t="inlineStr">
        <is>
          <t>浙江精准学科技有限公司</t>
        </is>
      </c>
      <c r="G202" s="27" t="inlineStr">
        <is>
          <t>记-141</t>
        </is>
      </c>
      <c r="H202" s="27" t="n"/>
      <c r="I202" s="44" t="n"/>
      <c r="J202" s="45" t="n">
        <v>1</v>
      </c>
    </row>
    <row r="203" s="83">
      <c r="A203" s="27" t="inlineStr">
        <is>
          <t>100201</t>
        </is>
      </c>
      <c r="B203" s="27" t="n"/>
      <c r="C203" s="27" t="inlineStr">
        <is>
          <t>2025-01-06</t>
        </is>
      </c>
      <c r="D203" s="27" t="inlineStr">
        <is>
          <t>Q2701</t>
        </is>
      </c>
      <c r="E203" s="27" t="n"/>
      <c r="F203" s="27" t="inlineStr">
        <is>
          <t>浙江精准学科技有限公司</t>
        </is>
      </c>
      <c r="G203" s="27" t="inlineStr">
        <is>
          <t>记-17</t>
        </is>
      </c>
      <c r="H203" s="27" t="n"/>
      <c r="I203" s="44" t="n"/>
      <c r="J203" s="45" t="n">
        <v>1</v>
      </c>
    </row>
    <row r="204" s="83">
      <c r="A204" s="26" t="inlineStr">
        <is>
          <t>100201</t>
        </is>
      </c>
      <c r="B204" s="26" t="n"/>
      <c r="C204" s="26" t="inlineStr">
        <is>
          <t>2025-01-07</t>
        </is>
      </c>
      <c r="D204" s="26" t="inlineStr">
        <is>
          <t>Q2701</t>
        </is>
      </c>
      <c r="E204" s="26" t="n"/>
      <c r="F204" s="26" t="inlineStr">
        <is>
          <t>浙江精准学科技有限公司</t>
        </is>
      </c>
      <c r="G204" s="26" t="inlineStr">
        <is>
          <t>记-18</t>
        </is>
      </c>
      <c r="H204" s="26" t="n"/>
      <c r="I204" s="45" t="n"/>
      <c r="J204" s="45" t="n">
        <v>1</v>
      </c>
    </row>
    <row r="205" s="83">
      <c r="A205" s="27" t="inlineStr">
        <is>
          <t>100201</t>
        </is>
      </c>
      <c r="B205" s="27" t="n"/>
      <c r="C205" s="27" t="inlineStr">
        <is>
          <t>2025-01-20</t>
        </is>
      </c>
      <c r="D205" s="27" t="inlineStr">
        <is>
          <t>Q2701</t>
        </is>
      </c>
      <c r="E205" s="27" t="n"/>
      <c r="F205" s="27" t="inlineStr">
        <is>
          <t>浙江精准学科技有限公司</t>
        </is>
      </c>
      <c r="G205" s="27" t="inlineStr">
        <is>
          <t>记-77</t>
        </is>
      </c>
      <c r="H205" s="27" t="n"/>
      <c r="I205" s="44" t="n"/>
      <c r="J205" s="45" t="n">
        <v>1</v>
      </c>
    </row>
    <row r="206" s="83">
      <c r="A206" s="26" t="inlineStr">
        <is>
          <t>100201</t>
        </is>
      </c>
      <c r="B206" s="26" t="n"/>
      <c r="C206" s="26" t="inlineStr">
        <is>
          <t>2025-01-22</t>
        </is>
      </c>
      <c r="D206" s="26" t="inlineStr">
        <is>
          <t>Q2701</t>
        </is>
      </c>
      <c r="E206" s="26" t="n"/>
      <c r="F206" s="26" t="inlineStr">
        <is>
          <t>浙江精准学科技有限公司</t>
        </is>
      </c>
      <c r="G206" s="26" t="inlineStr">
        <is>
          <t>记-94</t>
        </is>
      </c>
      <c r="H206" s="26" t="n"/>
      <c r="I206" s="45" t="n"/>
      <c r="J206" s="45" t="n">
        <v>1</v>
      </c>
    </row>
    <row r="207" s="83">
      <c r="A207" s="27" t="inlineStr">
        <is>
          <t>100201</t>
        </is>
      </c>
      <c r="B207" s="27" t="n"/>
      <c r="C207" s="27" t="inlineStr">
        <is>
          <t>2025-01-24</t>
        </is>
      </c>
      <c r="D207" s="27" t="inlineStr">
        <is>
          <t>Q2701</t>
        </is>
      </c>
      <c r="E207" s="27" t="n"/>
      <c r="F207" s="27" t="inlineStr">
        <is>
          <t>浙江精准学科技有限公司</t>
        </is>
      </c>
      <c r="G207" s="27" t="inlineStr">
        <is>
          <t>记-143</t>
        </is>
      </c>
      <c r="H207" s="27" t="n"/>
      <c r="I207" s="44" t="n"/>
      <c r="J207" s="45" t="n">
        <v>1</v>
      </c>
    </row>
    <row r="208" s="83">
      <c r="A208" s="26" t="inlineStr">
        <is>
          <t>100201</t>
        </is>
      </c>
      <c r="B208" s="26" t="n"/>
      <c r="C208" s="26" t="inlineStr">
        <is>
          <t>2025-01-24</t>
        </is>
      </c>
      <c r="D208" s="26" t="inlineStr">
        <is>
          <t>Q2701</t>
        </is>
      </c>
      <c r="E208" s="26" t="n"/>
      <c r="F208" s="26" t="inlineStr">
        <is>
          <t>浙江精准学科技有限公司</t>
        </is>
      </c>
      <c r="G208" s="26" t="inlineStr">
        <is>
          <t>记-145</t>
        </is>
      </c>
      <c r="H208" s="26" t="n"/>
      <c r="I208" s="45" t="n"/>
      <c r="J208" s="45" t="n">
        <v>1</v>
      </c>
    </row>
    <row r="209" s="83">
      <c r="A209" s="26" t="inlineStr">
        <is>
          <t>100201</t>
        </is>
      </c>
      <c r="B209" s="26" t="n"/>
      <c r="C209" s="26" t="inlineStr">
        <is>
          <t>2025-01-20</t>
        </is>
      </c>
      <c r="D209" s="26" t="inlineStr">
        <is>
          <t>Q2702</t>
        </is>
      </c>
      <c r="E209" s="26" t="n"/>
      <c r="F209" s="26" t="inlineStr">
        <is>
          <t>浙江精准学科技有限公司</t>
        </is>
      </c>
      <c r="G209" s="26" t="inlineStr">
        <is>
          <t>记-74</t>
        </is>
      </c>
      <c r="H209" s="26" t="n"/>
      <c r="I209" s="45" t="n"/>
      <c r="J209" s="45" t="n">
        <v>1</v>
      </c>
    </row>
    <row r="210" s="83">
      <c r="A210" s="27" t="inlineStr">
        <is>
          <t>100201</t>
        </is>
      </c>
      <c r="B210" s="27" t="n"/>
      <c r="C210" s="27" t="inlineStr">
        <is>
          <t>2025-01-21</t>
        </is>
      </c>
      <c r="D210" s="27" t="inlineStr">
        <is>
          <t>Q2703</t>
        </is>
      </c>
      <c r="E210" s="27" t="n"/>
      <c r="F210" s="27" t="inlineStr">
        <is>
          <t>浙江精准学科技有限公司</t>
        </is>
      </c>
      <c r="G210" s="27" t="inlineStr">
        <is>
          <t>记-83</t>
        </is>
      </c>
      <c r="H210" s="27" t="n"/>
      <c r="I210" s="45" t="n">
        <v>1</v>
      </c>
      <c r="J210" s="44" t="n"/>
    </row>
    <row r="211" s="83">
      <c r="A211" s="26" t="inlineStr">
        <is>
          <t>100201</t>
        </is>
      </c>
      <c r="B211" s="26" t="n"/>
      <c r="C211" s="26" t="inlineStr">
        <is>
          <t>2025-01-21</t>
        </is>
      </c>
      <c r="D211" s="26" t="inlineStr">
        <is>
          <t>Q2703</t>
        </is>
      </c>
      <c r="E211" s="26" t="n"/>
      <c r="F211" s="26" t="inlineStr">
        <is>
          <t>浙江精准学科技有限公司</t>
        </is>
      </c>
      <c r="G211" s="26" t="inlineStr">
        <is>
          <t>记-83</t>
        </is>
      </c>
      <c r="H211" s="26" t="n"/>
      <c r="I211" s="45" t="n"/>
      <c r="J211" s="45" t="n">
        <v>1</v>
      </c>
    </row>
    <row r="212" s="83">
      <c r="A212" s="27" t="inlineStr">
        <is>
          <t>100201</t>
        </is>
      </c>
      <c r="B212" s="27" t="n"/>
      <c r="C212" s="27" t="inlineStr">
        <is>
          <t>2025-01-21</t>
        </is>
      </c>
      <c r="D212" s="27" t="inlineStr">
        <is>
          <t>Q2703</t>
        </is>
      </c>
      <c r="E212" s="27" t="n"/>
      <c r="F212" s="27" t="inlineStr">
        <is>
          <t>浙江精准学科技有限公司</t>
        </is>
      </c>
      <c r="G212" s="27" t="inlineStr">
        <is>
          <t>记-83</t>
        </is>
      </c>
      <c r="H212" s="27" t="n"/>
      <c r="I212" s="45" t="n">
        <v>1</v>
      </c>
      <c r="J212" s="44" t="n"/>
    </row>
    <row r="213" s="83">
      <c r="A213" s="26" t="inlineStr">
        <is>
          <t>100201</t>
        </is>
      </c>
      <c r="B213" s="26" t="n"/>
      <c r="C213" s="26" t="inlineStr">
        <is>
          <t>2025-01-21</t>
        </is>
      </c>
      <c r="D213" s="26" t="inlineStr">
        <is>
          <t>Q2703</t>
        </is>
      </c>
      <c r="E213" s="26" t="n"/>
      <c r="F213" s="26" t="inlineStr">
        <is>
          <t>浙江精准学科技有限公司</t>
        </is>
      </c>
      <c r="G213" s="26" t="inlineStr">
        <is>
          <t>记-83</t>
        </is>
      </c>
      <c r="H213" s="26" t="n"/>
      <c r="I213" s="45" t="n"/>
      <c r="J213" s="45" t="n">
        <v>1</v>
      </c>
    </row>
    <row r="214" s="83">
      <c r="A214" s="27" t="inlineStr">
        <is>
          <t>100201</t>
        </is>
      </c>
      <c r="B214" s="27" t="n"/>
      <c r="C214" s="27" t="inlineStr">
        <is>
          <t>2025-01-22</t>
        </is>
      </c>
      <c r="D214" s="27" t="inlineStr">
        <is>
          <t>Q2703</t>
        </is>
      </c>
      <c r="E214" s="27" t="n"/>
      <c r="F214" s="27" t="inlineStr">
        <is>
          <t>浙江精准学科技有限公司</t>
        </is>
      </c>
      <c r="G214" s="27" t="inlineStr">
        <is>
          <t>记-88</t>
        </is>
      </c>
      <c r="H214" s="27" t="n"/>
      <c r="I214" s="44" t="n"/>
      <c r="J214" s="45" t="n">
        <v>1</v>
      </c>
    </row>
    <row r="215" s="83">
      <c r="A215" s="26" t="inlineStr">
        <is>
          <t>100201</t>
        </is>
      </c>
      <c r="B215" s="26" t="n"/>
      <c r="C215" s="26" t="inlineStr">
        <is>
          <t>2025-01-22</t>
        </is>
      </c>
      <c r="D215" s="26" t="inlineStr">
        <is>
          <t>Q2703</t>
        </is>
      </c>
      <c r="E215" s="26" t="n"/>
      <c r="F215" s="26" t="inlineStr">
        <is>
          <t>浙江精准学科技有限公司</t>
        </is>
      </c>
      <c r="G215" s="26" t="inlineStr">
        <is>
          <t>记-89</t>
        </is>
      </c>
      <c r="H215" s="26" t="n"/>
      <c r="I215" s="45" t="n"/>
      <c r="J215" s="45" t="n">
        <v>1</v>
      </c>
    </row>
    <row r="216" s="83">
      <c r="A216" s="27" t="inlineStr">
        <is>
          <t>100201</t>
        </is>
      </c>
      <c r="B216" s="27" t="n"/>
      <c r="C216" s="27" t="inlineStr">
        <is>
          <t>2025-01-23</t>
        </is>
      </c>
      <c r="D216" s="27" t="inlineStr">
        <is>
          <t>Q2703</t>
        </is>
      </c>
      <c r="E216" s="27" t="n"/>
      <c r="F216" s="27" t="inlineStr">
        <is>
          <t>浙江精准学科技有限公司</t>
        </is>
      </c>
      <c r="G216" s="27" t="inlineStr">
        <is>
          <t>记-112</t>
        </is>
      </c>
      <c r="H216" s="27" t="n"/>
      <c r="I216" s="44" t="n"/>
      <c r="J216" s="45" t="n">
        <v>1</v>
      </c>
    </row>
    <row r="217" s="83">
      <c r="A217" s="26" t="inlineStr">
        <is>
          <t>100201</t>
        </is>
      </c>
      <c r="B217" s="26" t="n"/>
      <c r="C217" s="26" t="inlineStr">
        <is>
          <t>2025-01-23</t>
        </is>
      </c>
      <c r="D217" s="26" t="inlineStr">
        <is>
          <t>Q2703</t>
        </is>
      </c>
      <c r="E217" s="26" t="n"/>
      <c r="F217" s="26" t="inlineStr">
        <is>
          <t>浙江精准学科技有限公司</t>
        </is>
      </c>
      <c r="G217" s="26" t="inlineStr">
        <is>
          <t>记-114</t>
        </is>
      </c>
      <c r="H217" s="26" t="n"/>
      <c r="I217" s="45" t="n"/>
      <c r="J217" s="45" t="n">
        <v>1</v>
      </c>
    </row>
    <row r="218" s="83">
      <c r="A218" s="27" t="inlineStr">
        <is>
          <t>100201</t>
        </is>
      </c>
      <c r="B218" s="27" t="n"/>
      <c r="C218" s="27" t="inlineStr">
        <is>
          <t>2025-01-17</t>
        </is>
      </c>
      <c r="D218" s="27" t="inlineStr">
        <is>
          <t>Q2706</t>
        </is>
      </c>
      <c r="E218" s="27" t="n"/>
      <c r="F218" s="27" t="inlineStr">
        <is>
          <t>浙江精准学科技有限公司</t>
        </is>
      </c>
      <c r="G218" s="27" t="inlineStr">
        <is>
          <t>记-59</t>
        </is>
      </c>
      <c r="H218" s="27" t="n"/>
      <c r="I218" s="44" t="n"/>
      <c r="J218" s="45" t="n">
        <v>1</v>
      </c>
    </row>
    <row r="219" s="83">
      <c r="A219" s="26" t="inlineStr">
        <is>
          <t>100201</t>
        </is>
      </c>
      <c r="B219" s="26" t="n"/>
      <c r="C219" s="26" t="inlineStr">
        <is>
          <t>2025-01-20</t>
        </is>
      </c>
      <c r="D219" s="26" t="inlineStr">
        <is>
          <t>Q2707</t>
        </is>
      </c>
      <c r="E219" s="26" t="n"/>
      <c r="F219" s="26" t="inlineStr">
        <is>
          <t>浙江精准学科技有限公司</t>
        </is>
      </c>
      <c r="G219" s="26" t="inlineStr">
        <is>
          <t>记-78</t>
        </is>
      </c>
      <c r="H219" s="26" t="n"/>
      <c r="I219" s="45" t="n"/>
      <c r="J219" s="45" t="n">
        <v>1</v>
      </c>
    </row>
    <row r="220" s="83">
      <c r="A220" s="27" t="inlineStr">
        <is>
          <t>100201</t>
        </is>
      </c>
      <c r="B220" s="27" t="n"/>
      <c r="C220" s="27" t="inlineStr">
        <is>
          <t>2025-01-20</t>
        </is>
      </c>
      <c r="D220" s="27" t="inlineStr">
        <is>
          <t>Q2707</t>
        </is>
      </c>
      <c r="E220" s="27" t="n"/>
      <c r="F220" s="27" t="inlineStr">
        <is>
          <t>浙江精准学科技有限公司</t>
        </is>
      </c>
      <c r="G220" s="27" t="inlineStr">
        <is>
          <t>记-79</t>
        </is>
      </c>
      <c r="H220" s="27" t="n"/>
      <c r="I220" s="44" t="n"/>
      <c r="J220" s="45" t="n">
        <v>1</v>
      </c>
    </row>
    <row r="221" s="83">
      <c r="A221" s="26" t="inlineStr">
        <is>
          <t>100201</t>
        </is>
      </c>
      <c r="B221" s="26" t="n"/>
      <c r="C221" s="26" t="inlineStr">
        <is>
          <t>2025-01-23</t>
        </is>
      </c>
      <c r="D221" s="26" t="inlineStr">
        <is>
          <t>Q2707</t>
        </is>
      </c>
      <c r="E221" s="26" t="n"/>
      <c r="F221" s="26" t="inlineStr">
        <is>
          <t>浙江精准学科技有限公司</t>
        </is>
      </c>
      <c r="G221" s="26" t="inlineStr">
        <is>
          <t>记-112</t>
        </is>
      </c>
      <c r="H221" s="26" t="n"/>
      <c r="I221" s="45" t="n"/>
      <c r="J221" s="45" t="n">
        <v>1</v>
      </c>
    </row>
    <row r="222" s="83">
      <c r="A222" s="27" t="inlineStr">
        <is>
          <t>100201</t>
        </is>
      </c>
      <c r="B222" s="27" t="n"/>
      <c r="C222" s="27" t="inlineStr">
        <is>
          <t>2025-01-09</t>
        </is>
      </c>
      <c r="D222" s="27" t="inlineStr">
        <is>
          <t>Q2708</t>
        </is>
      </c>
      <c r="E222" s="27" t="n"/>
      <c r="F222" s="27" t="inlineStr">
        <is>
          <t>浙江精准学科技有限公司</t>
        </is>
      </c>
      <c r="G222" s="27" t="inlineStr">
        <is>
          <t>记-28</t>
        </is>
      </c>
      <c r="H222" s="27" t="n"/>
      <c r="I222" s="44" t="n"/>
      <c r="J222" s="45" t="n">
        <v>1</v>
      </c>
    </row>
    <row r="223" s="83">
      <c r="A223" s="27" t="inlineStr">
        <is>
          <t>100201</t>
        </is>
      </c>
      <c r="B223" s="27" t="n"/>
      <c r="C223" s="27" t="inlineStr">
        <is>
          <t>2025-01-23</t>
        </is>
      </c>
      <c r="D223" s="27" t="inlineStr">
        <is>
          <t>Q2802</t>
        </is>
      </c>
      <c r="E223" s="27" t="n"/>
      <c r="F223" s="27" t="inlineStr">
        <is>
          <t>浙江精准学科技有限公司</t>
        </is>
      </c>
      <c r="G223" s="27" t="inlineStr">
        <is>
          <t>记-119</t>
        </is>
      </c>
      <c r="H223" s="27" t="n"/>
      <c r="I223" s="44" t="n"/>
      <c r="J223" s="45" t="n">
        <v>1</v>
      </c>
    </row>
    <row r="224" s="83">
      <c r="A224" s="26" t="inlineStr">
        <is>
          <t>100201</t>
        </is>
      </c>
      <c r="B224" s="26" t="n"/>
      <c r="C224" s="26" t="inlineStr">
        <is>
          <t>2025-01-02</t>
        </is>
      </c>
      <c r="D224" s="26" t="inlineStr">
        <is>
          <t>Q2805</t>
        </is>
      </c>
      <c r="E224" s="26" t="n"/>
      <c r="F224" s="26" t="inlineStr">
        <is>
          <t>浙江精准学科技有限公司</t>
        </is>
      </c>
      <c r="G224" s="26" t="inlineStr">
        <is>
          <t>记-2</t>
        </is>
      </c>
      <c r="H224" s="26" t="n"/>
      <c r="I224" s="45" t="n"/>
      <c r="J224" s="45" t="n">
        <v>1</v>
      </c>
    </row>
    <row r="225" s="83">
      <c r="A225" s="26" t="inlineStr">
        <is>
          <t>100201</t>
        </is>
      </c>
      <c r="B225" s="26" t="n"/>
      <c r="C225" s="26" t="inlineStr">
        <is>
          <t>2025-01-13</t>
        </is>
      </c>
      <c r="D225" s="26" t="inlineStr">
        <is>
          <t>Q2807</t>
        </is>
      </c>
      <c r="E225" s="26" t="n"/>
      <c r="F225" s="26" t="inlineStr">
        <is>
          <t>浙江精准学科技有限公司</t>
        </is>
      </c>
      <c r="G225" s="26" t="inlineStr">
        <is>
          <t>记-40</t>
        </is>
      </c>
      <c r="H225" s="26" t="n"/>
      <c r="I225" s="45" t="n"/>
      <c r="J225" s="45" t="n">
        <v>1</v>
      </c>
    </row>
    <row r="226" s="83">
      <c r="A226" s="27" t="inlineStr">
        <is>
          <t>100201</t>
        </is>
      </c>
      <c r="B226" s="27" t="n"/>
      <c r="C226" s="27" t="inlineStr">
        <is>
          <t>2025-01-20</t>
        </is>
      </c>
      <c r="D226" s="27" t="inlineStr">
        <is>
          <t>Q2807</t>
        </is>
      </c>
      <c r="E226" s="27" t="n"/>
      <c r="F226" s="27" t="inlineStr">
        <is>
          <t>浙江精准学科技有限公司</t>
        </is>
      </c>
      <c r="G226" s="27" t="inlineStr">
        <is>
          <t>记-70</t>
        </is>
      </c>
      <c r="H226" s="27" t="n"/>
      <c r="I226" s="45" t="n">
        <v>1</v>
      </c>
      <c r="J226" s="44" t="n"/>
    </row>
    <row r="227" s="83">
      <c r="A227" s="26" t="inlineStr">
        <is>
          <t>100201</t>
        </is>
      </c>
      <c r="B227" s="26" t="n"/>
      <c r="C227" s="26" t="inlineStr">
        <is>
          <t>2025-01-09</t>
        </is>
      </c>
      <c r="D227" s="26" t="inlineStr">
        <is>
          <t>Q2901</t>
        </is>
      </c>
      <c r="E227" s="26" t="n"/>
      <c r="F227" s="26" t="inlineStr">
        <is>
          <t>浙江精准学科技有限公司</t>
        </is>
      </c>
      <c r="G227" s="26" t="inlineStr">
        <is>
          <t>记-31</t>
        </is>
      </c>
      <c r="H227" s="26" t="n"/>
      <c r="I227" s="45" t="n"/>
      <c r="J227" s="45" t="n">
        <v>1</v>
      </c>
    </row>
    <row r="228" s="83">
      <c r="A228" s="27" t="inlineStr">
        <is>
          <t>100201</t>
        </is>
      </c>
      <c r="B228" s="27" t="n"/>
      <c r="C228" s="27" t="inlineStr">
        <is>
          <t>2025-01-09</t>
        </is>
      </c>
      <c r="D228" s="27" t="inlineStr">
        <is>
          <t>Q2901</t>
        </is>
      </c>
      <c r="E228" s="27" t="n"/>
      <c r="F228" s="27" t="inlineStr">
        <is>
          <t>浙江精准学科技有限公司</t>
        </is>
      </c>
      <c r="G228" s="27" t="inlineStr">
        <is>
          <t>记-31</t>
        </is>
      </c>
      <c r="H228" s="27" t="n"/>
      <c r="I228" s="45" t="n">
        <v>1</v>
      </c>
      <c r="J228" s="44" t="n"/>
    </row>
    <row r="229" s="83">
      <c r="A229" s="26" t="inlineStr">
        <is>
          <t>100201</t>
        </is>
      </c>
      <c r="B229" s="26" t="n"/>
      <c r="C229" s="26" t="inlineStr">
        <is>
          <t>2025-01-09</t>
        </is>
      </c>
      <c r="D229" s="26" t="inlineStr">
        <is>
          <t>Q2901</t>
        </is>
      </c>
      <c r="E229" s="26" t="n"/>
      <c r="F229" s="26" t="inlineStr">
        <is>
          <t>浙江精准学科技有限公司</t>
        </is>
      </c>
      <c r="G229" s="26" t="inlineStr">
        <is>
          <t>记-31</t>
        </is>
      </c>
      <c r="H229" s="26" t="n"/>
      <c r="I229" s="45" t="n"/>
      <c r="J229" s="45" t="n">
        <v>1</v>
      </c>
    </row>
    <row r="230" s="83">
      <c r="A230" s="26" t="inlineStr">
        <is>
          <t>100201</t>
        </is>
      </c>
      <c r="B230" s="26" t="n"/>
      <c r="C230" s="26" t="inlineStr">
        <is>
          <t>2025-01-09</t>
        </is>
      </c>
      <c r="D230" s="26" t="inlineStr">
        <is>
          <t>Q29010</t>
        </is>
      </c>
      <c r="E230" s="26" t="n"/>
      <c r="F230" s="26" t="inlineStr">
        <is>
          <t>浙江精准学科技有限公司</t>
        </is>
      </c>
      <c r="G230" s="26" t="inlineStr">
        <is>
          <t>记-27</t>
        </is>
      </c>
      <c r="H230" s="26" t="n"/>
      <c r="I230" s="45" t="n"/>
      <c r="J230" s="45" t="n">
        <v>1</v>
      </c>
    </row>
    <row r="231" s="83">
      <c r="A231" s="27" t="inlineStr">
        <is>
          <t>100201</t>
        </is>
      </c>
      <c r="B231" s="27" t="n"/>
      <c r="C231" s="27" t="inlineStr">
        <is>
          <t>2025-01-23</t>
        </is>
      </c>
      <c r="D231" s="27" t="inlineStr">
        <is>
          <t>Q29010</t>
        </is>
      </c>
      <c r="E231" s="27" t="n"/>
      <c r="F231" s="27" t="inlineStr">
        <is>
          <t>浙江精准学科技有限公司</t>
        </is>
      </c>
      <c r="G231" s="27" t="inlineStr">
        <is>
          <t>记-103</t>
        </is>
      </c>
      <c r="H231" s="27" t="n"/>
      <c r="I231" s="44" t="n"/>
      <c r="J231" s="45" t="n">
        <v>1</v>
      </c>
    </row>
    <row r="232" s="83">
      <c r="A232" s="26" t="inlineStr">
        <is>
          <t>100201</t>
        </is>
      </c>
      <c r="B232" s="26" t="n"/>
      <c r="C232" s="26" t="inlineStr">
        <is>
          <t>2025-01-23</t>
        </is>
      </c>
      <c r="D232" s="26" t="inlineStr">
        <is>
          <t>Q29010</t>
        </is>
      </c>
      <c r="E232" s="26" t="n"/>
      <c r="F232" s="26" t="inlineStr">
        <is>
          <t>浙江精准学科技有限公司</t>
        </is>
      </c>
      <c r="G232" s="26" t="inlineStr">
        <is>
          <t>记-110</t>
        </is>
      </c>
      <c r="H232" s="26" t="n"/>
      <c r="I232" s="45" t="n"/>
      <c r="J232" s="45" t="n">
        <v>1</v>
      </c>
    </row>
    <row r="233" s="83">
      <c r="A233" s="27" t="inlineStr">
        <is>
          <t>100201</t>
        </is>
      </c>
      <c r="B233" s="27" t="n"/>
      <c r="C233" s="27" t="inlineStr">
        <is>
          <t>2025-01-24</t>
        </is>
      </c>
      <c r="D233" s="27" t="inlineStr">
        <is>
          <t>Q29010</t>
        </is>
      </c>
      <c r="E233" s="27" t="n"/>
      <c r="F233" s="27" t="inlineStr">
        <is>
          <t>浙江精准学科技有限公司</t>
        </is>
      </c>
      <c r="G233" s="27" t="inlineStr">
        <is>
          <t>记-148</t>
        </is>
      </c>
      <c r="H233" s="27" t="n"/>
      <c r="I233" s="44" t="n"/>
      <c r="J233" s="45" t="n">
        <v>1</v>
      </c>
    </row>
    <row r="234" s="83">
      <c r="A234" s="27" t="inlineStr">
        <is>
          <t>100201</t>
        </is>
      </c>
      <c r="B234" s="27" t="n"/>
      <c r="C234" s="27" t="inlineStr">
        <is>
          <t>2025-01-17</t>
        </is>
      </c>
      <c r="D234" s="27" t="inlineStr">
        <is>
          <t>Q2902</t>
        </is>
      </c>
      <c r="E234" s="27" t="n"/>
      <c r="F234" s="27" t="inlineStr">
        <is>
          <t>浙江精准学科技有限公司</t>
        </is>
      </c>
      <c r="G234" s="27" t="inlineStr">
        <is>
          <t>记-65</t>
        </is>
      </c>
      <c r="H234" s="27" t="n"/>
      <c r="I234" s="44" t="n"/>
      <c r="J234" s="45" t="n">
        <v>1</v>
      </c>
    </row>
    <row r="235" s="83">
      <c r="A235" s="26" t="inlineStr">
        <is>
          <t>100201</t>
        </is>
      </c>
      <c r="B235" s="26" t="n"/>
      <c r="C235" s="26" t="inlineStr">
        <is>
          <t>2025-01-09</t>
        </is>
      </c>
      <c r="D235" s="26" t="inlineStr">
        <is>
          <t>Q2903</t>
        </is>
      </c>
      <c r="E235" s="26" t="n"/>
      <c r="F235" s="26" t="inlineStr">
        <is>
          <t>浙江精准学科技有限公司</t>
        </is>
      </c>
      <c r="G235" s="26" t="inlineStr">
        <is>
          <t>记-32</t>
        </is>
      </c>
      <c r="H235" s="26" t="n"/>
      <c r="I235" s="45" t="n"/>
      <c r="J235" s="45" t="n">
        <v>1</v>
      </c>
    </row>
    <row r="236" s="83">
      <c r="A236" s="27" t="inlineStr">
        <is>
          <t>100201</t>
        </is>
      </c>
      <c r="B236" s="27" t="n"/>
      <c r="C236" s="27" t="inlineStr">
        <is>
          <t>2025-01-04</t>
        </is>
      </c>
      <c r="D236" s="27" t="inlineStr">
        <is>
          <t>Q2904</t>
        </is>
      </c>
      <c r="E236" s="27" t="n"/>
      <c r="F236" s="27" t="inlineStr">
        <is>
          <t>浙江精准学科技有限公司</t>
        </is>
      </c>
      <c r="G236" s="27" t="inlineStr">
        <is>
          <t>记-8</t>
        </is>
      </c>
      <c r="H236" s="27" t="n"/>
      <c r="I236" s="44" t="n"/>
      <c r="J236" s="45" t="n">
        <v>1</v>
      </c>
    </row>
    <row r="237" s="83">
      <c r="A237" s="26" t="inlineStr">
        <is>
          <t>100201</t>
        </is>
      </c>
      <c r="B237" s="26" t="n"/>
      <c r="C237" s="26" t="inlineStr">
        <is>
          <t>2025-01-24</t>
        </is>
      </c>
      <c r="D237" s="26" t="inlineStr">
        <is>
          <t>Q2905</t>
        </is>
      </c>
      <c r="E237" s="26" t="n"/>
      <c r="F237" s="26" t="inlineStr">
        <is>
          <t>浙江精准学科技有限公司</t>
        </is>
      </c>
      <c r="G237" s="26" t="inlineStr">
        <is>
          <t>记-144</t>
        </is>
      </c>
      <c r="H237" s="26" t="n"/>
      <c r="I237" s="45" t="n"/>
      <c r="J237" s="45" t="n">
        <v>1</v>
      </c>
    </row>
    <row r="238" s="83">
      <c r="A238" s="27" t="inlineStr">
        <is>
          <t>100201</t>
        </is>
      </c>
      <c r="B238" s="27" t="n"/>
      <c r="C238" s="27" t="inlineStr">
        <is>
          <t>2025-01-08</t>
        </is>
      </c>
      <c r="D238" s="27" t="inlineStr">
        <is>
          <t>Q2907</t>
        </is>
      </c>
      <c r="E238" s="27" t="n"/>
      <c r="F238" s="27" t="inlineStr">
        <is>
          <t>浙江精准学科技有限公司</t>
        </is>
      </c>
      <c r="G238" s="27" t="inlineStr">
        <is>
          <t>记-25</t>
        </is>
      </c>
      <c r="H238" s="27" t="n"/>
      <c r="I238" s="44" t="n"/>
      <c r="J238" s="45" t="n">
        <v>1</v>
      </c>
    </row>
    <row r="239" s="83">
      <c r="A239" s="26" t="inlineStr">
        <is>
          <t>100201</t>
        </is>
      </c>
      <c r="B239" s="26" t="n"/>
      <c r="C239" s="26" t="inlineStr">
        <is>
          <t>2025-01-15</t>
        </is>
      </c>
      <c r="D239" s="26" t="inlineStr">
        <is>
          <t>Q2907</t>
        </is>
      </c>
      <c r="E239" s="26" t="n"/>
      <c r="F239" s="26" t="inlineStr">
        <is>
          <t>浙江精准学科技有限公司</t>
        </is>
      </c>
      <c r="G239" s="26" t="inlineStr">
        <is>
          <t>记-56</t>
        </is>
      </c>
      <c r="H239" s="26" t="n"/>
      <c r="I239" s="45" t="n"/>
      <c r="J239" s="45" t="n">
        <v>1</v>
      </c>
    </row>
    <row r="240" s="83">
      <c r="A240" s="27" t="inlineStr">
        <is>
          <t>100201</t>
        </is>
      </c>
      <c r="B240" s="27" t="n"/>
      <c r="C240" s="27" t="inlineStr">
        <is>
          <t>2025-01-20</t>
        </is>
      </c>
      <c r="D240" s="27" t="inlineStr">
        <is>
          <t>Q2907</t>
        </is>
      </c>
      <c r="E240" s="27" t="n"/>
      <c r="F240" s="27" t="inlineStr">
        <is>
          <t>浙江精准学科技有限公司</t>
        </is>
      </c>
      <c r="G240" s="27" t="inlineStr">
        <is>
          <t>记-76</t>
        </is>
      </c>
      <c r="H240" s="27" t="n"/>
      <c r="I240" s="44" t="n"/>
      <c r="J240" s="45" t="n">
        <v>1</v>
      </c>
    </row>
    <row r="241" s="83">
      <c r="A241" s="26" t="inlineStr">
        <is>
          <t>100201</t>
        </is>
      </c>
      <c r="B241" s="26" t="n"/>
      <c r="C241" s="26" t="inlineStr">
        <is>
          <t>2025-01-22</t>
        </is>
      </c>
      <c r="D241" s="26" t="inlineStr">
        <is>
          <t>Q2907</t>
        </is>
      </c>
      <c r="E241" s="26" t="n"/>
      <c r="F241" s="26" t="inlineStr">
        <is>
          <t>浙江精准学科技有限公司</t>
        </is>
      </c>
      <c r="G241" s="26" t="inlineStr">
        <is>
          <t>记-96</t>
        </is>
      </c>
      <c r="H241" s="26" t="n"/>
      <c r="I241" s="45" t="n"/>
      <c r="J241" s="45" t="n">
        <v>1</v>
      </c>
    </row>
    <row r="242" s="83">
      <c r="A242" s="27" t="inlineStr">
        <is>
          <t>100201</t>
        </is>
      </c>
      <c r="B242" s="27" t="n"/>
      <c r="C242" s="27" t="inlineStr">
        <is>
          <t>2025-01-22</t>
        </is>
      </c>
      <c r="D242" s="27" t="inlineStr">
        <is>
          <t>Q2907</t>
        </is>
      </c>
      <c r="E242" s="27" t="n"/>
      <c r="F242" s="27" t="inlineStr">
        <is>
          <t>浙江精准学科技有限公司</t>
        </is>
      </c>
      <c r="G242" s="27" t="inlineStr">
        <is>
          <t>记-99</t>
        </is>
      </c>
      <c r="H242" s="27" t="n"/>
      <c r="I242" s="44" t="n"/>
      <c r="J242" s="45" t="n">
        <v>1</v>
      </c>
    </row>
    <row r="243" s="83">
      <c r="A243" s="26" t="inlineStr">
        <is>
          <t>100201</t>
        </is>
      </c>
      <c r="B243" s="26" t="n"/>
      <c r="C243" s="26" t="inlineStr">
        <is>
          <t>2025-01-22</t>
        </is>
      </c>
      <c r="D243" s="26" t="inlineStr">
        <is>
          <t>Q2907</t>
        </is>
      </c>
      <c r="E243" s="26" t="n"/>
      <c r="F243" s="26" t="inlineStr">
        <is>
          <t>浙江精准学科技有限公司</t>
        </is>
      </c>
      <c r="G243" s="26" t="inlineStr">
        <is>
          <t>记-99</t>
        </is>
      </c>
      <c r="H243" s="26" t="n"/>
      <c r="I243" s="45" t="n">
        <v>1</v>
      </c>
      <c r="J243" s="45" t="n"/>
    </row>
    <row r="244" s="83">
      <c r="A244" s="27" t="inlineStr">
        <is>
          <t>100201</t>
        </is>
      </c>
      <c r="B244" s="27" t="n"/>
      <c r="C244" s="27" t="inlineStr">
        <is>
          <t>2025-01-23</t>
        </is>
      </c>
      <c r="D244" s="27" t="inlineStr">
        <is>
          <t>Q2907</t>
        </is>
      </c>
      <c r="E244" s="27" t="n"/>
      <c r="F244" s="27" t="inlineStr">
        <is>
          <t>浙江精准学科技有限公司</t>
        </is>
      </c>
      <c r="G244" s="27" t="inlineStr">
        <is>
          <t>记-104</t>
        </is>
      </c>
      <c r="H244" s="27" t="n"/>
      <c r="I244" s="44" t="n"/>
      <c r="J244" s="45" t="n">
        <v>1</v>
      </c>
    </row>
    <row r="245" s="83">
      <c r="A245" s="26" t="inlineStr">
        <is>
          <t>100201</t>
        </is>
      </c>
      <c r="B245" s="26" t="n"/>
      <c r="C245" s="26" t="inlineStr">
        <is>
          <t>2025-01-23</t>
        </is>
      </c>
      <c r="D245" s="26" t="inlineStr">
        <is>
          <t>Q2907</t>
        </is>
      </c>
      <c r="E245" s="26" t="n"/>
      <c r="F245" s="26" t="inlineStr">
        <is>
          <t>浙江精准学科技有限公司</t>
        </is>
      </c>
      <c r="G245" s="26" t="inlineStr">
        <is>
          <t>记-109</t>
        </is>
      </c>
      <c r="H245" s="26" t="n"/>
      <c r="I245" s="45" t="n"/>
      <c r="J245" s="45" t="n">
        <v>1</v>
      </c>
    </row>
    <row r="246" s="83">
      <c r="A246" s="27" t="inlineStr">
        <is>
          <t>100201</t>
        </is>
      </c>
      <c r="B246" s="27" t="n"/>
      <c r="C246" s="27" t="inlineStr">
        <is>
          <t>2025-01-23</t>
        </is>
      </c>
      <c r="D246" s="27" t="inlineStr">
        <is>
          <t>Q2907</t>
        </is>
      </c>
      <c r="E246" s="27" t="n"/>
      <c r="F246" s="27" t="inlineStr">
        <is>
          <t>浙江精准学科技有限公司</t>
        </is>
      </c>
      <c r="G246" s="27" t="inlineStr">
        <is>
          <t>记-115</t>
        </is>
      </c>
      <c r="H246" s="27" t="n"/>
      <c r="I246" s="44" t="n"/>
      <c r="J246" s="45" t="n">
        <v>1</v>
      </c>
    </row>
    <row r="247" s="83">
      <c r="A247" s="26" t="inlineStr">
        <is>
          <t>100201</t>
        </is>
      </c>
      <c r="B247" s="26" t="n"/>
      <c r="C247" s="26" t="inlineStr">
        <is>
          <t>2025-01-23</t>
        </is>
      </c>
      <c r="D247" s="26" t="inlineStr">
        <is>
          <t>Q2907</t>
        </is>
      </c>
      <c r="E247" s="26" t="n"/>
      <c r="F247" s="26" t="inlineStr">
        <is>
          <t>浙江精准学科技有限公司</t>
        </is>
      </c>
      <c r="G247" s="26" t="inlineStr">
        <is>
          <t>记-121</t>
        </is>
      </c>
      <c r="H247" s="26" t="n"/>
      <c r="I247" s="45" t="n"/>
      <c r="J247" s="45" t="n">
        <v>1</v>
      </c>
    </row>
    <row r="248" s="83">
      <c r="A248" s="27" t="inlineStr">
        <is>
          <t>100201</t>
        </is>
      </c>
      <c r="B248" s="27" t="n"/>
      <c r="C248" s="27" t="inlineStr">
        <is>
          <t>2025-01-24</t>
        </is>
      </c>
      <c r="D248" s="27" t="inlineStr">
        <is>
          <t>Q2907</t>
        </is>
      </c>
      <c r="E248" s="27" t="n"/>
      <c r="F248" s="27" t="inlineStr">
        <is>
          <t>浙江精准学科技有限公司</t>
        </is>
      </c>
      <c r="G248" s="27" t="inlineStr">
        <is>
          <t>记-128</t>
        </is>
      </c>
      <c r="H248" s="27" t="n"/>
      <c r="I248" s="44" t="n"/>
      <c r="J248" s="45" t="n">
        <v>1</v>
      </c>
    </row>
    <row r="249" s="83">
      <c r="A249" s="26" t="inlineStr">
        <is>
          <t>100201</t>
        </is>
      </c>
      <c r="B249" s="26" t="n"/>
      <c r="C249" s="26" t="inlineStr">
        <is>
          <t>2025-01-24</t>
        </is>
      </c>
      <c r="D249" s="26" t="inlineStr">
        <is>
          <t>Q2907</t>
        </is>
      </c>
      <c r="E249" s="26" t="n"/>
      <c r="F249" s="26" t="inlineStr">
        <is>
          <t>浙江精准学科技有限公司</t>
        </is>
      </c>
      <c r="G249" s="26" t="inlineStr">
        <is>
          <t>记-137</t>
        </is>
      </c>
      <c r="H249" s="26" t="n"/>
      <c r="I249" s="45" t="n"/>
      <c r="J249" s="45" t="n">
        <v>1</v>
      </c>
    </row>
    <row r="250" s="83">
      <c r="A250" s="27" t="inlineStr">
        <is>
          <t>100201</t>
        </is>
      </c>
      <c r="B250" s="27" t="n"/>
      <c r="C250" s="27" t="inlineStr">
        <is>
          <t>2025-01-24</t>
        </is>
      </c>
      <c r="D250" s="27" t="inlineStr">
        <is>
          <t>Q2907</t>
        </is>
      </c>
      <c r="E250" s="27" t="n"/>
      <c r="F250" s="27" t="inlineStr">
        <is>
          <t>浙江精准学科技有限公司</t>
        </is>
      </c>
      <c r="G250" s="27" t="inlineStr">
        <is>
          <t>记-142</t>
        </is>
      </c>
      <c r="H250" s="27" t="n"/>
      <c r="I250" s="44" t="n"/>
      <c r="J250" s="45" t="n">
        <v>1</v>
      </c>
    </row>
    <row r="251" s="83">
      <c r="A251" s="26" t="inlineStr">
        <is>
          <t>100201</t>
        </is>
      </c>
      <c r="B251" s="26" t="n"/>
      <c r="C251" s="26" t="inlineStr">
        <is>
          <t>2025-01-24</t>
        </is>
      </c>
      <c r="D251" s="26" t="inlineStr">
        <is>
          <t>Q2907</t>
        </is>
      </c>
      <c r="E251" s="26" t="n"/>
      <c r="F251" s="26" t="inlineStr">
        <is>
          <t>浙江精准学科技有限公司</t>
        </is>
      </c>
      <c r="G251" s="26" t="inlineStr">
        <is>
          <t>记-146</t>
        </is>
      </c>
      <c r="H251" s="26" t="n"/>
      <c r="I251" s="45" t="n"/>
      <c r="J251" s="45" t="n">
        <v>1</v>
      </c>
    </row>
    <row r="252" s="83">
      <c r="A252" s="27" t="inlineStr">
        <is>
          <t>100201</t>
        </is>
      </c>
      <c r="B252" s="27" t="n"/>
      <c r="C252" s="27" t="inlineStr">
        <is>
          <t>2025-01-22</t>
        </is>
      </c>
      <c r="D252" s="27" t="inlineStr">
        <is>
          <t>Q2908</t>
        </is>
      </c>
      <c r="E252" s="27" t="n"/>
      <c r="F252" s="27" t="inlineStr">
        <is>
          <t>浙江精准学科技有限公司</t>
        </is>
      </c>
      <c r="G252" s="27" t="inlineStr">
        <is>
          <t>记-93</t>
        </is>
      </c>
      <c r="H252" s="27" t="n"/>
      <c r="I252" s="44" t="n"/>
      <c r="J252" s="45" t="n">
        <v>1</v>
      </c>
    </row>
    <row r="253" s="83">
      <c r="A253" s="26" t="inlineStr">
        <is>
          <t>100201</t>
        </is>
      </c>
      <c r="B253" s="26" t="n"/>
      <c r="C253" s="26" t="inlineStr">
        <is>
          <t>2025-01-24</t>
        </is>
      </c>
      <c r="D253" s="26" t="inlineStr">
        <is>
          <t>Q2909</t>
        </is>
      </c>
      <c r="E253" s="26" t="n"/>
      <c r="F253" s="26" t="inlineStr">
        <is>
          <t>浙江精准学科技有限公司</t>
        </is>
      </c>
      <c r="G253" s="26" t="inlineStr">
        <is>
          <t>记-131</t>
        </is>
      </c>
      <c r="H253" s="26" t="n"/>
      <c r="I253" s="45" t="n"/>
      <c r="J253" s="45" t="n">
        <v>1</v>
      </c>
    </row>
    <row r="254" s="83">
      <c r="A254" s="27" t="inlineStr">
        <is>
          <t>100201</t>
        </is>
      </c>
      <c r="B254" s="27" t="n"/>
      <c r="C254" s="27" t="inlineStr">
        <is>
          <t>2025-01-24</t>
        </is>
      </c>
      <c r="D254" s="27" t="inlineStr">
        <is>
          <t>Q2909</t>
        </is>
      </c>
      <c r="E254" s="27" t="n"/>
      <c r="F254" s="27" t="inlineStr">
        <is>
          <t>浙江精准学科技有限公司</t>
        </is>
      </c>
      <c r="G254" s="27" t="inlineStr">
        <is>
          <t>记-133</t>
        </is>
      </c>
      <c r="H254" s="27" t="n"/>
      <c r="I254" s="44" t="n"/>
      <c r="J254" s="45" t="n">
        <v>1</v>
      </c>
    </row>
    <row r="255" s="83">
      <c r="A255" s="26" t="inlineStr">
        <is>
          <t>100201</t>
        </is>
      </c>
      <c r="B255" s="26" t="n"/>
      <c r="C255" s="26" t="inlineStr">
        <is>
          <t>2025-01-24</t>
        </is>
      </c>
      <c r="D255" s="26" t="inlineStr">
        <is>
          <t>Q2909</t>
        </is>
      </c>
      <c r="E255" s="26" t="n"/>
      <c r="F255" s="26" t="inlineStr">
        <is>
          <t>浙江精准学科技有限公司</t>
        </is>
      </c>
      <c r="G255" s="26" t="inlineStr">
        <is>
          <t>记-134</t>
        </is>
      </c>
      <c r="H255" s="26" t="n"/>
      <c r="I255" s="45" t="n"/>
      <c r="J255" s="45" t="n">
        <v>1</v>
      </c>
    </row>
    <row r="256" s="83">
      <c r="A256" s="27" t="inlineStr">
        <is>
          <t>100201</t>
        </is>
      </c>
      <c r="B256" s="27" t="n"/>
      <c r="C256" s="27" t="inlineStr">
        <is>
          <t>2025-01-24</t>
        </is>
      </c>
      <c r="D256" s="27" t="inlineStr">
        <is>
          <t>Q2909</t>
        </is>
      </c>
      <c r="E256" s="27" t="n"/>
      <c r="F256" s="27" t="inlineStr">
        <is>
          <t>浙江精准学科技有限公司</t>
        </is>
      </c>
      <c r="G256" s="27" t="inlineStr">
        <is>
          <t>记-135</t>
        </is>
      </c>
      <c r="H256" s="27" t="n"/>
      <c r="I256" s="44" t="n"/>
      <c r="J256" s="45" t="n">
        <v>1</v>
      </c>
    </row>
    <row r="257" s="83">
      <c r="A257" s="26" t="inlineStr">
        <is>
          <t>100201</t>
        </is>
      </c>
      <c r="B257" s="26" t="n"/>
      <c r="C257" s="26" t="inlineStr">
        <is>
          <t>2025-01-24</t>
        </is>
      </c>
      <c r="D257" s="26" t="inlineStr">
        <is>
          <t>Q2909</t>
        </is>
      </c>
      <c r="E257" s="26" t="n"/>
      <c r="F257" s="26" t="inlineStr">
        <is>
          <t>浙江精准学科技有限公司</t>
        </is>
      </c>
      <c r="G257" s="26" t="inlineStr">
        <is>
          <t>记-140</t>
        </is>
      </c>
      <c r="H257" s="26" t="n"/>
      <c r="I257" s="45" t="n"/>
      <c r="J257" s="45" t="n">
        <v>1</v>
      </c>
    </row>
    <row r="258" s="83">
      <c r="A258" s="27" t="inlineStr">
        <is>
          <t>100201</t>
        </is>
      </c>
      <c r="B258" s="27" t="n"/>
      <c r="C258" s="27" t="inlineStr">
        <is>
          <t>2025-01-15</t>
        </is>
      </c>
      <c r="D258" s="27" t="inlineStr">
        <is>
          <t>Q3003</t>
        </is>
      </c>
      <c r="E258" s="27" t="n"/>
      <c r="F258" s="27" t="inlineStr">
        <is>
          <t>浙江精准学科技有限公司</t>
        </is>
      </c>
      <c r="G258" s="27" t="inlineStr">
        <is>
          <t>记-53</t>
        </is>
      </c>
      <c r="H258" s="27" t="n"/>
      <c r="I258" s="44" t="n"/>
      <c r="J258" s="45" t="n">
        <v>1</v>
      </c>
    </row>
    <row r="259" s="83">
      <c r="A259" s="27" t="inlineStr">
        <is>
          <t>100201</t>
        </is>
      </c>
      <c r="B259" s="27" t="n"/>
      <c r="C259" s="27" t="inlineStr">
        <is>
          <t>2025-01-20</t>
        </is>
      </c>
      <c r="D259" s="27" t="inlineStr">
        <is>
          <t>Q3201</t>
        </is>
      </c>
      <c r="E259" s="27" t="n"/>
      <c r="F259" s="27" t="inlineStr">
        <is>
          <t>浙江精准学科技有限公司</t>
        </is>
      </c>
      <c r="G259" s="27" t="inlineStr">
        <is>
          <t>记-75</t>
        </is>
      </c>
      <c r="H259" s="27" t="n"/>
      <c r="I259" s="44" t="n"/>
      <c r="J259" s="45" t="n">
        <v>1</v>
      </c>
    </row>
    <row r="260" s="83">
      <c r="A260" s="26" t="inlineStr">
        <is>
          <t>100201</t>
        </is>
      </c>
      <c r="B260" s="26" t="n"/>
      <c r="C260" s="26" t="inlineStr">
        <is>
          <t>2025-01-23</t>
        </is>
      </c>
      <c r="D260" s="26" t="inlineStr">
        <is>
          <t>Q3202</t>
        </is>
      </c>
      <c r="E260" s="26" t="n"/>
      <c r="F260" s="26" t="inlineStr">
        <is>
          <t>浙江精准学科技有限公司</t>
        </is>
      </c>
      <c r="G260" s="26" t="inlineStr">
        <is>
          <t>记-114</t>
        </is>
      </c>
      <c r="H260" s="26" t="n"/>
      <c r="I260" s="45" t="n"/>
      <c r="J260" s="45" t="n">
        <v>1</v>
      </c>
    </row>
    <row r="261" s="83">
      <c r="A261" s="27" t="inlineStr">
        <is>
          <t>100201</t>
        </is>
      </c>
      <c r="B261" s="27" t="n"/>
      <c r="C261" s="27" t="inlineStr">
        <is>
          <t>2025-01-24</t>
        </is>
      </c>
      <c r="D261" s="27" t="inlineStr">
        <is>
          <t>Q3203</t>
        </is>
      </c>
      <c r="E261" s="27" t="n"/>
      <c r="F261" s="27" t="inlineStr">
        <is>
          <t>浙江精准学科技有限公司</t>
        </is>
      </c>
      <c r="G261" s="27" t="inlineStr">
        <is>
          <t>记-150</t>
        </is>
      </c>
      <c r="H261" s="27" t="n"/>
      <c r="I261" s="44" t="n"/>
      <c r="J261" s="45" t="n">
        <v>1</v>
      </c>
    </row>
    <row r="262" s="83">
      <c r="A262" s="27" t="inlineStr">
        <is>
          <t>100201</t>
        </is>
      </c>
      <c r="B262" s="27" t="n"/>
      <c r="C262" s="27" t="inlineStr">
        <is>
          <t>2025-01-17</t>
        </is>
      </c>
      <c r="D262" s="27" t="inlineStr">
        <is>
          <t>Q3206</t>
        </is>
      </c>
      <c r="E262" s="27" t="n"/>
      <c r="F262" s="27" t="inlineStr">
        <is>
          <t>浙江精准学科技有限公司</t>
        </is>
      </c>
      <c r="G262" s="27" t="inlineStr">
        <is>
          <t>记-61</t>
        </is>
      </c>
      <c r="H262" s="27" t="n"/>
      <c r="I262" s="44" t="n"/>
      <c r="J262" s="45" t="n">
        <v>1</v>
      </c>
    </row>
    <row r="263" s="83">
      <c r="A263" s="26" t="inlineStr">
        <is>
          <t>100201</t>
        </is>
      </c>
      <c r="B263" s="26" t="n"/>
      <c r="C263" s="26" t="inlineStr">
        <is>
          <t>2025-01-17</t>
        </is>
      </c>
      <c r="D263" s="26" t="inlineStr">
        <is>
          <t>Q3206</t>
        </is>
      </c>
      <c r="E263" s="26" t="n"/>
      <c r="F263" s="26" t="inlineStr">
        <is>
          <t>浙江精准学科技有限公司</t>
        </is>
      </c>
      <c r="G263" s="26" t="inlineStr">
        <is>
          <t>记-62</t>
        </is>
      </c>
      <c r="H263" s="26" t="n"/>
      <c r="I263" s="45" t="n"/>
      <c r="J263" s="45" t="n">
        <v>1</v>
      </c>
    </row>
    <row r="264" s="83">
      <c r="A264" s="27" t="inlineStr">
        <is>
          <t>100201</t>
        </is>
      </c>
      <c r="B264" s="27" t="n"/>
      <c r="C264" s="27" t="inlineStr">
        <is>
          <t>2025-01-23</t>
        </is>
      </c>
      <c r="D264" s="27" t="inlineStr">
        <is>
          <t>Q3206</t>
        </is>
      </c>
      <c r="E264" s="27" t="n"/>
      <c r="F264" s="27" t="inlineStr">
        <is>
          <t>浙江精准学科技有限公司</t>
        </is>
      </c>
      <c r="G264" s="27" t="inlineStr">
        <is>
          <t>记-102</t>
        </is>
      </c>
      <c r="H264" s="27" t="n"/>
      <c r="I264" s="44" t="n"/>
      <c r="J264" s="45" t="n">
        <v>1</v>
      </c>
    </row>
    <row r="265" s="83">
      <c r="A265" s="26" t="inlineStr">
        <is>
          <t>100201</t>
        </is>
      </c>
      <c r="B265" s="26" t="n"/>
      <c r="C265" s="26" t="inlineStr">
        <is>
          <t>2025-01-23</t>
        </is>
      </c>
      <c r="D265" s="26" t="inlineStr">
        <is>
          <t>Q3206</t>
        </is>
      </c>
      <c r="E265" s="26" t="n"/>
      <c r="F265" s="26" t="inlineStr">
        <is>
          <t>浙江精准学科技有限公司</t>
        </is>
      </c>
      <c r="G265" s="26" t="inlineStr">
        <is>
          <t>记-102</t>
        </is>
      </c>
      <c r="H265" s="26" t="n"/>
      <c r="I265" s="45" t="n"/>
      <c r="J265" s="45" t="n">
        <v>1</v>
      </c>
    </row>
    <row r="266" s="83">
      <c r="A266" s="27" t="inlineStr">
        <is>
          <t>100201</t>
        </is>
      </c>
      <c r="B266" s="27" t="n"/>
      <c r="C266" s="27" t="inlineStr">
        <is>
          <t>2025-01-23</t>
        </is>
      </c>
      <c r="D266" s="27" t="inlineStr">
        <is>
          <t>Q3206</t>
        </is>
      </c>
      <c r="E266" s="27" t="n"/>
      <c r="F266" s="27" t="inlineStr">
        <is>
          <t>浙江精准学科技有限公司</t>
        </is>
      </c>
      <c r="G266" s="27" t="inlineStr">
        <is>
          <t>记-104</t>
        </is>
      </c>
      <c r="H266" s="27" t="n"/>
      <c r="I266" s="44" t="n"/>
      <c r="J266" s="45" t="n">
        <v>1</v>
      </c>
    </row>
    <row r="267" s="83">
      <c r="A267" s="26" t="inlineStr">
        <is>
          <t>100201</t>
        </is>
      </c>
      <c r="B267" s="26" t="n"/>
      <c r="C267" s="26" t="inlineStr">
        <is>
          <t>2025-01-23</t>
        </is>
      </c>
      <c r="D267" s="26" t="inlineStr">
        <is>
          <t>Q3206</t>
        </is>
      </c>
      <c r="E267" s="26" t="n"/>
      <c r="F267" s="26" t="inlineStr">
        <is>
          <t>浙江精准学科技有限公司</t>
        </is>
      </c>
      <c r="G267" s="26" t="inlineStr">
        <is>
          <t>记-106</t>
        </is>
      </c>
      <c r="H267" s="26" t="n"/>
      <c r="I267" s="45" t="n"/>
      <c r="J267" s="45" t="n">
        <v>1</v>
      </c>
    </row>
    <row r="268" s="83">
      <c r="A268" s="27" t="inlineStr">
        <is>
          <t>100201</t>
        </is>
      </c>
      <c r="B268" s="27" t="n"/>
      <c r="C268" s="27" t="inlineStr">
        <is>
          <t>2025-01-23</t>
        </is>
      </c>
      <c r="D268" s="27" t="inlineStr">
        <is>
          <t>Q3206</t>
        </is>
      </c>
      <c r="E268" s="27" t="n"/>
      <c r="F268" s="27" t="inlineStr">
        <is>
          <t>浙江精准学科技有限公司</t>
        </is>
      </c>
      <c r="G268" s="27" t="inlineStr">
        <is>
          <t>记-107</t>
        </is>
      </c>
      <c r="H268" s="27" t="n"/>
      <c r="I268" s="44" t="n"/>
      <c r="J268" s="45" t="n">
        <v>1</v>
      </c>
    </row>
    <row r="269" s="83">
      <c r="A269" s="26" t="inlineStr">
        <is>
          <t>100201</t>
        </is>
      </c>
      <c r="B269" s="26" t="n"/>
      <c r="C269" s="26" t="inlineStr">
        <is>
          <t>2025-01-23</t>
        </is>
      </c>
      <c r="D269" s="26" t="inlineStr">
        <is>
          <t>Q3206</t>
        </is>
      </c>
      <c r="E269" s="26" t="n"/>
      <c r="F269" s="26" t="inlineStr">
        <is>
          <t>浙江精准学科技有限公司</t>
        </is>
      </c>
      <c r="G269" s="26" t="inlineStr">
        <is>
          <t>记-108</t>
        </is>
      </c>
      <c r="H269" s="26" t="n"/>
      <c r="I269" s="45" t="n"/>
      <c r="J269" s="45" t="n">
        <v>1</v>
      </c>
    </row>
    <row r="270" s="83">
      <c r="A270" s="26" t="inlineStr">
        <is>
          <t>100202</t>
        </is>
      </c>
      <c r="B270" s="26" t="n"/>
      <c r="C270" s="26" t="inlineStr">
        <is>
          <t>2025-01-31</t>
        </is>
      </c>
      <c r="D270" s="26" t="inlineStr">
        <is>
          <t>Q3105</t>
        </is>
      </c>
      <c r="E270" s="26" t="n"/>
      <c r="F270" s="26" t="inlineStr">
        <is>
          <t>浙江精准学科技有限公司</t>
        </is>
      </c>
      <c r="G270" s="26" t="inlineStr">
        <is>
          <t>记-176</t>
        </is>
      </c>
      <c r="H270" s="26" t="n"/>
      <c r="I270" s="45" t="n"/>
      <c r="J270" s="45" t="n">
        <v>1</v>
      </c>
    </row>
    <row r="271" s="83">
      <c r="A271" s="27" t="inlineStr">
        <is>
          <t>101201</t>
        </is>
      </c>
      <c r="B271" s="27" t="n"/>
      <c r="C271" s="27" t="inlineStr">
        <is>
          <t>2025-01-31</t>
        </is>
      </c>
      <c r="D271" s="27" t="inlineStr">
        <is>
          <t>Q0101</t>
        </is>
      </c>
      <c r="E271" s="27" t="n"/>
      <c r="F271" s="27" t="inlineStr">
        <is>
          <t>浙江精准学科技有限公司</t>
        </is>
      </c>
      <c r="G271" s="27" t="inlineStr">
        <is>
          <t>记-166</t>
        </is>
      </c>
      <c r="H271" s="27" t="n"/>
      <c r="I271" s="45" t="n">
        <v>1</v>
      </c>
      <c r="J271" s="44" t="n"/>
    </row>
    <row r="272" s="83">
      <c r="A272" s="26" t="inlineStr">
        <is>
          <t>101201</t>
        </is>
      </c>
      <c r="B272" s="26" t="n"/>
      <c r="C272" s="26" t="inlineStr">
        <is>
          <t>2025-01-31</t>
        </is>
      </c>
      <c r="D272" s="26" t="inlineStr">
        <is>
          <t>Q0101</t>
        </is>
      </c>
      <c r="E272" s="26" t="n"/>
      <c r="F272" s="26" t="inlineStr">
        <is>
          <t>浙江精准学科技有限公司</t>
        </is>
      </c>
      <c r="G272" s="26" t="inlineStr">
        <is>
          <t>记-168</t>
        </is>
      </c>
      <c r="H272" s="26" t="n"/>
      <c r="I272" s="45" t="n"/>
      <c r="J272" s="45" t="n">
        <v>1</v>
      </c>
    </row>
    <row r="273" s="83">
      <c r="A273" s="27" t="inlineStr">
        <is>
          <t>101201</t>
        </is>
      </c>
      <c r="B273" s="27" t="n"/>
      <c r="C273" s="27" t="inlineStr">
        <is>
          <t>2025-01-31</t>
        </is>
      </c>
      <c r="D273" s="27" t="inlineStr">
        <is>
          <t>Q0101</t>
        </is>
      </c>
      <c r="E273" s="27" t="n"/>
      <c r="F273" s="27" t="inlineStr">
        <is>
          <t>浙江精准学科技有限公司</t>
        </is>
      </c>
      <c r="G273" s="27" t="inlineStr">
        <is>
          <t>记-169</t>
        </is>
      </c>
      <c r="H273" s="27" t="n"/>
      <c r="I273" s="44" t="n"/>
      <c r="J273" s="45" t="n">
        <v>1</v>
      </c>
    </row>
    <row r="274" s="83">
      <c r="A274" s="26" t="inlineStr">
        <is>
          <t>101201</t>
        </is>
      </c>
      <c r="B274" s="26" t="n"/>
      <c r="C274" s="26" t="inlineStr">
        <is>
          <t>2025-01-31</t>
        </is>
      </c>
      <c r="D274" s="26" t="inlineStr">
        <is>
          <t>Q0101</t>
        </is>
      </c>
      <c r="E274" s="26" t="n"/>
      <c r="F274" s="26" t="inlineStr">
        <is>
          <t>浙江精准学科技有限公司</t>
        </is>
      </c>
      <c r="G274" s="26" t="inlineStr">
        <is>
          <t>记-169</t>
        </is>
      </c>
      <c r="H274" s="26" t="n"/>
      <c r="I274" s="45" t="n"/>
      <c r="J274" s="45" t="n">
        <v>1</v>
      </c>
    </row>
    <row r="275" s="83">
      <c r="A275" s="27" t="inlineStr">
        <is>
          <t>101201</t>
        </is>
      </c>
      <c r="B275" s="27" t="n"/>
      <c r="C275" s="27" t="inlineStr">
        <is>
          <t>2025-01-15</t>
        </is>
      </c>
      <c r="D275" s="27" t="inlineStr">
        <is>
          <t>Q0401</t>
        </is>
      </c>
      <c r="E275" s="27" t="n"/>
      <c r="F275" s="27" t="inlineStr">
        <is>
          <t>浙江精准学科技有限公司</t>
        </is>
      </c>
      <c r="G275" s="27" t="inlineStr">
        <is>
          <t>记-49</t>
        </is>
      </c>
      <c r="H275" s="27" t="n"/>
      <c r="I275" s="44" t="n"/>
      <c r="J275" s="45" t="n">
        <v>1</v>
      </c>
    </row>
    <row r="276" s="83">
      <c r="A276" s="26" t="inlineStr">
        <is>
          <t>101201</t>
        </is>
      </c>
      <c r="B276" s="26" t="n"/>
      <c r="C276" s="26" t="inlineStr">
        <is>
          <t>2025-01-16</t>
        </is>
      </c>
      <c r="D276" s="26" t="inlineStr">
        <is>
          <t>Q0401</t>
        </is>
      </c>
      <c r="E276" s="26" t="n"/>
      <c r="F276" s="26" t="inlineStr">
        <is>
          <t>浙江精准学科技有限公司</t>
        </is>
      </c>
      <c r="G276" s="26" t="inlineStr">
        <is>
          <t>记-54</t>
        </is>
      </c>
      <c r="H276" s="26" t="n"/>
      <c r="I276" s="45" t="n"/>
      <c r="J276" s="45" t="n">
        <v>1</v>
      </c>
    </row>
    <row r="277" s="83">
      <c r="A277" s="27" t="inlineStr">
        <is>
          <t>101201</t>
        </is>
      </c>
      <c r="B277" s="27" t="n"/>
      <c r="C277" s="27" t="inlineStr">
        <is>
          <t>2025-01-17</t>
        </is>
      </c>
      <c r="D277" s="27" t="inlineStr">
        <is>
          <t>Q0401</t>
        </is>
      </c>
      <c r="E277" s="27" t="n"/>
      <c r="F277" s="27" t="inlineStr">
        <is>
          <t>浙江精准学科技有限公司</t>
        </is>
      </c>
      <c r="G277" s="27" t="inlineStr">
        <is>
          <t>记-57</t>
        </is>
      </c>
      <c r="H277" s="27" t="n"/>
      <c r="I277" s="44" t="n"/>
      <c r="J277" s="45" t="n">
        <v>1</v>
      </c>
    </row>
    <row r="278" s="83">
      <c r="A278" s="26" t="inlineStr">
        <is>
          <t>101201</t>
        </is>
      </c>
      <c r="B278" s="26" t="n"/>
      <c r="C278" s="26" t="inlineStr">
        <is>
          <t>2025-01-17</t>
        </is>
      </c>
      <c r="D278" s="26" t="inlineStr">
        <is>
          <t>Q0401</t>
        </is>
      </c>
      <c r="E278" s="26" t="n"/>
      <c r="F278" s="26" t="inlineStr">
        <is>
          <t>浙江精准学科技有限公司</t>
        </is>
      </c>
      <c r="G278" s="26" t="inlineStr">
        <is>
          <t>记-69</t>
        </is>
      </c>
      <c r="H278" s="26" t="n"/>
      <c r="I278" s="45" t="n"/>
      <c r="J278" s="45" t="n">
        <v>1</v>
      </c>
    </row>
    <row r="279" s="83">
      <c r="A279" s="27" t="inlineStr">
        <is>
          <t>101201</t>
        </is>
      </c>
      <c r="B279" s="27" t="n"/>
      <c r="C279" s="27" t="inlineStr">
        <is>
          <t>2025-01-20</t>
        </is>
      </c>
      <c r="D279" s="27" t="inlineStr">
        <is>
          <t>Q0401</t>
        </is>
      </c>
      <c r="E279" s="27" t="n"/>
      <c r="F279" s="27" t="inlineStr">
        <is>
          <t>浙江精准学科技有限公司</t>
        </is>
      </c>
      <c r="G279" s="27" t="inlineStr">
        <is>
          <t>记-71</t>
        </is>
      </c>
      <c r="H279" s="27" t="n"/>
      <c r="I279" s="44" t="n"/>
      <c r="J279" s="45" t="n">
        <v>1</v>
      </c>
    </row>
    <row r="280" s="83">
      <c r="A280" s="26" t="inlineStr">
        <is>
          <t>101201</t>
        </is>
      </c>
      <c r="B280" s="26" t="n"/>
      <c r="C280" s="26" t="inlineStr">
        <is>
          <t>2025-01-21</t>
        </is>
      </c>
      <c r="D280" s="26" t="inlineStr">
        <is>
          <t>Q0401</t>
        </is>
      </c>
      <c r="E280" s="26" t="n"/>
      <c r="F280" s="26" t="inlineStr">
        <is>
          <t>浙江精准学科技有限公司</t>
        </is>
      </c>
      <c r="G280" s="26" t="inlineStr">
        <is>
          <t>记-80</t>
        </is>
      </c>
      <c r="H280" s="26" t="n"/>
      <c r="I280" s="45" t="n"/>
      <c r="J280" s="45" t="n">
        <v>1</v>
      </c>
    </row>
    <row r="281" s="83">
      <c r="A281" s="27" t="inlineStr">
        <is>
          <t>101201</t>
        </is>
      </c>
      <c r="B281" s="27" t="n"/>
      <c r="C281" s="27" t="inlineStr">
        <is>
          <t>2025-01-23</t>
        </is>
      </c>
      <c r="D281" s="27" t="inlineStr">
        <is>
          <t>Q0401</t>
        </is>
      </c>
      <c r="E281" s="27" t="n"/>
      <c r="F281" s="27" t="inlineStr">
        <is>
          <t>浙江精准学科技有限公司</t>
        </is>
      </c>
      <c r="G281" s="27" t="inlineStr">
        <is>
          <t>记-100</t>
        </is>
      </c>
      <c r="H281" s="27" t="n"/>
      <c r="I281" s="44" t="n"/>
      <c r="J281" s="45" t="n">
        <v>1</v>
      </c>
    </row>
    <row r="282" s="83">
      <c r="A282" s="26" t="inlineStr">
        <is>
          <t>101201</t>
        </is>
      </c>
      <c r="B282" s="26" t="n"/>
      <c r="C282" s="26" t="inlineStr">
        <is>
          <t>2025-01-24</t>
        </is>
      </c>
      <c r="D282" s="26" t="inlineStr">
        <is>
          <t>Q0401</t>
        </is>
      </c>
      <c r="E282" s="26" t="n"/>
      <c r="F282" s="26" t="inlineStr">
        <is>
          <t>浙江精准学科技有限公司</t>
        </is>
      </c>
      <c r="G282" s="26" t="inlineStr">
        <is>
          <t>记-122</t>
        </is>
      </c>
      <c r="H282" s="26" t="n"/>
      <c r="I282" s="45" t="n"/>
      <c r="J282" s="45" t="n">
        <v>1</v>
      </c>
    </row>
    <row r="283" s="83">
      <c r="A283" s="27" t="inlineStr">
        <is>
          <t>101201</t>
        </is>
      </c>
      <c r="B283" s="27" t="n"/>
      <c r="C283" s="27" t="inlineStr">
        <is>
          <t>2025-01-25</t>
        </is>
      </c>
      <c r="D283" s="27" t="inlineStr">
        <is>
          <t>Q0401</t>
        </is>
      </c>
      <c r="E283" s="27" t="n"/>
      <c r="F283" s="27" t="inlineStr">
        <is>
          <t>浙江精准学科技有限公司</t>
        </is>
      </c>
      <c r="G283" s="27" t="inlineStr">
        <is>
          <t>记-152</t>
        </is>
      </c>
      <c r="H283" s="27" t="n"/>
      <c r="I283" s="44" t="n"/>
      <c r="J283" s="45" t="n">
        <v>1</v>
      </c>
    </row>
    <row r="284" s="83">
      <c r="A284" s="26" t="inlineStr">
        <is>
          <t>101201</t>
        </is>
      </c>
      <c r="B284" s="26" t="n"/>
      <c r="C284" s="26" t="inlineStr">
        <is>
          <t>2025-01-31</t>
        </is>
      </c>
      <c r="D284" s="26" t="inlineStr">
        <is>
          <t>Q0402</t>
        </is>
      </c>
      <c r="E284" s="26" t="n"/>
      <c r="F284" s="26" t="inlineStr">
        <is>
          <t>浙江精准学科技有限公司</t>
        </is>
      </c>
      <c r="G284" s="26" t="inlineStr">
        <is>
          <t>记-179</t>
        </is>
      </c>
      <c r="H284" s="26" t="n"/>
      <c r="I284" s="45" t="n">
        <v>1</v>
      </c>
      <c r="J284" s="45" t="n"/>
    </row>
    <row r="285" s="83">
      <c r="A285" s="27" t="inlineStr">
        <is>
          <t>101201</t>
        </is>
      </c>
      <c r="B285" s="27" t="n"/>
      <c r="C285" s="27" t="inlineStr">
        <is>
          <t>2025-01-31</t>
        </is>
      </c>
      <c r="D285" s="27" t="inlineStr">
        <is>
          <t>Q2201</t>
        </is>
      </c>
      <c r="E285" s="27" t="n"/>
      <c r="F285" s="27" t="inlineStr">
        <is>
          <t>浙江精准学科技有限公司</t>
        </is>
      </c>
      <c r="G285" s="27" t="inlineStr">
        <is>
          <t>记-169</t>
        </is>
      </c>
      <c r="H285" s="27" t="n"/>
      <c r="I285" s="44" t="n"/>
      <c r="J285" s="45" t="n">
        <v>1</v>
      </c>
    </row>
    <row r="286" s="83">
      <c r="A286" s="26" t="inlineStr">
        <is>
          <t>101201</t>
        </is>
      </c>
      <c r="B286" s="26" t="n"/>
      <c r="C286" s="26" t="inlineStr">
        <is>
          <t>2025-01-31</t>
        </is>
      </c>
      <c r="D286" s="26" t="inlineStr">
        <is>
          <t>Q2201</t>
        </is>
      </c>
      <c r="E286" s="26" t="n"/>
      <c r="F286" s="26" t="inlineStr">
        <is>
          <t>浙江精准学科技有限公司</t>
        </is>
      </c>
      <c r="G286" s="26" t="inlineStr">
        <is>
          <t>记-169</t>
        </is>
      </c>
      <c r="H286" s="26" t="n"/>
      <c r="I286" s="45" t="n"/>
      <c r="J286" s="45" t="n">
        <v>1</v>
      </c>
    </row>
    <row r="287" s="83">
      <c r="A287" s="27" t="inlineStr">
        <is>
          <t>101201</t>
        </is>
      </c>
      <c r="B287" s="27" t="n"/>
      <c r="C287" s="27" t="inlineStr">
        <is>
          <t>2025-01-31</t>
        </is>
      </c>
      <c r="D287" s="27" t="inlineStr">
        <is>
          <t>Q2201</t>
        </is>
      </c>
      <c r="E287" s="27" t="n"/>
      <c r="F287" s="27" t="inlineStr">
        <is>
          <t>浙江精准学科技有限公司</t>
        </is>
      </c>
      <c r="G287" s="27" t="inlineStr">
        <is>
          <t>记-169</t>
        </is>
      </c>
      <c r="H287" s="27" t="n"/>
      <c r="I287" s="45" t="n">
        <v>1</v>
      </c>
      <c r="J287" s="44" t="n"/>
    </row>
    <row r="288" s="83">
      <c r="A288" s="26" t="inlineStr">
        <is>
          <t>101201</t>
        </is>
      </c>
      <c r="B288" s="26" t="n"/>
      <c r="C288" s="26" t="inlineStr">
        <is>
          <t>2025-01-31</t>
        </is>
      </c>
      <c r="D288" s="26" t="inlineStr">
        <is>
          <t>Q2202</t>
        </is>
      </c>
      <c r="E288" s="26" t="n"/>
      <c r="F288" s="26" t="inlineStr">
        <is>
          <t>浙江精准学科技有限公司</t>
        </is>
      </c>
      <c r="G288" s="26" t="inlineStr">
        <is>
          <t>记-170</t>
        </is>
      </c>
      <c r="H288" s="26" t="n"/>
      <c r="I288" s="45" t="n"/>
      <c r="J288" s="45" t="n">
        <v>1</v>
      </c>
    </row>
    <row r="289" s="83">
      <c r="A289" s="27" t="inlineStr">
        <is>
          <t>101201</t>
        </is>
      </c>
      <c r="B289" s="27" t="n"/>
      <c r="C289" s="27" t="inlineStr">
        <is>
          <t>2025-01-31</t>
        </is>
      </c>
      <c r="D289" s="27" t="inlineStr">
        <is>
          <t>Q2202</t>
        </is>
      </c>
      <c r="E289" s="27" t="n"/>
      <c r="F289" s="27" t="inlineStr">
        <is>
          <t>浙江精准学科技有限公司</t>
        </is>
      </c>
      <c r="G289" s="27" t="inlineStr">
        <is>
          <t>记-178</t>
        </is>
      </c>
      <c r="H289" s="27" t="n"/>
      <c r="I289" s="45" t="n">
        <v>1</v>
      </c>
      <c r="J289" s="44" t="n"/>
    </row>
    <row r="290" s="83">
      <c r="A290" s="26" t="inlineStr">
        <is>
          <t>101201</t>
        </is>
      </c>
      <c r="B290" s="26" t="n"/>
      <c r="C290" s="26" t="inlineStr">
        <is>
          <t>2025-01-31</t>
        </is>
      </c>
      <c r="D290" s="26" t="inlineStr">
        <is>
          <t>Q2202</t>
        </is>
      </c>
      <c r="E290" s="26" t="n"/>
      <c r="F290" s="26" t="inlineStr">
        <is>
          <t>浙江精准学科技有限公司</t>
        </is>
      </c>
      <c r="G290" s="26" t="inlineStr">
        <is>
          <t>记-184</t>
        </is>
      </c>
      <c r="H290" s="26" t="n"/>
      <c r="I290" s="45" t="n"/>
      <c r="J290" s="45" t="n">
        <v>1</v>
      </c>
    </row>
    <row r="291" s="83">
      <c r="A291" s="26" t="inlineStr">
        <is>
          <t>101201</t>
        </is>
      </c>
      <c r="B291" s="26" t="n"/>
      <c r="C291" s="26" t="inlineStr">
        <is>
          <t>2025-01-31</t>
        </is>
      </c>
      <c r="D291" s="26" t="inlineStr">
        <is>
          <t>Q2204</t>
        </is>
      </c>
      <c r="E291" s="26" t="n"/>
      <c r="F291" s="26" t="inlineStr">
        <is>
          <t>浙江精准学科技有限公司</t>
        </is>
      </c>
      <c r="G291" s="26" t="inlineStr">
        <is>
          <t>记-169</t>
        </is>
      </c>
      <c r="H291" s="26" t="n"/>
      <c r="I291" s="45" t="n"/>
      <c r="J291" s="45" t="n">
        <v>1</v>
      </c>
    </row>
    <row r="292" s="83">
      <c r="A292" s="27" t="inlineStr">
        <is>
          <t>101201</t>
        </is>
      </c>
      <c r="B292" s="27" t="n"/>
      <c r="C292" s="27" t="inlineStr">
        <is>
          <t>2025-01-31</t>
        </is>
      </c>
      <c r="D292" s="27" t="inlineStr">
        <is>
          <t>Q2207</t>
        </is>
      </c>
      <c r="E292" s="27" t="n"/>
      <c r="F292" s="27" t="inlineStr">
        <is>
          <t>浙江精准学科技有限公司</t>
        </is>
      </c>
      <c r="G292" s="27" t="inlineStr">
        <is>
          <t>记-169</t>
        </is>
      </c>
      <c r="H292" s="27" t="n"/>
      <c r="I292" s="44" t="n"/>
      <c r="J292" s="45" t="n">
        <v>1</v>
      </c>
    </row>
    <row r="293" s="83">
      <c r="A293" s="26" t="inlineStr">
        <is>
          <t>101201</t>
        </is>
      </c>
      <c r="B293" s="26" t="n"/>
      <c r="C293" s="26" t="inlineStr">
        <is>
          <t>2025-01-31</t>
        </is>
      </c>
      <c r="D293" s="26" t="inlineStr">
        <is>
          <t>Q2208</t>
        </is>
      </c>
      <c r="E293" s="26" t="n"/>
      <c r="F293" s="26" t="inlineStr">
        <is>
          <t>浙江精准学科技有限公司</t>
        </is>
      </c>
      <c r="G293" s="26" t="inlineStr">
        <is>
          <t>记-169</t>
        </is>
      </c>
      <c r="H293" s="26" t="n"/>
      <c r="I293" s="45" t="n"/>
      <c r="J293" s="45" t="n">
        <v>1</v>
      </c>
    </row>
    <row r="294" s="83">
      <c r="A294" s="27" t="inlineStr">
        <is>
          <t>101201</t>
        </is>
      </c>
      <c r="B294" s="27" t="n"/>
      <c r="C294" s="27" t="inlineStr">
        <is>
          <t>2025-01-31</t>
        </is>
      </c>
      <c r="D294" s="27" t="inlineStr">
        <is>
          <t>Q2209</t>
        </is>
      </c>
      <c r="E294" s="27" t="n"/>
      <c r="F294" s="27" t="inlineStr">
        <is>
          <t>浙江精准学科技有限公司</t>
        </is>
      </c>
      <c r="G294" s="27" t="inlineStr">
        <is>
          <t>记-169</t>
        </is>
      </c>
      <c r="H294" s="27" t="n"/>
      <c r="I294" s="44" t="n"/>
      <c r="J294" s="45" t="n">
        <v>1</v>
      </c>
    </row>
    <row r="295" s="83">
      <c r="A295" s="26" t="inlineStr">
        <is>
          <t>101202</t>
        </is>
      </c>
      <c r="B295" s="26" t="n"/>
      <c r="C295" s="26" t="inlineStr">
        <is>
          <t>2025-01-31</t>
        </is>
      </c>
      <c r="D295" s="26" t="inlineStr">
        <is>
          <t>Q0303</t>
        </is>
      </c>
      <c r="E295" s="26" t="n"/>
      <c r="F295" s="26" t="inlineStr">
        <is>
          <t>浙江精准学科技有限公司</t>
        </is>
      </c>
      <c r="G295" s="26" t="inlineStr">
        <is>
          <t>记-183</t>
        </is>
      </c>
      <c r="H295" s="26" t="n"/>
      <c r="I295" s="45" t="n">
        <v>1</v>
      </c>
      <c r="J295" s="45" t="n"/>
    </row>
    <row r="296" s="83">
      <c r="A296" s="26" t="inlineStr">
        <is>
          <t>101203</t>
        </is>
      </c>
      <c r="B296" s="26" t="n"/>
      <c r="C296" s="26" t="inlineStr">
        <is>
          <t>2025-01-31</t>
        </is>
      </c>
      <c r="D296" s="26" t="inlineStr">
        <is>
          <t>Q0101</t>
        </is>
      </c>
      <c r="E296" s="26" t="n"/>
      <c r="F296" s="26" t="inlineStr">
        <is>
          <t>浙江精准学科技有限公司</t>
        </is>
      </c>
      <c r="G296" s="26" t="inlineStr">
        <is>
          <t>记-155</t>
        </is>
      </c>
      <c r="H296" s="26" t="n"/>
      <c r="I296" s="45" t="n">
        <v>1</v>
      </c>
      <c r="J296" s="45" t="n"/>
    </row>
    <row r="297" s="83">
      <c r="A297" s="26" t="inlineStr">
        <is>
          <t>101203</t>
        </is>
      </c>
      <c r="B297" s="26" t="n"/>
      <c r="C297" s="26" t="inlineStr">
        <is>
          <t>2025-01-31</t>
        </is>
      </c>
      <c r="D297" s="26" t="inlineStr">
        <is>
          <t>Q0103</t>
        </is>
      </c>
      <c r="E297" s="26" t="n"/>
      <c r="F297" s="26" t="inlineStr">
        <is>
          <t>浙江精准学科技有限公司</t>
        </is>
      </c>
      <c r="G297" s="26" t="inlineStr">
        <is>
          <t>记-155</t>
        </is>
      </c>
      <c r="H297" s="26" t="n"/>
      <c r="I297" s="45" t="n">
        <v>1</v>
      </c>
      <c r="J297" s="45" t="n"/>
    </row>
    <row r="298" s="83">
      <c r="A298" s="27" t="inlineStr">
        <is>
          <t>101203</t>
        </is>
      </c>
      <c r="B298" s="27" t="n"/>
      <c r="C298" s="27" t="inlineStr">
        <is>
          <t>2025-01-31</t>
        </is>
      </c>
      <c r="D298" s="27" t="inlineStr">
        <is>
          <t>Q0101</t>
        </is>
      </c>
      <c r="E298" s="27" t="n"/>
      <c r="F298" s="27" t="inlineStr">
        <is>
          <t>浙江精准学科技有限公司</t>
        </is>
      </c>
      <c r="G298" s="27" t="inlineStr">
        <is>
          <t>记-157</t>
        </is>
      </c>
      <c r="H298" s="27" t="n"/>
      <c r="I298" s="44" t="n"/>
      <c r="J298" s="45" t="n">
        <v>1</v>
      </c>
    </row>
    <row r="299" s="83">
      <c r="A299" s="26" t="inlineStr">
        <is>
          <t>101203</t>
        </is>
      </c>
      <c r="B299" s="26" t="n"/>
      <c r="C299" s="26" t="inlineStr">
        <is>
          <t>2025-01-31</t>
        </is>
      </c>
      <c r="D299" s="26" t="inlineStr">
        <is>
          <t>Q0101</t>
        </is>
      </c>
      <c r="E299" s="26" t="n"/>
      <c r="F299" s="26" t="inlineStr">
        <is>
          <t>浙江精准学科技有限公司</t>
        </is>
      </c>
      <c r="G299" s="26" t="inlineStr">
        <is>
          <t>记-159</t>
        </is>
      </c>
      <c r="H299" s="26" t="n"/>
      <c r="I299" s="45" t="n"/>
      <c r="J299" s="45" t="n">
        <v>1</v>
      </c>
    </row>
    <row r="300" s="83">
      <c r="A300" s="27" t="inlineStr">
        <is>
          <t>101203</t>
        </is>
      </c>
      <c r="B300" s="27" t="n"/>
      <c r="C300" s="27" t="inlineStr">
        <is>
          <t>2025-01-31</t>
        </is>
      </c>
      <c r="D300" s="27" t="inlineStr">
        <is>
          <t>Q0103</t>
        </is>
      </c>
      <c r="E300" s="27" t="n"/>
      <c r="F300" s="27" t="inlineStr">
        <is>
          <t>浙江精准学科技有限公司</t>
        </is>
      </c>
      <c r="G300" s="27" t="inlineStr">
        <is>
          <t>记-160</t>
        </is>
      </c>
      <c r="H300" s="27" t="n"/>
      <c r="I300" s="44" t="n"/>
      <c r="J300" s="45" t="n">
        <v>1</v>
      </c>
    </row>
    <row r="301" s="83">
      <c r="A301" s="26" t="inlineStr">
        <is>
          <t>101203</t>
        </is>
      </c>
      <c r="B301" s="26" t="n"/>
      <c r="C301" s="26" t="inlineStr">
        <is>
          <t>2025-01-31</t>
        </is>
      </c>
      <c r="D301" s="26" t="inlineStr">
        <is>
          <t>Q0103</t>
        </is>
      </c>
      <c r="E301" s="26" t="n"/>
      <c r="F301" s="26" t="inlineStr">
        <is>
          <t>浙江精准学科技有限公司</t>
        </is>
      </c>
      <c r="G301" s="26" t="inlineStr">
        <is>
          <t>记-161</t>
        </is>
      </c>
      <c r="H301" s="26" t="n"/>
      <c r="I301" s="45" t="n">
        <v>1</v>
      </c>
      <c r="J301" s="45" t="n"/>
    </row>
    <row r="302" s="83">
      <c r="A302" s="27" t="inlineStr">
        <is>
          <t>101203</t>
        </is>
      </c>
      <c r="B302" s="27" t="n"/>
      <c r="C302" s="27" t="inlineStr">
        <is>
          <t>2025-01-03</t>
        </is>
      </c>
      <c r="D302" s="27" t="inlineStr">
        <is>
          <t>Q0401</t>
        </is>
      </c>
      <c r="E302" s="27" t="n"/>
      <c r="F302" s="27" t="inlineStr">
        <is>
          <t>浙江精准学科技有限公司</t>
        </is>
      </c>
      <c r="G302" s="27" t="inlineStr">
        <is>
          <t>记-4</t>
        </is>
      </c>
      <c r="H302" s="27" t="n"/>
      <c r="I302" s="44" t="n"/>
      <c r="J302" s="45" t="n">
        <v>1</v>
      </c>
    </row>
    <row r="303" s="83">
      <c r="A303" s="26" t="inlineStr">
        <is>
          <t>101203</t>
        </is>
      </c>
      <c r="B303" s="26" t="n"/>
      <c r="C303" s="26" t="inlineStr">
        <is>
          <t>2025-01-06</t>
        </is>
      </c>
      <c r="D303" s="26" t="inlineStr">
        <is>
          <t>Q0401</t>
        </is>
      </c>
      <c r="E303" s="26" t="n"/>
      <c r="F303" s="26" t="inlineStr">
        <is>
          <t>浙江精准学科技有限公司</t>
        </is>
      </c>
      <c r="G303" s="26" t="inlineStr">
        <is>
          <t>记-9</t>
        </is>
      </c>
      <c r="H303" s="26" t="n"/>
      <c r="I303" s="45" t="n"/>
      <c r="J303" s="45" t="n">
        <v>1</v>
      </c>
    </row>
    <row r="304" s="83">
      <c r="A304" s="27" t="inlineStr">
        <is>
          <t>101203</t>
        </is>
      </c>
      <c r="B304" s="27" t="n"/>
      <c r="C304" s="27" t="inlineStr">
        <is>
          <t>2025-01-15</t>
        </is>
      </c>
      <c r="D304" s="27" t="inlineStr">
        <is>
          <t>Q0401</t>
        </is>
      </c>
      <c r="E304" s="27" t="n"/>
      <c r="F304" s="27" t="inlineStr">
        <is>
          <t>浙江精准学科技有限公司</t>
        </is>
      </c>
      <c r="G304" s="27" t="inlineStr">
        <is>
          <t>记-48</t>
        </is>
      </c>
      <c r="H304" s="27" t="n"/>
      <c r="I304" s="44" t="n"/>
      <c r="J304" s="45" t="n">
        <v>1</v>
      </c>
    </row>
    <row r="305" s="83">
      <c r="A305" s="26" t="inlineStr">
        <is>
          <t>101203</t>
        </is>
      </c>
      <c r="B305" s="26" t="n"/>
      <c r="C305" s="26" t="inlineStr">
        <is>
          <t>2025-01-17</t>
        </is>
      </c>
      <c r="D305" s="26" t="inlineStr">
        <is>
          <t>Q0401</t>
        </is>
      </c>
      <c r="E305" s="26" t="n"/>
      <c r="F305" s="26" t="inlineStr">
        <is>
          <t>浙江精准学科技有限公司</t>
        </is>
      </c>
      <c r="G305" s="26" t="inlineStr">
        <is>
          <t>记-67</t>
        </is>
      </c>
      <c r="H305" s="26" t="n"/>
      <c r="I305" s="45" t="n"/>
      <c r="J305" s="45" t="n">
        <v>1</v>
      </c>
    </row>
    <row r="306" s="83">
      <c r="A306" s="27" t="inlineStr">
        <is>
          <t>101203</t>
        </is>
      </c>
      <c r="B306" s="27" t="n"/>
      <c r="C306" s="27" t="inlineStr">
        <is>
          <t>2025-01-20</t>
        </is>
      </c>
      <c r="D306" s="27" t="inlineStr">
        <is>
          <t>Q0401</t>
        </is>
      </c>
      <c r="E306" s="27" t="n"/>
      <c r="F306" s="27" t="inlineStr">
        <is>
          <t>浙江精准学科技有限公司</t>
        </is>
      </c>
      <c r="G306" s="27" t="inlineStr">
        <is>
          <t>记-72</t>
        </is>
      </c>
      <c r="H306" s="27" t="n"/>
      <c r="I306" s="44" t="n"/>
      <c r="J306" s="45" t="n">
        <v>1</v>
      </c>
    </row>
    <row r="307" s="83">
      <c r="A307" s="26" t="inlineStr">
        <is>
          <t>101203</t>
        </is>
      </c>
      <c r="B307" s="26" t="n"/>
      <c r="C307" s="26" t="inlineStr">
        <is>
          <t>2025-01-22</t>
        </is>
      </c>
      <c r="D307" s="26" t="inlineStr">
        <is>
          <t>Q0401</t>
        </is>
      </c>
      <c r="E307" s="26" t="n"/>
      <c r="F307" s="26" t="inlineStr">
        <is>
          <t>浙江精准学科技有限公司</t>
        </is>
      </c>
      <c r="G307" s="26" t="inlineStr">
        <is>
          <t>记-87</t>
        </is>
      </c>
      <c r="H307" s="26" t="n"/>
      <c r="I307" s="45" t="n"/>
      <c r="J307" s="45" t="n">
        <v>1</v>
      </c>
    </row>
    <row r="308" s="83">
      <c r="A308" s="27" t="inlineStr">
        <is>
          <t>101203</t>
        </is>
      </c>
      <c r="B308" s="27" t="n"/>
      <c r="C308" s="27" t="inlineStr">
        <is>
          <t>2025-01-24</t>
        </is>
      </c>
      <c r="D308" s="27" t="inlineStr">
        <is>
          <t>Q0401</t>
        </is>
      </c>
      <c r="E308" s="27" t="n"/>
      <c r="F308" s="27" t="inlineStr">
        <is>
          <t>浙江精准学科技有限公司</t>
        </is>
      </c>
      <c r="G308" s="27" t="inlineStr">
        <is>
          <t>记-124</t>
        </is>
      </c>
      <c r="H308" s="27" t="n"/>
      <c r="I308" s="44" t="n"/>
      <c r="J308" s="45" t="n">
        <v>1</v>
      </c>
    </row>
    <row r="309" s="83">
      <c r="A309" s="26" t="inlineStr">
        <is>
          <t>101203</t>
        </is>
      </c>
      <c r="B309" s="26" t="n"/>
      <c r="C309" s="26" t="inlineStr">
        <is>
          <t>2025-01-29</t>
        </is>
      </c>
      <c r="D309" s="26" t="inlineStr">
        <is>
          <t>Q0401</t>
        </is>
      </c>
      <c r="E309" s="26" t="n"/>
      <c r="F309" s="26" t="inlineStr">
        <is>
          <t>浙江精准学科技有限公司</t>
        </is>
      </c>
      <c r="G309" s="26" t="inlineStr">
        <is>
          <t>记-153</t>
        </is>
      </c>
      <c r="H309" s="26" t="n"/>
      <c r="I309" s="45" t="n"/>
      <c r="J309" s="45" t="n">
        <v>1</v>
      </c>
    </row>
    <row r="310" s="83">
      <c r="A310" s="27" t="inlineStr">
        <is>
          <t>101203</t>
        </is>
      </c>
      <c r="B310" s="27" t="n"/>
      <c r="C310" s="27" t="inlineStr">
        <is>
          <t>2025-01-31</t>
        </is>
      </c>
      <c r="D310" s="27" t="inlineStr">
        <is>
          <t>Q2201</t>
        </is>
      </c>
      <c r="E310" s="27" t="n"/>
      <c r="F310" s="27" t="inlineStr">
        <is>
          <t>浙江精准学科技有限公司</t>
        </is>
      </c>
      <c r="G310" s="27" t="inlineStr">
        <is>
          <t>记-158</t>
        </is>
      </c>
      <c r="H310" s="27" t="n"/>
      <c r="I310" s="44" t="n"/>
      <c r="J310" s="45" t="n">
        <v>1</v>
      </c>
    </row>
    <row r="311" s="83">
      <c r="A311" s="26" t="inlineStr">
        <is>
          <t>101203</t>
        </is>
      </c>
      <c r="B311" s="26" t="n"/>
      <c r="C311" s="26" t="inlineStr">
        <is>
          <t>2025-01-31</t>
        </is>
      </c>
      <c r="D311" s="26" t="inlineStr">
        <is>
          <t>Q2201</t>
        </is>
      </c>
      <c r="E311" s="26" t="n"/>
      <c r="F311" s="26" t="inlineStr">
        <is>
          <t>浙江精准学科技有限公司</t>
        </is>
      </c>
      <c r="G311" s="26" t="inlineStr">
        <is>
          <t>记-158</t>
        </is>
      </c>
      <c r="H311" s="26" t="n"/>
      <c r="I311" s="45" t="n">
        <v>1</v>
      </c>
      <c r="J311" s="45" t="n"/>
    </row>
    <row r="312" s="83">
      <c r="A312" s="27" t="inlineStr">
        <is>
          <t>101203</t>
        </is>
      </c>
      <c r="B312" s="27" t="n"/>
      <c r="C312" s="27" t="inlineStr">
        <is>
          <t>2025-01-31</t>
        </is>
      </c>
      <c r="D312" s="27" t="inlineStr">
        <is>
          <t>Q2204</t>
        </is>
      </c>
      <c r="E312" s="27" t="n"/>
      <c r="F312" s="27" t="inlineStr">
        <is>
          <t>浙江精准学科技有限公司</t>
        </is>
      </c>
      <c r="G312" s="27" t="inlineStr">
        <is>
          <t>记-158</t>
        </is>
      </c>
      <c r="H312" s="27" t="n"/>
      <c r="I312" s="45" t="n">
        <v>1</v>
      </c>
      <c r="J312" s="44" t="n"/>
    </row>
    <row r="313" s="83">
      <c r="A313" s="26" t="inlineStr">
        <is>
          <t>101203</t>
        </is>
      </c>
      <c r="B313" s="26" t="n"/>
      <c r="C313" s="26" t="inlineStr">
        <is>
          <t>2025-01-31</t>
        </is>
      </c>
      <c r="D313" s="26" t="inlineStr">
        <is>
          <t>Q2204</t>
        </is>
      </c>
      <c r="E313" s="26" t="n"/>
      <c r="F313" s="26" t="inlineStr">
        <is>
          <t>浙江精准学科技有限公司</t>
        </is>
      </c>
      <c r="G313" s="26" t="inlineStr">
        <is>
          <t>记-158</t>
        </is>
      </c>
      <c r="H313" s="26" t="n"/>
      <c r="I313" s="45" t="n"/>
      <c r="J313" s="45" t="n">
        <v>1</v>
      </c>
    </row>
    <row r="314" s="83">
      <c r="A314" s="27" t="inlineStr">
        <is>
          <t>101203</t>
        </is>
      </c>
      <c r="B314" s="27" t="n"/>
      <c r="C314" s="27" t="inlineStr">
        <is>
          <t>2025-01-31</t>
        </is>
      </c>
      <c r="D314" s="27" t="inlineStr">
        <is>
          <t>Q2205</t>
        </is>
      </c>
      <c r="E314" s="27" t="n"/>
      <c r="F314" s="27" t="inlineStr">
        <is>
          <t>浙江精准学科技有限公司</t>
        </is>
      </c>
      <c r="G314" s="27" t="inlineStr">
        <is>
          <t>记-158</t>
        </is>
      </c>
      <c r="H314" s="27" t="n"/>
      <c r="I314" s="44" t="n"/>
      <c r="J314" s="45" t="n">
        <v>1</v>
      </c>
    </row>
    <row r="315" s="83">
      <c r="A315" s="27" t="inlineStr">
        <is>
          <t>101203</t>
        </is>
      </c>
      <c r="B315" s="27" t="n"/>
      <c r="C315" s="27" t="inlineStr">
        <is>
          <t>2025-01-31</t>
        </is>
      </c>
      <c r="D315" s="27" t="inlineStr">
        <is>
          <t>Q2402</t>
        </is>
      </c>
      <c r="E315" s="27" t="n"/>
      <c r="F315" s="27" t="inlineStr">
        <is>
          <t>浙江精准学科技有限公司</t>
        </is>
      </c>
      <c r="G315" s="27" t="inlineStr">
        <is>
          <t>记-158</t>
        </is>
      </c>
      <c r="H315" s="27" t="n"/>
      <c r="I315" s="44" t="n"/>
      <c r="J315" s="45" t="n">
        <v>1</v>
      </c>
    </row>
    <row r="316" s="83">
      <c r="A316" s="26" t="inlineStr">
        <is>
          <t>101203</t>
        </is>
      </c>
      <c r="B316" s="26" t="n"/>
      <c r="C316" s="26" t="inlineStr">
        <is>
          <t>2025-01-31</t>
        </is>
      </c>
      <c r="D316" s="26" t="inlineStr">
        <is>
          <t>Q2402</t>
        </is>
      </c>
      <c r="E316" s="26" t="n"/>
      <c r="F316" s="26" t="inlineStr">
        <is>
          <t>浙江精准学科技有限公司</t>
        </is>
      </c>
      <c r="G316" s="26" t="inlineStr">
        <is>
          <t>记-158</t>
        </is>
      </c>
      <c r="H316" s="26" t="n"/>
      <c r="I316" s="45" t="n"/>
      <c r="J316" s="45" t="n">
        <v>1</v>
      </c>
    </row>
    <row r="317" s="83">
      <c r="A317" s="27" t="inlineStr">
        <is>
          <t>101203</t>
        </is>
      </c>
      <c r="B317" s="27" t="n"/>
      <c r="C317" s="27" t="inlineStr">
        <is>
          <t>2025-01-31</t>
        </is>
      </c>
      <c r="D317" s="27" t="inlineStr">
        <is>
          <t>Q2501</t>
        </is>
      </c>
      <c r="E317" s="27" t="n"/>
      <c r="F317" s="27" t="inlineStr">
        <is>
          <t>浙江精准学科技有限公司</t>
        </is>
      </c>
      <c r="G317" s="27" t="inlineStr">
        <is>
          <t>记-158</t>
        </is>
      </c>
      <c r="H317" s="27" t="n"/>
      <c r="I317" s="44" t="n"/>
      <c r="J317" s="45" t="n">
        <v>1</v>
      </c>
    </row>
    <row r="318" s="83">
      <c r="A318" s="26" t="inlineStr">
        <is>
          <t>101207</t>
        </is>
      </c>
      <c r="B318" s="26" t="n"/>
      <c r="C318" s="26" t="inlineStr">
        <is>
          <t>2025-01-31</t>
        </is>
      </c>
      <c r="D318" s="26" t="inlineStr">
        <is>
          <t>Q0101</t>
        </is>
      </c>
      <c r="E318" s="26" t="n"/>
      <c r="F318" s="26" t="inlineStr">
        <is>
          <t>浙江精准学科技有限公司</t>
        </is>
      </c>
      <c r="G318" s="26" t="inlineStr">
        <is>
          <t>记-162</t>
        </is>
      </c>
      <c r="H318" s="26" t="n"/>
      <c r="I318" s="45" t="n">
        <v>1</v>
      </c>
      <c r="J318" s="45" t="n"/>
    </row>
    <row r="319" s="83">
      <c r="A319" s="27" t="inlineStr">
        <is>
          <t>101207</t>
        </is>
      </c>
      <c r="B319" s="27" t="n"/>
      <c r="C319" s="27" t="inlineStr">
        <is>
          <t>2025-01-31</t>
        </is>
      </c>
      <c r="D319" s="27" t="inlineStr">
        <is>
          <t>Q0101</t>
        </is>
      </c>
      <c r="E319" s="27" t="n"/>
      <c r="F319" s="27" t="inlineStr">
        <is>
          <t>浙江精准学科技有限公司</t>
        </is>
      </c>
      <c r="G319" s="27" t="inlineStr">
        <is>
          <t>记-164</t>
        </is>
      </c>
      <c r="H319" s="27" t="n"/>
      <c r="I319" s="44" t="n"/>
      <c r="J319" s="45" t="n">
        <v>1</v>
      </c>
    </row>
    <row r="320" s="83">
      <c r="A320" s="26" t="inlineStr">
        <is>
          <t>101207</t>
        </is>
      </c>
      <c r="B320" s="26" t="n"/>
      <c r="C320" s="26" t="inlineStr">
        <is>
          <t>2025-01-31</t>
        </is>
      </c>
      <c r="D320" s="26" t="inlineStr">
        <is>
          <t>Q0101</t>
        </is>
      </c>
      <c r="E320" s="26" t="n"/>
      <c r="F320" s="26" t="inlineStr">
        <is>
          <t>浙江精准学科技有限公司</t>
        </is>
      </c>
      <c r="G320" s="26" t="inlineStr">
        <is>
          <t>记-165</t>
        </is>
      </c>
      <c r="H320" s="26" t="n"/>
      <c r="I320" s="45" t="n"/>
      <c r="J320" s="45" t="n">
        <v>1</v>
      </c>
    </row>
    <row r="321" s="83">
      <c r="A321" s="27" t="inlineStr">
        <is>
          <t>101207</t>
        </is>
      </c>
      <c r="B321" s="27" t="n"/>
      <c r="C321" s="27" t="inlineStr">
        <is>
          <t>2025-01-03</t>
        </is>
      </c>
      <c r="D321" s="27" t="inlineStr">
        <is>
          <t>Q0401</t>
        </is>
      </c>
      <c r="E321" s="27" t="n"/>
      <c r="F321" s="27" t="inlineStr">
        <is>
          <t>浙江精准学科技有限公司</t>
        </is>
      </c>
      <c r="G321" s="27" t="inlineStr">
        <is>
          <t>记-3</t>
        </is>
      </c>
      <c r="H321" s="27" t="n"/>
      <c r="I321" s="44" t="n"/>
      <c r="J321" s="45" t="n">
        <v>1</v>
      </c>
    </row>
    <row r="322" s="83">
      <c r="A322" s="26" t="inlineStr">
        <is>
          <t>101207</t>
        </is>
      </c>
      <c r="B322" s="26" t="n"/>
      <c r="C322" s="26" t="inlineStr">
        <is>
          <t>2025-01-24</t>
        </is>
      </c>
      <c r="D322" s="26" t="inlineStr">
        <is>
          <t>Q0401</t>
        </is>
      </c>
      <c r="E322" s="26" t="n"/>
      <c r="F322" s="26" t="inlineStr">
        <is>
          <t>浙江精准学科技有限公司</t>
        </is>
      </c>
      <c r="G322" s="26" t="inlineStr">
        <is>
          <t>记-123</t>
        </is>
      </c>
      <c r="H322" s="26" t="n"/>
      <c r="I322" s="45" t="n"/>
      <c r="J322" s="45" t="n">
        <v>1</v>
      </c>
    </row>
    <row r="323" s="83">
      <c r="A323" s="27" t="inlineStr">
        <is>
          <t>101207</t>
        </is>
      </c>
      <c r="B323" s="27" t="n"/>
      <c r="C323" s="27" t="inlineStr">
        <is>
          <t>2025-01-31</t>
        </is>
      </c>
      <c r="D323" s="27" t="inlineStr">
        <is>
          <t>Q2201</t>
        </is>
      </c>
      <c r="E323" s="27" t="n"/>
      <c r="F323" s="27" t="inlineStr">
        <is>
          <t>浙江精准学科技有限公司</t>
        </is>
      </c>
      <c r="G323" s="27" t="inlineStr">
        <is>
          <t>记-164</t>
        </is>
      </c>
      <c r="H323" s="27" t="n"/>
      <c r="I323" s="44" t="n"/>
      <c r="J323" s="45" t="n">
        <v>1</v>
      </c>
    </row>
    <row r="324" s="83">
      <c r="A324" s="26" t="inlineStr">
        <is>
          <t>101207</t>
        </is>
      </c>
      <c r="B324" s="26" t="n"/>
      <c r="C324" s="26" t="inlineStr">
        <is>
          <t>2025-01-31</t>
        </is>
      </c>
      <c r="D324" s="26" t="inlineStr">
        <is>
          <t>Q2201</t>
        </is>
      </c>
      <c r="E324" s="26" t="n"/>
      <c r="F324" s="26" t="inlineStr">
        <is>
          <t>浙江精准学科技有限公司</t>
        </is>
      </c>
      <c r="G324" s="26" t="inlineStr">
        <is>
          <t>记-164</t>
        </is>
      </c>
      <c r="H324" s="26" t="n"/>
      <c r="I324" s="45" t="n"/>
      <c r="J324" s="45" t="n">
        <v>1</v>
      </c>
    </row>
    <row r="325" s="83">
      <c r="A325" s="27" t="inlineStr">
        <is>
          <t>101207</t>
        </is>
      </c>
      <c r="B325" s="27" t="n"/>
      <c r="C325" s="27" t="inlineStr">
        <is>
          <t>2025-01-31</t>
        </is>
      </c>
      <c r="D325" s="27" t="inlineStr">
        <is>
          <t>Q2204</t>
        </is>
      </c>
      <c r="E325" s="27" t="n"/>
      <c r="F325" s="27" t="inlineStr">
        <is>
          <t>浙江精准学科技有限公司</t>
        </is>
      </c>
      <c r="G325" s="27" t="inlineStr">
        <is>
          <t>记-164</t>
        </is>
      </c>
      <c r="H325" s="27" t="n"/>
      <c r="I325" s="44" t="n"/>
      <c r="J325" s="45" t="n">
        <v>1</v>
      </c>
    </row>
    <row r="326" s="83">
      <c r="A326" s="26" t="inlineStr">
        <is>
          <t>101207</t>
        </is>
      </c>
      <c r="B326" s="26" t="n"/>
      <c r="C326" s="26" t="inlineStr">
        <is>
          <t>2025-01-31</t>
        </is>
      </c>
      <c r="D326" s="26" t="inlineStr">
        <is>
          <t>Q2205</t>
        </is>
      </c>
      <c r="E326" s="26" t="n"/>
      <c r="F326" s="26" t="inlineStr">
        <is>
          <t>浙江精准学科技有限公司</t>
        </is>
      </c>
      <c r="G326" s="26" t="inlineStr">
        <is>
          <t>记-164</t>
        </is>
      </c>
      <c r="H326" s="26" t="n"/>
      <c r="I326" s="45" t="n"/>
      <c r="J326" s="45" t="n">
        <v>1</v>
      </c>
    </row>
    <row r="327" s="83">
      <c r="A327" s="27" t="inlineStr">
        <is>
          <t>101207</t>
        </is>
      </c>
      <c r="B327" s="27" t="n"/>
      <c r="C327" s="27" t="inlineStr">
        <is>
          <t>2025-01-31</t>
        </is>
      </c>
      <c r="D327" s="27" t="inlineStr">
        <is>
          <t>Q2207</t>
        </is>
      </c>
      <c r="E327" s="27" t="n"/>
      <c r="F327" s="27" t="inlineStr">
        <is>
          <t>浙江精准学科技有限公司</t>
        </is>
      </c>
      <c r="G327" s="27" t="inlineStr">
        <is>
          <t>记-164</t>
        </is>
      </c>
      <c r="H327" s="27" t="n"/>
      <c r="I327" s="44" t="n"/>
      <c r="J327" s="45" t="n">
        <v>1</v>
      </c>
    </row>
    <row r="328" s="83">
      <c r="A328" s="26" t="inlineStr">
        <is>
          <t>101207</t>
        </is>
      </c>
      <c r="B328" s="26" t="n"/>
      <c r="C328" s="26" t="inlineStr">
        <is>
          <t>2025-01-31</t>
        </is>
      </c>
      <c r="D328" s="26" t="inlineStr">
        <is>
          <t>Q2208</t>
        </is>
      </c>
      <c r="E328" s="26" t="n"/>
      <c r="F328" s="26" t="inlineStr">
        <is>
          <t>浙江精准学科技有限公司</t>
        </is>
      </c>
      <c r="G328" s="26" t="inlineStr">
        <is>
          <t>记-164</t>
        </is>
      </c>
      <c r="H328" s="26" t="n"/>
      <c r="I328" s="45" t="n"/>
      <c r="J328" s="45" t="n">
        <v>1</v>
      </c>
    </row>
  </sheetData>
  <autoFilter ref="A1:J328"/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J239"/>
  <sheetViews>
    <sheetView workbookViewId="0">
      <pane ySplit="1" topLeftCell="A8" activePane="bottomLeft" state="frozen"/>
      <selection activeCell="A1" sqref="A1"/>
      <selection pane="bottomLeft" activeCell="M12" sqref="M12"/>
    </sheetView>
  </sheetViews>
  <sheetFormatPr baseColWidth="8" defaultColWidth="8.838461538461541" defaultRowHeight="16.05" customHeight="1"/>
  <cols>
    <col width="8.838461538461541" customWidth="1" style="22" min="1" max="1"/>
    <col width="16.1615384615385" customWidth="1" style="22" min="2" max="2"/>
    <col width="11.6615384615385" customWidth="1" style="22" min="3" max="3"/>
    <col width="13" customWidth="1" style="22" min="4" max="4"/>
    <col width="16" customWidth="1" style="22" min="5" max="5"/>
    <col width="26.1615384615385" customWidth="1" style="22" min="6" max="6"/>
    <col width="8.838461538461541" customWidth="1" style="22" min="7" max="7"/>
    <col width="30.8384615384615" customWidth="1" style="23" min="8" max="8"/>
    <col width="17.3384615384615" customWidth="1" style="84" min="9" max="9"/>
    <col width="17.1615384615385" customWidth="1" style="84" min="10" max="10"/>
    <col width="8.838461538461541" customWidth="1" style="22" min="11" max="36"/>
  </cols>
  <sheetData>
    <row r="1" s="83">
      <c r="A1" s="43" t="inlineStr">
        <is>
          <t>科目编码</t>
        </is>
      </c>
      <c r="B1" s="43" t="inlineStr">
        <is>
          <t>科目名称</t>
        </is>
      </c>
      <c r="C1" s="43" t="inlineStr">
        <is>
          <t>日期</t>
        </is>
      </c>
      <c r="D1" s="43" t="inlineStr">
        <is>
          <t>费用项目编码</t>
        </is>
      </c>
      <c r="E1" s="43" t="inlineStr">
        <is>
          <t>费用项目名称</t>
        </is>
      </c>
      <c r="F1" s="43" t="inlineStr">
        <is>
          <t>核算账簿</t>
        </is>
      </c>
      <c r="G1" s="43" t="inlineStr">
        <is>
          <t>凭证号</t>
        </is>
      </c>
      <c r="H1" s="25" t="inlineStr">
        <is>
          <t>摘要</t>
        </is>
      </c>
      <c r="I1" s="43" t="inlineStr">
        <is>
          <t>借方本币</t>
        </is>
      </c>
      <c r="J1" s="43" t="inlineStr">
        <is>
          <t>贷方本币</t>
        </is>
      </c>
    </row>
    <row r="2" s="83">
      <c r="A2" s="26" t="inlineStr">
        <is>
          <t>100201</t>
        </is>
      </c>
      <c r="B2" s="26" t="n"/>
      <c r="C2" s="26" t="inlineStr">
        <is>
          <t>2025-02-28</t>
        </is>
      </c>
      <c r="D2" s="26" t="inlineStr">
        <is>
          <t>Q0302</t>
        </is>
      </c>
      <c r="E2" s="26" t="n"/>
      <c r="F2" s="26" t="inlineStr">
        <is>
          <t>SMART LEARNING HOLDING</t>
        </is>
      </c>
      <c r="G2" s="26" t="inlineStr">
        <is>
          <t>记-2</t>
        </is>
      </c>
      <c r="H2" s="26" t="n"/>
      <c r="I2" s="45" t="n">
        <v>2</v>
      </c>
      <c r="J2" s="45" t="n"/>
    </row>
    <row r="3" s="83">
      <c r="A3" s="27" t="inlineStr">
        <is>
          <t>100201</t>
        </is>
      </c>
      <c r="B3" s="27" t="n"/>
      <c r="C3" s="27" t="inlineStr">
        <is>
          <t>2025-02-28</t>
        </is>
      </c>
      <c r="D3" s="27" t="inlineStr">
        <is>
          <t>Q3105</t>
        </is>
      </c>
      <c r="E3" s="27" t="n"/>
      <c r="F3" s="27" t="inlineStr">
        <is>
          <t>SMART LEARNING HOLDING</t>
        </is>
      </c>
      <c r="G3" s="27" t="inlineStr">
        <is>
          <t>记-3</t>
        </is>
      </c>
      <c r="H3" s="27" t="n"/>
      <c r="I3" s="44" t="n"/>
      <c r="J3" s="44" t="n">
        <v>2</v>
      </c>
    </row>
    <row r="4" s="83">
      <c r="A4" s="27" t="inlineStr">
        <is>
          <t>100202</t>
        </is>
      </c>
      <c r="B4" s="27" t="n"/>
      <c r="C4" s="27" t="inlineStr">
        <is>
          <t>2025-02-28</t>
        </is>
      </c>
      <c r="D4" s="27" t="inlineStr">
        <is>
          <t>Q0302</t>
        </is>
      </c>
      <c r="E4" s="27" t="n"/>
      <c r="F4" s="27" t="inlineStr">
        <is>
          <t>SMART LEARNING HOLDING</t>
        </is>
      </c>
      <c r="G4" s="27" t="inlineStr">
        <is>
          <t>记-1</t>
        </is>
      </c>
      <c r="H4" s="27" t="n"/>
      <c r="I4" s="45" t="n">
        <v>2</v>
      </c>
      <c r="J4" s="44" t="n"/>
    </row>
    <row r="5" s="83">
      <c r="A5" s="27" t="inlineStr">
        <is>
          <t>100203</t>
        </is>
      </c>
      <c r="B5" s="27" t="n"/>
      <c r="C5" s="27" t="inlineStr">
        <is>
          <t>2025-02-28</t>
        </is>
      </c>
      <c r="D5" s="27" t="inlineStr">
        <is>
          <t>Q3105</t>
        </is>
      </c>
      <c r="E5" s="27" t="n"/>
      <c r="F5" s="27" t="inlineStr">
        <is>
          <t>SMART LEARNING HOLDING</t>
        </is>
      </c>
      <c r="G5" s="27" t="inlineStr">
        <is>
          <t>记-3</t>
        </is>
      </c>
      <c r="H5" s="27" t="n"/>
      <c r="I5" s="44" t="n"/>
      <c r="J5" s="44" t="n">
        <v>2</v>
      </c>
    </row>
    <row r="6" s="83">
      <c r="A6" s="26" t="inlineStr">
        <is>
          <t>100202</t>
        </is>
      </c>
      <c r="B6" s="26" t="n"/>
      <c r="C6" s="26" t="inlineStr">
        <is>
          <t>2025-02-28</t>
        </is>
      </c>
      <c r="D6" s="26" t="inlineStr">
        <is>
          <t>Q0302</t>
        </is>
      </c>
      <c r="E6" s="26" t="n"/>
      <c r="F6" s="26" t="inlineStr">
        <is>
          <t>SMART AI LIMITED</t>
        </is>
      </c>
      <c r="G6" s="26" t="inlineStr">
        <is>
          <t>记-2</t>
        </is>
      </c>
      <c r="H6" s="26" t="n"/>
      <c r="I6" s="45" t="n">
        <v>2</v>
      </c>
      <c r="J6" s="45" t="n"/>
    </row>
    <row r="7" s="83">
      <c r="A7" s="26" t="inlineStr">
        <is>
          <t>100202</t>
        </is>
      </c>
      <c r="B7" s="26" t="n"/>
      <c r="C7" s="26" t="inlineStr">
        <is>
          <t>2025-02-12</t>
        </is>
      </c>
      <c r="D7" s="26" t="inlineStr">
        <is>
          <t>Q3101</t>
        </is>
      </c>
      <c r="E7" s="26" t="n"/>
      <c r="F7" s="26" t="inlineStr">
        <is>
          <t>SMART AI LIMITED</t>
        </is>
      </c>
      <c r="G7" s="26" t="inlineStr">
        <is>
          <t>记-1</t>
        </is>
      </c>
      <c r="H7" s="26" t="n"/>
      <c r="I7" s="45" t="n"/>
      <c r="J7" s="44" t="n">
        <v>2</v>
      </c>
    </row>
    <row r="8" s="83">
      <c r="A8" s="27" t="inlineStr">
        <is>
          <t>100203</t>
        </is>
      </c>
      <c r="B8" s="27" t="n"/>
      <c r="C8" s="27" t="inlineStr">
        <is>
          <t>2025-02-28</t>
        </is>
      </c>
      <c r="D8" s="27" t="inlineStr">
        <is>
          <t>Q3105</t>
        </is>
      </c>
      <c r="E8" s="27" t="n"/>
      <c r="F8" s="27" t="inlineStr">
        <is>
          <t>SMART AI LIMITED</t>
        </is>
      </c>
      <c r="G8" s="27" t="inlineStr">
        <is>
          <t>记-3</t>
        </is>
      </c>
      <c r="H8" s="27" t="n"/>
      <c r="I8" s="44" t="n"/>
      <c r="J8" s="44" t="n">
        <v>2</v>
      </c>
    </row>
    <row r="9" s="83">
      <c r="A9" s="26" t="inlineStr">
        <is>
          <t>100202</t>
        </is>
      </c>
      <c r="B9" s="26" t="n"/>
      <c r="C9" s="26" t="inlineStr">
        <is>
          <t>2025-02-28</t>
        </is>
      </c>
      <c r="D9" s="26" t="inlineStr">
        <is>
          <t>Q0302</t>
        </is>
      </c>
      <c r="E9" s="26" t="n"/>
      <c r="F9" s="26" t="inlineStr">
        <is>
          <t>HK01</t>
        </is>
      </c>
      <c r="G9" s="26" t="inlineStr">
        <is>
          <t>记-2</t>
        </is>
      </c>
      <c r="H9" s="26" t="n"/>
      <c r="I9" s="45" t="n">
        <v>2</v>
      </c>
      <c r="J9" s="45" t="n"/>
    </row>
    <row r="10" s="83">
      <c r="A10" s="26" t="inlineStr">
        <is>
          <t>100202</t>
        </is>
      </c>
      <c r="B10" s="26" t="n"/>
      <c r="C10" s="26" t="inlineStr">
        <is>
          <t>2025-02-12</t>
        </is>
      </c>
      <c r="D10" s="26" t="inlineStr">
        <is>
          <t>Q3101</t>
        </is>
      </c>
      <c r="E10" s="26" t="n"/>
      <c r="F10" s="26" t="inlineStr">
        <is>
          <t>HK01</t>
        </is>
      </c>
      <c r="G10" s="26" t="inlineStr">
        <is>
          <t>记-1</t>
        </is>
      </c>
      <c r="H10" s="26" t="n"/>
      <c r="I10" s="45" t="n"/>
      <c r="J10" s="44" t="n">
        <v>2</v>
      </c>
    </row>
    <row r="11" s="83">
      <c r="A11" s="27" t="inlineStr">
        <is>
          <t>100203</t>
        </is>
      </c>
      <c r="B11" s="27" t="n"/>
      <c r="C11" s="27" t="inlineStr">
        <is>
          <t>2025-02-28</t>
        </is>
      </c>
      <c r="D11" s="27" t="inlineStr">
        <is>
          <t>Q3105</t>
        </is>
      </c>
      <c r="E11" s="27" t="n"/>
      <c r="F11" s="27" t="inlineStr">
        <is>
          <t>HK01</t>
        </is>
      </c>
      <c r="G11" s="27" t="inlineStr">
        <is>
          <t>记-3</t>
        </is>
      </c>
      <c r="H11" s="27" t="n"/>
      <c r="I11" s="44" t="n"/>
      <c r="J11" s="44" t="n">
        <v>2</v>
      </c>
    </row>
    <row r="12" s="83">
      <c r="A12" s="26" t="inlineStr">
        <is>
          <t>100201</t>
        </is>
      </c>
      <c r="B12" s="26" t="n"/>
      <c r="C12" s="26" t="inlineStr">
        <is>
          <t>2025-02-05</t>
        </is>
      </c>
      <c r="D12" s="26" t="inlineStr">
        <is>
          <t>Q29010</t>
        </is>
      </c>
      <c r="E12" s="26" t="n"/>
      <c r="F12" s="26" t="inlineStr">
        <is>
          <t>杭州目标准科技有限公司</t>
        </is>
      </c>
      <c r="G12" s="26" t="inlineStr">
        <is>
          <t>记-1</t>
        </is>
      </c>
      <c r="H12" s="26" t="n"/>
      <c r="I12" s="45" t="n"/>
      <c r="J12" s="44" t="n">
        <v>2</v>
      </c>
    </row>
    <row r="13" s="83">
      <c r="A13" s="26" t="inlineStr">
        <is>
          <t>100201</t>
        </is>
      </c>
      <c r="B13" s="26" t="n"/>
      <c r="C13" s="26" t="inlineStr">
        <is>
          <t>2025-02-07</t>
        </is>
      </c>
      <c r="D13" s="26" t="inlineStr">
        <is>
          <t>Q0803</t>
        </is>
      </c>
      <c r="E13" s="26" t="n"/>
      <c r="F13" s="26" t="inlineStr">
        <is>
          <t>杭州驷海宾朋智能科技有限公司</t>
        </is>
      </c>
      <c r="G13" s="26" t="inlineStr">
        <is>
          <t>记-2</t>
        </is>
      </c>
      <c r="H13" s="26" t="n"/>
      <c r="I13" s="45" t="n"/>
      <c r="J13" s="44" t="n">
        <v>2</v>
      </c>
    </row>
    <row r="14" s="83">
      <c r="A14" s="27" t="inlineStr">
        <is>
          <t>100201</t>
        </is>
      </c>
      <c r="B14" s="27" t="n"/>
      <c r="C14" s="27" t="inlineStr">
        <is>
          <t>2025-02-02</t>
        </is>
      </c>
      <c r="D14" s="27" t="inlineStr">
        <is>
          <t>Q3101</t>
        </is>
      </c>
      <c r="E14" s="27" t="n"/>
      <c r="F14" s="27" t="inlineStr">
        <is>
          <t>杭州驷海宾朋智能科技有限公司</t>
        </is>
      </c>
      <c r="G14" s="27" t="inlineStr">
        <is>
          <t>记-1</t>
        </is>
      </c>
      <c r="H14" s="27" t="n"/>
      <c r="I14" s="44" t="n"/>
      <c r="J14" s="44" t="n">
        <v>2</v>
      </c>
    </row>
    <row r="15" s="83">
      <c r="A15" s="26" t="inlineStr">
        <is>
          <t>100201</t>
        </is>
      </c>
      <c r="B15" s="26" t="n"/>
      <c r="C15" s="26" t="inlineStr">
        <is>
          <t>2025-02-10</t>
        </is>
      </c>
      <c r="D15" s="26" t="inlineStr">
        <is>
          <t>Q0303</t>
        </is>
      </c>
      <c r="E15" s="26" t="n"/>
      <c r="F15" s="26" t="inlineStr">
        <is>
          <t>杭州实时查科技有限公司</t>
        </is>
      </c>
      <c r="G15" s="26" t="inlineStr">
        <is>
          <t>记-1</t>
        </is>
      </c>
      <c r="H15" s="26" t="n"/>
      <c r="I15" s="45" t="n">
        <v>2</v>
      </c>
      <c r="J15" s="45" t="n"/>
    </row>
    <row r="16" s="83">
      <c r="A16" s="27" t="inlineStr">
        <is>
          <t>100201</t>
        </is>
      </c>
      <c r="B16" s="27" t="n"/>
      <c r="C16" s="27" t="inlineStr">
        <is>
          <t>2025-02-28</t>
        </is>
      </c>
      <c r="D16" s="27" t="inlineStr">
        <is>
          <t>Q0601</t>
        </is>
      </c>
      <c r="E16" s="27" t="n"/>
      <c r="F16" s="27" t="inlineStr">
        <is>
          <t>杭州实时查科技有限公司</t>
        </is>
      </c>
      <c r="G16" s="27" t="inlineStr">
        <is>
          <t>记-4</t>
        </is>
      </c>
      <c r="H16" s="27" t="n"/>
      <c r="I16" s="44" t="n"/>
      <c r="J16" s="44" t="n">
        <v>2</v>
      </c>
    </row>
    <row r="17" s="83">
      <c r="A17" s="27" t="inlineStr">
        <is>
          <t>100201</t>
        </is>
      </c>
      <c r="B17" s="27" t="n"/>
      <c r="C17" s="27" t="inlineStr">
        <is>
          <t>2025-02-10</t>
        </is>
      </c>
      <c r="D17" s="27" t="inlineStr">
        <is>
          <t>Q2002</t>
        </is>
      </c>
      <c r="E17" s="27" t="n"/>
      <c r="F17" s="27" t="inlineStr">
        <is>
          <t>杭州实时查科技有限公司</t>
        </is>
      </c>
      <c r="G17" s="27" t="inlineStr">
        <is>
          <t>记-2</t>
        </is>
      </c>
      <c r="H17" s="27" t="n"/>
      <c r="I17" s="44" t="n"/>
      <c r="J17" s="44" t="n">
        <v>2</v>
      </c>
    </row>
    <row r="18" s="83">
      <c r="A18" s="26" t="inlineStr">
        <is>
          <t>100201</t>
        </is>
      </c>
      <c r="B18" s="26" t="n"/>
      <c r="C18" s="26" t="inlineStr">
        <is>
          <t>2025-02-18</t>
        </is>
      </c>
      <c r="D18" s="26" t="inlineStr">
        <is>
          <t>Q2002</t>
        </is>
      </c>
      <c r="E18" s="26" t="n"/>
      <c r="F18" s="26" t="inlineStr">
        <is>
          <t>杭州实时查科技有限公司</t>
        </is>
      </c>
      <c r="G18" s="26" t="inlineStr">
        <is>
          <t>记-3</t>
        </is>
      </c>
      <c r="H18" s="26" t="n"/>
      <c r="I18" s="45" t="n">
        <v>2</v>
      </c>
      <c r="J18" s="45" t="n"/>
    </row>
    <row r="19" s="83">
      <c r="A19" s="27" t="inlineStr">
        <is>
          <t>101203</t>
        </is>
      </c>
      <c r="B19" s="27" t="n"/>
      <c r="C19" s="27" t="inlineStr">
        <is>
          <t>2025-02-28</t>
        </is>
      </c>
      <c r="D19" s="27" t="inlineStr">
        <is>
          <t>Q0101</t>
        </is>
      </c>
      <c r="E19" s="27" t="n"/>
      <c r="F19" s="27" t="inlineStr">
        <is>
          <t>杭州实时查科技有限公司</t>
        </is>
      </c>
      <c r="G19" s="27" t="inlineStr">
        <is>
          <t>记-6</t>
        </is>
      </c>
      <c r="H19" s="27" t="n"/>
      <c r="I19" s="45" t="n">
        <v>2</v>
      </c>
      <c r="J19" s="44" t="n"/>
    </row>
    <row r="20" s="83">
      <c r="A20" s="26" t="inlineStr">
        <is>
          <t>101203</t>
        </is>
      </c>
      <c r="B20" s="26" t="n"/>
      <c r="C20" s="26" t="inlineStr">
        <is>
          <t>2025-02-28</t>
        </is>
      </c>
      <c r="D20" s="26" t="inlineStr">
        <is>
          <t>Q2201</t>
        </is>
      </c>
      <c r="E20" s="26" t="n"/>
      <c r="F20" s="26" t="inlineStr">
        <is>
          <t>杭州实时查科技有限公司</t>
        </is>
      </c>
      <c r="G20" s="26" t="inlineStr">
        <is>
          <t>记-7</t>
        </is>
      </c>
      <c r="H20" s="26" t="n"/>
      <c r="I20" s="45" t="n"/>
      <c r="J20" s="44" t="n">
        <v>2</v>
      </c>
    </row>
    <row r="21" s="83">
      <c r="A21" s="27" t="inlineStr">
        <is>
          <t>100201</t>
        </is>
      </c>
      <c r="B21" s="27" t="n"/>
      <c r="C21" s="27" t="inlineStr">
        <is>
          <t>2025-02-14</t>
        </is>
      </c>
      <c r="D21" s="27" t="inlineStr">
        <is>
          <t>Q0801</t>
        </is>
      </c>
      <c r="E21" s="27" t="n"/>
      <c r="F21" s="27" t="inlineStr">
        <is>
          <t>海南精准学科技有限公司</t>
        </is>
      </c>
      <c r="G21" s="27" t="inlineStr">
        <is>
          <t>记-7</t>
        </is>
      </c>
      <c r="H21" s="27" t="n"/>
      <c r="I21" s="44" t="n"/>
      <c r="J21" s="44" t="n">
        <v>2</v>
      </c>
    </row>
    <row r="22" s="83">
      <c r="A22" s="26" t="inlineStr">
        <is>
          <t>100201</t>
        </is>
      </c>
      <c r="B22" s="26" t="n"/>
      <c r="C22" s="26" t="inlineStr">
        <is>
          <t>2025-02-10</t>
        </is>
      </c>
      <c r="D22" s="26" t="inlineStr">
        <is>
          <t>Q0803</t>
        </is>
      </c>
      <c r="E22" s="26" t="n"/>
      <c r="F22" s="26" t="inlineStr">
        <is>
          <t>海南精准学科技有限公司</t>
        </is>
      </c>
      <c r="G22" s="26" t="inlineStr">
        <is>
          <t>记-3</t>
        </is>
      </c>
      <c r="H22" s="26" t="n"/>
      <c r="I22" s="45" t="n"/>
      <c r="J22" s="44" t="n">
        <v>2</v>
      </c>
    </row>
    <row r="23" s="83">
      <c r="A23" s="27" t="inlineStr">
        <is>
          <t>100201</t>
        </is>
      </c>
      <c r="B23" s="27" t="n"/>
      <c r="C23" s="27" t="inlineStr">
        <is>
          <t>2025-02-19</t>
        </is>
      </c>
      <c r="D23" s="27" t="inlineStr">
        <is>
          <t>Q0803</t>
        </is>
      </c>
      <c r="E23" s="27" t="n"/>
      <c r="F23" s="27" t="inlineStr">
        <is>
          <t>海南精准学科技有限公司</t>
        </is>
      </c>
      <c r="G23" s="27" t="inlineStr">
        <is>
          <t>记-8</t>
        </is>
      </c>
      <c r="H23" s="27" t="n"/>
      <c r="I23" s="44" t="n"/>
      <c r="J23" s="44" t="n">
        <v>2</v>
      </c>
    </row>
    <row r="24" s="83">
      <c r="A24" s="26" t="inlineStr">
        <is>
          <t>100201</t>
        </is>
      </c>
      <c r="B24" s="26" t="n"/>
      <c r="C24" s="26" t="inlineStr">
        <is>
          <t>2025-02-07</t>
        </is>
      </c>
      <c r="D24" s="26" t="inlineStr">
        <is>
          <t>Q0804</t>
        </is>
      </c>
      <c r="E24" s="26" t="n"/>
      <c r="F24" s="26" t="inlineStr">
        <is>
          <t>海南精准学科技有限公司</t>
        </is>
      </c>
      <c r="G24" s="26" t="inlineStr">
        <is>
          <t>记-2</t>
        </is>
      </c>
      <c r="H24" s="26" t="n"/>
      <c r="I24" s="45" t="n"/>
      <c r="J24" s="44" t="n">
        <v>2</v>
      </c>
    </row>
    <row r="25" s="83">
      <c r="A25" s="27" t="inlineStr">
        <is>
          <t>100201</t>
        </is>
      </c>
      <c r="B25" s="27" t="n"/>
      <c r="C25" s="27" t="inlineStr">
        <is>
          <t>2025-02-14</t>
        </is>
      </c>
      <c r="D25" s="27" t="inlineStr">
        <is>
          <t>Q0805</t>
        </is>
      </c>
      <c r="E25" s="27" t="n"/>
      <c r="F25" s="27" t="inlineStr">
        <is>
          <t>海南精准学科技有限公司</t>
        </is>
      </c>
      <c r="G25" s="27" t="inlineStr">
        <is>
          <t>记-5</t>
        </is>
      </c>
      <c r="H25" s="27" t="n"/>
      <c r="I25" s="44" t="n"/>
      <c r="J25" s="44" t="n">
        <v>2</v>
      </c>
    </row>
    <row r="26" s="83">
      <c r="A26" s="26" t="inlineStr">
        <is>
          <t>100201</t>
        </is>
      </c>
      <c r="B26" s="26" t="n"/>
      <c r="C26" s="26" t="inlineStr">
        <is>
          <t>2025-02-20</t>
        </is>
      </c>
      <c r="D26" s="26" t="inlineStr">
        <is>
          <t>Q2706</t>
        </is>
      </c>
      <c r="E26" s="26" t="n"/>
      <c r="F26" s="26" t="inlineStr">
        <is>
          <t>海南精准学科技有限公司</t>
        </is>
      </c>
      <c r="G26" s="26" t="inlineStr">
        <is>
          <t>记-9</t>
        </is>
      </c>
      <c r="H26" s="26" t="n"/>
      <c r="I26" s="45" t="n"/>
      <c r="J26" s="44" t="n">
        <v>2</v>
      </c>
    </row>
    <row r="27" s="83">
      <c r="A27" s="26" t="inlineStr">
        <is>
          <t>100201</t>
        </is>
      </c>
      <c r="B27" s="26" t="n"/>
      <c r="C27" s="26" t="inlineStr">
        <is>
          <t>2025-02-03</t>
        </is>
      </c>
      <c r="D27" s="26" t="inlineStr">
        <is>
          <t>Q3101</t>
        </is>
      </c>
      <c r="E27" s="26" t="n"/>
      <c r="F27" s="26" t="inlineStr">
        <is>
          <t>海南精准学科技有限公司</t>
        </is>
      </c>
      <c r="G27" s="26" t="inlineStr">
        <is>
          <t>记-1</t>
        </is>
      </c>
      <c r="H27" s="26" t="n"/>
      <c r="I27" s="45" t="n"/>
      <c r="J27" s="44" t="n">
        <v>2</v>
      </c>
    </row>
    <row r="28" s="83">
      <c r="A28" s="27" t="inlineStr">
        <is>
          <t>100201</t>
        </is>
      </c>
      <c r="B28" s="27" t="n"/>
      <c r="C28" s="27" t="inlineStr">
        <is>
          <t>2025-02-03</t>
        </is>
      </c>
      <c r="D28" s="27" t="inlineStr">
        <is>
          <t>Q3101</t>
        </is>
      </c>
      <c r="E28" s="27" t="n"/>
      <c r="F28" s="27" t="inlineStr">
        <is>
          <t>海南精准学科技有限公司</t>
        </is>
      </c>
      <c r="G28" s="27" t="inlineStr">
        <is>
          <t>记-1</t>
        </is>
      </c>
      <c r="H28" s="27" t="n"/>
      <c r="I28" s="44" t="n"/>
      <c r="J28" s="44" t="n">
        <v>2</v>
      </c>
    </row>
    <row r="29" s="83">
      <c r="A29" s="26" t="inlineStr">
        <is>
          <t>100201</t>
        </is>
      </c>
      <c r="B29" s="26" t="n"/>
      <c r="C29" s="26" t="inlineStr">
        <is>
          <t>2025-02-03</t>
        </is>
      </c>
      <c r="D29" s="26" t="inlineStr">
        <is>
          <t>Q3101</t>
        </is>
      </c>
      <c r="E29" s="26" t="n"/>
      <c r="F29" s="26" t="inlineStr">
        <is>
          <t>海南精准学科技有限公司</t>
        </is>
      </c>
      <c r="G29" s="26" t="inlineStr">
        <is>
          <t>记-1</t>
        </is>
      </c>
      <c r="H29" s="26" t="n"/>
      <c r="I29" s="45" t="n"/>
      <c r="J29" s="44" t="n">
        <v>2</v>
      </c>
    </row>
    <row r="30" s="83">
      <c r="A30" s="27" t="inlineStr">
        <is>
          <t>100201</t>
        </is>
      </c>
      <c r="B30" s="27" t="n"/>
      <c r="C30" s="27" t="inlineStr">
        <is>
          <t>2025-02-11</t>
        </is>
      </c>
      <c r="D30" s="27" t="inlineStr">
        <is>
          <t>Q3101</t>
        </is>
      </c>
      <c r="E30" s="27" t="n"/>
      <c r="F30" s="27" t="inlineStr">
        <is>
          <t>海南精准学科技有限公司</t>
        </is>
      </c>
      <c r="G30" s="27" t="inlineStr">
        <is>
          <t>记-4</t>
        </is>
      </c>
      <c r="H30" s="27" t="n"/>
      <c r="I30" s="44" t="n"/>
      <c r="J30" s="44" t="n">
        <v>2</v>
      </c>
    </row>
    <row r="31" s="83">
      <c r="A31" s="26" t="inlineStr">
        <is>
          <t>100201</t>
        </is>
      </c>
      <c r="B31" s="26" t="n"/>
      <c r="C31" s="26" t="inlineStr">
        <is>
          <t>2025-02-14</t>
        </is>
      </c>
      <c r="D31" s="26" t="inlineStr">
        <is>
          <t>Q3101</t>
        </is>
      </c>
      <c r="E31" s="26" t="n"/>
      <c r="F31" s="26" t="inlineStr">
        <is>
          <t>海南精准学科技有限公司</t>
        </is>
      </c>
      <c r="G31" s="26" t="inlineStr">
        <is>
          <t>记-6</t>
        </is>
      </c>
      <c r="H31" s="26" t="n"/>
      <c r="I31" s="45" t="n"/>
      <c r="J31" s="44" t="n">
        <v>2</v>
      </c>
    </row>
    <row r="32" s="83">
      <c r="A32" s="27" t="inlineStr">
        <is>
          <t>100202</t>
        </is>
      </c>
      <c r="B32" s="27" t="n"/>
      <c r="C32" s="27" t="inlineStr">
        <is>
          <t>2025-02-28</t>
        </is>
      </c>
      <c r="D32" s="27" t="inlineStr">
        <is>
          <t>Q3101</t>
        </is>
      </c>
      <c r="E32" s="27" t="n"/>
      <c r="F32" s="27" t="inlineStr">
        <is>
          <t>海南精准学科技有限公司</t>
        </is>
      </c>
      <c r="G32" s="27" t="inlineStr">
        <is>
          <t>记-14</t>
        </is>
      </c>
      <c r="H32" s="27" t="n"/>
      <c r="I32" s="45" t="n">
        <v>2</v>
      </c>
      <c r="J32" s="44" t="n"/>
    </row>
    <row r="33" s="83">
      <c r="A33" s="26" t="inlineStr">
        <is>
          <t>100201</t>
        </is>
      </c>
      <c r="B33" s="26" t="n"/>
      <c r="C33" s="26" t="inlineStr">
        <is>
          <t>2025-02-26</t>
        </is>
      </c>
      <c r="D33" s="26" t="inlineStr">
        <is>
          <t>Q0302</t>
        </is>
      </c>
      <c r="E33" s="26" t="n"/>
      <c r="F33" s="26" t="inlineStr">
        <is>
          <t>杭州知识跳跳科技有限公司</t>
        </is>
      </c>
      <c r="G33" s="26" t="inlineStr">
        <is>
          <t>记-24</t>
        </is>
      </c>
      <c r="H33" s="26" t="n"/>
      <c r="I33" s="45" t="n">
        <v>2</v>
      </c>
      <c r="J33" s="45" t="n"/>
    </row>
    <row r="34" s="83">
      <c r="A34" s="27" t="inlineStr">
        <is>
          <t>100201</t>
        </is>
      </c>
      <c r="B34" s="27" t="n"/>
      <c r="C34" s="27" t="inlineStr">
        <is>
          <t>2025-02-28</t>
        </is>
      </c>
      <c r="D34" s="27" t="inlineStr">
        <is>
          <t>Q0302</t>
        </is>
      </c>
      <c r="E34" s="27" t="n"/>
      <c r="F34" s="27" t="inlineStr">
        <is>
          <t>杭州知识跳跳科技有限公司</t>
        </is>
      </c>
      <c r="G34" s="27" t="inlineStr">
        <is>
          <t>记-28</t>
        </is>
      </c>
      <c r="H34" s="27" t="n"/>
      <c r="I34" s="45" t="n">
        <v>2</v>
      </c>
      <c r="J34" s="44" t="n"/>
    </row>
    <row r="35" s="83">
      <c r="A35" s="27" t="inlineStr">
        <is>
          <t>100201</t>
        </is>
      </c>
      <c r="B35" s="27" t="n"/>
      <c r="C35" s="27" t="inlineStr">
        <is>
          <t>2025-02-06</t>
        </is>
      </c>
      <c r="D35" s="27" t="inlineStr">
        <is>
          <t>Q0303</t>
        </is>
      </c>
      <c r="E35" s="27" t="n"/>
      <c r="F35" s="27" t="inlineStr">
        <is>
          <t>杭州知识跳跳科技有限公司</t>
        </is>
      </c>
      <c r="G35" s="27" t="inlineStr">
        <is>
          <t>记-3</t>
        </is>
      </c>
      <c r="H35" s="27" t="n"/>
      <c r="I35" s="45" t="n">
        <v>2</v>
      </c>
      <c r="J35" s="44" t="n"/>
    </row>
    <row r="36" s="83">
      <c r="A36" s="26" t="inlineStr">
        <is>
          <t>100201</t>
        </is>
      </c>
      <c r="B36" s="26" t="n"/>
      <c r="C36" s="26" t="inlineStr">
        <is>
          <t>2025-02-07</t>
        </is>
      </c>
      <c r="D36" s="26" t="inlineStr">
        <is>
          <t>Q0303</t>
        </is>
      </c>
      <c r="E36" s="26" t="n"/>
      <c r="F36" s="26" t="inlineStr">
        <is>
          <t>杭州知识跳跳科技有限公司</t>
        </is>
      </c>
      <c r="G36" s="26" t="inlineStr">
        <is>
          <t>记-4</t>
        </is>
      </c>
      <c r="H36" s="26" t="n"/>
      <c r="I36" s="45" t="n">
        <v>2</v>
      </c>
      <c r="J36" s="45" t="n"/>
    </row>
    <row r="37" s="83">
      <c r="A37" s="26" t="inlineStr">
        <is>
          <t>100201</t>
        </is>
      </c>
      <c r="B37" s="26" t="n"/>
      <c r="C37" s="26" t="inlineStr">
        <is>
          <t>2025-02-28</t>
        </is>
      </c>
      <c r="D37" s="26" t="inlineStr">
        <is>
          <t>Q0401</t>
        </is>
      </c>
      <c r="E37" s="26" t="n"/>
      <c r="F37" s="26" t="inlineStr">
        <is>
          <t>杭州知识跳跳科技有限公司</t>
        </is>
      </c>
      <c r="G37" s="26" t="inlineStr">
        <is>
          <t>记-33</t>
        </is>
      </c>
      <c r="H37" s="26" t="n"/>
      <c r="I37" s="45" t="n">
        <v>2</v>
      </c>
      <c r="J37" s="45" t="n"/>
    </row>
    <row r="38" s="83">
      <c r="A38" s="27" t="inlineStr">
        <is>
          <t>100201</t>
        </is>
      </c>
      <c r="B38" s="27" t="n"/>
      <c r="C38" s="27" t="inlineStr">
        <is>
          <t>2025-02-28</t>
        </is>
      </c>
      <c r="D38" s="27" t="inlineStr">
        <is>
          <t>Q0401</t>
        </is>
      </c>
      <c r="E38" s="27" t="n"/>
      <c r="F38" s="27" t="inlineStr">
        <is>
          <t>杭州知识跳跳科技有限公司</t>
        </is>
      </c>
      <c r="G38" s="27" t="inlineStr">
        <is>
          <t>记-34</t>
        </is>
      </c>
      <c r="H38" s="27" t="n"/>
      <c r="I38" s="45" t="n">
        <v>2</v>
      </c>
      <c r="J38" s="44" t="n"/>
    </row>
    <row r="39" s="83">
      <c r="A39" s="27" t="inlineStr">
        <is>
          <t>100201</t>
        </is>
      </c>
      <c r="B39" s="27" t="n"/>
      <c r="C39" s="27" t="inlineStr">
        <is>
          <t>2025-02-14</t>
        </is>
      </c>
      <c r="D39" s="27" t="inlineStr">
        <is>
          <t>Q0601</t>
        </is>
      </c>
      <c r="E39" s="27" t="n"/>
      <c r="F39" s="27" t="inlineStr">
        <is>
          <t>杭州知识跳跳科技有限公司</t>
        </is>
      </c>
      <c r="G39" s="27" t="inlineStr">
        <is>
          <t>记-10</t>
        </is>
      </c>
      <c r="H39" s="27" t="n"/>
      <c r="I39" s="44" t="n"/>
      <c r="J39" s="44" t="n">
        <v>2</v>
      </c>
    </row>
    <row r="40" s="83">
      <c r="A40" s="26" t="inlineStr">
        <is>
          <t>100201</t>
        </is>
      </c>
      <c r="B40" s="26" t="n"/>
      <c r="C40" s="26" t="inlineStr">
        <is>
          <t>2025-02-26</t>
        </is>
      </c>
      <c r="D40" s="26" t="inlineStr">
        <is>
          <t>Q0601</t>
        </is>
      </c>
      <c r="E40" s="26" t="n"/>
      <c r="F40" s="26" t="inlineStr">
        <is>
          <t>杭州知识跳跳科技有限公司</t>
        </is>
      </c>
      <c r="G40" s="26" t="inlineStr">
        <is>
          <t>记-25</t>
        </is>
      </c>
      <c r="H40" s="26" t="n"/>
      <c r="I40" s="45" t="n"/>
      <c r="J40" s="44" t="n">
        <v>2</v>
      </c>
    </row>
    <row r="41" s="83">
      <c r="A41" s="27" t="inlineStr">
        <is>
          <t>100201</t>
        </is>
      </c>
      <c r="B41" s="27" t="n"/>
      <c r="C41" s="27" t="inlineStr">
        <is>
          <t>2025-02-27</t>
        </is>
      </c>
      <c r="D41" s="27" t="inlineStr">
        <is>
          <t>Q0601</t>
        </is>
      </c>
      <c r="E41" s="27" t="n"/>
      <c r="F41" s="27" t="inlineStr">
        <is>
          <t>杭州知识跳跳科技有限公司</t>
        </is>
      </c>
      <c r="G41" s="27" t="inlineStr">
        <is>
          <t>记-27</t>
        </is>
      </c>
      <c r="H41" s="27" t="n"/>
      <c r="I41" s="44" t="n"/>
      <c r="J41" s="44" t="n">
        <v>2</v>
      </c>
    </row>
    <row r="42" s="83">
      <c r="A42" s="26" t="inlineStr">
        <is>
          <t>100201</t>
        </is>
      </c>
      <c r="B42" s="26" t="n"/>
      <c r="C42" s="26" t="inlineStr">
        <is>
          <t>2025-02-28</t>
        </is>
      </c>
      <c r="D42" s="26" t="inlineStr">
        <is>
          <t>Q0601</t>
        </is>
      </c>
      <c r="E42" s="26" t="n"/>
      <c r="F42" s="26" t="inlineStr">
        <is>
          <t>杭州知识跳跳科技有限公司</t>
        </is>
      </c>
      <c r="G42" s="26" t="inlineStr">
        <is>
          <t>记-35</t>
        </is>
      </c>
      <c r="H42" s="26" t="n"/>
      <c r="I42" s="45" t="n"/>
      <c r="J42" s="44" t="n">
        <v>2</v>
      </c>
    </row>
    <row r="43" s="83">
      <c r="A43" s="26" t="inlineStr">
        <is>
          <t>100201</t>
        </is>
      </c>
      <c r="B43" s="26" t="n"/>
      <c r="C43" s="26" t="inlineStr">
        <is>
          <t>2025-02-14</t>
        </is>
      </c>
      <c r="D43" s="26" t="inlineStr">
        <is>
          <t>Q0801</t>
        </is>
      </c>
      <c r="E43" s="26" t="n"/>
      <c r="F43" s="26" t="inlineStr">
        <is>
          <t>杭州知识跳跳科技有限公司</t>
        </is>
      </c>
      <c r="G43" s="26" t="inlineStr">
        <is>
          <t>记-11</t>
        </is>
      </c>
      <c r="H43" s="26" t="n"/>
      <c r="I43" s="45" t="n"/>
      <c r="J43" s="44" t="n">
        <v>2</v>
      </c>
    </row>
    <row r="44" s="83">
      <c r="A44" s="27" t="inlineStr">
        <is>
          <t>100201</t>
        </is>
      </c>
      <c r="B44" s="27" t="n"/>
      <c r="C44" s="27" t="inlineStr">
        <is>
          <t>2025-02-07</t>
        </is>
      </c>
      <c r="D44" s="27" t="inlineStr">
        <is>
          <t>Q0803</t>
        </is>
      </c>
      <c r="E44" s="27" t="n"/>
      <c r="F44" s="27" t="inlineStr">
        <is>
          <t>杭州知识跳跳科技有限公司</t>
        </is>
      </c>
      <c r="G44" s="27" t="inlineStr">
        <is>
          <t>记-5</t>
        </is>
      </c>
      <c r="H44" s="27" t="n"/>
      <c r="I44" s="44" t="n"/>
      <c r="J44" s="44" t="n">
        <v>2</v>
      </c>
    </row>
    <row r="45" s="83">
      <c r="A45" s="26" t="inlineStr">
        <is>
          <t>100201</t>
        </is>
      </c>
      <c r="B45" s="26" t="n"/>
      <c r="C45" s="26" t="inlineStr">
        <is>
          <t>2025-02-21</t>
        </is>
      </c>
      <c r="D45" s="26" t="inlineStr">
        <is>
          <t>Q0804</t>
        </is>
      </c>
      <c r="E45" s="26" t="n"/>
      <c r="F45" s="26" t="inlineStr">
        <is>
          <t>杭州知识跳跳科技有限公司</t>
        </is>
      </c>
      <c r="G45" s="26" t="inlineStr">
        <is>
          <t>记-20</t>
        </is>
      </c>
      <c r="H45" s="26" t="n"/>
      <c r="I45" s="45" t="n"/>
      <c r="J45" s="44" t="n">
        <v>2</v>
      </c>
    </row>
    <row r="46" s="83">
      <c r="A46" s="27" t="inlineStr">
        <is>
          <t>100201</t>
        </is>
      </c>
      <c r="B46" s="27" t="n"/>
      <c r="C46" s="27" t="inlineStr">
        <is>
          <t>2025-02-14</t>
        </is>
      </c>
      <c r="D46" s="27" t="inlineStr">
        <is>
          <t>Q0805</t>
        </is>
      </c>
      <c r="E46" s="27" t="n"/>
      <c r="F46" s="27" t="inlineStr">
        <is>
          <t>杭州知识跳跳科技有限公司</t>
        </is>
      </c>
      <c r="G46" s="27" t="inlineStr">
        <is>
          <t>记-12</t>
        </is>
      </c>
      <c r="H46" s="27" t="n"/>
      <c r="I46" s="44" t="n"/>
      <c r="J46" s="44" t="n">
        <v>2</v>
      </c>
    </row>
    <row r="47" s="83">
      <c r="A47" s="27" t="inlineStr">
        <is>
          <t>100201</t>
        </is>
      </c>
      <c r="B47" s="27" t="n"/>
      <c r="C47" s="27" t="inlineStr">
        <is>
          <t>2025-02-25</t>
        </is>
      </c>
      <c r="D47" s="27" t="inlineStr">
        <is>
          <t>Q0806</t>
        </is>
      </c>
      <c r="E47" s="27" t="n"/>
      <c r="F47" s="27" t="inlineStr">
        <is>
          <t>杭州知识跳跳科技有限公司</t>
        </is>
      </c>
      <c r="G47" s="27" t="inlineStr">
        <is>
          <t>记-22</t>
        </is>
      </c>
      <c r="H47" s="27" t="n"/>
      <c r="I47" s="44" t="n"/>
      <c r="J47" s="44" t="n">
        <v>2</v>
      </c>
    </row>
    <row r="48" s="83">
      <c r="A48" s="27" t="inlineStr">
        <is>
          <t>100201</t>
        </is>
      </c>
      <c r="B48" s="27" t="n"/>
      <c r="C48" s="27" t="inlineStr">
        <is>
          <t>2025-02-13</t>
        </is>
      </c>
      <c r="D48" s="27" t="inlineStr">
        <is>
          <t>Q0808</t>
        </is>
      </c>
      <c r="E48" s="27" t="n"/>
      <c r="F48" s="27" t="inlineStr">
        <is>
          <t>杭州知识跳跳科技有限公司</t>
        </is>
      </c>
      <c r="G48" s="27" t="inlineStr">
        <is>
          <t>记-9</t>
        </is>
      </c>
      <c r="H48" s="27" t="n"/>
      <c r="I48" s="44" t="n"/>
      <c r="J48" s="44" t="n">
        <v>2</v>
      </c>
    </row>
    <row r="49" s="83">
      <c r="A49" s="27" t="inlineStr">
        <is>
          <t>100201</t>
        </is>
      </c>
      <c r="B49" s="27" t="n"/>
      <c r="C49" s="27" t="inlineStr">
        <is>
          <t>2025-02-13</t>
        </is>
      </c>
      <c r="D49" s="27" t="inlineStr">
        <is>
          <t>Q0809</t>
        </is>
      </c>
      <c r="E49" s="27" t="n"/>
      <c r="F49" s="27" t="inlineStr">
        <is>
          <t>杭州知识跳跳科技有限公司</t>
        </is>
      </c>
      <c r="G49" s="27" t="inlineStr">
        <is>
          <t>记-8</t>
        </is>
      </c>
      <c r="H49" s="27" t="n"/>
      <c r="I49" s="44" t="n"/>
      <c r="J49" s="44" t="n">
        <v>2</v>
      </c>
    </row>
    <row r="50" s="83">
      <c r="A50" s="26" t="inlineStr">
        <is>
          <t>100201</t>
        </is>
      </c>
      <c r="B50" s="26" t="n"/>
      <c r="C50" s="26" t="inlineStr">
        <is>
          <t>2025-02-17</t>
        </is>
      </c>
      <c r="D50" s="26" t="inlineStr">
        <is>
          <t>Q0809</t>
        </is>
      </c>
      <c r="E50" s="26" t="n"/>
      <c r="F50" s="26" t="inlineStr">
        <is>
          <t>杭州知识跳跳科技有限公司</t>
        </is>
      </c>
      <c r="G50" s="26" t="inlineStr">
        <is>
          <t>记-13</t>
        </is>
      </c>
      <c r="H50" s="26" t="n"/>
      <c r="I50" s="45" t="n"/>
      <c r="J50" s="44" t="n">
        <v>2</v>
      </c>
    </row>
    <row r="51" s="83">
      <c r="A51" s="27" t="inlineStr">
        <is>
          <t>100201</t>
        </is>
      </c>
      <c r="B51" s="27" t="n"/>
      <c r="C51" s="27" t="inlineStr">
        <is>
          <t>2025-02-17</t>
        </is>
      </c>
      <c r="D51" s="27" t="inlineStr">
        <is>
          <t>Q0809</t>
        </is>
      </c>
      <c r="E51" s="27" t="n"/>
      <c r="F51" s="27" t="inlineStr">
        <is>
          <t>杭州知识跳跳科技有限公司</t>
        </is>
      </c>
      <c r="G51" s="27" t="inlineStr">
        <is>
          <t>记-14</t>
        </is>
      </c>
      <c r="H51" s="27" t="n"/>
      <c r="I51" s="44" t="n"/>
      <c r="J51" s="44" t="n">
        <v>2</v>
      </c>
    </row>
    <row r="52" s="83">
      <c r="A52" s="26" t="inlineStr">
        <is>
          <t>100201</t>
        </is>
      </c>
      <c r="B52" s="26" t="n"/>
      <c r="C52" s="26" t="inlineStr">
        <is>
          <t>2025-02-17</t>
        </is>
      </c>
      <c r="D52" s="26" t="inlineStr">
        <is>
          <t>Q0809</t>
        </is>
      </c>
      <c r="E52" s="26" t="n"/>
      <c r="F52" s="26" t="inlineStr">
        <is>
          <t>杭州知识跳跳科技有限公司</t>
        </is>
      </c>
      <c r="G52" s="26" t="inlineStr">
        <is>
          <t>记-15</t>
        </is>
      </c>
      <c r="H52" s="26" t="n"/>
      <c r="I52" s="45" t="n"/>
      <c r="J52" s="44" t="n">
        <v>2</v>
      </c>
    </row>
    <row r="53" s="83">
      <c r="A53" s="26" t="inlineStr">
        <is>
          <t>100201</t>
        </is>
      </c>
      <c r="B53" s="26" t="n"/>
      <c r="C53" s="26" t="inlineStr">
        <is>
          <t>2025-02-21</t>
        </is>
      </c>
      <c r="D53" s="26" t="inlineStr">
        <is>
          <t>Q1202</t>
        </is>
      </c>
      <c r="E53" s="26" t="n"/>
      <c r="F53" s="26" t="inlineStr">
        <is>
          <t>杭州知识跳跳科技有限公司</t>
        </is>
      </c>
      <c r="G53" s="26" t="inlineStr">
        <is>
          <t>记-18</t>
        </is>
      </c>
      <c r="H53" s="26" t="n"/>
      <c r="I53" s="45" t="n"/>
      <c r="J53" s="44" t="n">
        <v>2</v>
      </c>
    </row>
    <row r="54" s="83">
      <c r="A54" s="27" t="inlineStr">
        <is>
          <t>100201</t>
        </is>
      </c>
      <c r="B54" s="27" t="n"/>
      <c r="C54" s="27" t="inlineStr">
        <is>
          <t>2025-02-28</t>
        </is>
      </c>
      <c r="D54" s="27" t="inlineStr">
        <is>
          <t>Q1501</t>
        </is>
      </c>
      <c r="E54" s="27" t="n"/>
      <c r="F54" s="27" t="inlineStr">
        <is>
          <t>杭州知识跳跳科技有限公司</t>
        </is>
      </c>
      <c r="G54" s="27" t="inlineStr">
        <is>
          <t>记-30</t>
        </is>
      </c>
      <c r="H54" s="27" t="n"/>
      <c r="I54" s="44" t="n"/>
      <c r="J54" s="44" t="n">
        <v>2</v>
      </c>
    </row>
    <row r="55" s="83">
      <c r="A55" s="26" t="inlineStr">
        <is>
          <t>100201</t>
        </is>
      </c>
      <c r="B55" s="26" t="n"/>
      <c r="C55" s="26" t="inlineStr">
        <is>
          <t>2025-02-28</t>
        </is>
      </c>
      <c r="D55" s="26" t="inlineStr">
        <is>
          <t>Q1501</t>
        </is>
      </c>
      <c r="E55" s="26" t="n"/>
      <c r="F55" s="26" t="inlineStr">
        <is>
          <t>杭州知识跳跳科技有限公司</t>
        </is>
      </c>
      <c r="G55" s="26" t="inlineStr">
        <is>
          <t>记-32</t>
        </is>
      </c>
      <c r="H55" s="26" t="n"/>
      <c r="I55" s="45" t="n"/>
      <c r="J55" s="44" t="n">
        <v>2</v>
      </c>
    </row>
    <row r="56" s="83">
      <c r="A56" s="27" t="inlineStr">
        <is>
          <t>100201</t>
        </is>
      </c>
      <c r="B56" s="27" t="n"/>
      <c r="C56" s="27" t="inlineStr">
        <is>
          <t>2025-02-19</t>
        </is>
      </c>
      <c r="D56" s="27" t="inlineStr">
        <is>
          <t>Q1505</t>
        </is>
      </c>
      <c r="E56" s="27" t="n"/>
      <c r="F56" s="27" t="inlineStr">
        <is>
          <t>杭州知识跳跳科技有限公司</t>
        </is>
      </c>
      <c r="G56" s="27" t="inlineStr">
        <is>
          <t>记-16</t>
        </is>
      </c>
      <c r="H56" s="27" t="n"/>
      <c r="I56" s="44" t="n"/>
      <c r="J56" s="44" t="n">
        <v>2</v>
      </c>
    </row>
    <row r="57" s="83">
      <c r="A57" s="26" t="inlineStr">
        <is>
          <t>100201</t>
        </is>
      </c>
      <c r="B57" s="26" t="n"/>
      <c r="C57" s="26" t="inlineStr">
        <is>
          <t>2025-02-28</t>
        </is>
      </c>
      <c r="D57" s="26" t="inlineStr">
        <is>
          <t>Q1505</t>
        </is>
      </c>
      <c r="E57" s="26" t="n"/>
      <c r="F57" s="26" t="inlineStr">
        <is>
          <t>杭州知识跳跳科技有限公司</t>
        </is>
      </c>
      <c r="G57" s="26" t="inlineStr">
        <is>
          <t>记-29</t>
        </is>
      </c>
      <c r="H57" s="26" t="n"/>
      <c r="I57" s="45" t="n"/>
      <c r="J57" s="44" t="n">
        <v>2</v>
      </c>
    </row>
    <row r="58" s="83">
      <c r="A58" s="27" t="inlineStr">
        <is>
          <t>100201</t>
        </is>
      </c>
      <c r="B58" s="27" t="n"/>
      <c r="C58" s="27" t="inlineStr">
        <is>
          <t>2025-02-28</t>
        </is>
      </c>
      <c r="D58" s="27" t="inlineStr">
        <is>
          <t>Q2705</t>
        </is>
      </c>
      <c r="E58" s="27" t="n"/>
      <c r="F58" s="27" t="inlineStr">
        <is>
          <t>杭州知识跳跳科技有限公司</t>
        </is>
      </c>
      <c r="G58" s="27" t="inlineStr">
        <is>
          <t>记-31</t>
        </is>
      </c>
      <c r="H58" s="27" t="n"/>
      <c r="I58" s="44" t="n"/>
      <c r="J58" s="44" t="n">
        <v>2</v>
      </c>
    </row>
    <row r="59" s="83">
      <c r="A59" s="26" t="inlineStr">
        <is>
          <t>100201</t>
        </is>
      </c>
      <c r="B59" s="26" t="n"/>
      <c r="C59" s="26" t="inlineStr">
        <is>
          <t>2025-02-28</t>
        </is>
      </c>
      <c r="D59" s="26" t="inlineStr">
        <is>
          <t>Q29010</t>
        </is>
      </c>
      <c r="E59" s="26" t="n"/>
      <c r="F59" s="26" t="inlineStr">
        <is>
          <t>杭州知识跳跳科技有限公司</t>
        </is>
      </c>
      <c r="G59" s="26" t="inlineStr">
        <is>
          <t>记-31</t>
        </is>
      </c>
      <c r="H59" s="26" t="n"/>
      <c r="I59" s="45" t="n"/>
      <c r="J59" s="44" t="n">
        <v>2</v>
      </c>
    </row>
    <row r="60" s="83">
      <c r="A60" s="27" t="inlineStr">
        <is>
          <t>100201</t>
        </is>
      </c>
      <c r="B60" s="27" t="n"/>
      <c r="C60" s="27" t="inlineStr">
        <is>
          <t>2025-02-05</t>
        </is>
      </c>
      <c r="D60" s="27" t="inlineStr">
        <is>
          <t>Q2904</t>
        </is>
      </c>
      <c r="E60" s="27" t="n"/>
      <c r="F60" s="27" t="inlineStr">
        <is>
          <t>杭州知识跳跳科技有限公司</t>
        </is>
      </c>
      <c r="G60" s="27" t="inlineStr">
        <is>
          <t>记-1</t>
        </is>
      </c>
      <c r="H60" s="27" t="n"/>
      <c r="I60" s="44" t="n"/>
      <c r="J60" s="44" t="n">
        <v>2</v>
      </c>
    </row>
    <row r="61" s="83">
      <c r="A61" s="26" t="inlineStr">
        <is>
          <t>100201</t>
        </is>
      </c>
      <c r="B61" s="26" t="n"/>
      <c r="C61" s="26" t="inlineStr">
        <is>
          <t>2025-02-26</t>
        </is>
      </c>
      <c r="D61" s="26" t="inlineStr">
        <is>
          <t>Q2905</t>
        </is>
      </c>
      <c r="E61" s="26" t="n"/>
      <c r="F61" s="26" t="inlineStr">
        <is>
          <t>杭州知识跳跳科技有限公司</t>
        </is>
      </c>
      <c r="G61" s="26" t="inlineStr">
        <is>
          <t>记-26</t>
        </is>
      </c>
      <c r="H61" s="26" t="n"/>
      <c r="I61" s="45" t="n"/>
      <c r="J61" s="44" t="n">
        <v>2</v>
      </c>
    </row>
    <row r="62" s="83">
      <c r="A62" s="27" t="inlineStr">
        <is>
          <t>100201</t>
        </is>
      </c>
      <c r="B62" s="27" t="n"/>
      <c r="C62" s="27" t="inlineStr">
        <is>
          <t>2025-02-07</t>
        </is>
      </c>
      <c r="D62" s="27" t="inlineStr">
        <is>
          <t>Q2907</t>
        </is>
      </c>
      <c r="E62" s="27" t="n"/>
      <c r="F62" s="27" t="inlineStr">
        <is>
          <t>杭州知识跳跳科技有限公司</t>
        </is>
      </c>
      <c r="G62" s="27" t="inlineStr">
        <is>
          <t>记-6</t>
        </is>
      </c>
      <c r="H62" s="27" t="n"/>
      <c r="I62" s="44" t="n"/>
      <c r="J62" s="44" t="n">
        <v>2</v>
      </c>
    </row>
    <row r="63" s="83">
      <c r="A63" s="26" t="inlineStr">
        <is>
          <t>100201</t>
        </is>
      </c>
      <c r="B63" s="26" t="n"/>
      <c r="C63" s="26" t="inlineStr">
        <is>
          <t>2025-02-21</t>
        </is>
      </c>
      <c r="D63" s="26" t="inlineStr">
        <is>
          <t>Q2908</t>
        </is>
      </c>
      <c r="E63" s="26" t="n"/>
      <c r="F63" s="26" t="inlineStr">
        <is>
          <t>杭州知识跳跳科技有限公司</t>
        </is>
      </c>
      <c r="G63" s="26" t="inlineStr">
        <is>
          <t>记-17</t>
        </is>
      </c>
      <c r="H63" s="26" t="n"/>
      <c r="I63" s="45" t="n"/>
      <c r="J63" s="44" t="n">
        <v>2</v>
      </c>
    </row>
    <row r="64" s="83">
      <c r="A64" s="27" t="inlineStr">
        <is>
          <t>100201</t>
        </is>
      </c>
      <c r="B64" s="27" t="n"/>
      <c r="C64" s="27" t="inlineStr">
        <is>
          <t>2025-02-21</t>
        </is>
      </c>
      <c r="D64" s="27" t="inlineStr">
        <is>
          <t>Q2908</t>
        </is>
      </c>
      <c r="E64" s="27" t="n"/>
      <c r="F64" s="27" t="inlineStr">
        <is>
          <t>杭州知识跳跳科技有限公司</t>
        </is>
      </c>
      <c r="G64" s="27" t="inlineStr">
        <is>
          <t>记-19</t>
        </is>
      </c>
      <c r="H64" s="27" t="n"/>
      <c r="I64" s="44" t="n"/>
      <c r="J64" s="44" t="n">
        <v>2</v>
      </c>
    </row>
    <row r="65" s="83">
      <c r="A65" s="26" t="inlineStr">
        <is>
          <t>100201</t>
        </is>
      </c>
      <c r="B65" s="26" t="n"/>
      <c r="C65" s="26" t="inlineStr">
        <is>
          <t>2025-02-21</t>
        </is>
      </c>
      <c r="D65" s="26" t="inlineStr">
        <is>
          <t>Q2908</t>
        </is>
      </c>
      <c r="E65" s="26" t="n"/>
      <c r="F65" s="26" t="inlineStr">
        <is>
          <t>杭州知识跳跳科技有限公司</t>
        </is>
      </c>
      <c r="G65" s="26" t="inlineStr">
        <is>
          <t>记-21</t>
        </is>
      </c>
      <c r="H65" s="26" t="n"/>
      <c r="I65" s="45" t="n"/>
      <c r="J65" s="44" t="n">
        <v>2</v>
      </c>
    </row>
    <row r="66" s="83">
      <c r="A66" s="27" t="inlineStr">
        <is>
          <t>100201</t>
        </is>
      </c>
      <c r="B66" s="27" t="n"/>
      <c r="C66" s="27" t="inlineStr">
        <is>
          <t>2025-02-26</t>
        </is>
      </c>
      <c r="D66" s="27" t="inlineStr">
        <is>
          <t>Q2908</t>
        </is>
      </c>
      <c r="E66" s="27" t="n"/>
      <c r="F66" s="27" t="inlineStr">
        <is>
          <t>杭州知识跳跳科技有限公司</t>
        </is>
      </c>
      <c r="G66" s="27" t="inlineStr">
        <is>
          <t>记-23</t>
        </is>
      </c>
      <c r="H66" s="27" t="n"/>
      <c r="I66" s="44" t="n"/>
      <c r="J66" s="44" t="n">
        <v>2</v>
      </c>
    </row>
    <row r="67" s="83">
      <c r="A67" s="26" t="inlineStr">
        <is>
          <t>100201</t>
        </is>
      </c>
      <c r="B67" s="26" t="n"/>
      <c r="C67" s="26" t="inlineStr">
        <is>
          <t>2025-02-12</t>
        </is>
      </c>
      <c r="D67" s="26" t="inlineStr">
        <is>
          <t>Q2909</t>
        </is>
      </c>
      <c r="E67" s="26" t="n"/>
      <c r="F67" s="26" t="inlineStr">
        <is>
          <t>杭州知识跳跳科技有限公司</t>
        </is>
      </c>
      <c r="G67" s="26" t="inlineStr">
        <is>
          <t>记-7</t>
        </is>
      </c>
      <c r="H67" s="26" t="n"/>
      <c r="I67" s="45" t="n"/>
      <c r="J67" s="44" t="n">
        <v>2</v>
      </c>
    </row>
    <row r="68" s="83">
      <c r="A68" s="27" t="inlineStr">
        <is>
          <t>100201</t>
        </is>
      </c>
      <c r="B68" s="27" t="n"/>
      <c r="C68" s="27" t="inlineStr">
        <is>
          <t>2025-02-28</t>
        </is>
      </c>
      <c r="D68" s="27" t="inlineStr">
        <is>
          <t>Q3101</t>
        </is>
      </c>
      <c r="E68" s="27" t="n"/>
      <c r="F68" s="27" t="inlineStr">
        <is>
          <t>杭州知识跳跳科技有限公司</t>
        </is>
      </c>
      <c r="G68" s="27" t="inlineStr">
        <is>
          <t>记-55</t>
        </is>
      </c>
      <c r="H68" s="27" t="n"/>
      <c r="I68" s="44" t="n"/>
      <c r="J68" s="44" t="n">
        <v>2</v>
      </c>
    </row>
    <row r="69" s="83">
      <c r="A69" s="27" t="inlineStr">
        <is>
          <t>100201</t>
        </is>
      </c>
      <c r="B69" s="27" t="n"/>
      <c r="C69" s="27" t="inlineStr">
        <is>
          <t>2025-02-28</t>
        </is>
      </c>
      <c r="D69" s="27" t="inlineStr">
        <is>
          <t>Q3104</t>
        </is>
      </c>
      <c r="E69" s="27" t="n"/>
      <c r="F69" s="27" t="inlineStr">
        <is>
          <t>杭州知识跳跳科技有限公司</t>
        </is>
      </c>
      <c r="G69" s="27" t="inlineStr">
        <is>
          <t>记-31</t>
        </is>
      </c>
      <c r="H69" s="27" t="n"/>
      <c r="I69" s="44" t="n"/>
      <c r="J69" s="44" t="n">
        <v>2</v>
      </c>
    </row>
    <row r="70" s="83">
      <c r="A70" s="26" t="inlineStr">
        <is>
          <t>100201</t>
        </is>
      </c>
      <c r="B70" s="26" t="n"/>
      <c r="C70" s="26" t="inlineStr">
        <is>
          <t>2025-02-05</t>
        </is>
      </c>
      <c r="D70" s="26" t="inlineStr">
        <is>
          <t>Q3301</t>
        </is>
      </c>
      <c r="E70" s="26" t="n"/>
      <c r="F70" s="26" t="inlineStr">
        <is>
          <t>杭州知识跳跳科技有限公司</t>
        </is>
      </c>
      <c r="G70" s="26" t="inlineStr">
        <is>
          <t>记-2</t>
        </is>
      </c>
      <c r="H70" s="26" t="n"/>
      <c r="I70" s="45" t="n"/>
      <c r="J70" s="44" t="n">
        <v>2</v>
      </c>
    </row>
    <row r="71" s="83">
      <c r="A71" s="27" t="inlineStr">
        <is>
          <t>100201</t>
        </is>
      </c>
      <c r="B71" s="27" t="n"/>
      <c r="C71" s="27" t="inlineStr">
        <is>
          <t>2025-02-26</t>
        </is>
      </c>
      <c r="D71" s="27" t="inlineStr">
        <is>
          <t>Q3301</t>
        </is>
      </c>
      <c r="E71" s="27" t="n"/>
      <c r="F71" s="27" t="inlineStr">
        <is>
          <t>杭州知识跳跳科技有限公司</t>
        </is>
      </c>
      <c r="G71" s="27" t="inlineStr">
        <is>
          <t>记-24</t>
        </is>
      </c>
      <c r="H71" s="27" t="n"/>
      <c r="I71" s="45" t="n">
        <v>2</v>
      </c>
      <c r="J71" s="44" t="n"/>
    </row>
    <row r="72" s="83">
      <c r="A72" s="26" t="inlineStr">
        <is>
          <t>100201</t>
        </is>
      </c>
      <c r="B72" s="26" t="n"/>
      <c r="C72" s="26" t="inlineStr">
        <is>
          <t>2025-02-28</t>
        </is>
      </c>
      <c r="D72" s="26" t="inlineStr">
        <is>
          <t>Q3301</t>
        </is>
      </c>
      <c r="E72" s="26" t="n"/>
      <c r="F72" s="26" t="inlineStr">
        <is>
          <t>杭州知识跳跳科技有限公司</t>
        </is>
      </c>
      <c r="G72" s="26" t="inlineStr">
        <is>
          <t>记-28</t>
        </is>
      </c>
      <c r="H72" s="26" t="n"/>
      <c r="I72" s="45" t="n">
        <v>2</v>
      </c>
      <c r="J72" s="45" t="n"/>
    </row>
    <row r="73" s="83">
      <c r="A73" s="27" t="inlineStr">
        <is>
          <t>101203</t>
        </is>
      </c>
      <c r="B73" s="27" t="n"/>
      <c r="C73" s="27" t="inlineStr">
        <is>
          <t>2025-02-28</t>
        </is>
      </c>
      <c r="D73" s="27" t="inlineStr">
        <is>
          <t>Q0101</t>
        </is>
      </c>
      <c r="E73" s="27" t="n"/>
      <c r="F73" s="27" t="inlineStr">
        <is>
          <t>杭州知识跳跳科技有限公司</t>
        </is>
      </c>
      <c r="G73" s="27" t="inlineStr">
        <is>
          <t>记-44</t>
        </is>
      </c>
      <c r="H73" s="27" t="n"/>
      <c r="I73" s="45" t="n">
        <v>2</v>
      </c>
      <c r="J73" s="44" t="n"/>
    </row>
    <row r="74" s="83">
      <c r="A74" s="26" t="inlineStr">
        <is>
          <t>101203</t>
        </is>
      </c>
      <c r="B74" s="26" t="n"/>
      <c r="C74" s="26" t="inlineStr">
        <is>
          <t>2025-02-28</t>
        </is>
      </c>
      <c r="D74" s="26" t="inlineStr">
        <is>
          <t>Q0101</t>
        </is>
      </c>
      <c r="E74" s="26" t="n"/>
      <c r="F74" s="26" t="inlineStr">
        <is>
          <t>杭州知识跳跳科技有限公司</t>
        </is>
      </c>
      <c r="G74" s="26" t="inlineStr">
        <is>
          <t>记-44</t>
        </is>
      </c>
      <c r="H74" s="26" t="n"/>
      <c r="I74" s="45" t="n">
        <v>2</v>
      </c>
      <c r="J74" s="45" t="n"/>
    </row>
    <row r="75" s="83">
      <c r="A75" s="27" t="inlineStr">
        <is>
          <t>101203</t>
        </is>
      </c>
      <c r="B75" s="27" t="n"/>
      <c r="C75" s="27" t="inlineStr">
        <is>
          <t>2025-02-28</t>
        </is>
      </c>
      <c r="D75" s="27" t="inlineStr">
        <is>
          <t>Q0101</t>
        </is>
      </c>
      <c r="E75" s="27" t="n"/>
      <c r="F75" s="27" t="inlineStr">
        <is>
          <t>杭州知识跳跳科技有限公司</t>
        </is>
      </c>
      <c r="G75" s="27" t="inlineStr">
        <is>
          <t>记-46</t>
        </is>
      </c>
      <c r="H75" s="27" t="n"/>
      <c r="I75" s="44" t="n"/>
      <c r="J75" s="44" t="n">
        <v>2</v>
      </c>
    </row>
    <row r="76" s="83">
      <c r="A76" s="26" t="inlineStr">
        <is>
          <t>101203</t>
        </is>
      </c>
      <c r="B76" s="26" t="n"/>
      <c r="C76" s="26" t="inlineStr">
        <is>
          <t>2025-02-28</t>
        </is>
      </c>
      <c r="D76" s="26" t="inlineStr">
        <is>
          <t>Q0101</t>
        </is>
      </c>
      <c r="E76" s="26" t="n"/>
      <c r="F76" s="26" t="inlineStr">
        <is>
          <t>杭州知识跳跳科技有限公司</t>
        </is>
      </c>
      <c r="G76" s="26" t="inlineStr">
        <is>
          <t>记-46</t>
        </is>
      </c>
      <c r="H76" s="26" t="n"/>
      <c r="I76" s="45" t="n"/>
      <c r="J76" s="44" t="n">
        <v>2</v>
      </c>
    </row>
    <row r="77" s="83">
      <c r="A77" s="26" t="inlineStr">
        <is>
          <t>101203</t>
        </is>
      </c>
      <c r="B77" s="26" t="n"/>
      <c r="C77" s="26" t="inlineStr">
        <is>
          <t>2025-02-28</t>
        </is>
      </c>
      <c r="D77" s="26" t="inlineStr">
        <is>
          <t>Q2201</t>
        </is>
      </c>
      <c r="E77" s="26" t="n"/>
      <c r="F77" s="26" t="inlineStr">
        <is>
          <t>杭州知识跳跳科技有限公司</t>
        </is>
      </c>
      <c r="G77" s="26" t="inlineStr">
        <is>
          <t>记-46</t>
        </is>
      </c>
      <c r="H77" s="26" t="n"/>
      <c r="I77" s="45" t="n"/>
      <c r="J77" s="44" t="n">
        <v>2</v>
      </c>
    </row>
    <row r="78" s="83">
      <c r="A78" s="26" t="inlineStr">
        <is>
          <t>101203</t>
        </is>
      </c>
      <c r="B78" s="26" t="n"/>
      <c r="C78" s="26" t="inlineStr">
        <is>
          <t>2025-02-28</t>
        </is>
      </c>
      <c r="D78" s="26" t="inlineStr">
        <is>
          <t>Q2204</t>
        </is>
      </c>
      <c r="E78" s="26" t="n"/>
      <c r="F78" s="26" t="inlineStr">
        <is>
          <t>杭州知识跳跳科技有限公司</t>
        </is>
      </c>
      <c r="G78" s="26" t="inlineStr">
        <is>
          <t>记-46</t>
        </is>
      </c>
      <c r="H78" s="26" t="n"/>
      <c r="I78" s="45" t="n"/>
      <c r="J78" s="44" t="n">
        <v>2</v>
      </c>
    </row>
    <row r="79" s="83">
      <c r="A79" s="27" t="inlineStr">
        <is>
          <t>101203</t>
        </is>
      </c>
      <c r="B79" s="27" t="n"/>
      <c r="C79" s="27" t="inlineStr">
        <is>
          <t>2025-02-28</t>
        </is>
      </c>
      <c r="D79" s="27" t="inlineStr">
        <is>
          <t>Q2205</t>
        </is>
      </c>
      <c r="E79" s="27" t="n"/>
      <c r="F79" s="27" t="inlineStr">
        <is>
          <t>杭州知识跳跳科技有限公司</t>
        </is>
      </c>
      <c r="G79" s="27" t="inlineStr">
        <is>
          <t>记-46</t>
        </is>
      </c>
      <c r="H79" s="27" t="n"/>
      <c r="I79" s="44" t="n"/>
      <c r="J79" s="44" t="n">
        <v>2</v>
      </c>
    </row>
    <row r="80" s="83">
      <c r="A80" s="27" t="inlineStr">
        <is>
          <t>101204</t>
        </is>
      </c>
      <c r="B80" s="27" t="n"/>
      <c r="C80" s="27" t="inlineStr">
        <is>
          <t>2025-02-28</t>
        </is>
      </c>
      <c r="D80" s="27" t="inlineStr">
        <is>
          <t>Q2201</t>
        </is>
      </c>
      <c r="E80" s="27" t="n"/>
      <c r="F80" s="27" t="inlineStr">
        <is>
          <t>杭州知识跳跳科技有限公司</t>
        </is>
      </c>
      <c r="G80" s="27" t="inlineStr">
        <is>
          <t>记-36</t>
        </is>
      </c>
      <c r="H80" s="27" t="n"/>
      <c r="I80" s="44" t="n"/>
      <c r="J80" s="44" t="n">
        <v>2</v>
      </c>
    </row>
    <row r="81" s="83">
      <c r="A81" s="26" t="inlineStr">
        <is>
          <t>101204</t>
        </is>
      </c>
      <c r="B81" s="26" t="n"/>
      <c r="C81" s="26" t="inlineStr">
        <is>
          <t>2025-02-28</t>
        </is>
      </c>
      <c r="D81" s="26" t="inlineStr">
        <is>
          <t>Q2205</t>
        </is>
      </c>
      <c r="E81" s="26" t="n"/>
      <c r="F81" s="26" t="inlineStr">
        <is>
          <t>杭州知识跳跳科技有限公司</t>
        </is>
      </c>
      <c r="G81" s="26" t="inlineStr">
        <is>
          <t>记-36</t>
        </is>
      </c>
      <c r="H81" s="26" t="n"/>
      <c r="I81" s="45" t="n"/>
      <c r="J81" s="44" t="n">
        <v>2</v>
      </c>
    </row>
    <row r="82" s="83">
      <c r="A82" s="26" t="inlineStr">
        <is>
          <t>101204</t>
        </is>
      </c>
      <c r="B82" s="26" t="n"/>
      <c r="C82" s="26" t="inlineStr">
        <is>
          <t>2025-02-28</t>
        </is>
      </c>
      <c r="D82" s="26" t="inlineStr">
        <is>
          <t>Q2402</t>
        </is>
      </c>
      <c r="E82" s="26" t="n"/>
      <c r="F82" s="26" t="inlineStr">
        <is>
          <t>杭州知识跳跳科技有限公司</t>
        </is>
      </c>
      <c r="G82" s="26" t="inlineStr">
        <is>
          <t>记-36</t>
        </is>
      </c>
      <c r="H82" s="26" t="n"/>
      <c r="I82" s="45" t="n"/>
      <c r="J82" s="44" t="n">
        <v>2</v>
      </c>
    </row>
    <row r="83" s="83">
      <c r="A83" s="27" t="inlineStr">
        <is>
          <t>100201</t>
        </is>
      </c>
      <c r="B83" s="27" t="n"/>
      <c r="C83" s="27" t="inlineStr">
        <is>
          <t>2025-02-24</t>
        </is>
      </c>
      <c r="D83" s="27" t="inlineStr">
        <is>
          <t>Q0101</t>
        </is>
      </c>
      <c r="E83" s="27" t="n"/>
      <c r="F83" s="27" t="inlineStr">
        <is>
          <t>浙江精准学科技有限公司</t>
        </is>
      </c>
      <c r="G83" s="27" t="inlineStr">
        <is>
          <t>记-69</t>
        </is>
      </c>
      <c r="H83" s="27" t="n"/>
      <c r="I83" s="44" t="n"/>
      <c r="J83" s="44" t="n">
        <v>2</v>
      </c>
    </row>
    <row r="84" s="83">
      <c r="A84" s="26" t="inlineStr">
        <is>
          <t>100201</t>
        </is>
      </c>
      <c r="B84" s="26" t="n"/>
      <c r="C84" s="26" t="inlineStr">
        <is>
          <t>2025-02-27</t>
        </is>
      </c>
      <c r="D84" s="26" t="inlineStr">
        <is>
          <t>Q0101</t>
        </is>
      </c>
      <c r="E84" s="26" t="n"/>
      <c r="F84" s="26" t="inlineStr">
        <is>
          <t>浙江精准学科技有限公司</t>
        </is>
      </c>
      <c r="G84" s="26" t="inlineStr">
        <is>
          <t>记-87</t>
        </is>
      </c>
      <c r="H84" s="26" t="n"/>
      <c r="I84" s="45" t="n"/>
      <c r="J84" s="44" t="n">
        <v>2</v>
      </c>
    </row>
    <row r="85" s="83">
      <c r="A85" s="26" t="inlineStr">
        <is>
          <t>100201</t>
        </is>
      </c>
      <c r="B85" s="26" t="n"/>
      <c r="C85" s="26" t="inlineStr">
        <is>
          <t>2025-02-08</t>
        </is>
      </c>
      <c r="D85" s="26" t="inlineStr">
        <is>
          <t>Q0303</t>
        </is>
      </c>
      <c r="E85" s="26" t="n"/>
      <c r="F85" s="26" t="inlineStr">
        <is>
          <t>浙江精准学科技有限公司</t>
        </is>
      </c>
      <c r="G85" s="26" t="inlineStr">
        <is>
          <t>记-12</t>
        </is>
      </c>
      <c r="H85" s="26" t="n"/>
      <c r="I85" s="45" t="n">
        <v>2</v>
      </c>
      <c r="J85" s="45" t="n"/>
    </row>
    <row r="86" s="83">
      <c r="A86" s="27" t="inlineStr">
        <is>
          <t>100201</t>
        </is>
      </c>
      <c r="B86" s="27" t="n"/>
      <c r="C86" s="27" t="inlineStr">
        <is>
          <t>2025-02-08</t>
        </is>
      </c>
      <c r="D86" s="27" t="inlineStr">
        <is>
          <t>Q0303</t>
        </is>
      </c>
      <c r="E86" s="27" t="n"/>
      <c r="F86" s="27" t="inlineStr">
        <is>
          <t>浙江精准学科技有限公司</t>
        </is>
      </c>
      <c r="G86" s="27" t="inlineStr">
        <is>
          <t>记-12</t>
        </is>
      </c>
      <c r="H86" s="27" t="n"/>
      <c r="I86" s="44" t="n"/>
      <c r="J86" s="44" t="n">
        <v>2</v>
      </c>
    </row>
    <row r="87" s="83">
      <c r="A87" s="26" t="inlineStr">
        <is>
          <t>100201</t>
        </is>
      </c>
      <c r="B87" s="26" t="n"/>
      <c r="C87" s="26" t="inlineStr">
        <is>
          <t>2025-02-14</t>
        </is>
      </c>
      <c r="D87" s="26" t="inlineStr">
        <is>
          <t>Q0303</t>
        </is>
      </c>
      <c r="E87" s="26" t="n"/>
      <c r="F87" s="26" t="inlineStr">
        <is>
          <t>浙江精准学科技有限公司</t>
        </is>
      </c>
      <c r="G87" s="26" t="inlineStr">
        <is>
          <t>记-44</t>
        </is>
      </c>
      <c r="H87" s="26" t="n"/>
      <c r="I87" s="45" t="n">
        <v>2</v>
      </c>
      <c r="J87" s="45" t="n"/>
    </row>
    <row r="88" s="83">
      <c r="A88" s="27" t="inlineStr">
        <is>
          <t>100201</t>
        </is>
      </c>
      <c r="B88" s="27" t="n"/>
      <c r="C88" s="27" t="inlineStr">
        <is>
          <t>2025-02-27</t>
        </is>
      </c>
      <c r="D88" s="27" t="inlineStr">
        <is>
          <t>Q0303</t>
        </is>
      </c>
      <c r="E88" s="27" t="n"/>
      <c r="F88" s="27" t="inlineStr">
        <is>
          <t>浙江精准学科技有限公司</t>
        </is>
      </c>
      <c r="G88" s="27" t="inlineStr">
        <is>
          <t>记-83</t>
        </is>
      </c>
      <c r="H88" s="27" t="n"/>
      <c r="I88" s="45" t="n">
        <v>2</v>
      </c>
      <c r="J88" s="44" t="n"/>
    </row>
    <row r="89" s="83">
      <c r="A89" s="27" t="inlineStr">
        <is>
          <t>100201</t>
        </is>
      </c>
      <c r="B89" s="27" t="n"/>
      <c r="C89" s="27" t="inlineStr">
        <is>
          <t>2025-02-05</t>
        </is>
      </c>
      <c r="D89" s="27" t="inlineStr">
        <is>
          <t>Q0401</t>
        </is>
      </c>
      <c r="E89" s="27" t="n"/>
      <c r="F89" s="27" t="inlineStr">
        <is>
          <t>浙江精准学科技有限公司</t>
        </is>
      </c>
      <c r="G89" s="27" t="inlineStr">
        <is>
          <t>记-1</t>
        </is>
      </c>
      <c r="H89" s="27" t="n"/>
      <c r="I89" s="45" t="n">
        <v>2</v>
      </c>
      <c r="J89" s="44" t="n"/>
    </row>
    <row r="90" s="83">
      <c r="A90" s="26" t="inlineStr">
        <is>
          <t>100201</t>
        </is>
      </c>
      <c r="B90" s="26" t="n"/>
      <c r="C90" s="26" t="inlineStr">
        <is>
          <t>2025-02-14</t>
        </is>
      </c>
      <c r="D90" s="26" t="inlineStr">
        <is>
          <t>Q0401</t>
        </is>
      </c>
      <c r="E90" s="26" t="n"/>
      <c r="F90" s="26" t="inlineStr">
        <is>
          <t>浙江精准学科技有限公司</t>
        </is>
      </c>
      <c r="G90" s="26" t="inlineStr">
        <is>
          <t>记-41</t>
        </is>
      </c>
      <c r="H90" s="26" t="n"/>
      <c r="I90" s="45" t="n">
        <v>2</v>
      </c>
      <c r="J90" s="45" t="n"/>
    </row>
    <row r="91" s="83">
      <c r="A91" s="27" t="inlineStr">
        <is>
          <t>100201</t>
        </is>
      </c>
      <c r="B91" s="27" t="n"/>
      <c r="C91" s="27" t="inlineStr">
        <is>
          <t>2025-02-18</t>
        </is>
      </c>
      <c r="D91" s="27" t="inlineStr">
        <is>
          <t>Q0401</t>
        </is>
      </c>
      <c r="E91" s="27" t="n"/>
      <c r="F91" s="27" t="inlineStr">
        <is>
          <t>浙江精准学科技有限公司</t>
        </is>
      </c>
      <c r="G91" s="27" t="inlineStr">
        <is>
          <t>记-46</t>
        </is>
      </c>
      <c r="H91" s="27" t="n"/>
      <c r="I91" s="45" t="n">
        <v>2</v>
      </c>
      <c r="J91" s="44" t="n"/>
    </row>
    <row r="92" s="83">
      <c r="A92" s="26" t="inlineStr">
        <is>
          <t>100201</t>
        </is>
      </c>
      <c r="B92" s="26" t="n"/>
      <c r="C92" s="26" t="inlineStr">
        <is>
          <t>2025-02-19</t>
        </is>
      </c>
      <c r="D92" s="26" t="inlineStr">
        <is>
          <t>Q0401</t>
        </is>
      </c>
      <c r="E92" s="26" t="n"/>
      <c r="F92" s="26" t="inlineStr">
        <is>
          <t>浙江精准学科技有限公司</t>
        </is>
      </c>
      <c r="G92" s="26" t="inlineStr">
        <is>
          <t>记-47</t>
        </is>
      </c>
      <c r="H92" s="26" t="n"/>
      <c r="I92" s="45" t="n">
        <v>2</v>
      </c>
      <c r="J92" s="45" t="n"/>
    </row>
    <row r="93" s="83">
      <c r="A93" s="27" t="inlineStr">
        <is>
          <t>100201</t>
        </is>
      </c>
      <c r="B93" s="27" t="n"/>
      <c r="C93" s="27" t="inlineStr">
        <is>
          <t>2025-02-19</t>
        </is>
      </c>
      <c r="D93" s="27" t="inlineStr">
        <is>
          <t>Q0401</t>
        </is>
      </c>
      <c r="E93" s="27" t="n"/>
      <c r="F93" s="27" t="inlineStr">
        <is>
          <t>浙江精准学科技有限公司</t>
        </is>
      </c>
      <c r="G93" s="27" t="inlineStr">
        <is>
          <t>记-48</t>
        </is>
      </c>
      <c r="H93" s="27" t="n"/>
      <c r="I93" s="45" t="n">
        <v>2</v>
      </c>
      <c r="J93" s="44" t="n"/>
    </row>
    <row r="94" s="83">
      <c r="A94" s="26" t="inlineStr">
        <is>
          <t>100201</t>
        </is>
      </c>
      <c r="B94" s="26" t="n"/>
      <c r="C94" s="26" t="inlineStr">
        <is>
          <t>2025-02-20</t>
        </is>
      </c>
      <c r="D94" s="26" t="inlineStr">
        <is>
          <t>Q0401</t>
        </is>
      </c>
      <c r="E94" s="26" t="n"/>
      <c r="F94" s="26" t="inlineStr">
        <is>
          <t>浙江精准学科技有限公司</t>
        </is>
      </c>
      <c r="G94" s="26" t="inlineStr">
        <is>
          <t>记-51</t>
        </is>
      </c>
      <c r="H94" s="26" t="n"/>
      <c r="I94" s="45" t="n">
        <v>2</v>
      </c>
      <c r="J94" s="45" t="n"/>
    </row>
    <row r="95" s="83">
      <c r="A95" s="27" t="inlineStr">
        <is>
          <t>100201</t>
        </is>
      </c>
      <c r="B95" s="27" t="n"/>
      <c r="C95" s="27" t="inlineStr">
        <is>
          <t>2025-02-21</t>
        </is>
      </c>
      <c r="D95" s="27" t="inlineStr">
        <is>
          <t>Q0401</t>
        </is>
      </c>
      <c r="E95" s="27" t="n"/>
      <c r="F95" s="27" t="inlineStr">
        <is>
          <t>浙江精准学科技有限公司</t>
        </is>
      </c>
      <c r="G95" s="27" t="inlineStr">
        <is>
          <t>记-56</t>
        </is>
      </c>
      <c r="H95" s="27" t="n"/>
      <c r="I95" s="45" t="n">
        <v>2</v>
      </c>
      <c r="J95" s="44" t="n"/>
    </row>
    <row r="96" s="83">
      <c r="A96" s="26" t="inlineStr">
        <is>
          <t>100201</t>
        </is>
      </c>
      <c r="B96" s="26" t="n"/>
      <c r="C96" s="26" t="inlineStr">
        <is>
          <t>2025-02-22</t>
        </is>
      </c>
      <c r="D96" s="26" t="inlineStr">
        <is>
          <t>Q0401</t>
        </is>
      </c>
      <c r="E96" s="26" t="n"/>
      <c r="F96" s="26" t="inlineStr">
        <is>
          <t>浙江精准学科技有限公司</t>
        </is>
      </c>
      <c r="G96" s="26" t="inlineStr">
        <is>
          <t>记-60</t>
        </is>
      </c>
      <c r="H96" s="26" t="n"/>
      <c r="I96" s="45" t="n">
        <v>2</v>
      </c>
      <c r="J96" s="45" t="n"/>
    </row>
    <row r="97" s="83">
      <c r="A97" s="27" t="inlineStr">
        <is>
          <t>100201</t>
        </is>
      </c>
      <c r="B97" s="27" t="n"/>
      <c r="C97" s="27" t="inlineStr">
        <is>
          <t>2025-02-23</t>
        </is>
      </c>
      <c r="D97" s="27" t="inlineStr">
        <is>
          <t>Q0401</t>
        </is>
      </c>
      <c r="E97" s="27" t="n"/>
      <c r="F97" s="27" t="inlineStr">
        <is>
          <t>浙江精准学科技有限公司</t>
        </is>
      </c>
      <c r="G97" s="27" t="inlineStr">
        <is>
          <t>记-61</t>
        </is>
      </c>
      <c r="H97" s="27" t="n"/>
      <c r="I97" s="45" t="n">
        <v>2</v>
      </c>
      <c r="J97" s="44" t="n"/>
    </row>
    <row r="98" s="83">
      <c r="A98" s="26" t="inlineStr">
        <is>
          <t>100201</t>
        </is>
      </c>
      <c r="B98" s="26" t="n"/>
      <c r="C98" s="26" t="inlineStr">
        <is>
          <t>2025-02-24</t>
        </is>
      </c>
      <c r="D98" s="26" t="inlineStr">
        <is>
          <t>Q0401</t>
        </is>
      </c>
      <c r="E98" s="26" t="n"/>
      <c r="F98" s="26" t="inlineStr">
        <is>
          <t>浙江精准学科技有限公司</t>
        </is>
      </c>
      <c r="G98" s="26" t="inlineStr">
        <is>
          <t>记-62</t>
        </is>
      </c>
      <c r="H98" s="26" t="n"/>
      <c r="I98" s="45" t="n">
        <v>2</v>
      </c>
      <c r="J98" s="45" t="n"/>
    </row>
    <row r="99" s="83">
      <c r="A99" s="27" t="inlineStr">
        <is>
          <t>100201</t>
        </is>
      </c>
      <c r="B99" s="27" t="n"/>
      <c r="C99" s="27" t="inlineStr">
        <is>
          <t>2025-02-24</t>
        </is>
      </c>
      <c r="D99" s="27" t="inlineStr">
        <is>
          <t>Q0401</t>
        </is>
      </c>
      <c r="E99" s="27" t="n"/>
      <c r="F99" s="27" t="inlineStr">
        <is>
          <t>浙江精准学科技有限公司</t>
        </is>
      </c>
      <c r="G99" s="27" t="inlineStr">
        <is>
          <t>记-63</t>
        </is>
      </c>
      <c r="H99" s="27" t="n"/>
      <c r="I99" s="45" t="n">
        <v>2</v>
      </c>
      <c r="J99" s="44" t="n"/>
    </row>
    <row r="100" s="83">
      <c r="A100" s="26" t="inlineStr">
        <is>
          <t>100201</t>
        </is>
      </c>
      <c r="B100" s="26" t="n"/>
      <c r="C100" s="26" t="inlineStr">
        <is>
          <t>2025-02-25</t>
        </is>
      </c>
      <c r="D100" s="26" t="inlineStr">
        <is>
          <t>Q0401</t>
        </is>
      </c>
      <c r="E100" s="26" t="n"/>
      <c r="F100" s="26" t="inlineStr">
        <is>
          <t>浙江精准学科技有限公司</t>
        </is>
      </c>
      <c r="G100" s="26" t="inlineStr">
        <is>
          <t>记-70</t>
        </is>
      </c>
      <c r="H100" s="26" t="n"/>
      <c r="I100" s="45" t="n">
        <v>2</v>
      </c>
      <c r="J100" s="45" t="n"/>
    </row>
    <row r="101" s="83">
      <c r="A101" s="27" t="inlineStr">
        <is>
          <t>100201</t>
        </is>
      </c>
      <c r="B101" s="27" t="n"/>
      <c r="C101" s="27" t="inlineStr">
        <is>
          <t>2025-02-25</t>
        </is>
      </c>
      <c r="D101" s="27" t="inlineStr">
        <is>
          <t>Q0401</t>
        </is>
      </c>
      <c r="E101" s="27" t="n"/>
      <c r="F101" s="27" t="inlineStr">
        <is>
          <t>浙江精准学科技有限公司</t>
        </is>
      </c>
      <c r="G101" s="27" t="inlineStr">
        <is>
          <t>记-71</t>
        </is>
      </c>
      <c r="H101" s="27" t="n"/>
      <c r="I101" s="45" t="n">
        <v>2</v>
      </c>
      <c r="J101" s="44" t="n"/>
    </row>
    <row r="102" s="83">
      <c r="A102" s="26" t="inlineStr">
        <is>
          <t>100201</t>
        </is>
      </c>
      <c r="B102" s="26" t="n"/>
      <c r="C102" s="26" t="inlineStr">
        <is>
          <t>2025-02-26</t>
        </is>
      </c>
      <c r="D102" s="26" t="inlineStr">
        <is>
          <t>Q0401</t>
        </is>
      </c>
      <c r="E102" s="26" t="n"/>
      <c r="F102" s="26" t="inlineStr">
        <is>
          <t>浙江精准学科技有限公司</t>
        </is>
      </c>
      <c r="G102" s="26" t="inlineStr">
        <is>
          <t>记-76</t>
        </is>
      </c>
      <c r="H102" s="26" t="n"/>
      <c r="I102" s="45" t="n">
        <v>2</v>
      </c>
      <c r="J102" s="45" t="n"/>
    </row>
    <row r="103" s="83">
      <c r="A103" s="27" t="inlineStr">
        <is>
          <t>100201</t>
        </is>
      </c>
      <c r="B103" s="27" t="n"/>
      <c r="C103" s="27" t="inlineStr">
        <is>
          <t>2025-02-26</t>
        </is>
      </c>
      <c r="D103" s="27" t="inlineStr">
        <is>
          <t>Q0401</t>
        </is>
      </c>
      <c r="E103" s="27" t="n"/>
      <c r="F103" s="27" t="inlineStr">
        <is>
          <t>浙江精准学科技有限公司</t>
        </is>
      </c>
      <c r="G103" s="27" t="inlineStr">
        <is>
          <t>记-77</t>
        </is>
      </c>
      <c r="H103" s="27" t="n"/>
      <c r="I103" s="45" t="n">
        <v>2</v>
      </c>
      <c r="J103" s="44" t="n"/>
    </row>
    <row r="104" s="83">
      <c r="A104" s="26" t="inlineStr">
        <is>
          <t>100201</t>
        </is>
      </c>
      <c r="B104" s="26" t="n"/>
      <c r="C104" s="26" t="inlineStr">
        <is>
          <t>2025-02-26</t>
        </is>
      </c>
      <c r="D104" s="26" t="inlineStr">
        <is>
          <t>Q0401</t>
        </is>
      </c>
      <c r="E104" s="26" t="n"/>
      <c r="F104" s="26" t="inlineStr">
        <is>
          <t>浙江精准学科技有限公司</t>
        </is>
      </c>
      <c r="G104" s="26" t="inlineStr">
        <is>
          <t>记-78</t>
        </is>
      </c>
      <c r="H104" s="26" t="n"/>
      <c r="I104" s="45" t="n">
        <v>2</v>
      </c>
      <c r="J104" s="45" t="n"/>
    </row>
    <row r="105" s="83">
      <c r="A105" s="27" t="inlineStr">
        <is>
          <t>100201</t>
        </is>
      </c>
      <c r="B105" s="27" t="n"/>
      <c r="C105" s="27" t="inlineStr">
        <is>
          <t>2025-02-27</t>
        </is>
      </c>
      <c r="D105" s="27" t="inlineStr">
        <is>
          <t>Q0401</t>
        </is>
      </c>
      <c r="E105" s="27" t="n"/>
      <c r="F105" s="27" t="inlineStr">
        <is>
          <t>浙江精准学科技有限公司</t>
        </is>
      </c>
      <c r="G105" s="27" t="inlineStr">
        <is>
          <t>记-82</t>
        </is>
      </c>
      <c r="H105" s="27" t="n"/>
      <c r="I105" s="45" t="n">
        <v>2</v>
      </c>
      <c r="J105" s="44" t="n"/>
    </row>
    <row r="106" s="83">
      <c r="A106" s="26" t="inlineStr">
        <is>
          <t>100201</t>
        </is>
      </c>
      <c r="B106" s="26" t="n"/>
      <c r="C106" s="26" t="inlineStr">
        <is>
          <t>2025-02-27</t>
        </is>
      </c>
      <c r="D106" s="26" t="inlineStr">
        <is>
          <t>Q0401</t>
        </is>
      </c>
      <c r="E106" s="26" t="n"/>
      <c r="F106" s="26" t="inlineStr">
        <is>
          <t>浙江精准学科技有限公司</t>
        </is>
      </c>
      <c r="G106" s="26" t="inlineStr">
        <is>
          <t>记-84</t>
        </is>
      </c>
      <c r="H106" s="26" t="n"/>
      <c r="I106" s="45" t="n">
        <v>2</v>
      </c>
      <c r="J106" s="45" t="n"/>
    </row>
    <row r="107" s="83">
      <c r="A107" s="27" t="inlineStr">
        <is>
          <t>100201</t>
        </is>
      </c>
      <c r="B107" s="27" t="n"/>
      <c r="C107" s="27" t="inlineStr">
        <is>
          <t>2025-02-28</t>
        </is>
      </c>
      <c r="D107" s="27" t="inlineStr">
        <is>
          <t>Q0401</t>
        </is>
      </c>
      <c r="E107" s="27" t="n"/>
      <c r="F107" s="27" t="inlineStr">
        <is>
          <t>浙江精准学科技有限公司</t>
        </is>
      </c>
      <c r="G107" s="27" t="inlineStr">
        <is>
          <t>记-94</t>
        </is>
      </c>
      <c r="H107" s="27" t="n"/>
      <c r="I107" s="45" t="n">
        <v>2</v>
      </c>
      <c r="J107" s="44" t="n"/>
    </row>
    <row r="108" s="83">
      <c r="A108" s="26" t="inlineStr">
        <is>
          <t>100201</t>
        </is>
      </c>
      <c r="B108" s="26" t="n"/>
      <c r="C108" s="26" t="inlineStr">
        <is>
          <t>2025-02-28</t>
        </is>
      </c>
      <c r="D108" s="26" t="inlineStr">
        <is>
          <t>Q0401</t>
        </is>
      </c>
      <c r="E108" s="26" t="n"/>
      <c r="F108" s="26" t="inlineStr">
        <is>
          <t>浙江精准学科技有限公司</t>
        </is>
      </c>
      <c r="G108" s="26" t="inlineStr">
        <is>
          <t>记-98</t>
        </is>
      </c>
      <c r="H108" s="26" t="n"/>
      <c r="I108" s="45" t="n">
        <v>2</v>
      </c>
      <c r="J108" s="45" t="n"/>
    </row>
    <row r="109" s="83">
      <c r="A109" s="26" t="inlineStr">
        <is>
          <t>100201</t>
        </is>
      </c>
      <c r="B109" s="26" t="n"/>
      <c r="C109" s="26" t="inlineStr">
        <is>
          <t>2025-02-11</t>
        </is>
      </c>
      <c r="D109" s="26" t="inlineStr">
        <is>
          <t>Q0402</t>
        </is>
      </c>
      <c r="E109" s="26" t="n"/>
      <c r="F109" s="26" t="inlineStr">
        <is>
          <t>浙江精准学科技有限公司</t>
        </is>
      </c>
      <c r="G109" s="26" t="inlineStr">
        <is>
          <t>记-25</t>
        </is>
      </c>
      <c r="H109" s="26" t="n"/>
      <c r="I109" s="45" t="n"/>
      <c r="J109" s="44" t="n">
        <v>2</v>
      </c>
    </row>
    <row r="110" s="83">
      <c r="A110" s="27" t="inlineStr">
        <is>
          <t>100201</t>
        </is>
      </c>
      <c r="B110" s="27" t="n"/>
      <c r="C110" s="27" t="inlineStr">
        <is>
          <t>2025-02-12</t>
        </is>
      </c>
      <c r="D110" s="27" t="inlineStr">
        <is>
          <t>Q0402</t>
        </is>
      </c>
      <c r="E110" s="27" t="n"/>
      <c r="F110" s="27" t="inlineStr">
        <is>
          <t>浙江精准学科技有限公司</t>
        </is>
      </c>
      <c r="G110" s="27" t="inlineStr">
        <is>
          <t>记-35</t>
        </is>
      </c>
      <c r="H110" s="27" t="n"/>
      <c r="I110" s="44" t="n"/>
      <c r="J110" s="44" t="n">
        <v>2</v>
      </c>
    </row>
    <row r="111" s="83">
      <c r="A111" s="26" t="inlineStr">
        <is>
          <t>100201</t>
        </is>
      </c>
      <c r="B111" s="26" t="n"/>
      <c r="C111" s="26" t="inlineStr">
        <is>
          <t>2025-02-28</t>
        </is>
      </c>
      <c r="D111" s="26" t="inlineStr">
        <is>
          <t>Q0601</t>
        </is>
      </c>
      <c r="E111" s="26" t="n"/>
      <c r="F111" s="26" t="inlineStr">
        <is>
          <t>浙江精准学科技有限公司</t>
        </is>
      </c>
      <c r="G111" s="26" t="inlineStr">
        <is>
          <t>记-99</t>
        </is>
      </c>
      <c r="H111" s="26" t="n"/>
      <c r="I111" s="45" t="n"/>
      <c r="J111" s="44" t="n">
        <v>2</v>
      </c>
    </row>
    <row r="112" s="83">
      <c r="A112" s="26" t="inlineStr">
        <is>
          <t>100201</t>
        </is>
      </c>
      <c r="B112" s="26" t="n"/>
      <c r="C112" s="26" t="inlineStr">
        <is>
          <t>2025-02-14</t>
        </is>
      </c>
      <c r="D112" s="26" t="inlineStr">
        <is>
          <t>Q0801</t>
        </is>
      </c>
      <c r="E112" s="26" t="n"/>
      <c r="F112" s="26" t="inlineStr">
        <is>
          <t>浙江精准学科技有限公司</t>
        </is>
      </c>
      <c r="G112" s="26" t="inlineStr">
        <is>
          <t>记-42</t>
        </is>
      </c>
      <c r="H112" s="26" t="n"/>
      <c r="I112" s="45" t="n"/>
      <c r="J112" s="44" t="n">
        <v>2</v>
      </c>
    </row>
    <row r="113" s="83">
      <c r="A113" s="27" t="inlineStr">
        <is>
          <t>100201</t>
        </is>
      </c>
      <c r="B113" s="27" t="n"/>
      <c r="C113" s="27" t="inlineStr">
        <is>
          <t>2025-02-28</t>
        </is>
      </c>
      <c r="D113" s="27" t="inlineStr">
        <is>
          <t>Q0801</t>
        </is>
      </c>
      <c r="E113" s="27" t="n"/>
      <c r="F113" s="27" t="inlineStr">
        <is>
          <t>浙江精准学科技有限公司</t>
        </is>
      </c>
      <c r="G113" s="27" t="inlineStr">
        <is>
          <t>记-95</t>
        </is>
      </c>
      <c r="H113" s="27" t="n"/>
      <c r="I113" s="45" t="n">
        <v>2</v>
      </c>
      <c r="J113" s="44" t="n"/>
    </row>
    <row r="114" s="83">
      <c r="A114" s="27" t="inlineStr">
        <is>
          <t>100201</t>
        </is>
      </c>
      <c r="B114" s="27" t="n"/>
      <c r="C114" s="27" t="inlineStr">
        <is>
          <t>2025-02-08</t>
        </is>
      </c>
      <c r="D114" s="27" t="inlineStr">
        <is>
          <t>Q0803</t>
        </is>
      </c>
      <c r="E114" s="27" t="n"/>
      <c r="F114" s="27" t="inlineStr">
        <is>
          <t>浙江精准学科技有限公司</t>
        </is>
      </c>
      <c r="G114" s="27" t="inlineStr">
        <is>
          <t>记-11</t>
        </is>
      </c>
      <c r="H114" s="27" t="n"/>
      <c r="I114" s="44" t="n"/>
      <c r="J114" s="44" t="n">
        <v>2</v>
      </c>
    </row>
    <row r="115" s="83">
      <c r="A115" s="26" t="inlineStr">
        <is>
          <t>100201</t>
        </is>
      </c>
      <c r="B115" s="26" t="n"/>
      <c r="C115" s="26" t="inlineStr">
        <is>
          <t>2025-02-08</t>
        </is>
      </c>
      <c r="D115" s="26" t="inlineStr">
        <is>
          <t>Q0803</t>
        </is>
      </c>
      <c r="E115" s="26" t="n"/>
      <c r="F115" s="26" t="inlineStr">
        <is>
          <t>浙江精准学科技有限公司</t>
        </is>
      </c>
      <c r="G115" s="26" t="inlineStr">
        <is>
          <t>记-11</t>
        </is>
      </c>
      <c r="H115" s="26" t="n"/>
      <c r="I115" s="45" t="n"/>
      <c r="J115" s="44" t="n">
        <v>2</v>
      </c>
    </row>
    <row r="116" s="83">
      <c r="A116" s="27" t="inlineStr">
        <is>
          <t>100201</t>
        </is>
      </c>
      <c r="B116" s="27" t="n"/>
      <c r="C116" s="27" t="inlineStr">
        <is>
          <t>2025-02-08</t>
        </is>
      </c>
      <c r="D116" s="27" t="inlineStr">
        <is>
          <t>Q0803</t>
        </is>
      </c>
      <c r="E116" s="27" t="n"/>
      <c r="F116" s="27" t="inlineStr">
        <is>
          <t>浙江精准学科技有限公司</t>
        </is>
      </c>
      <c r="G116" s="27" t="inlineStr">
        <is>
          <t>记-11</t>
        </is>
      </c>
      <c r="H116" s="27" t="n"/>
      <c r="I116" s="44" t="n"/>
      <c r="J116" s="44" t="n">
        <v>2</v>
      </c>
    </row>
    <row r="117" s="83">
      <c r="A117" s="26" t="inlineStr">
        <is>
          <t>100201</t>
        </is>
      </c>
      <c r="B117" s="26" t="n"/>
      <c r="C117" s="26" t="inlineStr">
        <is>
          <t>2025-02-10</t>
        </is>
      </c>
      <c r="D117" s="26" t="inlineStr">
        <is>
          <t>Q0803</t>
        </is>
      </c>
      <c r="E117" s="26" t="n"/>
      <c r="F117" s="26" t="inlineStr">
        <is>
          <t>浙江精准学科技有限公司</t>
        </is>
      </c>
      <c r="G117" s="26" t="inlineStr">
        <is>
          <t>记-20</t>
        </is>
      </c>
      <c r="H117" s="26" t="n"/>
      <c r="I117" s="45" t="n">
        <v>2</v>
      </c>
      <c r="J117" s="45" t="n"/>
    </row>
    <row r="118" s="83">
      <c r="A118" s="26" t="inlineStr">
        <is>
          <t>100201</t>
        </is>
      </c>
      <c r="B118" s="26" t="n"/>
      <c r="C118" s="26" t="inlineStr">
        <is>
          <t>2025-02-11</t>
        </is>
      </c>
      <c r="D118" s="26" t="inlineStr">
        <is>
          <t>Q0804</t>
        </is>
      </c>
      <c r="E118" s="26" t="n"/>
      <c r="F118" s="26" t="inlineStr">
        <is>
          <t>浙江精准学科技有限公司</t>
        </is>
      </c>
      <c r="G118" s="26" t="inlineStr">
        <is>
          <t>记-24</t>
        </is>
      </c>
      <c r="H118" s="26" t="n"/>
      <c r="I118" s="45" t="n"/>
      <c r="J118" s="44" t="n">
        <v>2</v>
      </c>
    </row>
    <row r="119" s="83">
      <c r="A119" s="27" t="inlineStr">
        <is>
          <t>100201</t>
        </is>
      </c>
      <c r="B119" s="27" t="n"/>
      <c r="C119" s="27" t="inlineStr">
        <is>
          <t>2025-02-21</t>
        </is>
      </c>
      <c r="D119" s="27" t="inlineStr">
        <is>
          <t>Q0804</t>
        </is>
      </c>
      <c r="E119" s="27" t="n"/>
      <c r="F119" s="27" t="inlineStr">
        <is>
          <t>浙江精准学科技有限公司</t>
        </is>
      </c>
      <c r="G119" s="27" t="inlineStr">
        <is>
          <t>记-59</t>
        </is>
      </c>
      <c r="H119" s="27" t="n"/>
      <c r="I119" s="44" t="n"/>
      <c r="J119" s="44" t="n">
        <v>2</v>
      </c>
    </row>
    <row r="120" s="83">
      <c r="A120" s="26" t="inlineStr">
        <is>
          <t>100201</t>
        </is>
      </c>
      <c r="B120" s="26" t="n"/>
      <c r="C120" s="26" t="inlineStr">
        <is>
          <t>2025-02-14</t>
        </is>
      </c>
      <c r="D120" s="26" t="inlineStr">
        <is>
          <t>Q0805</t>
        </is>
      </c>
      <c r="E120" s="26" t="n"/>
      <c r="F120" s="26" t="inlineStr">
        <is>
          <t>浙江精准学科技有限公司</t>
        </is>
      </c>
      <c r="G120" s="26" t="inlineStr">
        <is>
          <t>记-45</t>
        </is>
      </c>
      <c r="H120" s="26" t="n"/>
      <c r="I120" s="45" t="n"/>
      <c r="J120" s="44" t="n">
        <v>2</v>
      </c>
    </row>
    <row r="121" s="83">
      <c r="A121" s="27" t="inlineStr">
        <is>
          <t>100201</t>
        </is>
      </c>
      <c r="B121" s="27" t="n"/>
      <c r="C121" s="27" t="inlineStr">
        <is>
          <t>2025-02-14</t>
        </is>
      </c>
      <c r="D121" s="27" t="inlineStr">
        <is>
          <t>Q0807</t>
        </is>
      </c>
      <c r="E121" s="27" t="n"/>
      <c r="F121" s="27" t="inlineStr">
        <is>
          <t>浙江精准学科技有限公司</t>
        </is>
      </c>
      <c r="G121" s="27" t="inlineStr">
        <is>
          <t>记-43</t>
        </is>
      </c>
      <c r="H121" s="27" t="n"/>
      <c r="I121" s="44" t="n"/>
      <c r="J121" s="44" t="n">
        <v>2</v>
      </c>
    </row>
    <row r="122" s="83">
      <c r="A122" s="26" t="inlineStr">
        <is>
          <t>100201</t>
        </is>
      </c>
      <c r="B122" s="26" t="n"/>
      <c r="C122" s="26" t="inlineStr">
        <is>
          <t>2025-02-14</t>
        </is>
      </c>
      <c r="D122" s="26" t="inlineStr">
        <is>
          <t>Q0807</t>
        </is>
      </c>
      <c r="E122" s="26" t="n"/>
      <c r="F122" s="26" t="inlineStr">
        <is>
          <t>浙江精准学科技有限公司</t>
        </is>
      </c>
      <c r="G122" s="26" t="inlineStr">
        <is>
          <t>记-43</t>
        </is>
      </c>
      <c r="H122" s="26" t="n"/>
      <c r="I122" s="45" t="n"/>
      <c r="J122" s="44" t="n">
        <v>2</v>
      </c>
    </row>
    <row r="123" s="83">
      <c r="A123" s="27" t="inlineStr">
        <is>
          <t>100201</t>
        </is>
      </c>
      <c r="B123" s="27" t="n"/>
      <c r="C123" s="27" t="inlineStr">
        <is>
          <t>2025-02-08</t>
        </is>
      </c>
      <c r="D123" s="27" t="inlineStr">
        <is>
          <t>Q0902</t>
        </is>
      </c>
      <c r="E123" s="27" t="n"/>
      <c r="F123" s="27" t="inlineStr">
        <is>
          <t>浙江精准学科技有限公司</t>
        </is>
      </c>
      <c r="G123" s="27" t="inlineStr">
        <is>
          <t>记-17</t>
        </is>
      </c>
      <c r="H123" s="27" t="n"/>
      <c r="I123" s="44" t="n"/>
      <c r="J123" s="44" t="n">
        <v>2</v>
      </c>
    </row>
    <row r="124" s="83">
      <c r="A124" s="26" t="inlineStr">
        <is>
          <t>100201</t>
        </is>
      </c>
      <c r="B124" s="26" t="n"/>
      <c r="C124" s="26" t="inlineStr">
        <is>
          <t>2025-02-26</t>
        </is>
      </c>
      <c r="D124" s="26" t="inlineStr">
        <is>
          <t>Q1001</t>
        </is>
      </c>
      <c r="E124" s="26" t="n"/>
      <c r="F124" s="26" t="inlineStr">
        <is>
          <t>浙江精准学科技有限公司</t>
        </is>
      </c>
      <c r="G124" s="26" t="inlineStr">
        <is>
          <t>记-80</t>
        </is>
      </c>
      <c r="H124" s="26" t="n"/>
      <c r="I124" s="45" t="n"/>
      <c r="J124" s="44" t="n">
        <v>2</v>
      </c>
    </row>
    <row r="125" s="83">
      <c r="A125" s="27" t="inlineStr">
        <is>
          <t>100201</t>
        </is>
      </c>
      <c r="B125" s="27" t="n"/>
      <c r="C125" s="27" t="inlineStr">
        <is>
          <t>2025-02-08</t>
        </is>
      </c>
      <c r="D125" s="27" t="inlineStr">
        <is>
          <t>Q1102</t>
        </is>
      </c>
      <c r="E125" s="27" t="n"/>
      <c r="F125" s="27" t="inlineStr">
        <is>
          <t>浙江精准学科技有限公司</t>
        </is>
      </c>
      <c r="G125" s="27" t="inlineStr">
        <is>
          <t>记-15</t>
        </is>
      </c>
      <c r="H125" s="27" t="n"/>
      <c r="I125" s="44" t="n"/>
      <c r="J125" s="44" t="n">
        <v>2</v>
      </c>
    </row>
    <row r="126" s="83">
      <c r="A126" s="26" t="inlineStr">
        <is>
          <t>100201</t>
        </is>
      </c>
      <c r="B126" s="26" t="n"/>
      <c r="C126" s="26" t="inlineStr">
        <is>
          <t>2025-02-11</t>
        </is>
      </c>
      <c r="D126" s="26" t="inlineStr">
        <is>
          <t>Q1504</t>
        </is>
      </c>
      <c r="E126" s="26" t="n"/>
      <c r="F126" s="26" t="inlineStr">
        <is>
          <t>浙江精准学科技有限公司</t>
        </is>
      </c>
      <c r="G126" s="26" t="inlineStr">
        <is>
          <t>记-27</t>
        </is>
      </c>
      <c r="H126" s="26" t="n"/>
      <c r="I126" s="45" t="n"/>
      <c r="J126" s="44" t="n">
        <v>2</v>
      </c>
    </row>
    <row r="127" s="83">
      <c r="A127" s="27" t="inlineStr">
        <is>
          <t>100201</t>
        </is>
      </c>
      <c r="B127" s="27" t="n"/>
      <c r="C127" s="27" t="inlineStr">
        <is>
          <t>2025-02-24</t>
        </is>
      </c>
      <c r="D127" s="27" t="inlineStr">
        <is>
          <t>Q1505</t>
        </is>
      </c>
      <c r="E127" s="27" t="n"/>
      <c r="F127" s="27" t="inlineStr">
        <is>
          <t>浙江精准学科技有限公司</t>
        </is>
      </c>
      <c r="G127" s="27" t="inlineStr">
        <is>
          <t>记-68</t>
        </is>
      </c>
      <c r="H127" s="27" t="n"/>
      <c r="I127" s="44" t="n"/>
      <c r="J127" s="44" t="n">
        <v>2</v>
      </c>
    </row>
    <row r="128" s="83">
      <c r="A128" s="27" t="inlineStr">
        <is>
          <t>100201</t>
        </is>
      </c>
      <c r="B128" s="27" t="n"/>
      <c r="C128" s="27" t="inlineStr">
        <is>
          <t>2025-02-07</t>
        </is>
      </c>
      <c r="D128" s="27" t="inlineStr">
        <is>
          <t>Q1701</t>
        </is>
      </c>
      <c r="E128" s="27" t="n"/>
      <c r="F128" s="27" t="inlineStr">
        <is>
          <t>浙江精准学科技有限公司</t>
        </is>
      </c>
      <c r="G128" s="27" t="inlineStr">
        <is>
          <t>记-8</t>
        </is>
      </c>
      <c r="H128" s="27" t="n"/>
      <c r="I128" s="44" t="n"/>
      <c r="J128" s="44" t="n">
        <v>2</v>
      </c>
    </row>
    <row r="129" s="83">
      <c r="A129" s="26" t="inlineStr">
        <is>
          <t>100201</t>
        </is>
      </c>
      <c r="B129" s="26" t="n"/>
      <c r="C129" s="26" t="inlineStr">
        <is>
          <t>2025-02-11</t>
        </is>
      </c>
      <c r="D129" s="26" t="inlineStr">
        <is>
          <t>Q1701</t>
        </is>
      </c>
      <c r="E129" s="26" t="n"/>
      <c r="F129" s="26" t="inlineStr">
        <is>
          <t>浙江精准学科技有限公司</t>
        </is>
      </c>
      <c r="G129" s="26" t="inlineStr">
        <is>
          <t>记-29</t>
        </is>
      </c>
      <c r="H129" s="26" t="n"/>
      <c r="I129" s="45" t="n"/>
      <c r="J129" s="44" t="n">
        <v>2</v>
      </c>
    </row>
    <row r="130" s="83">
      <c r="A130" s="27" t="inlineStr">
        <is>
          <t>100201</t>
        </is>
      </c>
      <c r="B130" s="27" t="n"/>
      <c r="C130" s="27" t="inlineStr">
        <is>
          <t>2025-02-08</t>
        </is>
      </c>
      <c r="D130" s="27" t="inlineStr">
        <is>
          <t>Q1901</t>
        </is>
      </c>
      <c r="E130" s="27" t="n"/>
      <c r="F130" s="27" t="inlineStr">
        <is>
          <t>浙江精准学科技有限公司</t>
        </is>
      </c>
      <c r="G130" s="27" t="inlineStr">
        <is>
          <t>记-16</t>
        </is>
      </c>
      <c r="H130" s="27" t="n"/>
      <c r="I130" s="44" t="n"/>
      <c r="J130" s="44" t="n">
        <v>2</v>
      </c>
    </row>
    <row r="131" s="83">
      <c r="A131" s="26" t="inlineStr">
        <is>
          <t>100201</t>
        </is>
      </c>
      <c r="B131" s="26" t="n"/>
      <c r="C131" s="26" t="inlineStr">
        <is>
          <t>2025-02-24</t>
        </is>
      </c>
      <c r="D131" s="26" t="inlineStr">
        <is>
          <t>Q1902</t>
        </is>
      </c>
      <c r="E131" s="26" t="n"/>
      <c r="F131" s="26" t="inlineStr">
        <is>
          <t>浙江精准学科技有限公司</t>
        </is>
      </c>
      <c r="G131" s="26" t="inlineStr">
        <is>
          <t>记-65</t>
        </is>
      </c>
      <c r="H131" s="26" t="n"/>
      <c r="I131" s="45" t="n"/>
      <c r="J131" s="44" t="n">
        <v>2</v>
      </c>
    </row>
    <row r="132" s="83">
      <c r="A132" s="27" t="inlineStr">
        <is>
          <t>100201</t>
        </is>
      </c>
      <c r="B132" s="27" t="n"/>
      <c r="C132" s="27" t="inlineStr">
        <is>
          <t>2025-02-28</t>
        </is>
      </c>
      <c r="D132" s="27" t="inlineStr">
        <is>
          <t>Q1902</t>
        </is>
      </c>
      <c r="E132" s="27" t="n"/>
      <c r="F132" s="27" t="inlineStr">
        <is>
          <t>浙江精准学科技有限公司</t>
        </is>
      </c>
      <c r="G132" s="27" t="inlineStr">
        <is>
          <t>记-97</t>
        </is>
      </c>
      <c r="H132" s="27" t="n"/>
      <c r="I132" s="44" t="n"/>
      <c r="J132" s="44" t="n">
        <v>2</v>
      </c>
    </row>
    <row r="133" s="83">
      <c r="A133" s="27" t="inlineStr">
        <is>
          <t>100201</t>
        </is>
      </c>
      <c r="B133" s="27" t="n"/>
      <c r="C133" s="27" t="inlineStr">
        <is>
          <t>2025-02-08</t>
        </is>
      </c>
      <c r="D133" s="27" t="inlineStr">
        <is>
          <t>Q1906</t>
        </is>
      </c>
      <c r="E133" s="27" t="n"/>
      <c r="F133" s="27" t="inlineStr">
        <is>
          <t>浙江精准学科技有限公司</t>
        </is>
      </c>
      <c r="G133" s="27" t="inlineStr">
        <is>
          <t>记-18</t>
        </is>
      </c>
      <c r="H133" s="27" t="n"/>
      <c r="I133" s="44" t="n"/>
      <c r="J133" s="44" t="n">
        <v>2</v>
      </c>
    </row>
    <row r="134" s="83">
      <c r="A134" s="26" t="inlineStr">
        <is>
          <t>100201</t>
        </is>
      </c>
      <c r="B134" s="26" t="n"/>
      <c r="C134" s="26" t="inlineStr">
        <is>
          <t>2025-02-25</t>
        </is>
      </c>
      <c r="D134" s="26" t="inlineStr">
        <is>
          <t>Q1906</t>
        </is>
      </c>
      <c r="E134" s="26" t="n"/>
      <c r="F134" s="26" t="inlineStr">
        <is>
          <t>浙江精准学科技有限公司</t>
        </is>
      </c>
      <c r="G134" s="26" t="inlineStr">
        <is>
          <t>记-72</t>
        </is>
      </c>
      <c r="H134" s="26" t="n"/>
      <c r="I134" s="45" t="n"/>
      <c r="J134" s="44" t="n">
        <v>2</v>
      </c>
    </row>
    <row r="135" s="83">
      <c r="A135" s="27" t="inlineStr">
        <is>
          <t>100201</t>
        </is>
      </c>
      <c r="B135" s="27" t="n"/>
      <c r="C135" s="27" t="inlineStr">
        <is>
          <t>2025-02-28</t>
        </is>
      </c>
      <c r="D135" s="27" t="inlineStr">
        <is>
          <t>Q1906</t>
        </is>
      </c>
      <c r="E135" s="27" t="n"/>
      <c r="F135" s="27" t="inlineStr">
        <is>
          <t>浙江精准学科技有限公司</t>
        </is>
      </c>
      <c r="G135" s="27" t="inlineStr">
        <is>
          <t>记-102</t>
        </is>
      </c>
      <c r="H135" s="27" t="n"/>
      <c r="I135" s="44" t="n"/>
      <c r="J135" s="44" t="n">
        <v>2</v>
      </c>
    </row>
    <row r="136" s="83">
      <c r="A136" s="26" t="inlineStr">
        <is>
          <t>100201</t>
        </is>
      </c>
      <c r="B136" s="26" t="n"/>
      <c r="C136" s="26" t="inlineStr">
        <is>
          <t>2025-02-06</t>
        </is>
      </c>
      <c r="D136" s="26" t="inlineStr">
        <is>
          <t>Q2002</t>
        </is>
      </c>
      <c r="E136" s="26" t="n"/>
      <c r="F136" s="26" t="inlineStr">
        <is>
          <t>浙江精准学科技有限公司</t>
        </is>
      </c>
      <c r="G136" s="26" t="inlineStr">
        <is>
          <t>记-3</t>
        </is>
      </c>
      <c r="H136" s="26" t="n"/>
      <c r="I136" s="45" t="n"/>
      <c r="J136" s="44" t="n">
        <v>2</v>
      </c>
    </row>
    <row r="137" s="83">
      <c r="A137" s="27" t="inlineStr">
        <is>
          <t>100201</t>
        </is>
      </c>
      <c r="B137" s="27" t="n"/>
      <c r="C137" s="27" t="inlineStr">
        <is>
          <t>2025-02-06</t>
        </is>
      </c>
      <c r="D137" s="27" t="inlineStr">
        <is>
          <t>Q2002</t>
        </is>
      </c>
      <c r="E137" s="27" t="n"/>
      <c r="F137" s="27" t="inlineStr">
        <is>
          <t>浙江精准学科技有限公司</t>
        </is>
      </c>
      <c r="G137" s="27" t="inlineStr">
        <is>
          <t>记-4</t>
        </is>
      </c>
      <c r="H137" s="27" t="n"/>
      <c r="I137" s="44" t="n"/>
      <c r="J137" s="44" t="n">
        <v>2</v>
      </c>
    </row>
    <row r="138" s="83">
      <c r="A138" s="26" t="inlineStr">
        <is>
          <t>100201</t>
        </is>
      </c>
      <c r="B138" s="26" t="n"/>
      <c r="C138" s="26" t="inlineStr">
        <is>
          <t>2025-02-06</t>
        </is>
      </c>
      <c r="D138" s="26" t="inlineStr">
        <is>
          <t>Q2002</t>
        </is>
      </c>
      <c r="E138" s="26" t="n"/>
      <c r="F138" s="26" t="inlineStr">
        <is>
          <t>浙江精准学科技有限公司</t>
        </is>
      </c>
      <c r="G138" s="26" t="inlineStr">
        <is>
          <t>记-5</t>
        </is>
      </c>
      <c r="H138" s="26" t="n"/>
      <c r="I138" s="45" t="n"/>
      <c r="J138" s="44" t="n">
        <v>2</v>
      </c>
    </row>
    <row r="139" s="83">
      <c r="A139" s="27" t="inlineStr">
        <is>
          <t>100201</t>
        </is>
      </c>
      <c r="B139" s="27" t="n"/>
      <c r="C139" s="27" t="inlineStr">
        <is>
          <t>2025-02-07</t>
        </is>
      </c>
      <c r="D139" s="27" t="inlineStr">
        <is>
          <t>Q2002</t>
        </is>
      </c>
      <c r="E139" s="27" t="n"/>
      <c r="F139" s="27" t="inlineStr">
        <is>
          <t>浙江精准学科技有限公司</t>
        </is>
      </c>
      <c r="G139" s="27" t="inlineStr">
        <is>
          <t>记-6</t>
        </is>
      </c>
      <c r="H139" s="27" t="n"/>
      <c r="I139" s="45" t="n">
        <v>2</v>
      </c>
      <c r="J139" s="44" t="n"/>
    </row>
    <row r="140" s="83">
      <c r="A140" s="26" t="inlineStr">
        <is>
          <t>100201</t>
        </is>
      </c>
      <c r="B140" s="26" t="n"/>
      <c r="C140" s="26" t="inlineStr">
        <is>
          <t>2025-02-10</t>
        </is>
      </c>
      <c r="D140" s="26" t="inlineStr">
        <is>
          <t>Q2002</t>
        </is>
      </c>
      <c r="E140" s="26" t="n"/>
      <c r="F140" s="26" t="inlineStr">
        <is>
          <t>浙江精准学科技有限公司</t>
        </is>
      </c>
      <c r="G140" s="26" t="inlineStr">
        <is>
          <t>记-22</t>
        </is>
      </c>
      <c r="H140" s="26" t="n"/>
      <c r="I140" s="45" t="n"/>
      <c r="J140" s="44" t="n">
        <v>2</v>
      </c>
    </row>
    <row r="141" s="83">
      <c r="A141" s="27" t="inlineStr">
        <is>
          <t>100201</t>
        </is>
      </c>
      <c r="B141" s="27" t="n"/>
      <c r="C141" s="27" t="inlineStr">
        <is>
          <t>2025-02-10</t>
        </is>
      </c>
      <c r="D141" s="27" t="inlineStr">
        <is>
          <t>Q2002</t>
        </is>
      </c>
      <c r="E141" s="27" t="n"/>
      <c r="F141" s="27" t="inlineStr">
        <is>
          <t>浙江精准学科技有限公司</t>
        </is>
      </c>
      <c r="G141" s="27" t="inlineStr">
        <is>
          <t>记-23</t>
        </is>
      </c>
      <c r="H141" s="27" t="n"/>
      <c r="I141" s="44" t="n"/>
      <c r="J141" s="44" t="n">
        <v>2</v>
      </c>
    </row>
    <row r="142" s="83">
      <c r="A142" s="26" t="inlineStr">
        <is>
          <t>100201</t>
        </is>
      </c>
      <c r="B142" s="26" t="n"/>
      <c r="C142" s="26" t="inlineStr">
        <is>
          <t>2025-02-12</t>
        </is>
      </c>
      <c r="D142" s="26" t="inlineStr">
        <is>
          <t>Q2002</t>
        </is>
      </c>
      <c r="E142" s="26" t="n"/>
      <c r="F142" s="26" t="inlineStr">
        <is>
          <t>浙江精准学科技有限公司</t>
        </is>
      </c>
      <c r="G142" s="26" t="inlineStr">
        <is>
          <t>记-33</t>
        </is>
      </c>
      <c r="H142" s="26" t="n"/>
      <c r="I142" s="45" t="n"/>
      <c r="J142" s="44" t="n">
        <v>2</v>
      </c>
    </row>
    <row r="143" s="83">
      <c r="A143" s="27" t="inlineStr">
        <is>
          <t>100201</t>
        </is>
      </c>
      <c r="B143" s="27" t="n"/>
      <c r="C143" s="27" t="inlineStr">
        <is>
          <t>2025-02-19</t>
        </is>
      </c>
      <c r="D143" s="27" t="inlineStr">
        <is>
          <t>Q2002</t>
        </is>
      </c>
      <c r="E143" s="27" t="n"/>
      <c r="F143" s="27" t="inlineStr">
        <is>
          <t>浙江精准学科技有限公司</t>
        </is>
      </c>
      <c r="G143" s="27" t="inlineStr">
        <is>
          <t>记-49</t>
        </is>
      </c>
      <c r="H143" s="27" t="n"/>
      <c r="I143" s="44" t="n"/>
      <c r="J143" s="44" t="n">
        <v>2</v>
      </c>
    </row>
    <row r="144" s="83">
      <c r="A144" s="26" t="inlineStr">
        <is>
          <t>100201</t>
        </is>
      </c>
      <c r="B144" s="26" t="n"/>
      <c r="C144" s="26" t="inlineStr">
        <is>
          <t>2025-02-19</t>
        </is>
      </c>
      <c r="D144" s="26" t="inlineStr">
        <is>
          <t>Q2002</t>
        </is>
      </c>
      <c r="E144" s="26" t="n"/>
      <c r="F144" s="26" t="inlineStr">
        <is>
          <t>浙江精准学科技有限公司</t>
        </is>
      </c>
      <c r="G144" s="26" t="inlineStr">
        <is>
          <t>记-50</t>
        </is>
      </c>
      <c r="H144" s="26" t="n"/>
      <c r="I144" s="45" t="n"/>
      <c r="J144" s="44" t="n">
        <v>2</v>
      </c>
    </row>
    <row r="145" s="83">
      <c r="A145" s="27" t="inlineStr">
        <is>
          <t>100201</t>
        </is>
      </c>
      <c r="B145" s="27" t="n"/>
      <c r="C145" s="27" t="inlineStr">
        <is>
          <t>2025-02-20</t>
        </is>
      </c>
      <c r="D145" s="27" t="inlineStr">
        <is>
          <t>Q2002</t>
        </is>
      </c>
      <c r="E145" s="27" t="n"/>
      <c r="F145" s="27" t="inlineStr">
        <is>
          <t>浙江精准学科技有限公司</t>
        </is>
      </c>
      <c r="G145" s="27" t="inlineStr">
        <is>
          <t>记-52</t>
        </is>
      </c>
      <c r="H145" s="27" t="n"/>
      <c r="I145" s="44" t="n"/>
      <c r="J145" s="44" t="n">
        <v>2</v>
      </c>
    </row>
    <row r="146" s="83">
      <c r="A146" s="26" t="inlineStr">
        <is>
          <t>100201</t>
        </is>
      </c>
      <c r="B146" s="26" t="n"/>
      <c r="C146" s="26" t="inlineStr">
        <is>
          <t>2025-02-20</t>
        </is>
      </c>
      <c r="D146" s="26" t="inlineStr">
        <is>
          <t>Q2002</t>
        </is>
      </c>
      <c r="E146" s="26" t="n"/>
      <c r="F146" s="26" t="inlineStr">
        <is>
          <t>浙江精准学科技有限公司</t>
        </is>
      </c>
      <c r="G146" s="26" t="inlineStr">
        <is>
          <t>记-53</t>
        </is>
      </c>
      <c r="H146" s="26" t="n"/>
      <c r="I146" s="45" t="n"/>
      <c r="J146" s="44" t="n">
        <v>2</v>
      </c>
    </row>
    <row r="147" s="83">
      <c r="A147" s="27" t="inlineStr">
        <is>
          <t>100201</t>
        </is>
      </c>
      <c r="B147" s="27" t="n"/>
      <c r="C147" s="27" t="inlineStr">
        <is>
          <t>2025-02-21</t>
        </is>
      </c>
      <c r="D147" s="27" t="inlineStr">
        <is>
          <t>Q2002</t>
        </is>
      </c>
      <c r="E147" s="27" t="n"/>
      <c r="F147" s="27" t="inlineStr">
        <is>
          <t>浙江精准学科技有限公司</t>
        </is>
      </c>
      <c r="G147" s="27" t="inlineStr">
        <is>
          <t>记-57</t>
        </is>
      </c>
      <c r="H147" s="27" t="n"/>
      <c r="I147" s="44" t="n"/>
      <c r="J147" s="44" t="n">
        <v>2</v>
      </c>
    </row>
    <row r="148" s="83">
      <c r="A148" s="26" t="inlineStr">
        <is>
          <t>100201</t>
        </is>
      </c>
      <c r="B148" s="26" t="n"/>
      <c r="C148" s="26" t="inlineStr">
        <is>
          <t>2025-02-21</t>
        </is>
      </c>
      <c r="D148" s="26" t="inlineStr">
        <is>
          <t>Q2002</t>
        </is>
      </c>
      <c r="E148" s="26" t="n"/>
      <c r="F148" s="26" t="inlineStr">
        <is>
          <t>浙江精准学科技有限公司</t>
        </is>
      </c>
      <c r="G148" s="26" t="inlineStr">
        <is>
          <t>记-58</t>
        </is>
      </c>
      <c r="H148" s="26" t="n"/>
      <c r="I148" s="45" t="n"/>
      <c r="J148" s="44" t="n">
        <v>2</v>
      </c>
    </row>
    <row r="149" s="83">
      <c r="A149" s="27" t="inlineStr">
        <is>
          <t>100201</t>
        </is>
      </c>
      <c r="B149" s="27" t="n"/>
      <c r="C149" s="27" t="inlineStr">
        <is>
          <t>2025-02-24</t>
        </is>
      </c>
      <c r="D149" s="27" t="inlineStr">
        <is>
          <t>Q2002</t>
        </is>
      </c>
      <c r="E149" s="27" t="n"/>
      <c r="F149" s="27" t="inlineStr">
        <is>
          <t>浙江精准学科技有限公司</t>
        </is>
      </c>
      <c r="G149" s="27" t="inlineStr">
        <is>
          <t>记-64</t>
        </is>
      </c>
      <c r="H149" s="27" t="n"/>
      <c r="I149" s="44" t="n"/>
      <c r="J149" s="44" t="n">
        <v>2</v>
      </c>
    </row>
    <row r="150" s="83">
      <c r="A150" s="26" t="inlineStr">
        <is>
          <t>100201</t>
        </is>
      </c>
      <c r="B150" s="26" t="n"/>
      <c r="C150" s="26" t="inlineStr">
        <is>
          <t>2025-02-25</t>
        </is>
      </c>
      <c r="D150" s="26" t="inlineStr">
        <is>
          <t>Q2002</t>
        </is>
      </c>
      <c r="E150" s="26" t="n"/>
      <c r="F150" s="26" t="inlineStr">
        <is>
          <t>浙江精准学科技有限公司</t>
        </is>
      </c>
      <c r="G150" s="26" t="inlineStr">
        <is>
          <t>记-75</t>
        </is>
      </c>
      <c r="H150" s="26" t="n"/>
      <c r="I150" s="45" t="n"/>
      <c r="J150" s="44" t="n">
        <v>2</v>
      </c>
    </row>
    <row r="151" s="83">
      <c r="A151" s="27" t="inlineStr">
        <is>
          <t>100201</t>
        </is>
      </c>
      <c r="B151" s="27" t="n"/>
      <c r="C151" s="27" t="inlineStr">
        <is>
          <t>2025-02-26</t>
        </is>
      </c>
      <c r="D151" s="27" t="inlineStr">
        <is>
          <t>Q2002</t>
        </is>
      </c>
      <c r="E151" s="27" t="n"/>
      <c r="F151" s="27" t="inlineStr">
        <is>
          <t>浙江精准学科技有限公司</t>
        </is>
      </c>
      <c r="G151" s="27" t="inlineStr">
        <is>
          <t>记-79</t>
        </is>
      </c>
      <c r="H151" s="27" t="n"/>
      <c r="I151" s="44" t="n"/>
      <c r="J151" s="44" t="n">
        <v>2</v>
      </c>
    </row>
    <row r="152" s="83">
      <c r="A152" s="26" t="inlineStr">
        <is>
          <t>100201</t>
        </is>
      </c>
      <c r="B152" s="26" t="n"/>
      <c r="C152" s="26" t="inlineStr">
        <is>
          <t>2025-02-28</t>
        </is>
      </c>
      <c r="D152" s="26" t="inlineStr">
        <is>
          <t>Q2002</t>
        </is>
      </c>
      <c r="E152" s="26" t="n"/>
      <c r="F152" s="26" t="inlineStr">
        <is>
          <t>浙江精准学科技有限公司</t>
        </is>
      </c>
      <c r="G152" s="26" t="inlineStr">
        <is>
          <t>记-100</t>
        </is>
      </c>
      <c r="H152" s="26" t="n"/>
      <c r="I152" s="45" t="n"/>
      <c r="J152" s="44" t="n">
        <v>2</v>
      </c>
    </row>
    <row r="153" s="83">
      <c r="A153" s="27" t="inlineStr">
        <is>
          <t>100201</t>
        </is>
      </c>
      <c r="B153" s="27" t="n"/>
      <c r="C153" s="27" t="inlineStr">
        <is>
          <t>2025-02-28</t>
        </is>
      </c>
      <c r="D153" s="27" t="inlineStr">
        <is>
          <t>Q2002</t>
        </is>
      </c>
      <c r="E153" s="27" t="n"/>
      <c r="F153" s="27" t="inlineStr">
        <is>
          <t>浙江精准学科技有限公司</t>
        </is>
      </c>
      <c r="G153" s="27" t="inlineStr">
        <is>
          <t>记-101</t>
        </is>
      </c>
      <c r="H153" s="27" t="n"/>
      <c r="I153" s="44" t="n"/>
      <c r="J153" s="44" t="n">
        <v>2</v>
      </c>
    </row>
    <row r="154" s="83">
      <c r="A154" s="26" t="inlineStr">
        <is>
          <t>100201</t>
        </is>
      </c>
      <c r="B154" s="26" t="n"/>
      <c r="C154" s="26" t="inlineStr">
        <is>
          <t>2025-02-11</t>
        </is>
      </c>
      <c r="D154" s="26" t="inlineStr">
        <is>
          <t>Q2003</t>
        </is>
      </c>
      <c r="E154" s="26" t="n"/>
      <c r="F154" s="26" t="inlineStr">
        <is>
          <t>浙江精准学科技有限公司</t>
        </is>
      </c>
      <c r="G154" s="26" t="inlineStr">
        <is>
          <t>记-30</t>
        </is>
      </c>
      <c r="H154" s="26" t="n"/>
      <c r="I154" s="45" t="n"/>
      <c r="J154" s="44" t="n">
        <v>2</v>
      </c>
    </row>
    <row r="155" s="83">
      <c r="A155" s="27" t="inlineStr">
        <is>
          <t>100201</t>
        </is>
      </c>
      <c r="B155" s="27" t="n"/>
      <c r="C155" s="27" t="inlineStr">
        <is>
          <t>2025-02-27</t>
        </is>
      </c>
      <c r="D155" s="27" t="inlineStr">
        <is>
          <t>Q2003</t>
        </is>
      </c>
      <c r="E155" s="27" t="n"/>
      <c r="F155" s="27" t="inlineStr">
        <is>
          <t>浙江精准学科技有限公司</t>
        </is>
      </c>
      <c r="G155" s="27" t="inlineStr">
        <is>
          <t>记-90</t>
        </is>
      </c>
      <c r="H155" s="27" t="n"/>
      <c r="I155" s="44" t="n"/>
      <c r="J155" s="44" t="n">
        <v>2</v>
      </c>
    </row>
    <row r="156" s="83">
      <c r="A156" s="26" t="inlineStr">
        <is>
          <t>100201</t>
        </is>
      </c>
      <c r="B156" s="26" t="n"/>
      <c r="C156" s="26" t="inlineStr">
        <is>
          <t>2025-02-11</t>
        </is>
      </c>
      <c r="D156" s="26" t="inlineStr">
        <is>
          <t>Q2005</t>
        </is>
      </c>
      <c r="E156" s="26" t="n"/>
      <c r="F156" s="26" t="inlineStr">
        <is>
          <t>浙江精准学科技有限公司</t>
        </is>
      </c>
      <c r="G156" s="26" t="inlineStr">
        <is>
          <t>记-31</t>
        </is>
      </c>
      <c r="H156" s="26" t="n"/>
      <c r="I156" s="45" t="n"/>
      <c r="J156" s="44" t="n">
        <v>2</v>
      </c>
    </row>
    <row r="157" s="83">
      <c r="A157" s="27" t="inlineStr">
        <is>
          <t>100201</t>
        </is>
      </c>
      <c r="B157" s="27" t="n"/>
      <c r="C157" s="27" t="inlineStr">
        <is>
          <t>2025-02-27</t>
        </is>
      </c>
      <c r="D157" s="27" t="inlineStr">
        <is>
          <t>Q2005</t>
        </is>
      </c>
      <c r="E157" s="27" t="n"/>
      <c r="F157" s="27" t="inlineStr">
        <is>
          <t>浙江精准学科技有限公司</t>
        </is>
      </c>
      <c r="G157" s="27" t="inlineStr">
        <is>
          <t>记-92</t>
        </is>
      </c>
      <c r="H157" s="27" t="n"/>
      <c r="I157" s="44" t="n"/>
      <c r="J157" s="44" t="n">
        <v>2</v>
      </c>
    </row>
    <row r="158" s="83">
      <c r="A158" s="26" t="inlineStr">
        <is>
          <t>100201</t>
        </is>
      </c>
      <c r="B158" s="26" t="n"/>
      <c r="C158" s="26" t="inlineStr">
        <is>
          <t>2025-02-07</t>
        </is>
      </c>
      <c r="D158" s="26" t="inlineStr">
        <is>
          <t>Q2101</t>
        </is>
      </c>
      <c r="E158" s="26" t="n"/>
      <c r="F158" s="26" t="inlineStr">
        <is>
          <t>浙江精准学科技有限公司</t>
        </is>
      </c>
      <c r="G158" s="26" t="inlineStr">
        <is>
          <t>记-9</t>
        </is>
      </c>
      <c r="H158" s="26" t="n"/>
      <c r="I158" s="45" t="n"/>
      <c r="J158" s="44" t="n">
        <v>2</v>
      </c>
    </row>
    <row r="159" s="83">
      <c r="A159" s="27" t="inlineStr">
        <is>
          <t>100201</t>
        </is>
      </c>
      <c r="B159" s="27" t="n"/>
      <c r="C159" s="27" t="inlineStr">
        <is>
          <t>2025-02-10</t>
        </is>
      </c>
      <c r="D159" s="27" t="inlineStr">
        <is>
          <t>Q2101</t>
        </is>
      </c>
      <c r="E159" s="27" t="n"/>
      <c r="F159" s="27" t="inlineStr">
        <is>
          <t>浙江精准学科技有限公司</t>
        </is>
      </c>
      <c r="G159" s="27" t="inlineStr">
        <is>
          <t>记-21</t>
        </is>
      </c>
      <c r="H159" s="27" t="n"/>
      <c r="I159" s="44" t="n"/>
      <c r="J159" s="44" t="n">
        <v>2</v>
      </c>
    </row>
    <row r="160" s="83">
      <c r="A160" s="26" t="inlineStr">
        <is>
          <t>100201</t>
        </is>
      </c>
      <c r="B160" s="26" t="n"/>
      <c r="C160" s="26" t="inlineStr">
        <is>
          <t>2025-02-24</t>
        </is>
      </c>
      <c r="D160" s="26" t="inlineStr">
        <is>
          <t>Q2101</t>
        </is>
      </c>
      <c r="E160" s="26" t="n"/>
      <c r="F160" s="26" t="inlineStr">
        <is>
          <t>浙江精准学科技有限公司</t>
        </is>
      </c>
      <c r="G160" s="26" t="inlineStr">
        <is>
          <t>记-66</t>
        </is>
      </c>
      <c r="H160" s="26" t="n"/>
      <c r="I160" s="45" t="n"/>
      <c r="J160" s="44" t="n">
        <v>2</v>
      </c>
    </row>
    <row r="161" s="83">
      <c r="A161" s="27" t="inlineStr">
        <is>
          <t>100201</t>
        </is>
      </c>
      <c r="B161" s="27" t="n"/>
      <c r="C161" s="27" t="inlineStr">
        <is>
          <t>2025-02-27</t>
        </is>
      </c>
      <c r="D161" s="27" t="inlineStr">
        <is>
          <t>Q2102</t>
        </is>
      </c>
      <c r="E161" s="27" t="n"/>
      <c r="F161" s="27" t="inlineStr">
        <is>
          <t>浙江精准学科技有限公司</t>
        </is>
      </c>
      <c r="G161" s="27" t="inlineStr">
        <is>
          <t>记-91</t>
        </is>
      </c>
      <c r="H161" s="27" t="n"/>
      <c r="I161" s="44" t="n"/>
      <c r="J161" s="44" t="n">
        <v>2</v>
      </c>
    </row>
    <row r="162" s="83">
      <c r="A162" s="27" t="inlineStr">
        <is>
          <t>100201</t>
        </is>
      </c>
      <c r="B162" s="27" t="n"/>
      <c r="C162" s="27" t="inlineStr">
        <is>
          <t>2025-02-07</t>
        </is>
      </c>
      <c r="D162" s="27" t="inlineStr">
        <is>
          <t>Q0101</t>
        </is>
      </c>
      <c r="E162" s="27" t="n"/>
      <c r="F162" s="27" t="inlineStr">
        <is>
          <t>浙江精准学科技有限公司</t>
        </is>
      </c>
      <c r="G162" s="27" t="inlineStr">
        <is>
          <t>记-10</t>
        </is>
      </c>
      <c r="H162" s="27" t="n"/>
      <c r="I162" s="44" t="n"/>
      <c r="J162" s="44" t="n">
        <v>2</v>
      </c>
    </row>
    <row r="163" s="83">
      <c r="A163" s="26" t="inlineStr">
        <is>
          <t>100201</t>
        </is>
      </c>
      <c r="B163" s="26" t="n"/>
      <c r="C163" s="26" t="inlineStr">
        <is>
          <t>2025-02-07</t>
        </is>
      </c>
      <c r="D163" s="26" t="inlineStr">
        <is>
          <t>Q0101</t>
        </is>
      </c>
      <c r="E163" s="26" t="n"/>
      <c r="F163" s="26" t="inlineStr">
        <is>
          <t>浙江精准学科技有限公司</t>
        </is>
      </c>
      <c r="G163" s="26" t="inlineStr">
        <is>
          <t>记-10</t>
        </is>
      </c>
      <c r="H163" s="26" t="n"/>
      <c r="I163" s="45" t="n"/>
      <c r="J163" s="44" t="n">
        <v>2</v>
      </c>
    </row>
    <row r="164" s="83">
      <c r="A164" s="27" t="inlineStr">
        <is>
          <t>100201</t>
        </is>
      </c>
      <c r="B164" s="27" t="n"/>
      <c r="C164" s="27" t="inlineStr">
        <is>
          <t>2025-02-08</t>
        </is>
      </c>
      <c r="D164" s="27" t="inlineStr">
        <is>
          <t>Q0101</t>
        </is>
      </c>
      <c r="E164" s="27" t="n"/>
      <c r="F164" s="27" t="inlineStr">
        <is>
          <t>浙江精准学科技有限公司</t>
        </is>
      </c>
      <c r="G164" s="27" t="inlineStr">
        <is>
          <t>记-13</t>
        </is>
      </c>
      <c r="H164" s="27" t="n"/>
      <c r="I164" s="44" t="n"/>
      <c r="J164" s="44" t="n">
        <v>2</v>
      </c>
    </row>
    <row r="165" s="83">
      <c r="A165" s="26" t="inlineStr">
        <is>
          <t>100201</t>
        </is>
      </c>
      <c r="B165" s="26" t="n"/>
      <c r="C165" s="26" t="inlineStr">
        <is>
          <t>2025-02-12</t>
        </is>
      </c>
      <c r="D165" s="26" t="inlineStr">
        <is>
          <t>Q2707</t>
        </is>
      </c>
      <c r="E165" s="26" t="n"/>
      <c r="F165" s="26" t="inlineStr">
        <is>
          <t>浙江精准学科技有限公司</t>
        </is>
      </c>
      <c r="G165" s="26" t="inlineStr">
        <is>
          <t>记-32</t>
        </is>
      </c>
      <c r="H165" s="26" t="n"/>
      <c r="I165" s="45" t="n">
        <v>2</v>
      </c>
      <c r="J165" s="45" t="n"/>
    </row>
    <row r="166" s="83">
      <c r="A166" s="27" t="inlineStr">
        <is>
          <t>100201</t>
        </is>
      </c>
      <c r="B166" s="27" t="n"/>
      <c r="C166" s="27" t="inlineStr">
        <is>
          <t>2025-02-27</t>
        </is>
      </c>
      <c r="D166" s="27" t="inlineStr">
        <is>
          <t>Q2707</t>
        </is>
      </c>
      <c r="E166" s="27" t="n"/>
      <c r="F166" s="27" t="inlineStr">
        <is>
          <t>浙江精准学科技有限公司</t>
        </is>
      </c>
      <c r="G166" s="27" t="inlineStr">
        <is>
          <t>记-93</t>
        </is>
      </c>
      <c r="H166" s="27" t="n"/>
      <c r="I166" s="45" t="n">
        <v>2</v>
      </c>
      <c r="J166" s="44" t="n"/>
    </row>
    <row r="167" s="83">
      <c r="A167" s="26" t="inlineStr">
        <is>
          <t>100201</t>
        </is>
      </c>
      <c r="B167" s="26" t="n"/>
      <c r="C167" s="26" t="inlineStr">
        <is>
          <t>2025-02-26</t>
        </is>
      </c>
      <c r="D167" s="26" t="inlineStr">
        <is>
          <t>Q2501</t>
        </is>
      </c>
      <c r="E167" s="26" t="n"/>
      <c r="F167" s="26" t="inlineStr">
        <is>
          <t>浙江精准学科技有限公司</t>
        </is>
      </c>
      <c r="G167" s="26" t="inlineStr">
        <is>
          <t>记-81</t>
        </is>
      </c>
      <c r="H167" s="26" t="n"/>
      <c r="I167" s="45" t="n"/>
      <c r="J167" s="44" t="n">
        <v>2</v>
      </c>
    </row>
    <row r="168" s="83">
      <c r="A168" s="26" t="inlineStr">
        <is>
          <t>100201</t>
        </is>
      </c>
      <c r="B168" s="26" t="n"/>
      <c r="C168" s="26" t="inlineStr">
        <is>
          <t>2025-02-12</t>
        </is>
      </c>
      <c r="D168" s="26" t="inlineStr">
        <is>
          <t>Q2601</t>
        </is>
      </c>
      <c r="E168" s="26" t="n"/>
      <c r="F168" s="26" t="inlineStr">
        <is>
          <t>浙江精准学科技有限公司</t>
        </is>
      </c>
      <c r="G168" s="26" t="inlineStr">
        <is>
          <t>记-36</t>
        </is>
      </c>
      <c r="H168" s="26" t="n"/>
      <c r="I168" s="45" t="n"/>
      <c r="J168" s="44" t="n">
        <v>2</v>
      </c>
    </row>
    <row r="169" s="83">
      <c r="A169" s="27" t="inlineStr">
        <is>
          <t>100201</t>
        </is>
      </c>
      <c r="B169" s="27" t="n"/>
      <c r="C169" s="27" t="inlineStr">
        <is>
          <t>2025-02-12</t>
        </is>
      </c>
      <c r="D169" s="27" t="inlineStr">
        <is>
          <t>Q2601</t>
        </is>
      </c>
      <c r="E169" s="27" t="n"/>
      <c r="F169" s="27" t="inlineStr">
        <is>
          <t>浙江精准学科技有限公司</t>
        </is>
      </c>
      <c r="G169" s="27" t="inlineStr">
        <is>
          <t>记-37</t>
        </is>
      </c>
      <c r="H169" s="27" t="n"/>
      <c r="I169" s="44" t="n"/>
      <c r="J169" s="44" t="n">
        <v>2</v>
      </c>
    </row>
    <row r="170" s="83">
      <c r="A170" s="26" t="inlineStr">
        <is>
          <t>100201</t>
        </is>
      </c>
      <c r="B170" s="26" t="n"/>
      <c r="C170" s="26" t="inlineStr">
        <is>
          <t>2025-02-13</t>
        </is>
      </c>
      <c r="D170" s="26" t="inlineStr">
        <is>
          <t>Q2601</t>
        </is>
      </c>
      <c r="E170" s="26" t="n"/>
      <c r="F170" s="26" t="inlineStr">
        <is>
          <t>浙江精准学科技有限公司</t>
        </is>
      </c>
      <c r="G170" s="26" t="inlineStr">
        <is>
          <t>记-39</t>
        </is>
      </c>
      <c r="H170" s="26" t="n"/>
      <c r="I170" s="45" t="n"/>
      <c r="J170" s="44" t="n">
        <v>2</v>
      </c>
    </row>
    <row r="171" s="83">
      <c r="A171" s="27" t="inlineStr">
        <is>
          <t>100201</t>
        </is>
      </c>
      <c r="B171" s="27" t="n"/>
      <c r="C171" s="27" t="inlineStr">
        <is>
          <t>2025-02-24</t>
        </is>
      </c>
      <c r="D171" s="27" t="inlineStr">
        <is>
          <t>Q2601</t>
        </is>
      </c>
      <c r="E171" s="27" t="n"/>
      <c r="F171" s="27" t="inlineStr">
        <is>
          <t>浙江精准学科技有限公司</t>
        </is>
      </c>
      <c r="G171" s="27" t="inlineStr">
        <is>
          <t>记-67</t>
        </is>
      </c>
      <c r="H171" s="27" t="n"/>
      <c r="I171" s="44" t="n"/>
      <c r="J171" s="44" t="n">
        <v>2</v>
      </c>
    </row>
    <row r="172" s="83">
      <c r="A172" s="26" t="inlineStr">
        <is>
          <t>100201</t>
        </is>
      </c>
      <c r="B172" s="26" t="n"/>
      <c r="C172" s="26" t="inlineStr">
        <is>
          <t>2025-02-25</t>
        </is>
      </c>
      <c r="D172" s="26" t="inlineStr">
        <is>
          <t>Q2601</t>
        </is>
      </c>
      <c r="E172" s="26" t="n"/>
      <c r="F172" s="26" t="inlineStr">
        <is>
          <t>浙江精准学科技有限公司</t>
        </is>
      </c>
      <c r="G172" s="26" t="inlineStr">
        <is>
          <t>记-73</t>
        </is>
      </c>
      <c r="H172" s="26" t="n"/>
      <c r="I172" s="45" t="n"/>
      <c r="J172" s="44" t="n">
        <v>2</v>
      </c>
    </row>
    <row r="173" s="83">
      <c r="A173" s="27" t="inlineStr">
        <is>
          <t>100201</t>
        </is>
      </c>
      <c r="B173" s="27" t="n"/>
      <c r="C173" s="27" t="inlineStr">
        <is>
          <t>2025-02-25</t>
        </is>
      </c>
      <c r="D173" s="27" t="inlineStr">
        <is>
          <t>Q2601</t>
        </is>
      </c>
      <c r="E173" s="27" t="n"/>
      <c r="F173" s="27" t="inlineStr">
        <is>
          <t>浙江精准学科技有限公司</t>
        </is>
      </c>
      <c r="G173" s="27" t="inlineStr">
        <is>
          <t>记-74</t>
        </is>
      </c>
      <c r="H173" s="27" t="n"/>
      <c r="I173" s="44" t="n"/>
      <c r="J173" s="44" t="n">
        <v>2</v>
      </c>
    </row>
    <row r="174" s="83">
      <c r="A174" s="26" t="inlineStr">
        <is>
          <t>100201</t>
        </is>
      </c>
      <c r="B174" s="26" t="n"/>
      <c r="C174" s="26" t="inlineStr">
        <is>
          <t>2025-02-27</t>
        </is>
      </c>
      <c r="D174" s="26" t="inlineStr">
        <is>
          <t>Q2601</t>
        </is>
      </c>
      <c r="E174" s="26" t="n"/>
      <c r="F174" s="26" t="inlineStr">
        <is>
          <t>浙江精准学科技有限公司</t>
        </is>
      </c>
      <c r="G174" s="26" t="inlineStr">
        <is>
          <t>记-88</t>
        </is>
      </c>
      <c r="H174" s="26" t="n"/>
      <c r="I174" s="45" t="n"/>
      <c r="J174" s="44" t="n">
        <v>2</v>
      </c>
    </row>
    <row r="175" s="83">
      <c r="A175" s="26" t="inlineStr">
        <is>
          <t>100201</t>
        </is>
      </c>
      <c r="B175" s="26" t="n"/>
      <c r="C175" s="26" t="inlineStr">
        <is>
          <t>2025-02-27</t>
        </is>
      </c>
      <c r="D175" s="26" t="inlineStr">
        <is>
          <t>Q2708</t>
        </is>
      </c>
      <c r="E175" s="26" t="n"/>
      <c r="F175" s="26" t="inlineStr">
        <is>
          <t>浙江精准学科技有限公司</t>
        </is>
      </c>
      <c r="G175" s="26" t="inlineStr">
        <is>
          <t>记-93</t>
        </is>
      </c>
      <c r="H175" s="26" t="n"/>
      <c r="I175" s="45" t="n">
        <v>2</v>
      </c>
      <c r="J175" s="45" t="n"/>
    </row>
    <row r="176" s="83">
      <c r="A176" s="26" t="inlineStr">
        <is>
          <t>100201</t>
        </is>
      </c>
      <c r="B176" s="26" t="n"/>
      <c r="C176" s="26" t="inlineStr">
        <is>
          <t>2025-02-20</t>
        </is>
      </c>
      <c r="D176" s="26" t="inlineStr">
        <is>
          <t>Q2802</t>
        </is>
      </c>
      <c r="E176" s="26" t="n"/>
      <c r="F176" s="26" t="inlineStr">
        <is>
          <t>浙江精准学科技有限公司</t>
        </is>
      </c>
      <c r="G176" s="26" t="inlineStr">
        <is>
          <t>记-55</t>
        </is>
      </c>
      <c r="H176" s="26" t="n"/>
      <c r="I176" s="45" t="n"/>
      <c r="J176" s="44" t="n">
        <v>2</v>
      </c>
    </row>
    <row r="177" s="83">
      <c r="A177" s="26" t="inlineStr">
        <is>
          <t>100201</t>
        </is>
      </c>
      <c r="B177" s="26" t="n"/>
      <c r="C177" s="26" t="inlineStr">
        <is>
          <t>2025-02-13</t>
        </is>
      </c>
      <c r="D177" s="26" t="inlineStr">
        <is>
          <t>Q29010</t>
        </is>
      </c>
      <c r="E177" s="26" t="n"/>
      <c r="F177" s="26" t="inlineStr">
        <is>
          <t>浙江精准学科技有限公司</t>
        </is>
      </c>
      <c r="G177" s="26" t="inlineStr">
        <is>
          <t>记-38</t>
        </is>
      </c>
      <c r="H177" s="26" t="n"/>
      <c r="I177" s="45" t="n"/>
      <c r="J177" s="44" t="n">
        <v>2</v>
      </c>
    </row>
    <row r="178" s="83">
      <c r="A178" s="27" t="inlineStr">
        <is>
          <t>100201</t>
        </is>
      </c>
      <c r="B178" s="27" t="n"/>
      <c r="C178" s="27" t="inlineStr">
        <is>
          <t>2025-02-13</t>
        </is>
      </c>
      <c r="D178" s="27" t="inlineStr">
        <is>
          <t>Q29010</t>
        </is>
      </c>
      <c r="E178" s="27" t="n"/>
      <c r="F178" s="27" t="inlineStr">
        <is>
          <t>浙江精准学科技有限公司</t>
        </is>
      </c>
      <c r="G178" s="27" t="inlineStr">
        <is>
          <t>记-40</t>
        </is>
      </c>
      <c r="H178" s="27" t="n"/>
      <c r="I178" s="44" t="n"/>
      <c r="J178" s="44" t="n">
        <v>2</v>
      </c>
    </row>
    <row r="179" s="83">
      <c r="A179" s="26" t="inlineStr">
        <is>
          <t>100201</t>
        </is>
      </c>
      <c r="B179" s="26" t="n"/>
      <c r="C179" s="26" t="inlineStr">
        <is>
          <t>2025-02-27</t>
        </is>
      </c>
      <c r="D179" s="26" t="inlineStr">
        <is>
          <t>Q29010</t>
        </is>
      </c>
      <c r="E179" s="26" t="n"/>
      <c r="F179" s="26" t="inlineStr">
        <is>
          <t>浙江精准学科技有限公司</t>
        </is>
      </c>
      <c r="G179" s="26" t="inlineStr">
        <is>
          <t>记-89</t>
        </is>
      </c>
      <c r="H179" s="26" t="n"/>
      <c r="I179" s="45" t="n"/>
      <c r="J179" s="44" t="n">
        <v>2</v>
      </c>
    </row>
    <row r="180" s="83">
      <c r="A180" s="26" t="inlineStr">
        <is>
          <t>100201</t>
        </is>
      </c>
      <c r="B180" s="26" t="n"/>
      <c r="C180" s="26" t="inlineStr">
        <is>
          <t>2025-02-08</t>
        </is>
      </c>
      <c r="D180" s="26" t="inlineStr">
        <is>
          <t>Q2902</t>
        </is>
      </c>
      <c r="E180" s="26" t="n"/>
      <c r="F180" s="26" t="inlineStr">
        <is>
          <t>浙江精准学科技有限公司</t>
        </is>
      </c>
      <c r="G180" s="26" t="inlineStr">
        <is>
          <t>记-19</t>
        </is>
      </c>
      <c r="H180" s="26" t="n"/>
      <c r="I180" s="45" t="n"/>
      <c r="J180" s="44" t="n">
        <v>2</v>
      </c>
    </row>
    <row r="181" s="83">
      <c r="A181" s="26" t="inlineStr">
        <is>
          <t>100201</t>
        </is>
      </c>
      <c r="B181" s="26" t="n"/>
      <c r="C181" s="26" t="inlineStr">
        <is>
          <t>2025-02-05</t>
        </is>
      </c>
      <c r="D181" s="26" t="inlineStr">
        <is>
          <t>Q2904</t>
        </is>
      </c>
      <c r="E181" s="26" t="n"/>
      <c r="F181" s="26" t="inlineStr">
        <is>
          <t>浙江精准学科技有限公司</t>
        </is>
      </c>
      <c r="G181" s="26" t="inlineStr">
        <is>
          <t>记-2</t>
        </is>
      </c>
      <c r="H181" s="26" t="n"/>
      <c r="I181" s="45" t="n"/>
      <c r="J181" s="44" t="n">
        <v>2</v>
      </c>
    </row>
    <row r="182" s="83">
      <c r="A182" s="27" t="inlineStr">
        <is>
          <t>100201</t>
        </is>
      </c>
      <c r="B182" s="27" t="n"/>
      <c r="C182" s="27" t="inlineStr">
        <is>
          <t>2025-02-07</t>
        </is>
      </c>
      <c r="D182" s="27" t="inlineStr">
        <is>
          <t>Q2907</t>
        </is>
      </c>
      <c r="E182" s="27" t="n"/>
      <c r="F182" s="27" t="inlineStr">
        <is>
          <t>浙江精准学科技有限公司</t>
        </is>
      </c>
      <c r="G182" s="27" t="inlineStr">
        <is>
          <t>记-7</t>
        </is>
      </c>
      <c r="H182" s="27" t="n"/>
      <c r="I182" s="44" t="n"/>
      <c r="J182" s="44" t="n">
        <v>2</v>
      </c>
    </row>
    <row r="183" s="83">
      <c r="A183" s="26" t="inlineStr">
        <is>
          <t>100201</t>
        </is>
      </c>
      <c r="B183" s="26" t="n"/>
      <c r="C183" s="26" t="inlineStr">
        <is>
          <t>2025-02-08</t>
        </is>
      </c>
      <c r="D183" s="26" t="inlineStr">
        <is>
          <t>Q2907</t>
        </is>
      </c>
      <c r="E183" s="26" t="n"/>
      <c r="F183" s="26" t="inlineStr">
        <is>
          <t>浙江精准学科技有限公司</t>
        </is>
      </c>
      <c r="G183" s="26" t="inlineStr">
        <is>
          <t>记-14</t>
        </is>
      </c>
      <c r="H183" s="26" t="n"/>
      <c r="I183" s="45" t="n"/>
      <c r="J183" s="44" t="n">
        <v>2</v>
      </c>
    </row>
    <row r="184" s="83">
      <c r="A184" s="27" t="inlineStr">
        <is>
          <t>100201</t>
        </is>
      </c>
      <c r="B184" s="27" t="n"/>
      <c r="C184" s="27" t="inlineStr">
        <is>
          <t>2025-02-11</t>
        </is>
      </c>
      <c r="D184" s="27" t="inlineStr">
        <is>
          <t>Q2907</t>
        </is>
      </c>
      <c r="E184" s="27" t="n"/>
      <c r="F184" s="27" t="inlineStr">
        <is>
          <t>浙江精准学科技有限公司</t>
        </is>
      </c>
      <c r="G184" s="27" t="inlineStr">
        <is>
          <t>记-28</t>
        </is>
      </c>
      <c r="H184" s="27" t="n"/>
      <c r="I184" s="44" t="n"/>
      <c r="J184" s="44" t="n">
        <v>2</v>
      </c>
    </row>
    <row r="185" s="83">
      <c r="A185" s="26" t="inlineStr">
        <is>
          <t>100201</t>
        </is>
      </c>
      <c r="B185" s="26" t="n"/>
      <c r="C185" s="26" t="inlineStr">
        <is>
          <t>2025-02-27</t>
        </is>
      </c>
      <c r="D185" s="26" t="inlineStr">
        <is>
          <t>Q2907</t>
        </is>
      </c>
      <c r="E185" s="26" t="n"/>
      <c r="F185" s="26" t="inlineStr">
        <is>
          <t>浙江精准学科技有限公司</t>
        </is>
      </c>
      <c r="G185" s="26" t="inlineStr">
        <is>
          <t>记-86</t>
        </is>
      </c>
      <c r="H185" s="26" t="n"/>
      <c r="I185" s="45" t="n"/>
      <c r="J185" s="44" t="n">
        <v>2</v>
      </c>
    </row>
    <row r="186" s="83">
      <c r="A186" s="26" t="inlineStr">
        <is>
          <t>100201</t>
        </is>
      </c>
      <c r="B186" s="26" t="n"/>
      <c r="C186" s="26" t="inlineStr">
        <is>
          <t>2025-02-20</t>
        </is>
      </c>
      <c r="D186" s="26" t="inlineStr">
        <is>
          <t>Q2908</t>
        </is>
      </c>
      <c r="E186" s="26" t="n"/>
      <c r="F186" s="26" t="inlineStr">
        <is>
          <t>浙江精准学科技有限公司</t>
        </is>
      </c>
      <c r="G186" s="26" t="inlineStr">
        <is>
          <t>记-54</t>
        </is>
      </c>
      <c r="H186" s="26" t="n"/>
      <c r="I186" s="45" t="n"/>
      <c r="J186" s="44" t="n">
        <v>2</v>
      </c>
    </row>
    <row r="187" s="83">
      <c r="A187" s="27" t="inlineStr">
        <is>
          <t>100201</t>
        </is>
      </c>
      <c r="B187" s="27" t="n"/>
      <c r="C187" s="27" t="inlineStr">
        <is>
          <t>2025-02-11</t>
        </is>
      </c>
      <c r="D187" s="27" t="inlineStr">
        <is>
          <t>Q2909</t>
        </is>
      </c>
      <c r="E187" s="27" t="n"/>
      <c r="F187" s="27" t="inlineStr">
        <is>
          <t>浙江精准学科技有限公司</t>
        </is>
      </c>
      <c r="G187" s="27" t="inlineStr">
        <is>
          <t>记-26</t>
        </is>
      </c>
      <c r="H187" s="27" t="n"/>
      <c r="I187" s="44" t="n"/>
      <c r="J187" s="44" t="n">
        <v>2</v>
      </c>
    </row>
    <row r="188" s="83">
      <c r="A188" s="26" t="inlineStr">
        <is>
          <t>100201</t>
        </is>
      </c>
      <c r="B188" s="26" t="n"/>
      <c r="C188" s="26" t="inlineStr">
        <is>
          <t>2025-02-12</t>
        </is>
      </c>
      <c r="D188" s="26" t="inlineStr">
        <is>
          <t>Q2909</t>
        </is>
      </c>
      <c r="E188" s="26" t="n"/>
      <c r="F188" s="26" t="inlineStr">
        <is>
          <t>浙江精准学科技有限公司</t>
        </is>
      </c>
      <c r="G188" s="26" t="inlineStr">
        <is>
          <t>记-34</t>
        </is>
      </c>
      <c r="H188" s="26" t="n"/>
      <c r="I188" s="45" t="n"/>
      <c r="J188" s="44" t="n">
        <v>2</v>
      </c>
    </row>
    <row r="189" s="83">
      <c r="A189" s="26" t="inlineStr">
        <is>
          <t>100201</t>
        </is>
      </c>
      <c r="B189" s="26" t="n"/>
      <c r="C189" s="26" t="inlineStr">
        <is>
          <t>2025-02-28</t>
        </is>
      </c>
      <c r="D189" s="26" t="inlineStr">
        <is>
          <t>Q3204</t>
        </is>
      </c>
      <c r="E189" s="26" t="n"/>
      <c r="F189" s="26" t="inlineStr">
        <is>
          <t>浙江精准学科技有限公司</t>
        </is>
      </c>
      <c r="G189" s="26" t="inlineStr">
        <is>
          <t>记-96</t>
        </is>
      </c>
      <c r="H189" s="26" t="n"/>
      <c r="I189" s="45" t="n"/>
      <c r="J189" s="44" t="n">
        <v>2</v>
      </c>
    </row>
    <row r="190" s="83">
      <c r="A190" s="27" t="inlineStr">
        <is>
          <t>100202</t>
        </is>
      </c>
      <c r="B190" s="27" t="n"/>
      <c r="C190" s="27" t="inlineStr">
        <is>
          <t>2025-02-28</t>
        </is>
      </c>
      <c r="D190" s="27" t="inlineStr">
        <is>
          <t>Q3105</t>
        </is>
      </c>
      <c r="E190" s="27" t="n"/>
      <c r="F190" s="27" t="inlineStr">
        <is>
          <t>浙江精准学科技有限公司</t>
        </is>
      </c>
      <c r="G190" s="27" t="inlineStr">
        <is>
          <t>记-137</t>
        </is>
      </c>
      <c r="H190" s="27" t="n"/>
      <c r="I190" s="45" t="n">
        <v>2</v>
      </c>
      <c r="J190" s="44" t="n"/>
    </row>
    <row r="191" s="83">
      <c r="A191" s="27" t="inlineStr">
        <is>
          <t>101201</t>
        </is>
      </c>
      <c r="B191" s="27" t="n"/>
      <c r="C191" s="27" t="inlineStr">
        <is>
          <t>2025-02-28</t>
        </is>
      </c>
      <c r="D191" s="27" t="inlineStr">
        <is>
          <t>Q0101</t>
        </is>
      </c>
      <c r="E191" s="27" t="n"/>
      <c r="F191" s="27" t="inlineStr">
        <is>
          <t>浙江精准学科技有限公司</t>
        </is>
      </c>
      <c r="G191" s="27" t="inlineStr">
        <is>
          <t>记-113</t>
        </is>
      </c>
      <c r="H191" s="27" t="n"/>
      <c r="I191" s="45" t="n">
        <v>2</v>
      </c>
      <c r="J191" s="44" t="n"/>
    </row>
    <row r="192" s="83">
      <c r="A192" s="26" t="inlineStr">
        <is>
          <t>101201</t>
        </is>
      </c>
      <c r="B192" s="26" t="n"/>
      <c r="C192" s="26" t="inlineStr">
        <is>
          <t>2025-02-28</t>
        </is>
      </c>
      <c r="D192" s="26" t="inlineStr">
        <is>
          <t>Q0101</t>
        </is>
      </c>
      <c r="E192" s="26" t="n"/>
      <c r="F192" s="26" t="inlineStr">
        <is>
          <t>浙江精准学科技有限公司</t>
        </is>
      </c>
      <c r="G192" s="26" t="inlineStr">
        <is>
          <t>记-115</t>
        </is>
      </c>
      <c r="H192" s="26" t="n"/>
      <c r="I192" s="45" t="n"/>
      <c r="J192" s="44" t="n">
        <v>2</v>
      </c>
    </row>
    <row r="193" s="83">
      <c r="A193" s="27" t="inlineStr">
        <is>
          <t>101201</t>
        </is>
      </c>
      <c r="B193" s="27" t="n"/>
      <c r="C193" s="27" t="inlineStr">
        <is>
          <t>2025-02-28</t>
        </is>
      </c>
      <c r="D193" s="27" t="inlineStr">
        <is>
          <t>Q0101</t>
        </is>
      </c>
      <c r="E193" s="27" t="n"/>
      <c r="F193" s="27" t="inlineStr">
        <is>
          <t>浙江精准学科技有限公司</t>
        </is>
      </c>
      <c r="G193" s="27" t="inlineStr">
        <is>
          <t>记-116</t>
        </is>
      </c>
      <c r="H193" s="27" t="n"/>
      <c r="I193" s="44" t="n"/>
      <c r="J193" s="44" t="n">
        <v>2</v>
      </c>
    </row>
    <row r="194" s="83">
      <c r="A194" s="26" t="inlineStr">
        <is>
          <t>101201</t>
        </is>
      </c>
      <c r="B194" s="26" t="n"/>
      <c r="C194" s="26" t="inlineStr">
        <is>
          <t>2025-02-28</t>
        </is>
      </c>
      <c r="D194" s="26" t="inlineStr">
        <is>
          <t>Q0101</t>
        </is>
      </c>
      <c r="E194" s="26" t="n"/>
      <c r="F194" s="26" t="inlineStr">
        <is>
          <t>浙江精准学科技有限公司</t>
        </is>
      </c>
      <c r="G194" s="26" t="inlineStr">
        <is>
          <t>记-116</t>
        </is>
      </c>
      <c r="H194" s="26" t="n"/>
      <c r="I194" s="45" t="n"/>
      <c r="J194" s="44" t="n">
        <v>2</v>
      </c>
    </row>
    <row r="195" s="83">
      <c r="A195" s="26" t="inlineStr">
        <is>
          <t>101201</t>
        </is>
      </c>
      <c r="B195" s="26" t="n"/>
      <c r="C195" s="26" t="inlineStr">
        <is>
          <t>2025-02-18</t>
        </is>
      </c>
      <c r="D195" s="26" t="inlineStr">
        <is>
          <t>Q0401</t>
        </is>
      </c>
      <c r="E195" s="26" t="n"/>
      <c r="F195" s="26" t="inlineStr">
        <is>
          <t>浙江精准学科技有限公司</t>
        </is>
      </c>
      <c r="G195" s="26" t="inlineStr">
        <is>
          <t>记-46</t>
        </is>
      </c>
      <c r="H195" s="26" t="n"/>
      <c r="I195" s="45" t="n"/>
      <c r="J195" s="44" t="n">
        <v>2</v>
      </c>
    </row>
    <row r="196" s="83">
      <c r="A196" s="27" t="inlineStr">
        <is>
          <t>101201</t>
        </is>
      </c>
      <c r="B196" s="27" t="n"/>
      <c r="C196" s="27" t="inlineStr">
        <is>
          <t>2025-02-19</t>
        </is>
      </c>
      <c r="D196" s="27" t="inlineStr">
        <is>
          <t>Q0401</t>
        </is>
      </c>
      <c r="E196" s="27" t="n"/>
      <c r="F196" s="27" t="inlineStr">
        <is>
          <t>浙江精准学科技有限公司</t>
        </is>
      </c>
      <c r="G196" s="27" t="inlineStr">
        <is>
          <t>记-47</t>
        </is>
      </c>
      <c r="H196" s="27" t="n"/>
      <c r="I196" s="44" t="n"/>
      <c r="J196" s="44" t="n">
        <v>2</v>
      </c>
    </row>
    <row r="197" s="83">
      <c r="A197" s="26" t="inlineStr">
        <is>
          <t>101201</t>
        </is>
      </c>
      <c r="B197" s="26" t="n"/>
      <c r="C197" s="26" t="inlineStr">
        <is>
          <t>2025-02-20</t>
        </is>
      </c>
      <c r="D197" s="26" t="inlineStr">
        <is>
          <t>Q0401</t>
        </is>
      </c>
      <c r="E197" s="26" t="n"/>
      <c r="F197" s="26" t="inlineStr">
        <is>
          <t>浙江精准学科技有限公司</t>
        </is>
      </c>
      <c r="G197" s="26" t="inlineStr">
        <is>
          <t>记-51</t>
        </is>
      </c>
      <c r="H197" s="26" t="n"/>
      <c r="I197" s="45" t="n"/>
      <c r="J197" s="44" t="n">
        <v>2</v>
      </c>
    </row>
    <row r="198" s="83">
      <c r="A198" s="27" t="inlineStr">
        <is>
          <t>101201</t>
        </is>
      </c>
      <c r="B198" s="27" t="n"/>
      <c r="C198" s="27" t="inlineStr">
        <is>
          <t>2025-02-21</t>
        </is>
      </c>
      <c r="D198" s="27" t="inlineStr">
        <is>
          <t>Q0401</t>
        </is>
      </c>
      <c r="E198" s="27" t="n"/>
      <c r="F198" s="27" t="inlineStr">
        <is>
          <t>浙江精准学科技有限公司</t>
        </is>
      </c>
      <c r="G198" s="27" t="inlineStr">
        <is>
          <t>记-56</t>
        </is>
      </c>
      <c r="H198" s="27" t="n"/>
      <c r="I198" s="44" t="n"/>
      <c r="J198" s="44" t="n">
        <v>2</v>
      </c>
    </row>
    <row r="199" s="83">
      <c r="A199" s="26" t="inlineStr">
        <is>
          <t>101201</t>
        </is>
      </c>
      <c r="B199" s="26" t="n"/>
      <c r="C199" s="26" t="inlineStr">
        <is>
          <t>2025-02-22</t>
        </is>
      </c>
      <c r="D199" s="26" t="inlineStr">
        <is>
          <t>Q0401</t>
        </is>
      </c>
      <c r="E199" s="26" t="n"/>
      <c r="F199" s="26" t="inlineStr">
        <is>
          <t>浙江精准学科技有限公司</t>
        </is>
      </c>
      <c r="G199" s="26" t="inlineStr">
        <is>
          <t>记-60</t>
        </is>
      </c>
      <c r="H199" s="26" t="n"/>
      <c r="I199" s="45" t="n"/>
      <c r="J199" s="44" t="n">
        <v>2</v>
      </c>
    </row>
    <row r="200" s="83">
      <c r="A200" s="27" t="inlineStr">
        <is>
          <t>101201</t>
        </is>
      </c>
      <c r="B200" s="27" t="n"/>
      <c r="C200" s="27" t="inlineStr">
        <is>
          <t>2025-02-23</t>
        </is>
      </c>
      <c r="D200" s="27" t="inlineStr">
        <is>
          <t>Q0401</t>
        </is>
      </c>
      <c r="E200" s="27" t="n"/>
      <c r="F200" s="27" t="inlineStr">
        <is>
          <t>浙江精准学科技有限公司</t>
        </is>
      </c>
      <c r="G200" s="27" t="inlineStr">
        <is>
          <t>记-61</t>
        </is>
      </c>
      <c r="H200" s="27" t="n"/>
      <c r="I200" s="44" t="n"/>
      <c r="J200" s="44" t="n">
        <v>2</v>
      </c>
    </row>
    <row r="201" s="83">
      <c r="A201" s="26" t="inlineStr">
        <is>
          <t>101201</t>
        </is>
      </c>
      <c r="B201" s="26" t="n"/>
      <c r="C201" s="26" t="inlineStr">
        <is>
          <t>2025-02-24</t>
        </is>
      </c>
      <c r="D201" s="26" t="inlineStr">
        <is>
          <t>Q0401</t>
        </is>
      </c>
      <c r="E201" s="26" t="n"/>
      <c r="F201" s="26" t="inlineStr">
        <is>
          <t>浙江精准学科技有限公司</t>
        </is>
      </c>
      <c r="G201" s="26" t="inlineStr">
        <is>
          <t>记-62</t>
        </is>
      </c>
      <c r="H201" s="26" t="n"/>
      <c r="I201" s="45" t="n"/>
      <c r="J201" s="44" t="n">
        <v>2</v>
      </c>
    </row>
    <row r="202" s="83">
      <c r="A202" s="27" t="inlineStr">
        <is>
          <t>101201</t>
        </is>
      </c>
      <c r="B202" s="27" t="n"/>
      <c r="C202" s="27" t="inlineStr">
        <is>
          <t>2025-02-25</t>
        </is>
      </c>
      <c r="D202" s="27" t="inlineStr">
        <is>
          <t>Q0401</t>
        </is>
      </c>
      <c r="E202" s="27" t="n"/>
      <c r="F202" s="27" t="inlineStr">
        <is>
          <t>浙江精准学科技有限公司</t>
        </is>
      </c>
      <c r="G202" s="27" t="inlineStr">
        <is>
          <t>记-70</t>
        </is>
      </c>
      <c r="H202" s="27" t="n"/>
      <c r="I202" s="44" t="n"/>
      <c r="J202" s="44" t="n">
        <v>2</v>
      </c>
    </row>
    <row r="203" s="83">
      <c r="A203" s="26" t="inlineStr">
        <is>
          <t>101201</t>
        </is>
      </c>
      <c r="B203" s="26" t="n"/>
      <c r="C203" s="26" t="inlineStr">
        <is>
          <t>2025-02-26</t>
        </is>
      </c>
      <c r="D203" s="26" t="inlineStr">
        <is>
          <t>Q0401</t>
        </is>
      </c>
      <c r="E203" s="26" t="n"/>
      <c r="F203" s="26" t="inlineStr">
        <is>
          <t>浙江精准学科技有限公司</t>
        </is>
      </c>
      <c r="G203" s="26" t="inlineStr">
        <is>
          <t>记-76</t>
        </is>
      </c>
      <c r="H203" s="26" t="n"/>
      <c r="I203" s="45" t="n"/>
      <c r="J203" s="44" t="n">
        <v>2</v>
      </c>
    </row>
    <row r="204" s="83">
      <c r="A204" s="27" t="inlineStr">
        <is>
          <t>101201</t>
        </is>
      </c>
      <c r="B204" s="27" t="n"/>
      <c r="C204" s="27" t="inlineStr">
        <is>
          <t>2025-02-27</t>
        </is>
      </c>
      <c r="D204" s="27" t="inlineStr">
        <is>
          <t>Q0401</t>
        </is>
      </c>
      <c r="E204" s="27" t="n"/>
      <c r="F204" s="27" t="inlineStr">
        <is>
          <t>浙江精准学科技有限公司</t>
        </is>
      </c>
      <c r="G204" s="27" t="inlineStr">
        <is>
          <t>记-82</t>
        </is>
      </c>
      <c r="H204" s="27" t="n"/>
      <c r="I204" s="44" t="n"/>
      <c r="J204" s="44" t="n">
        <v>2</v>
      </c>
    </row>
    <row r="205" s="83">
      <c r="A205" s="26" t="inlineStr">
        <is>
          <t>101201</t>
        </is>
      </c>
      <c r="B205" s="26" t="n"/>
      <c r="C205" s="26" t="inlineStr">
        <is>
          <t>2025-02-28</t>
        </is>
      </c>
      <c r="D205" s="26" t="inlineStr">
        <is>
          <t>Q0401</t>
        </is>
      </c>
      <c r="E205" s="26" t="n"/>
      <c r="F205" s="26" t="inlineStr">
        <is>
          <t>浙江精准学科技有限公司</t>
        </is>
      </c>
      <c r="G205" s="26" t="inlineStr">
        <is>
          <t>记-94</t>
        </is>
      </c>
      <c r="H205" s="26" t="n"/>
      <c r="I205" s="45" t="n"/>
      <c r="J205" s="44" t="n">
        <v>2</v>
      </c>
    </row>
    <row r="206" s="83">
      <c r="A206" s="27" t="inlineStr">
        <is>
          <t>101201</t>
        </is>
      </c>
      <c r="B206" s="27" t="n"/>
      <c r="C206" s="27" t="inlineStr">
        <is>
          <t>2025-02-28</t>
        </is>
      </c>
      <c r="D206" s="27" t="inlineStr">
        <is>
          <t>Q0402</t>
        </is>
      </c>
      <c r="E206" s="27" t="n"/>
      <c r="F206" s="27" t="inlineStr">
        <is>
          <t>浙江精准学科技有限公司</t>
        </is>
      </c>
      <c r="G206" s="27" t="inlineStr">
        <is>
          <t>记-140</t>
        </is>
      </c>
      <c r="H206" s="27" t="n"/>
      <c r="I206" s="45" t="n">
        <v>2</v>
      </c>
      <c r="J206" s="44" t="n"/>
    </row>
    <row r="207" s="83">
      <c r="A207" s="26" t="inlineStr">
        <is>
          <t>101201</t>
        </is>
      </c>
      <c r="B207" s="26" t="n"/>
      <c r="C207" s="26" t="inlineStr">
        <is>
          <t>2025-02-28</t>
        </is>
      </c>
      <c r="D207" s="26" t="inlineStr">
        <is>
          <t>Q0402</t>
        </is>
      </c>
      <c r="E207" s="26" t="n"/>
      <c r="F207" s="26" t="inlineStr">
        <is>
          <t>浙江精准学科技有限公司</t>
        </is>
      </c>
      <c r="G207" s="26" t="inlineStr">
        <is>
          <t>记-140</t>
        </is>
      </c>
      <c r="H207" s="26" t="n"/>
      <c r="I207" s="45" t="n"/>
      <c r="J207" s="44" t="n">
        <v>2</v>
      </c>
    </row>
    <row r="208" s="83">
      <c r="A208" s="26" t="inlineStr">
        <is>
          <t>101201</t>
        </is>
      </c>
      <c r="B208" s="26" t="n"/>
      <c r="C208" s="26" t="inlineStr">
        <is>
          <t>2025-02-28</t>
        </is>
      </c>
      <c r="D208" s="26" t="inlineStr">
        <is>
          <t>Q2201</t>
        </is>
      </c>
      <c r="E208" s="26" t="n"/>
      <c r="F208" s="26" t="inlineStr">
        <is>
          <t>浙江精准学科技有限公司</t>
        </is>
      </c>
      <c r="G208" s="26" t="inlineStr">
        <is>
          <t>记-116</t>
        </is>
      </c>
      <c r="H208" s="26" t="n"/>
      <c r="I208" s="45" t="n"/>
      <c r="J208" s="44" t="n">
        <v>2</v>
      </c>
    </row>
    <row r="209" s="83">
      <c r="A209" s="27" t="inlineStr">
        <is>
          <t>101201</t>
        </is>
      </c>
      <c r="B209" s="27" t="n"/>
      <c r="C209" s="27" t="inlineStr">
        <is>
          <t>2025-02-28</t>
        </is>
      </c>
      <c r="D209" s="27" t="inlineStr">
        <is>
          <t>Q2202</t>
        </is>
      </c>
      <c r="E209" s="27" t="n"/>
      <c r="F209" s="27" t="inlineStr">
        <is>
          <t>浙江精准学科技有限公司</t>
        </is>
      </c>
      <c r="G209" s="27" t="inlineStr">
        <is>
          <t>记-139</t>
        </is>
      </c>
      <c r="H209" s="27" t="n"/>
      <c r="I209" s="45" t="n">
        <v>2</v>
      </c>
      <c r="J209" s="44" t="n"/>
    </row>
    <row r="210" s="83">
      <c r="A210" s="27" t="inlineStr">
        <is>
          <t>101201</t>
        </is>
      </c>
      <c r="B210" s="27" t="n"/>
      <c r="C210" s="27" t="inlineStr">
        <is>
          <t>2025-02-28</t>
        </is>
      </c>
      <c r="D210" s="27" t="inlineStr">
        <is>
          <t>Q2204</t>
        </is>
      </c>
      <c r="E210" s="27" t="n"/>
      <c r="F210" s="27" t="inlineStr">
        <is>
          <t>浙江精准学科技有限公司</t>
        </is>
      </c>
      <c r="G210" s="27" t="inlineStr">
        <is>
          <t>记-116</t>
        </is>
      </c>
      <c r="H210" s="27" t="n"/>
      <c r="I210" s="44" t="n"/>
      <c r="J210" s="44" t="n">
        <v>2</v>
      </c>
    </row>
    <row r="211" s="83">
      <c r="A211" s="26" t="inlineStr">
        <is>
          <t>101201</t>
        </is>
      </c>
      <c r="B211" s="26" t="n"/>
      <c r="C211" s="26" t="inlineStr">
        <is>
          <t>2025-02-28</t>
        </is>
      </c>
      <c r="D211" s="26" t="inlineStr">
        <is>
          <t>Q2207</t>
        </is>
      </c>
      <c r="E211" s="26" t="n"/>
      <c r="F211" s="26" t="inlineStr">
        <is>
          <t>浙江精准学科技有限公司</t>
        </is>
      </c>
      <c r="G211" s="26" t="inlineStr">
        <is>
          <t>记-116</t>
        </is>
      </c>
      <c r="H211" s="26" t="n"/>
      <c r="I211" s="45" t="n"/>
      <c r="J211" s="44" t="n">
        <v>2</v>
      </c>
    </row>
    <row r="212" s="83">
      <c r="A212" s="27" t="inlineStr">
        <is>
          <t>101201</t>
        </is>
      </c>
      <c r="B212" s="27" t="n"/>
      <c r="C212" s="27" t="inlineStr">
        <is>
          <t>2025-02-28</t>
        </is>
      </c>
      <c r="D212" s="27" t="inlineStr">
        <is>
          <t>Q2208</t>
        </is>
      </c>
      <c r="E212" s="27" t="n"/>
      <c r="F212" s="27" t="inlineStr">
        <is>
          <t>浙江精准学科技有限公司</t>
        </is>
      </c>
      <c r="G212" s="27" t="inlineStr">
        <is>
          <t>记-116</t>
        </is>
      </c>
      <c r="H212" s="27" t="n"/>
      <c r="I212" s="44" t="n"/>
      <c r="J212" s="44" t="n">
        <v>2</v>
      </c>
    </row>
    <row r="213" s="83">
      <c r="A213" s="26" t="inlineStr">
        <is>
          <t>101201</t>
        </is>
      </c>
      <c r="B213" s="26" t="n"/>
      <c r="C213" s="26" t="inlineStr">
        <is>
          <t>2025-02-28</t>
        </is>
      </c>
      <c r="D213" s="26" t="inlineStr">
        <is>
          <t>Q2209</t>
        </is>
      </c>
      <c r="E213" s="26" t="n"/>
      <c r="F213" s="26" t="inlineStr">
        <is>
          <t>浙江精准学科技有限公司</t>
        </is>
      </c>
      <c r="G213" s="26" t="inlineStr">
        <is>
          <t>记-116</t>
        </is>
      </c>
      <c r="H213" s="26" t="n"/>
      <c r="I213" s="45" t="n"/>
      <c r="J213" s="44" t="n">
        <v>2</v>
      </c>
    </row>
    <row r="214" s="83">
      <c r="A214" s="26" t="inlineStr">
        <is>
          <t>101201</t>
        </is>
      </c>
      <c r="B214" s="26" t="n"/>
      <c r="C214" s="26" t="inlineStr">
        <is>
          <t>2025-02-28</t>
        </is>
      </c>
      <c r="D214" s="26" t="inlineStr">
        <is>
          <t>Q3101</t>
        </is>
      </c>
      <c r="E214" s="26" t="n"/>
      <c r="F214" s="26" t="inlineStr">
        <is>
          <t>浙江精准学科技有限公司</t>
        </is>
      </c>
      <c r="G214" s="26" t="inlineStr">
        <is>
          <t>记-140</t>
        </is>
      </c>
      <c r="H214" s="26" t="n"/>
      <c r="I214" s="45" t="n"/>
      <c r="J214" s="44" t="n">
        <v>2</v>
      </c>
    </row>
    <row r="215" s="83">
      <c r="A215" s="27" t="inlineStr">
        <is>
          <t>101203</t>
        </is>
      </c>
      <c r="B215" s="27" t="n"/>
      <c r="C215" s="27" t="inlineStr">
        <is>
          <t>2025-02-28</t>
        </is>
      </c>
      <c r="D215" s="27" t="inlineStr">
        <is>
          <t>Q0101</t>
        </is>
      </c>
      <c r="E215" s="27" t="n"/>
      <c r="F215" s="27" t="inlineStr">
        <is>
          <t>浙江精准学科技有限公司</t>
        </is>
      </c>
      <c r="G215" s="27" t="inlineStr">
        <is>
          <t>记-103</t>
        </is>
      </c>
      <c r="H215" s="27" t="n"/>
      <c r="I215" s="45" t="n">
        <v>2</v>
      </c>
      <c r="J215" s="44" t="n"/>
    </row>
    <row r="216" s="83">
      <c r="A216" s="27" t="inlineStr">
        <is>
          <t>101203</t>
        </is>
      </c>
      <c r="B216" s="27" t="n"/>
      <c r="C216" s="27" t="inlineStr">
        <is>
          <t>2025-02-28</t>
        </is>
      </c>
      <c r="D216" s="27" t="inlineStr">
        <is>
          <t>Q0103</t>
        </is>
      </c>
      <c r="E216" s="27" t="n"/>
      <c r="F216" s="27" t="inlineStr">
        <is>
          <t>浙江精准学科技有限公司</t>
        </is>
      </c>
      <c r="G216" s="27" t="inlineStr">
        <is>
          <t>记-103</t>
        </is>
      </c>
      <c r="H216" s="27" t="n"/>
      <c r="I216" s="45" t="n">
        <v>2</v>
      </c>
      <c r="J216" s="44" t="n"/>
    </row>
    <row r="217" s="83">
      <c r="A217" s="26" t="inlineStr">
        <is>
          <t>101203</t>
        </is>
      </c>
      <c r="B217" s="26" t="n"/>
      <c r="C217" s="26" t="inlineStr">
        <is>
          <t>2025-02-28</t>
        </is>
      </c>
      <c r="D217" s="26" t="inlineStr">
        <is>
          <t>Q0101</t>
        </is>
      </c>
      <c r="E217" s="26" t="n"/>
      <c r="F217" s="26" t="inlineStr">
        <is>
          <t>浙江精准学科技有限公司</t>
        </is>
      </c>
      <c r="G217" s="26" t="inlineStr">
        <is>
          <t>记-109</t>
        </is>
      </c>
      <c r="H217" s="26" t="n"/>
      <c r="I217" s="45" t="n"/>
      <c r="J217" s="44" t="n">
        <v>2</v>
      </c>
    </row>
    <row r="218" s="83">
      <c r="A218" s="27" t="inlineStr">
        <is>
          <t>101203</t>
        </is>
      </c>
      <c r="B218" s="27" t="n"/>
      <c r="C218" s="27" t="inlineStr">
        <is>
          <t>2025-02-28</t>
        </is>
      </c>
      <c r="D218" s="27" t="inlineStr">
        <is>
          <t>Q0103</t>
        </is>
      </c>
      <c r="E218" s="27" t="n"/>
      <c r="F218" s="27" t="inlineStr">
        <is>
          <t>浙江精准学科技有限公司</t>
        </is>
      </c>
      <c r="G218" s="27" t="inlineStr">
        <is>
          <t>记-110</t>
        </is>
      </c>
      <c r="H218" s="27" t="n"/>
      <c r="I218" s="44" t="n"/>
      <c r="J218" s="44" t="n">
        <v>2</v>
      </c>
    </row>
    <row r="219" s="83">
      <c r="A219" s="27" t="inlineStr">
        <is>
          <t>101203</t>
        </is>
      </c>
      <c r="B219" s="27" t="n"/>
      <c r="C219" s="27" t="inlineStr">
        <is>
          <t>2025-02-05</t>
        </is>
      </c>
      <c r="D219" s="27" t="inlineStr">
        <is>
          <t>Q0401</t>
        </is>
      </c>
      <c r="E219" s="27" t="n"/>
      <c r="F219" s="27" t="inlineStr">
        <is>
          <t>浙江精准学科技有限公司</t>
        </is>
      </c>
      <c r="G219" s="27" t="inlineStr">
        <is>
          <t>记-1</t>
        </is>
      </c>
      <c r="H219" s="27" t="n"/>
      <c r="I219" s="44" t="n"/>
      <c r="J219" s="44" t="n">
        <v>2</v>
      </c>
    </row>
    <row r="220" s="83">
      <c r="A220" s="26" t="inlineStr">
        <is>
          <t>101203</t>
        </is>
      </c>
      <c r="B220" s="26" t="n"/>
      <c r="C220" s="26" t="inlineStr">
        <is>
          <t>2025-02-19</t>
        </is>
      </c>
      <c r="D220" s="26" t="inlineStr">
        <is>
          <t>Q0401</t>
        </is>
      </c>
      <c r="E220" s="26" t="n"/>
      <c r="F220" s="26" t="inlineStr">
        <is>
          <t>浙江精准学科技有限公司</t>
        </is>
      </c>
      <c r="G220" s="26" t="inlineStr">
        <is>
          <t>记-48</t>
        </is>
      </c>
      <c r="H220" s="26" t="n"/>
      <c r="I220" s="45" t="n"/>
      <c r="J220" s="44" t="n">
        <v>2</v>
      </c>
    </row>
    <row r="221" s="83">
      <c r="A221" s="27" t="inlineStr">
        <is>
          <t>101203</t>
        </is>
      </c>
      <c r="B221" s="27" t="n"/>
      <c r="C221" s="27" t="inlineStr">
        <is>
          <t>2025-02-24</t>
        </is>
      </c>
      <c r="D221" s="27" t="inlineStr">
        <is>
          <t>Q0401</t>
        </is>
      </c>
      <c r="E221" s="27" t="n"/>
      <c r="F221" s="27" t="inlineStr">
        <is>
          <t>浙江精准学科技有限公司</t>
        </is>
      </c>
      <c r="G221" s="27" t="inlineStr">
        <is>
          <t>记-63</t>
        </is>
      </c>
      <c r="H221" s="27" t="n"/>
      <c r="I221" s="44" t="n"/>
      <c r="J221" s="44" t="n">
        <v>2</v>
      </c>
    </row>
    <row r="222" s="83">
      <c r="A222" s="26" t="inlineStr">
        <is>
          <t>101203</t>
        </is>
      </c>
      <c r="B222" s="26" t="n"/>
      <c r="C222" s="26" t="inlineStr">
        <is>
          <t>2025-02-25</t>
        </is>
      </c>
      <c r="D222" s="26" t="inlineStr">
        <is>
          <t>Q0401</t>
        </is>
      </c>
      <c r="E222" s="26" t="n"/>
      <c r="F222" s="26" t="inlineStr">
        <is>
          <t>浙江精准学科技有限公司</t>
        </is>
      </c>
      <c r="G222" s="26" t="inlineStr">
        <is>
          <t>记-71</t>
        </is>
      </c>
      <c r="H222" s="26" t="n"/>
      <c r="I222" s="45" t="n"/>
      <c r="J222" s="44" t="n">
        <v>2</v>
      </c>
    </row>
    <row r="223" s="83">
      <c r="A223" s="27" t="inlineStr">
        <is>
          <t>101203</t>
        </is>
      </c>
      <c r="B223" s="27" t="n"/>
      <c r="C223" s="27" t="inlineStr">
        <is>
          <t>2025-02-26</t>
        </is>
      </c>
      <c r="D223" s="27" t="inlineStr">
        <is>
          <t>Q0401</t>
        </is>
      </c>
      <c r="E223" s="27" t="n"/>
      <c r="F223" s="27" t="inlineStr">
        <is>
          <t>浙江精准学科技有限公司</t>
        </is>
      </c>
      <c r="G223" s="27" t="inlineStr">
        <is>
          <t>记-78</t>
        </is>
      </c>
      <c r="H223" s="27" t="n"/>
      <c r="I223" s="44" t="n"/>
      <c r="J223" s="44" t="n">
        <v>2</v>
      </c>
    </row>
    <row r="224" s="83">
      <c r="A224" s="27" t="inlineStr">
        <is>
          <t>101203</t>
        </is>
      </c>
      <c r="B224" s="27" t="n"/>
      <c r="C224" s="27" t="inlineStr">
        <is>
          <t>2025-02-28</t>
        </is>
      </c>
      <c r="D224" s="27" t="inlineStr">
        <is>
          <t>Q2201</t>
        </is>
      </c>
      <c r="E224" s="27" t="n"/>
      <c r="F224" s="27" t="inlineStr">
        <is>
          <t>浙江精准学科技有限公司</t>
        </is>
      </c>
      <c r="G224" s="27" t="inlineStr">
        <is>
          <t>记-105</t>
        </is>
      </c>
      <c r="H224" s="27" t="n"/>
      <c r="I224" s="44" t="n"/>
      <c r="J224" s="44" t="n">
        <v>2</v>
      </c>
    </row>
    <row r="225" s="83">
      <c r="A225" s="26" t="inlineStr">
        <is>
          <t>101203</t>
        </is>
      </c>
      <c r="B225" s="26" t="n"/>
      <c r="C225" s="26" t="inlineStr">
        <is>
          <t>2025-02-28</t>
        </is>
      </c>
      <c r="D225" s="26" t="inlineStr">
        <is>
          <t>Q2201</t>
        </is>
      </c>
      <c r="E225" s="26" t="n"/>
      <c r="F225" s="26" t="inlineStr">
        <is>
          <t>浙江精准学科技有限公司</t>
        </is>
      </c>
      <c r="G225" s="26" t="inlineStr">
        <is>
          <t>记-111</t>
        </is>
      </c>
      <c r="H225" s="26" t="n"/>
      <c r="I225" s="45" t="n">
        <v>2</v>
      </c>
      <c r="J225" s="45" t="n"/>
    </row>
    <row r="226" s="83">
      <c r="A226" s="27" t="inlineStr">
        <is>
          <t>101203</t>
        </is>
      </c>
      <c r="B226" s="27" t="n"/>
      <c r="C226" s="27" t="inlineStr">
        <is>
          <t>2025-02-28</t>
        </is>
      </c>
      <c r="D226" s="27" t="inlineStr">
        <is>
          <t>Q2201</t>
        </is>
      </c>
      <c r="E226" s="27" t="n"/>
      <c r="F226" s="27" t="inlineStr">
        <is>
          <t>浙江精准学科技有限公司</t>
        </is>
      </c>
      <c r="G226" s="27" t="inlineStr">
        <is>
          <t>记-130</t>
        </is>
      </c>
      <c r="H226" s="27" t="n"/>
      <c r="I226" s="45" t="n">
        <v>2</v>
      </c>
      <c r="J226" s="44" t="n"/>
    </row>
    <row r="227" s="83">
      <c r="A227" s="26" t="inlineStr">
        <is>
          <t>101203</t>
        </is>
      </c>
      <c r="B227" s="26" t="n"/>
      <c r="C227" s="26" t="inlineStr">
        <is>
          <t>2025-02-28</t>
        </is>
      </c>
      <c r="D227" s="26" t="inlineStr">
        <is>
          <t>Q2201</t>
        </is>
      </c>
      <c r="E227" s="26" t="n"/>
      <c r="F227" s="26" t="inlineStr">
        <is>
          <t>浙江精准学科技有限公司</t>
        </is>
      </c>
      <c r="G227" s="26" t="inlineStr">
        <is>
          <t>记-130</t>
        </is>
      </c>
      <c r="H227" s="26" t="n"/>
      <c r="I227" s="45" t="n"/>
      <c r="J227" s="44" t="n">
        <v>2</v>
      </c>
    </row>
    <row r="228" s="83">
      <c r="A228" s="27" t="inlineStr">
        <is>
          <t>101203</t>
        </is>
      </c>
      <c r="B228" s="27" t="n"/>
      <c r="C228" s="27" t="inlineStr">
        <is>
          <t>2025-02-28</t>
        </is>
      </c>
      <c r="D228" s="27" t="inlineStr">
        <is>
          <t>Q2201</t>
        </is>
      </c>
      <c r="E228" s="27" t="n"/>
      <c r="F228" s="27" t="inlineStr">
        <is>
          <t>浙江精准学科技有限公司</t>
        </is>
      </c>
      <c r="G228" s="27" t="inlineStr">
        <is>
          <t>记-130</t>
        </is>
      </c>
      <c r="H228" s="27" t="n"/>
      <c r="I228" s="44" t="n"/>
      <c r="J228" s="44" t="n">
        <v>2</v>
      </c>
    </row>
    <row r="229" s="83">
      <c r="A229" s="26" t="inlineStr">
        <is>
          <t>101203</t>
        </is>
      </c>
      <c r="B229" s="26" t="n"/>
      <c r="C229" s="26" t="inlineStr">
        <is>
          <t>2025-02-28</t>
        </is>
      </c>
      <c r="D229" s="26" t="inlineStr">
        <is>
          <t>Q2201</t>
        </is>
      </c>
      <c r="E229" s="26" t="n"/>
      <c r="F229" s="26" t="inlineStr">
        <is>
          <t>浙江精准学科技有限公司</t>
        </is>
      </c>
      <c r="G229" s="26" t="inlineStr">
        <is>
          <t>记-130</t>
        </is>
      </c>
      <c r="H229" s="26" t="n"/>
      <c r="I229" s="45" t="n"/>
      <c r="J229" s="44" t="n">
        <v>2</v>
      </c>
    </row>
    <row r="230" s="83">
      <c r="A230" s="27" t="inlineStr">
        <is>
          <t>101203</t>
        </is>
      </c>
      <c r="B230" s="27" t="n"/>
      <c r="C230" s="27" t="inlineStr">
        <is>
          <t>2025-02-28</t>
        </is>
      </c>
      <c r="D230" s="27" t="inlineStr">
        <is>
          <t>Q2201</t>
        </is>
      </c>
      <c r="E230" s="27" t="n"/>
      <c r="F230" s="27" t="inlineStr">
        <is>
          <t>浙江精准学科技有限公司</t>
        </is>
      </c>
      <c r="G230" s="27" t="inlineStr">
        <is>
          <t>记-130</t>
        </is>
      </c>
      <c r="H230" s="27" t="n"/>
      <c r="I230" s="44" t="n"/>
      <c r="J230" s="44" t="n">
        <v>2</v>
      </c>
    </row>
    <row r="231" s="83">
      <c r="A231" s="26" t="inlineStr">
        <is>
          <t>101203</t>
        </is>
      </c>
      <c r="B231" s="26" t="n"/>
      <c r="C231" s="26" t="inlineStr">
        <is>
          <t>2025-02-28</t>
        </is>
      </c>
      <c r="D231" s="26" t="inlineStr">
        <is>
          <t>Q2201</t>
        </is>
      </c>
      <c r="E231" s="26" t="n"/>
      <c r="F231" s="26" t="inlineStr">
        <is>
          <t>浙江精准学科技有限公司</t>
        </is>
      </c>
      <c r="G231" s="26" t="inlineStr">
        <is>
          <t>记-130</t>
        </is>
      </c>
      <c r="H231" s="26" t="n"/>
      <c r="I231" s="45" t="n">
        <v>2</v>
      </c>
      <c r="J231" s="45" t="n"/>
    </row>
    <row r="232" s="83">
      <c r="A232" s="27" t="inlineStr">
        <is>
          <t>101207</t>
        </is>
      </c>
      <c r="B232" s="27" t="n"/>
      <c r="C232" s="27" t="inlineStr">
        <is>
          <t>2025-02-28</t>
        </is>
      </c>
      <c r="D232" s="27" t="inlineStr">
        <is>
          <t>Q0101</t>
        </is>
      </c>
      <c r="E232" s="27" t="n"/>
      <c r="F232" s="27" t="inlineStr">
        <is>
          <t>浙江精准学科技有限公司</t>
        </is>
      </c>
      <c r="G232" s="27" t="inlineStr">
        <is>
          <t>记-106</t>
        </is>
      </c>
      <c r="H232" s="27" t="n"/>
      <c r="I232" s="45" t="n">
        <v>2</v>
      </c>
      <c r="J232" s="44" t="n"/>
    </row>
    <row r="233" s="83">
      <c r="A233" s="26" t="inlineStr">
        <is>
          <t>101207</t>
        </is>
      </c>
      <c r="B233" s="26" t="n"/>
      <c r="C233" s="26" t="inlineStr">
        <is>
          <t>2025-02-28</t>
        </is>
      </c>
      <c r="D233" s="26" t="inlineStr">
        <is>
          <t>Q0101</t>
        </is>
      </c>
      <c r="E233" s="26" t="n"/>
      <c r="F233" s="26" t="inlineStr">
        <is>
          <t>浙江精准学科技有限公司</t>
        </is>
      </c>
      <c r="G233" s="26" t="inlineStr">
        <is>
          <t>记-108</t>
        </is>
      </c>
      <c r="H233" s="26" t="n"/>
      <c r="I233" s="45" t="n"/>
      <c r="J233" s="44" t="n">
        <v>2</v>
      </c>
    </row>
    <row r="234" s="83">
      <c r="A234" s="27" t="inlineStr">
        <is>
          <t>101207</t>
        </is>
      </c>
      <c r="B234" s="27" t="n"/>
      <c r="C234" s="27" t="inlineStr">
        <is>
          <t>2025-02-28</t>
        </is>
      </c>
      <c r="D234" s="27" t="inlineStr">
        <is>
          <t>Q2201</t>
        </is>
      </c>
      <c r="E234" s="27" t="n"/>
      <c r="F234" s="27" t="inlineStr">
        <is>
          <t>浙江精准学科技有限公司</t>
        </is>
      </c>
      <c r="G234" s="27" t="inlineStr">
        <is>
          <t>记-112</t>
        </is>
      </c>
      <c r="H234" s="27" t="n"/>
      <c r="I234" s="44" t="n"/>
      <c r="J234" s="44" t="n">
        <v>2</v>
      </c>
    </row>
    <row r="235" s="83">
      <c r="A235" s="26" t="inlineStr">
        <is>
          <t>101207</t>
        </is>
      </c>
      <c r="B235" s="26" t="n"/>
      <c r="C235" s="26" t="inlineStr">
        <is>
          <t>2025-02-28</t>
        </is>
      </c>
      <c r="D235" s="26" t="inlineStr">
        <is>
          <t>Q2201</t>
        </is>
      </c>
      <c r="E235" s="26" t="n"/>
      <c r="F235" s="26" t="inlineStr">
        <is>
          <t>浙江精准学科技有限公司</t>
        </is>
      </c>
      <c r="G235" s="26" t="inlineStr">
        <is>
          <t>记-112</t>
        </is>
      </c>
      <c r="H235" s="26" t="n"/>
      <c r="I235" s="45" t="n"/>
      <c r="J235" s="44" t="n">
        <v>2</v>
      </c>
    </row>
    <row r="236" s="83">
      <c r="A236" s="26" t="inlineStr">
        <is>
          <t>101207</t>
        </is>
      </c>
      <c r="B236" s="26" t="n"/>
      <c r="C236" s="26" t="inlineStr">
        <is>
          <t>2025-02-28</t>
        </is>
      </c>
      <c r="D236" s="26" t="inlineStr">
        <is>
          <t>Q2204</t>
        </is>
      </c>
      <c r="E236" s="26" t="n"/>
      <c r="F236" s="26" t="inlineStr">
        <is>
          <t>浙江精准学科技有限公司</t>
        </is>
      </c>
      <c r="G236" s="26" t="inlineStr">
        <is>
          <t>记-112</t>
        </is>
      </c>
      <c r="H236" s="26" t="n"/>
      <c r="I236" s="45" t="n"/>
      <c r="J236" s="44" t="n">
        <v>2</v>
      </c>
    </row>
    <row r="237" s="83">
      <c r="A237" s="27" t="inlineStr">
        <is>
          <t>101207</t>
        </is>
      </c>
      <c r="B237" s="27" t="n"/>
      <c r="C237" s="27" t="inlineStr">
        <is>
          <t>2025-02-28</t>
        </is>
      </c>
      <c r="D237" s="27" t="inlineStr">
        <is>
          <t>Q2205</t>
        </is>
      </c>
      <c r="E237" s="27" t="n"/>
      <c r="F237" s="27" t="inlineStr">
        <is>
          <t>浙江精准学科技有限公司</t>
        </is>
      </c>
      <c r="G237" s="27" t="inlineStr">
        <is>
          <t>记-112</t>
        </is>
      </c>
      <c r="H237" s="27" t="n"/>
      <c r="I237" s="44" t="n"/>
      <c r="J237" s="44" t="n">
        <v>2</v>
      </c>
    </row>
    <row r="238" s="83">
      <c r="A238" s="26" t="inlineStr">
        <is>
          <t>101207</t>
        </is>
      </c>
      <c r="B238" s="26" t="n"/>
      <c r="C238" s="26" t="inlineStr">
        <is>
          <t>2025-02-28</t>
        </is>
      </c>
      <c r="D238" s="26" t="inlineStr">
        <is>
          <t>Q2207</t>
        </is>
      </c>
      <c r="E238" s="26" t="n"/>
      <c r="F238" s="26" t="inlineStr">
        <is>
          <t>浙江精准学科技有限公司</t>
        </is>
      </c>
      <c r="G238" s="26" t="inlineStr">
        <is>
          <t>记-112</t>
        </is>
      </c>
      <c r="H238" s="26" t="n"/>
      <c r="I238" s="45" t="n"/>
      <c r="J238" s="44" t="n">
        <v>2</v>
      </c>
    </row>
    <row r="239" s="83">
      <c r="A239" s="27" t="inlineStr">
        <is>
          <t>101207</t>
        </is>
      </c>
      <c r="B239" s="27" t="n"/>
      <c r="C239" s="27" t="inlineStr">
        <is>
          <t>2025-02-28</t>
        </is>
      </c>
      <c r="D239" s="27" t="inlineStr">
        <is>
          <t>Q2208</t>
        </is>
      </c>
      <c r="E239" s="27" t="n"/>
      <c r="F239" s="27" t="inlineStr">
        <is>
          <t>浙江精准学科技有限公司</t>
        </is>
      </c>
      <c r="G239" s="27" t="inlineStr">
        <is>
          <t>记-112</t>
        </is>
      </c>
      <c r="H239" s="27" t="n"/>
      <c r="I239" s="44" t="n"/>
      <c r="J239" s="44" t="n">
        <v>2</v>
      </c>
    </row>
  </sheetData>
  <autoFilter ref="A1:J239"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J327"/>
  <sheetViews>
    <sheetView workbookViewId="0">
      <pane ySplit="1" topLeftCell="A299" activePane="bottomLeft" state="frozen"/>
      <selection activeCell="A1" sqref="A1"/>
      <selection pane="bottomLeft" activeCell="H316" sqref="H316"/>
    </sheetView>
  </sheetViews>
  <sheetFormatPr baseColWidth="8" defaultColWidth="8.838461538461541" defaultRowHeight="14" customHeight="1"/>
  <cols>
    <col width="8.838461538461541" customWidth="1" style="22" min="1" max="1"/>
    <col width="13.3846153846154" customWidth="1" style="22" min="2" max="2"/>
    <col width="11.5" customWidth="1" style="22" min="3" max="3"/>
    <col width="12.3307692307692" customWidth="1" style="22" min="4" max="4"/>
    <col width="16.8307692307692" customWidth="1" style="22" min="5" max="5"/>
    <col width="21.1615384615385" customWidth="1" style="22" min="6" max="6"/>
    <col width="9" customWidth="1" style="22" min="7" max="7"/>
    <col width="18.4615384615385" customWidth="1" style="23" min="8" max="8"/>
    <col width="18" customWidth="1" style="22" min="9" max="9"/>
    <col width="16.1615384615385" customWidth="1" style="22" min="10" max="10"/>
  </cols>
  <sheetData>
    <row r="1" s="83">
      <c r="A1" s="43" t="inlineStr">
        <is>
          <t>科目编码</t>
        </is>
      </c>
      <c r="B1" s="43" t="inlineStr">
        <is>
          <t>科目名称</t>
        </is>
      </c>
      <c r="C1" s="43" t="inlineStr">
        <is>
          <t>日期</t>
        </is>
      </c>
      <c r="D1" s="43" t="inlineStr">
        <is>
          <t>费用项目编码</t>
        </is>
      </c>
      <c r="E1" s="43" t="inlineStr">
        <is>
          <t>费用项目名称</t>
        </is>
      </c>
      <c r="F1" s="43" t="inlineStr">
        <is>
          <t>核算账簿</t>
        </is>
      </c>
      <c r="G1" s="43" t="inlineStr">
        <is>
          <t>凭证号</t>
        </is>
      </c>
      <c r="H1" s="25" t="inlineStr">
        <is>
          <t>摘要</t>
        </is>
      </c>
      <c r="I1" s="43" t="inlineStr">
        <is>
          <t>借方本币</t>
        </is>
      </c>
      <c r="J1" s="43" t="inlineStr">
        <is>
          <t>贷方本币</t>
        </is>
      </c>
    </row>
    <row r="2" s="83">
      <c r="A2" s="27" t="inlineStr">
        <is>
          <t>100201</t>
        </is>
      </c>
      <c r="B2" s="27" t="n"/>
      <c r="C2" s="27" t="inlineStr">
        <is>
          <t>2025-03-31</t>
        </is>
      </c>
      <c r="D2" s="27" t="inlineStr">
        <is>
          <t>Q0302</t>
        </is>
      </c>
      <c r="E2" s="27" t="n"/>
      <c r="F2" s="27" t="inlineStr">
        <is>
          <t>SMART LEARNING HOLDING</t>
        </is>
      </c>
      <c r="G2" s="27" t="inlineStr">
        <is>
          <t>记-2</t>
        </is>
      </c>
      <c r="H2" s="27" t="n"/>
      <c r="I2" s="44" t="n">
        <v>3</v>
      </c>
      <c r="J2" s="44" t="n"/>
    </row>
    <row r="3" s="83">
      <c r="A3" s="26" t="inlineStr">
        <is>
          <t>100201</t>
        </is>
      </c>
      <c r="B3" s="26" t="n"/>
      <c r="C3" s="26" t="inlineStr">
        <is>
          <t>2025-03-31</t>
        </is>
      </c>
      <c r="D3" s="26" t="inlineStr">
        <is>
          <t>Q3105</t>
        </is>
      </c>
      <c r="E3" s="26" t="n"/>
      <c r="F3" s="26" t="inlineStr">
        <is>
          <t>SMART LEARNING HOLDING</t>
        </is>
      </c>
      <c r="G3" s="26" t="inlineStr">
        <is>
          <t>记-3</t>
        </is>
      </c>
      <c r="H3" s="26" t="n"/>
      <c r="I3" s="45" t="n"/>
      <c r="J3" s="45" t="n">
        <v>3469.61</v>
      </c>
    </row>
    <row r="4" s="83">
      <c r="A4" s="26" t="inlineStr">
        <is>
          <t>100202</t>
        </is>
      </c>
      <c r="B4" s="26" t="n"/>
      <c r="C4" s="26" t="inlineStr">
        <is>
          <t>2025-03-31</t>
        </is>
      </c>
      <c r="D4" s="26" t="inlineStr">
        <is>
          <t>Q0302</t>
        </is>
      </c>
      <c r="E4" s="26" t="n"/>
      <c r="F4" s="26" t="inlineStr">
        <is>
          <t>SMART LEARNING HOLDING</t>
        </is>
      </c>
      <c r="G4" s="26" t="inlineStr">
        <is>
          <t>记-1</t>
        </is>
      </c>
      <c r="H4" s="26" t="n"/>
      <c r="I4" s="44" t="n">
        <v>3</v>
      </c>
      <c r="J4" s="45" t="n"/>
    </row>
    <row r="5" s="83">
      <c r="A5" s="27" t="inlineStr">
        <is>
          <t>100202</t>
        </is>
      </c>
      <c r="B5" s="27" t="n"/>
      <c r="C5" s="27" t="inlineStr">
        <is>
          <t>2025-03-31</t>
        </is>
      </c>
      <c r="D5" s="27" t="inlineStr">
        <is>
          <t>Q0302</t>
        </is>
      </c>
      <c r="E5" s="27" t="n"/>
      <c r="F5" s="27" t="inlineStr">
        <is>
          <t>SMART AI LIMITED</t>
        </is>
      </c>
      <c r="G5" s="27" t="inlineStr">
        <is>
          <t>记-1</t>
        </is>
      </c>
      <c r="H5" s="27" t="n"/>
      <c r="I5" s="44" t="n">
        <v>3</v>
      </c>
      <c r="J5" s="44" t="n"/>
    </row>
    <row r="6" s="83">
      <c r="A6" s="27" t="inlineStr">
        <is>
          <t>100202</t>
        </is>
      </c>
      <c r="B6" s="27" t="n"/>
      <c r="C6" s="27" t="inlineStr">
        <is>
          <t>2025-03-31</t>
        </is>
      </c>
      <c r="D6" s="27" t="inlineStr">
        <is>
          <t>Q0302</t>
        </is>
      </c>
      <c r="E6" s="27" t="n"/>
      <c r="F6" s="27" t="inlineStr">
        <is>
          <t>HK01</t>
        </is>
      </c>
      <c r="G6" s="27" t="inlineStr">
        <is>
          <t>记-1</t>
        </is>
      </c>
      <c r="H6" s="27" t="n"/>
      <c r="I6" s="44" t="n">
        <v>3</v>
      </c>
      <c r="J6" s="44" t="n"/>
    </row>
    <row r="7" s="83">
      <c r="A7" s="26" t="inlineStr">
        <is>
          <t>100201</t>
        </is>
      </c>
      <c r="B7" s="26" t="n"/>
      <c r="C7" s="26" t="inlineStr">
        <is>
          <t>2025-03-21</t>
        </is>
      </c>
      <c r="D7" s="26" t="inlineStr">
        <is>
          <t>Q0302</t>
        </is>
      </c>
      <c r="E7" s="26" t="n"/>
      <c r="F7" s="26" t="inlineStr">
        <is>
          <t>杭州目标准科技有限公司</t>
        </is>
      </c>
      <c r="G7" s="26" t="inlineStr">
        <is>
          <t>记-1</t>
        </is>
      </c>
      <c r="H7" s="26" t="n"/>
      <c r="I7" s="44" t="n">
        <v>3</v>
      </c>
      <c r="J7" s="45" t="n"/>
    </row>
    <row r="8" s="83">
      <c r="A8" s="27" t="inlineStr">
        <is>
          <t>100201</t>
        </is>
      </c>
      <c r="B8" s="27" t="n"/>
      <c r="C8" s="27" t="inlineStr">
        <is>
          <t>2025-03-21</t>
        </is>
      </c>
      <c r="D8" s="27" t="inlineStr">
        <is>
          <t>Q0302</t>
        </is>
      </c>
      <c r="E8" s="27" t="n"/>
      <c r="F8" s="27" t="inlineStr">
        <is>
          <t>杭州驷海宾朋智能科技有限公司</t>
        </is>
      </c>
      <c r="G8" s="27" t="inlineStr">
        <is>
          <t>记-3</t>
        </is>
      </c>
      <c r="H8" s="27" t="n"/>
      <c r="I8" s="44" t="n">
        <v>3</v>
      </c>
      <c r="J8" s="44" t="n"/>
    </row>
    <row r="9" s="83">
      <c r="A9" s="26" t="inlineStr">
        <is>
          <t>100201</t>
        </is>
      </c>
      <c r="B9" s="26" t="n"/>
      <c r="C9" s="26" t="inlineStr">
        <is>
          <t>2025-03-21</t>
        </is>
      </c>
      <c r="D9" s="26" t="inlineStr">
        <is>
          <t>Q0302</t>
        </is>
      </c>
      <c r="E9" s="26" t="n"/>
      <c r="F9" s="26" t="inlineStr">
        <is>
          <t>杭州驷海宾朋智能科技有限公司</t>
        </is>
      </c>
      <c r="G9" s="26" t="inlineStr">
        <is>
          <t>记-5</t>
        </is>
      </c>
      <c r="H9" s="26" t="n"/>
      <c r="I9" s="44" t="n">
        <v>3</v>
      </c>
      <c r="J9" s="45" t="n"/>
    </row>
    <row r="10" s="83">
      <c r="A10" s="27" t="inlineStr">
        <is>
          <t>100201</t>
        </is>
      </c>
      <c r="B10" s="27" t="n"/>
      <c r="C10" s="27" t="inlineStr">
        <is>
          <t>2025-03-03</t>
        </is>
      </c>
      <c r="D10" s="27" t="inlineStr">
        <is>
          <t>Q0803</t>
        </is>
      </c>
      <c r="E10" s="27" t="n"/>
      <c r="F10" s="27" t="inlineStr">
        <is>
          <t>杭州驷海宾朋智能科技有限公司</t>
        </is>
      </c>
      <c r="G10" s="27" t="inlineStr">
        <is>
          <t>记-2</t>
        </is>
      </c>
      <c r="H10" s="27" t="n"/>
      <c r="I10" s="44" t="n"/>
      <c r="J10" s="44" t="n">
        <v>3</v>
      </c>
    </row>
    <row r="11" s="83">
      <c r="A11" s="26" t="inlineStr">
        <is>
          <t>100201</t>
        </is>
      </c>
      <c r="B11" s="26" t="n"/>
      <c r="C11" s="26" t="inlineStr">
        <is>
          <t>2025-03-21</t>
        </is>
      </c>
      <c r="D11" s="26" t="inlineStr">
        <is>
          <t>Q0804</t>
        </is>
      </c>
      <c r="E11" s="26" t="n"/>
      <c r="F11" s="26" t="inlineStr">
        <is>
          <t>杭州驷海宾朋智能科技有限公司</t>
        </is>
      </c>
      <c r="G11" s="26" t="inlineStr">
        <is>
          <t>记-4</t>
        </is>
      </c>
      <c r="H11" s="26" t="n"/>
      <c r="I11" s="45" t="n"/>
      <c r="J11" s="44" t="n">
        <v>3</v>
      </c>
    </row>
    <row r="12" s="83">
      <c r="A12" s="26" t="inlineStr">
        <is>
          <t>100201</t>
        </is>
      </c>
      <c r="B12" s="26" t="n"/>
      <c r="C12" s="26" t="inlineStr">
        <is>
          <t>2025-03-02</t>
        </is>
      </c>
      <c r="D12" s="26" t="inlineStr">
        <is>
          <t>Q3101</t>
        </is>
      </c>
      <c r="E12" s="26" t="n"/>
      <c r="F12" s="26" t="inlineStr">
        <is>
          <t>杭州驷海宾朋智能科技有限公司</t>
        </is>
      </c>
      <c r="G12" s="26" t="inlineStr">
        <is>
          <t>记-1</t>
        </is>
      </c>
      <c r="H12" s="26" t="n"/>
      <c r="I12" s="45" t="n"/>
      <c r="J12" s="44" t="n">
        <v>3</v>
      </c>
    </row>
    <row r="13" s="83">
      <c r="A13" s="27" t="inlineStr">
        <is>
          <t>100201</t>
        </is>
      </c>
      <c r="B13" s="27" t="n"/>
      <c r="C13" s="27" t="inlineStr">
        <is>
          <t>2025-03-21</t>
        </is>
      </c>
      <c r="D13" s="27" t="inlineStr">
        <is>
          <t>Q0101</t>
        </is>
      </c>
      <c r="E13" s="27" t="n"/>
      <c r="F13" s="27" t="inlineStr">
        <is>
          <t>杭州实时查科技有限公司</t>
        </is>
      </c>
      <c r="G13" s="27" t="inlineStr">
        <is>
          <t>记-6</t>
        </is>
      </c>
      <c r="H13" s="27" t="n"/>
      <c r="I13" s="44" t="n"/>
      <c r="J13" s="44" t="n">
        <v>3</v>
      </c>
    </row>
    <row r="14" s="83">
      <c r="A14" s="26" t="inlineStr">
        <is>
          <t>100201</t>
        </is>
      </c>
      <c r="B14" s="26" t="n"/>
      <c r="C14" s="26" t="inlineStr">
        <is>
          <t>2025-03-21</t>
        </is>
      </c>
      <c r="D14" s="26" t="inlineStr">
        <is>
          <t>Q0101</t>
        </is>
      </c>
      <c r="E14" s="26" t="n"/>
      <c r="F14" s="26" t="inlineStr">
        <is>
          <t>杭州实时查科技有限公司</t>
        </is>
      </c>
      <c r="G14" s="26" t="inlineStr">
        <is>
          <t>记-8</t>
        </is>
      </c>
      <c r="H14" s="26" t="n"/>
      <c r="I14" s="45" t="n"/>
      <c r="J14" s="44" t="n">
        <v>3</v>
      </c>
    </row>
    <row r="15" s="83">
      <c r="A15" s="27" t="inlineStr">
        <is>
          <t>100201</t>
        </is>
      </c>
      <c r="B15" s="27" t="n"/>
      <c r="C15" s="27" t="inlineStr">
        <is>
          <t>2025-03-21</t>
        </is>
      </c>
      <c r="D15" s="27" t="inlineStr">
        <is>
          <t>Q0101</t>
        </is>
      </c>
      <c r="E15" s="27" t="n"/>
      <c r="F15" s="27" t="inlineStr">
        <is>
          <t>杭州实时查科技有限公司</t>
        </is>
      </c>
      <c r="G15" s="27" t="inlineStr">
        <is>
          <t>记-9</t>
        </is>
      </c>
      <c r="H15" s="27" t="n"/>
      <c r="I15" s="44" t="n"/>
      <c r="J15" s="44" t="n">
        <v>3</v>
      </c>
    </row>
    <row r="16" s="83">
      <c r="A16" s="26" t="inlineStr">
        <is>
          <t>100201</t>
        </is>
      </c>
      <c r="B16" s="26" t="n"/>
      <c r="C16" s="26" t="inlineStr">
        <is>
          <t>2025-03-21</t>
        </is>
      </c>
      <c r="D16" s="26" t="inlineStr">
        <is>
          <t>Q0101</t>
        </is>
      </c>
      <c r="E16" s="26" t="n"/>
      <c r="F16" s="26" t="inlineStr">
        <is>
          <t>杭州实时查科技有限公司</t>
        </is>
      </c>
      <c r="G16" s="26" t="inlineStr">
        <is>
          <t>记-10</t>
        </is>
      </c>
      <c r="H16" s="26" t="n"/>
      <c r="I16" s="45" t="n"/>
      <c r="J16" s="44" t="n">
        <v>3</v>
      </c>
    </row>
    <row r="17" s="83">
      <c r="A17" s="27" t="inlineStr">
        <is>
          <t>100201</t>
        </is>
      </c>
      <c r="B17" s="27" t="n"/>
      <c r="C17" s="27" t="inlineStr">
        <is>
          <t>2025-03-21</t>
        </is>
      </c>
      <c r="D17" s="27" t="inlineStr">
        <is>
          <t>Q0101</t>
        </is>
      </c>
      <c r="E17" s="27" t="n"/>
      <c r="F17" s="27" t="inlineStr">
        <is>
          <t>杭州实时查科技有限公司</t>
        </is>
      </c>
      <c r="G17" s="27" t="inlineStr">
        <is>
          <t>记-11</t>
        </is>
      </c>
      <c r="H17" s="27" t="n"/>
      <c r="I17" s="44" t="n"/>
      <c r="J17" s="44" t="n">
        <v>3</v>
      </c>
    </row>
    <row r="18" s="83">
      <c r="A18" s="26" t="inlineStr">
        <is>
          <t>100201</t>
        </is>
      </c>
      <c r="B18" s="26" t="n"/>
      <c r="C18" s="26" t="inlineStr">
        <is>
          <t>2025-03-27</t>
        </is>
      </c>
      <c r="D18" s="26" t="inlineStr">
        <is>
          <t>Q0101</t>
        </is>
      </c>
      <c r="E18" s="26" t="n"/>
      <c r="F18" s="26" t="inlineStr">
        <is>
          <t>杭州实时查科技有限公司</t>
        </is>
      </c>
      <c r="G18" s="26" t="inlineStr">
        <is>
          <t>记-7</t>
        </is>
      </c>
      <c r="H18" s="26" t="n"/>
      <c r="I18" s="45" t="n"/>
      <c r="J18" s="44" t="n">
        <v>3</v>
      </c>
    </row>
    <row r="19" s="83">
      <c r="A19" s="27" t="inlineStr">
        <is>
          <t>100201</t>
        </is>
      </c>
      <c r="B19" s="27" t="n"/>
      <c r="C19" s="27" t="inlineStr">
        <is>
          <t>2025-03-21</t>
        </is>
      </c>
      <c r="D19" s="27" t="inlineStr">
        <is>
          <t>Q0302</t>
        </is>
      </c>
      <c r="E19" s="27" t="n"/>
      <c r="F19" s="27" t="inlineStr">
        <is>
          <t>杭州实时查科技有限公司</t>
        </is>
      </c>
      <c r="G19" s="27" t="inlineStr">
        <is>
          <t>记-5</t>
        </is>
      </c>
      <c r="H19" s="27" t="n"/>
      <c r="I19" s="44" t="n">
        <v>3</v>
      </c>
      <c r="J19" s="44" t="n"/>
    </row>
    <row r="20" s="83">
      <c r="A20" s="27" t="inlineStr">
        <is>
          <t>100201</t>
        </is>
      </c>
      <c r="B20" s="27" t="n"/>
      <c r="C20" s="27" t="inlineStr">
        <is>
          <t>2025-03-19</t>
        </is>
      </c>
      <c r="D20" s="27" t="inlineStr">
        <is>
          <t>Q0303</t>
        </is>
      </c>
      <c r="E20" s="27" t="n"/>
      <c r="F20" s="27" t="inlineStr">
        <is>
          <t>杭州实时查科技有限公司</t>
        </is>
      </c>
      <c r="G20" s="27" t="inlineStr">
        <is>
          <t>记-3</t>
        </is>
      </c>
      <c r="H20" s="27" t="n"/>
      <c r="I20" s="44" t="n">
        <v>3</v>
      </c>
      <c r="J20" s="44" t="n"/>
    </row>
    <row r="21" s="83">
      <c r="A21" s="27" t="inlineStr">
        <is>
          <t>100201</t>
        </is>
      </c>
      <c r="B21" s="27" t="n"/>
      <c r="C21" s="27" t="inlineStr">
        <is>
          <t>2025-03-19</t>
        </is>
      </c>
      <c r="D21" s="27" t="inlineStr">
        <is>
          <t>Q0401</t>
        </is>
      </c>
      <c r="E21" s="27" t="n"/>
      <c r="F21" s="27" t="inlineStr">
        <is>
          <t>杭州实时查科技有限公司</t>
        </is>
      </c>
      <c r="G21" s="27" t="inlineStr">
        <is>
          <t>记-2</t>
        </is>
      </c>
      <c r="H21" s="27" t="n"/>
      <c r="I21" s="44" t="n"/>
      <c r="J21" s="44" t="n">
        <v>3</v>
      </c>
    </row>
    <row r="22" s="83">
      <c r="A22" s="26" t="inlineStr">
        <is>
          <t>100201</t>
        </is>
      </c>
      <c r="B22" s="26" t="n"/>
      <c r="C22" s="26" t="inlineStr">
        <is>
          <t>2025-03-20</t>
        </is>
      </c>
      <c r="D22" s="26" t="inlineStr">
        <is>
          <t>Q0401</t>
        </is>
      </c>
      <c r="E22" s="26" t="n"/>
      <c r="F22" s="26" t="inlineStr">
        <is>
          <t>杭州实时查科技有限公司</t>
        </is>
      </c>
      <c r="G22" s="26" t="inlineStr">
        <is>
          <t>记-4</t>
        </is>
      </c>
      <c r="H22" s="26" t="n"/>
      <c r="I22" s="45" t="n"/>
      <c r="J22" s="44" t="n">
        <v>3</v>
      </c>
    </row>
    <row r="23" s="83">
      <c r="A23" s="27" t="inlineStr">
        <is>
          <t>100201</t>
        </is>
      </c>
      <c r="B23" s="27" t="n"/>
      <c r="C23" s="27" t="inlineStr">
        <is>
          <t>2025-03-20</t>
        </is>
      </c>
      <c r="D23" s="27" t="inlineStr">
        <is>
          <t>Q0401</t>
        </is>
      </c>
      <c r="E23" s="27" t="n"/>
      <c r="F23" s="27" t="inlineStr">
        <is>
          <t>杭州实时查科技有限公司</t>
        </is>
      </c>
      <c r="G23" s="27" t="inlineStr">
        <is>
          <t>记-4</t>
        </is>
      </c>
      <c r="H23" s="27" t="n"/>
      <c r="I23" s="44" t="n">
        <v>3</v>
      </c>
      <c r="J23" s="44" t="n"/>
    </row>
    <row r="24" s="83">
      <c r="A24" s="26" t="inlineStr">
        <is>
          <t>100201</t>
        </is>
      </c>
      <c r="B24" s="26" t="n"/>
      <c r="C24" s="26" t="inlineStr">
        <is>
          <t>2025-03-20</t>
        </is>
      </c>
      <c r="D24" s="26" t="inlineStr">
        <is>
          <t>Q0401</t>
        </is>
      </c>
      <c r="E24" s="26" t="n"/>
      <c r="F24" s="26" t="inlineStr">
        <is>
          <t>杭州实时查科技有限公司</t>
        </is>
      </c>
      <c r="G24" s="26" t="inlineStr">
        <is>
          <t>记-4</t>
        </is>
      </c>
      <c r="H24" s="26" t="n"/>
      <c r="I24" s="45" t="n"/>
      <c r="J24" s="44" t="n">
        <v>3</v>
      </c>
    </row>
    <row r="25" s="83">
      <c r="A25" s="27" t="inlineStr">
        <is>
          <t>100201</t>
        </is>
      </c>
      <c r="B25" s="27" t="n"/>
      <c r="C25" s="27" t="inlineStr">
        <is>
          <t>2025-03-02</t>
        </is>
      </c>
      <c r="D25" s="27" t="inlineStr">
        <is>
          <t>Q3101</t>
        </is>
      </c>
      <c r="E25" s="27" t="n"/>
      <c r="F25" s="27" t="inlineStr">
        <is>
          <t>杭州实时查科技有限公司</t>
        </is>
      </c>
      <c r="G25" s="27" t="inlineStr">
        <is>
          <t>记-1</t>
        </is>
      </c>
      <c r="H25" s="27" t="n"/>
      <c r="I25" s="44" t="n"/>
      <c r="J25" s="44" t="n">
        <v>3</v>
      </c>
    </row>
    <row r="26" s="83">
      <c r="A26" s="26" t="inlineStr">
        <is>
          <t>101201</t>
        </is>
      </c>
      <c r="B26" s="26" t="n"/>
      <c r="C26" s="26" t="inlineStr">
        <is>
          <t>2025-03-31</t>
        </is>
      </c>
      <c r="D26" s="26" t="inlineStr">
        <is>
          <t>Q0101</t>
        </is>
      </c>
      <c r="E26" s="26" t="n"/>
      <c r="F26" s="26" t="inlineStr">
        <is>
          <t>杭州实时查科技有限公司</t>
        </is>
      </c>
      <c r="G26" s="26" t="inlineStr">
        <is>
          <t>记-12</t>
        </is>
      </c>
      <c r="H26" s="26" t="n"/>
      <c r="I26" s="44" t="n">
        <v>3</v>
      </c>
      <c r="J26" s="45" t="n"/>
    </row>
    <row r="27" s="83">
      <c r="A27" s="27" t="inlineStr">
        <is>
          <t>101201</t>
        </is>
      </c>
      <c r="B27" s="27" t="n"/>
      <c r="C27" s="27" t="inlineStr">
        <is>
          <t>2025-03-19</t>
        </is>
      </c>
      <c r="D27" s="27" t="inlineStr">
        <is>
          <t>Q0401</t>
        </is>
      </c>
      <c r="E27" s="27" t="n"/>
      <c r="F27" s="27" t="inlineStr">
        <is>
          <t>杭州实时查科技有限公司</t>
        </is>
      </c>
      <c r="G27" s="27" t="inlineStr">
        <is>
          <t>记-2</t>
        </is>
      </c>
      <c r="H27" s="27" t="n"/>
      <c r="I27" s="44" t="n">
        <v>3</v>
      </c>
      <c r="J27" s="44" t="n"/>
    </row>
    <row r="28" s="83">
      <c r="A28" s="26" t="inlineStr">
        <is>
          <t>101201</t>
        </is>
      </c>
      <c r="B28" s="26" t="n"/>
      <c r="C28" s="26" t="inlineStr">
        <is>
          <t>2025-03-20</t>
        </is>
      </c>
      <c r="D28" s="26" t="inlineStr">
        <is>
          <t>Q0401</t>
        </is>
      </c>
      <c r="E28" s="26" t="n"/>
      <c r="F28" s="26" t="inlineStr">
        <is>
          <t>杭州实时查科技有限公司</t>
        </is>
      </c>
      <c r="G28" s="26" t="inlineStr">
        <is>
          <t>记-4</t>
        </is>
      </c>
      <c r="H28" s="26" t="n"/>
      <c r="I28" s="44" t="n">
        <v>3</v>
      </c>
      <c r="J28" s="45" t="n"/>
    </row>
    <row r="29" s="83">
      <c r="A29" s="27" t="inlineStr">
        <is>
          <t>101201</t>
        </is>
      </c>
      <c r="B29" s="27" t="n"/>
      <c r="C29" s="27" t="inlineStr">
        <is>
          <t>2025-03-20</t>
        </is>
      </c>
      <c r="D29" s="27" t="inlineStr">
        <is>
          <t>Q2005</t>
        </is>
      </c>
      <c r="E29" s="27" t="n"/>
      <c r="F29" s="27" t="inlineStr">
        <is>
          <t>杭州实时查科技有限公司</t>
        </is>
      </c>
      <c r="G29" s="27" t="inlineStr">
        <is>
          <t>记-4</t>
        </is>
      </c>
      <c r="H29" s="27" t="n"/>
      <c r="I29" s="44" t="n"/>
      <c r="J29" s="44" t="n">
        <v>3</v>
      </c>
    </row>
    <row r="30" s="83">
      <c r="A30" s="26" t="inlineStr">
        <is>
          <t>101201</t>
        </is>
      </c>
      <c r="B30" s="26" t="n"/>
      <c r="C30" s="26" t="inlineStr">
        <is>
          <t>2025-03-31</t>
        </is>
      </c>
      <c r="D30" s="26" t="inlineStr">
        <is>
          <t>Q2201</t>
        </is>
      </c>
      <c r="E30" s="26" t="n"/>
      <c r="F30" s="26" t="inlineStr">
        <is>
          <t>杭州实时查科技有限公司</t>
        </is>
      </c>
      <c r="G30" s="26" t="inlineStr">
        <is>
          <t>记-13</t>
        </is>
      </c>
      <c r="H30" s="26" t="n"/>
      <c r="I30" s="45" t="n"/>
      <c r="J30" s="44" t="n">
        <v>3</v>
      </c>
    </row>
    <row r="31" s="83">
      <c r="A31" s="27" t="inlineStr">
        <is>
          <t>101201</t>
        </is>
      </c>
      <c r="B31" s="27" t="n"/>
      <c r="C31" s="27" t="inlineStr">
        <is>
          <t>2025-03-31</t>
        </is>
      </c>
      <c r="D31" s="27" t="inlineStr">
        <is>
          <t>Q2201</t>
        </is>
      </c>
      <c r="E31" s="27" t="n"/>
      <c r="F31" s="27" t="inlineStr">
        <is>
          <t>杭州实时查科技有限公司</t>
        </is>
      </c>
      <c r="G31" s="27" t="inlineStr">
        <is>
          <t>记-13</t>
        </is>
      </c>
      <c r="H31" s="27" t="n"/>
      <c r="I31" s="44" t="n"/>
      <c r="J31" s="44" t="n">
        <v>3</v>
      </c>
    </row>
    <row r="32" s="83">
      <c r="A32" s="26" t="inlineStr">
        <is>
          <t>101201</t>
        </is>
      </c>
      <c r="B32" s="26" t="n"/>
      <c r="C32" s="26" t="inlineStr">
        <is>
          <t>2025-03-19</t>
        </is>
      </c>
      <c r="D32" s="26" t="inlineStr">
        <is>
          <t>Q2202</t>
        </is>
      </c>
      <c r="E32" s="26" t="n"/>
      <c r="F32" s="26" t="inlineStr">
        <is>
          <t>杭州实时查科技有限公司</t>
        </is>
      </c>
      <c r="G32" s="26" t="inlineStr">
        <is>
          <t>记-2</t>
        </is>
      </c>
      <c r="H32" s="26" t="n"/>
      <c r="I32" s="45" t="n"/>
      <c r="J32" s="44" t="n">
        <v>3</v>
      </c>
    </row>
    <row r="33" s="83">
      <c r="A33" s="27" t="inlineStr">
        <is>
          <t>101201</t>
        </is>
      </c>
      <c r="B33" s="27" t="n"/>
      <c r="C33" s="27" t="inlineStr">
        <is>
          <t>2025-03-31</t>
        </is>
      </c>
      <c r="D33" s="27" t="inlineStr">
        <is>
          <t>Q2207</t>
        </is>
      </c>
      <c r="E33" s="27" t="n"/>
      <c r="F33" s="27" t="inlineStr">
        <is>
          <t>杭州实时查科技有限公司</t>
        </is>
      </c>
      <c r="G33" s="27" t="inlineStr">
        <is>
          <t>记-13</t>
        </is>
      </c>
      <c r="H33" s="27" t="n"/>
      <c r="I33" s="44" t="n"/>
      <c r="J33" s="44" t="n">
        <v>3</v>
      </c>
    </row>
    <row r="34" s="83">
      <c r="A34" s="27" t="inlineStr">
        <is>
          <t>100201</t>
        </is>
      </c>
      <c r="B34" s="27" t="n"/>
      <c r="C34" s="27" t="inlineStr">
        <is>
          <t>2025-03-21</t>
        </is>
      </c>
      <c r="D34" s="27" t="inlineStr">
        <is>
          <t>Q0302</t>
        </is>
      </c>
      <c r="E34" s="27" t="n"/>
      <c r="F34" s="27" t="inlineStr">
        <is>
          <t>海南精准学科技有限公司</t>
        </is>
      </c>
      <c r="G34" s="27" t="inlineStr">
        <is>
          <t>记-8</t>
        </is>
      </c>
      <c r="H34" s="27" t="n"/>
      <c r="I34" s="44" t="n">
        <v>3</v>
      </c>
      <c r="J34" s="44" t="n"/>
    </row>
    <row r="35" s="83">
      <c r="A35" s="26" t="inlineStr">
        <is>
          <t>100201</t>
        </is>
      </c>
      <c r="B35" s="26" t="n"/>
      <c r="C35" s="26" t="inlineStr">
        <is>
          <t>2025-03-21</t>
        </is>
      </c>
      <c r="D35" s="26" t="inlineStr">
        <is>
          <t>Q0302</t>
        </is>
      </c>
      <c r="E35" s="26" t="n"/>
      <c r="F35" s="26" t="inlineStr">
        <is>
          <t>海南精准学科技有限公司</t>
        </is>
      </c>
      <c r="G35" s="26" t="inlineStr">
        <is>
          <t>记-9</t>
        </is>
      </c>
      <c r="H35" s="26" t="n"/>
      <c r="I35" s="44" t="n">
        <v>3</v>
      </c>
      <c r="J35" s="45" t="n"/>
    </row>
    <row r="36" s="83">
      <c r="A36" s="27" t="inlineStr">
        <is>
          <t>100201</t>
        </is>
      </c>
      <c r="B36" s="27" t="n"/>
      <c r="C36" s="27" t="inlineStr">
        <is>
          <t>2025-03-14</t>
        </is>
      </c>
      <c r="D36" s="27" t="inlineStr">
        <is>
          <t>Q0401</t>
        </is>
      </c>
      <c r="E36" s="27" t="n"/>
      <c r="F36" s="27" t="inlineStr">
        <is>
          <t>海南精准学科技有限公司</t>
        </is>
      </c>
      <c r="G36" s="27" t="inlineStr">
        <is>
          <t>记-3</t>
        </is>
      </c>
      <c r="H36" s="27" t="n"/>
      <c r="I36" s="44" t="n">
        <v>3</v>
      </c>
      <c r="J36" s="44" t="n"/>
    </row>
    <row r="37" s="83">
      <c r="A37" s="26" t="inlineStr">
        <is>
          <t>100201</t>
        </is>
      </c>
      <c r="B37" s="26" t="n"/>
      <c r="C37" s="26" t="inlineStr">
        <is>
          <t>2025-03-14</t>
        </is>
      </c>
      <c r="D37" s="26" t="inlineStr">
        <is>
          <t>Q0401</t>
        </is>
      </c>
      <c r="E37" s="26" t="n"/>
      <c r="F37" s="26" t="inlineStr">
        <is>
          <t>海南精准学科技有限公司</t>
        </is>
      </c>
      <c r="G37" s="26" t="inlineStr">
        <is>
          <t>记-3</t>
        </is>
      </c>
      <c r="H37" s="26" t="n"/>
      <c r="I37" s="45" t="n"/>
      <c r="J37" s="44" t="n">
        <v>3</v>
      </c>
    </row>
    <row r="38" s="83">
      <c r="A38" s="27" t="inlineStr">
        <is>
          <t>100201</t>
        </is>
      </c>
      <c r="B38" s="27" t="n"/>
      <c r="C38" s="27" t="inlineStr">
        <is>
          <t>2025-03-21</t>
        </is>
      </c>
      <c r="D38" s="27" t="inlineStr">
        <is>
          <t>Q0401</t>
        </is>
      </c>
      <c r="E38" s="27" t="n"/>
      <c r="F38" s="27" t="inlineStr">
        <is>
          <t>海南精准学科技有限公司</t>
        </is>
      </c>
      <c r="G38" s="27" t="inlineStr">
        <is>
          <t>记-10</t>
        </is>
      </c>
      <c r="H38" s="27" t="n"/>
      <c r="I38" s="44" t="n">
        <v>3</v>
      </c>
      <c r="J38" s="44" t="n"/>
    </row>
    <row r="39" s="83">
      <c r="A39" s="26" t="inlineStr">
        <is>
          <t>100201</t>
        </is>
      </c>
      <c r="B39" s="26" t="n"/>
      <c r="C39" s="26" t="inlineStr">
        <is>
          <t>2025-03-14</t>
        </is>
      </c>
      <c r="D39" s="26" t="inlineStr">
        <is>
          <t>Q0801</t>
        </is>
      </c>
      <c r="E39" s="26" t="n"/>
      <c r="F39" s="26" t="inlineStr">
        <is>
          <t>海南精准学科技有限公司</t>
        </is>
      </c>
      <c r="G39" s="26" t="inlineStr">
        <is>
          <t>记-4</t>
        </is>
      </c>
      <c r="H39" s="26" t="n"/>
      <c r="I39" s="45" t="n"/>
      <c r="J39" s="44" t="n">
        <v>3</v>
      </c>
    </row>
    <row r="40" s="83">
      <c r="A40" s="26" t="inlineStr">
        <is>
          <t>100201</t>
        </is>
      </c>
      <c r="B40" s="26" t="n"/>
      <c r="C40" s="26" t="inlineStr">
        <is>
          <t>2025-03-18</t>
        </is>
      </c>
      <c r="D40" s="26" t="inlineStr">
        <is>
          <t>Q0803</t>
        </is>
      </c>
      <c r="E40" s="26" t="n"/>
      <c r="F40" s="26" t="inlineStr">
        <is>
          <t>海南精准学科技有限公司</t>
        </is>
      </c>
      <c r="G40" s="26" t="inlineStr">
        <is>
          <t>记-7</t>
        </is>
      </c>
      <c r="H40" s="26" t="n"/>
      <c r="I40" s="45" t="n"/>
      <c r="J40" s="44" t="n">
        <v>3</v>
      </c>
    </row>
    <row r="41" s="83">
      <c r="A41" s="27" t="inlineStr">
        <is>
          <t>100201</t>
        </is>
      </c>
      <c r="B41" s="27" t="n"/>
      <c r="C41" s="27" t="inlineStr">
        <is>
          <t>2025-03-05</t>
        </is>
      </c>
      <c r="D41" s="27" t="inlineStr">
        <is>
          <t>Q0804</t>
        </is>
      </c>
      <c r="E41" s="27" t="n"/>
      <c r="F41" s="27" t="inlineStr">
        <is>
          <t>海南精准学科技有限公司</t>
        </is>
      </c>
      <c r="G41" s="27" t="inlineStr">
        <is>
          <t>记-2</t>
        </is>
      </c>
      <c r="H41" s="27" t="n"/>
      <c r="I41" s="44" t="n"/>
      <c r="J41" s="44" t="n">
        <v>3</v>
      </c>
    </row>
    <row r="42" s="83">
      <c r="A42" s="26" t="inlineStr">
        <is>
          <t>100201</t>
        </is>
      </c>
      <c r="B42" s="26" t="n"/>
      <c r="C42" s="26" t="inlineStr">
        <is>
          <t>2025-03-15</t>
        </is>
      </c>
      <c r="D42" s="26" t="inlineStr">
        <is>
          <t>Q0805</t>
        </is>
      </c>
      <c r="E42" s="26" t="n"/>
      <c r="F42" s="26" t="inlineStr">
        <is>
          <t>海南精准学科技有限公司</t>
        </is>
      </c>
      <c r="G42" s="26" t="inlineStr">
        <is>
          <t>记-6</t>
        </is>
      </c>
      <c r="H42" s="26" t="n"/>
      <c r="I42" s="45" t="n"/>
      <c r="J42" s="44" t="n">
        <v>3</v>
      </c>
    </row>
    <row r="43" s="83">
      <c r="A43" s="27" t="inlineStr">
        <is>
          <t>100201</t>
        </is>
      </c>
      <c r="B43" s="27" t="n"/>
      <c r="C43" s="27" t="inlineStr">
        <is>
          <t>2025-03-03</t>
        </is>
      </c>
      <c r="D43" s="27" t="inlineStr">
        <is>
          <t>Q3101</t>
        </is>
      </c>
      <c r="E43" s="27" t="n"/>
      <c r="F43" s="27" t="inlineStr">
        <is>
          <t>海南精准学科技有限公司</t>
        </is>
      </c>
      <c r="G43" s="27" t="inlineStr">
        <is>
          <t>记-1</t>
        </is>
      </c>
      <c r="H43" s="27" t="n"/>
      <c r="I43" s="44" t="n"/>
      <c r="J43" s="44" t="n">
        <v>3</v>
      </c>
    </row>
    <row r="44" s="83">
      <c r="A44" s="26" t="inlineStr">
        <is>
          <t>100201</t>
        </is>
      </c>
      <c r="B44" s="26" t="n"/>
      <c r="C44" s="26" t="inlineStr">
        <is>
          <t>2025-03-14</t>
        </is>
      </c>
      <c r="D44" s="26" t="inlineStr">
        <is>
          <t>Q3101</t>
        </is>
      </c>
      <c r="E44" s="26" t="n"/>
      <c r="F44" s="26" t="inlineStr">
        <is>
          <t>海南精准学科技有限公司</t>
        </is>
      </c>
      <c r="G44" s="26" t="inlineStr">
        <is>
          <t>记-5</t>
        </is>
      </c>
      <c r="H44" s="26" t="n"/>
      <c r="I44" s="45" t="n"/>
      <c r="J44" s="44" t="n">
        <v>3</v>
      </c>
    </row>
    <row r="45" s="83">
      <c r="A45" s="27" t="inlineStr">
        <is>
          <t>100201</t>
        </is>
      </c>
      <c r="B45" s="27" t="n"/>
      <c r="C45" s="27" t="inlineStr">
        <is>
          <t>2025-03-21</t>
        </is>
      </c>
      <c r="D45" s="27" t="inlineStr">
        <is>
          <t>Q3105</t>
        </is>
      </c>
      <c r="E45" s="27" t="n"/>
      <c r="F45" s="27" t="inlineStr">
        <is>
          <t>海南精准学科技有限公司</t>
        </is>
      </c>
      <c r="G45" s="27" t="inlineStr">
        <is>
          <t>记-10</t>
        </is>
      </c>
      <c r="H45" s="27" t="n"/>
      <c r="I45" s="44" t="n">
        <v>3</v>
      </c>
      <c r="J45" s="44" t="n"/>
    </row>
    <row r="46" s="83">
      <c r="A46" s="27" t="inlineStr">
        <is>
          <t>100202</t>
        </is>
      </c>
      <c r="B46" s="27" t="n"/>
      <c r="C46" s="27" t="inlineStr">
        <is>
          <t>2025-03-21</t>
        </is>
      </c>
      <c r="D46" s="27" t="inlineStr">
        <is>
          <t>Q0401</t>
        </is>
      </c>
      <c r="E46" s="27" t="n"/>
      <c r="F46" s="27" t="inlineStr">
        <is>
          <t>海南精准学科技有限公司</t>
        </is>
      </c>
      <c r="G46" s="27" t="inlineStr">
        <is>
          <t>记-10</t>
        </is>
      </c>
      <c r="H46" s="27" t="n"/>
      <c r="I46" s="44" t="n"/>
      <c r="J46" s="44" t="n">
        <v>3</v>
      </c>
    </row>
    <row r="47" s="83">
      <c r="A47" s="26" t="inlineStr">
        <is>
          <t>100201</t>
        </is>
      </c>
      <c r="B47" s="26" t="n"/>
      <c r="C47" s="26" t="inlineStr">
        <is>
          <t>2025-03-18</t>
        </is>
      </c>
      <c r="D47" s="26" t="inlineStr">
        <is>
          <t>Q0302</t>
        </is>
      </c>
      <c r="E47" s="26" t="n"/>
      <c r="F47" s="26" t="inlineStr">
        <is>
          <t>杭州知识跳跳科技有限公司</t>
        </is>
      </c>
      <c r="G47" s="26" t="inlineStr">
        <is>
          <t>记-23</t>
        </is>
      </c>
      <c r="H47" s="26" t="n"/>
      <c r="I47" s="44" t="n">
        <v>3</v>
      </c>
      <c r="J47" s="45" t="n"/>
    </row>
    <row r="48" s="83">
      <c r="A48" s="27" t="inlineStr">
        <is>
          <t>100201</t>
        </is>
      </c>
      <c r="B48" s="27" t="n"/>
      <c r="C48" s="27" t="inlineStr">
        <is>
          <t>2025-03-21</t>
        </is>
      </c>
      <c r="D48" s="27" t="inlineStr">
        <is>
          <t>Q0302</t>
        </is>
      </c>
      <c r="E48" s="27" t="n"/>
      <c r="F48" s="27" t="inlineStr">
        <is>
          <t>杭州知识跳跳科技有限公司</t>
        </is>
      </c>
      <c r="G48" s="27" t="inlineStr">
        <is>
          <t>记-28</t>
        </is>
      </c>
      <c r="H48" s="27" t="n"/>
      <c r="I48" s="44" t="n">
        <v>3</v>
      </c>
      <c r="J48" s="44" t="n"/>
    </row>
    <row r="49" s="83">
      <c r="A49" s="26" t="inlineStr">
        <is>
          <t>100201</t>
        </is>
      </c>
      <c r="B49" s="26" t="n"/>
      <c r="C49" s="26" t="inlineStr">
        <is>
          <t>2025-03-21</t>
        </is>
      </c>
      <c r="D49" s="26" t="inlineStr">
        <is>
          <t>Q0302</t>
        </is>
      </c>
      <c r="E49" s="26" t="n"/>
      <c r="F49" s="26" t="inlineStr">
        <is>
          <t>杭州知识跳跳科技有限公司</t>
        </is>
      </c>
      <c r="G49" s="26" t="inlineStr">
        <is>
          <t>记-32</t>
        </is>
      </c>
      <c r="H49" s="26" t="n"/>
      <c r="I49" s="44" t="n">
        <v>3</v>
      </c>
      <c r="J49" s="45" t="n"/>
    </row>
    <row r="50" s="83">
      <c r="A50" s="27" t="inlineStr">
        <is>
          <t>100201</t>
        </is>
      </c>
      <c r="B50" s="27" t="n"/>
      <c r="C50" s="27" t="inlineStr">
        <is>
          <t>2025-03-24</t>
        </is>
      </c>
      <c r="D50" s="27" t="inlineStr">
        <is>
          <t>Q0302</t>
        </is>
      </c>
      <c r="E50" s="27" t="n"/>
      <c r="F50" s="27" t="inlineStr">
        <is>
          <t>杭州知识跳跳科技有限公司</t>
        </is>
      </c>
      <c r="G50" s="27" t="inlineStr">
        <is>
          <t>记-33</t>
        </is>
      </c>
      <c r="H50" s="27" t="n"/>
      <c r="I50" s="44" t="n">
        <v>3</v>
      </c>
      <c r="J50" s="44" t="n"/>
    </row>
    <row r="51" s="83">
      <c r="A51" s="26" t="inlineStr">
        <is>
          <t>100201</t>
        </is>
      </c>
      <c r="B51" s="26" t="n"/>
      <c r="C51" s="26" t="inlineStr">
        <is>
          <t>2025-03-25</t>
        </is>
      </c>
      <c r="D51" s="26" t="inlineStr">
        <is>
          <t>Q0302</t>
        </is>
      </c>
      <c r="E51" s="26" t="n"/>
      <c r="F51" s="26" t="inlineStr">
        <is>
          <t>杭州知识跳跳科技有限公司</t>
        </is>
      </c>
      <c r="G51" s="26" t="inlineStr">
        <is>
          <t>记-37</t>
        </is>
      </c>
      <c r="H51" s="26" t="n"/>
      <c r="I51" s="44" t="n">
        <v>3</v>
      </c>
      <c r="J51" s="45" t="n"/>
    </row>
    <row r="52" s="83">
      <c r="A52" s="27" t="inlineStr">
        <is>
          <t>100201</t>
        </is>
      </c>
      <c r="B52" s="27" t="n"/>
      <c r="C52" s="27" t="inlineStr">
        <is>
          <t>2025-03-31</t>
        </is>
      </c>
      <c r="D52" s="27" t="inlineStr">
        <is>
          <t>Q0302</t>
        </is>
      </c>
      <c r="E52" s="27" t="n"/>
      <c r="F52" s="27" t="inlineStr">
        <is>
          <t>杭州知识跳跳科技有限公司</t>
        </is>
      </c>
      <c r="G52" s="27" t="inlineStr">
        <is>
          <t>记-50</t>
        </is>
      </c>
      <c r="H52" s="27" t="n"/>
      <c r="I52" s="44" t="n">
        <v>3</v>
      </c>
      <c r="J52" s="44" t="n"/>
    </row>
    <row r="53" s="83">
      <c r="A53" s="26" t="inlineStr">
        <is>
          <t>100201</t>
        </is>
      </c>
      <c r="B53" s="26" t="n"/>
      <c r="C53" s="26" t="inlineStr">
        <is>
          <t>2025-03-31</t>
        </is>
      </c>
      <c r="D53" s="26" t="inlineStr">
        <is>
          <t>Q0302</t>
        </is>
      </c>
      <c r="E53" s="26" t="n"/>
      <c r="F53" s="26" t="inlineStr">
        <is>
          <t>杭州知识跳跳科技有限公司</t>
        </is>
      </c>
      <c r="G53" s="26" t="inlineStr">
        <is>
          <t>记-53</t>
        </is>
      </c>
      <c r="H53" s="26" t="n"/>
      <c r="I53" s="44" t="n">
        <v>3</v>
      </c>
      <c r="J53" s="45" t="n"/>
    </row>
    <row r="54" s="83">
      <c r="A54" s="26" t="inlineStr">
        <is>
          <t>100201</t>
        </is>
      </c>
      <c r="B54" s="26" t="n"/>
      <c r="C54" s="26" t="inlineStr">
        <is>
          <t>2025-03-03</t>
        </is>
      </c>
      <c r="D54" s="26" t="inlineStr">
        <is>
          <t>Q0401</t>
        </is>
      </c>
      <c r="E54" s="26" t="n"/>
      <c r="F54" s="26" t="inlineStr">
        <is>
          <t>杭州知识跳跳科技有限公司</t>
        </is>
      </c>
      <c r="G54" s="26" t="inlineStr">
        <is>
          <t>记-2</t>
        </is>
      </c>
      <c r="H54" s="26" t="n"/>
      <c r="I54" s="44" t="n">
        <v>3</v>
      </c>
      <c r="J54" s="45" t="n"/>
    </row>
    <row r="55" s="83">
      <c r="A55" s="27" t="inlineStr">
        <is>
          <t>100201</t>
        </is>
      </c>
      <c r="B55" s="27" t="n"/>
      <c r="C55" s="27" t="inlineStr">
        <is>
          <t>2025-03-03</t>
        </is>
      </c>
      <c r="D55" s="27" t="inlineStr">
        <is>
          <t>Q0401</t>
        </is>
      </c>
      <c r="E55" s="27" t="n"/>
      <c r="F55" s="27" t="inlineStr">
        <is>
          <t>杭州知识跳跳科技有限公司</t>
        </is>
      </c>
      <c r="G55" s="27" t="inlineStr">
        <is>
          <t>记-2</t>
        </is>
      </c>
      <c r="H55" s="27" t="n"/>
      <c r="I55" s="44" t="n"/>
      <c r="J55" s="44" t="n">
        <v>3</v>
      </c>
    </row>
    <row r="56" s="83">
      <c r="A56" s="26" t="inlineStr">
        <is>
          <t>100201</t>
        </is>
      </c>
      <c r="B56" s="26" t="n"/>
      <c r="C56" s="26" t="inlineStr">
        <is>
          <t>2025-03-04</t>
        </is>
      </c>
      <c r="D56" s="26" t="inlineStr">
        <is>
          <t>Q0101</t>
        </is>
      </c>
      <c r="E56" s="26" t="n"/>
      <c r="F56" s="26" t="inlineStr">
        <is>
          <t>杭州知识跳跳科技有限公司</t>
        </is>
      </c>
      <c r="G56" s="26" t="inlineStr">
        <is>
          <t>记-8</t>
        </is>
      </c>
      <c r="H56" s="26" t="n"/>
      <c r="I56" s="45" t="n"/>
      <c r="J56" s="44" t="n">
        <v>3</v>
      </c>
    </row>
    <row r="57" s="83">
      <c r="A57" s="27" t="inlineStr">
        <is>
          <t>100201</t>
        </is>
      </c>
      <c r="B57" s="27" t="n"/>
      <c r="C57" s="27" t="inlineStr">
        <is>
          <t>2025-03-14</t>
        </is>
      </c>
      <c r="D57" s="27" t="inlineStr">
        <is>
          <t>Q0601</t>
        </is>
      </c>
      <c r="E57" s="27" t="n"/>
      <c r="F57" s="27" t="inlineStr">
        <is>
          <t>杭州知识跳跳科技有限公司</t>
        </is>
      </c>
      <c r="G57" s="27" t="inlineStr">
        <is>
          <t>记-20</t>
        </is>
      </c>
      <c r="H57" s="27" t="n"/>
      <c r="I57" s="44" t="n"/>
      <c r="J57" s="44" t="n">
        <v>3</v>
      </c>
    </row>
    <row r="58" s="83">
      <c r="A58" s="26" t="inlineStr">
        <is>
          <t>100201</t>
        </is>
      </c>
      <c r="B58" s="26" t="n"/>
      <c r="C58" s="26" t="inlineStr">
        <is>
          <t>2025-03-31</t>
        </is>
      </c>
      <c r="D58" s="26" t="inlineStr">
        <is>
          <t>Q0601</t>
        </is>
      </c>
      <c r="E58" s="26" t="n"/>
      <c r="F58" s="26" t="inlineStr">
        <is>
          <t>杭州知识跳跳科技有限公司</t>
        </is>
      </c>
      <c r="G58" s="26" t="inlineStr">
        <is>
          <t>记-51</t>
        </is>
      </c>
      <c r="H58" s="26" t="n"/>
      <c r="I58" s="45" t="n"/>
      <c r="J58" s="44" t="n">
        <v>3</v>
      </c>
    </row>
    <row r="59" s="83">
      <c r="A59" s="27" t="inlineStr">
        <is>
          <t>100201</t>
        </is>
      </c>
      <c r="B59" s="27" t="n"/>
      <c r="C59" s="27" t="inlineStr">
        <is>
          <t>2025-03-14</t>
        </is>
      </c>
      <c r="D59" s="27" t="inlineStr">
        <is>
          <t>Q0801</t>
        </is>
      </c>
      <c r="E59" s="27" t="n"/>
      <c r="F59" s="27" t="inlineStr">
        <is>
          <t>杭州知识跳跳科技有限公司</t>
        </is>
      </c>
      <c r="G59" s="27" t="inlineStr">
        <is>
          <t>记-22</t>
        </is>
      </c>
      <c r="H59" s="27" t="n"/>
      <c r="I59" s="44" t="n"/>
      <c r="J59" s="44" t="n">
        <v>3</v>
      </c>
    </row>
    <row r="60" s="83">
      <c r="A60" s="26" t="inlineStr">
        <is>
          <t>100201</t>
        </is>
      </c>
      <c r="B60" s="26" t="n"/>
      <c r="C60" s="26" t="inlineStr">
        <is>
          <t>2025-03-04</t>
        </is>
      </c>
      <c r="D60" s="26" t="inlineStr">
        <is>
          <t>Q0803</t>
        </is>
      </c>
      <c r="E60" s="26" t="n"/>
      <c r="F60" s="26" t="inlineStr">
        <is>
          <t>杭州知识跳跳科技有限公司</t>
        </is>
      </c>
      <c r="G60" s="26" t="inlineStr">
        <is>
          <t>记-7</t>
        </is>
      </c>
      <c r="H60" s="26" t="n"/>
      <c r="I60" s="45" t="n"/>
      <c r="J60" s="44" t="n">
        <v>3</v>
      </c>
    </row>
    <row r="61" s="83">
      <c r="A61" s="27" t="inlineStr">
        <is>
          <t>100201</t>
        </is>
      </c>
      <c r="B61" s="27" t="n"/>
      <c r="C61" s="27" t="inlineStr">
        <is>
          <t>2025-03-21</t>
        </is>
      </c>
      <c r="D61" s="27" t="inlineStr">
        <is>
          <t>Q0804</t>
        </is>
      </c>
      <c r="E61" s="27" t="n"/>
      <c r="F61" s="27" t="inlineStr">
        <is>
          <t>杭州知识跳跳科技有限公司</t>
        </is>
      </c>
      <c r="G61" s="27" t="inlineStr">
        <is>
          <t>记-29</t>
        </is>
      </c>
      <c r="H61" s="27" t="n"/>
      <c r="I61" s="44" t="n"/>
      <c r="J61" s="44" t="n">
        <v>3</v>
      </c>
    </row>
    <row r="62" s="83">
      <c r="A62" s="26" t="inlineStr">
        <is>
          <t>100201</t>
        </is>
      </c>
      <c r="B62" s="26" t="n"/>
      <c r="C62" s="26" t="inlineStr">
        <is>
          <t>2025-03-15</t>
        </is>
      </c>
      <c r="D62" s="26" t="inlineStr">
        <is>
          <t>Q0805</t>
        </is>
      </c>
      <c r="E62" s="26" t="n"/>
      <c r="F62" s="26" t="inlineStr">
        <is>
          <t>杭州知识跳跳科技有限公司</t>
        </is>
      </c>
      <c r="G62" s="26" t="inlineStr">
        <is>
          <t>记-24</t>
        </is>
      </c>
      <c r="H62" s="26" t="n"/>
      <c r="I62" s="45" t="n"/>
      <c r="J62" s="44" t="n">
        <v>3</v>
      </c>
    </row>
    <row r="63" s="83">
      <c r="A63" s="26" t="inlineStr">
        <is>
          <t>100201</t>
        </is>
      </c>
      <c r="B63" s="26" t="n"/>
      <c r="C63" s="26" t="inlineStr">
        <is>
          <t>2025-03-13</t>
        </is>
      </c>
      <c r="D63" s="26" t="inlineStr">
        <is>
          <t>Q0808</t>
        </is>
      </c>
      <c r="E63" s="26" t="n"/>
      <c r="F63" s="26" t="inlineStr">
        <is>
          <t>杭州知识跳跳科技有限公司</t>
        </is>
      </c>
      <c r="G63" s="26" t="inlineStr">
        <is>
          <t>记-16</t>
        </is>
      </c>
      <c r="H63" s="26" t="n"/>
      <c r="I63" s="45" t="n"/>
      <c r="J63" s="44" t="n">
        <v>3</v>
      </c>
    </row>
    <row r="64" s="83">
      <c r="A64" s="27" t="inlineStr">
        <is>
          <t>100201</t>
        </is>
      </c>
      <c r="B64" s="27" t="n"/>
      <c r="C64" s="27" t="inlineStr">
        <is>
          <t>2025-03-20</t>
        </is>
      </c>
      <c r="D64" s="27" t="inlineStr">
        <is>
          <t>Q0809</t>
        </is>
      </c>
      <c r="E64" s="27" t="n"/>
      <c r="F64" s="27" t="inlineStr">
        <is>
          <t>杭州知识跳跳科技有限公司</t>
        </is>
      </c>
      <c r="G64" s="27" t="inlineStr">
        <is>
          <t>记-26</t>
        </is>
      </c>
      <c r="H64" s="27" t="n"/>
      <c r="I64" s="44" t="n"/>
      <c r="J64" s="44" t="n">
        <v>3</v>
      </c>
    </row>
    <row r="65" s="83">
      <c r="A65" s="26" t="inlineStr">
        <is>
          <t>100201</t>
        </is>
      </c>
      <c r="B65" s="26" t="n"/>
      <c r="C65" s="26" t="inlineStr">
        <is>
          <t>2025-03-20</t>
        </is>
      </c>
      <c r="D65" s="26" t="inlineStr">
        <is>
          <t>Q0809</t>
        </is>
      </c>
      <c r="E65" s="26" t="n"/>
      <c r="F65" s="26" t="inlineStr">
        <is>
          <t>杭州知识跳跳科技有限公司</t>
        </is>
      </c>
      <c r="G65" s="26" t="inlineStr">
        <is>
          <t>记-27</t>
        </is>
      </c>
      <c r="H65" s="26" t="n"/>
      <c r="I65" s="45" t="n"/>
      <c r="J65" s="44" t="n">
        <v>3</v>
      </c>
    </row>
    <row r="66" s="83">
      <c r="A66" s="27" t="inlineStr">
        <is>
          <t>100201</t>
        </is>
      </c>
      <c r="B66" s="27" t="n"/>
      <c r="C66" s="27" t="inlineStr">
        <is>
          <t>2025-03-21</t>
        </is>
      </c>
      <c r="D66" s="27" t="inlineStr">
        <is>
          <t>Q1401</t>
        </is>
      </c>
      <c r="E66" s="27" t="n"/>
      <c r="F66" s="27" t="inlineStr">
        <is>
          <t>杭州知识跳跳科技有限公司</t>
        </is>
      </c>
      <c r="G66" s="27" t="inlineStr">
        <is>
          <t>记-30</t>
        </is>
      </c>
      <c r="H66" s="27" t="n"/>
      <c r="I66" s="44" t="n"/>
      <c r="J66" s="44" t="n">
        <v>3</v>
      </c>
    </row>
    <row r="67" s="83">
      <c r="A67" s="26" t="inlineStr">
        <is>
          <t>100201</t>
        </is>
      </c>
      <c r="B67" s="26" t="n"/>
      <c r="C67" s="26" t="inlineStr">
        <is>
          <t>2025-03-21</t>
        </is>
      </c>
      <c r="D67" s="26" t="inlineStr">
        <is>
          <t>Q1401</t>
        </is>
      </c>
      <c r="E67" s="26" t="n"/>
      <c r="F67" s="26" t="inlineStr">
        <is>
          <t>杭州知识跳跳科技有限公司</t>
        </is>
      </c>
      <c r="G67" s="26" t="inlineStr">
        <is>
          <t>记-31</t>
        </is>
      </c>
      <c r="H67" s="26" t="n"/>
      <c r="I67" s="45" t="n"/>
      <c r="J67" s="44" t="n">
        <v>3</v>
      </c>
    </row>
    <row r="68" s="83">
      <c r="A68" s="27" t="inlineStr">
        <is>
          <t>100201</t>
        </is>
      </c>
      <c r="B68" s="27" t="n"/>
      <c r="C68" s="27" t="inlineStr">
        <is>
          <t>2025-03-04</t>
        </is>
      </c>
      <c r="D68" s="27" t="inlineStr">
        <is>
          <t>Q1501</t>
        </is>
      </c>
      <c r="E68" s="27" t="n"/>
      <c r="F68" s="27" t="inlineStr">
        <is>
          <t>杭州知识跳跳科技有限公司</t>
        </is>
      </c>
      <c r="G68" s="27" t="inlineStr">
        <is>
          <t>记-5</t>
        </is>
      </c>
      <c r="H68" s="27" t="n"/>
      <c r="I68" s="44" t="n"/>
      <c r="J68" s="44" t="n">
        <v>3</v>
      </c>
    </row>
    <row r="69" s="83">
      <c r="A69" s="26" t="inlineStr">
        <is>
          <t>100201</t>
        </is>
      </c>
      <c r="B69" s="26" t="n"/>
      <c r="C69" s="26" t="inlineStr">
        <is>
          <t>2025-03-04</t>
        </is>
      </c>
      <c r="D69" s="26" t="inlineStr">
        <is>
          <t>Q1501</t>
        </is>
      </c>
      <c r="E69" s="26" t="n"/>
      <c r="F69" s="26" t="inlineStr">
        <is>
          <t>杭州知识跳跳科技有限公司</t>
        </is>
      </c>
      <c r="G69" s="26" t="inlineStr">
        <is>
          <t>记-9</t>
        </is>
      </c>
      <c r="H69" s="26" t="n"/>
      <c r="I69" s="45" t="n"/>
      <c r="J69" s="44" t="n">
        <v>3</v>
      </c>
    </row>
    <row r="70" s="83">
      <c r="A70" s="27" t="inlineStr">
        <is>
          <t>100201</t>
        </is>
      </c>
      <c r="B70" s="27" t="n"/>
      <c r="C70" s="27" t="inlineStr">
        <is>
          <t>2025-03-11</t>
        </is>
      </c>
      <c r="D70" s="27" t="inlineStr">
        <is>
          <t>Q1501</t>
        </is>
      </c>
      <c r="E70" s="27" t="n"/>
      <c r="F70" s="27" t="inlineStr">
        <is>
          <t>杭州知识跳跳科技有限公司</t>
        </is>
      </c>
      <c r="G70" s="27" t="inlineStr">
        <is>
          <t>记-15</t>
        </is>
      </c>
      <c r="H70" s="27" t="n"/>
      <c r="I70" s="44" t="n"/>
      <c r="J70" s="44" t="n">
        <v>3</v>
      </c>
    </row>
    <row r="71" s="83">
      <c r="A71" s="26" t="inlineStr">
        <is>
          <t>100201</t>
        </is>
      </c>
      <c r="B71" s="26" t="n"/>
      <c r="C71" s="26" t="inlineStr">
        <is>
          <t>2025-03-13</t>
        </is>
      </c>
      <c r="D71" s="26" t="inlineStr">
        <is>
          <t>Q1501</t>
        </is>
      </c>
      <c r="E71" s="26" t="n"/>
      <c r="F71" s="26" t="inlineStr">
        <is>
          <t>杭州知识跳跳科技有限公司</t>
        </is>
      </c>
      <c r="G71" s="26" t="inlineStr">
        <is>
          <t>记-17</t>
        </is>
      </c>
      <c r="H71" s="26" t="n"/>
      <c r="I71" s="45" t="n"/>
      <c r="J71" s="44" t="n">
        <v>3</v>
      </c>
    </row>
    <row r="72" s="83">
      <c r="A72" s="27" t="inlineStr">
        <is>
          <t>100201</t>
        </is>
      </c>
      <c r="B72" s="27" t="n"/>
      <c r="C72" s="27" t="inlineStr">
        <is>
          <t>2025-03-14</t>
        </is>
      </c>
      <c r="D72" s="27" t="inlineStr">
        <is>
          <t>Q1501</t>
        </is>
      </c>
      <c r="E72" s="27" t="n"/>
      <c r="F72" s="27" t="inlineStr">
        <is>
          <t>杭州知识跳跳科技有限公司</t>
        </is>
      </c>
      <c r="G72" s="27" t="inlineStr">
        <is>
          <t>记-19</t>
        </is>
      </c>
      <c r="H72" s="27" t="n"/>
      <c r="I72" s="44" t="n"/>
      <c r="J72" s="44" t="n">
        <v>3</v>
      </c>
    </row>
    <row r="73" s="83">
      <c r="A73" s="26" t="inlineStr">
        <is>
          <t>100201</t>
        </is>
      </c>
      <c r="B73" s="26" t="n"/>
      <c r="C73" s="26" t="inlineStr">
        <is>
          <t>2025-03-14</t>
        </is>
      </c>
      <c r="D73" s="26" t="inlineStr">
        <is>
          <t>Q1501</t>
        </is>
      </c>
      <c r="E73" s="26" t="n"/>
      <c r="F73" s="26" t="inlineStr">
        <is>
          <t>杭州知识跳跳科技有限公司</t>
        </is>
      </c>
      <c r="G73" s="26" t="inlineStr">
        <is>
          <t>记-21</t>
        </is>
      </c>
      <c r="H73" s="26" t="n"/>
      <c r="I73" s="45" t="n"/>
      <c r="J73" s="44" t="n">
        <v>3</v>
      </c>
    </row>
    <row r="74" s="83">
      <c r="A74" s="27" t="inlineStr">
        <is>
          <t>100201</t>
        </is>
      </c>
      <c r="B74" s="27" t="n"/>
      <c r="C74" s="27" t="inlineStr">
        <is>
          <t>2025-03-04</t>
        </is>
      </c>
      <c r="D74" s="27" t="inlineStr">
        <is>
          <t>Q1505</t>
        </is>
      </c>
      <c r="E74" s="27" t="n"/>
      <c r="F74" s="27" t="inlineStr">
        <is>
          <t>杭州知识跳跳科技有限公司</t>
        </is>
      </c>
      <c r="G74" s="27" t="inlineStr">
        <is>
          <t>记-6</t>
        </is>
      </c>
      <c r="H74" s="27" t="n"/>
      <c r="I74" s="44" t="n"/>
      <c r="J74" s="44" t="n">
        <v>3</v>
      </c>
    </row>
    <row r="75" s="83">
      <c r="A75" s="26" t="inlineStr">
        <is>
          <t>100201</t>
        </is>
      </c>
      <c r="B75" s="26" t="n"/>
      <c r="C75" s="26" t="inlineStr">
        <is>
          <t>2025-03-10</t>
        </is>
      </c>
      <c r="D75" s="26" t="inlineStr">
        <is>
          <t>Q1505</t>
        </is>
      </c>
      <c r="E75" s="26" t="n"/>
      <c r="F75" s="26" t="inlineStr">
        <is>
          <t>杭州知识跳跳科技有限公司</t>
        </is>
      </c>
      <c r="G75" s="26" t="inlineStr">
        <is>
          <t>记-14</t>
        </is>
      </c>
      <c r="H75" s="26" t="n"/>
      <c r="I75" s="45" t="n"/>
      <c r="J75" s="44" t="n">
        <v>3</v>
      </c>
    </row>
    <row r="76" s="83">
      <c r="A76" s="27" t="inlineStr">
        <is>
          <t>100201</t>
        </is>
      </c>
      <c r="B76" s="27" t="n"/>
      <c r="C76" s="27" t="inlineStr">
        <is>
          <t>2025-03-27</t>
        </is>
      </c>
      <c r="D76" s="27" t="inlineStr">
        <is>
          <t>Q1505</t>
        </is>
      </c>
      <c r="E76" s="27" t="n"/>
      <c r="F76" s="27" t="inlineStr">
        <is>
          <t>杭州知识跳跳科技有限公司</t>
        </is>
      </c>
      <c r="G76" s="27" t="inlineStr">
        <is>
          <t>记-49</t>
        </is>
      </c>
      <c r="H76" s="27" t="n"/>
      <c r="I76" s="44" t="n"/>
      <c r="J76" s="44" t="n">
        <v>3</v>
      </c>
    </row>
    <row r="77" s="83">
      <c r="A77" s="26" t="inlineStr">
        <is>
          <t>100201</t>
        </is>
      </c>
      <c r="B77" s="26" t="n"/>
      <c r="C77" s="26" t="inlineStr">
        <is>
          <t>2025-03-04</t>
        </is>
      </c>
      <c r="D77" s="26" t="inlineStr">
        <is>
          <t>Q1506</t>
        </is>
      </c>
      <c r="E77" s="26" t="n"/>
      <c r="F77" s="26" t="inlineStr">
        <is>
          <t>杭州知识跳跳科技有限公司</t>
        </is>
      </c>
      <c r="G77" s="26" t="inlineStr">
        <is>
          <t>记-4</t>
        </is>
      </c>
      <c r="H77" s="26" t="n"/>
      <c r="I77" s="45" t="n"/>
      <c r="J77" s="44" t="n">
        <v>3</v>
      </c>
    </row>
    <row r="78" s="83">
      <c r="A78" s="26" t="inlineStr">
        <is>
          <t>100201</t>
        </is>
      </c>
      <c r="B78" s="26" t="n"/>
      <c r="C78" s="26" t="inlineStr">
        <is>
          <t>2025-03-03</t>
        </is>
      </c>
      <c r="D78" s="26" t="inlineStr">
        <is>
          <t>Q2705</t>
        </is>
      </c>
      <c r="E78" s="26" t="n"/>
      <c r="F78" s="26" t="inlineStr">
        <is>
          <t>杭州知识跳跳科技有限公司</t>
        </is>
      </c>
      <c r="G78" s="26" t="inlineStr">
        <is>
          <t>记-1</t>
        </is>
      </c>
      <c r="H78" s="26" t="n"/>
      <c r="I78" s="45" t="n"/>
      <c r="J78" s="44" t="n">
        <v>3</v>
      </c>
    </row>
    <row r="79" s="83">
      <c r="A79" s="26" t="inlineStr">
        <is>
          <t>100201</t>
        </is>
      </c>
      <c r="B79" s="26" t="n"/>
      <c r="C79" s="26" t="inlineStr">
        <is>
          <t>2025-03-05</t>
        </is>
      </c>
      <c r="D79" s="26" t="inlineStr">
        <is>
          <t>Q2904</t>
        </is>
      </c>
      <c r="E79" s="26" t="n"/>
      <c r="F79" s="26" t="inlineStr">
        <is>
          <t>杭州知识跳跳科技有限公司</t>
        </is>
      </c>
      <c r="G79" s="26" t="inlineStr">
        <is>
          <t>记-11</t>
        </is>
      </c>
      <c r="H79" s="26" t="n"/>
      <c r="I79" s="45" t="n"/>
      <c r="J79" s="44" t="n">
        <v>3</v>
      </c>
    </row>
    <row r="80" s="83">
      <c r="A80" s="26" t="inlineStr">
        <is>
          <t>100201</t>
        </is>
      </c>
      <c r="B80" s="26" t="n"/>
      <c r="C80" s="26" t="inlineStr">
        <is>
          <t>2025-03-06</t>
        </is>
      </c>
      <c r="D80" s="26" t="inlineStr">
        <is>
          <t>Q2907</t>
        </is>
      </c>
      <c r="E80" s="26" t="n"/>
      <c r="F80" s="26" t="inlineStr">
        <is>
          <t>杭州知识跳跳科技有限公司</t>
        </is>
      </c>
      <c r="G80" s="26" t="inlineStr">
        <is>
          <t>记-13</t>
        </is>
      </c>
      <c r="H80" s="26" t="n"/>
      <c r="I80" s="45" t="n"/>
      <c r="J80" s="44" t="n">
        <v>3</v>
      </c>
    </row>
    <row r="81" s="83">
      <c r="A81" s="26" t="inlineStr">
        <is>
          <t>100201</t>
        </is>
      </c>
      <c r="B81" s="26" t="n"/>
      <c r="C81" s="26" t="inlineStr">
        <is>
          <t>2025-03-13</t>
        </is>
      </c>
      <c r="D81" s="26" t="inlineStr">
        <is>
          <t>Q2908</t>
        </is>
      </c>
      <c r="E81" s="26" t="n"/>
      <c r="F81" s="26" t="inlineStr">
        <is>
          <t>杭州知识跳跳科技有限公司</t>
        </is>
      </c>
      <c r="G81" s="26" t="inlineStr">
        <is>
          <t>记-18</t>
        </is>
      </c>
      <c r="H81" s="26" t="n"/>
      <c r="I81" s="45" t="n"/>
      <c r="J81" s="44" t="n">
        <v>3</v>
      </c>
    </row>
    <row r="82" s="83">
      <c r="A82" s="27" t="inlineStr">
        <is>
          <t>100201</t>
        </is>
      </c>
      <c r="B82" s="27" t="n"/>
      <c r="C82" s="27" t="inlineStr">
        <is>
          <t>2025-03-19</t>
        </is>
      </c>
      <c r="D82" s="27" t="inlineStr">
        <is>
          <t>Q2908</t>
        </is>
      </c>
      <c r="E82" s="27" t="n"/>
      <c r="F82" s="27" t="inlineStr">
        <is>
          <t>杭州知识跳跳科技有限公司</t>
        </is>
      </c>
      <c r="G82" s="27" t="inlineStr">
        <is>
          <t>记-25</t>
        </is>
      </c>
      <c r="H82" s="27" t="n"/>
      <c r="I82" s="44" t="n"/>
      <c r="J82" s="44" t="n">
        <v>3</v>
      </c>
    </row>
    <row r="83" s="83">
      <c r="A83" s="26" t="inlineStr">
        <is>
          <t>100201</t>
        </is>
      </c>
      <c r="B83" s="26" t="n"/>
      <c r="C83" s="26" t="inlineStr">
        <is>
          <t>2025-03-24</t>
        </is>
      </c>
      <c r="D83" s="26" t="inlineStr">
        <is>
          <t>Q2908</t>
        </is>
      </c>
      <c r="E83" s="26" t="n"/>
      <c r="F83" s="26" t="inlineStr">
        <is>
          <t>杭州知识跳跳科技有限公司</t>
        </is>
      </c>
      <c r="G83" s="26" t="inlineStr">
        <is>
          <t>记-34</t>
        </is>
      </c>
      <c r="H83" s="26" t="n"/>
      <c r="I83" s="45" t="n"/>
      <c r="J83" s="44" t="n">
        <v>3</v>
      </c>
    </row>
    <row r="84" s="83">
      <c r="A84" s="27" t="inlineStr">
        <is>
          <t>100201</t>
        </is>
      </c>
      <c r="B84" s="27" t="n"/>
      <c r="C84" s="27" t="inlineStr">
        <is>
          <t>2025-03-25</t>
        </is>
      </c>
      <c r="D84" s="27" t="inlineStr">
        <is>
          <t>Q2908</t>
        </is>
      </c>
      <c r="E84" s="27" t="n"/>
      <c r="F84" s="27" t="inlineStr">
        <is>
          <t>杭州知识跳跳科技有限公司</t>
        </is>
      </c>
      <c r="G84" s="27" t="inlineStr">
        <is>
          <t>记-38</t>
        </is>
      </c>
      <c r="H84" s="27" t="n"/>
      <c r="I84" s="44" t="n"/>
      <c r="J84" s="44" t="n">
        <v>3</v>
      </c>
    </row>
    <row r="85" s="83">
      <c r="A85" s="26" t="inlineStr">
        <is>
          <t>100201</t>
        </is>
      </c>
      <c r="B85" s="26" t="n"/>
      <c r="C85" s="26" t="inlineStr">
        <is>
          <t>2025-03-05</t>
        </is>
      </c>
      <c r="D85" s="26" t="inlineStr">
        <is>
          <t>Q3101</t>
        </is>
      </c>
      <c r="E85" s="26" t="n"/>
      <c r="F85" s="26" t="inlineStr">
        <is>
          <t>杭州知识跳跳科技有限公司</t>
        </is>
      </c>
      <c r="G85" s="26" t="inlineStr">
        <is>
          <t>记-12</t>
        </is>
      </c>
      <c r="H85" s="26" t="n"/>
      <c r="I85" s="45" t="n"/>
      <c r="J85" s="44" t="n">
        <v>3</v>
      </c>
    </row>
    <row r="86" s="83">
      <c r="A86" s="27" t="inlineStr">
        <is>
          <t>100201</t>
        </is>
      </c>
      <c r="B86" s="27" t="n"/>
      <c r="C86" s="27" t="inlineStr">
        <is>
          <t>2025-03-21</t>
        </is>
      </c>
      <c r="D86" s="27" t="inlineStr">
        <is>
          <t>Q3103</t>
        </is>
      </c>
      <c r="E86" s="27" t="n"/>
      <c r="F86" s="27" t="inlineStr">
        <is>
          <t>杭州知识跳跳科技有限公司</t>
        </is>
      </c>
      <c r="G86" s="27" t="inlineStr">
        <is>
          <t>记-30</t>
        </is>
      </c>
      <c r="H86" s="27" t="n"/>
      <c r="I86" s="44" t="n"/>
      <c r="J86" s="44" t="n">
        <v>3</v>
      </c>
    </row>
    <row r="87" s="83">
      <c r="A87" s="26" t="inlineStr">
        <is>
          <t>100201</t>
        </is>
      </c>
      <c r="B87" s="26" t="n"/>
      <c r="C87" s="26" t="inlineStr">
        <is>
          <t>2025-03-21</t>
        </is>
      </c>
      <c r="D87" s="26" t="inlineStr">
        <is>
          <t>Q3103</t>
        </is>
      </c>
      <c r="E87" s="26" t="n"/>
      <c r="F87" s="26" t="inlineStr">
        <is>
          <t>杭州知识跳跳科技有限公司</t>
        </is>
      </c>
      <c r="G87" s="26" t="inlineStr">
        <is>
          <t>记-31</t>
        </is>
      </c>
      <c r="H87" s="26" t="n"/>
      <c r="I87" s="45" t="n"/>
      <c r="J87" s="44" t="n">
        <v>3</v>
      </c>
    </row>
    <row r="88" s="83">
      <c r="A88" s="27" t="inlineStr">
        <is>
          <t>100201</t>
        </is>
      </c>
      <c r="B88" s="27" t="n"/>
      <c r="C88" s="27" t="inlineStr">
        <is>
          <t>2025-03-05</t>
        </is>
      </c>
      <c r="D88" s="27" t="inlineStr">
        <is>
          <t>Q3301</t>
        </is>
      </c>
      <c r="E88" s="27" t="n"/>
      <c r="F88" s="27" t="inlineStr">
        <is>
          <t>杭州知识跳跳科技有限公司</t>
        </is>
      </c>
      <c r="G88" s="27" t="inlineStr">
        <is>
          <t>记-10</t>
        </is>
      </c>
      <c r="H88" s="27" t="n"/>
      <c r="I88" s="44" t="n"/>
      <c r="J88" s="44" t="n">
        <v>3</v>
      </c>
    </row>
    <row r="89" s="83">
      <c r="A89" s="26" t="inlineStr">
        <is>
          <t>100201</t>
        </is>
      </c>
      <c r="B89" s="26" t="n"/>
      <c r="C89" s="26" t="inlineStr">
        <is>
          <t>2025-03-18</t>
        </is>
      </c>
      <c r="D89" s="26" t="inlineStr">
        <is>
          <t>Q3301</t>
        </is>
      </c>
      <c r="E89" s="26" t="n"/>
      <c r="F89" s="26" t="inlineStr">
        <is>
          <t>杭州知识跳跳科技有限公司</t>
        </is>
      </c>
      <c r="G89" s="26" t="inlineStr">
        <is>
          <t>记-23</t>
        </is>
      </c>
      <c r="H89" s="26" t="n"/>
      <c r="I89" s="44" t="n">
        <v>3</v>
      </c>
      <c r="J89" s="45" t="n"/>
    </row>
    <row r="90" s="83">
      <c r="A90" s="27" t="inlineStr">
        <is>
          <t>100201</t>
        </is>
      </c>
      <c r="B90" s="27" t="n"/>
      <c r="C90" s="27" t="inlineStr">
        <is>
          <t>2025-03-31</t>
        </is>
      </c>
      <c r="D90" s="27" t="inlineStr">
        <is>
          <t>Q3301</t>
        </is>
      </c>
      <c r="E90" s="27" t="n"/>
      <c r="F90" s="27" t="inlineStr">
        <is>
          <t>杭州知识跳跳科技有限公司</t>
        </is>
      </c>
      <c r="G90" s="27" t="inlineStr">
        <is>
          <t>记-50</t>
        </is>
      </c>
      <c r="H90" s="27" t="n"/>
      <c r="I90" s="44" t="n">
        <v>3</v>
      </c>
      <c r="J90" s="44" t="n"/>
    </row>
    <row r="91" s="83">
      <c r="A91" s="26" t="inlineStr">
        <is>
          <t>101203</t>
        </is>
      </c>
      <c r="B91" s="26" t="n"/>
      <c r="C91" s="26" t="inlineStr">
        <is>
          <t>2025-03-31</t>
        </is>
      </c>
      <c r="D91" s="26" t="inlineStr">
        <is>
          <t>Q2002</t>
        </is>
      </c>
      <c r="E91" s="26" t="n"/>
      <c r="F91" s="26" t="inlineStr">
        <is>
          <t>杭州知识跳跳科技有限公司</t>
        </is>
      </c>
      <c r="G91" s="26" t="inlineStr">
        <is>
          <t>记-52</t>
        </is>
      </c>
      <c r="H91" s="26" t="n"/>
      <c r="I91" s="45" t="n"/>
      <c r="J91" s="44" t="n">
        <v>3</v>
      </c>
    </row>
    <row r="92" s="83">
      <c r="A92" s="26" t="inlineStr">
        <is>
          <t>101203</t>
        </is>
      </c>
      <c r="B92" s="26" t="n"/>
      <c r="C92" s="26" t="inlineStr">
        <is>
          <t>2025-03-31</t>
        </is>
      </c>
      <c r="D92" s="26" t="inlineStr">
        <is>
          <t>Q2205</t>
        </is>
      </c>
      <c r="E92" s="26" t="n"/>
      <c r="F92" s="26" t="inlineStr">
        <is>
          <t>杭州知识跳跳科技有限公司</t>
        </is>
      </c>
      <c r="G92" s="26" t="inlineStr">
        <is>
          <t>记-52</t>
        </is>
      </c>
      <c r="H92" s="26" t="n"/>
      <c r="I92" s="45" t="n"/>
      <c r="J92" s="44" t="n">
        <v>3</v>
      </c>
    </row>
    <row r="93" s="83">
      <c r="A93" s="27" t="inlineStr">
        <is>
          <t>100201</t>
        </is>
      </c>
      <c r="B93" s="27" t="n"/>
      <c r="C93" s="27" t="inlineStr">
        <is>
          <t>2025-03-21</t>
        </is>
      </c>
      <c r="D93" s="27" t="inlineStr">
        <is>
          <t>Q0302</t>
        </is>
      </c>
      <c r="E93" s="27" t="n"/>
      <c r="F93" s="27" t="inlineStr">
        <is>
          <t>浙江精准学科技有限公司</t>
        </is>
      </c>
      <c r="G93" s="27" t="inlineStr">
        <is>
          <t>记-85</t>
        </is>
      </c>
      <c r="H93" s="27" t="n"/>
      <c r="I93" s="44" t="n">
        <v>3</v>
      </c>
      <c r="J93" s="44" t="n"/>
    </row>
    <row r="94" s="83">
      <c r="A94" s="26" t="inlineStr">
        <is>
          <t>100201</t>
        </is>
      </c>
      <c r="B94" s="26" t="n"/>
      <c r="C94" s="26" t="inlineStr">
        <is>
          <t>2025-03-21</t>
        </is>
      </c>
      <c r="D94" s="26" t="inlineStr">
        <is>
          <t>Q0302</t>
        </is>
      </c>
      <c r="E94" s="26" t="n"/>
      <c r="F94" s="26" t="inlineStr">
        <is>
          <t>浙江精准学科技有限公司</t>
        </is>
      </c>
      <c r="G94" s="26" t="inlineStr">
        <is>
          <t>记-86</t>
        </is>
      </c>
      <c r="H94" s="26" t="n"/>
      <c r="I94" s="44" t="n">
        <v>3</v>
      </c>
      <c r="J94" s="45" t="n"/>
    </row>
    <row r="95" s="83">
      <c r="A95" s="27" t="inlineStr">
        <is>
          <t>100201</t>
        </is>
      </c>
      <c r="B95" s="27" t="n"/>
      <c r="C95" s="27" t="inlineStr">
        <is>
          <t>2025-03-21</t>
        </is>
      </c>
      <c r="D95" s="27" t="inlineStr">
        <is>
          <t>Q0302</t>
        </is>
      </c>
      <c r="E95" s="27" t="n"/>
      <c r="F95" s="27" t="inlineStr">
        <is>
          <t>浙江精准学科技有限公司</t>
        </is>
      </c>
      <c r="G95" s="27" t="inlineStr">
        <is>
          <t>记-94</t>
        </is>
      </c>
      <c r="H95" s="27" t="n"/>
      <c r="I95" s="44" t="n">
        <v>3</v>
      </c>
      <c r="J95" s="44" t="n"/>
    </row>
    <row r="96" s="83">
      <c r="A96" s="26" t="inlineStr">
        <is>
          <t>100201</t>
        </is>
      </c>
      <c r="B96" s="26" t="n"/>
      <c r="C96" s="26" t="inlineStr">
        <is>
          <t>2025-03-19</t>
        </is>
      </c>
      <c r="D96" s="26" t="inlineStr">
        <is>
          <t>Q0303</t>
        </is>
      </c>
      <c r="E96" s="26" t="n"/>
      <c r="F96" s="26" t="inlineStr">
        <is>
          <t>浙江精准学科技有限公司</t>
        </is>
      </c>
      <c r="G96" s="26" t="inlineStr">
        <is>
          <t>记-78</t>
        </is>
      </c>
      <c r="H96" s="26" t="n"/>
      <c r="I96" s="44" t="n">
        <v>3</v>
      </c>
      <c r="J96" s="45" t="n"/>
    </row>
    <row r="97" s="83">
      <c r="A97" s="27" t="inlineStr">
        <is>
          <t>100201</t>
        </is>
      </c>
      <c r="B97" s="27" t="n"/>
      <c r="C97" s="27" t="inlineStr">
        <is>
          <t>2025-03-20</t>
        </is>
      </c>
      <c r="D97" s="27" t="inlineStr">
        <is>
          <t>Q0303</t>
        </is>
      </c>
      <c r="E97" s="27" t="n"/>
      <c r="F97" s="27" t="inlineStr">
        <is>
          <t>浙江精准学科技有限公司</t>
        </is>
      </c>
      <c r="G97" s="27" t="inlineStr">
        <is>
          <t>记-83</t>
        </is>
      </c>
      <c r="H97" s="27" t="n"/>
      <c r="I97" s="44" t="n">
        <v>3</v>
      </c>
      <c r="J97" s="44" t="n"/>
    </row>
    <row r="98" s="83">
      <c r="A98" s="26" t="inlineStr">
        <is>
          <t>100201</t>
        </is>
      </c>
      <c r="B98" s="26" t="n"/>
      <c r="C98" s="26" t="inlineStr">
        <is>
          <t>2025-03-25</t>
        </is>
      </c>
      <c r="D98" s="26" t="inlineStr">
        <is>
          <t>Q0303</t>
        </is>
      </c>
      <c r="E98" s="26" t="n"/>
      <c r="F98" s="26" t="inlineStr">
        <is>
          <t>浙江精准学科技有限公司</t>
        </is>
      </c>
      <c r="G98" s="26" t="inlineStr">
        <is>
          <t>记-109</t>
        </is>
      </c>
      <c r="H98" s="26" t="n"/>
      <c r="I98" s="44" t="n">
        <v>3</v>
      </c>
      <c r="J98" s="45" t="n"/>
    </row>
    <row r="99" s="83">
      <c r="A99" s="27" t="inlineStr">
        <is>
          <t>100201</t>
        </is>
      </c>
      <c r="B99" s="27" t="n"/>
      <c r="C99" s="27" t="inlineStr">
        <is>
          <t>2025-03-01</t>
        </is>
      </c>
      <c r="D99" s="27" t="inlineStr">
        <is>
          <t>Q0401</t>
        </is>
      </c>
      <c r="E99" s="27" t="n"/>
      <c r="F99" s="27" t="inlineStr">
        <is>
          <t>浙江精准学科技有限公司</t>
        </is>
      </c>
      <c r="G99" s="27" t="inlineStr">
        <is>
          <t>记-1</t>
        </is>
      </c>
      <c r="H99" s="27" t="n"/>
      <c r="I99" s="44" t="n">
        <v>3</v>
      </c>
      <c r="J99" s="44" t="n"/>
    </row>
    <row r="100" s="83">
      <c r="A100" s="26" t="inlineStr">
        <is>
          <t>100201</t>
        </is>
      </c>
      <c r="B100" s="26" t="n"/>
      <c r="C100" s="26" t="inlineStr">
        <is>
          <t>2025-03-02</t>
        </is>
      </c>
      <c r="D100" s="26" t="inlineStr">
        <is>
          <t>Q0401</t>
        </is>
      </c>
      <c r="E100" s="26" t="n"/>
      <c r="F100" s="26" t="inlineStr">
        <is>
          <t>浙江精准学科技有限公司</t>
        </is>
      </c>
      <c r="G100" s="26" t="inlineStr">
        <is>
          <t>记-2</t>
        </is>
      </c>
      <c r="H100" s="26" t="n"/>
      <c r="I100" s="44" t="n">
        <v>3</v>
      </c>
      <c r="J100" s="45" t="n"/>
    </row>
    <row r="101" s="83">
      <c r="A101" s="27" t="inlineStr">
        <is>
          <t>100201</t>
        </is>
      </c>
      <c r="B101" s="27" t="n"/>
      <c r="C101" s="27" t="inlineStr">
        <is>
          <t>2025-03-03</t>
        </is>
      </c>
      <c r="D101" s="27" t="inlineStr">
        <is>
          <t>Q0401</t>
        </is>
      </c>
      <c r="E101" s="27" t="n"/>
      <c r="F101" s="27" t="inlineStr">
        <is>
          <t>浙江精准学科技有限公司</t>
        </is>
      </c>
      <c r="G101" s="27" t="inlineStr">
        <is>
          <t>记-3</t>
        </is>
      </c>
      <c r="H101" s="27" t="n"/>
      <c r="I101" s="44" t="n">
        <v>3</v>
      </c>
      <c r="J101" s="44" t="n"/>
    </row>
    <row r="102" s="83">
      <c r="A102" s="26" t="inlineStr">
        <is>
          <t>100201</t>
        </is>
      </c>
      <c r="B102" s="26" t="n"/>
      <c r="C102" s="26" t="inlineStr">
        <is>
          <t>2025-03-03</t>
        </is>
      </c>
      <c r="D102" s="26" t="inlineStr">
        <is>
          <t>Q0401</t>
        </is>
      </c>
      <c r="E102" s="26" t="n"/>
      <c r="F102" s="26" t="inlineStr">
        <is>
          <t>浙江精准学科技有限公司</t>
        </is>
      </c>
      <c r="G102" s="26" t="inlineStr">
        <is>
          <t>记-4</t>
        </is>
      </c>
      <c r="H102" s="26" t="n"/>
      <c r="I102" s="44" t="n">
        <v>3</v>
      </c>
      <c r="J102" s="45" t="n"/>
    </row>
    <row r="103" s="83">
      <c r="A103" s="27" t="inlineStr">
        <is>
          <t>100201</t>
        </is>
      </c>
      <c r="B103" s="27" t="n"/>
      <c r="C103" s="27" t="inlineStr">
        <is>
          <t>2025-03-04</t>
        </is>
      </c>
      <c r="D103" s="27" t="inlineStr">
        <is>
          <t>Q0401</t>
        </is>
      </c>
      <c r="E103" s="27" t="n"/>
      <c r="F103" s="27" t="inlineStr">
        <is>
          <t>浙江精准学科技有限公司</t>
        </is>
      </c>
      <c r="G103" s="27" t="inlineStr">
        <is>
          <t>记-8</t>
        </is>
      </c>
      <c r="H103" s="27" t="n"/>
      <c r="I103" s="44" t="n">
        <v>3</v>
      </c>
      <c r="J103" s="44" t="n"/>
    </row>
    <row r="104" s="83">
      <c r="A104" s="26" t="inlineStr">
        <is>
          <t>100201</t>
        </is>
      </c>
      <c r="B104" s="26" t="n"/>
      <c r="C104" s="26" t="inlineStr">
        <is>
          <t>2025-03-05</t>
        </is>
      </c>
      <c r="D104" s="26" t="inlineStr">
        <is>
          <t>Q0401</t>
        </is>
      </c>
      <c r="E104" s="26" t="n"/>
      <c r="F104" s="26" t="inlineStr">
        <is>
          <t>浙江精准学科技有限公司</t>
        </is>
      </c>
      <c r="G104" s="26" t="inlineStr">
        <is>
          <t>记-11</t>
        </is>
      </c>
      <c r="H104" s="26" t="n"/>
      <c r="I104" s="44" t="n">
        <v>3</v>
      </c>
      <c r="J104" s="45" t="n"/>
    </row>
    <row r="105" s="83">
      <c r="A105" s="27" t="inlineStr">
        <is>
          <t>100201</t>
        </is>
      </c>
      <c r="B105" s="27" t="n"/>
      <c r="C105" s="27" t="inlineStr">
        <is>
          <t>2025-03-05</t>
        </is>
      </c>
      <c r="D105" s="27" t="inlineStr">
        <is>
          <t>Q0401</t>
        </is>
      </c>
      <c r="E105" s="27" t="n"/>
      <c r="F105" s="27" t="inlineStr">
        <is>
          <t>浙江精准学科技有限公司</t>
        </is>
      </c>
      <c r="G105" s="27" t="inlineStr">
        <is>
          <t>记-12</t>
        </is>
      </c>
      <c r="H105" s="27" t="n"/>
      <c r="I105" s="44" t="n">
        <v>3</v>
      </c>
      <c r="J105" s="44" t="n"/>
    </row>
    <row r="106" s="83">
      <c r="A106" s="26" t="inlineStr">
        <is>
          <t>100201</t>
        </is>
      </c>
      <c r="B106" s="26" t="n"/>
      <c r="C106" s="26" t="inlineStr">
        <is>
          <t>2025-03-06</t>
        </is>
      </c>
      <c r="D106" s="26" t="inlineStr">
        <is>
          <t>Q0401</t>
        </is>
      </c>
      <c r="E106" s="26" t="n"/>
      <c r="F106" s="26" t="inlineStr">
        <is>
          <t>浙江精准学科技有限公司</t>
        </is>
      </c>
      <c r="G106" s="26" t="inlineStr">
        <is>
          <t>记-16</t>
        </is>
      </c>
      <c r="H106" s="26" t="n"/>
      <c r="I106" s="44" t="n">
        <v>3</v>
      </c>
      <c r="J106" s="45" t="n"/>
    </row>
    <row r="107" s="83">
      <c r="A107" s="27" t="inlineStr">
        <is>
          <t>100201</t>
        </is>
      </c>
      <c r="B107" s="27" t="n"/>
      <c r="C107" s="27" t="inlineStr">
        <is>
          <t>2025-03-07</t>
        </is>
      </c>
      <c r="D107" s="27" t="inlineStr">
        <is>
          <t>Q0401</t>
        </is>
      </c>
      <c r="E107" s="27" t="n"/>
      <c r="F107" s="27" t="inlineStr">
        <is>
          <t>浙江精准学科技有限公司</t>
        </is>
      </c>
      <c r="G107" s="27" t="inlineStr">
        <is>
          <t>记-23</t>
        </is>
      </c>
      <c r="H107" s="27" t="n"/>
      <c r="I107" s="44" t="n">
        <v>3</v>
      </c>
      <c r="J107" s="44" t="n"/>
    </row>
    <row r="108" s="83">
      <c r="A108" s="26" t="inlineStr">
        <is>
          <t>100201</t>
        </is>
      </c>
      <c r="B108" s="26" t="n"/>
      <c r="C108" s="26" t="inlineStr">
        <is>
          <t>2025-03-08</t>
        </is>
      </c>
      <c r="D108" s="26" t="inlineStr">
        <is>
          <t>Q0401</t>
        </is>
      </c>
      <c r="E108" s="26" t="n"/>
      <c r="F108" s="26" t="inlineStr">
        <is>
          <t>浙江精准学科技有限公司</t>
        </is>
      </c>
      <c r="G108" s="26" t="inlineStr">
        <is>
          <t>记-27</t>
        </is>
      </c>
      <c r="H108" s="26" t="n"/>
      <c r="I108" s="44" t="n">
        <v>3</v>
      </c>
      <c r="J108" s="45" t="n"/>
    </row>
    <row r="109" s="83">
      <c r="A109" s="27" t="inlineStr">
        <is>
          <t>100201</t>
        </is>
      </c>
      <c r="B109" s="27" t="n"/>
      <c r="C109" s="27" t="inlineStr">
        <is>
          <t>2025-03-09</t>
        </is>
      </c>
      <c r="D109" s="27" t="inlineStr">
        <is>
          <t>Q0401</t>
        </is>
      </c>
      <c r="E109" s="27" t="n"/>
      <c r="F109" s="27" t="inlineStr">
        <is>
          <t>浙江精准学科技有限公司</t>
        </is>
      </c>
      <c r="G109" s="27" t="inlineStr">
        <is>
          <t>记-28</t>
        </is>
      </c>
      <c r="H109" s="27" t="n"/>
      <c r="I109" s="44" t="n">
        <v>3</v>
      </c>
      <c r="J109" s="44" t="n"/>
    </row>
    <row r="110" s="83">
      <c r="A110" s="26" t="inlineStr">
        <is>
          <t>100201</t>
        </is>
      </c>
      <c r="B110" s="26" t="n"/>
      <c r="C110" s="26" t="inlineStr">
        <is>
          <t>2025-03-10</t>
        </is>
      </c>
      <c r="D110" s="26" t="inlineStr">
        <is>
          <t>Q0401</t>
        </is>
      </c>
      <c r="E110" s="26" t="n"/>
      <c r="F110" s="26" t="inlineStr">
        <is>
          <t>浙江精准学科技有限公司</t>
        </is>
      </c>
      <c r="G110" s="26" t="inlineStr">
        <is>
          <t>记-29</t>
        </is>
      </c>
      <c r="H110" s="26" t="n"/>
      <c r="I110" s="44" t="n">
        <v>3</v>
      </c>
      <c r="J110" s="45" t="n"/>
    </row>
    <row r="111" s="83">
      <c r="A111" s="27" t="inlineStr">
        <is>
          <t>100201</t>
        </is>
      </c>
      <c r="B111" s="27" t="n"/>
      <c r="C111" s="27" t="inlineStr">
        <is>
          <t>2025-03-11</t>
        </is>
      </c>
      <c r="D111" s="27" t="inlineStr">
        <is>
          <t>Q0401</t>
        </is>
      </c>
      <c r="E111" s="27" t="n"/>
      <c r="F111" s="27" t="inlineStr">
        <is>
          <t>浙江精准学科技有限公司</t>
        </is>
      </c>
      <c r="G111" s="27" t="inlineStr">
        <is>
          <t>记-33</t>
        </is>
      </c>
      <c r="H111" s="27" t="n"/>
      <c r="I111" s="44" t="n">
        <v>3</v>
      </c>
      <c r="J111" s="44" t="n"/>
    </row>
    <row r="112" s="83">
      <c r="A112" s="26" t="inlineStr">
        <is>
          <t>100201</t>
        </is>
      </c>
      <c r="B112" s="26" t="n"/>
      <c r="C112" s="26" t="inlineStr">
        <is>
          <t>2025-03-12</t>
        </is>
      </c>
      <c r="D112" s="26" t="inlineStr">
        <is>
          <t>Q0401</t>
        </is>
      </c>
      <c r="E112" s="26" t="n"/>
      <c r="F112" s="26" t="inlineStr">
        <is>
          <t>浙江精准学科技有限公司</t>
        </is>
      </c>
      <c r="G112" s="26" t="inlineStr">
        <is>
          <t>记-38</t>
        </is>
      </c>
      <c r="H112" s="26" t="n"/>
      <c r="I112" s="44" t="n">
        <v>3</v>
      </c>
      <c r="J112" s="45" t="n"/>
    </row>
    <row r="113" s="83">
      <c r="A113" s="27" t="inlineStr">
        <is>
          <t>100201</t>
        </is>
      </c>
      <c r="B113" s="27" t="n"/>
      <c r="C113" s="27" t="inlineStr">
        <is>
          <t>2025-03-12</t>
        </is>
      </c>
      <c r="D113" s="27" t="inlineStr">
        <is>
          <t>Q0401</t>
        </is>
      </c>
      <c r="E113" s="27" t="n"/>
      <c r="F113" s="27" t="inlineStr">
        <is>
          <t>浙江精准学科技有限公司</t>
        </is>
      </c>
      <c r="G113" s="27" t="inlineStr">
        <is>
          <t>记-39</t>
        </is>
      </c>
      <c r="H113" s="27" t="n"/>
      <c r="I113" s="44" t="n">
        <v>3</v>
      </c>
      <c r="J113" s="44" t="n"/>
    </row>
    <row r="114" s="83">
      <c r="A114" s="26" t="inlineStr">
        <is>
          <t>100201</t>
        </is>
      </c>
      <c r="B114" s="26" t="n"/>
      <c r="C114" s="26" t="inlineStr">
        <is>
          <t>2025-03-13</t>
        </is>
      </c>
      <c r="D114" s="26" t="inlineStr">
        <is>
          <t>Q0401</t>
        </is>
      </c>
      <c r="E114" s="26" t="n"/>
      <c r="F114" s="26" t="inlineStr">
        <is>
          <t>浙江精准学科技有限公司</t>
        </is>
      </c>
      <c r="G114" s="26" t="inlineStr">
        <is>
          <t>记-43</t>
        </is>
      </c>
      <c r="H114" s="26" t="n"/>
      <c r="I114" s="44" t="n">
        <v>3</v>
      </c>
      <c r="J114" s="45" t="n"/>
    </row>
    <row r="115" s="83">
      <c r="A115" s="27" t="inlineStr">
        <is>
          <t>100201</t>
        </is>
      </c>
      <c r="B115" s="27" t="n"/>
      <c r="C115" s="27" t="inlineStr">
        <is>
          <t>2025-03-14</t>
        </is>
      </c>
      <c r="D115" s="27" t="inlineStr">
        <is>
          <t>Q0401</t>
        </is>
      </c>
      <c r="E115" s="27" t="n"/>
      <c r="F115" s="27" t="inlineStr">
        <is>
          <t>浙江精准学科技有限公司</t>
        </is>
      </c>
      <c r="G115" s="27" t="inlineStr">
        <is>
          <t>记-45</t>
        </is>
      </c>
      <c r="H115" s="27" t="n"/>
      <c r="I115" s="44" t="n">
        <v>3</v>
      </c>
      <c r="J115" s="44" t="n"/>
    </row>
    <row r="116" s="83">
      <c r="A116" s="26" t="inlineStr">
        <is>
          <t>100201</t>
        </is>
      </c>
      <c r="B116" s="26" t="n"/>
      <c r="C116" s="26" t="inlineStr">
        <is>
          <t>2025-03-14</t>
        </is>
      </c>
      <c r="D116" s="26" t="inlineStr">
        <is>
          <t>Q0401</t>
        </is>
      </c>
      <c r="E116" s="26" t="n"/>
      <c r="F116" s="26" t="inlineStr">
        <is>
          <t>浙江精准学科技有限公司</t>
        </is>
      </c>
      <c r="G116" s="26" t="inlineStr">
        <is>
          <t>记-48</t>
        </is>
      </c>
      <c r="H116" s="26" t="n"/>
      <c r="I116" s="44" t="n">
        <v>3</v>
      </c>
      <c r="J116" s="45" t="n"/>
    </row>
    <row r="117" s="83">
      <c r="A117" s="27" t="inlineStr">
        <is>
          <t>100201</t>
        </is>
      </c>
      <c r="B117" s="27" t="n"/>
      <c r="C117" s="27" t="inlineStr">
        <is>
          <t>2025-03-15</t>
        </is>
      </c>
      <c r="D117" s="27" t="inlineStr">
        <is>
          <t>Q0401</t>
        </is>
      </c>
      <c r="E117" s="27" t="n"/>
      <c r="F117" s="27" t="inlineStr">
        <is>
          <t>浙江精准学科技有限公司</t>
        </is>
      </c>
      <c r="G117" s="27" t="inlineStr">
        <is>
          <t>记-55</t>
        </is>
      </c>
      <c r="H117" s="27" t="n"/>
      <c r="I117" s="44" t="n">
        <v>3</v>
      </c>
      <c r="J117" s="44" t="n"/>
    </row>
    <row r="118" s="83">
      <c r="A118" s="26" t="inlineStr">
        <is>
          <t>100201</t>
        </is>
      </c>
      <c r="B118" s="26" t="n"/>
      <c r="C118" s="26" t="inlineStr">
        <is>
          <t>2025-03-16</t>
        </is>
      </c>
      <c r="D118" s="26" t="inlineStr">
        <is>
          <t>Q0401</t>
        </is>
      </c>
      <c r="E118" s="26" t="n"/>
      <c r="F118" s="26" t="inlineStr">
        <is>
          <t>浙江精准学科技有限公司</t>
        </is>
      </c>
      <c r="G118" s="26" t="inlineStr">
        <is>
          <t>记-57</t>
        </is>
      </c>
      <c r="H118" s="26" t="n"/>
      <c r="I118" s="44" t="n">
        <v>3</v>
      </c>
      <c r="J118" s="45" t="n"/>
    </row>
    <row r="119" s="83">
      <c r="A119" s="27" t="inlineStr">
        <is>
          <t>100201</t>
        </is>
      </c>
      <c r="B119" s="27" t="n"/>
      <c r="C119" s="27" t="inlineStr">
        <is>
          <t>2025-03-17</t>
        </is>
      </c>
      <c r="D119" s="27" t="inlineStr">
        <is>
          <t>Q0401</t>
        </is>
      </c>
      <c r="E119" s="27" t="n"/>
      <c r="F119" s="27" t="inlineStr">
        <is>
          <t>浙江精准学科技有限公司</t>
        </is>
      </c>
      <c r="G119" s="27" t="inlineStr">
        <is>
          <t>记-58</t>
        </is>
      </c>
      <c r="H119" s="27" t="n"/>
      <c r="I119" s="44" t="n">
        <v>3</v>
      </c>
      <c r="J119" s="44" t="n"/>
    </row>
    <row r="120" s="83">
      <c r="A120" s="26" t="inlineStr">
        <is>
          <t>100201</t>
        </is>
      </c>
      <c r="B120" s="26" t="n"/>
      <c r="C120" s="26" t="inlineStr">
        <is>
          <t>2025-03-18</t>
        </is>
      </c>
      <c r="D120" s="26" t="inlineStr">
        <is>
          <t>Q0401</t>
        </is>
      </c>
      <c r="E120" s="26" t="n"/>
      <c r="F120" s="26" t="inlineStr">
        <is>
          <t>浙江精准学科技有限公司</t>
        </is>
      </c>
      <c r="G120" s="26" t="inlineStr">
        <is>
          <t>记-63</t>
        </is>
      </c>
      <c r="H120" s="26" t="n"/>
      <c r="I120" s="44" t="n">
        <v>3</v>
      </c>
      <c r="J120" s="45" t="n"/>
    </row>
    <row r="121" s="83">
      <c r="A121" s="27" t="inlineStr">
        <is>
          <t>100201</t>
        </is>
      </c>
      <c r="B121" s="27" t="n"/>
      <c r="C121" s="27" t="inlineStr">
        <is>
          <t>2025-03-19</t>
        </is>
      </c>
      <c r="D121" s="27" t="inlineStr">
        <is>
          <t>Q0401</t>
        </is>
      </c>
      <c r="E121" s="27" t="n"/>
      <c r="F121" s="27" t="inlineStr">
        <is>
          <t>浙江精准学科技有限公司</t>
        </is>
      </c>
      <c r="G121" s="27" t="inlineStr">
        <is>
          <t>记-68</t>
        </is>
      </c>
      <c r="H121" s="27" t="n"/>
      <c r="I121" s="44" t="n">
        <v>3</v>
      </c>
      <c r="J121" s="44" t="n"/>
    </row>
    <row r="122" s="83">
      <c r="A122" s="26" t="inlineStr">
        <is>
          <t>100201</t>
        </is>
      </c>
      <c r="B122" s="26" t="n"/>
      <c r="C122" s="26" t="inlineStr">
        <is>
          <t>2025-03-19</t>
        </is>
      </c>
      <c r="D122" s="26" t="inlineStr">
        <is>
          <t>Q0401</t>
        </is>
      </c>
      <c r="E122" s="26" t="n"/>
      <c r="F122" s="26" t="inlineStr">
        <is>
          <t>浙江精准学科技有限公司</t>
        </is>
      </c>
      <c r="G122" s="26" t="inlineStr">
        <is>
          <t>记-69</t>
        </is>
      </c>
      <c r="H122" s="26" t="n"/>
      <c r="I122" s="44" t="n">
        <v>3</v>
      </c>
      <c r="J122" s="45" t="n"/>
    </row>
    <row r="123" s="83">
      <c r="A123" s="27" t="inlineStr">
        <is>
          <t>100201</t>
        </is>
      </c>
      <c r="B123" s="27" t="n"/>
      <c r="C123" s="27" t="inlineStr">
        <is>
          <t>2025-03-20</t>
        </is>
      </c>
      <c r="D123" s="27" t="inlineStr">
        <is>
          <t>Q0401</t>
        </is>
      </c>
      <c r="E123" s="27" t="n"/>
      <c r="F123" s="27" t="inlineStr">
        <is>
          <t>浙江精准学科技有限公司</t>
        </is>
      </c>
      <c r="G123" s="27" t="inlineStr">
        <is>
          <t>记-79</t>
        </is>
      </c>
      <c r="H123" s="27" t="n"/>
      <c r="I123" s="44" t="n">
        <v>3</v>
      </c>
      <c r="J123" s="44" t="n"/>
    </row>
    <row r="124" s="83">
      <c r="A124" s="26" t="inlineStr">
        <is>
          <t>100201</t>
        </is>
      </c>
      <c r="B124" s="26" t="n"/>
      <c r="C124" s="26" t="inlineStr">
        <is>
          <t>2025-03-21</t>
        </is>
      </c>
      <c r="D124" s="26" t="inlineStr">
        <is>
          <t>Q0401</t>
        </is>
      </c>
      <c r="E124" s="26" t="n"/>
      <c r="F124" s="26" t="inlineStr">
        <is>
          <t>浙江精准学科技有限公司</t>
        </is>
      </c>
      <c r="G124" s="26" t="inlineStr">
        <is>
          <t>记-87</t>
        </is>
      </c>
      <c r="H124" s="26" t="n"/>
      <c r="I124" s="44" t="n">
        <v>3</v>
      </c>
      <c r="J124" s="45" t="n"/>
    </row>
    <row r="125" s="83">
      <c r="A125" s="27" t="inlineStr">
        <is>
          <t>100201</t>
        </is>
      </c>
      <c r="B125" s="27" t="n"/>
      <c r="C125" s="27" t="inlineStr">
        <is>
          <t>2025-03-21</t>
        </is>
      </c>
      <c r="D125" s="27" t="inlineStr">
        <is>
          <t>Q0401</t>
        </is>
      </c>
      <c r="E125" s="27" t="n"/>
      <c r="F125" s="27" t="inlineStr">
        <is>
          <t>浙江精准学科技有限公司</t>
        </is>
      </c>
      <c r="G125" s="27" t="inlineStr">
        <is>
          <t>记-93</t>
        </is>
      </c>
      <c r="H125" s="27" t="n"/>
      <c r="I125" s="44" t="n">
        <v>3</v>
      </c>
      <c r="J125" s="44" t="n"/>
    </row>
    <row r="126" s="83">
      <c r="A126" s="26" t="inlineStr">
        <is>
          <t>100201</t>
        </is>
      </c>
      <c r="B126" s="26" t="n"/>
      <c r="C126" s="26" t="inlineStr">
        <is>
          <t>2025-03-22</t>
        </is>
      </c>
      <c r="D126" s="26" t="inlineStr">
        <is>
          <t>Q0401</t>
        </is>
      </c>
      <c r="E126" s="26" t="n"/>
      <c r="F126" s="26" t="inlineStr">
        <is>
          <t>浙江精准学科技有限公司</t>
        </is>
      </c>
      <c r="G126" s="26" t="inlineStr">
        <is>
          <t>记-95</t>
        </is>
      </c>
      <c r="H126" s="26" t="n"/>
      <c r="I126" s="44" t="n">
        <v>3</v>
      </c>
      <c r="J126" s="45" t="n"/>
    </row>
    <row r="127" s="83">
      <c r="A127" s="27" t="inlineStr">
        <is>
          <t>100201</t>
        </is>
      </c>
      <c r="B127" s="27" t="n"/>
      <c r="C127" s="27" t="inlineStr">
        <is>
          <t>2025-03-23</t>
        </is>
      </c>
      <c r="D127" s="27" t="inlineStr">
        <is>
          <t>Q0401</t>
        </is>
      </c>
      <c r="E127" s="27" t="n"/>
      <c r="F127" s="27" t="inlineStr">
        <is>
          <t>浙江精准学科技有限公司</t>
        </is>
      </c>
      <c r="G127" s="27" t="inlineStr">
        <is>
          <t>记-96</t>
        </is>
      </c>
      <c r="H127" s="27" t="n"/>
      <c r="I127" s="44" t="n">
        <v>3</v>
      </c>
      <c r="J127" s="44" t="n"/>
    </row>
    <row r="128" s="83">
      <c r="A128" s="26" t="inlineStr">
        <is>
          <t>100201</t>
        </is>
      </c>
      <c r="B128" s="26" t="n"/>
      <c r="C128" s="26" t="inlineStr">
        <is>
          <t>2025-03-24</t>
        </is>
      </c>
      <c r="D128" s="26" t="inlineStr">
        <is>
          <t>Q0401</t>
        </is>
      </c>
      <c r="E128" s="26" t="n"/>
      <c r="F128" s="26" t="inlineStr">
        <is>
          <t>浙江精准学科技有限公司</t>
        </is>
      </c>
      <c r="G128" s="26" t="inlineStr">
        <is>
          <t>记-99</t>
        </is>
      </c>
      <c r="H128" s="26" t="n"/>
      <c r="I128" s="44" t="n">
        <v>3</v>
      </c>
      <c r="J128" s="45" t="n"/>
    </row>
    <row r="129" s="83">
      <c r="A129" s="27" t="inlineStr">
        <is>
          <t>100201</t>
        </is>
      </c>
      <c r="B129" s="27" t="n"/>
      <c r="C129" s="27" t="inlineStr">
        <is>
          <t>2025-03-25</t>
        </is>
      </c>
      <c r="D129" s="27" t="inlineStr">
        <is>
          <t>Q0401</t>
        </is>
      </c>
      <c r="E129" s="27" t="n"/>
      <c r="F129" s="27" t="inlineStr">
        <is>
          <t>浙江精准学科技有限公司</t>
        </is>
      </c>
      <c r="G129" s="27" t="inlineStr">
        <is>
          <t>记-108</t>
        </is>
      </c>
      <c r="H129" s="27" t="n"/>
      <c r="I129" s="44" t="n">
        <v>3</v>
      </c>
      <c r="J129" s="44" t="n"/>
    </row>
    <row r="130" s="83">
      <c r="A130" s="26" t="inlineStr">
        <is>
          <t>100201</t>
        </is>
      </c>
      <c r="B130" s="26" t="n"/>
      <c r="C130" s="26" t="inlineStr">
        <is>
          <t>2025-03-26</t>
        </is>
      </c>
      <c r="D130" s="26" t="inlineStr">
        <is>
          <t>Q0401</t>
        </is>
      </c>
      <c r="E130" s="26" t="n"/>
      <c r="F130" s="26" t="inlineStr">
        <is>
          <t>浙江精准学科技有限公司</t>
        </is>
      </c>
      <c r="G130" s="26" t="inlineStr">
        <is>
          <t>记-118</t>
        </is>
      </c>
      <c r="H130" s="26" t="n"/>
      <c r="I130" s="44" t="n">
        <v>3</v>
      </c>
      <c r="J130" s="45" t="n"/>
    </row>
    <row r="131" s="83">
      <c r="A131" s="27" t="inlineStr">
        <is>
          <t>100201</t>
        </is>
      </c>
      <c r="B131" s="27" t="n"/>
      <c r="C131" s="27" t="inlineStr">
        <is>
          <t>2025-03-26</t>
        </is>
      </c>
      <c r="D131" s="27" t="inlineStr">
        <is>
          <t>Q0401</t>
        </is>
      </c>
      <c r="E131" s="27" t="n"/>
      <c r="F131" s="27" t="inlineStr">
        <is>
          <t>浙江精准学科技有限公司</t>
        </is>
      </c>
      <c r="G131" s="27" t="inlineStr">
        <is>
          <t>记-119</t>
        </is>
      </c>
      <c r="H131" s="27" t="n"/>
      <c r="I131" s="44" t="n">
        <v>3</v>
      </c>
      <c r="J131" s="44" t="n"/>
    </row>
    <row r="132" s="83">
      <c r="A132" s="26" t="inlineStr">
        <is>
          <t>100201</t>
        </is>
      </c>
      <c r="B132" s="26" t="n"/>
      <c r="C132" s="26" t="inlineStr">
        <is>
          <t>2025-03-27</t>
        </is>
      </c>
      <c r="D132" s="26" t="inlineStr">
        <is>
          <t>Q0401</t>
        </is>
      </c>
      <c r="E132" s="26" t="n"/>
      <c r="F132" s="26" t="inlineStr">
        <is>
          <t>浙江精准学科技有限公司</t>
        </is>
      </c>
      <c r="G132" s="26" t="inlineStr">
        <is>
          <t>记-126</t>
        </is>
      </c>
      <c r="H132" s="26" t="n"/>
      <c r="I132" s="44" t="n">
        <v>3</v>
      </c>
      <c r="J132" s="45" t="n"/>
    </row>
    <row r="133" s="83">
      <c r="A133" s="27" t="inlineStr">
        <is>
          <t>100201</t>
        </is>
      </c>
      <c r="B133" s="27" t="n"/>
      <c r="C133" s="27" t="inlineStr">
        <is>
          <t>2025-03-28</t>
        </is>
      </c>
      <c r="D133" s="27" t="inlineStr">
        <is>
          <t>Q0401</t>
        </is>
      </c>
      <c r="E133" s="27" t="n"/>
      <c r="F133" s="27" t="inlineStr">
        <is>
          <t>浙江精准学科技有限公司</t>
        </is>
      </c>
      <c r="G133" s="27" t="inlineStr">
        <is>
          <t>记-133</t>
        </is>
      </c>
      <c r="H133" s="27" t="n"/>
      <c r="I133" s="44" t="n">
        <v>3</v>
      </c>
      <c r="J133" s="44" t="n"/>
    </row>
    <row r="134" s="83">
      <c r="A134" s="26" t="inlineStr">
        <is>
          <t>100201</t>
        </is>
      </c>
      <c r="B134" s="26" t="n"/>
      <c r="C134" s="26" t="inlineStr">
        <is>
          <t>2025-03-29</t>
        </is>
      </c>
      <c r="D134" s="26" t="inlineStr">
        <is>
          <t>Q0401</t>
        </is>
      </c>
      <c r="E134" s="26" t="n"/>
      <c r="F134" s="26" t="inlineStr">
        <is>
          <t>浙江精准学科技有限公司</t>
        </is>
      </c>
      <c r="G134" s="26" t="inlineStr">
        <is>
          <t>记-141</t>
        </is>
      </c>
      <c r="H134" s="26" t="n"/>
      <c r="I134" s="44" t="n">
        <v>3</v>
      </c>
      <c r="J134" s="45" t="n"/>
    </row>
    <row r="135" s="83">
      <c r="A135" s="27" t="inlineStr">
        <is>
          <t>100201</t>
        </is>
      </c>
      <c r="B135" s="27" t="n"/>
      <c r="C135" s="27" t="inlineStr">
        <is>
          <t>2025-03-29</t>
        </is>
      </c>
      <c r="D135" s="27" t="inlineStr">
        <is>
          <t>Q0401</t>
        </is>
      </c>
      <c r="E135" s="27" t="n"/>
      <c r="F135" s="27" t="inlineStr">
        <is>
          <t>浙江精准学科技有限公司</t>
        </is>
      </c>
      <c r="G135" s="27" t="inlineStr">
        <is>
          <t>记-142</t>
        </is>
      </c>
      <c r="H135" s="27" t="n"/>
      <c r="I135" s="44" t="n">
        <v>3</v>
      </c>
      <c r="J135" s="44" t="n"/>
    </row>
    <row r="136" s="83">
      <c r="A136" s="26" t="inlineStr">
        <is>
          <t>100201</t>
        </is>
      </c>
      <c r="B136" s="26" t="n"/>
      <c r="C136" s="26" t="inlineStr">
        <is>
          <t>2025-03-31</t>
        </is>
      </c>
      <c r="D136" s="26" t="inlineStr">
        <is>
          <t>Q0401</t>
        </is>
      </c>
      <c r="E136" s="26" t="n"/>
      <c r="F136" s="26" t="inlineStr">
        <is>
          <t>浙江精准学科技有限公司</t>
        </is>
      </c>
      <c r="G136" s="26" t="inlineStr">
        <is>
          <t>记-144</t>
        </is>
      </c>
      <c r="H136" s="26" t="n"/>
      <c r="I136" s="44" t="n">
        <v>3</v>
      </c>
      <c r="J136" s="45" t="n"/>
    </row>
    <row r="137" s="83">
      <c r="A137" s="27" t="inlineStr">
        <is>
          <t>100201</t>
        </is>
      </c>
      <c r="B137" s="27" t="n"/>
      <c r="C137" s="27" t="inlineStr">
        <is>
          <t>2025-03-31</t>
        </is>
      </c>
      <c r="D137" s="27" t="inlineStr">
        <is>
          <t>Q0401</t>
        </is>
      </c>
      <c r="E137" s="27" t="n"/>
      <c r="F137" s="27" t="inlineStr">
        <is>
          <t>浙江精准学科技有限公司</t>
        </is>
      </c>
      <c r="G137" s="27" t="inlineStr">
        <is>
          <t>记-145</t>
        </is>
      </c>
      <c r="H137" s="27" t="n"/>
      <c r="I137" s="44" t="n">
        <v>3</v>
      </c>
      <c r="J137" s="44" t="n"/>
    </row>
    <row r="138" s="83">
      <c r="A138" s="26" t="inlineStr">
        <is>
          <t>100201</t>
        </is>
      </c>
      <c r="B138" s="26" t="n"/>
      <c r="C138" s="26" t="inlineStr">
        <is>
          <t>2025-03-14</t>
        </is>
      </c>
      <c r="D138" s="26" t="inlineStr">
        <is>
          <t>Q0402</t>
        </is>
      </c>
      <c r="E138" s="26" t="n"/>
      <c r="F138" s="26" t="inlineStr">
        <is>
          <t>浙江精准学科技有限公司</t>
        </is>
      </c>
      <c r="G138" s="26" t="inlineStr">
        <is>
          <t>记-54</t>
        </is>
      </c>
      <c r="H138" s="26" t="n"/>
      <c r="I138" s="45" t="n"/>
      <c r="J138" s="44" t="n">
        <v>3</v>
      </c>
    </row>
    <row r="139" s="83">
      <c r="A139" s="27" t="inlineStr">
        <is>
          <t>100201</t>
        </is>
      </c>
      <c r="B139" s="27" t="n"/>
      <c r="C139" s="27" t="inlineStr">
        <is>
          <t>2025-03-19</t>
        </is>
      </c>
      <c r="D139" s="27" t="inlineStr">
        <is>
          <t>Q0402</t>
        </is>
      </c>
      <c r="E139" s="27" t="n"/>
      <c r="F139" s="27" t="inlineStr">
        <is>
          <t>浙江精准学科技有限公司</t>
        </is>
      </c>
      <c r="G139" s="27" t="inlineStr">
        <is>
          <t>记-72</t>
        </is>
      </c>
      <c r="H139" s="27" t="n"/>
      <c r="I139" s="44" t="n"/>
      <c r="J139" s="44" t="n">
        <v>3</v>
      </c>
    </row>
    <row r="140" s="83">
      <c r="A140" s="26" t="inlineStr">
        <is>
          <t>100201</t>
        </is>
      </c>
      <c r="B140" s="26" t="n"/>
      <c r="C140" s="26" t="inlineStr">
        <is>
          <t>2025-03-11</t>
        </is>
      </c>
      <c r="D140" s="26" t="inlineStr">
        <is>
          <t>Q0801</t>
        </is>
      </c>
      <c r="E140" s="26" t="n"/>
      <c r="F140" s="26" t="inlineStr">
        <is>
          <t>浙江精准学科技有限公司</t>
        </is>
      </c>
      <c r="G140" s="26" t="inlineStr">
        <is>
          <t>记-37</t>
        </is>
      </c>
      <c r="H140" s="26" t="n"/>
      <c r="I140" s="44" t="n">
        <v>3</v>
      </c>
      <c r="J140" s="45" t="n"/>
    </row>
    <row r="141" s="83">
      <c r="A141" s="27" t="inlineStr">
        <is>
          <t>100201</t>
        </is>
      </c>
      <c r="B141" s="27" t="n"/>
      <c r="C141" s="27" t="inlineStr">
        <is>
          <t>2025-03-14</t>
        </is>
      </c>
      <c r="D141" s="27" t="inlineStr">
        <is>
          <t>Q0801</t>
        </is>
      </c>
      <c r="E141" s="27" t="n"/>
      <c r="F141" s="27" t="inlineStr">
        <is>
          <t>浙江精准学科技有限公司</t>
        </is>
      </c>
      <c r="G141" s="27" t="inlineStr">
        <is>
          <t>记-49</t>
        </is>
      </c>
      <c r="H141" s="27" t="n"/>
      <c r="I141" s="44" t="n"/>
      <c r="J141" s="44" t="n">
        <v>3</v>
      </c>
    </row>
    <row r="142" s="83">
      <c r="A142" s="27" t="inlineStr">
        <is>
          <t>100201</t>
        </is>
      </c>
      <c r="B142" s="27" t="n"/>
      <c r="C142" s="27" t="inlineStr">
        <is>
          <t>2025-03-03</t>
        </is>
      </c>
      <c r="D142" s="27" t="inlineStr">
        <is>
          <t>Q0803</t>
        </is>
      </c>
      <c r="E142" s="27" t="n"/>
      <c r="F142" s="27" t="inlineStr">
        <is>
          <t>浙江精准学科技有限公司</t>
        </is>
      </c>
      <c r="G142" s="27" t="inlineStr">
        <is>
          <t>记-5</t>
        </is>
      </c>
      <c r="H142" s="27" t="n"/>
      <c r="I142" s="44" t="n"/>
      <c r="J142" s="44" t="n">
        <v>3</v>
      </c>
    </row>
    <row r="143" s="83">
      <c r="A143" s="26" t="inlineStr">
        <is>
          <t>100201</t>
        </is>
      </c>
      <c r="B143" s="26" t="n"/>
      <c r="C143" s="26" t="inlineStr">
        <is>
          <t>2025-03-27</t>
        </is>
      </c>
      <c r="D143" s="26" t="inlineStr">
        <is>
          <t>Q0803</t>
        </is>
      </c>
      <c r="E143" s="26" t="n"/>
      <c r="F143" s="26" t="inlineStr">
        <is>
          <t>浙江精准学科技有限公司</t>
        </is>
      </c>
      <c r="G143" s="26" t="inlineStr">
        <is>
          <t>记-127</t>
        </is>
      </c>
      <c r="H143" s="26" t="n"/>
      <c r="I143" s="45" t="n"/>
      <c r="J143" s="44" t="n">
        <v>3</v>
      </c>
    </row>
    <row r="144" s="83">
      <c r="A144" s="26" t="inlineStr">
        <is>
          <t>100201</t>
        </is>
      </c>
      <c r="B144" s="26" t="n"/>
      <c r="C144" s="26" t="inlineStr">
        <is>
          <t>2025-03-18</t>
        </is>
      </c>
      <c r="D144" s="26" t="inlineStr">
        <is>
          <t>Q0804</t>
        </is>
      </c>
      <c r="E144" s="26" t="n"/>
      <c r="F144" s="26" t="inlineStr">
        <is>
          <t>浙江精准学科技有限公司</t>
        </is>
      </c>
      <c r="G144" s="26" t="inlineStr">
        <is>
          <t>记-64</t>
        </is>
      </c>
      <c r="H144" s="26" t="n"/>
      <c r="I144" s="45" t="n"/>
      <c r="J144" s="44" t="n">
        <v>3</v>
      </c>
    </row>
    <row r="145" s="83">
      <c r="A145" s="27" t="inlineStr">
        <is>
          <t>100201</t>
        </is>
      </c>
      <c r="B145" s="27" t="n"/>
      <c r="C145" s="27" t="inlineStr">
        <is>
          <t>2025-03-19</t>
        </is>
      </c>
      <c r="D145" s="27" t="inlineStr">
        <is>
          <t>Q0804</t>
        </is>
      </c>
      <c r="E145" s="27" t="n"/>
      <c r="F145" s="27" t="inlineStr">
        <is>
          <t>浙江精准学科技有限公司</t>
        </is>
      </c>
      <c r="G145" s="27" t="inlineStr">
        <is>
          <t>记-76</t>
        </is>
      </c>
      <c r="H145" s="27" t="n"/>
      <c r="I145" s="44" t="n"/>
      <c r="J145" s="44" t="n">
        <v>3</v>
      </c>
    </row>
    <row r="146" s="83">
      <c r="A146" s="26" t="inlineStr">
        <is>
          <t>100201</t>
        </is>
      </c>
      <c r="B146" s="26" t="n"/>
      <c r="C146" s="26" t="inlineStr">
        <is>
          <t>2025-03-21</t>
        </is>
      </c>
      <c r="D146" s="26" t="inlineStr">
        <is>
          <t>Q0804</t>
        </is>
      </c>
      <c r="E146" s="26" t="n"/>
      <c r="F146" s="26" t="inlineStr">
        <is>
          <t>浙江精准学科技有限公司</t>
        </is>
      </c>
      <c r="G146" s="26" t="inlineStr">
        <is>
          <t>记-88</t>
        </is>
      </c>
      <c r="H146" s="26" t="n"/>
      <c r="I146" s="45" t="n"/>
      <c r="J146" s="44" t="n">
        <v>3</v>
      </c>
    </row>
    <row r="147" s="83">
      <c r="A147" s="27" t="inlineStr">
        <is>
          <t>100201</t>
        </is>
      </c>
      <c r="B147" s="27" t="n"/>
      <c r="C147" s="27" t="inlineStr">
        <is>
          <t>2025-03-15</t>
        </is>
      </c>
      <c r="D147" s="27" t="inlineStr">
        <is>
          <t>Q0805</t>
        </is>
      </c>
      <c r="E147" s="27" t="n"/>
      <c r="F147" s="27" t="inlineStr">
        <is>
          <t>浙江精准学科技有限公司</t>
        </is>
      </c>
      <c r="G147" s="27" t="inlineStr">
        <is>
          <t>记-56</t>
        </is>
      </c>
      <c r="H147" s="27" t="n"/>
      <c r="I147" s="44" t="n"/>
      <c r="J147" s="44" t="n">
        <v>3</v>
      </c>
    </row>
    <row r="148" s="83">
      <c r="A148" s="26" t="inlineStr">
        <is>
          <t>100201</t>
        </is>
      </c>
      <c r="B148" s="26" t="n"/>
      <c r="C148" s="26" t="inlineStr">
        <is>
          <t>2025-03-12</t>
        </is>
      </c>
      <c r="D148" s="26" t="inlineStr">
        <is>
          <t>Q0806</t>
        </is>
      </c>
      <c r="E148" s="26" t="n"/>
      <c r="F148" s="26" t="inlineStr">
        <is>
          <t>浙江精准学科技有限公司</t>
        </is>
      </c>
      <c r="G148" s="26" t="inlineStr">
        <is>
          <t>记-41</t>
        </is>
      </c>
      <c r="H148" s="26" t="n"/>
      <c r="I148" s="45" t="n"/>
      <c r="J148" s="44" t="n">
        <v>3</v>
      </c>
    </row>
    <row r="149" s="83">
      <c r="A149" s="27" t="inlineStr">
        <is>
          <t>100201</t>
        </is>
      </c>
      <c r="B149" s="27" t="n"/>
      <c r="C149" s="27" t="inlineStr">
        <is>
          <t>2025-03-18</t>
        </is>
      </c>
      <c r="D149" s="27" t="inlineStr">
        <is>
          <t>Q0806</t>
        </is>
      </c>
      <c r="E149" s="27" t="n"/>
      <c r="F149" s="27" t="inlineStr">
        <is>
          <t>浙江精准学科技有限公司</t>
        </is>
      </c>
      <c r="G149" s="27" t="inlineStr">
        <is>
          <t>记-67</t>
        </is>
      </c>
      <c r="H149" s="27" t="n"/>
      <c r="I149" s="44" t="n"/>
      <c r="J149" s="44" t="n">
        <v>3</v>
      </c>
    </row>
    <row r="150" s="83">
      <c r="A150" s="26" t="inlineStr">
        <is>
          <t>100201</t>
        </is>
      </c>
      <c r="B150" s="26" t="n"/>
      <c r="C150" s="26" t="inlineStr">
        <is>
          <t>2025-03-25</t>
        </is>
      </c>
      <c r="D150" s="26" t="inlineStr">
        <is>
          <t>Q0806</t>
        </is>
      </c>
      <c r="E150" s="26" t="n"/>
      <c r="F150" s="26" t="inlineStr">
        <is>
          <t>浙江精准学科技有限公司</t>
        </is>
      </c>
      <c r="G150" s="26" t="inlineStr">
        <is>
          <t>记-111</t>
        </is>
      </c>
      <c r="H150" s="26" t="n"/>
      <c r="I150" s="45" t="n"/>
      <c r="J150" s="44" t="n">
        <v>3</v>
      </c>
    </row>
    <row r="151" s="83">
      <c r="A151" s="26" t="inlineStr">
        <is>
          <t>100201</t>
        </is>
      </c>
      <c r="B151" s="26" t="n"/>
      <c r="C151" s="26" t="inlineStr">
        <is>
          <t>2025-03-31</t>
        </is>
      </c>
      <c r="D151" s="26" t="inlineStr">
        <is>
          <t>Q0903</t>
        </is>
      </c>
      <c r="E151" s="26" t="n"/>
      <c r="F151" s="26" t="inlineStr">
        <is>
          <t>浙江精准学科技有限公司</t>
        </is>
      </c>
      <c r="G151" s="26" t="inlineStr">
        <is>
          <t>记-143</t>
        </is>
      </c>
      <c r="H151" s="26" t="n"/>
      <c r="I151" s="44" t="n">
        <v>3</v>
      </c>
      <c r="J151" s="45" t="n"/>
    </row>
    <row r="152" s="83">
      <c r="A152" s="27" t="inlineStr">
        <is>
          <t>100201</t>
        </is>
      </c>
      <c r="B152" s="27" t="n"/>
      <c r="C152" s="27" t="inlineStr">
        <is>
          <t>2025-03-31</t>
        </is>
      </c>
      <c r="D152" s="27" t="inlineStr">
        <is>
          <t>Q0903</t>
        </is>
      </c>
      <c r="E152" s="27" t="n"/>
      <c r="F152" s="27" t="inlineStr">
        <is>
          <t>浙江精准学科技有限公司</t>
        </is>
      </c>
      <c r="G152" s="27" t="inlineStr">
        <is>
          <t>记-143</t>
        </is>
      </c>
      <c r="H152" s="27" t="n"/>
      <c r="I152" s="44" t="n"/>
      <c r="J152" s="44" t="n">
        <v>3</v>
      </c>
    </row>
    <row r="153" s="83">
      <c r="A153" s="27" t="inlineStr">
        <is>
          <t>100201</t>
        </is>
      </c>
      <c r="B153" s="27" t="n"/>
      <c r="C153" s="27" t="inlineStr">
        <is>
          <t>2025-03-31</t>
        </is>
      </c>
      <c r="D153" s="27" t="inlineStr">
        <is>
          <t>Q1001</t>
        </is>
      </c>
      <c r="E153" s="27" t="n"/>
      <c r="F153" s="27" t="inlineStr">
        <is>
          <t>浙江精准学科技有限公司</t>
        </is>
      </c>
      <c r="G153" s="27" t="inlineStr">
        <is>
          <t>记-146</t>
        </is>
      </c>
      <c r="H153" s="27" t="n"/>
      <c r="I153" s="44" t="n"/>
      <c r="J153" s="44" t="n">
        <v>3</v>
      </c>
    </row>
    <row r="154" s="83">
      <c r="A154" s="26" t="inlineStr">
        <is>
          <t>100201</t>
        </is>
      </c>
      <c r="B154" s="26" t="n"/>
      <c r="C154" s="26" t="inlineStr">
        <is>
          <t>2025-03-24</t>
        </is>
      </c>
      <c r="D154" s="26" t="inlineStr">
        <is>
          <t>Q1006</t>
        </is>
      </c>
      <c r="E154" s="26" t="n"/>
      <c r="F154" s="26" t="inlineStr">
        <is>
          <t>浙江精准学科技有限公司</t>
        </is>
      </c>
      <c r="G154" s="26" t="inlineStr">
        <is>
          <t>记-97</t>
        </is>
      </c>
      <c r="H154" s="26" t="n"/>
      <c r="I154" s="45" t="n"/>
      <c r="J154" s="44" t="n">
        <v>3</v>
      </c>
    </row>
    <row r="155" s="83">
      <c r="A155" s="26" t="inlineStr">
        <is>
          <t>100201</t>
        </is>
      </c>
      <c r="B155" s="26" t="n"/>
      <c r="C155" s="26" t="inlineStr">
        <is>
          <t>2025-03-31</t>
        </is>
      </c>
      <c r="D155" s="26" t="inlineStr">
        <is>
          <t>Q1306</t>
        </is>
      </c>
      <c r="E155" s="26" t="n"/>
      <c r="F155" s="26" t="inlineStr">
        <is>
          <t>浙江精准学科技有限公司</t>
        </is>
      </c>
      <c r="G155" s="26" t="inlineStr">
        <is>
          <t>记-147</t>
        </is>
      </c>
      <c r="H155" s="26" t="n"/>
      <c r="I155" s="45" t="n"/>
      <c r="J155" s="44" t="n">
        <v>3</v>
      </c>
    </row>
    <row r="156" s="83">
      <c r="A156" s="27" t="inlineStr">
        <is>
          <t>100201</t>
        </is>
      </c>
      <c r="B156" s="27" t="n"/>
      <c r="C156" s="27" t="inlineStr">
        <is>
          <t>2025-03-14</t>
        </is>
      </c>
      <c r="D156" s="27" t="inlineStr">
        <is>
          <t>Q1501</t>
        </is>
      </c>
      <c r="E156" s="27" t="n"/>
      <c r="F156" s="27" t="inlineStr">
        <is>
          <t>浙江精准学科技有限公司</t>
        </is>
      </c>
      <c r="G156" s="27" t="inlineStr">
        <is>
          <t>记-46</t>
        </is>
      </c>
      <c r="H156" s="27" t="n"/>
      <c r="I156" s="44" t="n"/>
      <c r="J156" s="44" t="n">
        <v>3</v>
      </c>
    </row>
    <row r="157" s="83">
      <c r="A157" s="26" t="inlineStr">
        <is>
          <t>100201</t>
        </is>
      </c>
      <c r="B157" s="26" t="n"/>
      <c r="C157" s="26" t="inlineStr">
        <is>
          <t>2025-03-18</t>
        </is>
      </c>
      <c r="D157" s="26" t="inlineStr">
        <is>
          <t>Q1501</t>
        </is>
      </c>
      <c r="E157" s="26" t="n"/>
      <c r="F157" s="26" t="inlineStr">
        <is>
          <t>浙江精准学科技有限公司</t>
        </is>
      </c>
      <c r="G157" s="26" t="inlineStr">
        <is>
          <t>记-66</t>
        </is>
      </c>
      <c r="H157" s="26" t="n"/>
      <c r="I157" s="45" t="n"/>
      <c r="J157" s="44" t="n">
        <v>3</v>
      </c>
    </row>
    <row r="158" s="83">
      <c r="A158" s="27" t="inlineStr">
        <is>
          <t>100201</t>
        </is>
      </c>
      <c r="B158" s="27" t="n"/>
      <c r="C158" s="27" t="inlineStr">
        <is>
          <t>2025-03-27</t>
        </is>
      </c>
      <c r="D158" s="27" t="inlineStr">
        <is>
          <t>Q1501</t>
        </is>
      </c>
      <c r="E158" s="27" t="n"/>
      <c r="F158" s="27" t="inlineStr">
        <is>
          <t>浙江精准学科技有限公司</t>
        </is>
      </c>
      <c r="G158" s="27" t="inlineStr">
        <is>
          <t>记-130</t>
        </is>
      </c>
      <c r="H158" s="27" t="n"/>
      <c r="I158" s="44" t="n"/>
      <c r="J158" s="44" t="n">
        <v>3</v>
      </c>
    </row>
    <row r="159" s="83">
      <c r="A159" s="26" t="inlineStr">
        <is>
          <t>100201</t>
        </is>
      </c>
      <c r="B159" s="26" t="n"/>
      <c r="C159" s="26" t="inlineStr">
        <is>
          <t>2025-03-27</t>
        </is>
      </c>
      <c r="D159" s="26" t="inlineStr">
        <is>
          <t>Q1506</t>
        </is>
      </c>
      <c r="E159" s="26" t="n"/>
      <c r="F159" s="26" t="inlineStr">
        <is>
          <t>浙江精准学科技有限公司</t>
        </is>
      </c>
      <c r="G159" s="26" t="inlineStr">
        <is>
          <t>记-132</t>
        </is>
      </c>
      <c r="H159" s="26" t="n"/>
      <c r="I159" s="45" t="n"/>
      <c r="J159" s="44" t="n">
        <v>3</v>
      </c>
    </row>
    <row r="160" s="83">
      <c r="A160" s="27" t="inlineStr">
        <is>
          <t>100201</t>
        </is>
      </c>
      <c r="B160" s="27" t="n"/>
      <c r="C160" s="27" t="inlineStr">
        <is>
          <t>2025-03-18</t>
        </is>
      </c>
      <c r="D160" s="27" t="inlineStr">
        <is>
          <t>Q1603</t>
        </is>
      </c>
      <c r="E160" s="27" t="n"/>
      <c r="F160" s="27" t="inlineStr">
        <is>
          <t>浙江精准学科技有限公司</t>
        </is>
      </c>
      <c r="G160" s="27" t="inlineStr">
        <is>
          <t>记-65</t>
        </is>
      </c>
      <c r="H160" s="27" t="n"/>
      <c r="I160" s="44" t="n"/>
      <c r="J160" s="44" t="n">
        <v>3</v>
      </c>
    </row>
    <row r="161" s="83">
      <c r="A161" s="27" t="inlineStr">
        <is>
          <t>100201</t>
        </is>
      </c>
      <c r="B161" s="27" t="n"/>
      <c r="C161" s="27" t="inlineStr">
        <is>
          <t>2025-03-05</t>
        </is>
      </c>
      <c r="D161" s="27" t="inlineStr">
        <is>
          <t>Q1701</t>
        </is>
      </c>
      <c r="E161" s="27" t="n"/>
      <c r="F161" s="27" t="inlineStr">
        <is>
          <t>浙江精准学科技有限公司</t>
        </is>
      </c>
      <c r="G161" s="27" t="inlineStr">
        <is>
          <t>记-14</t>
        </is>
      </c>
      <c r="H161" s="27" t="n"/>
      <c r="I161" s="44" t="n"/>
      <c r="J161" s="44" t="n">
        <v>3</v>
      </c>
    </row>
    <row r="162" s="83">
      <c r="A162" s="26" t="inlineStr">
        <is>
          <t>100201</t>
        </is>
      </c>
      <c r="B162" s="26" t="n"/>
      <c r="C162" s="26" t="inlineStr">
        <is>
          <t>2025-03-06</t>
        </is>
      </c>
      <c r="D162" s="26" t="inlineStr">
        <is>
          <t>Q1701</t>
        </is>
      </c>
      <c r="E162" s="26" t="n"/>
      <c r="F162" s="26" t="inlineStr">
        <is>
          <t>浙江精准学科技有限公司</t>
        </is>
      </c>
      <c r="G162" s="26" t="inlineStr">
        <is>
          <t>记-22</t>
        </is>
      </c>
      <c r="H162" s="26" t="n"/>
      <c r="I162" s="45" t="n"/>
      <c r="J162" s="44" t="n">
        <v>3</v>
      </c>
    </row>
    <row r="163" s="83">
      <c r="A163" s="27" t="inlineStr">
        <is>
          <t>100201</t>
        </is>
      </c>
      <c r="B163" s="27" t="n"/>
      <c r="C163" s="27" t="inlineStr">
        <is>
          <t>2025-03-28</t>
        </is>
      </c>
      <c r="D163" s="27" t="inlineStr">
        <is>
          <t>Q1802</t>
        </is>
      </c>
      <c r="E163" s="27" t="n"/>
      <c r="F163" s="27" t="inlineStr">
        <is>
          <t>浙江精准学科技有限公司</t>
        </is>
      </c>
      <c r="G163" s="27" t="inlineStr">
        <is>
          <t>记-139</t>
        </is>
      </c>
      <c r="H163" s="27" t="n"/>
      <c r="I163" s="44" t="n"/>
      <c r="J163" s="44" t="n">
        <v>3</v>
      </c>
    </row>
    <row r="164" s="83">
      <c r="A164" s="26" t="inlineStr">
        <is>
          <t>100201</t>
        </is>
      </c>
      <c r="B164" s="26" t="n"/>
      <c r="C164" s="26" t="inlineStr">
        <is>
          <t>2025-03-14</t>
        </is>
      </c>
      <c r="D164" s="26" t="inlineStr">
        <is>
          <t>Q1805</t>
        </is>
      </c>
      <c r="E164" s="26" t="n"/>
      <c r="F164" s="26" t="inlineStr">
        <is>
          <t>浙江精准学科技有限公司</t>
        </is>
      </c>
      <c r="G164" s="26" t="inlineStr">
        <is>
          <t>记-51</t>
        </is>
      </c>
      <c r="H164" s="26" t="n"/>
      <c r="I164" s="45" t="n"/>
      <c r="J164" s="44" t="n">
        <v>3</v>
      </c>
    </row>
    <row r="165" s="83">
      <c r="A165" s="26" t="inlineStr">
        <is>
          <t>100201</t>
        </is>
      </c>
      <c r="B165" s="26" t="n"/>
      <c r="C165" s="26" t="inlineStr">
        <is>
          <t>2025-03-19</t>
        </is>
      </c>
      <c r="D165" s="26" t="inlineStr">
        <is>
          <t>Q1906</t>
        </is>
      </c>
      <c r="E165" s="26" t="n"/>
      <c r="F165" s="26" t="inlineStr">
        <is>
          <t>浙江精准学科技有限公司</t>
        </is>
      </c>
      <c r="G165" s="26" t="inlineStr">
        <is>
          <t>记-73</t>
        </is>
      </c>
      <c r="H165" s="26" t="n"/>
      <c r="I165" s="45" t="n"/>
      <c r="J165" s="44" t="n">
        <v>3</v>
      </c>
    </row>
    <row r="166" s="83">
      <c r="A166" s="26" t="inlineStr">
        <is>
          <t>100201</t>
        </is>
      </c>
      <c r="B166" s="26" t="n"/>
      <c r="C166" s="26" t="inlineStr">
        <is>
          <t>2025-03-06</t>
        </is>
      </c>
      <c r="D166" s="26" t="inlineStr">
        <is>
          <t>Q2002</t>
        </is>
      </c>
      <c r="E166" s="26" t="n"/>
      <c r="F166" s="26" t="inlineStr">
        <is>
          <t>浙江精准学科技有限公司</t>
        </is>
      </c>
      <c r="G166" s="26" t="inlineStr">
        <is>
          <t>记-15</t>
        </is>
      </c>
      <c r="H166" s="26" t="n"/>
      <c r="I166" s="45" t="n"/>
      <c r="J166" s="44" t="n">
        <v>3</v>
      </c>
    </row>
    <row r="167" s="83">
      <c r="A167" s="27" t="inlineStr">
        <is>
          <t>100201</t>
        </is>
      </c>
      <c r="B167" s="27" t="n"/>
      <c r="C167" s="27" t="inlineStr">
        <is>
          <t>2025-03-06</t>
        </is>
      </c>
      <c r="D167" s="27" t="inlineStr">
        <is>
          <t>Q2002</t>
        </is>
      </c>
      <c r="E167" s="27" t="n"/>
      <c r="F167" s="27" t="inlineStr">
        <is>
          <t>浙江精准学科技有限公司</t>
        </is>
      </c>
      <c r="G167" s="27" t="inlineStr">
        <is>
          <t>记-17</t>
        </is>
      </c>
      <c r="H167" s="27" t="n"/>
      <c r="I167" s="44" t="n"/>
      <c r="J167" s="44" t="n">
        <v>3</v>
      </c>
    </row>
    <row r="168" s="83">
      <c r="A168" s="26" t="inlineStr">
        <is>
          <t>100201</t>
        </is>
      </c>
      <c r="B168" s="26" t="n"/>
      <c r="C168" s="26" t="inlineStr">
        <is>
          <t>2025-03-06</t>
        </is>
      </c>
      <c r="D168" s="26" t="inlineStr">
        <is>
          <t>Q2002</t>
        </is>
      </c>
      <c r="E168" s="26" t="n"/>
      <c r="F168" s="26" t="inlineStr">
        <is>
          <t>浙江精准学科技有限公司</t>
        </is>
      </c>
      <c r="G168" s="26" t="inlineStr">
        <is>
          <t>记-18</t>
        </is>
      </c>
      <c r="H168" s="26" t="n"/>
      <c r="I168" s="45" t="n"/>
      <c r="J168" s="44" t="n">
        <v>3</v>
      </c>
    </row>
    <row r="169" s="83">
      <c r="A169" s="27" t="inlineStr">
        <is>
          <t>100201</t>
        </is>
      </c>
      <c r="B169" s="27" t="n"/>
      <c r="C169" s="27" t="inlineStr">
        <is>
          <t>2025-03-07</t>
        </is>
      </c>
      <c r="D169" s="27" t="inlineStr">
        <is>
          <t>Q2002</t>
        </is>
      </c>
      <c r="E169" s="27" t="n"/>
      <c r="F169" s="27" t="inlineStr">
        <is>
          <t>浙江精准学科技有限公司</t>
        </is>
      </c>
      <c r="G169" s="27" t="inlineStr">
        <is>
          <t>记-24</t>
        </is>
      </c>
      <c r="H169" s="27" t="n"/>
      <c r="I169" s="44" t="n"/>
      <c r="J169" s="44" t="n">
        <v>3</v>
      </c>
    </row>
    <row r="170" s="83">
      <c r="A170" s="26" t="inlineStr">
        <is>
          <t>100201</t>
        </is>
      </c>
      <c r="B170" s="26" t="n"/>
      <c r="C170" s="26" t="inlineStr">
        <is>
          <t>2025-03-10</t>
        </is>
      </c>
      <c r="D170" s="26" t="inlineStr">
        <is>
          <t>Q2002</t>
        </is>
      </c>
      <c r="E170" s="26" t="n"/>
      <c r="F170" s="26" t="inlineStr">
        <is>
          <t>浙江精准学科技有限公司</t>
        </is>
      </c>
      <c r="G170" s="26" t="inlineStr">
        <is>
          <t>记-31</t>
        </is>
      </c>
      <c r="H170" s="26" t="n"/>
      <c r="I170" s="45" t="n"/>
      <c r="J170" s="44" t="n">
        <v>3</v>
      </c>
    </row>
    <row r="171" s="83">
      <c r="A171" s="27" t="inlineStr">
        <is>
          <t>100201</t>
        </is>
      </c>
      <c r="B171" s="27" t="n"/>
      <c r="C171" s="27" t="inlineStr">
        <is>
          <t>2025-03-11</t>
        </is>
      </c>
      <c r="D171" s="27" t="inlineStr">
        <is>
          <t>Q2002</t>
        </is>
      </c>
      <c r="E171" s="27" t="n"/>
      <c r="F171" s="27" t="inlineStr">
        <is>
          <t>浙江精准学科技有限公司</t>
        </is>
      </c>
      <c r="G171" s="27" t="inlineStr">
        <is>
          <t>记-34</t>
        </is>
      </c>
      <c r="H171" s="27" t="n"/>
      <c r="I171" s="44" t="n"/>
      <c r="J171" s="44" t="n">
        <v>3</v>
      </c>
    </row>
    <row r="172" s="83">
      <c r="A172" s="26" t="inlineStr">
        <is>
          <t>100201</t>
        </is>
      </c>
      <c r="B172" s="26" t="n"/>
      <c r="C172" s="26" t="inlineStr">
        <is>
          <t>2025-03-11</t>
        </is>
      </c>
      <c r="D172" s="26" t="inlineStr">
        <is>
          <t>Q2002</t>
        </is>
      </c>
      <c r="E172" s="26" t="n"/>
      <c r="F172" s="26" t="inlineStr">
        <is>
          <t>浙江精准学科技有限公司</t>
        </is>
      </c>
      <c r="G172" s="26" t="inlineStr">
        <is>
          <t>记-35</t>
        </is>
      </c>
      <c r="H172" s="26" t="n"/>
      <c r="I172" s="45" t="n"/>
      <c r="J172" s="44" t="n">
        <v>3</v>
      </c>
    </row>
    <row r="173" s="83">
      <c r="A173" s="27" t="inlineStr">
        <is>
          <t>100201</t>
        </is>
      </c>
      <c r="B173" s="27" t="n"/>
      <c r="C173" s="27" t="inlineStr">
        <is>
          <t>2025-03-14</t>
        </is>
      </c>
      <c r="D173" s="27" t="inlineStr">
        <is>
          <t>Q2002</t>
        </is>
      </c>
      <c r="E173" s="27" t="n"/>
      <c r="F173" s="27" t="inlineStr">
        <is>
          <t>浙江精准学科技有限公司</t>
        </is>
      </c>
      <c r="G173" s="27" t="inlineStr">
        <is>
          <t>记-47</t>
        </is>
      </c>
      <c r="H173" s="27" t="n"/>
      <c r="I173" s="44" t="n"/>
      <c r="J173" s="44" t="n">
        <v>3</v>
      </c>
    </row>
    <row r="174" s="83">
      <c r="A174" s="26" t="inlineStr">
        <is>
          <t>100201</t>
        </is>
      </c>
      <c r="B174" s="26" t="n"/>
      <c r="C174" s="26" t="inlineStr">
        <is>
          <t>2025-03-14</t>
        </is>
      </c>
      <c r="D174" s="26" t="inlineStr">
        <is>
          <t>Q2002</t>
        </is>
      </c>
      <c r="E174" s="26" t="n"/>
      <c r="F174" s="26" t="inlineStr">
        <is>
          <t>浙江精准学科技有限公司</t>
        </is>
      </c>
      <c r="G174" s="26" t="inlineStr">
        <is>
          <t>记-52</t>
        </is>
      </c>
      <c r="H174" s="26" t="n"/>
      <c r="I174" s="45" t="n"/>
      <c r="J174" s="44" t="n">
        <v>3</v>
      </c>
    </row>
    <row r="175" s="83">
      <c r="A175" s="27" t="inlineStr">
        <is>
          <t>100201</t>
        </is>
      </c>
      <c r="B175" s="27" t="n"/>
      <c r="C175" s="27" t="inlineStr">
        <is>
          <t>2025-03-14</t>
        </is>
      </c>
      <c r="D175" s="27" t="inlineStr">
        <is>
          <t>Q2002</t>
        </is>
      </c>
      <c r="E175" s="27" t="n"/>
      <c r="F175" s="27" t="inlineStr">
        <is>
          <t>浙江精准学科技有限公司</t>
        </is>
      </c>
      <c r="G175" s="27" t="inlineStr">
        <is>
          <t>记-53</t>
        </is>
      </c>
      <c r="H175" s="27" t="n"/>
      <c r="I175" s="44" t="n"/>
      <c r="J175" s="44" t="n">
        <v>3</v>
      </c>
    </row>
    <row r="176" s="83">
      <c r="A176" s="26" t="inlineStr">
        <is>
          <t>100201</t>
        </is>
      </c>
      <c r="B176" s="26" t="n"/>
      <c r="C176" s="26" t="inlineStr">
        <is>
          <t>2025-03-17</t>
        </is>
      </c>
      <c r="D176" s="26" t="inlineStr">
        <is>
          <t>Q2002</t>
        </is>
      </c>
      <c r="E176" s="26" t="n"/>
      <c r="F176" s="26" t="inlineStr">
        <is>
          <t>浙江精准学科技有限公司</t>
        </is>
      </c>
      <c r="G176" s="26" t="inlineStr">
        <is>
          <t>记-59</t>
        </is>
      </c>
      <c r="H176" s="26" t="n"/>
      <c r="I176" s="45" t="n"/>
      <c r="J176" s="44" t="n">
        <v>3</v>
      </c>
    </row>
    <row r="177" s="83">
      <c r="A177" s="27" t="inlineStr">
        <is>
          <t>100201</t>
        </is>
      </c>
      <c r="B177" s="27" t="n"/>
      <c r="C177" s="27" t="inlineStr">
        <is>
          <t>2025-03-17</t>
        </is>
      </c>
      <c r="D177" s="27" t="inlineStr">
        <is>
          <t>Q2002</t>
        </is>
      </c>
      <c r="E177" s="27" t="n"/>
      <c r="F177" s="27" t="inlineStr">
        <is>
          <t>浙江精准学科技有限公司</t>
        </is>
      </c>
      <c r="G177" s="27" t="inlineStr">
        <is>
          <t>记-60</t>
        </is>
      </c>
      <c r="H177" s="27" t="n"/>
      <c r="I177" s="44" t="n"/>
      <c r="J177" s="44" t="n">
        <v>3</v>
      </c>
    </row>
    <row r="178" s="83">
      <c r="A178" s="26" t="inlineStr">
        <is>
          <t>100201</t>
        </is>
      </c>
      <c r="B178" s="26" t="n"/>
      <c r="C178" s="26" t="inlineStr">
        <is>
          <t>2025-03-17</t>
        </is>
      </c>
      <c r="D178" s="26" t="inlineStr">
        <is>
          <t>Q2002</t>
        </is>
      </c>
      <c r="E178" s="26" t="n"/>
      <c r="F178" s="26" t="inlineStr">
        <is>
          <t>浙江精准学科技有限公司</t>
        </is>
      </c>
      <c r="G178" s="26" t="inlineStr">
        <is>
          <t>记-62</t>
        </is>
      </c>
      <c r="H178" s="26" t="n"/>
      <c r="I178" s="45" t="n"/>
      <c r="J178" s="44" t="n">
        <v>3</v>
      </c>
    </row>
    <row r="179" s="83">
      <c r="A179" s="27" t="inlineStr">
        <is>
          <t>100201</t>
        </is>
      </c>
      <c r="B179" s="27" t="n"/>
      <c r="C179" s="27" t="inlineStr">
        <is>
          <t>2025-03-19</t>
        </is>
      </c>
      <c r="D179" s="27" t="inlineStr">
        <is>
          <t>Q2002</t>
        </is>
      </c>
      <c r="E179" s="27" t="n"/>
      <c r="F179" s="27" t="inlineStr">
        <is>
          <t>浙江精准学科技有限公司</t>
        </is>
      </c>
      <c r="G179" s="27" t="inlineStr">
        <is>
          <t>记-74</t>
        </is>
      </c>
      <c r="H179" s="27" t="n"/>
      <c r="I179" s="44" t="n"/>
      <c r="J179" s="44" t="n">
        <v>3</v>
      </c>
    </row>
    <row r="180" s="83">
      <c r="A180" s="26" t="inlineStr">
        <is>
          <t>100201</t>
        </is>
      </c>
      <c r="B180" s="26" t="n"/>
      <c r="C180" s="26" t="inlineStr">
        <is>
          <t>2025-03-21</t>
        </is>
      </c>
      <c r="D180" s="26" t="inlineStr">
        <is>
          <t>Q2002</t>
        </is>
      </c>
      <c r="E180" s="26" t="n"/>
      <c r="F180" s="26" t="inlineStr">
        <is>
          <t>浙江精准学科技有限公司</t>
        </is>
      </c>
      <c r="G180" s="26" t="inlineStr">
        <is>
          <t>记-89</t>
        </is>
      </c>
      <c r="H180" s="26" t="n"/>
      <c r="I180" s="45" t="n"/>
      <c r="J180" s="44" t="n">
        <v>3</v>
      </c>
    </row>
    <row r="181" s="83">
      <c r="A181" s="27" t="inlineStr">
        <is>
          <t>100201</t>
        </is>
      </c>
      <c r="B181" s="27" t="n"/>
      <c r="C181" s="27" t="inlineStr">
        <is>
          <t>2025-03-21</t>
        </is>
      </c>
      <c r="D181" s="27" t="inlineStr">
        <is>
          <t>Q2002</t>
        </is>
      </c>
      <c r="E181" s="27" t="n"/>
      <c r="F181" s="27" t="inlineStr">
        <is>
          <t>浙江精准学科技有限公司</t>
        </is>
      </c>
      <c r="G181" s="27" t="inlineStr">
        <is>
          <t>记-91</t>
        </is>
      </c>
      <c r="H181" s="27" t="n"/>
      <c r="I181" s="44" t="n"/>
      <c r="J181" s="44" t="n">
        <v>3</v>
      </c>
    </row>
    <row r="182" s="83">
      <c r="A182" s="26" t="inlineStr">
        <is>
          <t>100201</t>
        </is>
      </c>
      <c r="B182" s="26" t="n"/>
      <c r="C182" s="26" t="inlineStr">
        <is>
          <t>2025-03-25</t>
        </is>
      </c>
      <c r="D182" s="26" t="inlineStr">
        <is>
          <t>Q2002</t>
        </is>
      </c>
      <c r="E182" s="26" t="n"/>
      <c r="F182" s="26" t="inlineStr">
        <is>
          <t>浙江精准学科技有限公司</t>
        </is>
      </c>
      <c r="G182" s="26" t="inlineStr">
        <is>
          <t>记-113</t>
        </is>
      </c>
      <c r="H182" s="26" t="n"/>
      <c r="I182" s="45" t="n"/>
      <c r="J182" s="44" t="n">
        <v>3</v>
      </c>
    </row>
    <row r="183" s="83">
      <c r="A183" s="27" t="inlineStr">
        <is>
          <t>100201</t>
        </is>
      </c>
      <c r="B183" s="27" t="n"/>
      <c r="C183" s="27" t="inlineStr">
        <is>
          <t>2025-03-26</t>
        </is>
      </c>
      <c r="D183" s="27" t="inlineStr">
        <is>
          <t>Q2002</t>
        </is>
      </c>
      <c r="E183" s="27" t="n"/>
      <c r="F183" s="27" t="inlineStr">
        <is>
          <t>浙江精准学科技有限公司</t>
        </is>
      </c>
      <c r="G183" s="27" t="inlineStr">
        <is>
          <t>记-121</t>
        </is>
      </c>
      <c r="H183" s="27" t="n"/>
      <c r="I183" s="44" t="n"/>
      <c r="J183" s="44" t="n">
        <v>3</v>
      </c>
    </row>
    <row r="184" s="83">
      <c r="A184" s="26" t="inlineStr">
        <is>
          <t>100201</t>
        </is>
      </c>
      <c r="B184" s="26" t="n"/>
      <c r="C184" s="26" t="inlineStr">
        <is>
          <t>2025-03-27</t>
        </is>
      </c>
      <c r="D184" s="26" t="inlineStr">
        <is>
          <t>Q2002</t>
        </is>
      </c>
      <c r="E184" s="26" t="n"/>
      <c r="F184" s="26" t="inlineStr">
        <is>
          <t>浙江精准学科技有限公司</t>
        </is>
      </c>
      <c r="G184" s="26" t="inlineStr">
        <is>
          <t>记-131</t>
        </is>
      </c>
      <c r="H184" s="26" t="n"/>
      <c r="I184" s="45" t="n"/>
      <c r="J184" s="44" t="n">
        <v>3</v>
      </c>
    </row>
    <row r="185" s="83">
      <c r="A185" s="27" t="inlineStr">
        <is>
          <t>100201</t>
        </is>
      </c>
      <c r="B185" s="27" t="n"/>
      <c r="C185" s="27" t="inlineStr">
        <is>
          <t>2025-03-28</t>
        </is>
      </c>
      <c r="D185" s="27" t="inlineStr">
        <is>
          <t>Q2002</t>
        </is>
      </c>
      <c r="E185" s="27" t="n"/>
      <c r="F185" s="27" t="inlineStr">
        <is>
          <t>浙江精准学科技有限公司</t>
        </is>
      </c>
      <c r="G185" s="27" t="inlineStr">
        <is>
          <t>记-135</t>
        </is>
      </c>
      <c r="H185" s="27" t="n"/>
      <c r="I185" s="44" t="n"/>
      <c r="J185" s="44" t="n">
        <v>3</v>
      </c>
    </row>
    <row r="186" s="83">
      <c r="A186" s="26" t="inlineStr">
        <is>
          <t>100201</t>
        </is>
      </c>
      <c r="B186" s="26" t="n"/>
      <c r="C186" s="26" t="inlineStr">
        <is>
          <t>2025-03-28</t>
        </is>
      </c>
      <c r="D186" s="26" t="inlineStr">
        <is>
          <t>Q2002</t>
        </is>
      </c>
      <c r="E186" s="26" t="n"/>
      <c r="F186" s="26" t="inlineStr">
        <is>
          <t>浙江精准学科技有限公司</t>
        </is>
      </c>
      <c r="G186" s="26" t="inlineStr">
        <is>
          <t>记-137</t>
        </is>
      </c>
      <c r="H186" s="26" t="n"/>
      <c r="I186" s="45" t="n"/>
      <c r="J186" s="44" t="n">
        <v>3</v>
      </c>
    </row>
    <row r="187" s="83">
      <c r="A187" s="27" t="inlineStr">
        <is>
          <t>100201</t>
        </is>
      </c>
      <c r="B187" s="27" t="n"/>
      <c r="C187" s="27" t="inlineStr">
        <is>
          <t>2025-03-28</t>
        </is>
      </c>
      <c r="D187" s="27" t="inlineStr">
        <is>
          <t>Q2002</t>
        </is>
      </c>
      <c r="E187" s="27" t="n"/>
      <c r="F187" s="27" t="inlineStr">
        <is>
          <t>浙江精准学科技有限公司</t>
        </is>
      </c>
      <c r="G187" s="27" t="inlineStr">
        <is>
          <t>记-138</t>
        </is>
      </c>
      <c r="H187" s="27" t="n"/>
      <c r="I187" s="44" t="n"/>
      <c r="J187" s="44" t="n">
        <v>3</v>
      </c>
    </row>
    <row r="188" s="83">
      <c r="A188" s="26" t="inlineStr">
        <is>
          <t>100201</t>
        </is>
      </c>
      <c r="B188" s="26" t="n"/>
      <c r="C188" s="26" t="inlineStr">
        <is>
          <t>2025-03-31</t>
        </is>
      </c>
      <c r="D188" s="26" t="inlineStr">
        <is>
          <t>Q2002</t>
        </is>
      </c>
      <c r="E188" s="26" t="n"/>
      <c r="F188" s="26" t="inlineStr">
        <is>
          <t>浙江精准学科技有限公司</t>
        </is>
      </c>
      <c r="G188" s="26" t="inlineStr">
        <is>
          <t>记-149</t>
        </is>
      </c>
      <c r="H188" s="26" t="n"/>
      <c r="I188" s="45" t="n"/>
      <c r="J188" s="44" t="n">
        <v>3</v>
      </c>
    </row>
    <row r="189" s="83">
      <c r="A189" s="26" t="inlineStr">
        <is>
          <t>100201</t>
        </is>
      </c>
      <c r="B189" s="26" t="n"/>
      <c r="C189" s="26" t="inlineStr">
        <is>
          <t>2025-03-20</t>
        </is>
      </c>
      <c r="D189" s="26" t="inlineStr">
        <is>
          <t>Q2003</t>
        </is>
      </c>
      <c r="E189" s="26" t="n"/>
      <c r="F189" s="26" t="inlineStr">
        <is>
          <t>浙江精准学科技有限公司</t>
        </is>
      </c>
      <c r="G189" s="26" t="inlineStr">
        <is>
          <t>记-81</t>
        </is>
      </c>
      <c r="H189" s="26" t="n"/>
      <c r="I189" s="45" t="n"/>
      <c r="J189" s="44" t="n">
        <v>3</v>
      </c>
    </row>
    <row r="190" s="83">
      <c r="A190" s="26" t="inlineStr">
        <is>
          <t>100201</t>
        </is>
      </c>
      <c r="B190" s="26" t="n"/>
      <c r="C190" s="26" t="inlineStr">
        <is>
          <t>2025-03-19</t>
        </is>
      </c>
      <c r="D190" s="26" t="inlineStr">
        <is>
          <t>Q2005</t>
        </is>
      </c>
      <c r="E190" s="26" t="n"/>
      <c r="F190" s="26" t="inlineStr">
        <is>
          <t>浙江精准学科技有限公司</t>
        </is>
      </c>
      <c r="G190" s="26" t="inlineStr">
        <is>
          <t>记-75</t>
        </is>
      </c>
      <c r="H190" s="26" t="n"/>
      <c r="I190" s="44" t="n">
        <v>3</v>
      </c>
      <c r="J190" s="45" t="n"/>
    </row>
    <row r="191" s="83">
      <c r="A191" s="27" t="inlineStr">
        <is>
          <t>100201</t>
        </is>
      </c>
      <c r="B191" s="27" t="n"/>
      <c r="C191" s="27" t="inlineStr">
        <is>
          <t>2025-03-20</t>
        </is>
      </c>
      <c r="D191" s="27" t="inlineStr">
        <is>
          <t>Q2005</t>
        </is>
      </c>
      <c r="E191" s="27" t="n"/>
      <c r="F191" s="27" t="inlineStr">
        <is>
          <t>浙江精准学科技有限公司</t>
        </is>
      </c>
      <c r="G191" s="27" t="inlineStr">
        <is>
          <t>记-80</t>
        </is>
      </c>
      <c r="H191" s="27" t="n"/>
      <c r="I191" s="44" t="n"/>
      <c r="J191" s="44" t="n">
        <v>3</v>
      </c>
    </row>
    <row r="192" s="83">
      <c r="A192" s="26" t="inlineStr">
        <is>
          <t>100201</t>
        </is>
      </c>
      <c r="B192" s="26" t="n"/>
      <c r="C192" s="26" t="inlineStr">
        <is>
          <t>2025-03-20</t>
        </is>
      </c>
      <c r="D192" s="26" t="inlineStr">
        <is>
          <t>Q2005</t>
        </is>
      </c>
      <c r="E192" s="26" t="n"/>
      <c r="F192" s="26" t="inlineStr">
        <is>
          <t>浙江精准学科技有限公司</t>
        </is>
      </c>
      <c r="G192" s="26" t="inlineStr">
        <is>
          <t>记-84</t>
        </is>
      </c>
      <c r="H192" s="26" t="n"/>
      <c r="I192" s="45" t="n"/>
      <c r="J192" s="44" t="n">
        <v>3</v>
      </c>
    </row>
    <row r="193" s="83">
      <c r="A193" s="27" t="inlineStr">
        <is>
          <t>100201</t>
        </is>
      </c>
      <c r="B193" s="27" t="n"/>
      <c r="C193" s="27" t="inlineStr">
        <is>
          <t>2025-03-10</t>
        </is>
      </c>
      <c r="D193" s="27" t="inlineStr">
        <is>
          <t>Q2101</t>
        </is>
      </c>
      <c r="E193" s="27" t="n"/>
      <c r="F193" s="27" t="inlineStr">
        <is>
          <t>浙江精准学科技有限公司</t>
        </is>
      </c>
      <c r="G193" s="27" t="inlineStr">
        <is>
          <t>记-30</t>
        </is>
      </c>
      <c r="H193" s="27" t="n"/>
      <c r="I193" s="44" t="n"/>
      <c r="J193" s="44" t="n">
        <v>3</v>
      </c>
    </row>
    <row r="194" s="83">
      <c r="A194" s="26" t="inlineStr">
        <is>
          <t>100201</t>
        </is>
      </c>
      <c r="B194" s="26" t="n"/>
      <c r="C194" s="26" t="inlineStr">
        <is>
          <t>2025-03-06</t>
        </is>
      </c>
      <c r="D194" s="26" t="inlineStr">
        <is>
          <t>Q2102</t>
        </is>
      </c>
      <c r="E194" s="26" t="n"/>
      <c r="F194" s="26" t="inlineStr">
        <is>
          <t>浙江精准学科技有限公司</t>
        </is>
      </c>
      <c r="G194" s="26" t="inlineStr">
        <is>
          <t>记-19</t>
        </is>
      </c>
      <c r="H194" s="26" t="n"/>
      <c r="I194" s="45" t="n"/>
      <c r="J194" s="44" t="n">
        <v>3</v>
      </c>
    </row>
    <row r="195" s="83">
      <c r="A195" s="27" t="inlineStr">
        <is>
          <t>100201</t>
        </is>
      </c>
      <c r="B195" s="27" t="n"/>
      <c r="C195" s="27" t="inlineStr">
        <is>
          <t>2025-03-21</t>
        </is>
      </c>
      <c r="D195" s="27" t="inlineStr">
        <is>
          <t>Q2102</t>
        </is>
      </c>
      <c r="E195" s="27" t="n"/>
      <c r="F195" s="27" t="inlineStr">
        <is>
          <t>浙江精准学科技有限公司</t>
        </is>
      </c>
      <c r="G195" s="27" t="inlineStr">
        <is>
          <t>记-90</t>
        </is>
      </c>
      <c r="H195" s="27" t="n"/>
      <c r="I195" s="44" t="n"/>
      <c r="J195" s="44" t="n">
        <v>3</v>
      </c>
    </row>
    <row r="196" s="83">
      <c r="A196" s="26" t="inlineStr">
        <is>
          <t>100201</t>
        </is>
      </c>
      <c r="B196" s="26" t="n"/>
      <c r="C196" s="26" t="inlineStr">
        <is>
          <t>2025-03-27</t>
        </is>
      </c>
      <c r="D196" s="26" t="inlineStr">
        <is>
          <t>Q2102</t>
        </is>
      </c>
      <c r="E196" s="26" t="n"/>
      <c r="F196" s="26" t="inlineStr">
        <is>
          <t>浙江精准学科技有限公司</t>
        </is>
      </c>
      <c r="G196" s="26" t="inlineStr">
        <is>
          <t>记-129</t>
        </is>
      </c>
      <c r="H196" s="26" t="n"/>
      <c r="I196" s="45" t="n"/>
      <c r="J196" s="44" t="n">
        <v>3</v>
      </c>
    </row>
    <row r="197" s="83">
      <c r="A197" s="26" t="inlineStr">
        <is>
          <t>100201</t>
        </is>
      </c>
      <c r="B197" s="26" t="n"/>
      <c r="C197" s="26" t="inlineStr">
        <is>
          <t>2025-03-19</t>
        </is>
      </c>
      <c r="D197" s="26" t="inlineStr">
        <is>
          <t>Q2707</t>
        </is>
      </c>
      <c r="E197" s="26" t="n"/>
      <c r="F197" s="26" t="inlineStr">
        <is>
          <t>浙江精准学科技有限公司</t>
        </is>
      </c>
      <c r="G197" s="26" t="inlineStr">
        <is>
          <t>记-77</t>
        </is>
      </c>
      <c r="H197" s="26" t="n"/>
      <c r="I197" s="44" t="n">
        <v>3</v>
      </c>
      <c r="J197" s="45" t="n"/>
    </row>
    <row r="198" s="83">
      <c r="A198" s="27" t="inlineStr">
        <is>
          <t>100201</t>
        </is>
      </c>
      <c r="B198" s="27" t="n"/>
      <c r="C198" s="27" t="inlineStr">
        <is>
          <t>2025-03-28</t>
        </is>
      </c>
      <c r="D198" s="27" t="inlineStr">
        <is>
          <t>Q2202</t>
        </is>
      </c>
      <c r="E198" s="27" t="n"/>
      <c r="F198" s="27" t="inlineStr">
        <is>
          <t>浙江精准学科技有限公司</t>
        </is>
      </c>
      <c r="G198" s="27" t="inlineStr">
        <is>
          <t>记-136</t>
        </is>
      </c>
      <c r="H198" s="27" t="n"/>
      <c r="I198" s="44" t="n"/>
      <c r="J198" s="44" t="n">
        <v>3</v>
      </c>
    </row>
    <row r="199" s="83">
      <c r="A199" s="27" t="inlineStr">
        <is>
          <t>100201</t>
        </is>
      </c>
      <c r="B199" s="27" t="n"/>
      <c r="C199" s="27" t="inlineStr">
        <is>
          <t>2025-03-06</t>
        </is>
      </c>
      <c r="D199" s="27" t="inlineStr">
        <is>
          <t>Q2501</t>
        </is>
      </c>
      <c r="E199" s="27" t="n"/>
      <c r="F199" s="27" t="inlineStr">
        <is>
          <t>浙江精准学科技有限公司</t>
        </is>
      </c>
      <c r="G199" s="27" t="inlineStr">
        <is>
          <t>记-21</t>
        </is>
      </c>
      <c r="H199" s="27" t="n"/>
      <c r="I199" s="44" t="n"/>
      <c r="J199" s="44" t="n">
        <v>3</v>
      </c>
    </row>
    <row r="200" s="83">
      <c r="A200" s="26" t="inlineStr">
        <is>
          <t>100201</t>
        </is>
      </c>
      <c r="B200" s="26" t="n"/>
      <c r="C200" s="26" t="inlineStr">
        <is>
          <t>2025-03-28</t>
        </is>
      </c>
      <c r="D200" s="26" t="inlineStr">
        <is>
          <t>Q2501</t>
        </is>
      </c>
      <c r="E200" s="26" t="n"/>
      <c r="F200" s="26" t="inlineStr">
        <is>
          <t>浙江精准学科技有限公司</t>
        </is>
      </c>
      <c r="G200" s="26" t="inlineStr">
        <is>
          <t>记-134</t>
        </is>
      </c>
      <c r="H200" s="26" t="n"/>
      <c r="I200" s="45" t="n"/>
      <c r="J200" s="44" t="n">
        <v>3</v>
      </c>
    </row>
    <row r="201" s="83">
      <c r="A201" s="27" t="inlineStr">
        <is>
          <t>100201</t>
        </is>
      </c>
      <c r="B201" s="27" t="n"/>
      <c r="C201" s="27" t="inlineStr">
        <is>
          <t>2025-03-10</t>
        </is>
      </c>
      <c r="D201" s="27" t="inlineStr">
        <is>
          <t>Q2601</t>
        </is>
      </c>
      <c r="E201" s="27" t="n"/>
      <c r="F201" s="27" t="inlineStr">
        <is>
          <t>浙江精准学科技有限公司</t>
        </is>
      </c>
      <c r="G201" s="27" t="inlineStr">
        <is>
          <t>记-32</t>
        </is>
      </c>
      <c r="H201" s="27" t="n"/>
      <c r="I201" s="44" t="n"/>
      <c r="J201" s="44" t="n">
        <v>3</v>
      </c>
    </row>
    <row r="202" s="83">
      <c r="A202" s="26" t="inlineStr">
        <is>
          <t>100201</t>
        </is>
      </c>
      <c r="B202" s="26" t="n"/>
      <c r="C202" s="26" t="inlineStr">
        <is>
          <t>2025-03-11</t>
        </is>
      </c>
      <c r="D202" s="26" t="inlineStr">
        <is>
          <t>Q2601</t>
        </is>
      </c>
      <c r="E202" s="26" t="n"/>
      <c r="F202" s="26" t="inlineStr">
        <is>
          <t>浙江精准学科技有限公司</t>
        </is>
      </c>
      <c r="G202" s="26" t="inlineStr">
        <is>
          <t>记-36</t>
        </is>
      </c>
      <c r="H202" s="26" t="n"/>
      <c r="I202" s="45" t="n"/>
      <c r="J202" s="44" t="n">
        <v>3</v>
      </c>
    </row>
    <row r="203" s="83">
      <c r="A203" s="27" t="inlineStr">
        <is>
          <t>100201</t>
        </is>
      </c>
      <c r="B203" s="27" t="n"/>
      <c r="C203" s="27" t="inlineStr">
        <is>
          <t>2025-03-19</t>
        </is>
      </c>
      <c r="D203" s="27" t="inlineStr">
        <is>
          <t>Q2601</t>
        </is>
      </c>
      <c r="E203" s="27" t="n"/>
      <c r="F203" s="27" t="inlineStr">
        <is>
          <t>浙江精准学科技有限公司</t>
        </is>
      </c>
      <c r="G203" s="27" t="inlineStr">
        <is>
          <t>记-70</t>
        </is>
      </c>
      <c r="H203" s="27" t="n"/>
      <c r="I203" s="44" t="n"/>
      <c r="J203" s="44" t="n">
        <v>3</v>
      </c>
    </row>
    <row r="204" s="83">
      <c r="A204" s="26" t="inlineStr">
        <is>
          <t>100201</t>
        </is>
      </c>
      <c r="B204" s="26" t="n"/>
      <c r="C204" s="26" t="inlineStr">
        <is>
          <t>2025-03-19</t>
        </is>
      </c>
      <c r="D204" s="26" t="inlineStr">
        <is>
          <t>Q2601</t>
        </is>
      </c>
      <c r="E204" s="26" t="n"/>
      <c r="F204" s="26" t="inlineStr">
        <is>
          <t>浙江精准学科技有限公司</t>
        </is>
      </c>
      <c r="G204" s="26" t="inlineStr">
        <is>
          <t>记-71</t>
        </is>
      </c>
      <c r="H204" s="26" t="n"/>
      <c r="I204" s="45" t="n"/>
      <c r="J204" s="44" t="n">
        <v>3</v>
      </c>
    </row>
    <row r="205" s="83">
      <c r="A205" s="27" t="inlineStr">
        <is>
          <t>100201</t>
        </is>
      </c>
      <c r="B205" s="27" t="n"/>
      <c r="C205" s="27" t="inlineStr">
        <is>
          <t>2025-03-25</t>
        </is>
      </c>
      <c r="D205" s="27" t="inlineStr">
        <is>
          <t>Q2601</t>
        </is>
      </c>
      <c r="E205" s="27" t="n"/>
      <c r="F205" s="27" t="inlineStr">
        <is>
          <t>浙江精准学科技有限公司</t>
        </is>
      </c>
      <c r="G205" s="27" t="inlineStr">
        <is>
          <t>记-107</t>
        </is>
      </c>
      <c r="H205" s="27" t="n"/>
      <c r="I205" s="44" t="n"/>
      <c r="J205" s="44" t="n">
        <v>3</v>
      </c>
    </row>
    <row r="206" s="83">
      <c r="A206" s="26" t="inlineStr">
        <is>
          <t>100201</t>
        </is>
      </c>
      <c r="B206" s="26" t="n"/>
      <c r="C206" s="26" t="inlineStr">
        <is>
          <t>2025-03-25</t>
        </is>
      </c>
      <c r="D206" s="26" t="inlineStr">
        <is>
          <t>Q2601</t>
        </is>
      </c>
      <c r="E206" s="26" t="n"/>
      <c r="F206" s="26" t="inlineStr">
        <is>
          <t>浙江精准学科技有限公司</t>
        </is>
      </c>
      <c r="G206" s="26" t="inlineStr">
        <is>
          <t>记-110</t>
        </is>
      </c>
      <c r="H206" s="26" t="n"/>
      <c r="I206" s="45" t="n"/>
      <c r="J206" s="44" t="n">
        <v>3</v>
      </c>
    </row>
    <row r="207" s="83">
      <c r="A207" s="27" t="inlineStr">
        <is>
          <t>100201</t>
        </is>
      </c>
      <c r="B207" s="27" t="n"/>
      <c r="C207" s="27" t="inlineStr">
        <is>
          <t>2025-03-13</t>
        </is>
      </c>
      <c r="D207" s="27" t="inlineStr">
        <is>
          <t>Q2701</t>
        </is>
      </c>
      <c r="E207" s="27" t="n"/>
      <c r="F207" s="27" t="inlineStr">
        <is>
          <t>浙江精准学科技有限公司</t>
        </is>
      </c>
      <c r="G207" s="27" t="inlineStr">
        <is>
          <t>记-44</t>
        </is>
      </c>
      <c r="H207" s="27" t="n"/>
      <c r="I207" s="44" t="n"/>
      <c r="J207" s="44" t="n">
        <v>3</v>
      </c>
    </row>
    <row r="208" s="83">
      <c r="A208" s="27" t="inlineStr">
        <is>
          <t>100201</t>
        </is>
      </c>
      <c r="B208" s="27" t="n"/>
      <c r="C208" s="27" t="inlineStr">
        <is>
          <t>2025-03-04</t>
        </is>
      </c>
      <c r="D208" s="27" t="inlineStr">
        <is>
          <t>Q2703</t>
        </is>
      </c>
      <c r="E208" s="27" t="n"/>
      <c r="F208" s="27" t="inlineStr">
        <is>
          <t>浙江精准学科技有限公司</t>
        </is>
      </c>
      <c r="G208" s="27" t="inlineStr">
        <is>
          <t>记-10</t>
        </is>
      </c>
      <c r="H208" s="27" t="n"/>
      <c r="I208" s="44" t="n"/>
      <c r="J208" s="44" t="n">
        <v>3</v>
      </c>
    </row>
    <row r="209" s="83">
      <c r="A209" s="26" t="inlineStr">
        <is>
          <t>100201</t>
        </is>
      </c>
      <c r="B209" s="26" t="n"/>
      <c r="C209" s="26" t="inlineStr">
        <is>
          <t>2025-03-27</t>
        </is>
      </c>
      <c r="D209" s="26" t="inlineStr">
        <is>
          <t>Q2703</t>
        </is>
      </c>
      <c r="E209" s="26" t="n"/>
      <c r="F209" s="26" t="inlineStr">
        <is>
          <t>浙江精准学科技有限公司</t>
        </is>
      </c>
      <c r="G209" s="26" t="inlineStr">
        <is>
          <t>记-128</t>
        </is>
      </c>
      <c r="H209" s="26" t="n"/>
      <c r="I209" s="45" t="n"/>
      <c r="J209" s="44" t="n">
        <v>3</v>
      </c>
    </row>
    <row r="210" s="83">
      <c r="A210" s="27" t="inlineStr">
        <is>
          <t>100201</t>
        </is>
      </c>
      <c r="B210" s="27" t="n"/>
      <c r="C210" s="27" t="inlineStr">
        <is>
          <t>2025-03-06</t>
        </is>
      </c>
      <c r="D210" s="27" t="inlineStr">
        <is>
          <t>Q2802</t>
        </is>
      </c>
      <c r="E210" s="27" t="n"/>
      <c r="F210" s="27" t="inlineStr">
        <is>
          <t>浙江精准学科技有限公司</t>
        </is>
      </c>
      <c r="G210" s="27" t="inlineStr">
        <is>
          <t>记-20</t>
        </is>
      </c>
      <c r="H210" s="27" t="n"/>
      <c r="I210" s="44" t="n"/>
      <c r="J210" s="44" t="n">
        <v>3</v>
      </c>
    </row>
    <row r="211" s="83">
      <c r="A211" s="26" t="inlineStr">
        <is>
          <t>100201</t>
        </is>
      </c>
      <c r="B211" s="26" t="n"/>
      <c r="C211" s="26" t="inlineStr">
        <is>
          <t>2025-03-07</t>
        </is>
      </c>
      <c r="D211" s="26" t="inlineStr">
        <is>
          <t>Q2802</t>
        </is>
      </c>
      <c r="E211" s="26" t="n"/>
      <c r="F211" s="26" t="inlineStr">
        <is>
          <t>浙江精准学科技有限公司</t>
        </is>
      </c>
      <c r="G211" s="26" t="inlineStr">
        <is>
          <t>记-25</t>
        </is>
      </c>
      <c r="H211" s="26" t="n"/>
      <c r="I211" s="45" t="n"/>
      <c r="J211" s="44" t="n">
        <v>3</v>
      </c>
    </row>
    <row r="212" s="83">
      <c r="A212" s="27" t="inlineStr">
        <is>
          <t>100201</t>
        </is>
      </c>
      <c r="B212" s="27" t="n"/>
      <c r="C212" s="27" t="inlineStr">
        <is>
          <t>2025-03-07</t>
        </is>
      </c>
      <c r="D212" s="27" t="inlineStr">
        <is>
          <t>Q2802</t>
        </is>
      </c>
      <c r="E212" s="27" t="n"/>
      <c r="F212" s="27" t="inlineStr">
        <is>
          <t>浙江精准学科技有限公司</t>
        </is>
      </c>
      <c r="G212" s="27" t="inlineStr">
        <is>
          <t>记-26</t>
        </is>
      </c>
      <c r="H212" s="27" t="n"/>
      <c r="I212" s="44" t="n"/>
      <c r="J212" s="44" t="n">
        <v>3</v>
      </c>
    </row>
    <row r="213" s="83">
      <c r="A213" s="26" t="inlineStr">
        <is>
          <t>100201</t>
        </is>
      </c>
      <c r="B213" s="26" t="n"/>
      <c r="C213" s="26" t="inlineStr">
        <is>
          <t>2025-03-12</t>
        </is>
      </c>
      <c r="D213" s="26" t="inlineStr">
        <is>
          <t>Q2802</t>
        </is>
      </c>
      <c r="E213" s="26" t="n"/>
      <c r="F213" s="26" t="inlineStr">
        <is>
          <t>浙江精准学科技有限公司</t>
        </is>
      </c>
      <c r="G213" s="26" t="inlineStr">
        <is>
          <t>记-42</t>
        </is>
      </c>
      <c r="H213" s="26" t="n"/>
      <c r="I213" s="45" t="n"/>
      <c r="J213" s="44" t="n">
        <v>3</v>
      </c>
    </row>
    <row r="214" s="83">
      <c r="A214" s="27" t="inlineStr">
        <is>
          <t>100201</t>
        </is>
      </c>
      <c r="B214" s="27" t="n"/>
      <c r="C214" s="27" t="inlineStr">
        <is>
          <t>2025-03-25</t>
        </is>
      </c>
      <c r="D214" s="27" t="inlineStr">
        <is>
          <t>Q2802</t>
        </is>
      </c>
      <c r="E214" s="27" t="n"/>
      <c r="F214" s="27" t="inlineStr">
        <is>
          <t>浙江精准学科技有限公司</t>
        </is>
      </c>
      <c r="G214" s="27" t="inlineStr">
        <is>
          <t>记-115</t>
        </is>
      </c>
      <c r="H214" s="27" t="n"/>
      <c r="I214" s="44" t="n"/>
      <c r="J214" s="44" t="n">
        <v>3</v>
      </c>
    </row>
    <row r="215" s="83">
      <c r="A215" s="26" t="inlineStr">
        <is>
          <t>100201</t>
        </is>
      </c>
      <c r="B215" s="26" t="n"/>
      <c r="C215" s="26" t="inlineStr">
        <is>
          <t>2025-03-25</t>
        </is>
      </c>
      <c r="D215" s="26" t="inlineStr">
        <is>
          <t>Q2802</t>
        </is>
      </c>
      <c r="E215" s="26" t="n"/>
      <c r="F215" s="26" t="inlineStr">
        <is>
          <t>浙江精准学科技有限公司</t>
        </is>
      </c>
      <c r="G215" s="26" t="inlineStr">
        <is>
          <t>记-116</t>
        </is>
      </c>
      <c r="H215" s="26" t="n"/>
      <c r="I215" s="45" t="n"/>
      <c r="J215" s="44" t="n">
        <v>3</v>
      </c>
    </row>
    <row r="216" s="83">
      <c r="A216" s="27" t="inlineStr">
        <is>
          <t>100201</t>
        </is>
      </c>
      <c r="B216" s="27" t="n"/>
      <c r="C216" s="27" t="inlineStr">
        <is>
          <t>2025-03-26</t>
        </is>
      </c>
      <c r="D216" s="27" t="inlineStr">
        <is>
          <t>Q2802</t>
        </is>
      </c>
      <c r="E216" s="27" t="n"/>
      <c r="F216" s="27" t="inlineStr">
        <is>
          <t>浙江精准学科技有限公司</t>
        </is>
      </c>
      <c r="G216" s="27" t="inlineStr">
        <is>
          <t>记-120</t>
        </is>
      </c>
      <c r="H216" s="27" t="n"/>
      <c r="I216" s="44" t="n"/>
      <c r="J216" s="44" t="n">
        <v>3</v>
      </c>
    </row>
    <row r="217" s="83">
      <c r="A217" s="27" t="inlineStr">
        <is>
          <t>100201</t>
        </is>
      </c>
      <c r="B217" s="27" t="n"/>
      <c r="C217" s="27" t="inlineStr">
        <is>
          <t>2025-03-03</t>
        </is>
      </c>
      <c r="D217" s="27" t="inlineStr">
        <is>
          <t>Q2805</t>
        </is>
      </c>
      <c r="E217" s="27" t="n"/>
      <c r="F217" s="27" t="inlineStr">
        <is>
          <t>浙江精准学科技有限公司</t>
        </is>
      </c>
      <c r="G217" s="27" t="inlineStr">
        <is>
          <t>记-7</t>
        </is>
      </c>
      <c r="H217" s="27" t="n"/>
      <c r="I217" s="44" t="n"/>
      <c r="J217" s="44" t="n">
        <v>3</v>
      </c>
    </row>
    <row r="218" s="83">
      <c r="A218" s="27" t="inlineStr">
        <is>
          <t>100201</t>
        </is>
      </c>
      <c r="B218" s="27" t="n"/>
      <c r="C218" s="27" t="inlineStr">
        <is>
          <t>2025-03-24</t>
        </is>
      </c>
      <c r="D218" s="27" t="inlineStr">
        <is>
          <t>Q2901</t>
        </is>
      </c>
      <c r="E218" s="27" t="n"/>
      <c r="F218" s="27" t="inlineStr">
        <is>
          <t>浙江精准学科技有限公司</t>
        </is>
      </c>
      <c r="G218" s="27" t="inlineStr">
        <is>
          <t>记-98</t>
        </is>
      </c>
      <c r="H218" s="27" t="n"/>
      <c r="I218" s="44" t="n"/>
      <c r="J218" s="44" t="n">
        <v>3</v>
      </c>
    </row>
    <row r="219" s="83">
      <c r="A219" s="27" t="inlineStr">
        <is>
          <t>100201</t>
        </is>
      </c>
      <c r="B219" s="27" t="n"/>
      <c r="C219" s="27" t="inlineStr">
        <is>
          <t>2025-03-27</t>
        </is>
      </c>
      <c r="D219" s="27" t="inlineStr">
        <is>
          <t>Q29010</t>
        </is>
      </c>
      <c r="E219" s="27" t="n"/>
      <c r="F219" s="27" t="inlineStr">
        <is>
          <t>浙江精准学科技有限公司</t>
        </is>
      </c>
      <c r="G219" s="27" t="inlineStr">
        <is>
          <t>记-128</t>
        </is>
      </c>
      <c r="H219" s="27" t="n"/>
      <c r="I219" s="44" t="n"/>
      <c r="J219" s="44" t="n">
        <v>3</v>
      </c>
    </row>
    <row r="220" s="83">
      <c r="A220" s="26" t="inlineStr">
        <is>
          <t>100201</t>
        </is>
      </c>
      <c r="B220" s="26" t="n"/>
      <c r="C220" s="26" t="inlineStr">
        <is>
          <t>2025-03-28</t>
        </is>
      </c>
      <c r="D220" s="26" t="inlineStr">
        <is>
          <t>Q29010</t>
        </is>
      </c>
      <c r="E220" s="26" t="n"/>
      <c r="F220" s="26" t="inlineStr">
        <is>
          <t>浙江精准学科技有限公司</t>
        </is>
      </c>
      <c r="G220" s="26" t="inlineStr">
        <is>
          <t>记-140</t>
        </is>
      </c>
      <c r="H220" s="26" t="n"/>
      <c r="I220" s="45" t="n"/>
      <c r="J220" s="44" t="n">
        <v>3</v>
      </c>
    </row>
    <row r="221" s="83">
      <c r="A221" s="27" t="inlineStr">
        <is>
          <t>100201</t>
        </is>
      </c>
      <c r="B221" s="27" t="n"/>
      <c r="C221" s="27" t="inlineStr">
        <is>
          <t>2025-03-12</t>
        </is>
      </c>
      <c r="D221" s="27" t="inlineStr">
        <is>
          <t>Q2902</t>
        </is>
      </c>
      <c r="E221" s="27" t="n"/>
      <c r="F221" s="27" t="inlineStr">
        <is>
          <t>浙江精准学科技有限公司</t>
        </is>
      </c>
      <c r="G221" s="27" t="inlineStr">
        <is>
          <t>记-40</t>
        </is>
      </c>
      <c r="H221" s="27" t="n"/>
      <c r="I221" s="44" t="n"/>
      <c r="J221" s="44" t="n">
        <v>3</v>
      </c>
    </row>
    <row r="222" s="83">
      <c r="A222" s="27" t="inlineStr">
        <is>
          <t>100201</t>
        </is>
      </c>
      <c r="B222" s="27" t="n"/>
      <c r="C222" s="27" t="inlineStr">
        <is>
          <t>2025-03-05</t>
        </is>
      </c>
      <c r="D222" s="27" t="inlineStr">
        <is>
          <t>Q2904</t>
        </is>
      </c>
      <c r="E222" s="27" t="n"/>
      <c r="F222" s="27" t="inlineStr">
        <is>
          <t>浙江精准学科技有限公司</t>
        </is>
      </c>
      <c r="G222" s="27" t="inlineStr">
        <is>
          <t>记-13</t>
        </is>
      </c>
      <c r="H222" s="27" t="n"/>
      <c r="I222" s="44" t="n"/>
      <c r="J222" s="44" t="n">
        <v>3</v>
      </c>
    </row>
    <row r="223" s="83">
      <c r="A223" s="27" t="inlineStr">
        <is>
          <t>100201</t>
        </is>
      </c>
      <c r="B223" s="27" t="n"/>
      <c r="C223" s="27" t="inlineStr">
        <is>
          <t>2025-03-03</t>
        </is>
      </c>
      <c r="D223" s="27" t="inlineStr">
        <is>
          <t>Q2905</t>
        </is>
      </c>
      <c r="E223" s="27" t="n"/>
      <c r="F223" s="27" t="inlineStr">
        <is>
          <t>浙江精准学科技有限公司</t>
        </is>
      </c>
      <c r="G223" s="27" t="inlineStr">
        <is>
          <t>记-6</t>
        </is>
      </c>
      <c r="H223" s="27" t="n"/>
      <c r="I223" s="44" t="n"/>
      <c r="J223" s="44" t="n">
        <v>3</v>
      </c>
    </row>
    <row r="224" s="83">
      <c r="A224" s="26" t="inlineStr">
        <is>
          <t>100201</t>
        </is>
      </c>
      <c r="B224" s="26" t="n"/>
      <c r="C224" s="26" t="inlineStr">
        <is>
          <t>2025-03-25</t>
        </is>
      </c>
      <c r="D224" s="26" t="inlineStr">
        <is>
          <t>Q2905</t>
        </is>
      </c>
      <c r="E224" s="26" t="n"/>
      <c r="F224" s="26" t="inlineStr">
        <is>
          <t>浙江精准学科技有限公司</t>
        </is>
      </c>
      <c r="G224" s="26" t="inlineStr">
        <is>
          <t>记-112</t>
        </is>
      </c>
      <c r="H224" s="26" t="n"/>
      <c r="I224" s="45" t="n"/>
      <c r="J224" s="44" t="n">
        <v>3</v>
      </c>
    </row>
    <row r="225" s="83">
      <c r="A225" s="27" t="inlineStr">
        <is>
          <t>100201</t>
        </is>
      </c>
      <c r="B225" s="27" t="n"/>
      <c r="C225" s="27" t="inlineStr">
        <is>
          <t>2025-03-14</t>
        </is>
      </c>
      <c r="D225" s="27" t="inlineStr">
        <is>
          <t>Q2907</t>
        </is>
      </c>
      <c r="E225" s="27" t="n"/>
      <c r="F225" s="27" t="inlineStr">
        <is>
          <t>浙江精准学科技有限公司</t>
        </is>
      </c>
      <c r="G225" s="27" t="inlineStr">
        <is>
          <t>记-50</t>
        </is>
      </c>
      <c r="H225" s="27" t="n"/>
      <c r="I225" s="44" t="n"/>
      <c r="J225" s="44" t="n">
        <v>3</v>
      </c>
    </row>
    <row r="226" s="83">
      <c r="A226" s="26" t="inlineStr">
        <is>
          <t>100201</t>
        </is>
      </c>
      <c r="B226" s="26" t="n"/>
      <c r="C226" s="26" t="inlineStr">
        <is>
          <t>2025-03-20</t>
        </is>
      </c>
      <c r="D226" s="26" t="inlineStr">
        <is>
          <t>Q2907</t>
        </is>
      </c>
      <c r="E226" s="26" t="n"/>
      <c r="F226" s="26" t="inlineStr">
        <is>
          <t>浙江精准学科技有限公司</t>
        </is>
      </c>
      <c r="G226" s="26" t="inlineStr">
        <is>
          <t>记-82</t>
        </is>
      </c>
      <c r="H226" s="26" t="n"/>
      <c r="I226" s="45" t="n"/>
      <c r="J226" s="44" t="n">
        <v>3</v>
      </c>
    </row>
    <row r="227" s="83">
      <c r="A227" s="27" t="inlineStr">
        <is>
          <t>100201</t>
        </is>
      </c>
      <c r="B227" s="27" t="n"/>
      <c r="C227" s="27" t="inlineStr">
        <is>
          <t>2025-03-25</t>
        </is>
      </c>
      <c r="D227" s="27" t="inlineStr">
        <is>
          <t>Q2908</t>
        </is>
      </c>
      <c r="E227" s="27" t="n"/>
      <c r="F227" s="27" t="inlineStr">
        <is>
          <t>浙江精准学科技有限公司</t>
        </is>
      </c>
      <c r="G227" s="27" t="inlineStr">
        <is>
          <t>记-114</t>
        </is>
      </c>
      <c r="H227" s="27" t="n"/>
      <c r="I227" s="44" t="n"/>
      <c r="J227" s="44" t="n">
        <v>3</v>
      </c>
    </row>
    <row r="228" s="83">
      <c r="A228" s="26" t="inlineStr">
        <is>
          <t>100201</t>
        </is>
      </c>
      <c r="B228" s="26" t="n"/>
      <c r="C228" s="26" t="inlineStr">
        <is>
          <t>2025-03-21</t>
        </is>
      </c>
      <c r="D228" s="26" t="inlineStr">
        <is>
          <t>Q3105</t>
        </is>
      </c>
      <c r="E228" s="26" t="n"/>
      <c r="F228" s="26" t="inlineStr">
        <is>
          <t>浙江精准学科技有限公司</t>
        </is>
      </c>
      <c r="G228" s="26" t="inlineStr">
        <is>
          <t>记-93</t>
        </is>
      </c>
      <c r="H228" s="26" t="n"/>
      <c r="I228" s="44" t="n">
        <v>3</v>
      </c>
      <c r="J228" s="45" t="n"/>
    </row>
    <row r="229" s="83">
      <c r="A229" s="27" t="inlineStr">
        <is>
          <t>100201</t>
        </is>
      </c>
      <c r="B229" s="27" t="n"/>
      <c r="C229" s="27" t="inlineStr">
        <is>
          <t>2025-03-04</t>
        </is>
      </c>
      <c r="D229" s="27" t="inlineStr">
        <is>
          <t>Q3202</t>
        </is>
      </c>
      <c r="E229" s="27" t="n"/>
      <c r="F229" s="27" t="inlineStr">
        <is>
          <t>浙江精准学科技有限公司</t>
        </is>
      </c>
      <c r="G229" s="27" t="inlineStr">
        <is>
          <t>记-10</t>
        </is>
      </c>
      <c r="H229" s="27" t="n"/>
      <c r="I229" s="44" t="n"/>
      <c r="J229" s="44" t="n">
        <v>3</v>
      </c>
    </row>
    <row r="230" s="83">
      <c r="A230" s="26" t="inlineStr">
        <is>
          <t>100201</t>
        </is>
      </c>
      <c r="B230" s="26" t="n"/>
      <c r="C230" s="26" t="inlineStr">
        <is>
          <t>2025-03-27</t>
        </is>
      </c>
      <c r="D230" s="26" t="inlineStr">
        <is>
          <t>Q3202</t>
        </is>
      </c>
      <c r="E230" s="26" t="n"/>
      <c r="F230" s="26" t="inlineStr">
        <is>
          <t>浙江精准学科技有限公司</t>
        </is>
      </c>
      <c r="G230" s="26" t="inlineStr">
        <is>
          <t>记-128</t>
        </is>
      </c>
      <c r="H230" s="26" t="n"/>
      <c r="I230" s="45" t="n"/>
      <c r="J230" s="44" t="n">
        <v>3</v>
      </c>
    </row>
    <row r="231" s="83">
      <c r="A231" s="27" t="inlineStr">
        <is>
          <t>100201</t>
        </is>
      </c>
      <c r="B231" s="27" t="n"/>
      <c r="C231" s="27" t="inlineStr">
        <is>
          <t>2025-03-06</t>
        </is>
      </c>
      <c r="D231" s="27" t="inlineStr">
        <is>
          <t>Q3206</t>
        </is>
      </c>
      <c r="E231" s="27" t="n"/>
      <c r="F231" s="27" t="inlineStr">
        <is>
          <t>浙江精准学科技有限公司</t>
        </is>
      </c>
      <c r="G231" s="27" t="inlineStr">
        <is>
          <t>记-21</t>
        </is>
      </c>
      <c r="H231" s="27" t="n"/>
      <c r="I231" s="44" t="n"/>
      <c r="J231" s="44" t="n">
        <v>3</v>
      </c>
    </row>
    <row r="232" s="83">
      <c r="A232" s="26" t="inlineStr">
        <is>
          <t>100201</t>
        </is>
      </c>
      <c r="B232" s="26" t="n"/>
      <c r="C232" s="26" t="inlineStr">
        <is>
          <t>2025-03-17</t>
        </is>
      </c>
      <c r="D232" s="26" t="inlineStr">
        <is>
          <t>Q3206</t>
        </is>
      </c>
      <c r="E232" s="26" t="n"/>
      <c r="F232" s="26" t="inlineStr">
        <is>
          <t>浙江精准学科技有限公司</t>
        </is>
      </c>
      <c r="G232" s="26" t="inlineStr">
        <is>
          <t>记-61</t>
        </is>
      </c>
      <c r="H232" s="26" t="n"/>
      <c r="I232" s="45" t="n"/>
      <c r="J232" s="44" t="n">
        <v>3</v>
      </c>
    </row>
    <row r="233" s="83">
      <c r="A233" s="27" t="inlineStr">
        <is>
          <t>100201</t>
        </is>
      </c>
      <c r="B233" s="27" t="n"/>
      <c r="C233" s="27" t="inlineStr">
        <is>
          <t>2025-03-21</t>
        </is>
      </c>
      <c r="D233" s="27" t="inlineStr">
        <is>
          <t>Q3208</t>
        </is>
      </c>
      <c r="E233" s="27" t="n"/>
      <c r="F233" s="27" t="inlineStr">
        <is>
          <t>浙江精准学科技有限公司</t>
        </is>
      </c>
      <c r="G233" s="27" t="inlineStr">
        <is>
          <t>记-92</t>
        </is>
      </c>
      <c r="H233" s="27" t="n"/>
      <c r="I233" s="44" t="n"/>
      <c r="J233" s="44" t="n">
        <v>3</v>
      </c>
    </row>
    <row r="234" s="83">
      <c r="A234" s="27" t="inlineStr">
        <is>
          <t>100202</t>
        </is>
      </c>
      <c r="B234" s="27" t="n"/>
      <c r="C234" s="27" t="inlineStr">
        <is>
          <t>2025-03-21</t>
        </is>
      </c>
      <c r="D234" s="27" t="inlineStr">
        <is>
          <t>Q0401</t>
        </is>
      </c>
      <c r="E234" s="27" t="n"/>
      <c r="F234" s="27" t="inlineStr">
        <is>
          <t>浙江精准学科技有限公司</t>
        </is>
      </c>
      <c r="G234" s="27" t="inlineStr">
        <is>
          <t>记-93</t>
        </is>
      </c>
      <c r="H234" s="27" t="n"/>
      <c r="I234" s="44" t="n"/>
      <c r="J234" s="44" t="n">
        <v>3</v>
      </c>
    </row>
    <row r="235" s="83">
      <c r="A235" s="27" t="inlineStr">
        <is>
          <t>101201</t>
        </is>
      </c>
      <c r="B235" s="27" t="n"/>
      <c r="C235" s="27" t="inlineStr">
        <is>
          <t>2025-03-31</t>
        </is>
      </c>
      <c r="D235" s="27" t="inlineStr">
        <is>
          <t>Q0101</t>
        </is>
      </c>
      <c r="E235" s="27" t="n"/>
      <c r="F235" s="27" t="inlineStr">
        <is>
          <t>浙江精准学科技有限公司</t>
        </is>
      </c>
      <c r="G235" s="27" t="inlineStr">
        <is>
          <t>记-160</t>
        </is>
      </c>
      <c r="H235" s="27" t="n"/>
      <c r="I235" s="44" t="n">
        <v>3</v>
      </c>
      <c r="J235" s="44" t="n"/>
    </row>
    <row r="236" s="83">
      <c r="A236" s="26" t="inlineStr">
        <is>
          <t>101201</t>
        </is>
      </c>
      <c r="B236" s="26" t="n"/>
      <c r="C236" s="26" t="inlineStr">
        <is>
          <t>2025-03-31</t>
        </is>
      </c>
      <c r="D236" s="26" t="inlineStr">
        <is>
          <t>Q0101</t>
        </is>
      </c>
      <c r="E236" s="26" t="n"/>
      <c r="F236" s="26" t="inlineStr">
        <is>
          <t>浙江精准学科技有限公司</t>
        </is>
      </c>
      <c r="G236" s="26" t="inlineStr">
        <is>
          <t>记-162</t>
        </is>
      </c>
      <c r="H236" s="26" t="n"/>
      <c r="I236" s="45" t="n"/>
      <c r="J236" s="44" t="n">
        <v>3</v>
      </c>
    </row>
    <row r="237" s="83">
      <c r="A237" s="27" t="inlineStr">
        <is>
          <t>101201</t>
        </is>
      </c>
      <c r="B237" s="27" t="n"/>
      <c r="C237" s="27" t="inlineStr">
        <is>
          <t>2025-03-31</t>
        </is>
      </c>
      <c r="D237" s="27" t="inlineStr">
        <is>
          <t>Q0101</t>
        </is>
      </c>
      <c r="E237" s="27" t="n"/>
      <c r="F237" s="27" t="inlineStr">
        <is>
          <t>浙江精准学科技有限公司</t>
        </is>
      </c>
      <c r="G237" s="27" t="inlineStr">
        <is>
          <t>记-163</t>
        </is>
      </c>
      <c r="H237" s="27" t="n"/>
      <c r="I237" s="44" t="n"/>
      <c r="J237" s="44" t="n">
        <v>3</v>
      </c>
    </row>
    <row r="238" s="83">
      <c r="A238" s="26" t="inlineStr">
        <is>
          <t>101201</t>
        </is>
      </c>
      <c r="B238" s="26" t="n"/>
      <c r="C238" s="26" t="inlineStr">
        <is>
          <t>2025-03-31</t>
        </is>
      </c>
      <c r="D238" s="26" t="inlineStr">
        <is>
          <t>Q0201</t>
        </is>
      </c>
      <c r="E238" s="26" t="n"/>
      <c r="F238" s="26" t="inlineStr">
        <is>
          <t>浙江精准学科技有限公司</t>
        </is>
      </c>
      <c r="G238" s="26" t="inlineStr">
        <is>
          <t>记-160</t>
        </is>
      </c>
      <c r="H238" s="26" t="n"/>
      <c r="I238" s="44" t="n">
        <v>3</v>
      </c>
      <c r="J238" s="45" t="n"/>
    </row>
    <row r="239" s="83">
      <c r="A239" s="27" t="inlineStr">
        <is>
          <t>101201</t>
        </is>
      </c>
      <c r="B239" s="27" t="n"/>
      <c r="C239" s="27" t="inlineStr">
        <is>
          <t>2025-03-31</t>
        </is>
      </c>
      <c r="D239" s="27" t="inlineStr">
        <is>
          <t>Q0302</t>
        </is>
      </c>
      <c r="E239" s="27" t="n"/>
      <c r="F239" s="27" t="inlineStr">
        <is>
          <t>浙江精准学科技有限公司</t>
        </is>
      </c>
      <c r="G239" s="27" t="inlineStr">
        <is>
          <t>记-163</t>
        </is>
      </c>
      <c r="H239" s="27" t="n"/>
      <c r="I239" s="44" t="n">
        <v>3</v>
      </c>
      <c r="J239" s="44" t="n"/>
    </row>
    <row r="240" s="83">
      <c r="A240" s="26" t="inlineStr">
        <is>
          <t>101201</t>
        </is>
      </c>
      <c r="B240" s="26" t="n"/>
      <c r="C240" s="26" t="inlineStr">
        <is>
          <t>2025-03-31</t>
        </is>
      </c>
      <c r="D240" s="26" t="inlineStr">
        <is>
          <t>Q0303</t>
        </is>
      </c>
      <c r="E240" s="26" t="n"/>
      <c r="F240" s="26" t="inlineStr">
        <is>
          <t>浙江精准学科技有限公司</t>
        </is>
      </c>
      <c r="G240" s="26" t="inlineStr">
        <is>
          <t>记-164</t>
        </is>
      </c>
      <c r="H240" s="26" t="n"/>
      <c r="I240" s="44" t="n">
        <v>3</v>
      </c>
      <c r="J240" s="45" t="n"/>
    </row>
    <row r="241" s="83">
      <c r="A241" s="27" t="inlineStr">
        <is>
          <t>101201</t>
        </is>
      </c>
      <c r="B241" s="27" t="n"/>
      <c r="C241" s="27" t="inlineStr">
        <is>
          <t>2025-03-31</t>
        </is>
      </c>
      <c r="D241" s="27" t="inlineStr">
        <is>
          <t>Q0303</t>
        </is>
      </c>
      <c r="E241" s="27" t="n"/>
      <c r="F241" s="27" t="inlineStr">
        <is>
          <t>浙江精准学科技有限公司</t>
        </is>
      </c>
      <c r="G241" s="27" t="inlineStr">
        <is>
          <t>记-164</t>
        </is>
      </c>
      <c r="H241" s="27" t="n"/>
      <c r="I241" s="44" t="n">
        <v>3</v>
      </c>
      <c r="J241" s="44" t="n"/>
    </row>
    <row r="242" s="83">
      <c r="A242" s="26" t="inlineStr">
        <is>
          <t>101201</t>
        </is>
      </c>
      <c r="B242" s="26" t="n"/>
      <c r="C242" s="26" t="inlineStr">
        <is>
          <t>2025-03-31</t>
        </is>
      </c>
      <c r="D242" s="26" t="inlineStr">
        <is>
          <t>Q0303</t>
        </is>
      </c>
      <c r="E242" s="26" t="n"/>
      <c r="F242" s="26" t="inlineStr">
        <is>
          <t>浙江精准学科技有限公司</t>
        </is>
      </c>
      <c r="G242" s="26" t="inlineStr">
        <is>
          <t>记-164</t>
        </is>
      </c>
      <c r="H242" s="26" t="n"/>
      <c r="I242" s="44" t="n">
        <v>3</v>
      </c>
      <c r="J242" s="45" t="n"/>
    </row>
    <row r="243" s="83">
      <c r="A243" s="27" t="inlineStr">
        <is>
          <t>101201</t>
        </is>
      </c>
      <c r="B243" s="27" t="n"/>
      <c r="C243" s="27" t="inlineStr">
        <is>
          <t>2025-03-31</t>
        </is>
      </c>
      <c r="D243" s="27" t="inlineStr">
        <is>
          <t>Q0303</t>
        </is>
      </c>
      <c r="E243" s="27" t="n"/>
      <c r="F243" s="27" t="inlineStr">
        <is>
          <t>浙江精准学科技有限公司</t>
        </is>
      </c>
      <c r="G243" s="27" t="inlineStr">
        <is>
          <t>记-164</t>
        </is>
      </c>
      <c r="H243" s="27" t="n"/>
      <c r="I243" s="44" t="n">
        <v>3</v>
      </c>
      <c r="J243" s="44" t="n"/>
    </row>
    <row r="244" s="83">
      <c r="A244" s="26" t="inlineStr">
        <is>
          <t>101201</t>
        </is>
      </c>
      <c r="B244" s="26" t="n"/>
      <c r="C244" s="26" t="inlineStr">
        <is>
          <t>2025-03-31</t>
        </is>
      </c>
      <c r="D244" s="26" t="inlineStr">
        <is>
          <t>Q0303</t>
        </is>
      </c>
      <c r="E244" s="26" t="n"/>
      <c r="F244" s="26" t="inlineStr">
        <is>
          <t>浙江精准学科技有限公司</t>
        </is>
      </c>
      <c r="G244" s="26" t="inlineStr">
        <is>
          <t>记-164</t>
        </is>
      </c>
      <c r="H244" s="26" t="n"/>
      <c r="I244" s="44" t="n">
        <v>3</v>
      </c>
      <c r="J244" s="45" t="n"/>
    </row>
    <row r="245" s="83">
      <c r="A245" s="27" t="inlineStr">
        <is>
          <t>101201</t>
        </is>
      </c>
      <c r="B245" s="27" t="n"/>
      <c r="C245" s="27" t="inlineStr">
        <is>
          <t>2025-03-01</t>
        </is>
      </c>
      <c r="D245" s="27" t="inlineStr">
        <is>
          <t>Q0401</t>
        </is>
      </c>
      <c r="E245" s="27" t="n"/>
      <c r="F245" s="27" t="inlineStr">
        <is>
          <t>浙江精准学科技有限公司</t>
        </is>
      </c>
      <c r="G245" s="27" t="inlineStr">
        <is>
          <t>记-1</t>
        </is>
      </c>
      <c r="H245" s="27" t="n"/>
      <c r="I245" s="44" t="n"/>
      <c r="J245" s="44" t="n">
        <v>3</v>
      </c>
    </row>
    <row r="246" s="83">
      <c r="A246" s="26" t="inlineStr">
        <is>
          <t>101201</t>
        </is>
      </c>
      <c r="B246" s="26" t="n"/>
      <c r="C246" s="26" t="inlineStr">
        <is>
          <t>2025-03-02</t>
        </is>
      </c>
      <c r="D246" s="26" t="inlineStr">
        <is>
          <t>Q0401</t>
        </is>
      </c>
      <c r="E246" s="26" t="n"/>
      <c r="F246" s="26" t="inlineStr">
        <is>
          <t>浙江精准学科技有限公司</t>
        </is>
      </c>
      <c r="G246" s="26" t="inlineStr">
        <is>
          <t>记-2</t>
        </is>
      </c>
      <c r="H246" s="26" t="n"/>
      <c r="I246" s="45" t="n"/>
      <c r="J246" s="44" t="n">
        <v>3</v>
      </c>
    </row>
    <row r="247" s="83">
      <c r="A247" s="27" t="inlineStr">
        <is>
          <t>101201</t>
        </is>
      </c>
      <c r="B247" s="27" t="n"/>
      <c r="C247" s="27" t="inlineStr">
        <is>
          <t>2025-03-03</t>
        </is>
      </c>
      <c r="D247" s="27" t="inlineStr">
        <is>
          <t>Q0401</t>
        </is>
      </c>
      <c r="E247" s="27" t="n"/>
      <c r="F247" s="27" t="inlineStr">
        <is>
          <t>浙江精准学科技有限公司</t>
        </is>
      </c>
      <c r="G247" s="27" t="inlineStr">
        <is>
          <t>记-3</t>
        </is>
      </c>
      <c r="H247" s="27" t="n"/>
      <c r="I247" s="44" t="n"/>
      <c r="J247" s="44" t="n">
        <v>3</v>
      </c>
    </row>
    <row r="248" s="83">
      <c r="A248" s="26" t="inlineStr">
        <is>
          <t>101201</t>
        </is>
      </c>
      <c r="B248" s="26" t="n"/>
      <c r="C248" s="26" t="inlineStr">
        <is>
          <t>2025-03-04</t>
        </is>
      </c>
      <c r="D248" s="26" t="inlineStr">
        <is>
          <t>Q0401</t>
        </is>
      </c>
      <c r="E248" s="26" t="n"/>
      <c r="F248" s="26" t="inlineStr">
        <is>
          <t>浙江精准学科技有限公司</t>
        </is>
      </c>
      <c r="G248" s="26" t="inlineStr">
        <is>
          <t>记-8</t>
        </is>
      </c>
      <c r="H248" s="26" t="n"/>
      <c r="I248" s="45" t="n"/>
      <c r="J248" s="44" t="n">
        <v>3</v>
      </c>
    </row>
    <row r="249" s="83">
      <c r="A249" s="27" t="inlineStr">
        <is>
          <t>101201</t>
        </is>
      </c>
      <c r="B249" s="27" t="n"/>
      <c r="C249" s="27" t="inlineStr">
        <is>
          <t>2025-03-05</t>
        </is>
      </c>
      <c r="D249" s="27" t="inlineStr">
        <is>
          <t>Q0401</t>
        </is>
      </c>
      <c r="E249" s="27" t="n"/>
      <c r="F249" s="27" t="inlineStr">
        <is>
          <t>浙江精准学科技有限公司</t>
        </is>
      </c>
      <c r="G249" s="27" t="inlineStr">
        <is>
          <t>记-11</t>
        </is>
      </c>
      <c r="H249" s="27" t="n"/>
      <c r="I249" s="44" t="n"/>
      <c r="J249" s="44" t="n">
        <v>3</v>
      </c>
    </row>
    <row r="250" s="83">
      <c r="A250" s="26" t="inlineStr">
        <is>
          <t>101201</t>
        </is>
      </c>
      <c r="B250" s="26" t="n"/>
      <c r="C250" s="26" t="inlineStr">
        <is>
          <t>2025-03-06</t>
        </is>
      </c>
      <c r="D250" s="26" t="inlineStr">
        <is>
          <t>Q0401</t>
        </is>
      </c>
      <c r="E250" s="26" t="n"/>
      <c r="F250" s="26" t="inlineStr">
        <is>
          <t>浙江精准学科技有限公司</t>
        </is>
      </c>
      <c r="G250" s="26" t="inlineStr">
        <is>
          <t>记-16</t>
        </is>
      </c>
      <c r="H250" s="26" t="n"/>
      <c r="I250" s="45" t="n"/>
      <c r="J250" s="44" t="n">
        <v>3</v>
      </c>
    </row>
    <row r="251" s="83">
      <c r="A251" s="27" t="inlineStr">
        <is>
          <t>101201</t>
        </is>
      </c>
      <c r="B251" s="27" t="n"/>
      <c r="C251" s="27" t="inlineStr">
        <is>
          <t>2025-03-07</t>
        </is>
      </c>
      <c r="D251" s="27" t="inlineStr">
        <is>
          <t>Q0401</t>
        </is>
      </c>
      <c r="E251" s="27" t="n"/>
      <c r="F251" s="27" t="inlineStr">
        <is>
          <t>浙江精准学科技有限公司</t>
        </is>
      </c>
      <c r="G251" s="27" t="inlineStr">
        <is>
          <t>记-23</t>
        </is>
      </c>
      <c r="H251" s="27" t="n"/>
      <c r="I251" s="44" t="n"/>
      <c r="J251" s="44" t="n">
        <v>3</v>
      </c>
    </row>
    <row r="252" s="83">
      <c r="A252" s="26" t="inlineStr">
        <is>
          <t>101201</t>
        </is>
      </c>
      <c r="B252" s="26" t="n"/>
      <c r="C252" s="26" t="inlineStr">
        <is>
          <t>2025-03-08</t>
        </is>
      </c>
      <c r="D252" s="26" t="inlineStr">
        <is>
          <t>Q0401</t>
        </is>
      </c>
      <c r="E252" s="26" t="n"/>
      <c r="F252" s="26" t="inlineStr">
        <is>
          <t>浙江精准学科技有限公司</t>
        </is>
      </c>
      <c r="G252" s="26" t="inlineStr">
        <is>
          <t>记-27</t>
        </is>
      </c>
      <c r="H252" s="26" t="n"/>
      <c r="I252" s="45" t="n"/>
      <c r="J252" s="44" t="n">
        <v>3</v>
      </c>
    </row>
    <row r="253" s="83">
      <c r="A253" s="27" t="inlineStr">
        <is>
          <t>101201</t>
        </is>
      </c>
      <c r="B253" s="27" t="n"/>
      <c r="C253" s="27" t="inlineStr">
        <is>
          <t>2025-03-09</t>
        </is>
      </c>
      <c r="D253" s="27" t="inlineStr">
        <is>
          <t>Q0401</t>
        </is>
      </c>
      <c r="E253" s="27" t="n"/>
      <c r="F253" s="27" t="inlineStr">
        <is>
          <t>浙江精准学科技有限公司</t>
        </is>
      </c>
      <c r="G253" s="27" t="inlineStr">
        <is>
          <t>记-28</t>
        </is>
      </c>
      <c r="H253" s="27" t="n"/>
      <c r="I253" s="44" t="n"/>
      <c r="J253" s="44" t="n">
        <v>3</v>
      </c>
    </row>
    <row r="254" s="83">
      <c r="A254" s="26" t="inlineStr">
        <is>
          <t>101201</t>
        </is>
      </c>
      <c r="B254" s="26" t="n"/>
      <c r="C254" s="26" t="inlineStr">
        <is>
          <t>2025-03-10</t>
        </is>
      </c>
      <c r="D254" s="26" t="inlineStr">
        <is>
          <t>Q0401</t>
        </is>
      </c>
      <c r="E254" s="26" t="n"/>
      <c r="F254" s="26" t="inlineStr">
        <is>
          <t>浙江精准学科技有限公司</t>
        </is>
      </c>
      <c r="G254" s="26" t="inlineStr">
        <is>
          <t>记-29</t>
        </is>
      </c>
      <c r="H254" s="26" t="n"/>
      <c r="I254" s="45" t="n"/>
      <c r="J254" s="44" t="n">
        <v>3</v>
      </c>
    </row>
    <row r="255" s="83">
      <c r="A255" s="27" t="inlineStr">
        <is>
          <t>101201</t>
        </is>
      </c>
      <c r="B255" s="27" t="n"/>
      <c r="C255" s="27" t="inlineStr">
        <is>
          <t>2025-03-11</t>
        </is>
      </c>
      <c r="D255" s="27" t="inlineStr">
        <is>
          <t>Q0401</t>
        </is>
      </c>
      <c r="E255" s="27" t="n"/>
      <c r="F255" s="27" t="inlineStr">
        <is>
          <t>浙江精准学科技有限公司</t>
        </is>
      </c>
      <c r="G255" s="27" t="inlineStr">
        <is>
          <t>记-33</t>
        </is>
      </c>
      <c r="H255" s="27" t="n"/>
      <c r="I255" s="44" t="n"/>
      <c r="J255" s="44" t="n">
        <v>3</v>
      </c>
    </row>
    <row r="256" s="83">
      <c r="A256" s="26" t="inlineStr">
        <is>
          <t>101201</t>
        </is>
      </c>
      <c r="B256" s="26" t="n"/>
      <c r="C256" s="26" t="inlineStr">
        <is>
          <t>2025-03-12</t>
        </is>
      </c>
      <c r="D256" s="26" t="inlineStr">
        <is>
          <t>Q0401</t>
        </is>
      </c>
      <c r="E256" s="26" t="n"/>
      <c r="F256" s="26" t="inlineStr">
        <is>
          <t>浙江精准学科技有限公司</t>
        </is>
      </c>
      <c r="G256" s="26" t="inlineStr">
        <is>
          <t>记-38</t>
        </is>
      </c>
      <c r="H256" s="26" t="n"/>
      <c r="I256" s="45" t="n"/>
      <c r="J256" s="44" t="n">
        <v>3</v>
      </c>
    </row>
    <row r="257" s="83">
      <c r="A257" s="27" t="inlineStr">
        <is>
          <t>101201</t>
        </is>
      </c>
      <c r="B257" s="27" t="n"/>
      <c r="C257" s="27" t="inlineStr">
        <is>
          <t>2025-03-13</t>
        </is>
      </c>
      <c r="D257" s="27" t="inlineStr">
        <is>
          <t>Q0401</t>
        </is>
      </c>
      <c r="E257" s="27" t="n"/>
      <c r="F257" s="27" t="inlineStr">
        <is>
          <t>浙江精准学科技有限公司</t>
        </is>
      </c>
      <c r="G257" s="27" t="inlineStr">
        <is>
          <t>记-43</t>
        </is>
      </c>
      <c r="H257" s="27" t="n"/>
      <c r="I257" s="44" t="n"/>
      <c r="J257" s="44" t="n">
        <v>3</v>
      </c>
    </row>
    <row r="258" s="83">
      <c r="A258" s="26" t="inlineStr">
        <is>
          <t>101201</t>
        </is>
      </c>
      <c r="B258" s="26" t="n"/>
      <c r="C258" s="26" t="inlineStr">
        <is>
          <t>2025-03-14</t>
        </is>
      </c>
      <c r="D258" s="26" t="inlineStr">
        <is>
          <t>Q0401</t>
        </is>
      </c>
      <c r="E258" s="26" t="n"/>
      <c r="F258" s="26" t="inlineStr">
        <is>
          <t>浙江精准学科技有限公司</t>
        </is>
      </c>
      <c r="G258" s="26" t="inlineStr">
        <is>
          <t>记-45</t>
        </is>
      </c>
      <c r="H258" s="26" t="n"/>
      <c r="I258" s="45" t="n"/>
      <c r="J258" s="44" t="n">
        <v>3</v>
      </c>
    </row>
    <row r="259" s="83">
      <c r="A259" s="27" t="inlineStr">
        <is>
          <t>101201</t>
        </is>
      </c>
      <c r="B259" s="27" t="n"/>
      <c r="C259" s="27" t="inlineStr">
        <is>
          <t>2025-03-15</t>
        </is>
      </c>
      <c r="D259" s="27" t="inlineStr">
        <is>
          <t>Q0401</t>
        </is>
      </c>
      <c r="E259" s="27" t="n"/>
      <c r="F259" s="27" t="inlineStr">
        <is>
          <t>浙江精准学科技有限公司</t>
        </is>
      </c>
      <c r="G259" s="27" t="inlineStr">
        <is>
          <t>记-55</t>
        </is>
      </c>
      <c r="H259" s="27" t="n"/>
      <c r="I259" s="44" t="n"/>
      <c r="J259" s="44" t="n">
        <v>3</v>
      </c>
    </row>
    <row r="260" s="83">
      <c r="A260" s="26" t="inlineStr">
        <is>
          <t>101201</t>
        </is>
      </c>
      <c r="B260" s="26" t="n"/>
      <c r="C260" s="26" t="inlineStr">
        <is>
          <t>2025-03-16</t>
        </is>
      </c>
      <c r="D260" s="26" t="inlineStr">
        <is>
          <t>Q0401</t>
        </is>
      </c>
      <c r="E260" s="26" t="n"/>
      <c r="F260" s="26" t="inlineStr">
        <is>
          <t>浙江精准学科技有限公司</t>
        </is>
      </c>
      <c r="G260" s="26" t="inlineStr">
        <is>
          <t>记-57</t>
        </is>
      </c>
      <c r="H260" s="26" t="n"/>
      <c r="I260" s="45" t="n"/>
      <c r="J260" s="44" t="n">
        <v>3</v>
      </c>
    </row>
    <row r="261" s="83">
      <c r="A261" s="27" t="inlineStr">
        <is>
          <t>101201</t>
        </is>
      </c>
      <c r="B261" s="27" t="n"/>
      <c r="C261" s="27" t="inlineStr">
        <is>
          <t>2025-03-17</t>
        </is>
      </c>
      <c r="D261" s="27" t="inlineStr">
        <is>
          <t>Q0401</t>
        </is>
      </c>
      <c r="E261" s="27" t="n"/>
      <c r="F261" s="27" t="inlineStr">
        <is>
          <t>浙江精准学科技有限公司</t>
        </is>
      </c>
      <c r="G261" s="27" t="inlineStr">
        <is>
          <t>记-58</t>
        </is>
      </c>
      <c r="H261" s="27" t="n"/>
      <c r="I261" s="44" t="n"/>
      <c r="J261" s="44" t="n">
        <v>3</v>
      </c>
    </row>
    <row r="262" s="83">
      <c r="A262" s="26" t="inlineStr">
        <is>
          <t>101201</t>
        </is>
      </c>
      <c r="B262" s="26" t="n"/>
      <c r="C262" s="26" t="inlineStr">
        <is>
          <t>2025-03-18</t>
        </is>
      </c>
      <c r="D262" s="26" t="inlineStr">
        <is>
          <t>Q0401</t>
        </is>
      </c>
      <c r="E262" s="26" t="n"/>
      <c r="F262" s="26" t="inlineStr">
        <is>
          <t>浙江精准学科技有限公司</t>
        </is>
      </c>
      <c r="G262" s="26" t="inlineStr">
        <is>
          <t>记-63</t>
        </is>
      </c>
      <c r="H262" s="26" t="n"/>
      <c r="I262" s="45" t="n"/>
      <c r="J262" s="44" t="n">
        <v>3</v>
      </c>
    </row>
    <row r="263" s="83">
      <c r="A263" s="27" t="inlineStr">
        <is>
          <t>101201</t>
        </is>
      </c>
      <c r="B263" s="27" t="n"/>
      <c r="C263" s="27" t="inlineStr">
        <is>
          <t>2025-03-19</t>
        </is>
      </c>
      <c r="D263" s="27" t="inlineStr">
        <is>
          <t>Q0401</t>
        </is>
      </c>
      <c r="E263" s="27" t="n"/>
      <c r="F263" s="27" t="inlineStr">
        <is>
          <t>浙江精准学科技有限公司</t>
        </is>
      </c>
      <c r="G263" s="27" t="inlineStr">
        <is>
          <t>记-68</t>
        </is>
      </c>
      <c r="H263" s="27" t="n"/>
      <c r="I263" s="44" t="n"/>
      <c r="J263" s="44" t="n">
        <v>3</v>
      </c>
    </row>
    <row r="264" s="83">
      <c r="A264" s="26" t="inlineStr">
        <is>
          <t>101201</t>
        </is>
      </c>
      <c r="B264" s="26" t="n"/>
      <c r="C264" s="26" t="inlineStr">
        <is>
          <t>2025-03-20</t>
        </is>
      </c>
      <c r="D264" s="26" t="inlineStr">
        <is>
          <t>Q0401</t>
        </is>
      </c>
      <c r="E264" s="26" t="n"/>
      <c r="F264" s="26" t="inlineStr">
        <is>
          <t>浙江精准学科技有限公司</t>
        </is>
      </c>
      <c r="G264" s="26" t="inlineStr">
        <is>
          <t>记-79</t>
        </is>
      </c>
      <c r="H264" s="26" t="n"/>
      <c r="I264" s="45" t="n"/>
      <c r="J264" s="44" t="n">
        <v>3</v>
      </c>
    </row>
    <row r="265" s="83">
      <c r="A265" s="27" t="inlineStr">
        <is>
          <t>101201</t>
        </is>
      </c>
      <c r="B265" s="27" t="n"/>
      <c r="C265" s="27" t="inlineStr">
        <is>
          <t>2025-03-21</t>
        </is>
      </c>
      <c r="D265" s="27" t="inlineStr">
        <is>
          <t>Q0401</t>
        </is>
      </c>
      <c r="E265" s="27" t="n"/>
      <c r="F265" s="27" t="inlineStr">
        <is>
          <t>浙江精准学科技有限公司</t>
        </is>
      </c>
      <c r="G265" s="27" t="inlineStr">
        <is>
          <t>记-87</t>
        </is>
      </c>
      <c r="H265" s="27" t="n"/>
      <c r="I265" s="44" t="n"/>
      <c r="J265" s="44" t="n">
        <v>3</v>
      </c>
    </row>
    <row r="266" s="83">
      <c r="A266" s="26" t="inlineStr">
        <is>
          <t>101201</t>
        </is>
      </c>
      <c r="B266" s="26" t="n"/>
      <c r="C266" s="26" t="inlineStr">
        <is>
          <t>2025-03-22</t>
        </is>
      </c>
      <c r="D266" s="26" t="inlineStr">
        <is>
          <t>Q0401</t>
        </is>
      </c>
      <c r="E266" s="26" t="n"/>
      <c r="F266" s="26" t="inlineStr">
        <is>
          <t>浙江精准学科技有限公司</t>
        </is>
      </c>
      <c r="G266" s="26" t="inlineStr">
        <is>
          <t>记-95</t>
        </is>
      </c>
      <c r="H266" s="26" t="n"/>
      <c r="I266" s="45" t="n"/>
      <c r="J266" s="44" t="n">
        <v>3</v>
      </c>
    </row>
    <row r="267" s="83">
      <c r="A267" s="27" t="inlineStr">
        <is>
          <t>101201</t>
        </is>
      </c>
      <c r="B267" s="27" t="n"/>
      <c r="C267" s="27" t="inlineStr">
        <is>
          <t>2025-03-23</t>
        </is>
      </c>
      <c r="D267" s="27" t="inlineStr">
        <is>
          <t>Q0401</t>
        </is>
      </c>
      <c r="E267" s="27" t="n"/>
      <c r="F267" s="27" t="inlineStr">
        <is>
          <t>浙江精准学科技有限公司</t>
        </is>
      </c>
      <c r="G267" s="27" t="inlineStr">
        <is>
          <t>记-96</t>
        </is>
      </c>
      <c r="H267" s="27" t="n"/>
      <c r="I267" s="44" t="n"/>
      <c r="J267" s="44" t="n">
        <v>3</v>
      </c>
    </row>
    <row r="268" s="83">
      <c r="A268" s="26" t="inlineStr">
        <is>
          <t>101201</t>
        </is>
      </c>
      <c r="B268" s="26" t="n"/>
      <c r="C268" s="26" t="inlineStr">
        <is>
          <t>2025-03-24</t>
        </is>
      </c>
      <c r="D268" s="26" t="inlineStr">
        <is>
          <t>Q0401</t>
        </is>
      </c>
      <c r="E268" s="26" t="n"/>
      <c r="F268" s="26" t="inlineStr">
        <is>
          <t>浙江精准学科技有限公司</t>
        </is>
      </c>
      <c r="G268" s="26" t="inlineStr">
        <is>
          <t>记-99</t>
        </is>
      </c>
      <c r="H268" s="26" t="n"/>
      <c r="I268" s="45" t="n"/>
      <c r="J268" s="44" t="n">
        <v>3</v>
      </c>
    </row>
    <row r="269" s="83">
      <c r="A269" s="27" t="inlineStr">
        <is>
          <t>101201</t>
        </is>
      </c>
      <c r="B269" s="27" t="n"/>
      <c r="C269" s="27" t="inlineStr">
        <is>
          <t>2025-03-25</t>
        </is>
      </c>
      <c r="D269" s="27" t="inlineStr">
        <is>
          <t>Q0401</t>
        </is>
      </c>
      <c r="E269" s="27" t="n"/>
      <c r="F269" s="27" t="inlineStr">
        <is>
          <t>浙江精准学科技有限公司</t>
        </is>
      </c>
      <c r="G269" s="27" t="inlineStr">
        <is>
          <t>记-108</t>
        </is>
      </c>
      <c r="H269" s="27" t="n"/>
      <c r="I269" s="44" t="n"/>
      <c r="J269" s="44" t="n">
        <v>3</v>
      </c>
    </row>
    <row r="270" s="83">
      <c r="A270" s="26" t="inlineStr">
        <is>
          <t>101201</t>
        </is>
      </c>
      <c r="B270" s="26" t="n"/>
      <c r="C270" s="26" t="inlineStr">
        <is>
          <t>2025-03-26</t>
        </is>
      </c>
      <c r="D270" s="26" t="inlineStr">
        <is>
          <t>Q0401</t>
        </is>
      </c>
      <c r="E270" s="26" t="n"/>
      <c r="F270" s="26" t="inlineStr">
        <is>
          <t>浙江精准学科技有限公司</t>
        </is>
      </c>
      <c r="G270" s="26" t="inlineStr">
        <is>
          <t>记-118</t>
        </is>
      </c>
      <c r="H270" s="26" t="n"/>
      <c r="I270" s="45" t="n"/>
      <c r="J270" s="44" t="n">
        <v>3</v>
      </c>
    </row>
    <row r="271" s="83">
      <c r="A271" s="27" t="inlineStr">
        <is>
          <t>101201</t>
        </is>
      </c>
      <c r="B271" s="27" t="n"/>
      <c r="C271" s="27" t="inlineStr">
        <is>
          <t>2025-03-27</t>
        </is>
      </c>
      <c r="D271" s="27" t="inlineStr">
        <is>
          <t>Q0401</t>
        </is>
      </c>
      <c r="E271" s="27" t="n"/>
      <c r="F271" s="27" t="inlineStr">
        <is>
          <t>浙江精准学科技有限公司</t>
        </is>
      </c>
      <c r="G271" s="27" t="inlineStr">
        <is>
          <t>记-126</t>
        </is>
      </c>
      <c r="H271" s="27" t="n"/>
      <c r="I271" s="44" t="n"/>
      <c r="J271" s="44" t="n">
        <v>3</v>
      </c>
    </row>
    <row r="272" s="83">
      <c r="A272" s="26" t="inlineStr">
        <is>
          <t>101201</t>
        </is>
      </c>
      <c r="B272" s="26" t="n"/>
      <c r="C272" s="26" t="inlineStr">
        <is>
          <t>2025-03-28</t>
        </is>
      </c>
      <c r="D272" s="26" t="inlineStr">
        <is>
          <t>Q0401</t>
        </is>
      </c>
      <c r="E272" s="26" t="n"/>
      <c r="F272" s="26" t="inlineStr">
        <is>
          <t>浙江精准学科技有限公司</t>
        </is>
      </c>
      <c r="G272" s="26" t="inlineStr">
        <is>
          <t>记-133</t>
        </is>
      </c>
      <c r="H272" s="26" t="n"/>
      <c r="I272" s="45" t="n"/>
      <c r="J272" s="44" t="n">
        <v>3</v>
      </c>
    </row>
    <row r="273" s="83">
      <c r="A273" s="27" t="inlineStr">
        <is>
          <t>101201</t>
        </is>
      </c>
      <c r="B273" s="27" t="n"/>
      <c r="C273" s="27" t="inlineStr">
        <is>
          <t>2025-03-29</t>
        </is>
      </c>
      <c r="D273" s="27" t="inlineStr">
        <is>
          <t>Q0401</t>
        </is>
      </c>
      <c r="E273" s="27" t="n"/>
      <c r="F273" s="27" t="inlineStr">
        <is>
          <t>浙江精准学科技有限公司</t>
        </is>
      </c>
      <c r="G273" s="27" t="inlineStr">
        <is>
          <t>记-141</t>
        </is>
      </c>
      <c r="H273" s="27" t="n"/>
      <c r="I273" s="44" t="n"/>
      <c r="J273" s="44" t="n">
        <v>3</v>
      </c>
    </row>
    <row r="274" s="83">
      <c r="A274" s="26" t="inlineStr">
        <is>
          <t>101201</t>
        </is>
      </c>
      <c r="B274" s="26" t="n"/>
      <c r="C274" s="26" t="inlineStr">
        <is>
          <t>2025-03-29</t>
        </is>
      </c>
      <c r="D274" s="26" t="inlineStr">
        <is>
          <t>Q0401</t>
        </is>
      </c>
      <c r="E274" s="26" t="n"/>
      <c r="F274" s="26" t="inlineStr">
        <is>
          <t>浙江精准学科技有限公司</t>
        </is>
      </c>
      <c r="G274" s="26" t="inlineStr">
        <is>
          <t>记-142</t>
        </is>
      </c>
      <c r="H274" s="26" t="n"/>
      <c r="I274" s="45" t="n"/>
      <c r="J274" s="44" t="n">
        <v>3</v>
      </c>
    </row>
    <row r="275" s="83">
      <c r="A275" s="27" t="inlineStr">
        <is>
          <t>101201</t>
        </is>
      </c>
      <c r="B275" s="27" t="n"/>
      <c r="C275" s="27" t="inlineStr">
        <is>
          <t>2025-03-31</t>
        </is>
      </c>
      <c r="D275" s="27" t="inlineStr">
        <is>
          <t>Q0401</t>
        </is>
      </c>
      <c r="E275" s="27" t="n"/>
      <c r="F275" s="27" t="inlineStr">
        <is>
          <t>浙江精准学科技有限公司</t>
        </is>
      </c>
      <c r="G275" s="27" t="inlineStr">
        <is>
          <t>记-144</t>
        </is>
      </c>
      <c r="H275" s="27" t="n"/>
      <c r="I275" s="44" t="n"/>
      <c r="J275" s="44" t="n">
        <v>3</v>
      </c>
    </row>
    <row r="276" s="83">
      <c r="A276" s="27" t="inlineStr">
        <is>
          <t>101201</t>
        </is>
      </c>
      <c r="B276" s="27" t="n"/>
      <c r="C276" s="27" t="inlineStr">
        <is>
          <t>2025-03-31</t>
        </is>
      </c>
      <c r="D276" s="27" t="inlineStr">
        <is>
          <t>Q0402</t>
        </is>
      </c>
      <c r="E276" s="27" t="n"/>
      <c r="F276" s="27" t="inlineStr">
        <is>
          <t>浙江精准学科技有限公司</t>
        </is>
      </c>
      <c r="G276" s="27" t="inlineStr">
        <is>
          <t>记-165</t>
        </is>
      </c>
      <c r="H276" s="27" t="n"/>
      <c r="I276" s="44" t="n">
        <v>3</v>
      </c>
      <c r="J276" s="44" t="n"/>
    </row>
    <row r="277" s="83">
      <c r="A277" s="26" t="inlineStr">
        <is>
          <t>101201</t>
        </is>
      </c>
      <c r="B277" s="26" t="n"/>
      <c r="C277" s="26" t="inlineStr">
        <is>
          <t>2025-03-31</t>
        </is>
      </c>
      <c r="D277" s="26" t="inlineStr">
        <is>
          <t>Q0402</t>
        </is>
      </c>
      <c r="E277" s="26" t="n"/>
      <c r="F277" s="26" t="inlineStr">
        <is>
          <t>浙江精准学科技有限公司</t>
        </is>
      </c>
      <c r="G277" s="26" t="inlineStr">
        <is>
          <t>记-165</t>
        </is>
      </c>
      <c r="H277" s="26" t="n"/>
      <c r="I277" s="44" t="n">
        <v>3</v>
      </c>
      <c r="J277" s="45" t="n"/>
    </row>
    <row r="278" s="83">
      <c r="A278" s="27" t="inlineStr">
        <is>
          <t>101201</t>
        </is>
      </c>
      <c r="B278" s="27" t="n"/>
      <c r="C278" s="27" t="inlineStr">
        <is>
          <t>2025-03-31</t>
        </is>
      </c>
      <c r="D278" s="27" t="inlineStr">
        <is>
          <t>Q2201</t>
        </is>
      </c>
      <c r="E278" s="27" t="n"/>
      <c r="F278" s="27" t="inlineStr">
        <is>
          <t>浙江精准学科技有限公司</t>
        </is>
      </c>
      <c r="G278" s="27" t="inlineStr">
        <is>
          <t>记-163</t>
        </is>
      </c>
      <c r="H278" s="27" t="n"/>
      <c r="I278" s="44" t="n"/>
      <c r="J278" s="44" t="n">
        <v>3</v>
      </c>
    </row>
    <row r="279" s="83">
      <c r="A279" s="26" t="inlineStr">
        <is>
          <t>101201</t>
        </is>
      </c>
      <c r="B279" s="26" t="n"/>
      <c r="C279" s="26" t="inlineStr">
        <is>
          <t>2025-03-31</t>
        </is>
      </c>
      <c r="D279" s="26" t="inlineStr">
        <is>
          <t>Q2204</t>
        </is>
      </c>
      <c r="E279" s="26" t="n"/>
      <c r="F279" s="26" t="inlineStr">
        <is>
          <t>浙江精准学科技有限公司</t>
        </is>
      </c>
      <c r="G279" s="26" t="inlineStr">
        <is>
          <t>记-163</t>
        </is>
      </c>
      <c r="H279" s="26" t="n"/>
      <c r="I279" s="45" t="n"/>
      <c r="J279" s="44" t="n">
        <v>3</v>
      </c>
    </row>
    <row r="280" s="83">
      <c r="A280" s="27" t="inlineStr">
        <is>
          <t>101201</t>
        </is>
      </c>
      <c r="B280" s="27" t="n"/>
      <c r="C280" s="27" t="inlineStr">
        <is>
          <t>2025-03-31</t>
        </is>
      </c>
      <c r="D280" s="27" t="inlineStr">
        <is>
          <t>Q2207</t>
        </is>
      </c>
      <c r="E280" s="27" t="n"/>
      <c r="F280" s="27" t="inlineStr">
        <is>
          <t>浙江精准学科技有限公司</t>
        </is>
      </c>
      <c r="G280" s="27" t="inlineStr">
        <is>
          <t>记-163</t>
        </is>
      </c>
      <c r="H280" s="27" t="n"/>
      <c r="I280" s="44" t="n"/>
      <c r="J280" s="44" t="n">
        <v>3</v>
      </c>
    </row>
    <row r="281" s="83">
      <c r="A281" s="26" t="inlineStr">
        <is>
          <t>101201</t>
        </is>
      </c>
      <c r="B281" s="26" t="n"/>
      <c r="C281" s="26" t="inlineStr">
        <is>
          <t>2025-03-31</t>
        </is>
      </c>
      <c r="D281" s="26" t="inlineStr">
        <is>
          <t>Q2208</t>
        </is>
      </c>
      <c r="E281" s="26" t="n"/>
      <c r="F281" s="26" t="inlineStr">
        <is>
          <t>浙江精准学科技有限公司</t>
        </is>
      </c>
      <c r="G281" s="26" t="inlineStr">
        <is>
          <t>记-163</t>
        </is>
      </c>
      <c r="H281" s="26" t="n"/>
      <c r="I281" s="45" t="n"/>
      <c r="J281" s="44" t="n">
        <v>3</v>
      </c>
    </row>
    <row r="282" s="83">
      <c r="A282" s="27" t="inlineStr">
        <is>
          <t>101201</t>
        </is>
      </c>
      <c r="B282" s="27" t="n"/>
      <c r="C282" s="27" t="inlineStr">
        <is>
          <t>2025-03-31</t>
        </is>
      </c>
      <c r="D282" s="27" t="inlineStr">
        <is>
          <t>Q2209</t>
        </is>
      </c>
      <c r="E282" s="27" t="n"/>
      <c r="F282" s="27" t="inlineStr">
        <is>
          <t>浙江精准学科技有限公司</t>
        </is>
      </c>
      <c r="G282" s="27" t="inlineStr">
        <is>
          <t>记-163</t>
        </is>
      </c>
      <c r="H282" s="27" t="n"/>
      <c r="I282" s="44" t="n"/>
      <c r="J282" s="44" t="n">
        <v>3</v>
      </c>
    </row>
    <row r="283" s="83">
      <c r="A283" s="27" t="inlineStr">
        <is>
          <t>101203</t>
        </is>
      </c>
      <c r="B283" s="27" t="n"/>
      <c r="C283" s="27" t="inlineStr">
        <is>
          <t>2025-03-31</t>
        </is>
      </c>
      <c r="D283" s="27" t="inlineStr">
        <is>
          <t>Q0101</t>
        </is>
      </c>
      <c r="E283" s="27" t="n"/>
      <c r="F283" s="27" t="inlineStr">
        <is>
          <t>浙江精准学科技有限公司</t>
        </is>
      </c>
      <c r="G283" s="27" t="inlineStr">
        <is>
          <t>记-151</t>
        </is>
      </c>
      <c r="H283" s="27" t="n"/>
      <c r="I283" s="44" t="n">
        <v>3</v>
      </c>
      <c r="J283" s="44" t="n"/>
    </row>
    <row r="284" s="83">
      <c r="A284" s="26" t="inlineStr">
        <is>
          <t>101203</t>
        </is>
      </c>
      <c r="B284" s="26" t="n"/>
      <c r="C284" s="26" t="inlineStr">
        <is>
          <t>2025-03-31</t>
        </is>
      </c>
      <c r="D284" s="26" t="inlineStr">
        <is>
          <t>Q0101</t>
        </is>
      </c>
      <c r="E284" s="26" t="n"/>
      <c r="F284" s="26" t="inlineStr">
        <is>
          <t>浙江精准学科技有限公司</t>
        </is>
      </c>
      <c r="G284" s="26" t="inlineStr">
        <is>
          <t>记-151</t>
        </is>
      </c>
      <c r="H284" s="26" t="n"/>
      <c r="I284" s="44" t="n">
        <v>3</v>
      </c>
      <c r="J284" s="45" t="n"/>
    </row>
    <row r="285" s="83">
      <c r="A285" s="27" t="inlineStr">
        <is>
          <t>101203</t>
        </is>
      </c>
      <c r="B285" s="27" t="n"/>
      <c r="C285" s="27" t="inlineStr">
        <is>
          <t>2025-03-31</t>
        </is>
      </c>
      <c r="D285" s="27" t="inlineStr">
        <is>
          <t>Q0101</t>
        </is>
      </c>
      <c r="E285" s="27" t="n"/>
      <c r="F285" s="27" t="inlineStr">
        <is>
          <t>浙江精准学科技有限公司</t>
        </is>
      </c>
      <c r="G285" s="27" t="inlineStr">
        <is>
          <t>记-151</t>
        </is>
      </c>
      <c r="H285" s="27" t="n"/>
      <c r="I285" s="44" t="n">
        <v>3</v>
      </c>
      <c r="J285" s="44" t="n"/>
    </row>
    <row r="286" s="83">
      <c r="A286" s="26" t="inlineStr">
        <is>
          <t>101203</t>
        </is>
      </c>
      <c r="B286" s="26" t="n"/>
      <c r="C286" s="26" t="inlineStr">
        <is>
          <t>2025-03-31</t>
        </is>
      </c>
      <c r="D286" s="26" t="inlineStr">
        <is>
          <t>Q0101</t>
        </is>
      </c>
      <c r="E286" s="26" t="n"/>
      <c r="F286" s="26" t="inlineStr">
        <is>
          <t>浙江精准学科技有限公司</t>
        </is>
      </c>
      <c r="G286" s="26" t="inlineStr">
        <is>
          <t>记-151</t>
        </is>
      </c>
      <c r="H286" s="26" t="n"/>
      <c r="I286" s="44" t="n">
        <v>3</v>
      </c>
      <c r="J286" s="45" t="n"/>
    </row>
    <row r="287" s="83">
      <c r="A287" s="27" t="inlineStr">
        <is>
          <t>101203</t>
        </is>
      </c>
      <c r="B287" s="27" t="n"/>
      <c r="C287" s="27" t="inlineStr">
        <is>
          <t>2025-03-31</t>
        </is>
      </c>
      <c r="D287" s="27" t="inlineStr">
        <is>
          <t>Q0101</t>
        </is>
      </c>
      <c r="E287" s="27" t="n"/>
      <c r="F287" s="27" t="inlineStr">
        <is>
          <t>浙江精准学科技有限公司</t>
        </is>
      </c>
      <c r="G287" s="27" t="inlineStr">
        <is>
          <t>记-151</t>
        </is>
      </c>
      <c r="H287" s="27" t="n"/>
      <c r="I287" s="44" t="n">
        <v>3</v>
      </c>
      <c r="J287" s="44" t="n"/>
    </row>
    <row r="288" s="83">
      <c r="A288" s="26" t="inlineStr">
        <is>
          <t>101203</t>
        </is>
      </c>
      <c r="B288" s="26" t="n"/>
      <c r="C288" s="26" t="inlineStr">
        <is>
          <t>2025-03-31</t>
        </is>
      </c>
      <c r="D288" s="26" t="inlineStr">
        <is>
          <t>Q0101</t>
        </is>
      </c>
      <c r="E288" s="26" t="n"/>
      <c r="F288" s="26" t="inlineStr">
        <is>
          <t>浙江精准学科技有限公司</t>
        </is>
      </c>
      <c r="G288" s="26" t="inlineStr">
        <is>
          <t>记-153</t>
        </is>
      </c>
      <c r="H288" s="26" t="n"/>
      <c r="I288" s="45" t="n"/>
      <c r="J288" s="44" t="n">
        <v>3</v>
      </c>
    </row>
    <row r="289" s="83">
      <c r="A289" s="27" t="inlineStr">
        <is>
          <t>101203</t>
        </is>
      </c>
      <c r="B289" s="27" t="n"/>
      <c r="C289" s="27" t="inlineStr">
        <is>
          <t>2025-03-31</t>
        </is>
      </c>
      <c r="D289" s="27" t="inlineStr">
        <is>
          <t>Q0101</t>
        </is>
      </c>
      <c r="E289" s="27" t="n"/>
      <c r="F289" s="27" t="inlineStr">
        <is>
          <t>浙江精准学科技有限公司</t>
        </is>
      </c>
      <c r="G289" s="27" t="inlineStr">
        <is>
          <t>记-154</t>
        </is>
      </c>
      <c r="H289" s="27" t="n"/>
      <c r="I289" s="44" t="n"/>
      <c r="J289" s="44" t="n">
        <v>3</v>
      </c>
    </row>
    <row r="290" s="83">
      <c r="A290" s="26" t="inlineStr">
        <is>
          <t>101203</t>
        </is>
      </c>
      <c r="B290" s="26" t="n"/>
      <c r="C290" s="26" t="inlineStr">
        <is>
          <t>2025-03-31</t>
        </is>
      </c>
      <c r="D290" s="26" t="inlineStr">
        <is>
          <t>Q0101</t>
        </is>
      </c>
      <c r="E290" s="26" t="n"/>
      <c r="F290" s="26" t="inlineStr">
        <is>
          <t>浙江精准学科技有限公司</t>
        </is>
      </c>
      <c r="G290" s="26" t="inlineStr">
        <is>
          <t>记-154</t>
        </is>
      </c>
      <c r="H290" s="26" t="n"/>
      <c r="I290" s="45" t="n"/>
      <c r="J290" s="44" t="n">
        <v>3</v>
      </c>
    </row>
    <row r="291" s="83">
      <c r="A291" s="27" t="inlineStr">
        <is>
          <t>101203</t>
        </is>
      </c>
      <c r="B291" s="27" t="n"/>
      <c r="C291" s="27" t="inlineStr">
        <is>
          <t>2025-03-31</t>
        </is>
      </c>
      <c r="D291" s="27" t="inlineStr">
        <is>
          <t>Q0101</t>
        </is>
      </c>
      <c r="E291" s="27" t="n"/>
      <c r="F291" s="27" t="inlineStr">
        <is>
          <t>浙江精准学科技有限公司</t>
        </is>
      </c>
      <c r="G291" s="27" t="inlineStr">
        <is>
          <t>记-174</t>
        </is>
      </c>
      <c r="H291" s="27" t="n"/>
      <c r="I291" s="44" t="n"/>
      <c r="J291" s="44" t="n">
        <v>3</v>
      </c>
    </row>
    <row r="292" s="83">
      <c r="A292" s="26" t="inlineStr">
        <is>
          <t>101203</t>
        </is>
      </c>
      <c r="B292" s="26" t="n"/>
      <c r="C292" s="26" t="inlineStr">
        <is>
          <t>2025-03-31</t>
        </is>
      </c>
      <c r="D292" s="26" t="inlineStr">
        <is>
          <t>Q0101</t>
        </is>
      </c>
      <c r="E292" s="26" t="n"/>
      <c r="F292" s="26" t="inlineStr">
        <is>
          <t>浙江精准学科技有限公司</t>
        </is>
      </c>
      <c r="G292" s="26" t="inlineStr">
        <is>
          <t>记-174</t>
        </is>
      </c>
      <c r="H292" s="26" t="n"/>
      <c r="I292" s="45" t="n"/>
      <c r="J292" s="44" t="n">
        <v>3</v>
      </c>
    </row>
    <row r="293" s="83">
      <c r="A293" s="26" t="inlineStr">
        <is>
          <t>101203</t>
        </is>
      </c>
      <c r="B293" s="26" t="n"/>
      <c r="C293" s="26" t="inlineStr">
        <is>
          <t>2025-03-31</t>
        </is>
      </c>
      <c r="D293" s="26" t="inlineStr">
        <is>
          <t>Q0103</t>
        </is>
      </c>
      <c r="E293" s="26" t="n"/>
      <c r="F293" s="26" t="inlineStr">
        <is>
          <t>浙江精准学科技有限公司</t>
        </is>
      </c>
      <c r="G293" s="26" t="inlineStr">
        <is>
          <t>记-151</t>
        </is>
      </c>
      <c r="H293" s="26" t="n"/>
      <c r="I293" s="44" t="n">
        <v>3</v>
      </c>
      <c r="J293" s="45" t="n"/>
    </row>
    <row r="294" s="83">
      <c r="A294" s="27" t="inlineStr">
        <is>
          <t>101203</t>
        </is>
      </c>
      <c r="B294" s="27" t="n"/>
      <c r="C294" s="27" t="inlineStr">
        <is>
          <t>2025-03-31</t>
        </is>
      </c>
      <c r="D294" s="27" t="inlineStr">
        <is>
          <t>Q0103</t>
        </is>
      </c>
      <c r="E294" s="27" t="n"/>
      <c r="F294" s="27" t="inlineStr">
        <is>
          <t>浙江精准学科技有限公司</t>
        </is>
      </c>
      <c r="G294" s="27" t="inlineStr">
        <is>
          <t>记-151</t>
        </is>
      </c>
      <c r="H294" s="27" t="n"/>
      <c r="I294" s="44" t="n">
        <v>3</v>
      </c>
      <c r="J294" s="44" t="n"/>
    </row>
    <row r="295" s="83">
      <c r="A295" s="26" t="inlineStr">
        <is>
          <t>101203</t>
        </is>
      </c>
      <c r="B295" s="26" t="n"/>
      <c r="C295" s="26" t="inlineStr">
        <is>
          <t>2025-03-31</t>
        </is>
      </c>
      <c r="D295" s="26" t="inlineStr">
        <is>
          <t>Q0103</t>
        </is>
      </c>
      <c r="E295" s="26" t="n"/>
      <c r="F295" s="26" t="inlineStr">
        <is>
          <t>浙江精准学科技有限公司</t>
        </is>
      </c>
      <c r="G295" s="26" t="inlineStr">
        <is>
          <t>记-151</t>
        </is>
      </c>
      <c r="H295" s="26" t="n"/>
      <c r="I295" s="44" t="n">
        <v>3</v>
      </c>
      <c r="J295" s="45" t="n"/>
    </row>
    <row r="296" s="83">
      <c r="A296" s="27" t="inlineStr">
        <is>
          <t>101203</t>
        </is>
      </c>
      <c r="B296" s="27" t="n"/>
      <c r="C296" s="27" t="inlineStr">
        <is>
          <t>2025-03-31</t>
        </is>
      </c>
      <c r="D296" s="27" t="inlineStr">
        <is>
          <t>Q0103</t>
        </is>
      </c>
      <c r="E296" s="27" t="n"/>
      <c r="F296" s="27" t="inlineStr">
        <is>
          <t>浙江精准学科技有限公司</t>
        </is>
      </c>
      <c r="G296" s="27" t="inlineStr">
        <is>
          <t>记-151</t>
        </is>
      </c>
      <c r="H296" s="27" t="n"/>
      <c r="I296" s="44" t="n">
        <v>3</v>
      </c>
      <c r="J296" s="44" t="n"/>
    </row>
    <row r="297" s="83">
      <c r="A297" s="26" t="inlineStr">
        <is>
          <t>101203</t>
        </is>
      </c>
      <c r="B297" s="26" t="n"/>
      <c r="C297" s="26" t="inlineStr">
        <is>
          <t>2025-03-31</t>
        </is>
      </c>
      <c r="D297" s="26" t="inlineStr">
        <is>
          <t>Q0103</t>
        </is>
      </c>
      <c r="E297" s="26" t="n"/>
      <c r="F297" s="26" t="inlineStr">
        <is>
          <t>浙江精准学科技有限公司</t>
        </is>
      </c>
      <c r="G297" s="26" t="inlineStr">
        <is>
          <t>记-151</t>
        </is>
      </c>
      <c r="H297" s="26" t="n"/>
      <c r="I297" s="44" t="n">
        <v>3</v>
      </c>
      <c r="J297" s="45" t="n"/>
    </row>
    <row r="298" s="83">
      <c r="A298" s="27" t="inlineStr">
        <is>
          <t>101203</t>
        </is>
      </c>
      <c r="B298" s="27" t="n"/>
      <c r="C298" s="27" t="inlineStr">
        <is>
          <t>2025-03-31</t>
        </is>
      </c>
      <c r="D298" s="27" t="inlineStr">
        <is>
          <t>Q0103</t>
        </is>
      </c>
      <c r="E298" s="27" t="n"/>
      <c r="F298" s="27" t="inlineStr">
        <is>
          <t>浙江精准学科技有限公司</t>
        </is>
      </c>
      <c r="G298" s="27" t="inlineStr">
        <is>
          <t>记-154</t>
        </is>
      </c>
      <c r="H298" s="27" t="n"/>
      <c r="I298" s="44" t="n"/>
      <c r="J298" s="44" t="n">
        <v>3</v>
      </c>
    </row>
    <row r="299" s="83">
      <c r="A299" s="26" t="inlineStr">
        <is>
          <t>101203</t>
        </is>
      </c>
      <c r="B299" s="26" t="n"/>
      <c r="C299" s="26" t="inlineStr">
        <is>
          <t>2025-03-31</t>
        </is>
      </c>
      <c r="D299" s="26" t="inlineStr">
        <is>
          <t>Q0103</t>
        </is>
      </c>
      <c r="E299" s="26" t="n"/>
      <c r="F299" s="26" t="inlineStr">
        <is>
          <t>浙江精准学科技有限公司</t>
        </is>
      </c>
      <c r="G299" s="26" t="inlineStr">
        <is>
          <t>记-154</t>
        </is>
      </c>
      <c r="H299" s="26" t="n"/>
      <c r="I299" s="45" t="n"/>
      <c r="J299" s="44" t="n">
        <v>3</v>
      </c>
    </row>
    <row r="300" s="83">
      <c r="A300" s="27" t="inlineStr">
        <is>
          <t>101203</t>
        </is>
      </c>
      <c r="B300" s="27" t="n"/>
      <c r="C300" s="27" t="inlineStr">
        <is>
          <t>2025-03-31</t>
        </is>
      </c>
      <c r="D300" s="27" t="inlineStr">
        <is>
          <t>Q0103</t>
        </is>
      </c>
      <c r="E300" s="27" t="n"/>
      <c r="F300" s="27" t="inlineStr">
        <is>
          <t>浙江精准学科技有限公司</t>
        </is>
      </c>
      <c r="G300" s="27" t="inlineStr">
        <is>
          <t>记-174</t>
        </is>
      </c>
      <c r="H300" s="27" t="n"/>
      <c r="I300" s="44" t="n"/>
      <c r="J300" s="44" t="n">
        <v>3</v>
      </c>
    </row>
    <row r="301" s="83">
      <c r="A301" s="26" t="inlineStr">
        <is>
          <t>101203</t>
        </is>
      </c>
      <c r="B301" s="26" t="n"/>
      <c r="C301" s="26" t="inlineStr">
        <is>
          <t>2025-03-31</t>
        </is>
      </c>
      <c r="D301" s="26" t="inlineStr">
        <is>
          <t>Q0103</t>
        </is>
      </c>
      <c r="E301" s="26" t="n"/>
      <c r="F301" s="26" t="inlineStr">
        <is>
          <t>浙江精准学科技有限公司</t>
        </is>
      </c>
      <c r="G301" s="26" t="inlineStr">
        <is>
          <t>记-174</t>
        </is>
      </c>
      <c r="H301" s="26" t="n"/>
      <c r="I301" s="45" t="n"/>
      <c r="J301" s="44" t="n">
        <v>3</v>
      </c>
    </row>
    <row r="302" s="83">
      <c r="A302" s="27" t="inlineStr">
        <is>
          <t>101203</t>
        </is>
      </c>
      <c r="B302" s="27" t="n"/>
      <c r="C302" s="27" t="inlineStr">
        <is>
          <t>2025-03-31</t>
        </is>
      </c>
      <c r="D302" s="27" t="inlineStr">
        <is>
          <t>Q0201</t>
        </is>
      </c>
      <c r="E302" s="27" t="n"/>
      <c r="F302" s="27" t="inlineStr">
        <is>
          <t>浙江精准学科技有限公司</t>
        </is>
      </c>
      <c r="G302" s="27" t="inlineStr">
        <is>
          <t>记-151</t>
        </is>
      </c>
      <c r="H302" s="27" t="n"/>
      <c r="I302" s="44" t="n">
        <v>3</v>
      </c>
      <c r="J302" s="44" t="n"/>
    </row>
    <row r="303" s="83">
      <c r="A303" s="26" t="inlineStr">
        <is>
          <t>101203</t>
        </is>
      </c>
      <c r="B303" s="26" t="n"/>
      <c r="C303" s="26" t="inlineStr">
        <is>
          <t>2025-03-31</t>
        </is>
      </c>
      <c r="D303" s="26" t="inlineStr">
        <is>
          <t>Q0201</t>
        </is>
      </c>
      <c r="E303" s="26" t="n"/>
      <c r="F303" s="26" t="inlineStr">
        <is>
          <t>浙江精准学科技有限公司</t>
        </is>
      </c>
      <c r="G303" s="26" t="inlineStr">
        <is>
          <t>记-175</t>
        </is>
      </c>
      <c r="H303" s="26" t="n"/>
      <c r="I303" s="45" t="n"/>
      <c r="J303" s="44" t="n">
        <v>3</v>
      </c>
    </row>
    <row r="304" s="83">
      <c r="A304" s="26" t="inlineStr">
        <is>
          <t>101203</t>
        </is>
      </c>
      <c r="B304" s="26" t="n"/>
      <c r="C304" s="26" t="inlineStr">
        <is>
          <t>2025-03-03</t>
        </is>
      </c>
      <c r="D304" s="26" t="inlineStr">
        <is>
          <t>Q0401</t>
        </is>
      </c>
      <c r="E304" s="26" t="n"/>
      <c r="F304" s="26" t="inlineStr">
        <is>
          <t>浙江精准学科技有限公司</t>
        </is>
      </c>
      <c r="G304" s="26" t="inlineStr">
        <is>
          <t>记-4</t>
        </is>
      </c>
      <c r="H304" s="26" t="n"/>
      <c r="I304" s="45" t="n"/>
      <c r="J304" s="44" t="n">
        <v>3</v>
      </c>
    </row>
    <row r="305" s="83">
      <c r="A305" s="27" t="inlineStr">
        <is>
          <t>101203</t>
        </is>
      </c>
      <c r="B305" s="27" t="n"/>
      <c r="C305" s="27" t="inlineStr">
        <is>
          <t>2025-03-05</t>
        </is>
      </c>
      <c r="D305" s="27" t="inlineStr">
        <is>
          <t>Q0401</t>
        </is>
      </c>
      <c r="E305" s="27" t="n"/>
      <c r="F305" s="27" t="inlineStr">
        <is>
          <t>浙江精准学科技有限公司</t>
        </is>
      </c>
      <c r="G305" s="27" t="inlineStr">
        <is>
          <t>记-12</t>
        </is>
      </c>
      <c r="H305" s="27" t="n"/>
      <c r="I305" s="44" t="n"/>
      <c r="J305" s="44" t="n">
        <v>3</v>
      </c>
    </row>
    <row r="306" s="83">
      <c r="A306" s="26" t="inlineStr">
        <is>
          <t>101203</t>
        </is>
      </c>
      <c r="B306" s="26" t="n"/>
      <c r="C306" s="26" t="inlineStr">
        <is>
          <t>2025-03-12</t>
        </is>
      </c>
      <c r="D306" s="26" t="inlineStr">
        <is>
          <t>Q0401</t>
        </is>
      </c>
      <c r="E306" s="26" t="n"/>
      <c r="F306" s="26" t="inlineStr">
        <is>
          <t>浙江精准学科技有限公司</t>
        </is>
      </c>
      <c r="G306" s="26" t="inlineStr">
        <is>
          <t>记-39</t>
        </is>
      </c>
      <c r="H306" s="26" t="n"/>
      <c r="I306" s="45" t="n"/>
      <c r="J306" s="44" t="n">
        <v>3</v>
      </c>
    </row>
    <row r="307" s="83">
      <c r="A307" s="27" t="inlineStr">
        <is>
          <t>101203</t>
        </is>
      </c>
      <c r="B307" s="27" t="n"/>
      <c r="C307" s="27" t="inlineStr">
        <is>
          <t>2025-03-19</t>
        </is>
      </c>
      <c r="D307" s="27" t="inlineStr">
        <is>
          <t>Q0401</t>
        </is>
      </c>
      <c r="E307" s="27" t="n"/>
      <c r="F307" s="27" t="inlineStr">
        <is>
          <t>浙江精准学科技有限公司</t>
        </is>
      </c>
      <c r="G307" s="27" t="inlineStr">
        <is>
          <t>记-69</t>
        </is>
      </c>
      <c r="H307" s="27" t="n"/>
      <c r="I307" s="44" t="n"/>
      <c r="J307" s="44" t="n">
        <v>3</v>
      </c>
    </row>
    <row r="308" s="83">
      <c r="A308" s="26" t="inlineStr">
        <is>
          <t>101203</t>
        </is>
      </c>
      <c r="B308" s="26" t="n"/>
      <c r="C308" s="26" t="inlineStr">
        <is>
          <t>2025-03-26</t>
        </is>
      </c>
      <c r="D308" s="26" t="inlineStr">
        <is>
          <t>Q0401</t>
        </is>
      </c>
      <c r="E308" s="26" t="n"/>
      <c r="F308" s="26" t="inlineStr">
        <is>
          <t>浙江精准学科技有限公司</t>
        </is>
      </c>
      <c r="G308" s="26" t="inlineStr">
        <is>
          <t>记-119</t>
        </is>
      </c>
      <c r="H308" s="26" t="n"/>
      <c r="I308" s="45" t="n"/>
      <c r="J308" s="44" t="n">
        <v>3</v>
      </c>
    </row>
    <row r="309" s="83">
      <c r="A309" s="27" t="inlineStr">
        <is>
          <t>101203</t>
        </is>
      </c>
      <c r="B309" s="27" t="n"/>
      <c r="C309" s="27" t="inlineStr">
        <is>
          <t>2025-03-31</t>
        </is>
      </c>
      <c r="D309" s="27" t="inlineStr">
        <is>
          <t>Q2201</t>
        </is>
      </c>
      <c r="E309" s="27" t="n"/>
      <c r="F309" s="27" t="inlineStr">
        <is>
          <t>浙江精准学科技有限公司</t>
        </is>
      </c>
      <c r="G309" s="27" t="inlineStr">
        <is>
          <t>记-155</t>
        </is>
      </c>
      <c r="H309" s="27" t="n"/>
      <c r="I309" s="44" t="n"/>
      <c r="J309" s="44" t="n">
        <v>3</v>
      </c>
    </row>
    <row r="310" s="83">
      <c r="A310" s="26" t="inlineStr">
        <is>
          <t>101203</t>
        </is>
      </c>
      <c r="B310" s="26" t="n"/>
      <c r="C310" s="26" t="inlineStr">
        <is>
          <t>2025-03-31</t>
        </is>
      </c>
      <c r="D310" s="26" t="inlineStr">
        <is>
          <t>Q2201</t>
        </is>
      </c>
      <c r="E310" s="26" t="n"/>
      <c r="F310" s="26" t="inlineStr">
        <is>
          <t>浙江精准学科技有限公司</t>
        </is>
      </c>
      <c r="G310" s="26" t="inlineStr">
        <is>
          <t>记-155</t>
        </is>
      </c>
      <c r="H310" s="26" t="n"/>
      <c r="I310" s="44" t="n">
        <v>3</v>
      </c>
      <c r="J310" s="45" t="n"/>
    </row>
    <row r="311" s="83">
      <c r="A311" s="27" t="inlineStr">
        <is>
          <t>101203</t>
        </is>
      </c>
      <c r="B311" s="27" t="n"/>
      <c r="C311" s="27" t="inlineStr">
        <is>
          <t>2025-03-31</t>
        </is>
      </c>
      <c r="D311" s="27" t="inlineStr">
        <is>
          <t>Q2204</t>
        </is>
      </c>
      <c r="E311" s="27" t="n"/>
      <c r="F311" s="27" t="inlineStr">
        <is>
          <t>浙江精准学科技有限公司</t>
        </is>
      </c>
      <c r="G311" s="27" t="inlineStr">
        <is>
          <t>记-155</t>
        </is>
      </c>
      <c r="H311" s="27" t="n"/>
      <c r="I311" s="44" t="n">
        <v>3</v>
      </c>
      <c r="J311" s="44" t="n"/>
    </row>
    <row r="312" s="83">
      <c r="A312" s="26" t="inlineStr">
        <is>
          <t>101203</t>
        </is>
      </c>
      <c r="B312" s="26" t="n"/>
      <c r="C312" s="26" t="inlineStr">
        <is>
          <t>2025-03-31</t>
        </is>
      </c>
      <c r="D312" s="26" t="inlineStr">
        <is>
          <t>Q2204</t>
        </is>
      </c>
      <c r="E312" s="26" t="n"/>
      <c r="F312" s="26" t="inlineStr">
        <is>
          <t>浙江精准学科技有限公司</t>
        </is>
      </c>
      <c r="G312" s="26" t="inlineStr">
        <is>
          <t>记-155</t>
        </is>
      </c>
      <c r="H312" s="26" t="n"/>
      <c r="I312" s="45" t="n"/>
      <c r="J312" s="44" t="n">
        <v>3</v>
      </c>
    </row>
    <row r="313" s="83">
      <c r="A313" s="26" t="inlineStr">
        <is>
          <t>101203</t>
        </is>
      </c>
      <c r="B313" s="26" t="n"/>
      <c r="C313" s="26" t="inlineStr">
        <is>
          <t>2025-03-31</t>
        </is>
      </c>
      <c r="D313" s="26" t="inlineStr">
        <is>
          <t>Q2205</t>
        </is>
      </c>
      <c r="E313" s="26" t="n"/>
      <c r="F313" s="26" t="inlineStr">
        <is>
          <t>浙江精准学科技有限公司</t>
        </is>
      </c>
      <c r="G313" s="26" t="inlineStr">
        <is>
          <t>记-155</t>
        </is>
      </c>
      <c r="H313" s="26" t="n"/>
      <c r="I313" s="45" t="n"/>
      <c r="J313" s="44" t="n">
        <v>3</v>
      </c>
    </row>
    <row r="314" s="83">
      <c r="A314" s="26" t="inlineStr">
        <is>
          <t>101203</t>
        </is>
      </c>
      <c r="B314" s="26" t="n"/>
      <c r="C314" s="26" t="inlineStr">
        <is>
          <t>2025-03-31</t>
        </is>
      </c>
      <c r="D314" s="26" t="inlineStr">
        <is>
          <t>Q2501</t>
        </is>
      </c>
      <c r="E314" s="26" t="n"/>
      <c r="F314" s="26" t="inlineStr">
        <is>
          <t>浙江精准学科技有限公司</t>
        </is>
      </c>
      <c r="G314" s="26" t="inlineStr">
        <is>
          <t>记-155</t>
        </is>
      </c>
      <c r="H314" s="26" t="n"/>
      <c r="I314" s="45" t="n"/>
      <c r="J314" s="44" t="n">
        <v>3</v>
      </c>
    </row>
    <row r="315" s="83">
      <c r="A315" s="27" t="inlineStr">
        <is>
          <t>101207</t>
        </is>
      </c>
      <c r="B315" s="27" t="n"/>
      <c r="C315" s="27" t="inlineStr">
        <is>
          <t>2025-03-31</t>
        </is>
      </c>
      <c r="D315" s="27" t="inlineStr">
        <is>
          <t>Q0101</t>
        </is>
      </c>
      <c r="E315" s="27" t="n"/>
      <c r="F315" s="27" t="inlineStr">
        <is>
          <t>浙江精准学科技有限公司</t>
        </is>
      </c>
      <c r="G315" s="27" t="inlineStr">
        <is>
          <t>记-156</t>
        </is>
      </c>
      <c r="H315" s="27" t="n"/>
      <c r="I315" s="44" t="n">
        <v>3</v>
      </c>
      <c r="J315" s="44" t="n"/>
    </row>
    <row r="316" s="83">
      <c r="A316" s="26" t="inlineStr">
        <is>
          <t>101207</t>
        </is>
      </c>
      <c r="B316" s="26" t="n"/>
      <c r="C316" s="26" t="inlineStr">
        <is>
          <t>2025-03-31</t>
        </is>
      </c>
      <c r="D316" s="26" t="inlineStr">
        <is>
          <t>Q0101</t>
        </is>
      </c>
      <c r="E316" s="26" t="n"/>
      <c r="F316" s="26" t="inlineStr">
        <is>
          <t>浙江精准学科技有限公司</t>
        </is>
      </c>
      <c r="G316" s="26" t="inlineStr">
        <is>
          <t>记-158</t>
        </is>
      </c>
      <c r="H316" s="26" t="n"/>
      <c r="I316" s="45" t="n"/>
      <c r="J316" s="44" t="n">
        <v>3</v>
      </c>
    </row>
    <row r="317" s="83">
      <c r="A317" s="27" t="inlineStr">
        <is>
          <t>101207</t>
        </is>
      </c>
      <c r="B317" s="27" t="n"/>
      <c r="C317" s="27" t="inlineStr">
        <is>
          <t>2025-03-31</t>
        </is>
      </c>
      <c r="D317" s="27" t="inlineStr">
        <is>
          <t>Q0101</t>
        </is>
      </c>
      <c r="E317" s="27" t="n"/>
      <c r="F317" s="27" t="inlineStr">
        <is>
          <t>浙江精准学科技有限公司</t>
        </is>
      </c>
      <c r="G317" s="27" t="inlineStr">
        <is>
          <t>记-158</t>
        </is>
      </c>
      <c r="H317" s="27" t="n"/>
      <c r="I317" s="44" t="n"/>
      <c r="J317" s="44" t="n">
        <v>3</v>
      </c>
    </row>
    <row r="318" s="83">
      <c r="A318" s="26" t="inlineStr">
        <is>
          <t>101207</t>
        </is>
      </c>
      <c r="B318" s="26" t="n"/>
      <c r="C318" s="26" t="inlineStr">
        <is>
          <t>2025-03-31</t>
        </is>
      </c>
      <c r="D318" s="26" t="inlineStr">
        <is>
          <t>Q0101</t>
        </is>
      </c>
      <c r="E318" s="26" t="n"/>
      <c r="F318" s="26" t="inlineStr">
        <is>
          <t>浙江精准学科技有限公司</t>
        </is>
      </c>
      <c r="G318" s="26" t="inlineStr">
        <is>
          <t>记-158</t>
        </is>
      </c>
      <c r="H318" s="26" t="n"/>
      <c r="I318" s="45" t="n"/>
      <c r="J318" s="44" t="n">
        <v>3</v>
      </c>
    </row>
    <row r="319" s="83">
      <c r="A319" s="27" t="inlineStr">
        <is>
          <t>101207</t>
        </is>
      </c>
      <c r="B319" s="27" t="n"/>
      <c r="C319" s="27" t="inlineStr">
        <is>
          <t>2025-03-31</t>
        </is>
      </c>
      <c r="D319" s="27" t="inlineStr">
        <is>
          <t>Q2201</t>
        </is>
      </c>
      <c r="E319" s="27" t="n"/>
      <c r="F319" s="27" t="inlineStr">
        <is>
          <t>浙江精准学科技有限公司</t>
        </is>
      </c>
      <c r="G319" s="27" t="inlineStr">
        <is>
          <t>记-159</t>
        </is>
      </c>
      <c r="H319" s="27" t="n"/>
      <c r="I319" s="44" t="n"/>
      <c r="J319" s="44" t="n">
        <v>3</v>
      </c>
    </row>
    <row r="320" s="83">
      <c r="A320" s="26" t="inlineStr">
        <is>
          <t>101207</t>
        </is>
      </c>
      <c r="B320" s="26" t="n"/>
      <c r="C320" s="26" t="inlineStr">
        <is>
          <t>2025-03-31</t>
        </is>
      </c>
      <c r="D320" s="26" t="inlineStr">
        <is>
          <t>Q2201</t>
        </is>
      </c>
      <c r="E320" s="26" t="n"/>
      <c r="F320" s="26" t="inlineStr">
        <is>
          <t>浙江精准学科技有限公司</t>
        </is>
      </c>
      <c r="G320" s="26" t="inlineStr">
        <is>
          <t>记-159</t>
        </is>
      </c>
      <c r="H320" s="26" t="n"/>
      <c r="I320" s="45" t="n"/>
      <c r="J320" s="44" t="n">
        <v>3</v>
      </c>
    </row>
    <row r="321" s="83">
      <c r="A321" s="27" t="inlineStr">
        <is>
          <t>101207</t>
        </is>
      </c>
      <c r="B321" s="27" t="n"/>
      <c r="C321" s="27" t="inlineStr">
        <is>
          <t>2025-03-31</t>
        </is>
      </c>
      <c r="D321" s="27" t="inlineStr">
        <is>
          <t>Q2204</t>
        </is>
      </c>
      <c r="E321" s="27" t="n"/>
      <c r="F321" s="27" t="inlineStr">
        <is>
          <t>浙江精准学科技有限公司</t>
        </is>
      </c>
      <c r="G321" s="27" t="inlineStr">
        <is>
          <t>记-159</t>
        </is>
      </c>
      <c r="H321" s="27" t="n"/>
      <c r="I321" s="44" t="n"/>
      <c r="J321" s="44" t="n">
        <v>3</v>
      </c>
    </row>
    <row r="322" s="83">
      <c r="A322" s="26" t="inlineStr">
        <is>
          <t>101207</t>
        </is>
      </c>
      <c r="B322" s="26" t="n"/>
      <c r="C322" s="26" t="inlineStr">
        <is>
          <t>2025-03-31</t>
        </is>
      </c>
      <c r="D322" s="26" t="inlineStr">
        <is>
          <t>Q2205</t>
        </is>
      </c>
      <c r="E322" s="26" t="n"/>
      <c r="F322" s="26" t="inlineStr">
        <is>
          <t>浙江精准学科技有限公司</t>
        </is>
      </c>
      <c r="G322" s="26" t="inlineStr">
        <is>
          <t>记-159</t>
        </is>
      </c>
      <c r="H322" s="26" t="n"/>
      <c r="I322" s="45" t="n"/>
      <c r="J322" s="44" t="n">
        <v>3</v>
      </c>
    </row>
    <row r="323" s="83">
      <c r="A323" s="27" t="inlineStr">
        <is>
          <t>101207</t>
        </is>
      </c>
      <c r="B323" s="27" t="n"/>
      <c r="C323" s="27" t="inlineStr">
        <is>
          <t>2025-03-31</t>
        </is>
      </c>
      <c r="D323" s="27" t="inlineStr">
        <is>
          <t>Q2207</t>
        </is>
      </c>
      <c r="E323" s="27" t="n"/>
      <c r="F323" s="27" t="inlineStr">
        <is>
          <t>浙江精准学科技有限公司</t>
        </is>
      </c>
      <c r="G323" s="27" t="inlineStr">
        <is>
          <t>记-159</t>
        </is>
      </c>
      <c r="H323" s="27" t="n"/>
      <c r="I323" s="44" t="n"/>
      <c r="J323" s="44" t="n">
        <v>3</v>
      </c>
    </row>
    <row r="324" s="83">
      <c r="A324" s="26" t="inlineStr">
        <is>
          <t>101207</t>
        </is>
      </c>
      <c r="B324" s="26" t="n"/>
      <c r="C324" s="26" t="inlineStr">
        <is>
          <t>2025-03-31</t>
        </is>
      </c>
      <c r="D324" s="26" t="inlineStr">
        <is>
          <t>Q2208</t>
        </is>
      </c>
      <c r="E324" s="26" t="n"/>
      <c r="F324" s="26" t="inlineStr">
        <is>
          <t>浙江精准学科技有限公司</t>
        </is>
      </c>
      <c r="G324" s="26" t="inlineStr">
        <is>
          <t>记-159</t>
        </is>
      </c>
      <c r="H324" s="26" t="n"/>
      <c r="I324" s="45" t="n"/>
      <c r="J324" s="44" t="n">
        <v>3</v>
      </c>
    </row>
    <row r="327" s="83">
      <c r="I327" s="94">
        <f>I276+I277-J139-J138</f>
        <v/>
      </c>
    </row>
  </sheetData>
  <autoFilter ref="A1:J324"/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M630"/>
  <sheetViews>
    <sheetView workbookViewId="0">
      <pane ySplit="1" topLeftCell="A2" activePane="bottomLeft" state="frozen"/>
      <selection activeCell="A1" sqref="A1"/>
      <selection pane="bottomLeft" activeCell="G3" sqref="G3"/>
    </sheetView>
  </sheetViews>
  <sheetFormatPr baseColWidth="8" defaultColWidth="8.838461538461541" defaultRowHeight="15" customHeight="1"/>
  <cols>
    <col width="8.838461538461541" customWidth="1" style="5" min="1" max="1"/>
    <col width="12.9230769230769" customWidth="1" style="5" min="2" max="2"/>
    <col width="11.5" customWidth="1" style="5" min="3" max="3"/>
    <col width="12.1615384615385" customWidth="1" style="5" min="4" max="4"/>
    <col width="13.2307692307692" customWidth="1" style="5" min="5" max="5"/>
    <col width="21.1615384615385" customWidth="1" style="5" min="6" max="6"/>
    <col width="9" customWidth="1" style="34" min="7" max="7"/>
    <col width="19.5384615384615" customWidth="1" style="6" min="8" max="8"/>
    <col width="16.5" customWidth="1" style="89" min="9" max="9"/>
    <col width="15.8384615384615" customWidth="1" style="89" min="10" max="10"/>
    <col width="14.3384615384615" customWidth="1" style="5" min="11" max="11"/>
    <col width="15.5" customWidth="1" style="89" min="12" max="12"/>
    <col width="10.6615384615385" customWidth="1" style="5" min="13" max="13"/>
    <col width="8.838461538461541" customWidth="1" style="5" min="14" max="40"/>
  </cols>
  <sheetData>
    <row r="1" s="83">
      <c r="A1" s="35" t="inlineStr">
        <is>
          <t>科目编码</t>
        </is>
      </c>
      <c r="B1" s="35" t="inlineStr">
        <is>
          <t>科目名称</t>
        </is>
      </c>
      <c r="C1" s="35" t="inlineStr">
        <is>
          <t>日期</t>
        </is>
      </c>
      <c r="D1" s="35" t="inlineStr">
        <is>
          <t>费用项目编码</t>
        </is>
      </c>
      <c r="E1" s="35" t="inlineStr">
        <is>
          <t>费用项目名称</t>
        </is>
      </c>
      <c r="F1" s="35" t="inlineStr">
        <is>
          <t>核算账簿</t>
        </is>
      </c>
      <c r="G1" s="35" t="inlineStr">
        <is>
          <t>凭证号</t>
        </is>
      </c>
      <c r="H1" s="35" t="inlineStr">
        <is>
          <t>摘要</t>
        </is>
      </c>
      <c r="I1" s="95" t="inlineStr">
        <is>
          <t>借方本币</t>
        </is>
      </c>
      <c r="J1" s="95" t="inlineStr">
        <is>
          <t>贷方本币</t>
        </is>
      </c>
      <c r="K1" s="35" t="n"/>
      <c r="L1" s="95" t="n"/>
      <c r="M1" s="35" t="n"/>
    </row>
    <row r="2" s="83">
      <c r="A2" s="5" t="inlineStr">
        <is>
          <t>100202</t>
        </is>
      </c>
      <c r="C2" s="5" t="inlineStr">
        <is>
          <t>2025-04-30</t>
        </is>
      </c>
      <c r="D2" s="5" t="inlineStr">
        <is>
          <t>Q0302</t>
        </is>
      </c>
      <c r="F2" s="5" t="inlineStr">
        <is>
          <t>SMART AI LIMITED</t>
        </is>
      </c>
      <c r="G2" s="34" t="inlineStr">
        <is>
          <t>记-3</t>
        </is>
      </c>
      <c r="I2" s="89" t="n">
        <v>4</v>
      </c>
    </row>
    <row r="3" s="83">
      <c r="A3" s="5" t="inlineStr">
        <is>
          <t>100202</t>
        </is>
      </c>
      <c r="C3" s="5" t="inlineStr">
        <is>
          <t>2025-04-09</t>
        </is>
      </c>
      <c r="D3" s="5" t="inlineStr">
        <is>
          <t>Q0501</t>
        </is>
      </c>
      <c r="F3" s="5" t="inlineStr">
        <is>
          <t>SMART AI LIMITED</t>
        </is>
      </c>
      <c r="G3" s="34" t="inlineStr">
        <is>
          <t>记-1</t>
        </is>
      </c>
      <c r="I3" s="89" t="n">
        <v>4</v>
      </c>
    </row>
    <row r="4" s="83">
      <c r="A4" s="5" t="inlineStr">
        <is>
          <t>100202</t>
        </is>
      </c>
      <c r="C4" s="5" t="inlineStr">
        <is>
          <t>2025-04-09</t>
        </is>
      </c>
      <c r="D4" s="5" t="inlineStr">
        <is>
          <t>Q0701</t>
        </is>
      </c>
      <c r="F4" s="5" t="inlineStr">
        <is>
          <t>SMART AI LIMITED</t>
        </is>
      </c>
      <c r="G4" s="34" t="inlineStr">
        <is>
          <t>记-2</t>
        </is>
      </c>
      <c r="J4" s="89" t="n">
        <v>4</v>
      </c>
    </row>
    <row r="5" s="83">
      <c r="A5" s="5" t="inlineStr">
        <is>
          <t>100203</t>
        </is>
      </c>
      <c r="C5" s="5" t="inlineStr">
        <is>
          <t>2025-04-30</t>
        </is>
      </c>
      <c r="D5" s="5" t="inlineStr">
        <is>
          <t>Q3105</t>
        </is>
      </c>
      <c r="F5" s="5" t="inlineStr">
        <is>
          <t>SMART AI LIMITED</t>
        </is>
      </c>
      <c r="G5" s="34" t="inlineStr">
        <is>
          <t>记-4</t>
        </is>
      </c>
      <c r="J5" s="89" t="n">
        <v>4</v>
      </c>
    </row>
    <row r="6" s="83">
      <c r="A6" s="5" t="inlineStr">
        <is>
          <t>100202</t>
        </is>
      </c>
      <c r="C6" s="5" t="inlineStr">
        <is>
          <t>2025-04-30</t>
        </is>
      </c>
      <c r="D6" s="5" t="inlineStr">
        <is>
          <t>Q0302</t>
        </is>
      </c>
      <c r="F6" s="5" t="inlineStr">
        <is>
          <t>HK01</t>
        </is>
      </c>
      <c r="G6" s="34" t="inlineStr">
        <is>
          <t>记-3</t>
        </is>
      </c>
      <c r="I6" s="89" t="n">
        <v>4</v>
      </c>
    </row>
    <row r="7" s="83">
      <c r="A7" s="5" t="inlineStr">
        <is>
          <t>100202</t>
        </is>
      </c>
      <c r="C7" s="5" t="inlineStr">
        <is>
          <t>2025-04-09</t>
        </is>
      </c>
      <c r="D7" s="5" t="inlineStr">
        <is>
          <t>Q0501</t>
        </is>
      </c>
      <c r="F7" s="5" t="inlineStr">
        <is>
          <t>HK01</t>
        </is>
      </c>
      <c r="G7" s="34" t="inlineStr">
        <is>
          <t>记-1</t>
        </is>
      </c>
      <c r="I7" s="89" t="n">
        <v>4</v>
      </c>
    </row>
    <row r="8" s="83">
      <c r="A8" s="5" t="inlineStr">
        <is>
          <t>100202</t>
        </is>
      </c>
      <c r="C8" s="5" t="inlineStr">
        <is>
          <t>2025-04-09</t>
        </is>
      </c>
      <c r="D8" s="5" t="inlineStr">
        <is>
          <t>Q0701</t>
        </is>
      </c>
      <c r="F8" s="5" t="inlineStr">
        <is>
          <t>HK01</t>
        </is>
      </c>
      <c r="G8" s="34" t="inlineStr">
        <is>
          <t>记-2</t>
        </is>
      </c>
      <c r="J8" s="89" t="n">
        <v>4</v>
      </c>
    </row>
    <row r="9" s="83">
      <c r="A9" s="5" t="inlineStr">
        <is>
          <t>100203</t>
        </is>
      </c>
      <c r="C9" s="5" t="inlineStr">
        <is>
          <t>2025-04-30</t>
        </is>
      </c>
      <c r="D9" s="5" t="inlineStr">
        <is>
          <t>Q3105</t>
        </is>
      </c>
      <c r="F9" s="5" t="inlineStr">
        <is>
          <t>HK01</t>
        </is>
      </c>
      <c r="G9" s="34" t="inlineStr">
        <is>
          <t>记-4</t>
        </is>
      </c>
      <c r="J9" s="89" t="n">
        <v>4</v>
      </c>
    </row>
    <row r="10" s="83">
      <c r="A10" s="5" t="inlineStr">
        <is>
          <t>100201</t>
        </is>
      </c>
      <c r="C10" s="5" t="inlineStr">
        <is>
          <t>2025-04-30</t>
        </is>
      </c>
      <c r="D10" s="5" t="inlineStr">
        <is>
          <t>Q0302</t>
        </is>
      </c>
      <c r="F10" s="5" t="inlineStr">
        <is>
          <t>SMART LEARNING HOLDING</t>
        </is>
      </c>
      <c r="G10" s="34" t="inlineStr">
        <is>
          <t>记-5</t>
        </is>
      </c>
      <c r="I10" s="89" t="n">
        <v>4</v>
      </c>
    </row>
    <row r="11" s="83">
      <c r="A11" s="5" t="inlineStr">
        <is>
          <t>100201</t>
        </is>
      </c>
      <c r="C11" s="5" t="inlineStr">
        <is>
          <t>2025-04-08</t>
        </is>
      </c>
      <c r="D11" s="5" t="inlineStr">
        <is>
          <t>Q0401</t>
        </is>
      </c>
      <c r="F11" s="5" t="inlineStr">
        <is>
          <t>SMART LEARNING HOLDING</t>
        </is>
      </c>
      <c r="G11" s="34" t="inlineStr">
        <is>
          <t>记-1</t>
        </is>
      </c>
      <c r="J11" s="89" t="n">
        <v>4</v>
      </c>
    </row>
    <row r="12" s="83">
      <c r="A12" s="5" t="inlineStr">
        <is>
          <t>100201</t>
        </is>
      </c>
      <c r="C12" s="5" t="inlineStr">
        <is>
          <t>2025-04-08</t>
        </is>
      </c>
      <c r="D12" s="5" t="inlineStr">
        <is>
          <t>Q3105</t>
        </is>
      </c>
      <c r="F12" s="5" t="inlineStr">
        <is>
          <t>SMART LEARNING HOLDING</t>
        </is>
      </c>
      <c r="G12" s="34" t="inlineStr">
        <is>
          <t>记-1</t>
        </is>
      </c>
      <c r="J12" s="89" t="n">
        <v>4</v>
      </c>
    </row>
    <row r="13" s="83">
      <c r="A13" s="5" t="inlineStr">
        <is>
          <t>100201</t>
        </is>
      </c>
      <c r="C13" s="5" t="inlineStr">
        <is>
          <t>2025-04-30</t>
        </is>
      </c>
      <c r="D13" s="5" t="inlineStr">
        <is>
          <t>Q3105</t>
        </is>
      </c>
      <c r="F13" s="5" t="inlineStr">
        <is>
          <t>SMART LEARNING HOLDING</t>
        </is>
      </c>
      <c r="G13" s="34" t="inlineStr">
        <is>
          <t>记-6</t>
        </is>
      </c>
      <c r="J13" s="89" t="n">
        <v>4</v>
      </c>
    </row>
    <row r="14" s="83">
      <c r="A14" s="5" t="inlineStr">
        <is>
          <t>100202</t>
        </is>
      </c>
      <c r="C14" s="5" t="inlineStr">
        <is>
          <t>2025-04-30</t>
        </is>
      </c>
      <c r="D14" s="5" t="inlineStr">
        <is>
          <t>Q0302</t>
        </is>
      </c>
      <c r="F14" s="5" t="inlineStr">
        <is>
          <t>SMART LEARNING HOLDING</t>
        </is>
      </c>
      <c r="G14" s="34" t="inlineStr">
        <is>
          <t>记-4</t>
        </is>
      </c>
      <c r="I14" s="89" t="n">
        <v>4</v>
      </c>
    </row>
    <row r="15" s="83">
      <c r="A15" s="5" t="inlineStr">
        <is>
          <t>100202</t>
        </is>
      </c>
      <c r="C15" s="5" t="inlineStr">
        <is>
          <t>2025-04-08</t>
        </is>
      </c>
      <c r="D15" s="5" t="inlineStr">
        <is>
          <t>Q0401</t>
        </is>
      </c>
      <c r="F15" s="5" t="inlineStr">
        <is>
          <t>SMART LEARNING HOLDING</t>
        </is>
      </c>
      <c r="G15" s="34" t="inlineStr">
        <is>
          <t>记-1</t>
        </is>
      </c>
      <c r="I15" s="89" t="n">
        <v>4</v>
      </c>
    </row>
    <row r="16" s="83">
      <c r="A16" s="5" t="inlineStr">
        <is>
          <t>100202</t>
        </is>
      </c>
      <c r="C16" s="5" t="inlineStr">
        <is>
          <t>2025-04-08</t>
        </is>
      </c>
      <c r="D16" s="5" t="inlineStr">
        <is>
          <t>Q0701</t>
        </is>
      </c>
      <c r="F16" s="5" t="inlineStr">
        <is>
          <t>SMART LEARNING HOLDING</t>
        </is>
      </c>
      <c r="G16" s="34" t="inlineStr">
        <is>
          <t>记-2</t>
        </is>
      </c>
      <c r="J16" s="89" t="n">
        <v>4</v>
      </c>
    </row>
    <row r="17" s="83">
      <c r="A17" s="5" t="inlineStr">
        <is>
          <t>100202</t>
        </is>
      </c>
      <c r="C17" s="5" t="inlineStr">
        <is>
          <t>2025-04-22</t>
        </is>
      </c>
      <c r="D17" s="5" t="inlineStr">
        <is>
          <t>Q3101</t>
        </is>
      </c>
      <c r="F17" s="5" t="inlineStr">
        <is>
          <t>SMART LEARNING HOLDING</t>
        </is>
      </c>
      <c r="G17" s="34" t="inlineStr">
        <is>
          <t>记-3</t>
        </is>
      </c>
      <c r="J17" s="89" t="n">
        <v>4</v>
      </c>
    </row>
    <row r="18" s="83">
      <c r="A18" s="5" t="inlineStr">
        <is>
          <t>100203</t>
        </is>
      </c>
      <c r="C18" s="5" t="inlineStr">
        <is>
          <t>2025-04-30</t>
        </is>
      </c>
      <c r="D18" s="5" t="inlineStr">
        <is>
          <t>Q3105</t>
        </is>
      </c>
      <c r="F18" s="5" t="inlineStr">
        <is>
          <t>SMART LEARNING HOLDING</t>
        </is>
      </c>
      <c r="G18" s="34" t="inlineStr">
        <is>
          <t>记-6</t>
        </is>
      </c>
      <c r="J18" s="89" t="n">
        <v>4</v>
      </c>
    </row>
    <row r="19" s="83">
      <c r="A19" s="36" t="inlineStr">
        <is>
          <t>100201</t>
        </is>
      </c>
      <c r="B19" s="36" t="n"/>
      <c r="C19" s="36" t="inlineStr">
        <is>
          <t>2025-04-29</t>
        </is>
      </c>
      <c r="D19" s="36" t="inlineStr">
        <is>
          <t>Q2005</t>
        </is>
      </c>
      <c r="E19" s="36" t="n"/>
      <c r="F19" s="36" t="inlineStr">
        <is>
          <t>杭州实时查科技有限公司</t>
        </is>
      </c>
      <c r="G19" s="36" t="inlineStr">
        <is>
          <t>记-11</t>
        </is>
      </c>
      <c r="H19" s="36" t="n"/>
      <c r="I19" s="96" t="n"/>
      <c r="J19" s="89" t="n">
        <v>4</v>
      </c>
      <c r="K19" s="40" t="n"/>
      <c r="L19" s="96" t="n"/>
      <c r="M19" s="36" t="n"/>
    </row>
    <row r="20" s="83">
      <c r="A20" s="37" t="inlineStr">
        <is>
          <t>100201</t>
        </is>
      </c>
      <c r="B20" s="37" t="n"/>
      <c r="C20" s="37" t="inlineStr">
        <is>
          <t>2025-04-16</t>
        </is>
      </c>
      <c r="D20" s="37" t="inlineStr">
        <is>
          <t>Q2202</t>
        </is>
      </c>
      <c r="E20" s="37" t="n"/>
      <c r="F20" s="37" t="inlineStr">
        <is>
          <t>杭州实时查科技有限公司</t>
        </is>
      </c>
      <c r="G20" s="37" t="inlineStr">
        <is>
          <t>记-2</t>
        </is>
      </c>
      <c r="H20" s="37" t="n"/>
      <c r="I20" s="89" t="n">
        <v>4</v>
      </c>
      <c r="J20" s="97" t="n"/>
      <c r="K20" s="42" t="n"/>
      <c r="L20" s="97" t="n"/>
      <c r="M20" s="37" t="n"/>
    </row>
    <row r="21" s="83">
      <c r="A21" s="36" t="inlineStr">
        <is>
          <t>100201</t>
        </is>
      </c>
      <c r="B21" s="36" t="n"/>
      <c r="C21" s="36" t="inlineStr">
        <is>
          <t>2025-04-02</t>
        </is>
      </c>
      <c r="D21" s="36" t="inlineStr">
        <is>
          <t>Q3101</t>
        </is>
      </c>
      <c r="E21" s="36" t="n"/>
      <c r="F21" s="36" t="inlineStr">
        <is>
          <t>杭州实时查科技有限公司</t>
        </is>
      </c>
      <c r="G21" s="36" t="inlineStr">
        <is>
          <t>记-1</t>
        </is>
      </c>
      <c r="H21" s="36" t="n"/>
      <c r="I21" s="96" t="n"/>
      <c r="J21" s="89" t="n">
        <v>4</v>
      </c>
      <c r="K21" s="40" t="n"/>
      <c r="L21" s="96" t="n"/>
      <c r="M21" s="36" t="n"/>
    </row>
    <row r="22" s="83">
      <c r="A22" s="37" t="inlineStr">
        <is>
          <t>101201</t>
        </is>
      </c>
      <c r="B22" s="37" t="n"/>
      <c r="C22" s="37" t="inlineStr">
        <is>
          <t>2025-04-17</t>
        </is>
      </c>
      <c r="D22" s="37" t="inlineStr">
        <is>
          <t>Else01</t>
        </is>
      </c>
      <c r="E22" s="37" t="n"/>
      <c r="F22" s="37" t="inlineStr">
        <is>
          <t>杭州实时查科技有限公司</t>
        </is>
      </c>
      <c r="G22" s="37" t="inlineStr">
        <is>
          <t>记-3</t>
        </is>
      </c>
      <c r="H22" s="37" t="n"/>
      <c r="I22" s="97" t="n"/>
      <c r="J22" s="89" t="n">
        <v>4</v>
      </c>
      <c r="K22" s="42" t="n"/>
      <c r="L22" s="97" t="n"/>
      <c r="M22" s="37" t="n"/>
    </row>
    <row r="23" s="83">
      <c r="A23" s="36" t="inlineStr">
        <is>
          <t>101201</t>
        </is>
      </c>
      <c r="B23" s="36" t="n"/>
      <c r="C23" s="36" t="inlineStr">
        <is>
          <t>2025-04-21</t>
        </is>
      </c>
      <c r="D23" s="36" t="inlineStr">
        <is>
          <t>Else01</t>
        </is>
      </c>
      <c r="E23" s="36" t="n"/>
      <c r="F23" s="36" t="inlineStr">
        <is>
          <t>杭州实时查科技有限公司</t>
        </is>
      </c>
      <c r="G23" s="36" t="inlineStr">
        <is>
          <t>记-4</t>
        </is>
      </c>
      <c r="H23" s="36" t="n"/>
      <c r="I23" s="96" t="n"/>
      <c r="J23" s="89" t="n">
        <v>4</v>
      </c>
      <c r="K23" s="40" t="n"/>
      <c r="L23" s="96" t="n"/>
      <c r="M23" s="36" t="n"/>
    </row>
    <row r="24" s="83">
      <c r="A24" s="37" t="inlineStr">
        <is>
          <t>101201</t>
        </is>
      </c>
      <c r="B24" s="37" t="n"/>
      <c r="C24" s="37" t="inlineStr">
        <is>
          <t>2025-04-25</t>
        </is>
      </c>
      <c r="D24" s="37" t="inlineStr">
        <is>
          <t>Else01</t>
        </is>
      </c>
      <c r="E24" s="37" t="n"/>
      <c r="F24" s="37" t="inlineStr">
        <is>
          <t>杭州实时查科技有限公司</t>
        </is>
      </c>
      <c r="G24" s="37" t="inlineStr">
        <is>
          <t>记-6</t>
        </is>
      </c>
      <c r="H24" s="37" t="n"/>
      <c r="I24" s="97" t="n"/>
      <c r="J24" s="89" t="n">
        <v>4</v>
      </c>
      <c r="K24" s="42" t="n"/>
      <c r="L24" s="97" t="n"/>
      <c r="M24" s="37" t="n"/>
    </row>
    <row r="25" s="83">
      <c r="A25" s="36" t="inlineStr">
        <is>
          <t>101201</t>
        </is>
      </c>
      <c r="B25" s="36" t="n"/>
      <c r="C25" s="36" t="inlineStr">
        <is>
          <t>2025-04-27</t>
        </is>
      </c>
      <c r="D25" s="36" t="inlineStr">
        <is>
          <t>Else01</t>
        </is>
      </c>
      <c r="E25" s="36" t="n"/>
      <c r="F25" s="36" t="inlineStr">
        <is>
          <t>杭州实时查科技有限公司</t>
        </is>
      </c>
      <c r="G25" s="36" t="inlineStr">
        <is>
          <t>记-7</t>
        </is>
      </c>
      <c r="H25" s="36" t="n"/>
      <c r="I25" s="89" t="n">
        <v>4</v>
      </c>
      <c r="J25" s="96" t="n"/>
      <c r="K25" s="40" t="n"/>
      <c r="L25" s="96" t="n"/>
      <c r="M25" s="36" t="n"/>
    </row>
    <row r="26" s="83">
      <c r="A26" s="37" t="inlineStr">
        <is>
          <t>101201</t>
        </is>
      </c>
      <c r="B26" s="37" t="n"/>
      <c r="C26" s="37" t="inlineStr">
        <is>
          <t>2025-04-27</t>
        </is>
      </c>
      <c r="D26" s="37" t="inlineStr">
        <is>
          <t>Else01</t>
        </is>
      </c>
      <c r="E26" s="37" t="n"/>
      <c r="F26" s="37" t="inlineStr">
        <is>
          <t>杭州实时查科技有限公司</t>
        </is>
      </c>
      <c r="G26" s="37" t="inlineStr">
        <is>
          <t>记-8</t>
        </is>
      </c>
      <c r="H26" s="37" t="n"/>
      <c r="I26" s="97" t="n"/>
      <c r="J26" s="89" t="n">
        <v>4</v>
      </c>
      <c r="K26" s="42" t="n"/>
      <c r="L26" s="97" t="n"/>
      <c r="M26" s="37" t="n"/>
    </row>
    <row r="27" s="83">
      <c r="A27" s="36" t="inlineStr">
        <is>
          <t>101201</t>
        </is>
      </c>
      <c r="B27" s="36" t="n"/>
      <c r="C27" s="36" t="inlineStr">
        <is>
          <t>2025-04-28</t>
        </is>
      </c>
      <c r="D27" s="36" t="inlineStr">
        <is>
          <t>Else01</t>
        </is>
      </c>
      <c r="E27" s="36" t="n"/>
      <c r="F27" s="36" t="inlineStr">
        <is>
          <t>杭州实时查科技有限公司</t>
        </is>
      </c>
      <c r="G27" s="36" t="inlineStr">
        <is>
          <t>记-9</t>
        </is>
      </c>
      <c r="H27" s="36" t="n"/>
      <c r="I27" s="96" t="n"/>
      <c r="J27" s="89" t="n">
        <v>4</v>
      </c>
      <c r="K27" s="40" t="n"/>
      <c r="L27" s="96" t="n"/>
      <c r="M27" s="36" t="n"/>
    </row>
    <row r="28" s="83">
      <c r="A28" s="37" t="inlineStr">
        <is>
          <t>101201</t>
        </is>
      </c>
      <c r="B28" s="37" t="n"/>
      <c r="C28" s="37" t="inlineStr">
        <is>
          <t>2025-04-28</t>
        </is>
      </c>
      <c r="D28" s="37" t="inlineStr">
        <is>
          <t>Else01</t>
        </is>
      </c>
      <c r="E28" s="37" t="n"/>
      <c r="F28" s="37" t="inlineStr">
        <is>
          <t>杭州实时查科技有限公司</t>
        </is>
      </c>
      <c r="G28" s="37" t="inlineStr">
        <is>
          <t>记-10</t>
        </is>
      </c>
      <c r="H28" s="37" t="n"/>
      <c r="I28" s="89" t="n">
        <v>4</v>
      </c>
      <c r="J28" s="97" t="n"/>
      <c r="K28" s="42" t="n"/>
      <c r="L28" s="97" t="n"/>
      <c r="M28" s="37" t="n"/>
    </row>
    <row r="29" s="83">
      <c r="A29" s="36" t="inlineStr">
        <is>
          <t>101201</t>
        </is>
      </c>
      <c r="B29" s="36" t="n"/>
      <c r="C29" s="36" t="inlineStr">
        <is>
          <t>2025-04-30</t>
        </is>
      </c>
      <c r="D29" s="36" t="inlineStr">
        <is>
          <t>Else01</t>
        </is>
      </c>
      <c r="E29" s="36" t="n"/>
      <c r="F29" s="36" t="inlineStr">
        <is>
          <t>杭州实时查科技有限公司</t>
        </is>
      </c>
      <c r="G29" s="36" t="inlineStr">
        <is>
          <t>记-17</t>
        </is>
      </c>
      <c r="H29" s="36" t="n"/>
      <c r="I29" s="96" t="n"/>
      <c r="J29" s="89" t="n">
        <v>4</v>
      </c>
      <c r="K29" s="40" t="n"/>
      <c r="L29" s="96" t="n"/>
      <c r="M29" s="36" t="n"/>
    </row>
    <row r="30" s="83">
      <c r="A30" s="37" t="inlineStr">
        <is>
          <t>101201</t>
        </is>
      </c>
      <c r="B30" s="37" t="n"/>
      <c r="C30" s="37" t="inlineStr">
        <is>
          <t>2025-04-30</t>
        </is>
      </c>
      <c r="D30" s="37" t="inlineStr">
        <is>
          <t>Else01</t>
        </is>
      </c>
      <c r="E30" s="37" t="n"/>
      <c r="F30" s="37" t="inlineStr">
        <is>
          <t>杭州实时查科技有限公司</t>
        </is>
      </c>
      <c r="G30" s="37" t="inlineStr">
        <is>
          <t>记-17</t>
        </is>
      </c>
      <c r="H30" s="37" t="n"/>
      <c r="I30" s="89" t="n">
        <v>4</v>
      </c>
      <c r="J30" s="97" t="n"/>
      <c r="K30" s="42" t="n"/>
      <c r="L30" s="97" t="n"/>
      <c r="M30" s="37" t="n"/>
    </row>
    <row r="31" s="83">
      <c r="A31" s="37" t="inlineStr">
        <is>
          <t>101201</t>
        </is>
      </c>
      <c r="B31" s="37" t="n"/>
      <c r="C31" s="37" t="inlineStr">
        <is>
          <t>2025-04-30</t>
        </is>
      </c>
      <c r="D31" s="37" t="inlineStr">
        <is>
          <t>Q0101</t>
        </is>
      </c>
      <c r="E31" s="37" t="n"/>
      <c r="F31" s="37" t="inlineStr">
        <is>
          <t>杭州实时查科技有限公司</t>
        </is>
      </c>
      <c r="G31" s="37" t="inlineStr">
        <is>
          <t>记-18</t>
        </is>
      </c>
      <c r="H31" s="37" t="n"/>
      <c r="I31" s="89" t="n">
        <v>4</v>
      </c>
      <c r="J31" s="97" t="n"/>
      <c r="K31" s="42" t="n"/>
      <c r="L31" s="97" t="n"/>
      <c r="M31" s="37" t="n"/>
    </row>
    <row r="32" s="83">
      <c r="A32" s="36" t="inlineStr">
        <is>
          <t>101201</t>
        </is>
      </c>
      <c r="B32" s="36" t="n"/>
      <c r="C32" s="36" t="inlineStr">
        <is>
          <t>2025-04-30</t>
        </is>
      </c>
      <c r="D32" s="36" t="inlineStr">
        <is>
          <t>Q0101</t>
        </is>
      </c>
      <c r="E32" s="36" t="n"/>
      <c r="F32" s="36" t="inlineStr">
        <is>
          <t>杭州实时查科技有限公司</t>
        </is>
      </c>
      <c r="G32" s="36" t="inlineStr">
        <is>
          <t>记-18</t>
        </is>
      </c>
      <c r="H32" s="36" t="n"/>
      <c r="I32" s="96" t="n"/>
      <c r="J32" s="89" t="n">
        <v>4</v>
      </c>
      <c r="K32" s="40" t="n"/>
      <c r="L32" s="96" t="n"/>
      <c r="M32" s="36" t="n"/>
    </row>
    <row r="33" s="83">
      <c r="A33" s="36" t="inlineStr">
        <is>
          <t>101201</t>
        </is>
      </c>
      <c r="B33" s="36" t="n"/>
      <c r="C33" s="36" t="inlineStr">
        <is>
          <t>2025-04-30</t>
        </is>
      </c>
      <c r="D33" s="36" t="inlineStr">
        <is>
          <t>Q2201</t>
        </is>
      </c>
      <c r="E33" s="36" t="n"/>
      <c r="F33" s="36" t="inlineStr">
        <is>
          <t>杭州实时查科技有限公司</t>
        </is>
      </c>
      <c r="G33" s="36" t="inlineStr">
        <is>
          <t>记-18</t>
        </is>
      </c>
      <c r="H33" s="36" t="n"/>
      <c r="I33" s="96" t="n"/>
      <c r="J33" s="89" t="n">
        <v>4</v>
      </c>
      <c r="K33" s="40" t="n"/>
      <c r="L33" s="96" t="n"/>
      <c r="M33" s="36" t="n"/>
    </row>
    <row r="34" s="83">
      <c r="A34" s="37" t="inlineStr">
        <is>
          <t>101201</t>
        </is>
      </c>
      <c r="B34" s="37" t="n"/>
      <c r="C34" s="37" t="inlineStr">
        <is>
          <t>2025-04-30</t>
        </is>
      </c>
      <c r="D34" s="37" t="inlineStr">
        <is>
          <t>Q2201</t>
        </is>
      </c>
      <c r="E34" s="37" t="n"/>
      <c r="F34" s="37" t="inlineStr">
        <is>
          <t>杭州实时查科技有限公司</t>
        </is>
      </c>
      <c r="G34" s="37" t="inlineStr">
        <is>
          <t>记-18</t>
        </is>
      </c>
      <c r="H34" s="37" t="n"/>
      <c r="I34" s="97" t="n"/>
      <c r="J34" s="89" t="n">
        <v>4</v>
      </c>
      <c r="K34" s="42" t="n"/>
      <c r="L34" s="97" t="n"/>
      <c r="M34" s="37" t="n"/>
    </row>
    <row r="35" s="83">
      <c r="A35" s="37" t="inlineStr">
        <is>
          <t>101201</t>
        </is>
      </c>
      <c r="B35" s="37" t="n"/>
      <c r="C35" s="37" t="inlineStr">
        <is>
          <t>2025-04-30</t>
        </is>
      </c>
      <c r="D35" s="37" t="inlineStr">
        <is>
          <t>Q2204</t>
        </is>
      </c>
      <c r="E35" s="37" t="n"/>
      <c r="F35" s="37" t="inlineStr">
        <is>
          <t>杭州实时查科技有限公司</t>
        </is>
      </c>
      <c r="G35" s="37" t="inlineStr">
        <is>
          <t>记-18</t>
        </is>
      </c>
      <c r="H35" s="37" t="n"/>
      <c r="I35" s="97" t="n"/>
      <c r="J35" s="89" t="n">
        <v>4</v>
      </c>
      <c r="K35" s="42" t="n"/>
      <c r="L35" s="97" t="n"/>
      <c r="M35" s="37" t="n"/>
    </row>
    <row r="36" s="83">
      <c r="A36" s="37" t="inlineStr">
        <is>
          <t>101201</t>
        </is>
      </c>
      <c r="B36" s="37" t="n"/>
      <c r="C36" s="37" t="inlineStr">
        <is>
          <t>2025-04-30</t>
        </is>
      </c>
      <c r="D36" s="37" t="inlineStr">
        <is>
          <t>Q2207</t>
        </is>
      </c>
      <c r="E36" s="37" t="n"/>
      <c r="F36" s="37" t="inlineStr">
        <is>
          <t>杭州实时查科技有限公司</t>
        </is>
      </c>
      <c r="G36" s="37" t="inlineStr">
        <is>
          <t>记-18</t>
        </is>
      </c>
      <c r="H36" s="37" t="n"/>
      <c r="I36" s="97" t="n"/>
      <c r="J36" s="89" t="n">
        <v>4</v>
      </c>
      <c r="K36" s="42" t="n"/>
      <c r="L36" s="97" t="n"/>
      <c r="M36" s="37" t="n"/>
    </row>
    <row r="37" s="83">
      <c r="A37" s="37" t="inlineStr">
        <is>
          <t>101203</t>
        </is>
      </c>
      <c r="B37" s="37" t="n"/>
      <c r="C37" s="37" t="inlineStr">
        <is>
          <t>2025-04-24</t>
        </is>
      </c>
      <c r="D37" s="37" t="inlineStr">
        <is>
          <t>Else01</t>
        </is>
      </c>
      <c r="E37" s="37" t="n"/>
      <c r="F37" s="37" t="inlineStr">
        <is>
          <t>杭州实时查科技有限公司</t>
        </is>
      </c>
      <c r="G37" s="37" t="inlineStr">
        <is>
          <t>记-5</t>
        </is>
      </c>
      <c r="H37" s="37" t="n"/>
      <c r="I37" s="97" t="n"/>
      <c r="J37" s="89" t="n">
        <v>4</v>
      </c>
      <c r="K37" s="42" t="n"/>
      <c r="L37" s="97" t="n"/>
      <c r="M37" s="37" t="n"/>
    </row>
    <row r="38" s="83">
      <c r="A38" s="36" t="inlineStr">
        <is>
          <t>101203</t>
        </is>
      </c>
      <c r="B38" s="36" t="n"/>
      <c r="C38" s="36" t="inlineStr">
        <is>
          <t>2025-04-30</t>
        </is>
      </c>
      <c r="D38" s="36" t="inlineStr">
        <is>
          <t>Else01</t>
        </is>
      </c>
      <c r="E38" s="36" t="n"/>
      <c r="F38" s="36" t="inlineStr">
        <is>
          <t>杭州实时查科技有限公司</t>
        </is>
      </c>
      <c r="G38" s="36" t="inlineStr">
        <is>
          <t>记-13</t>
        </is>
      </c>
      <c r="H38" s="36" t="n"/>
      <c r="I38" s="96" t="n"/>
      <c r="J38" s="89" t="n">
        <v>4</v>
      </c>
      <c r="K38" s="40" t="n"/>
      <c r="L38" s="96" t="n"/>
      <c r="M38" s="36" t="n"/>
    </row>
    <row r="39" s="83">
      <c r="A39" s="36" t="inlineStr">
        <is>
          <t>101203</t>
        </is>
      </c>
      <c r="B39" s="36" t="n"/>
      <c r="C39" s="36" t="inlineStr">
        <is>
          <t>2025-04-30</t>
        </is>
      </c>
      <c r="D39" s="36" t="inlineStr">
        <is>
          <t>Q0101</t>
        </is>
      </c>
      <c r="E39" s="36" t="n"/>
      <c r="F39" s="36" t="inlineStr">
        <is>
          <t>杭州实时查科技有限公司</t>
        </is>
      </c>
      <c r="G39" s="36" t="inlineStr">
        <is>
          <t>记-14</t>
        </is>
      </c>
      <c r="H39" s="36" t="n"/>
      <c r="I39" s="96" t="n"/>
      <c r="J39" s="89" t="n">
        <v>4</v>
      </c>
      <c r="K39" s="40" t="n"/>
      <c r="L39" s="96" t="n"/>
      <c r="M39" s="36" t="n"/>
    </row>
    <row r="40" s="83">
      <c r="A40" s="37" t="inlineStr">
        <is>
          <t>100201</t>
        </is>
      </c>
      <c r="B40" s="37" t="n"/>
      <c r="C40" s="37" t="inlineStr">
        <is>
          <t>2025-04-10</t>
        </is>
      </c>
      <c r="D40" s="37" t="inlineStr">
        <is>
          <t>Q0303</t>
        </is>
      </c>
      <c r="E40" s="37" t="n"/>
      <c r="F40" s="37" t="inlineStr">
        <is>
          <t>杭州驷海宾朋智能科技有限公司</t>
        </is>
      </c>
      <c r="G40" s="37" t="inlineStr">
        <is>
          <t>记-4</t>
        </is>
      </c>
      <c r="H40" s="37" t="n"/>
      <c r="I40" s="89" t="n">
        <v>4</v>
      </c>
      <c r="J40" s="97" t="n"/>
      <c r="K40" s="42" t="n"/>
      <c r="L40" s="97" t="n"/>
      <c r="M40" s="37" t="n"/>
    </row>
    <row r="41" s="83">
      <c r="A41" s="36" t="inlineStr">
        <is>
          <t>100201</t>
        </is>
      </c>
      <c r="B41" s="36" t="n"/>
      <c r="C41" s="36" t="inlineStr">
        <is>
          <t>2025-04-16</t>
        </is>
      </c>
      <c r="D41" s="36" t="inlineStr">
        <is>
          <t>Q0401</t>
        </is>
      </c>
      <c r="E41" s="36" t="n"/>
      <c r="F41" s="36" t="inlineStr">
        <is>
          <t>杭州驷海宾朋智能科技有限公司</t>
        </is>
      </c>
      <c r="G41" s="36" t="inlineStr">
        <is>
          <t>记-5</t>
        </is>
      </c>
      <c r="H41" s="36" t="n"/>
      <c r="I41" s="89" t="n">
        <v>4</v>
      </c>
      <c r="J41" s="96" t="n"/>
      <c r="K41" s="40" t="n"/>
      <c r="L41" s="96" t="n"/>
      <c r="M41" s="36" t="n"/>
    </row>
    <row r="42" s="83">
      <c r="A42" s="37" t="inlineStr">
        <is>
          <t>100201</t>
        </is>
      </c>
      <c r="B42" s="37" t="n"/>
      <c r="C42" s="37" t="inlineStr">
        <is>
          <t>2025-04-27</t>
        </is>
      </c>
      <c r="D42" s="37" t="inlineStr">
        <is>
          <t>Q0402</t>
        </is>
      </c>
      <c r="E42" s="37" t="n"/>
      <c r="F42" s="37" t="inlineStr">
        <is>
          <t>杭州驷海宾朋智能科技有限公司</t>
        </is>
      </c>
      <c r="G42" s="37" t="inlineStr">
        <is>
          <t>记-7</t>
        </is>
      </c>
      <c r="H42" s="37" t="n"/>
      <c r="I42" s="89" t="n">
        <v>4</v>
      </c>
      <c r="J42" s="97" t="n"/>
      <c r="K42" s="42" t="n"/>
      <c r="L42" s="97" t="n"/>
      <c r="M42" s="37" t="n"/>
    </row>
    <row r="43" s="83">
      <c r="A43" s="37" t="inlineStr">
        <is>
          <t>100201</t>
        </is>
      </c>
      <c r="B43" s="37" t="n"/>
      <c r="C43" s="37" t="inlineStr">
        <is>
          <t>2025-04-01</t>
        </is>
      </c>
      <c r="D43" s="37" t="inlineStr">
        <is>
          <t>Q0803</t>
        </is>
      </c>
      <c r="E43" s="37" t="n"/>
      <c r="F43" s="37" t="inlineStr">
        <is>
          <t>杭州驷海宾朋智能科技有限公司</t>
        </is>
      </c>
      <c r="G43" s="37" t="inlineStr">
        <is>
          <t>记-3</t>
        </is>
      </c>
      <c r="H43" s="37" t="n"/>
      <c r="I43" s="97" t="n"/>
      <c r="J43" s="89" t="n">
        <v>4</v>
      </c>
      <c r="K43" s="42" t="n"/>
      <c r="L43" s="97" t="n"/>
      <c r="M43" s="37" t="n"/>
    </row>
    <row r="44" s="83">
      <c r="A44" s="37" t="inlineStr">
        <is>
          <t>100201</t>
        </is>
      </c>
      <c r="B44" s="37" t="n"/>
      <c r="C44" s="37" t="inlineStr">
        <is>
          <t>2025-04-21</t>
        </is>
      </c>
      <c r="D44" s="37" t="inlineStr">
        <is>
          <t>Q0804</t>
        </is>
      </c>
      <c r="E44" s="37" t="n"/>
      <c r="F44" s="37" t="inlineStr">
        <is>
          <t>杭州驷海宾朋智能科技有限公司</t>
        </is>
      </c>
      <c r="G44" s="37" t="inlineStr">
        <is>
          <t>记-6</t>
        </is>
      </c>
      <c r="H44" s="37" t="n"/>
      <c r="I44" s="97" t="n"/>
      <c r="J44" s="89" t="n">
        <v>4</v>
      </c>
      <c r="K44" s="42" t="n"/>
      <c r="L44" s="97" t="n"/>
      <c r="M44" s="37" t="n"/>
    </row>
    <row r="45" s="83">
      <c r="A45" s="37" t="inlineStr">
        <is>
          <t>100201</t>
        </is>
      </c>
      <c r="B45" s="37" t="n"/>
      <c r="C45" s="37" t="inlineStr">
        <is>
          <t>2025-04-15</t>
        </is>
      </c>
      <c r="D45" s="37" t="inlineStr">
        <is>
          <t>Q0303</t>
        </is>
      </c>
      <c r="E45" s="37" t="n"/>
      <c r="F45" s="37" t="inlineStr">
        <is>
          <t>海南精准学科技有限公司</t>
        </is>
      </c>
      <c r="G45" s="37" t="inlineStr">
        <is>
          <t>记-8</t>
        </is>
      </c>
      <c r="H45" s="37" t="n"/>
      <c r="I45" s="89" t="n">
        <v>4</v>
      </c>
      <c r="J45" s="97" t="n"/>
      <c r="K45" s="42" t="n"/>
      <c r="L45" s="97" t="n"/>
      <c r="M45" s="37" t="n"/>
    </row>
    <row r="46" s="83">
      <c r="A46" s="36" t="inlineStr">
        <is>
          <t>100201</t>
        </is>
      </c>
      <c r="B46" s="36" t="n"/>
      <c r="C46" s="36" t="inlineStr">
        <is>
          <t>2025-04-15</t>
        </is>
      </c>
      <c r="D46" s="36" t="inlineStr">
        <is>
          <t>Q0801</t>
        </is>
      </c>
      <c r="E46" s="36" t="n"/>
      <c r="F46" s="36" t="inlineStr">
        <is>
          <t>海南精准学科技有限公司</t>
        </is>
      </c>
      <c r="G46" s="36" t="inlineStr">
        <is>
          <t>记-9</t>
        </is>
      </c>
      <c r="H46" s="36" t="n"/>
      <c r="I46" s="96" t="n"/>
      <c r="J46" s="89" t="n">
        <v>4</v>
      </c>
      <c r="K46" s="40" t="n"/>
      <c r="L46" s="96" t="n"/>
      <c r="M46" s="36" t="n"/>
    </row>
    <row r="47" s="83">
      <c r="A47" s="36" t="inlineStr">
        <is>
          <t>100201</t>
        </is>
      </c>
      <c r="B47" s="36" t="n"/>
      <c r="C47" s="36" t="inlineStr">
        <is>
          <t>2025-04-01</t>
        </is>
      </c>
      <c r="D47" s="36" t="inlineStr">
        <is>
          <t>Q0803</t>
        </is>
      </c>
      <c r="E47" s="36" t="n"/>
      <c r="F47" s="36" t="inlineStr">
        <is>
          <t>海南精准学科技有限公司</t>
        </is>
      </c>
      <c r="G47" s="36" t="inlineStr">
        <is>
          <t>记-1</t>
        </is>
      </c>
      <c r="H47" s="36" t="n"/>
      <c r="I47" s="96" t="n"/>
      <c r="J47" s="89" t="n">
        <v>4</v>
      </c>
      <c r="K47" s="40" t="n"/>
      <c r="L47" s="96" t="n"/>
      <c r="M47" s="36" t="n"/>
    </row>
    <row r="48" s="83">
      <c r="A48" s="36" t="inlineStr">
        <is>
          <t>100201</t>
        </is>
      </c>
      <c r="B48" s="36" t="n"/>
      <c r="C48" s="36" t="inlineStr">
        <is>
          <t>2025-04-07</t>
        </is>
      </c>
      <c r="D48" s="36" t="inlineStr">
        <is>
          <t>Q0804</t>
        </is>
      </c>
      <c r="E48" s="36" t="n"/>
      <c r="F48" s="36" t="inlineStr">
        <is>
          <t>海南精准学科技有限公司</t>
        </is>
      </c>
      <c r="G48" s="36" t="inlineStr">
        <is>
          <t>记-5</t>
        </is>
      </c>
      <c r="H48" s="36" t="n"/>
      <c r="I48" s="96" t="n"/>
      <c r="J48" s="89" t="n">
        <v>4</v>
      </c>
      <c r="K48" s="40" t="n"/>
      <c r="L48" s="96" t="n"/>
      <c r="M48" s="36" t="n"/>
    </row>
    <row r="49" s="83">
      <c r="A49" s="36" t="inlineStr">
        <is>
          <t>100201</t>
        </is>
      </c>
      <c r="B49" s="36" t="n"/>
      <c r="C49" s="36" t="inlineStr">
        <is>
          <t>2025-04-14</t>
        </is>
      </c>
      <c r="D49" s="36" t="inlineStr">
        <is>
          <t>Q0805</t>
        </is>
      </c>
      <c r="E49" s="36" t="n"/>
      <c r="F49" s="36" t="inlineStr">
        <is>
          <t>海南精准学科技有限公司</t>
        </is>
      </c>
      <c r="G49" s="36" t="inlineStr">
        <is>
          <t>记-7</t>
        </is>
      </c>
      <c r="H49" s="36" t="n"/>
      <c r="I49" s="96" t="n"/>
      <c r="J49" s="89" t="n">
        <v>4</v>
      </c>
      <c r="K49" s="40" t="n"/>
      <c r="L49" s="96" t="n"/>
      <c r="M49" s="36" t="n"/>
    </row>
    <row r="50" s="83">
      <c r="A50" s="36" t="inlineStr">
        <is>
          <t>100201</t>
        </is>
      </c>
      <c r="B50" s="36" t="n"/>
      <c r="C50" s="36" t="inlineStr">
        <is>
          <t>2025-04-03</t>
        </is>
      </c>
      <c r="D50" s="36" t="inlineStr">
        <is>
          <t>Q3101</t>
        </is>
      </c>
      <c r="E50" s="36" t="n"/>
      <c r="F50" s="36" t="inlineStr">
        <is>
          <t>海南精准学科技有限公司</t>
        </is>
      </c>
      <c r="G50" s="36" t="inlineStr">
        <is>
          <t>记-2</t>
        </is>
      </c>
      <c r="H50" s="36" t="n"/>
      <c r="I50" s="96" t="n"/>
      <c r="J50" s="89" t="n">
        <v>4</v>
      </c>
      <c r="K50" s="40" t="n"/>
      <c r="L50" s="96" t="n"/>
      <c r="M50" s="36" t="n"/>
    </row>
    <row r="51" s="83">
      <c r="A51" s="37" t="inlineStr">
        <is>
          <t>100201</t>
        </is>
      </c>
      <c r="B51" s="37" t="n"/>
      <c r="C51" s="37" t="inlineStr">
        <is>
          <t>2025-04-03</t>
        </is>
      </c>
      <c r="D51" s="37" t="inlineStr">
        <is>
          <t>Q3101</t>
        </is>
      </c>
      <c r="E51" s="37" t="n"/>
      <c r="F51" s="37" t="inlineStr">
        <is>
          <t>海南精准学科技有限公司</t>
        </is>
      </c>
      <c r="G51" s="37" t="inlineStr">
        <is>
          <t>记-2</t>
        </is>
      </c>
      <c r="H51" s="37" t="n"/>
      <c r="I51" s="97" t="n"/>
      <c r="J51" s="89" t="n">
        <v>4</v>
      </c>
      <c r="K51" s="42" t="n"/>
      <c r="L51" s="97" t="n"/>
      <c r="M51" s="37" t="n"/>
    </row>
    <row r="52" s="83">
      <c r="A52" s="36" t="inlineStr">
        <is>
          <t>100201</t>
        </is>
      </c>
      <c r="B52" s="36" t="n"/>
      <c r="C52" s="36" t="inlineStr">
        <is>
          <t>2025-04-15</t>
        </is>
      </c>
      <c r="D52" s="36" t="inlineStr">
        <is>
          <t>Q3101</t>
        </is>
      </c>
      <c r="E52" s="36" t="n"/>
      <c r="F52" s="36" t="inlineStr">
        <is>
          <t>海南精准学科技有限公司</t>
        </is>
      </c>
      <c r="G52" s="36" t="inlineStr">
        <is>
          <t>记-11</t>
        </is>
      </c>
      <c r="H52" s="36" t="n"/>
      <c r="I52" s="96" t="n"/>
      <c r="J52" s="89" t="n">
        <v>4</v>
      </c>
      <c r="K52" s="40" t="n"/>
      <c r="L52" s="96" t="n"/>
      <c r="M52" s="36" t="n"/>
    </row>
    <row r="53" s="83">
      <c r="A53" s="37" t="inlineStr">
        <is>
          <t>100201</t>
        </is>
      </c>
      <c r="B53" s="37" t="n"/>
      <c r="C53" s="37" t="inlineStr">
        <is>
          <t>2025-04-25</t>
        </is>
      </c>
      <c r="D53" s="37" t="inlineStr">
        <is>
          <t>Q3101</t>
        </is>
      </c>
      <c r="E53" s="37" t="n"/>
      <c r="F53" s="37" t="inlineStr">
        <is>
          <t>海南精准学科技有限公司</t>
        </is>
      </c>
      <c r="G53" s="37" t="inlineStr">
        <is>
          <t>记-12</t>
        </is>
      </c>
      <c r="H53" s="37" t="n"/>
      <c r="I53" s="97" t="n"/>
      <c r="J53" s="89" t="n">
        <v>4</v>
      </c>
      <c r="K53" s="42" t="n"/>
      <c r="L53" s="97" t="n"/>
      <c r="M53" s="37" t="n"/>
    </row>
    <row r="54" s="83">
      <c r="A54" s="37" t="inlineStr">
        <is>
          <t>100202</t>
        </is>
      </c>
      <c r="B54" s="37" t="n"/>
      <c r="C54" s="37" t="inlineStr">
        <is>
          <t>2025-04-30</t>
        </is>
      </c>
      <c r="D54" s="37" t="inlineStr">
        <is>
          <t>Q0401</t>
        </is>
      </c>
      <c r="E54" s="37" t="n"/>
      <c r="F54" s="37" t="inlineStr">
        <is>
          <t>海南精准学科技有限公司</t>
        </is>
      </c>
      <c r="G54" s="37" t="inlineStr">
        <is>
          <t>记-17</t>
        </is>
      </c>
      <c r="H54" s="37" t="n"/>
      <c r="I54" s="97" t="n"/>
      <c r="J54" s="89" t="n">
        <v>4</v>
      </c>
      <c r="K54" s="42" t="n"/>
      <c r="L54" s="97" t="n"/>
      <c r="M54" s="37" t="n"/>
    </row>
    <row r="55" s="83">
      <c r="A55" s="36" t="inlineStr">
        <is>
          <t>100202</t>
        </is>
      </c>
      <c r="B55" s="36" t="n"/>
      <c r="C55" s="36" t="inlineStr">
        <is>
          <t>2025-04-30</t>
        </is>
      </c>
      <c r="D55" s="36" t="inlineStr">
        <is>
          <t>Q0401</t>
        </is>
      </c>
      <c r="E55" s="36" t="n"/>
      <c r="F55" s="36" t="inlineStr">
        <is>
          <t>海南精准学科技有限公司</t>
        </is>
      </c>
      <c r="G55" s="36" t="inlineStr">
        <is>
          <t>记-17</t>
        </is>
      </c>
      <c r="H55" s="36" t="n"/>
      <c r="I55" s="96" t="n"/>
      <c r="J55" s="89" t="n">
        <v>4</v>
      </c>
      <c r="K55" s="40" t="n"/>
      <c r="L55" s="96" t="n"/>
      <c r="M55" s="36" t="n"/>
    </row>
    <row r="56" s="83">
      <c r="A56" s="36" t="inlineStr">
        <is>
          <t>100201</t>
        </is>
      </c>
      <c r="B56" s="36" t="n"/>
      <c r="C56" s="36" t="inlineStr">
        <is>
          <t>2025-04-21</t>
        </is>
      </c>
      <c r="D56" s="36" t="inlineStr">
        <is>
          <t>Q0302</t>
        </is>
      </c>
      <c r="E56" s="36" t="n"/>
      <c r="F56" s="36" t="inlineStr">
        <is>
          <t>杭州知识跳跳科技有限公司</t>
        </is>
      </c>
      <c r="G56" s="36" t="inlineStr">
        <is>
          <t>记-57</t>
        </is>
      </c>
      <c r="H56" s="36" t="n"/>
      <c r="I56" s="89" t="n">
        <v>4</v>
      </c>
      <c r="J56" s="96" t="n"/>
      <c r="K56" s="40" t="n"/>
      <c r="L56" s="96" t="n"/>
      <c r="M56" s="36" t="n"/>
    </row>
    <row r="57" s="83">
      <c r="A57" s="37" t="inlineStr">
        <is>
          <t>100201</t>
        </is>
      </c>
      <c r="B57" s="37" t="n"/>
      <c r="C57" s="37" t="inlineStr">
        <is>
          <t>2025-04-02</t>
        </is>
      </c>
      <c r="D57" s="37" t="inlineStr">
        <is>
          <t>Q0401</t>
        </is>
      </c>
      <c r="E57" s="37" t="n"/>
      <c r="F57" s="37" t="inlineStr">
        <is>
          <t>杭州知识跳跳科技有限公司</t>
        </is>
      </c>
      <c r="G57" s="37" t="inlineStr">
        <is>
          <t>记-4</t>
        </is>
      </c>
      <c r="H57" s="37" t="n"/>
      <c r="I57" s="89" t="n">
        <v>4</v>
      </c>
      <c r="J57" s="97" t="n"/>
      <c r="K57" s="42" t="n"/>
      <c r="L57" s="97" t="n"/>
      <c r="M57" s="37" t="n"/>
    </row>
    <row r="58" s="83">
      <c r="A58" s="36" t="inlineStr">
        <is>
          <t>100201</t>
        </is>
      </c>
      <c r="B58" s="36" t="n"/>
      <c r="C58" s="36" t="inlineStr">
        <is>
          <t>2025-04-02</t>
        </is>
      </c>
      <c r="D58" s="36" t="inlineStr">
        <is>
          <t>Q0401</t>
        </is>
      </c>
      <c r="E58" s="36" t="n"/>
      <c r="F58" s="36" t="inlineStr">
        <is>
          <t>杭州知识跳跳科技有限公司</t>
        </is>
      </c>
      <c r="G58" s="36" t="inlineStr">
        <is>
          <t>记-4</t>
        </is>
      </c>
      <c r="H58" s="36" t="n"/>
      <c r="I58" s="96" t="n"/>
      <c r="J58" s="89" t="n">
        <v>4</v>
      </c>
      <c r="K58" s="40" t="n"/>
      <c r="L58" s="96" t="n"/>
      <c r="M58" s="36" t="n"/>
    </row>
    <row r="59" s="83">
      <c r="A59" s="36" t="inlineStr">
        <is>
          <t>100201</t>
        </is>
      </c>
      <c r="B59" s="36" t="n"/>
      <c r="C59" s="36" t="inlineStr">
        <is>
          <t>2025-04-18</t>
        </is>
      </c>
      <c r="D59" s="36" t="inlineStr">
        <is>
          <t>Q0601</t>
        </is>
      </c>
      <c r="E59" s="36" t="n"/>
      <c r="F59" s="36" t="inlineStr">
        <is>
          <t>杭州知识跳跳科技有限公司</t>
        </is>
      </c>
      <c r="G59" s="36" t="inlineStr">
        <is>
          <t>记-51</t>
        </is>
      </c>
      <c r="H59" s="36" t="n"/>
      <c r="I59" s="96" t="n"/>
      <c r="J59" s="89" t="n">
        <v>4</v>
      </c>
      <c r="K59" s="40" t="n"/>
      <c r="L59" s="96" t="n"/>
      <c r="M59" s="36" t="n"/>
    </row>
    <row r="60" s="83">
      <c r="A60" s="36" t="inlineStr">
        <is>
          <t>100201</t>
        </is>
      </c>
      <c r="B60" s="36" t="n"/>
      <c r="C60" s="36" t="inlineStr">
        <is>
          <t>2025-04-15</t>
        </is>
      </c>
      <c r="D60" s="36" t="inlineStr">
        <is>
          <t>Q0801</t>
        </is>
      </c>
      <c r="E60" s="36" t="n"/>
      <c r="F60" s="36" t="inlineStr">
        <is>
          <t>杭州知识跳跳科技有限公司</t>
        </is>
      </c>
      <c r="G60" s="36" t="inlineStr">
        <is>
          <t>记-29</t>
        </is>
      </c>
      <c r="H60" s="36" t="n"/>
      <c r="I60" s="96" t="n"/>
      <c r="J60" s="89" t="n">
        <v>4</v>
      </c>
      <c r="K60" s="40" t="n"/>
      <c r="L60" s="96" t="n"/>
      <c r="M60" s="36" t="n"/>
    </row>
    <row r="61" s="83">
      <c r="A61" s="36" t="inlineStr">
        <is>
          <t>100201</t>
        </is>
      </c>
      <c r="B61" s="36" t="n"/>
      <c r="C61" s="36" t="inlineStr">
        <is>
          <t>2025-04-01</t>
        </is>
      </c>
      <c r="D61" s="36" t="inlineStr">
        <is>
          <t>Q0803</t>
        </is>
      </c>
      <c r="E61" s="36" t="n"/>
      <c r="F61" s="36" t="inlineStr">
        <is>
          <t>杭州知识跳跳科技有限公司</t>
        </is>
      </c>
      <c r="G61" s="36" t="inlineStr">
        <is>
          <t>记-1</t>
        </is>
      </c>
      <c r="H61" s="36" t="n"/>
      <c r="I61" s="96" t="n"/>
      <c r="J61" s="89" t="n">
        <v>4</v>
      </c>
      <c r="K61" s="40" t="n"/>
      <c r="L61" s="96" t="n"/>
      <c r="M61" s="36" t="n"/>
    </row>
    <row r="62" s="83">
      <c r="A62" s="36" t="inlineStr">
        <is>
          <t>100201</t>
        </is>
      </c>
      <c r="B62" s="36" t="n"/>
      <c r="C62" s="36" t="inlineStr">
        <is>
          <t>2025-04-21</t>
        </is>
      </c>
      <c r="D62" s="36" t="inlineStr">
        <is>
          <t>Q0804</t>
        </is>
      </c>
      <c r="E62" s="36" t="n"/>
      <c r="F62" s="36" t="inlineStr">
        <is>
          <t>杭州知识跳跳科技有限公司</t>
        </is>
      </c>
      <c r="G62" s="36" t="inlineStr">
        <is>
          <t>记-56</t>
        </is>
      </c>
      <c r="H62" s="36" t="n"/>
      <c r="I62" s="96" t="n"/>
      <c r="J62" s="89" t="n">
        <v>4</v>
      </c>
      <c r="K62" s="40" t="n"/>
      <c r="L62" s="96" t="n"/>
      <c r="M62" s="36" t="n"/>
    </row>
    <row r="63" s="83">
      <c r="A63" s="36" t="inlineStr">
        <is>
          <t>100201</t>
        </is>
      </c>
      <c r="B63" s="36" t="n"/>
      <c r="C63" s="36" t="inlineStr">
        <is>
          <t>2025-04-11</t>
        </is>
      </c>
      <c r="D63" s="36" t="inlineStr">
        <is>
          <t>Q0805</t>
        </is>
      </c>
      <c r="E63" s="36" t="n"/>
      <c r="F63" s="36" t="inlineStr">
        <is>
          <t>杭州知识跳跳科技有限公司</t>
        </is>
      </c>
      <c r="G63" s="36" t="inlineStr">
        <is>
          <t>记-23</t>
        </is>
      </c>
      <c r="H63" s="36" t="n"/>
      <c r="I63" s="89" t="n">
        <v>4</v>
      </c>
      <c r="J63" s="96" t="n"/>
      <c r="K63" s="40" t="n"/>
      <c r="L63" s="96" t="n"/>
      <c r="M63" s="36" t="n"/>
    </row>
    <row r="64" s="83">
      <c r="A64" s="37" t="inlineStr">
        <is>
          <t>100201</t>
        </is>
      </c>
      <c r="B64" s="37" t="n"/>
      <c r="C64" s="37" t="inlineStr">
        <is>
          <t>2025-04-14</t>
        </is>
      </c>
      <c r="D64" s="37" t="inlineStr">
        <is>
          <t>Q0805</t>
        </is>
      </c>
      <c r="E64" s="37" t="n"/>
      <c r="F64" s="37" t="inlineStr">
        <is>
          <t>杭州知识跳跳科技有限公司</t>
        </is>
      </c>
      <c r="G64" s="37" t="inlineStr">
        <is>
          <t>记-26</t>
        </is>
      </c>
      <c r="H64" s="37" t="n"/>
      <c r="I64" s="97" t="n"/>
      <c r="J64" s="89" t="n">
        <v>4</v>
      </c>
      <c r="K64" s="42" t="n"/>
      <c r="L64" s="97" t="n"/>
      <c r="M64" s="37" t="n"/>
    </row>
    <row r="65" s="83">
      <c r="A65" s="36" t="inlineStr">
        <is>
          <t>100201</t>
        </is>
      </c>
      <c r="B65" s="36" t="n"/>
      <c r="C65" s="36" t="inlineStr">
        <is>
          <t>2025-04-14</t>
        </is>
      </c>
      <c r="D65" s="36" t="inlineStr">
        <is>
          <t>Q0808</t>
        </is>
      </c>
      <c r="E65" s="36" t="n"/>
      <c r="F65" s="36" t="inlineStr">
        <is>
          <t>杭州知识跳跳科技有限公司</t>
        </is>
      </c>
      <c r="G65" s="36" t="inlineStr">
        <is>
          <t>记-27</t>
        </is>
      </c>
      <c r="H65" s="36" t="n"/>
      <c r="I65" s="96" t="n"/>
      <c r="J65" s="89" t="n">
        <v>4</v>
      </c>
      <c r="K65" s="40" t="n"/>
      <c r="L65" s="96" t="n"/>
      <c r="M65" s="36" t="n"/>
    </row>
    <row r="66" s="83">
      <c r="A66" s="36" t="inlineStr">
        <is>
          <t>100201</t>
        </is>
      </c>
      <c r="B66" s="36" t="n"/>
      <c r="C66" s="36" t="inlineStr">
        <is>
          <t>2025-04-17</t>
        </is>
      </c>
      <c r="D66" s="36" t="inlineStr">
        <is>
          <t>Q0809</t>
        </is>
      </c>
      <c r="E66" s="36" t="n"/>
      <c r="F66" s="36" t="inlineStr">
        <is>
          <t>杭州知识跳跳科技有限公司</t>
        </is>
      </c>
      <c r="G66" s="36" t="inlineStr">
        <is>
          <t>记-44</t>
        </is>
      </c>
      <c r="H66" s="36" t="n"/>
      <c r="I66" s="96" t="n"/>
      <c r="J66" s="89" t="n">
        <v>4</v>
      </c>
      <c r="K66" s="40" t="n"/>
      <c r="L66" s="96" t="n"/>
      <c r="M66" s="36" t="n"/>
    </row>
    <row r="67" s="83">
      <c r="A67" s="36" t="inlineStr">
        <is>
          <t>100201</t>
        </is>
      </c>
      <c r="B67" s="36" t="n"/>
      <c r="C67" s="36" t="inlineStr">
        <is>
          <t>2025-04-08</t>
        </is>
      </c>
      <c r="D67" s="36" t="inlineStr">
        <is>
          <t>Q0903</t>
        </is>
      </c>
      <c r="E67" s="36" t="n"/>
      <c r="F67" s="36" t="inlineStr">
        <is>
          <t>杭州知识跳跳科技有限公司</t>
        </is>
      </c>
      <c r="G67" s="36" t="inlineStr">
        <is>
          <t>记-16</t>
        </is>
      </c>
      <c r="H67" s="36" t="n"/>
      <c r="I67" s="96" t="n"/>
      <c r="J67" s="89" t="n">
        <v>4</v>
      </c>
      <c r="K67" s="40" t="n"/>
      <c r="L67" s="96" t="n"/>
      <c r="M67" s="36" t="n"/>
    </row>
    <row r="68" s="83">
      <c r="A68" s="36" t="inlineStr">
        <is>
          <t>100201</t>
        </is>
      </c>
      <c r="B68" s="36" t="n"/>
      <c r="C68" s="36" t="inlineStr">
        <is>
          <t>2025-04-02</t>
        </is>
      </c>
      <c r="D68" s="36" t="inlineStr">
        <is>
          <t>Q1501</t>
        </is>
      </c>
      <c r="E68" s="36" t="n"/>
      <c r="F68" s="36" t="inlineStr">
        <is>
          <t>杭州知识跳跳科技有限公司</t>
        </is>
      </c>
      <c r="G68" s="36" t="inlineStr">
        <is>
          <t>记-5</t>
        </is>
      </c>
      <c r="H68" s="36" t="n"/>
      <c r="I68" s="96" t="n"/>
      <c r="J68" s="89" t="n">
        <v>4</v>
      </c>
      <c r="K68" s="40" t="n"/>
      <c r="L68" s="96" t="n"/>
      <c r="M68" s="36" t="n"/>
    </row>
    <row r="69" s="83">
      <c r="A69" s="37" t="inlineStr">
        <is>
          <t>100201</t>
        </is>
      </c>
      <c r="B69" s="37" t="n"/>
      <c r="C69" s="37" t="inlineStr">
        <is>
          <t>2025-04-16</t>
        </is>
      </c>
      <c r="D69" s="37" t="inlineStr">
        <is>
          <t>Q1501</t>
        </is>
      </c>
      <c r="E69" s="37" t="n"/>
      <c r="F69" s="37" t="inlineStr">
        <is>
          <t>杭州知识跳跳科技有限公司</t>
        </is>
      </c>
      <c r="G69" s="37" t="inlineStr">
        <is>
          <t>记-36</t>
        </is>
      </c>
      <c r="H69" s="37" t="n"/>
      <c r="I69" s="97" t="n"/>
      <c r="J69" s="89" t="n">
        <v>4</v>
      </c>
      <c r="K69" s="42" t="n"/>
      <c r="L69" s="97" t="n"/>
      <c r="M69" s="37" t="n"/>
    </row>
    <row r="70" s="83">
      <c r="A70" s="37" t="inlineStr">
        <is>
          <t>100201</t>
        </is>
      </c>
      <c r="B70" s="37" t="n"/>
      <c r="C70" s="37" t="inlineStr">
        <is>
          <t>2025-04-03</t>
        </is>
      </c>
      <c r="D70" s="37" t="inlineStr">
        <is>
          <t>Q1505</t>
        </is>
      </c>
      <c r="E70" s="37" t="n"/>
      <c r="F70" s="37" t="inlineStr">
        <is>
          <t>杭州知识跳跳科技有限公司</t>
        </is>
      </c>
      <c r="G70" s="37" t="inlineStr">
        <is>
          <t>记-8</t>
        </is>
      </c>
      <c r="H70" s="37" t="n"/>
      <c r="I70" s="97" t="n"/>
      <c r="J70" s="89" t="n">
        <v>4</v>
      </c>
      <c r="K70" s="42" t="n"/>
      <c r="L70" s="97" t="n"/>
      <c r="M70" s="37" t="n"/>
    </row>
    <row r="71" s="83">
      <c r="A71" s="36" t="inlineStr">
        <is>
          <t>100201</t>
        </is>
      </c>
      <c r="B71" s="36" t="n"/>
      <c r="C71" s="36" t="inlineStr">
        <is>
          <t>2025-04-18</t>
        </is>
      </c>
      <c r="D71" s="36" t="inlineStr">
        <is>
          <t>Q1505</t>
        </is>
      </c>
      <c r="E71" s="36" t="n"/>
      <c r="F71" s="36" t="inlineStr">
        <is>
          <t>杭州知识跳跳科技有限公司</t>
        </is>
      </c>
      <c r="G71" s="36" t="inlineStr">
        <is>
          <t>记-46</t>
        </is>
      </c>
      <c r="H71" s="36" t="n"/>
      <c r="I71" s="96" t="n"/>
      <c r="J71" s="89" t="n">
        <v>4</v>
      </c>
      <c r="K71" s="40" t="n"/>
      <c r="L71" s="96" t="n"/>
      <c r="M71" s="36" t="n"/>
    </row>
    <row r="72" s="83">
      <c r="A72" s="37" t="inlineStr">
        <is>
          <t>100201</t>
        </is>
      </c>
      <c r="B72" s="37" t="n"/>
      <c r="C72" s="37" t="inlineStr">
        <is>
          <t>2025-04-22</t>
        </is>
      </c>
      <c r="D72" s="37" t="inlineStr">
        <is>
          <t>Q1505</t>
        </is>
      </c>
      <c r="E72" s="37" t="n"/>
      <c r="F72" s="37" t="inlineStr">
        <is>
          <t>杭州知识跳跳科技有限公司</t>
        </is>
      </c>
      <c r="G72" s="37" t="inlineStr">
        <is>
          <t>记-60</t>
        </is>
      </c>
      <c r="H72" s="37" t="n"/>
      <c r="I72" s="97" t="n"/>
      <c r="J72" s="89" t="n">
        <v>4</v>
      </c>
      <c r="K72" s="42" t="n"/>
      <c r="L72" s="97" t="n"/>
      <c r="M72" s="37" t="n"/>
    </row>
    <row r="73" s="83">
      <c r="A73" s="36" t="inlineStr">
        <is>
          <t>100201</t>
        </is>
      </c>
      <c r="B73" s="36" t="n"/>
      <c r="C73" s="36" t="inlineStr">
        <is>
          <t>2025-04-24</t>
        </is>
      </c>
      <c r="D73" s="36" t="inlineStr">
        <is>
          <t>Q1505</t>
        </is>
      </c>
      <c r="E73" s="36" t="n"/>
      <c r="F73" s="36" t="inlineStr">
        <is>
          <t>杭州知识跳跳科技有限公司</t>
        </is>
      </c>
      <c r="G73" s="36" t="inlineStr">
        <is>
          <t>记-65</t>
        </is>
      </c>
      <c r="H73" s="36" t="n"/>
      <c r="I73" s="96" t="n"/>
      <c r="J73" s="89" t="n">
        <v>4</v>
      </c>
      <c r="K73" s="40" t="n"/>
      <c r="L73" s="96" t="n"/>
      <c r="M73" s="36" t="n"/>
    </row>
    <row r="74" s="83">
      <c r="A74" s="37" t="inlineStr">
        <is>
          <t>100201</t>
        </is>
      </c>
      <c r="B74" s="37" t="n"/>
      <c r="C74" s="37" t="inlineStr">
        <is>
          <t>2025-04-29</t>
        </is>
      </c>
      <c r="D74" s="37" t="inlineStr">
        <is>
          <t>Q1505</t>
        </is>
      </c>
      <c r="E74" s="37" t="n"/>
      <c r="F74" s="37" t="inlineStr">
        <is>
          <t>杭州知识跳跳科技有限公司</t>
        </is>
      </c>
      <c r="G74" s="37" t="inlineStr">
        <is>
          <t>记-78</t>
        </is>
      </c>
      <c r="H74" s="37" t="n"/>
      <c r="I74" s="97" t="n"/>
      <c r="J74" s="89" t="n">
        <v>4</v>
      </c>
      <c r="K74" s="42" t="n"/>
      <c r="L74" s="97" t="n"/>
      <c r="M74" s="37" t="n"/>
    </row>
    <row r="75" s="83">
      <c r="A75" s="37" t="inlineStr">
        <is>
          <t>100201</t>
        </is>
      </c>
      <c r="B75" s="37" t="n"/>
      <c r="C75" s="37" t="inlineStr">
        <is>
          <t>2025-04-18</t>
        </is>
      </c>
      <c r="D75" s="37" t="inlineStr">
        <is>
          <t>Q2601</t>
        </is>
      </c>
      <c r="E75" s="37" t="n"/>
      <c r="F75" s="37" t="inlineStr">
        <is>
          <t>杭州知识跳跳科技有限公司</t>
        </is>
      </c>
      <c r="G75" s="37" t="inlineStr">
        <is>
          <t>记-48</t>
        </is>
      </c>
      <c r="H75" s="37" t="n"/>
      <c r="I75" s="97" t="n"/>
      <c r="J75" s="89" t="n">
        <v>4</v>
      </c>
      <c r="K75" s="42" t="n"/>
      <c r="L75" s="97" t="n"/>
      <c r="M75" s="37" t="n"/>
    </row>
    <row r="76" s="83">
      <c r="A76" s="36" t="inlineStr">
        <is>
          <t>100201</t>
        </is>
      </c>
      <c r="B76" s="36" t="n"/>
      <c r="C76" s="36" t="inlineStr">
        <is>
          <t>2025-04-16</t>
        </is>
      </c>
      <c r="D76" s="36" t="inlineStr">
        <is>
          <t>Q2706</t>
        </is>
      </c>
      <c r="E76" s="36" t="n"/>
      <c r="F76" s="36" t="inlineStr">
        <is>
          <t>杭州知识跳跳科技有限公司</t>
        </is>
      </c>
      <c r="G76" s="36" t="inlineStr">
        <is>
          <t>记-35</t>
        </is>
      </c>
      <c r="H76" s="36" t="n"/>
      <c r="I76" s="96" t="n"/>
      <c r="J76" s="89" t="n">
        <v>4</v>
      </c>
      <c r="K76" s="40" t="n"/>
      <c r="L76" s="96" t="n"/>
      <c r="M76" s="36" t="n"/>
    </row>
    <row r="77" s="83">
      <c r="A77" s="37" t="inlineStr">
        <is>
          <t>100201</t>
        </is>
      </c>
      <c r="B77" s="37" t="n"/>
      <c r="C77" s="37" t="inlineStr">
        <is>
          <t>2025-04-03</t>
        </is>
      </c>
      <c r="D77" s="37" t="inlineStr">
        <is>
          <t>Q2802</t>
        </is>
      </c>
      <c r="E77" s="37" t="n"/>
      <c r="F77" s="37" t="inlineStr">
        <is>
          <t>杭州知识跳跳科技有限公司</t>
        </is>
      </c>
      <c r="G77" s="37" t="inlineStr">
        <is>
          <t>记-7</t>
        </is>
      </c>
      <c r="H77" s="37" t="n"/>
      <c r="I77" s="97" t="n"/>
      <c r="J77" s="89" t="n">
        <v>4</v>
      </c>
      <c r="K77" s="42" t="n"/>
      <c r="L77" s="97" t="n"/>
      <c r="M77" s="37" t="n"/>
    </row>
    <row r="78" s="83">
      <c r="A78" s="36" t="inlineStr">
        <is>
          <t>100201</t>
        </is>
      </c>
      <c r="B78" s="36" t="n"/>
      <c r="C78" s="36" t="inlineStr">
        <is>
          <t>2025-04-16</t>
        </is>
      </c>
      <c r="D78" s="36" t="inlineStr">
        <is>
          <t>Q29010</t>
        </is>
      </c>
      <c r="E78" s="36" t="n"/>
      <c r="F78" s="36" t="inlineStr">
        <is>
          <t>杭州知识跳跳科技有限公司</t>
        </is>
      </c>
      <c r="G78" s="36" t="inlineStr">
        <is>
          <t>记-33</t>
        </is>
      </c>
      <c r="H78" s="36" t="n"/>
      <c r="I78" s="96" t="n"/>
      <c r="J78" s="89" t="n">
        <v>4</v>
      </c>
      <c r="K78" s="40" t="n"/>
      <c r="L78" s="96" t="n"/>
      <c r="M78" s="36" t="n"/>
    </row>
    <row r="79" s="83">
      <c r="A79" s="36" t="inlineStr">
        <is>
          <t>100201</t>
        </is>
      </c>
      <c r="B79" s="36" t="n"/>
      <c r="C79" s="36" t="inlineStr">
        <is>
          <t>2025-04-05</t>
        </is>
      </c>
      <c r="D79" s="36" t="inlineStr">
        <is>
          <t>Q2904</t>
        </is>
      </c>
      <c r="E79" s="36" t="n"/>
      <c r="F79" s="36" t="inlineStr">
        <is>
          <t>杭州知识跳跳科技有限公司</t>
        </is>
      </c>
      <c r="G79" s="36" t="inlineStr">
        <is>
          <t>记-12</t>
        </is>
      </c>
      <c r="H79" s="36" t="n"/>
      <c r="I79" s="96" t="n"/>
      <c r="J79" s="89" t="n">
        <v>4</v>
      </c>
      <c r="K79" s="40" t="n"/>
      <c r="L79" s="96" t="n"/>
      <c r="M79" s="36" t="n"/>
    </row>
    <row r="80" s="83">
      <c r="A80" s="37" t="inlineStr">
        <is>
          <t>100201</t>
        </is>
      </c>
      <c r="B80" s="37" t="n"/>
      <c r="C80" s="37" t="inlineStr">
        <is>
          <t>2025-04-15</t>
        </is>
      </c>
      <c r="D80" s="37" t="inlineStr">
        <is>
          <t>Q2907</t>
        </is>
      </c>
      <c r="E80" s="37" t="n"/>
      <c r="F80" s="37" t="inlineStr">
        <is>
          <t>杭州知识跳跳科技有限公司</t>
        </is>
      </c>
      <c r="G80" s="37" t="inlineStr">
        <is>
          <t>记-30</t>
        </is>
      </c>
      <c r="H80" s="37" t="n"/>
      <c r="I80" s="97" t="n"/>
      <c r="J80" s="89" t="n">
        <v>4</v>
      </c>
      <c r="K80" s="42" t="n"/>
      <c r="L80" s="97" t="n"/>
      <c r="M80" s="37" t="n"/>
    </row>
    <row r="81" s="83">
      <c r="A81" s="36" t="inlineStr">
        <is>
          <t>100201</t>
        </is>
      </c>
      <c r="B81" s="36" t="n"/>
      <c r="C81" s="36" t="inlineStr">
        <is>
          <t>2025-04-18</t>
        </is>
      </c>
      <c r="D81" s="36" t="inlineStr">
        <is>
          <t>Q2907</t>
        </is>
      </c>
      <c r="E81" s="36" t="n"/>
      <c r="F81" s="36" t="inlineStr">
        <is>
          <t>杭州知识跳跳科技有限公司</t>
        </is>
      </c>
      <c r="G81" s="36" t="inlineStr">
        <is>
          <t>记-45</t>
        </is>
      </c>
      <c r="H81" s="36" t="n"/>
      <c r="I81" s="96" t="n"/>
      <c r="J81" s="89" t="n">
        <v>4</v>
      </c>
      <c r="K81" s="40" t="n"/>
      <c r="L81" s="96" t="n"/>
      <c r="M81" s="36" t="n"/>
    </row>
    <row r="82" s="83">
      <c r="A82" s="36" t="inlineStr">
        <is>
          <t>100201</t>
        </is>
      </c>
      <c r="B82" s="36" t="n"/>
      <c r="C82" s="36" t="inlineStr">
        <is>
          <t>2025-04-16</t>
        </is>
      </c>
      <c r="D82" s="36" t="inlineStr">
        <is>
          <t>Q2908</t>
        </is>
      </c>
      <c r="E82" s="36" t="n"/>
      <c r="F82" s="36" t="inlineStr">
        <is>
          <t>杭州知识跳跳科技有限公司</t>
        </is>
      </c>
      <c r="G82" s="36" t="inlineStr">
        <is>
          <t>记-34</t>
        </is>
      </c>
      <c r="H82" s="36" t="n"/>
      <c r="I82" s="96" t="n"/>
      <c r="J82" s="89" t="n">
        <v>4</v>
      </c>
      <c r="K82" s="40" t="n"/>
      <c r="L82" s="96" t="n"/>
      <c r="M82" s="36" t="n"/>
    </row>
    <row r="83" s="83">
      <c r="A83" s="37" t="inlineStr">
        <is>
          <t>100201</t>
        </is>
      </c>
      <c r="B83" s="37" t="n"/>
      <c r="C83" s="37" t="inlineStr">
        <is>
          <t>2025-04-18</t>
        </is>
      </c>
      <c r="D83" s="37" t="inlineStr">
        <is>
          <t>Q2908</t>
        </is>
      </c>
      <c r="E83" s="37" t="n"/>
      <c r="F83" s="37" t="inlineStr">
        <is>
          <t>杭州知识跳跳科技有限公司</t>
        </is>
      </c>
      <c r="G83" s="37" t="inlineStr">
        <is>
          <t>记-47</t>
        </is>
      </c>
      <c r="H83" s="37" t="n"/>
      <c r="I83" s="97" t="n"/>
      <c r="J83" s="89" t="n">
        <v>4</v>
      </c>
      <c r="K83" s="42" t="n"/>
      <c r="L83" s="97" t="n"/>
      <c r="M83" s="37" t="n"/>
    </row>
    <row r="84" s="83">
      <c r="A84" s="36" t="inlineStr">
        <is>
          <t>100201</t>
        </is>
      </c>
      <c r="B84" s="36" t="n"/>
      <c r="C84" s="36" t="inlineStr">
        <is>
          <t>2025-04-18</t>
        </is>
      </c>
      <c r="D84" s="36" t="inlineStr">
        <is>
          <t>Q3003</t>
        </is>
      </c>
      <c r="E84" s="36" t="n"/>
      <c r="F84" s="36" t="inlineStr">
        <is>
          <t>杭州知识跳跳科技有限公司</t>
        </is>
      </c>
      <c r="G84" s="36" t="inlineStr">
        <is>
          <t>记-49</t>
        </is>
      </c>
      <c r="H84" s="36" t="n"/>
      <c r="I84" s="96" t="n"/>
      <c r="J84" s="89" t="n">
        <v>4</v>
      </c>
      <c r="K84" s="40" t="n"/>
      <c r="L84" s="96" t="n"/>
      <c r="M84" s="36" t="n"/>
    </row>
    <row r="85" s="83">
      <c r="A85" s="36" t="inlineStr">
        <is>
          <t>100201</t>
        </is>
      </c>
      <c r="B85" s="36" t="n"/>
      <c r="C85" s="36" t="inlineStr">
        <is>
          <t>2025-04-02</t>
        </is>
      </c>
      <c r="D85" s="36" t="inlineStr">
        <is>
          <t>Q3101</t>
        </is>
      </c>
      <c r="E85" s="36" t="n"/>
      <c r="F85" s="36" t="inlineStr">
        <is>
          <t>杭州知识跳跳科技有限公司</t>
        </is>
      </c>
      <c r="G85" s="36" t="inlineStr">
        <is>
          <t>记-3</t>
        </is>
      </c>
      <c r="H85" s="36" t="n"/>
      <c r="I85" s="96" t="n"/>
      <c r="J85" s="89" t="n">
        <v>4</v>
      </c>
      <c r="K85" s="40" t="n"/>
      <c r="L85" s="96" t="n"/>
      <c r="M85" s="36" t="n"/>
    </row>
    <row r="86" s="83">
      <c r="A86" s="37" t="inlineStr">
        <is>
          <t>100201</t>
        </is>
      </c>
      <c r="B86" s="37" t="n"/>
      <c r="C86" s="37" t="inlineStr">
        <is>
          <t>2025-04-02</t>
        </is>
      </c>
      <c r="D86" s="37" t="inlineStr">
        <is>
          <t>Q3101</t>
        </is>
      </c>
      <c r="E86" s="37" t="n"/>
      <c r="F86" s="37" t="inlineStr">
        <is>
          <t>杭州知识跳跳科技有限公司</t>
        </is>
      </c>
      <c r="G86" s="37" t="inlineStr">
        <is>
          <t>记-3</t>
        </is>
      </c>
      <c r="H86" s="37" t="n"/>
      <c r="I86" s="97" t="n"/>
      <c r="J86" s="89" t="n">
        <v>4</v>
      </c>
      <c r="K86" s="42" t="n"/>
      <c r="L86" s="97" t="n"/>
      <c r="M86" s="37" t="n"/>
    </row>
    <row r="87" s="83">
      <c r="A87" s="36" t="inlineStr">
        <is>
          <t>100201</t>
        </is>
      </c>
      <c r="B87" s="36" t="n"/>
      <c r="C87" s="36" t="inlineStr">
        <is>
          <t>2025-04-16</t>
        </is>
      </c>
      <c r="D87" s="36" t="inlineStr">
        <is>
          <t>Q3101</t>
        </is>
      </c>
      <c r="E87" s="36" t="n"/>
      <c r="F87" s="36" t="inlineStr">
        <is>
          <t>杭州知识跳跳科技有限公司</t>
        </is>
      </c>
      <c r="G87" s="36" t="inlineStr">
        <is>
          <t>记-37</t>
        </is>
      </c>
      <c r="H87" s="36" t="n"/>
      <c r="I87" s="96" t="n"/>
      <c r="J87" s="89" t="n">
        <v>4</v>
      </c>
      <c r="K87" s="40" t="n"/>
      <c r="L87" s="96" t="n"/>
      <c r="M87" s="36" t="n"/>
    </row>
    <row r="88" s="83">
      <c r="A88" s="36" t="inlineStr">
        <is>
          <t>101203</t>
        </is>
      </c>
      <c r="B88" s="36" t="n"/>
      <c r="C88" s="36" t="inlineStr">
        <is>
          <t>2025-04-01</t>
        </is>
      </c>
      <c r="D88" s="36" t="inlineStr">
        <is>
          <t>Else01</t>
        </is>
      </c>
      <c r="E88" s="36" t="n"/>
      <c r="F88" s="36" t="inlineStr">
        <is>
          <t>杭州知识跳跳科技有限公司</t>
        </is>
      </c>
      <c r="G88" s="36" t="inlineStr">
        <is>
          <t>记-2</t>
        </is>
      </c>
      <c r="H88" s="36" t="n"/>
      <c r="I88" s="96" t="n"/>
      <c r="J88" s="89" t="n">
        <v>4</v>
      </c>
      <c r="K88" s="40" t="n"/>
      <c r="L88" s="96" t="n"/>
      <c r="M88" s="36" t="n"/>
    </row>
    <row r="89" s="83">
      <c r="A89" s="37" t="inlineStr">
        <is>
          <t>101203</t>
        </is>
      </c>
      <c r="B89" s="37" t="n"/>
      <c r="C89" s="37" t="inlineStr">
        <is>
          <t>2025-04-02</t>
        </is>
      </c>
      <c r="D89" s="37" t="inlineStr">
        <is>
          <t>Else01</t>
        </is>
      </c>
      <c r="E89" s="37" t="n"/>
      <c r="F89" s="37" t="inlineStr">
        <is>
          <t>杭州知识跳跳科技有限公司</t>
        </is>
      </c>
      <c r="G89" s="37" t="inlineStr">
        <is>
          <t>记-6</t>
        </is>
      </c>
      <c r="H89" s="37" t="n"/>
      <c r="I89" s="97" t="n"/>
      <c r="J89" s="89" t="n">
        <v>4</v>
      </c>
      <c r="K89" s="42" t="n"/>
      <c r="L89" s="97" t="n"/>
      <c r="M89" s="37" t="n"/>
    </row>
    <row r="90" s="83">
      <c r="A90" s="36" t="inlineStr">
        <is>
          <t>101203</t>
        </is>
      </c>
      <c r="B90" s="36" t="n"/>
      <c r="C90" s="36" t="inlineStr">
        <is>
          <t>2025-04-03</t>
        </is>
      </c>
      <c r="D90" s="36" t="inlineStr">
        <is>
          <t>Else01</t>
        </is>
      </c>
      <c r="E90" s="36" t="n"/>
      <c r="F90" s="36" t="inlineStr">
        <is>
          <t>杭州知识跳跳科技有限公司</t>
        </is>
      </c>
      <c r="G90" s="36" t="inlineStr">
        <is>
          <t>记-9</t>
        </is>
      </c>
      <c r="H90" s="36" t="n"/>
      <c r="I90" s="96" t="n"/>
      <c r="J90" s="89" t="n">
        <v>4</v>
      </c>
      <c r="K90" s="40" t="n"/>
      <c r="L90" s="96" t="n"/>
      <c r="M90" s="36" t="n"/>
    </row>
    <row r="91" s="83">
      <c r="A91" s="37" t="inlineStr">
        <is>
          <t>101203</t>
        </is>
      </c>
      <c r="B91" s="37" t="n"/>
      <c r="C91" s="37" t="inlineStr">
        <is>
          <t>2025-04-04</t>
        </is>
      </c>
      <c r="D91" s="37" t="inlineStr">
        <is>
          <t>Else01</t>
        </is>
      </c>
      <c r="E91" s="37" t="n"/>
      <c r="F91" s="37" t="inlineStr">
        <is>
          <t>杭州知识跳跳科技有限公司</t>
        </is>
      </c>
      <c r="G91" s="37" t="inlineStr">
        <is>
          <t>记-10</t>
        </is>
      </c>
      <c r="H91" s="37" t="n"/>
      <c r="I91" s="97" t="n"/>
      <c r="J91" s="89" t="n">
        <v>4</v>
      </c>
      <c r="K91" s="42" t="n"/>
      <c r="L91" s="97" t="n"/>
      <c r="M91" s="37" t="n"/>
    </row>
    <row r="92" s="83">
      <c r="A92" s="36" t="inlineStr">
        <is>
          <t>101203</t>
        </is>
      </c>
      <c r="B92" s="36" t="n"/>
      <c r="C92" s="36" t="inlineStr">
        <is>
          <t>2025-04-05</t>
        </is>
      </c>
      <c r="D92" s="36" t="inlineStr">
        <is>
          <t>Else01</t>
        </is>
      </c>
      <c r="E92" s="36" t="n"/>
      <c r="F92" s="36" t="inlineStr">
        <is>
          <t>杭州知识跳跳科技有限公司</t>
        </is>
      </c>
      <c r="G92" s="36" t="inlineStr">
        <is>
          <t>记-11</t>
        </is>
      </c>
      <c r="H92" s="36" t="n"/>
      <c r="I92" s="96" t="n"/>
      <c r="J92" s="89" t="n">
        <v>4</v>
      </c>
      <c r="K92" s="40" t="n"/>
      <c r="L92" s="96" t="n"/>
      <c r="M92" s="36" t="n"/>
    </row>
    <row r="93" s="83">
      <c r="A93" s="37" t="inlineStr">
        <is>
          <t>101203</t>
        </is>
      </c>
      <c r="B93" s="37" t="n"/>
      <c r="C93" s="37" t="inlineStr">
        <is>
          <t>2025-04-06</t>
        </is>
      </c>
      <c r="D93" s="37" t="inlineStr">
        <is>
          <t>Else01</t>
        </is>
      </c>
      <c r="E93" s="37" t="n"/>
      <c r="F93" s="37" t="inlineStr">
        <is>
          <t>杭州知识跳跳科技有限公司</t>
        </is>
      </c>
      <c r="G93" s="37" t="inlineStr">
        <is>
          <t>记-13</t>
        </is>
      </c>
      <c r="H93" s="37" t="n"/>
      <c r="I93" s="89" t="n">
        <v>4</v>
      </c>
      <c r="J93" s="97" t="n"/>
      <c r="K93" s="42" t="n"/>
      <c r="L93" s="97" t="n"/>
      <c r="M93" s="37" t="n"/>
    </row>
    <row r="94" s="83">
      <c r="A94" s="36" t="inlineStr">
        <is>
          <t>101203</t>
        </is>
      </c>
      <c r="B94" s="36" t="n"/>
      <c r="C94" s="36" t="inlineStr">
        <is>
          <t>2025-04-06</t>
        </is>
      </c>
      <c r="D94" s="36" t="inlineStr">
        <is>
          <t>Else01</t>
        </is>
      </c>
      <c r="E94" s="36" t="n"/>
      <c r="F94" s="36" t="inlineStr">
        <is>
          <t>杭州知识跳跳科技有限公司</t>
        </is>
      </c>
      <c r="G94" s="36" t="inlineStr">
        <is>
          <t>记-14</t>
        </is>
      </c>
      <c r="H94" s="36" t="n"/>
      <c r="I94" s="96" t="n"/>
      <c r="J94" s="89" t="n">
        <v>4</v>
      </c>
      <c r="K94" s="40" t="n"/>
      <c r="L94" s="96" t="n"/>
      <c r="M94" s="36" t="n"/>
    </row>
    <row r="95" s="83">
      <c r="A95" s="37" t="inlineStr">
        <is>
          <t>101203</t>
        </is>
      </c>
      <c r="B95" s="37" t="n"/>
      <c r="C95" s="37" t="inlineStr">
        <is>
          <t>2025-04-07</t>
        </is>
      </c>
      <c r="D95" s="37" t="inlineStr">
        <is>
          <t>Else01</t>
        </is>
      </c>
      <c r="E95" s="37" t="n"/>
      <c r="F95" s="37" t="inlineStr">
        <is>
          <t>杭州知识跳跳科技有限公司</t>
        </is>
      </c>
      <c r="G95" s="37" t="inlineStr">
        <is>
          <t>记-15</t>
        </is>
      </c>
      <c r="H95" s="37" t="n"/>
      <c r="I95" s="97" t="n"/>
      <c r="J95" s="89" t="n">
        <v>4</v>
      </c>
      <c r="K95" s="42" t="n"/>
      <c r="L95" s="97" t="n"/>
      <c r="M95" s="37" t="n"/>
    </row>
    <row r="96" s="83">
      <c r="A96" s="36" t="inlineStr">
        <is>
          <t>101203</t>
        </is>
      </c>
      <c r="B96" s="36" t="n"/>
      <c r="C96" s="36" t="inlineStr">
        <is>
          <t>2025-04-08</t>
        </is>
      </c>
      <c r="D96" s="36" t="inlineStr">
        <is>
          <t>Else01</t>
        </is>
      </c>
      <c r="E96" s="36" t="n"/>
      <c r="F96" s="36" t="inlineStr">
        <is>
          <t>杭州知识跳跳科技有限公司</t>
        </is>
      </c>
      <c r="G96" s="36" t="inlineStr">
        <is>
          <t>记-17</t>
        </is>
      </c>
      <c r="H96" s="36" t="n"/>
      <c r="I96" s="89" t="n">
        <v>4</v>
      </c>
      <c r="J96" s="96" t="n"/>
      <c r="K96" s="40" t="n"/>
      <c r="L96" s="96" t="n"/>
      <c r="M96" s="36" t="n"/>
    </row>
    <row r="97" s="83">
      <c r="A97" s="37" t="inlineStr">
        <is>
          <t>101203</t>
        </is>
      </c>
      <c r="B97" s="37" t="n"/>
      <c r="C97" s="37" t="inlineStr">
        <is>
          <t>2025-04-08</t>
        </is>
      </c>
      <c r="D97" s="37" t="inlineStr">
        <is>
          <t>Else01</t>
        </is>
      </c>
      <c r="E97" s="37" t="n"/>
      <c r="F97" s="37" t="inlineStr">
        <is>
          <t>杭州知识跳跳科技有限公司</t>
        </is>
      </c>
      <c r="G97" s="37" t="inlineStr">
        <is>
          <t>记-18</t>
        </is>
      </c>
      <c r="H97" s="37" t="n"/>
      <c r="I97" s="97" t="n"/>
      <c r="J97" s="89" t="n">
        <v>4</v>
      </c>
      <c r="K97" s="42" t="n"/>
      <c r="L97" s="97" t="n"/>
      <c r="M97" s="37" t="n"/>
    </row>
    <row r="98" s="83">
      <c r="A98" s="36" t="inlineStr">
        <is>
          <t>101203</t>
        </is>
      </c>
      <c r="B98" s="36" t="n"/>
      <c r="C98" s="36" t="inlineStr">
        <is>
          <t>2025-04-09</t>
        </is>
      </c>
      <c r="D98" s="36" t="inlineStr">
        <is>
          <t>Else01</t>
        </is>
      </c>
      <c r="E98" s="36" t="n"/>
      <c r="F98" s="36" t="inlineStr">
        <is>
          <t>杭州知识跳跳科技有限公司</t>
        </is>
      </c>
      <c r="G98" s="36" t="inlineStr">
        <is>
          <t>记-19</t>
        </is>
      </c>
      <c r="H98" s="36" t="n"/>
      <c r="I98" s="96" t="n"/>
      <c r="J98" s="89" t="n">
        <v>4</v>
      </c>
      <c r="K98" s="40" t="n"/>
      <c r="L98" s="96" t="n"/>
      <c r="M98" s="36" t="n"/>
    </row>
    <row r="99" s="83">
      <c r="A99" s="37" t="inlineStr">
        <is>
          <t>101203</t>
        </is>
      </c>
      <c r="B99" s="37" t="n"/>
      <c r="C99" s="37" t="inlineStr">
        <is>
          <t>2025-04-10</t>
        </is>
      </c>
      <c r="D99" s="37" t="inlineStr">
        <is>
          <t>Else01</t>
        </is>
      </c>
      <c r="E99" s="37" t="n"/>
      <c r="F99" s="37" t="inlineStr">
        <is>
          <t>杭州知识跳跳科技有限公司</t>
        </is>
      </c>
      <c r="G99" s="37" t="inlineStr">
        <is>
          <t>记-20</t>
        </is>
      </c>
      <c r="H99" s="37" t="n"/>
      <c r="I99" s="97" t="n"/>
      <c r="J99" s="89" t="n">
        <v>4</v>
      </c>
      <c r="K99" s="42" t="n"/>
      <c r="L99" s="97" t="n"/>
      <c r="M99" s="37" t="n"/>
    </row>
    <row r="100" s="83">
      <c r="A100" s="36" t="inlineStr">
        <is>
          <t>101203</t>
        </is>
      </c>
      <c r="B100" s="36" t="n"/>
      <c r="C100" s="36" t="inlineStr">
        <is>
          <t>2025-04-11</t>
        </is>
      </c>
      <c r="D100" s="36" t="inlineStr">
        <is>
          <t>Else01</t>
        </is>
      </c>
      <c r="E100" s="36" t="n"/>
      <c r="F100" s="36" t="inlineStr">
        <is>
          <t>杭州知识跳跳科技有限公司</t>
        </is>
      </c>
      <c r="G100" s="36" t="inlineStr">
        <is>
          <t>记-21</t>
        </is>
      </c>
      <c r="H100" s="36" t="n"/>
      <c r="I100" s="89" t="n">
        <v>4</v>
      </c>
      <c r="J100" s="96" t="n"/>
      <c r="K100" s="40" t="n"/>
      <c r="L100" s="96" t="n"/>
      <c r="M100" s="36" t="n"/>
    </row>
    <row r="101" s="83">
      <c r="A101" s="37" t="inlineStr">
        <is>
          <t>101203</t>
        </is>
      </c>
      <c r="B101" s="37" t="n"/>
      <c r="C101" s="37" t="inlineStr">
        <is>
          <t>2025-04-11</t>
        </is>
      </c>
      <c r="D101" s="37" t="inlineStr">
        <is>
          <t>Else01</t>
        </is>
      </c>
      <c r="E101" s="37" t="n"/>
      <c r="F101" s="37" t="inlineStr">
        <is>
          <t>杭州知识跳跳科技有限公司</t>
        </is>
      </c>
      <c r="G101" s="37" t="inlineStr">
        <is>
          <t>记-22</t>
        </is>
      </c>
      <c r="H101" s="37" t="n"/>
      <c r="I101" s="97" t="n"/>
      <c r="J101" s="89" t="n">
        <v>4</v>
      </c>
      <c r="K101" s="42" t="n"/>
      <c r="L101" s="97" t="n"/>
      <c r="M101" s="37" t="n"/>
    </row>
    <row r="102" s="83">
      <c r="A102" s="36" t="inlineStr">
        <is>
          <t>101203</t>
        </is>
      </c>
      <c r="B102" s="36" t="n"/>
      <c r="C102" s="36" t="inlineStr">
        <is>
          <t>2025-04-12</t>
        </is>
      </c>
      <c r="D102" s="36" t="inlineStr">
        <is>
          <t>Else01</t>
        </is>
      </c>
      <c r="E102" s="36" t="n"/>
      <c r="F102" s="36" t="inlineStr">
        <is>
          <t>杭州知识跳跳科技有限公司</t>
        </is>
      </c>
      <c r="G102" s="36" t="inlineStr">
        <is>
          <t>记-24</t>
        </is>
      </c>
      <c r="H102" s="36" t="n"/>
      <c r="I102" s="96" t="n"/>
      <c r="J102" s="89" t="n">
        <v>4</v>
      </c>
      <c r="K102" s="40" t="n"/>
      <c r="L102" s="96" t="n"/>
      <c r="M102" s="36" t="n"/>
    </row>
    <row r="103" s="83">
      <c r="A103" s="37" t="inlineStr">
        <is>
          <t>101203</t>
        </is>
      </c>
      <c r="B103" s="37" t="n"/>
      <c r="C103" s="37" t="inlineStr">
        <is>
          <t>2025-04-13</t>
        </is>
      </c>
      <c r="D103" s="37" t="inlineStr">
        <is>
          <t>Else01</t>
        </is>
      </c>
      <c r="E103" s="37" t="n"/>
      <c r="F103" s="37" t="inlineStr">
        <is>
          <t>杭州知识跳跳科技有限公司</t>
        </is>
      </c>
      <c r="G103" s="37" t="inlineStr">
        <is>
          <t>记-25</t>
        </is>
      </c>
      <c r="H103" s="37" t="n"/>
      <c r="I103" s="97" t="n"/>
      <c r="J103" s="89" t="n">
        <v>4</v>
      </c>
      <c r="K103" s="42" t="n"/>
      <c r="L103" s="97" t="n"/>
      <c r="M103" s="37" t="n"/>
    </row>
    <row r="104" s="83">
      <c r="A104" s="36" t="inlineStr">
        <is>
          <t>101203</t>
        </is>
      </c>
      <c r="B104" s="36" t="n"/>
      <c r="C104" s="36" t="inlineStr">
        <is>
          <t>2025-04-14</t>
        </is>
      </c>
      <c r="D104" s="36" t="inlineStr">
        <is>
          <t>Else01</t>
        </is>
      </c>
      <c r="E104" s="36" t="n"/>
      <c r="F104" s="36" t="inlineStr">
        <is>
          <t>杭州知识跳跳科技有限公司</t>
        </is>
      </c>
      <c r="G104" s="36" t="inlineStr">
        <is>
          <t>记-28</t>
        </is>
      </c>
      <c r="H104" s="36" t="n"/>
      <c r="I104" s="96" t="n"/>
      <c r="J104" s="89" t="n">
        <v>4</v>
      </c>
      <c r="K104" s="40" t="n"/>
      <c r="L104" s="96" t="n"/>
      <c r="M104" s="36" t="n"/>
    </row>
    <row r="105" s="83">
      <c r="A105" s="37" t="inlineStr">
        <is>
          <t>101203</t>
        </is>
      </c>
      <c r="B105" s="37" t="n"/>
      <c r="C105" s="37" t="inlineStr">
        <is>
          <t>2025-04-15</t>
        </is>
      </c>
      <c r="D105" s="37" t="inlineStr">
        <is>
          <t>Else01</t>
        </is>
      </c>
      <c r="E105" s="37" t="n"/>
      <c r="F105" s="37" t="inlineStr">
        <is>
          <t>杭州知识跳跳科技有限公司</t>
        </is>
      </c>
      <c r="G105" s="37" t="inlineStr">
        <is>
          <t>记-31</t>
        </is>
      </c>
      <c r="H105" s="37" t="n"/>
      <c r="I105" s="89" t="n">
        <v>4</v>
      </c>
      <c r="J105" s="97" t="n"/>
      <c r="K105" s="42" t="n"/>
      <c r="L105" s="97" t="n"/>
      <c r="M105" s="37" t="n"/>
    </row>
    <row r="106" s="83">
      <c r="A106" s="36" t="inlineStr">
        <is>
          <t>101203</t>
        </is>
      </c>
      <c r="B106" s="36" t="n"/>
      <c r="C106" s="36" t="inlineStr">
        <is>
          <t>2025-04-15</t>
        </is>
      </c>
      <c r="D106" s="36" t="inlineStr">
        <is>
          <t>Else01</t>
        </is>
      </c>
      <c r="E106" s="36" t="n"/>
      <c r="F106" s="36" t="inlineStr">
        <is>
          <t>杭州知识跳跳科技有限公司</t>
        </is>
      </c>
      <c r="G106" s="36" t="inlineStr">
        <is>
          <t>记-32</t>
        </is>
      </c>
      <c r="H106" s="36" t="n"/>
      <c r="I106" s="96" t="n"/>
      <c r="J106" s="89" t="n">
        <v>4</v>
      </c>
      <c r="K106" s="40" t="n"/>
      <c r="L106" s="96" t="n"/>
      <c r="M106" s="36" t="n"/>
    </row>
    <row r="107" s="83">
      <c r="A107" s="37" t="inlineStr">
        <is>
          <t>101203</t>
        </is>
      </c>
      <c r="B107" s="37" t="n"/>
      <c r="C107" s="37" t="inlineStr">
        <is>
          <t>2025-04-16</t>
        </is>
      </c>
      <c r="D107" s="37" t="inlineStr">
        <is>
          <t>Else01</t>
        </is>
      </c>
      <c r="E107" s="37" t="n"/>
      <c r="F107" s="37" t="inlineStr">
        <is>
          <t>杭州知识跳跳科技有限公司</t>
        </is>
      </c>
      <c r="G107" s="37" t="inlineStr">
        <is>
          <t>记-40</t>
        </is>
      </c>
      <c r="H107" s="37" t="n"/>
      <c r="I107" s="89" t="n">
        <v>4</v>
      </c>
      <c r="J107" s="97" t="n"/>
      <c r="K107" s="42" t="n"/>
      <c r="L107" s="97" t="n"/>
      <c r="M107" s="37" t="n"/>
    </row>
    <row r="108" s="83">
      <c r="A108" s="36" t="inlineStr">
        <is>
          <t>101203</t>
        </is>
      </c>
      <c r="B108" s="36" t="n"/>
      <c r="C108" s="36" t="inlineStr">
        <is>
          <t>2025-04-16</t>
        </is>
      </c>
      <c r="D108" s="36" t="inlineStr">
        <is>
          <t>Else01</t>
        </is>
      </c>
      <c r="E108" s="36" t="n"/>
      <c r="F108" s="36" t="inlineStr">
        <is>
          <t>杭州知识跳跳科技有限公司</t>
        </is>
      </c>
      <c r="G108" s="36" t="inlineStr">
        <is>
          <t>记-41</t>
        </is>
      </c>
      <c r="H108" s="36" t="n"/>
      <c r="I108" s="96" t="n"/>
      <c r="J108" s="89" t="n">
        <v>4</v>
      </c>
      <c r="K108" s="40" t="n"/>
      <c r="L108" s="96" t="n"/>
      <c r="M108" s="36" t="n"/>
    </row>
    <row r="109" s="83">
      <c r="A109" s="37" t="inlineStr">
        <is>
          <t>101203</t>
        </is>
      </c>
      <c r="B109" s="37" t="n"/>
      <c r="C109" s="37" t="inlineStr">
        <is>
          <t>2025-04-17</t>
        </is>
      </c>
      <c r="D109" s="37" t="inlineStr">
        <is>
          <t>Else01</t>
        </is>
      </c>
      <c r="E109" s="37" t="n"/>
      <c r="F109" s="37" t="inlineStr">
        <is>
          <t>杭州知识跳跳科技有限公司</t>
        </is>
      </c>
      <c r="G109" s="37" t="inlineStr">
        <is>
          <t>记-42</t>
        </is>
      </c>
      <c r="H109" s="37" t="n"/>
      <c r="I109" s="89" t="n">
        <v>4</v>
      </c>
      <c r="J109" s="97" t="n"/>
      <c r="K109" s="42" t="n"/>
      <c r="L109" s="97" t="n"/>
      <c r="M109" s="37" t="n"/>
    </row>
    <row r="110" s="83">
      <c r="A110" s="36" t="inlineStr">
        <is>
          <t>101203</t>
        </is>
      </c>
      <c r="B110" s="36" t="n"/>
      <c r="C110" s="36" t="inlineStr">
        <is>
          <t>2025-04-17</t>
        </is>
      </c>
      <c r="D110" s="36" t="inlineStr">
        <is>
          <t>Else01</t>
        </is>
      </c>
      <c r="E110" s="36" t="n"/>
      <c r="F110" s="36" t="inlineStr">
        <is>
          <t>杭州知识跳跳科技有限公司</t>
        </is>
      </c>
      <c r="G110" s="36" t="inlineStr">
        <is>
          <t>记-43</t>
        </is>
      </c>
      <c r="H110" s="36" t="n"/>
      <c r="I110" s="96" t="n"/>
      <c r="J110" s="89" t="n">
        <v>4</v>
      </c>
      <c r="K110" s="40" t="n"/>
      <c r="L110" s="96" t="n"/>
      <c r="M110" s="36" t="n"/>
    </row>
    <row r="111" s="83">
      <c r="A111" s="37" t="inlineStr">
        <is>
          <t>101203</t>
        </is>
      </c>
      <c r="B111" s="37" t="n"/>
      <c r="C111" s="37" t="inlineStr">
        <is>
          <t>2025-04-18</t>
        </is>
      </c>
      <c r="D111" s="37" t="inlineStr">
        <is>
          <t>Else01</t>
        </is>
      </c>
      <c r="E111" s="37" t="n"/>
      <c r="F111" s="37" t="inlineStr">
        <is>
          <t>杭州知识跳跳科技有限公司</t>
        </is>
      </c>
      <c r="G111" s="37" t="inlineStr">
        <is>
          <t>记-50</t>
        </is>
      </c>
      <c r="H111" s="37" t="n"/>
      <c r="I111" s="89" t="n">
        <v>4</v>
      </c>
      <c r="J111" s="97" t="n"/>
      <c r="K111" s="42" t="n"/>
      <c r="L111" s="97" t="n"/>
      <c r="M111" s="37" t="n"/>
    </row>
    <row r="112" s="83">
      <c r="A112" s="36" t="inlineStr">
        <is>
          <t>101203</t>
        </is>
      </c>
      <c r="B112" s="36" t="n"/>
      <c r="C112" s="36" t="inlineStr">
        <is>
          <t>2025-04-18</t>
        </is>
      </c>
      <c r="D112" s="36" t="inlineStr">
        <is>
          <t>Else01</t>
        </is>
      </c>
      <c r="E112" s="36" t="n"/>
      <c r="F112" s="36" t="inlineStr">
        <is>
          <t>杭州知识跳跳科技有限公司</t>
        </is>
      </c>
      <c r="G112" s="36" t="inlineStr">
        <is>
          <t>记-50</t>
        </is>
      </c>
      <c r="H112" s="36" t="n"/>
      <c r="I112" s="96" t="n"/>
      <c r="J112" s="89" t="n">
        <v>4</v>
      </c>
      <c r="K112" s="40" t="n"/>
      <c r="L112" s="96" t="n"/>
      <c r="M112" s="36" t="n"/>
    </row>
    <row r="113" s="83">
      <c r="A113" s="37" t="inlineStr">
        <is>
          <t>101203</t>
        </is>
      </c>
      <c r="B113" s="37" t="n"/>
      <c r="C113" s="37" t="inlineStr">
        <is>
          <t>2025-04-19</t>
        </is>
      </c>
      <c r="D113" s="37" t="inlineStr">
        <is>
          <t>Else01</t>
        </is>
      </c>
      <c r="E113" s="37" t="n"/>
      <c r="F113" s="37" t="inlineStr">
        <is>
          <t>杭州知识跳跳科技有限公司</t>
        </is>
      </c>
      <c r="G113" s="37" t="inlineStr">
        <is>
          <t>记-52</t>
        </is>
      </c>
      <c r="H113" s="37" t="n"/>
      <c r="I113" s="89" t="n">
        <v>4</v>
      </c>
      <c r="J113" s="97" t="n"/>
      <c r="K113" s="42" t="n"/>
      <c r="L113" s="97" t="n"/>
      <c r="M113" s="37" t="n"/>
    </row>
    <row r="114" s="83">
      <c r="A114" s="36" t="inlineStr">
        <is>
          <t>101203</t>
        </is>
      </c>
      <c r="B114" s="36" t="n"/>
      <c r="C114" s="36" t="inlineStr">
        <is>
          <t>2025-04-19</t>
        </is>
      </c>
      <c r="D114" s="36" t="inlineStr">
        <is>
          <t>Else01</t>
        </is>
      </c>
      <c r="E114" s="36" t="n"/>
      <c r="F114" s="36" t="inlineStr">
        <is>
          <t>杭州知识跳跳科技有限公司</t>
        </is>
      </c>
      <c r="G114" s="36" t="inlineStr">
        <is>
          <t>记-53</t>
        </is>
      </c>
      <c r="H114" s="36" t="n"/>
      <c r="I114" s="96" t="n"/>
      <c r="J114" s="89" t="n">
        <v>4</v>
      </c>
      <c r="K114" s="40" t="n"/>
      <c r="L114" s="96" t="n"/>
      <c r="M114" s="36" t="n"/>
    </row>
    <row r="115" s="83">
      <c r="A115" s="37" t="inlineStr">
        <is>
          <t>101203</t>
        </is>
      </c>
      <c r="B115" s="37" t="n"/>
      <c r="C115" s="37" t="inlineStr">
        <is>
          <t>2025-04-20</t>
        </is>
      </c>
      <c r="D115" s="37" t="inlineStr">
        <is>
          <t>Else01</t>
        </is>
      </c>
      <c r="E115" s="37" t="n"/>
      <c r="F115" s="37" t="inlineStr">
        <is>
          <t>杭州知识跳跳科技有限公司</t>
        </is>
      </c>
      <c r="G115" s="37" t="inlineStr">
        <is>
          <t>记-54</t>
        </is>
      </c>
      <c r="H115" s="37" t="n"/>
      <c r="I115" s="89" t="n">
        <v>4</v>
      </c>
      <c r="J115" s="97" t="n"/>
      <c r="K115" s="42" t="n"/>
      <c r="L115" s="97" t="n"/>
      <c r="M115" s="37" t="n"/>
    </row>
    <row r="116" s="83">
      <c r="A116" s="36" t="inlineStr">
        <is>
          <t>101203</t>
        </is>
      </c>
      <c r="B116" s="36" t="n"/>
      <c r="C116" s="36" t="inlineStr">
        <is>
          <t>2025-04-20</t>
        </is>
      </c>
      <c r="D116" s="36" t="inlineStr">
        <is>
          <t>Else01</t>
        </is>
      </c>
      <c r="E116" s="36" t="n"/>
      <c r="F116" s="36" t="inlineStr">
        <is>
          <t>杭州知识跳跳科技有限公司</t>
        </is>
      </c>
      <c r="G116" s="36" t="inlineStr">
        <is>
          <t>记-55</t>
        </is>
      </c>
      <c r="H116" s="36" t="n"/>
      <c r="I116" s="96" t="n"/>
      <c r="J116" s="89" t="n">
        <v>4</v>
      </c>
      <c r="K116" s="40" t="n"/>
      <c r="L116" s="96" t="n"/>
      <c r="M116" s="36" t="n"/>
    </row>
    <row r="117" s="83">
      <c r="A117" s="37" t="inlineStr">
        <is>
          <t>101203</t>
        </is>
      </c>
      <c r="B117" s="37" t="n"/>
      <c r="C117" s="37" t="inlineStr">
        <is>
          <t>2025-04-21</t>
        </is>
      </c>
      <c r="D117" s="37" t="inlineStr">
        <is>
          <t>Else01</t>
        </is>
      </c>
      <c r="E117" s="37" t="n"/>
      <c r="F117" s="37" t="inlineStr">
        <is>
          <t>杭州知识跳跳科技有限公司</t>
        </is>
      </c>
      <c r="G117" s="37" t="inlineStr">
        <is>
          <t>记-58</t>
        </is>
      </c>
      <c r="H117" s="37" t="n"/>
      <c r="I117" s="89" t="n">
        <v>4</v>
      </c>
      <c r="J117" s="97" t="n"/>
      <c r="K117" s="42" t="n"/>
      <c r="L117" s="97" t="n"/>
      <c r="M117" s="37" t="n"/>
    </row>
    <row r="118" s="83">
      <c r="A118" s="36" t="inlineStr">
        <is>
          <t>101203</t>
        </is>
      </c>
      <c r="B118" s="36" t="n"/>
      <c r="C118" s="36" t="inlineStr">
        <is>
          <t>2025-04-21</t>
        </is>
      </c>
      <c r="D118" s="36" t="inlineStr">
        <is>
          <t>Else01</t>
        </is>
      </c>
      <c r="E118" s="36" t="n"/>
      <c r="F118" s="36" t="inlineStr">
        <is>
          <t>杭州知识跳跳科技有限公司</t>
        </is>
      </c>
      <c r="G118" s="36" t="inlineStr">
        <is>
          <t>记-59</t>
        </is>
      </c>
      <c r="H118" s="36" t="n"/>
      <c r="I118" s="96" t="n"/>
      <c r="J118" s="89" t="n">
        <v>4</v>
      </c>
      <c r="K118" s="40" t="n"/>
      <c r="L118" s="96" t="n"/>
      <c r="M118" s="36" t="n"/>
    </row>
    <row r="119" s="83">
      <c r="A119" s="37" t="inlineStr">
        <is>
          <t>101203</t>
        </is>
      </c>
      <c r="B119" s="37" t="n"/>
      <c r="C119" s="37" t="inlineStr">
        <is>
          <t>2025-04-22</t>
        </is>
      </c>
      <c r="D119" s="37" t="inlineStr">
        <is>
          <t>Else01</t>
        </is>
      </c>
      <c r="E119" s="37" t="n"/>
      <c r="F119" s="37" t="inlineStr">
        <is>
          <t>杭州知识跳跳科技有限公司</t>
        </is>
      </c>
      <c r="G119" s="37" t="inlineStr">
        <is>
          <t>记-61</t>
        </is>
      </c>
      <c r="H119" s="37" t="n"/>
      <c r="I119" s="89" t="n">
        <v>4</v>
      </c>
      <c r="J119" s="97" t="n"/>
      <c r="K119" s="42" t="n"/>
      <c r="L119" s="97" t="n"/>
      <c r="M119" s="37" t="n"/>
    </row>
    <row r="120" s="83">
      <c r="A120" s="36" t="inlineStr">
        <is>
          <t>101203</t>
        </is>
      </c>
      <c r="B120" s="36" t="n"/>
      <c r="C120" s="36" t="inlineStr">
        <is>
          <t>2025-04-22</t>
        </is>
      </c>
      <c r="D120" s="36" t="inlineStr">
        <is>
          <t>Else01</t>
        </is>
      </c>
      <c r="E120" s="36" t="n"/>
      <c r="F120" s="36" t="inlineStr">
        <is>
          <t>杭州知识跳跳科技有限公司</t>
        </is>
      </c>
      <c r="G120" s="36" t="inlineStr">
        <is>
          <t>记-62</t>
        </is>
      </c>
      <c r="H120" s="36" t="n"/>
      <c r="I120" s="96" t="n"/>
      <c r="J120" s="89" t="n">
        <v>4</v>
      </c>
      <c r="K120" s="40" t="n"/>
      <c r="L120" s="96" t="n"/>
      <c r="M120" s="36" t="n"/>
    </row>
    <row r="121" s="83">
      <c r="A121" s="37" t="inlineStr">
        <is>
          <t>101203</t>
        </is>
      </c>
      <c r="B121" s="37" t="n"/>
      <c r="C121" s="37" t="inlineStr">
        <is>
          <t>2025-04-23</t>
        </is>
      </c>
      <c r="D121" s="37" t="inlineStr">
        <is>
          <t>Else01</t>
        </is>
      </c>
      <c r="E121" s="37" t="n"/>
      <c r="F121" s="37" t="inlineStr">
        <is>
          <t>杭州知识跳跳科技有限公司</t>
        </is>
      </c>
      <c r="G121" s="37" t="inlineStr">
        <is>
          <t>记-63</t>
        </is>
      </c>
      <c r="H121" s="37" t="n"/>
      <c r="I121" s="89" t="n">
        <v>4</v>
      </c>
      <c r="J121" s="97" t="n"/>
      <c r="K121" s="42" t="n"/>
      <c r="L121" s="97" t="n"/>
      <c r="M121" s="37" t="n"/>
    </row>
    <row r="122" s="83">
      <c r="A122" s="36" t="inlineStr">
        <is>
          <t>101203</t>
        </is>
      </c>
      <c r="B122" s="36" t="n"/>
      <c r="C122" s="36" t="inlineStr">
        <is>
          <t>2025-04-23</t>
        </is>
      </c>
      <c r="D122" s="36" t="inlineStr">
        <is>
          <t>Else01</t>
        </is>
      </c>
      <c r="E122" s="36" t="n"/>
      <c r="F122" s="36" t="inlineStr">
        <is>
          <t>杭州知识跳跳科技有限公司</t>
        </is>
      </c>
      <c r="G122" s="36" t="inlineStr">
        <is>
          <t>记-64</t>
        </is>
      </c>
      <c r="H122" s="36" t="n"/>
      <c r="I122" s="96" t="n"/>
      <c r="J122" s="89" t="n">
        <v>4</v>
      </c>
      <c r="K122" s="40" t="n"/>
      <c r="L122" s="96" t="n"/>
      <c r="M122" s="36" t="n"/>
    </row>
    <row r="123" s="83">
      <c r="A123" s="37" t="inlineStr">
        <is>
          <t>101203</t>
        </is>
      </c>
      <c r="B123" s="37" t="n"/>
      <c r="C123" s="37" t="inlineStr">
        <is>
          <t>2025-04-24</t>
        </is>
      </c>
      <c r="D123" s="37" t="inlineStr">
        <is>
          <t>Else01</t>
        </is>
      </c>
      <c r="E123" s="37" t="n"/>
      <c r="F123" s="37" t="inlineStr">
        <is>
          <t>杭州知识跳跳科技有限公司</t>
        </is>
      </c>
      <c r="G123" s="37" t="inlineStr">
        <is>
          <t>记-66</t>
        </is>
      </c>
      <c r="H123" s="37" t="n"/>
      <c r="I123" s="89" t="n">
        <v>4</v>
      </c>
      <c r="J123" s="97" t="n"/>
      <c r="K123" s="42" t="n"/>
      <c r="L123" s="97" t="n"/>
      <c r="M123" s="37" t="n"/>
    </row>
    <row r="124" s="83">
      <c r="A124" s="36" t="inlineStr">
        <is>
          <t>101203</t>
        </is>
      </c>
      <c r="B124" s="36" t="n"/>
      <c r="C124" s="36" t="inlineStr">
        <is>
          <t>2025-04-24</t>
        </is>
      </c>
      <c r="D124" s="36" t="inlineStr">
        <is>
          <t>Else01</t>
        </is>
      </c>
      <c r="E124" s="36" t="n"/>
      <c r="F124" s="36" t="inlineStr">
        <is>
          <t>杭州知识跳跳科技有限公司</t>
        </is>
      </c>
      <c r="G124" s="36" t="inlineStr">
        <is>
          <t>记-67</t>
        </is>
      </c>
      <c r="H124" s="36" t="n"/>
      <c r="I124" s="96" t="n"/>
      <c r="J124" s="89" t="n">
        <v>4</v>
      </c>
      <c r="K124" s="40" t="n"/>
      <c r="L124" s="96" t="n"/>
      <c r="M124" s="36" t="n"/>
    </row>
    <row r="125" s="83">
      <c r="A125" s="37" t="inlineStr">
        <is>
          <t>101203</t>
        </is>
      </c>
      <c r="B125" s="37" t="n"/>
      <c r="C125" s="37" t="inlineStr">
        <is>
          <t>2025-04-25</t>
        </is>
      </c>
      <c r="D125" s="37" t="inlineStr">
        <is>
          <t>Else01</t>
        </is>
      </c>
      <c r="E125" s="37" t="n"/>
      <c r="F125" s="37" t="inlineStr">
        <is>
          <t>杭州知识跳跳科技有限公司</t>
        </is>
      </c>
      <c r="G125" s="37" t="inlineStr">
        <is>
          <t>记-68</t>
        </is>
      </c>
      <c r="H125" s="37" t="n"/>
      <c r="I125" s="89" t="n">
        <v>4</v>
      </c>
      <c r="J125" s="97" t="n"/>
      <c r="K125" s="42" t="n"/>
      <c r="L125" s="97" t="n"/>
      <c r="M125" s="37" t="n"/>
    </row>
    <row r="126" s="83">
      <c r="A126" s="36" t="inlineStr">
        <is>
          <t>101203</t>
        </is>
      </c>
      <c r="B126" s="36" t="n"/>
      <c r="C126" s="36" t="inlineStr">
        <is>
          <t>2025-04-25</t>
        </is>
      </c>
      <c r="D126" s="36" t="inlineStr">
        <is>
          <t>Else01</t>
        </is>
      </c>
      <c r="E126" s="36" t="n"/>
      <c r="F126" s="36" t="inlineStr">
        <is>
          <t>杭州知识跳跳科技有限公司</t>
        </is>
      </c>
      <c r="G126" s="36" t="inlineStr">
        <is>
          <t>记-69</t>
        </is>
      </c>
      <c r="H126" s="36" t="n"/>
      <c r="I126" s="96" t="n"/>
      <c r="J126" s="89" t="n">
        <v>4</v>
      </c>
      <c r="K126" s="40" t="n"/>
      <c r="L126" s="96" t="n"/>
      <c r="M126" s="36" t="n"/>
    </row>
    <row r="127" s="83">
      <c r="A127" s="37" t="inlineStr">
        <is>
          <t>101203</t>
        </is>
      </c>
      <c r="B127" s="37" t="n"/>
      <c r="C127" s="37" t="inlineStr">
        <is>
          <t>2025-04-26</t>
        </is>
      </c>
      <c r="D127" s="37" t="inlineStr">
        <is>
          <t>Else01</t>
        </is>
      </c>
      <c r="E127" s="37" t="n"/>
      <c r="F127" s="37" t="inlineStr">
        <is>
          <t>杭州知识跳跳科技有限公司</t>
        </is>
      </c>
      <c r="G127" s="37" t="inlineStr">
        <is>
          <t>记-70</t>
        </is>
      </c>
      <c r="H127" s="37" t="n"/>
      <c r="I127" s="89" t="n">
        <v>4</v>
      </c>
      <c r="J127" s="97" t="n"/>
      <c r="K127" s="42" t="n"/>
      <c r="L127" s="97" t="n"/>
      <c r="M127" s="37" t="n"/>
    </row>
    <row r="128" s="83">
      <c r="A128" s="36" t="inlineStr">
        <is>
          <t>101203</t>
        </is>
      </c>
      <c r="B128" s="36" t="n"/>
      <c r="C128" s="36" t="inlineStr">
        <is>
          <t>2025-04-26</t>
        </is>
      </c>
      <c r="D128" s="36" t="inlineStr">
        <is>
          <t>Else01</t>
        </is>
      </c>
      <c r="E128" s="36" t="n"/>
      <c r="F128" s="36" t="inlineStr">
        <is>
          <t>杭州知识跳跳科技有限公司</t>
        </is>
      </c>
      <c r="G128" s="36" t="inlineStr">
        <is>
          <t>记-71</t>
        </is>
      </c>
      <c r="H128" s="36" t="n"/>
      <c r="I128" s="96" t="n"/>
      <c r="J128" s="89" t="n">
        <v>4</v>
      </c>
      <c r="K128" s="40" t="n"/>
      <c r="L128" s="96" t="n"/>
      <c r="M128" s="36" t="n"/>
    </row>
    <row r="129" s="83">
      <c r="A129" s="37" t="inlineStr">
        <is>
          <t>101203</t>
        </is>
      </c>
      <c r="B129" s="37" t="n"/>
      <c r="C129" s="37" t="inlineStr">
        <is>
          <t>2025-04-27</t>
        </is>
      </c>
      <c r="D129" s="37" t="inlineStr">
        <is>
          <t>Else01</t>
        </is>
      </c>
      <c r="E129" s="37" t="n"/>
      <c r="F129" s="37" t="inlineStr">
        <is>
          <t>杭州知识跳跳科技有限公司</t>
        </is>
      </c>
      <c r="G129" s="37" t="inlineStr">
        <is>
          <t>记-72</t>
        </is>
      </c>
      <c r="H129" s="37" t="n"/>
      <c r="I129" s="89" t="n">
        <v>4</v>
      </c>
      <c r="J129" s="97" t="n"/>
      <c r="K129" s="42" t="n"/>
      <c r="L129" s="97" t="n"/>
      <c r="M129" s="37" t="n"/>
    </row>
    <row r="130" s="83">
      <c r="A130" s="36" t="inlineStr">
        <is>
          <t>101203</t>
        </is>
      </c>
      <c r="B130" s="36" t="n"/>
      <c r="C130" s="36" t="inlineStr">
        <is>
          <t>2025-04-27</t>
        </is>
      </c>
      <c r="D130" s="36" t="inlineStr">
        <is>
          <t>Else01</t>
        </is>
      </c>
      <c r="E130" s="36" t="n"/>
      <c r="F130" s="36" t="inlineStr">
        <is>
          <t>杭州知识跳跳科技有限公司</t>
        </is>
      </c>
      <c r="G130" s="36" t="inlineStr">
        <is>
          <t>记-73</t>
        </is>
      </c>
      <c r="H130" s="36" t="n"/>
      <c r="I130" s="96" t="n"/>
      <c r="J130" s="89" t="n">
        <v>4</v>
      </c>
      <c r="K130" s="40" t="n"/>
      <c r="L130" s="96" t="n"/>
      <c r="M130" s="36" t="n"/>
    </row>
    <row r="131" s="83">
      <c r="A131" s="37" t="inlineStr">
        <is>
          <t>101203</t>
        </is>
      </c>
      <c r="B131" s="37" t="n"/>
      <c r="C131" s="37" t="inlineStr">
        <is>
          <t>2025-04-28</t>
        </is>
      </c>
      <c r="D131" s="37" t="inlineStr">
        <is>
          <t>Else01</t>
        </is>
      </c>
      <c r="E131" s="37" t="n"/>
      <c r="F131" s="37" t="inlineStr">
        <is>
          <t>杭州知识跳跳科技有限公司</t>
        </is>
      </c>
      <c r="G131" s="37" t="inlineStr">
        <is>
          <t>记-74</t>
        </is>
      </c>
      <c r="H131" s="37" t="n"/>
      <c r="I131" s="89" t="n">
        <v>4</v>
      </c>
      <c r="J131" s="97" t="n"/>
      <c r="K131" s="42" t="n"/>
      <c r="L131" s="97" t="n"/>
      <c r="M131" s="37" t="n"/>
    </row>
    <row r="132" s="83">
      <c r="A132" s="36" t="inlineStr">
        <is>
          <t>101203</t>
        </is>
      </c>
      <c r="B132" s="36" t="n"/>
      <c r="C132" s="36" t="inlineStr">
        <is>
          <t>2025-04-28</t>
        </is>
      </c>
      <c r="D132" s="36" t="inlineStr">
        <is>
          <t>Else01</t>
        </is>
      </c>
      <c r="E132" s="36" t="n"/>
      <c r="F132" s="36" t="inlineStr">
        <is>
          <t>杭州知识跳跳科技有限公司</t>
        </is>
      </c>
      <c r="G132" s="36" t="inlineStr">
        <is>
          <t>记-75</t>
        </is>
      </c>
      <c r="H132" s="36" t="n"/>
      <c r="I132" s="96" t="n"/>
      <c r="J132" s="89" t="n">
        <v>4</v>
      </c>
      <c r="K132" s="40" t="n"/>
      <c r="L132" s="96" t="n"/>
      <c r="M132" s="36" t="n"/>
    </row>
    <row r="133" s="83">
      <c r="A133" s="37" t="inlineStr">
        <is>
          <t>101203</t>
        </is>
      </c>
      <c r="B133" s="37" t="n"/>
      <c r="C133" s="37" t="inlineStr">
        <is>
          <t>2025-04-29</t>
        </is>
      </c>
      <c r="D133" s="37" t="inlineStr">
        <is>
          <t>Else01</t>
        </is>
      </c>
      <c r="E133" s="37" t="n"/>
      <c r="F133" s="37" t="inlineStr">
        <is>
          <t>杭州知识跳跳科技有限公司</t>
        </is>
      </c>
      <c r="G133" s="37" t="inlineStr">
        <is>
          <t>记-76</t>
        </is>
      </c>
      <c r="H133" s="37" t="n"/>
      <c r="I133" s="89" t="n">
        <v>4</v>
      </c>
      <c r="J133" s="97" t="n"/>
      <c r="K133" s="42" t="n"/>
      <c r="L133" s="97" t="n"/>
      <c r="M133" s="37" t="n"/>
    </row>
    <row r="134" s="83">
      <c r="A134" s="36" t="inlineStr">
        <is>
          <t>101203</t>
        </is>
      </c>
      <c r="B134" s="36" t="n"/>
      <c r="C134" s="36" t="inlineStr">
        <is>
          <t>2025-04-29</t>
        </is>
      </c>
      <c r="D134" s="36" t="inlineStr">
        <is>
          <t>Else01</t>
        </is>
      </c>
      <c r="E134" s="36" t="n"/>
      <c r="F134" s="36" t="inlineStr">
        <is>
          <t>杭州知识跳跳科技有限公司</t>
        </is>
      </c>
      <c r="G134" s="36" t="inlineStr">
        <is>
          <t>记-77</t>
        </is>
      </c>
      <c r="H134" s="36" t="n"/>
      <c r="I134" s="96" t="n"/>
      <c r="J134" s="89" t="n">
        <v>4</v>
      </c>
      <c r="K134" s="40" t="n"/>
      <c r="L134" s="96" t="n"/>
      <c r="M134" s="36" t="n"/>
    </row>
    <row r="135" s="83">
      <c r="A135" s="37" t="inlineStr">
        <is>
          <t>101203</t>
        </is>
      </c>
      <c r="B135" s="37" t="n"/>
      <c r="C135" s="37" t="inlineStr">
        <is>
          <t>2025-04-30</t>
        </is>
      </c>
      <c r="D135" s="37" t="inlineStr">
        <is>
          <t>Else01</t>
        </is>
      </c>
      <c r="E135" s="37" t="n"/>
      <c r="F135" s="37" t="inlineStr">
        <is>
          <t>杭州知识跳跳科技有限公司</t>
        </is>
      </c>
      <c r="G135" s="37" t="inlineStr">
        <is>
          <t>记-79</t>
        </is>
      </c>
      <c r="H135" s="37" t="n"/>
      <c r="I135" s="89" t="n">
        <v>4</v>
      </c>
      <c r="J135" s="97" t="n"/>
      <c r="K135" s="42" t="n"/>
      <c r="L135" s="97" t="n"/>
      <c r="M135" s="37" t="n"/>
    </row>
    <row r="136" s="83">
      <c r="A136" s="36" t="inlineStr">
        <is>
          <t>101203</t>
        </is>
      </c>
      <c r="B136" s="36" t="n"/>
      <c r="C136" s="36" t="inlineStr">
        <is>
          <t>2025-04-30</t>
        </is>
      </c>
      <c r="D136" s="36" t="inlineStr">
        <is>
          <t>Else01</t>
        </is>
      </c>
      <c r="E136" s="36" t="n"/>
      <c r="F136" s="36" t="inlineStr">
        <is>
          <t>杭州知识跳跳科技有限公司</t>
        </is>
      </c>
      <c r="G136" s="36" t="inlineStr">
        <is>
          <t>记-80</t>
        </is>
      </c>
      <c r="H136" s="36" t="n"/>
      <c r="I136" s="96" t="n"/>
      <c r="J136" s="89" t="n">
        <v>4</v>
      </c>
      <c r="K136" s="40" t="n"/>
      <c r="L136" s="96" t="n"/>
      <c r="M136" s="36" t="n"/>
    </row>
    <row r="137" s="83">
      <c r="A137" s="37" t="inlineStr">
        <is>
          <t>101203</t>
        </is>
      </c>
      <c r="B137" s="37" t="n"/>
      <c r="C137" s="37" t="inlineStr">
        <is>
          <t>2025-04-30</t>
        </is>
      </c>
      <c r="D137" s="37" t="inlineStr">
        <is>
          <t>Else01</t>
        </is>
      </c>
      <c r="E137" s="37" t="n"/>
      <c r="F137" s="37" t="inlineStr">
        <is>
          <t>杭州知识跳跳科技有限公司</t>
        </is>
      </c>
      <c r="G137" s="37" t="inlineStr">
        <is>
          <t>记-82</t>
        </is>
      </c>
      <c r="H137" s="37" t="n"/>
      <c r="I137" s="89" t="n">
        <v>4</v>
      </c>
      <c r="J137" s="97" t="n"/>
      <c r="K137" s="42" t="n"/>
      <c r="L137" s="97" t="n"/>
      <c r="M137" s="37" t="n"/>
    </row>
    <row r="138" s="83">
      <c r="A138" s="36" t="inlineStr">
        <is>
          <t>101203</t>
        </is>
      </c>
      <c r="B138" s="36" t="n"/>
      <c r="C138" s="36" t="inlineStr">
        <is>
          <t>2025-04-30</t>
        </is>
      </c>
      <c r="D138" s="36" t="inlineStr">
        <is>
          <t>Else01</t>
        </is>
      </c>
      <c r="E138" s="36" t="n"/>
      <c r="F138" s="36" t="inlineStr">
        <is>
          <t>杭州知识跳跳科技有限公司</t>
        </is>
      </c>
      <c r="G138" s="36" t="inlineStr">
        <is>
          <t>记-83</t>
        </is>
      </c>
      <c r="H138" s="36" t="n"/>
      <c r="I138" s="96" t="n"/>
      <c r="J138" s="89" t="n">
        <v>4</v>
      </c>
      <c r="K138" s="40" t="n"/>
      <c r="L138" s="96" t="n"/>
      <c r="M138" s="36" t="n"/>
    </row>
    <row r="139" s="83">
      <c r="A139" s="36" t="inlineStr">
        <is>
          <t>101203</t>
        </is>
      </c>
      <c r="B139" s="36" t="n"/>
      <c r="C139" s="36" t="inlineStr">
        <is>
          <t>2025-04-30</t>
        </is>
      </c>
      <c r="D139" s="36" t="inlineStr">
        <is>
          <t>Q0101</t>
        </is>
      </c>
      <c r="E139" s="36" t="n"/>
      <c r="F139" s="36" t="inlineStr">
        <is>
          <t>杭州知识跳跳科技有限公司</t>
        </is>
      </c>
      <c r="G139" s="36" t="inlineStr">
        <is>
          <t>记-81</t>
        </is>
      </c>
      <c r="H139" s="36" t="n"/>
      <c r="I139" s="89" t="n">
        <v>4</v>
      </c>
      <c r="J139" s="96" t="n"/>
      <c r="K139" s="40" t="n"/>
      <c r="L139" s="96" t="n"/>
      <c r="M139" s="36" t="n"/>
    </row>
    <row r="140" s="83">
      <c r="A140" s="37" t="inlineStr">
        <is>
          <t>101203</t>
        </is>
      </c>
      <c r="B140" s="37" t="n"/>
      <c r="C140" s="37" t="inlineStr">
        <is>
          <t>2025-04-30</t>
        </is>
      </c>
      <c r="D140" s="37" t="inlineStr">
        <is>
          <t>Q0101</t>
        </is>
      </c>
      <c r="E140" s="37" t="n"/>
      <c r="F140" s="37" t="inlineStr">
        <is>
          <t>杭州知识跳跳科技有限公司</t>
        </is>
      </c>
      <c r="G140" s="37" t="inlineStr">
        <is>
          <t>记-81</t>
        </is>
      </c>
      <c r="H140" s="37" t="n"/>
      <c r="I140" s="97" t="n"/>
      <c r="J140" s="89" t="n">
        <v>4</v>
      </c>
      <c r="K140" s="42" t="n"/>
      <c r="L140" s="97" t="n"/>
      <c r="M140" s="37" t="n"/>
    </row>
    <row r="141" s="83">
      <c r="A141" s="36" t="inlineStr">
        <is>
          <t>101203</t>
        </is>
      </c>
      <c r="B141" s="36" t="n"/>
      <c r="C141" s="36" t="inlineStr">
        <is>
          <t>2025-04-30</t>
        </is>
      </c>
      <c r="D141" s="36" t="inlineStr">
        <is>
          <t>Q0101</t>
        </is>
      </c>
      <c r="E141" s="36" t="n"/>
      <c r="F141" s="36" t="inlineStr">
        <is>
          <t>杭州知识跳跳科技有限公司</t>
        </is>
      </c>
      <c r="G141" s="36" t="inlineStr">
        <is>
          <t>记-81</t>
        </is>
      </c>
      <c r="H141" s="36" t="n"/>
      <c r="I141" s="96" t="n"/>
      <c r="J141" s="89" t="n">
        <v>4</v>
      </c>
      <c r="K141" s="40" t="n"/>
      <c r="L141" s="96" t="n"/>
      <c r="M141" s="36" t="n"/>
    </row>
    <row r="142" s="83">
      <c r="A142" s="37" t="inlineStr">
        <is>
          <t>101203</t>
        </is>
      </c>
      <c r="B142" s="37" t="n"/>
      <c r="C142" s="37" t="inlineStr">
        <is>
          <t>2025-04-30</t>
        </is>
      </c>
      <c r="D142" s="37" t="inlineStr">
        <is>
          <t>Q0103</t>
        </is>
      </c>
      <c r="E142" s="37" t="n"/>
      <c r="F142" s="37" t="inlineStr">
        <is>
          <t>杭州知识跳跳科技有限公司</t>
        </is>
      </c>
      <c r="G142" s="37" t="inlineStr">
        <is>
          <t>记-81</t>
        </is>
      </c>
      <c r="H142" s="37" t="n"/>
      <c r="I142" s="89" t="n">
        <v>4</v>
      </c>
      <c r="J142" s="97" t="n"/>
      <c r="K142" s="42" t="n"/>
      <c r="L142" s="97" t="n"/>
      <c r="M142" s="37" t="n"/>
    </row>
    <row r="143" s="83">
      <c r="A143" s="36" t="inlineStr">
        <is>
          <t>101203</t>
        </is>
      </c>
      <c r="B143" s="36" t="n"/>
      <c r="C143" s="36" t="inlineStr">
        <is>
          <t>2025-04-30</t>
        </is>
      </c>
      <c r="D143" s="36" t="inlineStr">
        <is>
          <t>Q0103</t>
        </is>
      </c>
      <c r="E143" s="36" t="n"/>
      <c r="F143" s="36" t="inlineStr">
        <is>
          <t>杭州知识跳跳科技有限公司</t>
        </is>
      </c>
      <c r="G143" s="36" t="inlineStr">
        <is>
          <t>记-81</t>
        </is>
      </c>
      <c r="H143" s="36" t="n"/>
      <c r="I143" s="96" t="n"/>
      <c r="J143" s="89" t="n">
        <v>4</v>
      </c>
      <c r="K143" s="40" t="n"/>
      <c r="L143" s="96" t="n"/>
      <c r="M143" s="36" t="n"/>
    </row>
    <row r="144" s="83">
      <c r="A144" s="37" t="inlineStr">
        <is>
          <t>101203</t>
        </is>
      </c>
      <c r="B144" s="37" t="n"/>
      <c r="C144" s="37" t="inlineStr">
        <is>
          <t>2025-04-30</t>
        </is>
      </c>
      <c r="D144" s="37" t="inlineStr">
        <is>
          <t>Q0201</t>
        </is>
      </c>
      <c r="E144" s="37" t="n"/>
      <c r="F144" s="37" t="inlineStr">
        <is>
          <t>杭州知识跳跳科技有限公司</t>
        </is>
      </c>
      <c r="G144" s="37" t="inlineStr">
        <is>
          <t>记-81</t>
        </is>
      </c>
      <c r="H144" s="37" t="n"/>
      <c r="I144" s="89" t="n">
        <v>4</v>
      </c>
      <c r="J144" s="97" t="n"/>
      <c r="K144" s="42" t="n"/>
      <c r="L144" s="97" t="n"/>
      <c r="M144" s="37" t="n"/>
    </row>
    <row r="145" s="83">
      <c r="A145" s="37" t="inlineStr">
        <is>
          <t>101203</t>
        </is>
      </c>
      <c r="B145" s="37" t="n"/>
      <c r="C145" s="37" t="inlineStr">
        <is>
          <t>2025-04-30</t>
        </is>
      </c>
      <c r="D145" s="37" t="inlineStr">
        <is>
          <t>Q2201</t>
        </is>
      </c>
      <c r="E145" s="37" t="n"/>
      <c r="F145" s="37" t="inlineStr">
        <is>
          <t>杭州知识跳跳科技有限公司</t>
        </is>
      </c>
      <c r="G145" s="37" t="inlineStr">
        <is>
          <t>记-81</t>
        </is>
      </c>
      <c r="H145" s="37" t="n"/>
      <c r="I145" s="97" t="n"/>
      <c r="J145" s="89" t="n">
        <v>4</v>
      </c>
      <c r="K145" s="42" t="n"/>
      <c r="L145" s="97" t="n"/>
      <c r="M145" s="37" t="n"/>
    </row>
    <row r="146" s="83">
      <c r="A146" s="36" t="inlineStr">
        <is>
          <t>101203</t>
        </is>
      </c>
      <c r="B146" s="36" t="n"/>
      <c r="C146" s="36" t="inlineStr">
        <is>
          <t>2025-04-30</t>
        </is>
      </c>
      <c r="D146" s="36" t="inlineStr">
        <is>
          <t>Q2201</t>
        </is>
      </c>
      <c r="E146" s="36" t="n"/>
      <c r="F146" s="36" t="inlineStr">
        <is>
          <t>杭州知识跳跳科技有限公司</t>
        </is>
      </c>
      <c r="G146" s="36" t="inlineStr">
        <is>
          <t>记-81</t>
        </is>
      </c>
      <c r="H146" s="36" t="n"/>
      <c r="I146" s="89" t="n">
        <v>4</v>
      </c>
      <c r="J146" s="96" t="n"/>
      <c r="K146" s="40" t="n"/>
      <c r="L146" s="96" t="n"/>
      <c r="M146" s="36" t="n"/>
    </row>
    <row r="147" s="83">
      <c r="A147" s="37" t="inlineStr">
        <is>
          <t>101203</t>
        </is>
      </c>
      <c r="B147" s="37" t="n"/>
      <c r="C147" s="37" t="inlineStr">
        <is>
          <t>2025-04-30</t>
        </is>
      </c>
      <c r="D147" s="37" t="inlineStr">
        <is>
          <t>Q2204</t>
        </is>
      </c>
      <c r="E147" s="37" t="n"/>
      <c r="F147" s="37" t="inlineStr">
        <is>
          <t>杭州知识跳跳科技有限公司</t>
        </is>
      </c>
      <c r="G147" s="37" t="inlineStr">
        <is>
          <t>记-81</t>
        </is>
      </c>
      <c r="H147" s="37" t="n"/>
      <c r="I147" s="97" t="n"/>
      <c r="J147" s="89" t="n">
        <v>4</v>
      </c>
      <c r="K147" s="42" t="n"/>
      <c r="L147" s="97" t="n"/>
      <c r="M147" s="37" t="n"/>
    </row>
    <row r="148" s="83">
      <c r="A148" s="37" t="inlineStr">
        <is>
          <t>101203</t>
        </is>
      </c>
      <c r="B148" s="37" t="n"/>
      <c r="C148" s="37" t="inlineStr">
        <is>
          <t>2025-04-30</t>
        </is>
      </c>
      <c r="D148" s="37" t="inlineStr">
        <is>
          <t>Q2205</t>
        </is>
      </c>
      <c r="E148" s="37" t="n"/>
      <c r="F148" s="37" t="inlineStr">
        <is>
          <t>杭州知识跳跳科技有限公司</t>
        </is>
      </c>
      <c r="G148" s="37" t="inlineStr">
        <is>
          <t>记-81</t>
        </is>
      </c>
      <c r="H148" s="37" t="n"/>
      <c r="I148" s="97" t="n"/>
      <c r="J148" s="89" t="n">
        <v>4</v>
      </c>
      <c r="K148" s="42" t="n"/>
      <c r="L148" s="97" t="n"/>
      <c r="M148" s="37" t="n"/>
    </row>
    <row r="149" s="83">
      <c r="A149" s="37" t="inlineStr">
        <is>
          <t>100201</t>
        </is>
      </c>
      <c r="B149" s="37" t="n"/>
      <c r="C149" s="37" t="inlineStr">
        <is>
          <t>2025-04-01</t>
        </is>
      </c>
      <c r="D149" s="37" t="inlineStr">
        <is>
          <t>Q0101</t>
        </is>
      </c>
      <c r="E149" s="37" t="n"/>
      <c r="F149" s="37" t="inlineStr">
        <is>
          <t>浙江精准学科技有限公司</t>
        </is>
      </c>
      <c r="G149" s="37" t="inlineStr">
        <is>
          <t>记-3</t>
        </is>
      </c>
      <c r="H149" s="37" t="n"/>
      <c r="I149" s="89" t="n">
        <v>4</v>
      </c>
      <c r="J149" s="97" t="n"/>
      <c r="K149" s="42" t="n"/>
      <c r="L149" s="97" t="n"/>
      <c r="M149" s="37" t="n"/>
    </row>
    <row r="150" s="83">
      <c r="A150" s="36" t="inlineStr">
        <is>
          <t>100201</t>
        </is>
      </c>
      <c r="B150" s="36" t="n"/>
      <c r="C150" s="36" t="inlineStr">
        <is>
          <t>2025-04-14</t>
        </is>
      </c>
      <c r="D150" s="36" t="inlineStr">
        <is>
          <t>Q0201</t>
        </is>
      </c>
      <c r="E150" s="36" t="n"/>
      <c r="F150" s="36" t="inlineStr">
        <is>
          <t>浙江精准学科技有限公司</t>
        </is>
      </c>
      <c r="G150" s="36" t="inlineStr">
        <is>
          <t>记-114</t>
        </is>
      </c>
      <c r="H150" s="36" t="n"/>
      <c r="I150" s="89" t="n">
        <v>4</v>
      </c>
      <c r="J150" s="96" t="n"/>
      <c r="K150" s="40" t="n"/>
      <c r="L150" s="96" t="n"/>
      <c r="M150" s="36" t="n"/>
    </row>
    <row r="151" s="83">
      <c r="A151" s="37" t="inlineStr">
        <is>
          <t>100201</t>
        </is>
      </c>
      <c r="B151" s="37" t="n"/>
      <c r="C151" s="37" t="inlineStr">
        <is>
          <t>2025-04-01</t>
        </is>
      </c>
      <c r="D151" s="37" t="inlineStr">
        <is>
          <t>Q0202</t>
        </is>
      </c>
      <c r="E151" s="37" t="n"/>
      <c r="F151" s="37" t="inlineStr">
        <is>
          <t>浙江精准学科技有限公司</t>
        </is>
      </c>
      <c r="G151" s="37" t="inlineStr">
        <is>
          <t>记-2</t>
        </is>
      </c>
      <c r="H151" s="37" t="n"/>
      <c r="I151" s="89" t="n">
        <v>4</v>
      </c>
      <c r="J151" s="97" t="n"/>
      <c r="K151" s="42" t="n"/>
      <c r="L151" s="97" t="n"/>
      <c r="M151" s="37" t="n"/>
    </row>
    <row r="152" s="83">
      <c r="A152" s="36" t="inlineStr">
        <is>
          <t>100201</t>
        </is>
      </c>
      <c r="B152" s="36" t="n"/>
      <c r="C152" s="36" t="inlineStr">
        <is>
          <t>2025-04-01</t>
        </is>
      </c>
      <c r="D152" s="36" t="inlineStr">
        <is>
          <t>Q0301</t>
        </is>
      </c>
      <c r="E152" s="36" t="n"/>
      <c r="F152" s="36" t="inlineStr">
        <is>
          <t>浙江精准学科技有限公司</t>
        </is>
      </c>
      <c r="G152" s="36" t="inlineStr">
        <is>
          <t>记-10</t>
        </is>
      </c>
      <c r="H152" s="36" t="n"/>
      <c r="I152" s="89" t="n">
        <v>4</v>
      </c>
      <c r="J152" s="96" t="n"/>
      <c r="K152" s="40" t="n"/>
      <c r="L152" s="96" t="n"/>
      <c r="M152" s="36" t="n"/>
    </row>
    <row r="153" s="83">
      <c r="A153" s="37" t="inlineStr">
        <is>
          <t>100201</t>
        </is>
      </c>
      <c r="B153" s="37" t="n"/>
      <c r="C153" s="37" t="inlineStr">
        <is>
          <t>2025-04-03</t>
        </is>
      </c>
      <c r="D153" s="37" t="inlineStr">
        <is>
          <t>Q0303</t>
        </is>
      </c>
      <c r="E153" s="37" t="n"/>
      <c r="F153" s="37" t="inlineStr">
        <is>
          <t>浙江精准学科技有限公司</t>
        </is>
      </c>
      <c r="G153" s="37" t="inlineStr">
        <is>
          <t>记-29</t>
        </is>
      </c>
      <c r="H153" s="37" t="n"/>
      <c r="I153" s="89" t="n">
        <v>4</v>
      </c>
      <c r="J153" s="97" t="n"/>
      <c r="K153" s="42" t="n"/>
      <c r="L153" s="97" t="n"/>
      <c r="M153" s="37" t="n"/>
    </row>
    <row r="154" s="83">
      <c r="A154" s="36" t="inlineStr">
        <is>
          <t>100201</t>
        </is>
      </c>
      <c r="B154" s="36" t="n"/>
      <c r="C154" s="36" t="inlineStr">
        <is>
          <t>2025-04-11</t>
        </is>
      </c>
      <c r="D154" s="36" t="inlineStr">
        <is>
          <t>Q0303</t>
        </is>
      </c>
      <c r="E154" s="36" t="n"/>
      <c r="F154" s="36" t="inlineStr">
        <is>
          <t>浙江精准学科技有限公司</t>
        </is>
      </c>
      <c r="G154" s="36" t="inlineStr">
        <is>
          <t>记-91</t>
        </is>
      </c>
      <c r="H154" s="36" t="n"/>
      <c r="I154" s="89" t="n">
        <v>4</v>
      </c>
      <c r="J154" s="96" t="n"/>
      <c r="K154" s="40" t="n"/>
      <c r="L154" s="96" t="n"/>
      <c r="M154" s="36" t="n"/>
    </row>
    <row r="155" s="83">
      <c r="A155" s="37" t="inlineStr">
        <is>
          <t>100201</t>
        </is>
      </c>
      <c r="B155" s="37" t="n"/>
      <c r="C155" s="37" t="inlineStr">
        <is>
          <t>2025-04-11</t>
        </is>
      </c>
      <c r="D155" s="37" t="inlineStr">
        <is>
          <t>Q0303</t>
        </is>
      </c>
      <c r="E155" s="37" t="n"/>
      <c r="F155" s="37" t="inlineStr">
        <is>
          <t>浙江精准学科技有限公司</t>
        </is>
      </c>
      <c r="G155" s="37" t="inlineStr">
        <is>
          <t>记-92</t>
        </is>
      </c>
      <c r="H155" s="37" t="n"/>
      <c r="I155" s="89" t="n">
        <v>4</v>
      </c>
      <c r="J155" s="97" t="n"/>
      <c r="K155" s="42" t="n"/>
      <c r="L155" s="97" t="n"/>
      <c r="M155" s="37" t="n"/>
    </row>
    <row r="156" s="83">
      <c r="A156" s="36" t="inlineStr">
        <is>
          <t>100201</t>
        </is>
      </c>
      <c r="B156" s="36" t="n"/>
      <c r="C156" s="36" t="inlineStr">
        <is>
          <t>2025-04-18</t>
        </is>
      </c>
      <c r="D156" s="36" t="inlineStr">
        <is>
          <t>Q0303</t>
        </is>
      </c>
      <c r="E156" s="36" t="n"/>
      <c r="F156" s="36" t="inlineStr">
        <is>
          <t>浙江精准学科技有限公司</t>
        </is>
      </c>
      <c r="G156" s="36" t="inlineStr">
        <is>
          <t>记-163</t>
        </is>
      </c>
      <c r="H156" s="36" t="n"/>
      <c r="I156" s="89" t="n">
        <v>4</v>
      </c>
      <c r="J156" s="96" t="n"/>
      <c r="K156" s="40" t="n"/>
      <c r="L156" s="96" t="n"/>
      <c r="M156" s="36" t="n"/>
    </row>
    <row r="157" s="83">
      <c r="A157" s="37" t="inlineStr">
        <is>
          <t>100201</t>
        </is>
      </c>
      <c r="B157" s="37" t="n"/>
      <c r="C157" s="37" t="inlineStr">
        <is>
          <t>2025-04-29</t>
        </is>
      </c>
      <c r="D157" s="37" t="inlineStr">
        <is>
          <t>Q0303</t>
        </is>
      </c>
      <c r="E157" s="37" t="n"/>
      <c r="F157" s="37" t="inlineStr">
        <is>
          <t>浙江精准学科技有限公司</t>
        </is>
      </c>
      <c r="G157" s="37" t="inlineStr">
        <is>
          <t>记-240</t>
        </is>
      </c>
      <c r="H157" s="37" t="n"/>
      <c r="I157" s="89" t="n">
        <v>4</v>
      </c>
      <c r="J157" s="97" t="n"/>
      <c r="K157" s="42" t="n"/>
      <c r="L157" s="97" t="n"/>
      <c r="M157" s="37" t="n"/>
    </row>
    <row r="158" s="83">
      <c r="A158" s="37" t="inlineStr">
        <is>
          <t>100201</t>
        </is>
      </c>
      <c r="B158" s="37" t="n"/>
      <c r="C158" s="37" t="inlineStr">
        <is>
          <t>2025-04-01</t>
        </is>
      </c>
      <c r="D158" s="37" t="inlineStr">
        <is>
          <t>Q0401</t>
        </is>
      </c>
      <c r="E158" s="37" t="n"/>
      <c r="F158" s="37" t="inlineStr">
        <is>
          <t>浙江精准学科技有限公司</t>
        </is>
      </c>
      <c r="G158" s="37" t="inlineStr">
        <is>
          <t>记-1</t>
        </is>
      </c>
      <c r="H158" s="37" t="n"/>
      <c r="I158" s="89" t="n">
        <v>4</v>
      </c>
      <c r="J158" s="97" t="n"/>
      <c r="K158" s="42" t="n"/>
      <c r="L158" s="97" t="n"/>
      <c r="M158" s="37" t="n"/>
    </row>
    <row r="159" s="83">
      <c r="A159" s="36" t="inlineStr">
        <is>
          <t>100201</t>
        </is>
      </c>
      <c r="B159" s="36" t="n"/>
      <c r="C159" s="36" t="inlineStr">
        <is>
          <t>2025-04-02</t>
        </is>
      </c>
      <c r="D159" s="36" t="inlineStr">
        <is>
          <t>Q0401</t>
        </is>
      </c>
      <c r="E159" s="36" t="n"/>
      <c r="F159" s="36" t="inlineStr">
        <is>
          <t>浙江精准学科技有限公司</t>
        </is>
      </c>
      <c r="G159" s="36" t="inlineStr">
        <is>
          <t>记-15</t>
        </is>
      </c>
      <c r="H159" s="36" t="n"/>
      <c r="I159" s="89" t="n">
        <v>4</v>
      </c>
      <c r="J159" s="96" t="n"/>
      <c r="K159" s="40" t="n"/>
      <c r="L159" s="96" t="n"/>
      <c r="M159" s="36" t="n"/>
    </row>
    <row r="160" s="83">
      <c r="A160" s="37" t="inlineStr">
        <is>
          <t>100201</t>
        </is>
      </c>
      <c r="B160" s="37" t="n"/>
      <c r="C160" s="37" t="inlineStr">
        <is>
          <t>2025-04-02</t>
        </is>
      </c>
      <c r="D160" s="37" t="inlineStr">
        <is>
          <t>Q0401</t>
        </is>
      </c>
      <c r="E160" s="37" t="n"/>
      <c r="F160" s="37" t="inlineStr">
        <is>
          <t>浙江精准学科技有限公司</t>
        </is>
      </c>
      <c r="G160" s="37" t="inlineStr">
        <is>
          <t>记-16</t>
        </is>
      </c>
      <c r="H160" s="37" t="n"/>
      <c r="I160" s="89" t="n">
        <v>4</v>
      </c>
      <c r="J160" s="97" t="n"/>
      <c r="K160" s="42" t="n"/>
      <c r="L160" s="97" t="n"/>
      <c r="M160" s="37" t="n"/>
    </row>
    <row r="161" s="83">
      <c r="A161" s="36" t="inlineStr">
        <is>
          <t>100201</t>
        </is>
      </c>
      <c r="B161" s="36" t="n"/>
      <c r="C161" s="36" t="inlineStr">
        <is>
          <t>2025-04-02</t>
        </is>
      </c>
      <c r="D161" s="36" t="inlineStr">
        <is>
          <t>Q0401</t>
        </is>
      </c>
      <c r="E161" s="36" t="n"/>
      <c r="F161" s="36" t="inlineStr">
        <is>
          <t>浙江精准学科技有限公司</t>
        </is>
      </c>
      <c r="G161" s="36" t="inlineStr">
        <is>
          <t>记-22</t>
        </is>
      </c>
      <c r="H161" s="36" t="n"/>
      <c r="I161" s="96" t="n"/>
      <c r="J161" s="89" t="n">
        <v>4</v>
      </c>
      <c r="K161" s="40" t="n"/>
      <c r="L161" s="96" t="n"/>
      <c r="M161" s="36" t="n"/>
    </row>
    <row r="162" s="83">
      <c r="A162" s="37" t="inlineStr">
        <is>
          <t>100201</t>
        </is>
      </c>
      <c r="B162" s="37" t="n"/>
      <c r="C162" s="37" t="inlineStr">
        <is>
          <t>2025-04-03</t>
        </is>
      </c>
      <c r="D162" s="37" t="inlineStr">
        <is>
          <t>Q0401</t>
        </is>
      </c>
      <c r="E162" s="37" t="n"/>
      <c r="F162" s="37" t="inlineStr">
        <is>
          <t>浙江精准学科技有限公司</t>
        </is>
      </c>
      <c r="G162" s="37" t="inlineStr">
        <is>
          <t>记-27</t>
        </is>
      </c>
      <c r="H162" s="37" t="n"/>
      <c r="I162" s="89" t="n">
        <v>4</v>
      </c>
      <c r="J162" s="97" t="n"/>
      <c r="K162" s="42" t="n"/>
      <c r="L162" s="97" t="n"/>
      <c r="M162" s="37" t="n"/>
    </row>
    <row r="163" s="83">
      <c r="A163" s="36" t="inlineStr">
        <is>
          <t>100201</t>
        </is>
      </c>
      <c r="B163" s="36" t="n"/>
      <c r="C163" s="36" t="inlineStr">
        <is>
          <t>2025-04-03</t>
        </is>
      </c>
      <c r="D163" s="36" t="inlineStr">
        <is>
          <t>Q0401</t>
        </is>
      </c>
      <c r="E163" s="36" t="n"/>
      <c r="F163" s="36" t="inlineStr">
        <is>
          <t>浙江精准学科技有限公司</t>
        </is>
      </c>
      <c r="G163" s="36" t="inlineStr">
        <is>
          <t>记-28</t>
        </is>
      </c>
      <c r="H163" s="36" t="n"/>
      <c r="I163" s="89" t="n">
        <v>4</v>
      </c>
      <c r="J163" s="96" t="n"/>
      <c r="K163" s="40" t="n"/>
      <c r="L163" s="96" t="n"/>
      <c r="M163" s="36" t="n"/>
    </row>
    <row r="164" s="83">
      <c r="A164" s="37" t="inlineStr">
        <is>
          <t>100201</t>
        </is>
      </c>
      <c r="B164" s="37" t="n"/>
      <c r="C164" s="37" t="inlineStr">
        <is>
          <t>2025-04-03</t>
        </is>
      </c>
      <c r="D164" s="37" t="inlineStr">
        <is>
          <t>Q0401</t>
        </is>
      </c>
      <c r="E164" s="37" t="n"/>
      <c r="F164" s="37" t="inlineStr">
        <is>
          <t>浙江精准学科技有限公司</t>
        </is>
      </c>
      <c r="G164" s="37" t="inlineStr">
        <is>
          <t>记-33</t>
        </is>
      </c>
      <c r="H164" s="37" t="n"/>
      <c r="I164" s="97" t="n"/>
      <c r="J164" s="89" t="n">
        <v>4</v>
      </c>
      <c r="K164" s="42" t="n"/>
      <c r="L164" s="97" t="n"/>
      <c r="M164" s="37" t="n"/>
    </row>
    <row r="165" s="83">
      <c r="A165" s="36" t="inlineStr">
        <is>
          <t>100201</t>
        </is>
      </c>
      <c r="B165" s="36" t="n"/>
      <c r="C165" s="36" t="inlineStr">
        <is>
          <t>2025-04-04</t>
        </is>
      </c>
      <c r="D165" s="36" t="inlineStr">
        <is>
          <t>Q0401</t>
        </is>
      </c>
      <c r="E165" s="36" t="n"/>
      <c r="F165" s="36" t="inlineStr">
        <is>
          <t>浙江精准学科技有限公司</t>
        </is>
      </c>
      <c r="G165" s="36" t="inlineStr">
        <is>
          <t>记-38</t>
        </is>
      </c>
      <c r="H165" s="36" t="n"/>
      <c r="I165" s="89" t="n">
        <v>4</v>
      </c>
      <c r="J165" s="96" t="n"/>
      <c r="K165" s="40" t="n"/>
      <c r="L165" s="96" t="n"/>
      <c r="M165" s="36" t="n"/>
    </row>
    <row r="166" s="83">
      <c r="A166" s="37" t="inlineStr">
        <is>
          <t>100201</t>
        </is>
      </c>
      <c r="B166" s="37" t="n"/>
      <c r="C166" s="37" t="inlineStr">
        <is>
          <t>2025-04-05</t>
        </is>
      </c>
      <c r="D166" s="37" t="inlineStr">
        <is>
          <t>Q0401</t>
        </is>
      </c>
      <c r="E166" s="37" t="n"/>
      <c r="F166" s="37" t="inlineStr">
        <is>
          <t>浙江精准学科技有限公司</t>
        </is>
      </c>
      <c r="G166" s="37" t="inlineStr">
        <is>
          <t>记-42</t>
        </is>
      </c>
      <c r="H166" s="37" t="n"/>
      <c r="I166" s="89" t="n">
        <v>4</v>
      </c>
      <c r="J166" s="97" t="n"/>
      <c r="K166" s="42" t="n"/>
      <c r="L166" s="97" t="n"/>
      <c r="M166" s="37" t="n"/>
    </row>
    <row r="167" s="83">
      <c r="A167" s="36" t="inlineStr">
        <is>
          <t>100201</t>
        </is>
      </c>
      <c r="B167" s="36" t="n"/>
      <c r="C167" s="36" t="inlineStr">
        <is>
          <t>2025-04-06</t>
        </is>
      </c>
      <c r="D167" s="36" t="inlineStr">
        <is>
          <t>Q0401</t>
        </is>
      </c>
      <c r="E167" s="36" t="n"/>
      <c r="F167" s="36" t="inlineStr">
        <is>
          <t>浙江精准学科技有限公司</t>
        </is>
      </c>
      <c r="G167" s="36" t="inlineStr">
        <is>
          <t>记-45</t>
        </is>
      </c>
      <c r="H167" s="36" t="n"/>
      <c r="I167" s="89" t="n">
        <v>4</v>
      </c>
      <c r="J167" s="96" t="n"/>
      <c r="K167" s="40" t="n"/>
      <c r="L167" s="96" t="n"/>
      <c r="M167" s="36" t="n"/>
    </row>
    <row r="168" s="83">
      <c r="A168" s="37" t="inlineStr">
        <is>
          <t>100201</t>
        </is>
      </c>
      <c r="B168" s="37" t="n"/>
      <c r="C168" s="37" t="inlineStr">
        <is>
          <t>2025-04-07</t>
        </is>
      </c>
      <c r="D168" s="37" t="inlineStr">
        <is>
          <t>Q0401</t>
        </is>
      </c>
      <c r="E168" s="37" t="n"/>
      <c r="F168" s="37" t="inlineStr">
        <is>
          <t>浙江精准学科技有限公司</t>
        </is>
      </c>
      <c r="G168" s="37" t="inlineStr">
        <is>
          <t>记-48</t>
        </is>
      </c>
      <c r="H168" s="37" t="n"/>
      <c r="I168" s="89" t="n">
        <v>4</v>
      </c>
      <c r="J168" s="97" t="n"/>
      <c r="K168" s="42" t="n"/>
      <c r="L168" s="97" t="n"/>
      <c r="M168" s="37" t="n"/>
    </row>
    <row r="169" s="83">
      <c r="A169" s="36" t="inlineStr">
        <is>
          <t>100201</t>
        </is>
      </c>
      <c r="B169" s="36" t="n"/>
      <c r="C169" s="36" t="inlineStr">
        <is>
          <t>2025-04-08</t>
        </is>
      </c>
      <c r="D169" s="36" t="inlineStr">
        <is>
          <t>Q0401</t>
        </is>
      </c>
      <c r="E169" s="36" t="n"/>
      <c r="F169" s="36" t="inlineStr">
        <is>
          <t>浙江精准学科技有限公司</t>
        </is>
      </c>
      <c r="G169" s="36" t="inlineStr">
        <is>
          <t>记-54</t>
        </is>
      </c>
      <c r="H169" s="36" t="n"/>
      <c r="I169" s="89" t="n">
        <v>4</v>
      </c>
      <c r="J169" s="96" t="n"/>
      <c r="K169" s="40" t="n"/>
      <c r="L169" s="96" t="n"/>
      <c r="M169" s="36" t="n"/>
    </row>
    <row r="170" s="83">
      <c r="A170" s="37" t="inlineStr">
        <is>
          <t>100201</t>
        </is>
      </c>
      <c r="B170" s="37" t="n"/>
      <c r="C170" s="37" t="inlineStr">
        <is>
          <t>2025-04-08</t>
        </is>
      </c>
      <c r="D170" s="37" t="inlineStr">
        <is>
          <t>Q0401</t>
        </is>
      </c>
      <c r="E170" s="37" t="n"/>
      <c r="F170" s="37" t="inlineStr">
        <is>
          <t>浙江精准学科技有限公司</t>
        </is>
      </c>
      <c r="G170" s="37" t="inlineStr">
        <is>
          <t>记-55</t>
        </is>
      </c>
      <c r="H170" s="37" t="n"/>
      <c r="I170" s="89" t="n">
        <v>4</v>
      </c>
      <c r="J170" s="97" t="n"/>
      <c r="K170" s="42" t="n"/>
      <c r="L170" s="97" t="n"/>
      <c r="M170" s="37" t="n"/>
    </row>
    <row r="171" s="83">
      <c r="A171" s="36" t="inlineStr">
        <is>
          <t>100201</t>
        </is>
      </c>
      <c r="B171" s="36" t="n"/>
      <c r="C171" s="36" t="inlineStr">
        <is>
          <t>2025-04-09</t>
        </is>
      </c>
      <c r="D171" s="36" t="inlineStr">
        <is>
          <t>Q0401</t>
        </is>
      </c>
      <c r="E171" s="36" t="n"/>
      <c r="F171" s="36" t="inlineStr">
        <is>
          <t>浙江精准学科技有限公司</t>
        </is>
      </c>
      <c r="G171" s="36" t="inlineStr">
        <is>
          <t>记-68</t>
        </is>
      </c>
      <c r="H171" s="36" t="n"/>
      <c r="I171" s="89" t="n">
        <v>4</v>
      </c>
      <c r="J171" s="96" t="n"/>
      <c r="K171" s="40" t="n"/>
      <c r="L171" s="96" t="n"/>
      <c r="M171" s="36" t="n"/>
    </row>
    <row r="172" s="83">
      <c r="A172" s="37" t="inlineStr">
        <is>
          <t>100201</t>
        </is>
      </c>
      <c r="B172" s="37" t="n"/>
      <c r="C172" s="37" t="inlineStr">
        <is>
          <t>2025-04-09</t>
        </is>
      </c>
      <c r="D172" s="37" t="inlineStr">
        <is>
          <t>Q0401</t>
        </is>
      </c>
      <c r="E172" s="37" t="n"/>
      <c r="F172" s="37" t="inlineStr">
        <is>
          <t>浙江精准学科技有限公司</t>
        </is>
      </c>
      <c r="G172" s="37" t="inlineStr">
        <is>
          <t>记-69</t>
        </is>
      </c>
      <c r="H172" s="37" t="n"/>
      <c r="I172" s="89" t="n">
        <v>4</v>
      </c>
      <c r="J172" s="97" t="n"/>
      <c r="K172" s="42" t="n"/>
      <c r="L172" s="97" t="n"/>
      <c r="M172" s="37" t="n"/>
    </row>
    <row r="173" s="83">
      <c r="A173" s="36" t="inlineStr">
        <is>
          <t>100201</t>
        </is>
      </c>
      <c r="B173" s="36" t="n"/>
      <c r="C173" s="36" t="inlineStr">
        <is>
          <t>2025-04-10</t>
        </is>
      </c>
      <c r="D173" s="36" t="inlineStr">
        <is>
          <t>Q0401</t>
        </is>
      </c>
      <c r="E173" s="36" t="n"/>
      <c r="F173" s="36" t="inlineStr">
        <is>
          <t>浙江精准学科技有限公司</t>
        </is>
      </c>
      <c r="G173" s="36" t="inlineStr">
        <is>
          <t>记-76</t>
        </is>
      </c>
      <c r="H173" s="36" t="n"/>
      <c r="I173" s="89" t="n">
        <v>4</v>
      </c>
      <c r="J173" s="96" t="n"/>
      <c r="K173" s="40" t="n"/>
      <c r="L173" s="96" t="n"/>
      <c r="M173" s="36" t="n"/>
    </row>
    <row r="174" s="83">
      <c r="A174" s="37" t="inlineStr">
        <is>
          <t>100201</t>
        </is>
      </c>
      <c r="B174" s="37" t="n"/>
      <c r="C174" s="37" t="inlineStr">
        <is>
          <t>2025-04-11</t>
        </is>
      </c>
      <c r="D174" s="37" t="inlineStr">
        <is>
          <t>Q0401</t>
        </is>
      </c>
      <c r="E174" s="37" t="n"/>
      <c r="F174" s="37" t="inlineStr">
        <is>
          <t>浙江精准学科技有限公司</t>
        </is>
      </c>
      <c r="G174" s="37" t="inlineStr">
        <is>
          <t>记-90</t>
        </is>
      </c>
      <c r="H174" s="37" t="n"/>
      <c r="I174" s="89" t="n">
        <v>4</v>
      </c>
      <c r="J174" s="97" t="n"/>
      <c r="K174" s="42" t="n"/>
      <c r="L174" s="97" t="n"/>
      <c r="M174" s="37" t="n"/>
    </row>
    <row r="175" s="83">
      <c r="A175" s="36" t="inlineStr">
        <is>
          <t>100201</t>
        </is>
      </c>
      <c r="B175" s="36" t="n"/>
      <c r="C175" s="36" t="inlineStr">
        <is>
          <t>2025-04-11</t>
        </is>
      </c>
      <c r="D175" s="36" t="inlineStr">
        <is>
          <t>Q0401</t>
        </is>
      </c>
      <c r="E175" s="36" t="n"/>
      <c r="F175" s="36" t="inlineStr">
        <is>
          <t>浙江精准学科技有限公司</t>
        </is>
      </c>
      <c r="G175" s="36" t="inlineStr">
        <is>
          <t>记-93</t>
        </is>
      </c>
      <c r="H175" s="36" t="n"/>
      <c r="I175" s="89" t="n">
        <v>4</v>
      </c>
      <c r="J175" s="96" t="n"/>
      <c r="K175" s="40" t="n"/>
      <c r="L175" s="96" t="n"/>
      <c r="M175" s="36" t="n"/>
    </row>
    <row r="176" s="83">
      <c r="A176" s="37" t="inlineStr">
        <is>
          <t>100201</t>
        </is>
      </c>
      <c r="B176" s="37" t="n"/>
      <c r="C176" s="37" t="inlineStr">
        <is>
          <t>2025-04-11</t>
        </is>
      </c>
      <c r="D176" s="37" t="inlineStr">
        <is>
          <t>Q0401</t>
        </is>
      </c>
      <c r="E176" s="37" t="n"/>
      <c r="F176" s="37" t="inlineStr">
        <is>
          <t>浙江精准学科技有限公司</t>
        </is>
      </c>
      <c r="G176" s="37" t="inlineStr">
        <is>
          <t>记-103</t>
        </is>
      </c>
      <c r="H176" s="37" t="n"/>
      <c r="I176" s="89" t="n">
        <v>4</v>
      </c>
      <c r="J176" s="97" t="n"/>
      <c r="K176" s="42" t="n"/>
      <c r="L176" s="97" t="n"/>
      <c r="M176" s="37" t="n"/>
    </row>
    <row r="177" s="83">
      <c r="A177" s="36" t="inlineStr">
        <is>
          <t>100201</t>
        </is>
      </c>
      <c r="B177" s="36" t="n"/>
      <c r="C177" s="36" t="inlineStr">
        <is>
          <t>2025-04-11</t>
        </is>
      </c>
      <c r="D177" s="36" t="inlineStr">
        <is>
          <t>Q0401</t>
        </is>
      </c>
      <c r="E177" s="36" t="n"/>
      <c r="F177" s="36" t="inlineStr">
        <is>
          <t>浙江精准学科技有限公司</t>
        </is>
      </c>
      <c r="G177" s="36" t="inlineStr">
        <is>
          <t>记-104</t>
        </is>
      </c>
      <c r="H177" s="36" t="n"/>
      <c r="I177" s="89" t="n">
        <v>4</v>
      </c>
      <c r="J177" s="96" t="n"/>
      <c r="K177" s="40" t="n"/>
      <c r="L177" s="96" t="n"/>
      <c r="M177" s="36" t="n"/>
    </row>
    <row r="178" s="83">
      <c r="A178" s="37" t="inlineStr">
        <is>
          <t>100201</t>
        </is>
      </c>
      <c r="B178" s="37" t="n"/>
      <c r="C178" s="37" t="inlineStr">
        <is>
          <t>2025-04-12</t>
        </is>
      </c>
      <c r="D178" s="37" t="inlineStr">
        <is>
          <t>Q0401</t>
        </is>
      </c>
      <c r="E178" s="37" t="n"/>
      <c r="F178" s="37" t="inlineStr">
        <is>
          <t>浙江精准学科技有限公司</t>
        </is>
      </c>
      <c r="G178" s="37" t="inlineStr">
        <is>
          <t>记-107</t>
        </is>
      </c>
      <c r="H178" s="37" t="n"/>
      <c r="I178" s="89" t="n">
        <v>4</v>
      </c>
      <c r="J178" s="97" t="n"/>
      <c r="K178" s="42" t="n"/>
      <c r="L178" s="97" t="n"/>
      <c r="M178" s="37" t="n"/>
    </row>
    <row r="179" s="83">
      <c r="A179" s="36" t="inlineStr">
        <is>
          <t>100201</t>
        </is>
      </c>
      <c r="B179" s="36" t="n"/>
      <c r="C179" s="36" t="inlineStr">
        <is>
          <t>2025-04-13</t>
        </is>
      </c>
      <c r="D179" s="36" t="inlineStr">
        <is>
          <t>Q0401</t>
        </is>
      </c>
      <c r="E179" s="36" t="n"/>
      <c r="F179" s="36" t="inlineStr">
        <is>
          <t>浙江精准学科技有限公司</t>
        </is>
      </c>
      <c r="G179" s="36" t="inlineStr">
        <is>
          <t>记-110</t>
        </is>
      </c>
      <c r="H179" s="36" t="n"/>
      <c r="I179" s="89" t="n">
        <v>4</v>
      </c>
      <c r="J179" s="96" t="n"/>
      <c r="K179" s="40" t="n"/>
      <c r="L179" s="96" t="n"/>
      <c r="M179" s="36" t="n"/>
    </row>
    <row r="180" s="83">
      <c r="A180" s="37" t="inlineStr">
        <is>
          <t>100201</t>
        </is>
      </c>
      <c r="B180" s="37" t="n"/>
      <c r="C180" s="37" t="inlineStr">
        <is>
          <t>2025-04-14</t>
        </is>
      </c>
      <c r="D180" s="37" t="inlineStr">
        <is>
          <t>Q0401</t>
        </is>
      </c>
      <c r="E180" s="37" t="n"/>
      <c r="F180" s="37" t="inlineStr">
        <is>
          <t>浙江精准学科技有限公司</t>
        </is>
      </c>
      <c r="G180" s="37" t="inlineStr">
        <is>
          <t>记-113</t>
        </is>
      </c>
      <c r="H180" s="37" t="n"/>
      <c r="I180" s="89" t="n">
        <v>4</v>
      </c>
      <c r="J180" s="97" t="n"/>
      <c r="K180" s="42" t="n"/>
      <c r="L180" s="97" t="n"/>
      <c r="M180" s="37" t="n"/>
    </row>
    <row r="181" s="83">
      <c r="A181" s="36" t="inlineStr">
        <is>
          <t>100201</t>
        </is>
      </c>
      <c r="B181" s="36" t="n"/>
      <c r="C181" s="36" t="inlineStr">
        <is>
          <t>2025-04-15</t>
        </is>
      </c>
      <c r="D181" s="36" t="inlineStr">
        <is>
          <t>Q0401</t>
        </is>
      </c>
      <c r="E181" s="36" t="n"/>
      <c r="F181" s="36" t="inlineStr">
        <is>
          <t>浙江精准学科技有限公司</t>
        </is>
      </c>
      <c r="G181" s="36" t="inlineStr">
        <is>
          <t>记-122</t>
        </is>
      </c>
      <c r="H181" s="36" t="n"/>
      <c r="I181" s="89" t="n">
        <v>4</v>
      </c>
      <c r="J181" s="96" t="n"/>
      <c r="K181" s="40" t="n"/>
      <c r="L181" s="96" t="n"/>
      <c r="M181" s="36" t="n"/>
    </row>
    <row r="182" s="83">
      <c r="A182" s="37" t="inlineStr">
        <is>
          <t>100201</t>
        </is>
      </c>
      <c r="B182" s="37" t="n"/>
      <c r="C182" s="37" t="inlineStr">
        <is>
          <t>2025-04-15</t>
        </is>
      </c>
      <c r="D182" s="37" t="inlineStr">
        <is>
          <t>Q0401</t>
        </is>
      </c>
      <c r="E182" s="37" t="n"/>
      <c r="F182" s="37" t="inlineStr">
        <is>
          <t>浙江精准学科技有限公司</t>
        </is>
      </c>
      <c r="G182" s="37" t="inlineStr">
        <is>
          <t>记-130</t>
        </is>
      </c>
      <c r="H182" s="37" t="n"/>
      <c r="I182" s="89" t="n">
        <v>4</v>
      </c>
      <c r="J182" s="97" t="n"/>
      <c r="K182" s="42" t="n"/>
      <c r="L182" s="97" t="n"/>
      <c r="M182" s="37" t="n"/>
    </row>
    <row r="183" s="83">
      <c r="A183" s="36" t="inlineStr">
        <is>
          <t>100201</t>
        </is>
      </c>
      <c r="B183" s="36" t="n"/>
      <c r="C183" s="36" t="inlineStr">
        <is>
          <t>2025-04-15</t>
        </is>
      </c>
      <c r="D183" s="36" t="inlineStr">
        <is>
          <t>Q0401</t>
        </is>
      </c>
      <c r="E183" s="36" t="n"/>
      <c r="F183" s="36" t="inlineStr">
        <is>
          <t>浙江精准学科技有限公司</t>
        </is>
      </c>
      <c r="G183" s="36" t="inlineStr">
        <is>
          <t>记-130</t>
        </is>
      </c>
      <c r="H183" s="36" t="n"/>
      <c r="I183" s="96" t="n"/>
      <c r="J183" s="89" t="n">
        <v>4</v>
      </c>
      <c r="K183" s="40" t="n"/>
      <c r="L183" s="96" t="n"/>
      <c r="M183" s="36" t="n"/>
    </row>
    <row r="184" s="83">
      <c r="A184" s="37" t="inlineStr">
        <is>
          <t>100201</t>
        </is>
      </c>
      <c r="B184" s="37" t="n"/>
      <c r="C184" s="37" t="inlineStr">
        <is>
          <t>2025-04-16</t>
        </is>
      </c>
      <c r="D184" s="37" t="inlineStr">
        <is>
          <t>Q0401</t>
        </is>
      </c>
      <c r="E184" s="37" t="n"/>
      <c r="F184" s="37" t="inlineStr">
        <is>
          <t>浙江精准学科技有限公司</t>
        </is>
      </c>
      <c r="G184" s="37" t="inlineStr">
        <is>
          <t>记-133</t>
        </is>
      </c>
      <c r="H184" s="37" t="n"/>
      <c r="I184" s="89" t="n">
        <v>4</v>
      </c>
      <c r="J184" s="97" t="n"/>
      <c r="K184" s="42" t="n"/>
      <c r="L184" s="97" t="n"/>
      <c r="M184" s="37" t="n"/>
    </row>
    <row r="185" s="83">
      <c r="A185" s="36" t="inlineStr">
        <is>
          <t>100201</t>
        </is>
      </c>
      <c r="B185" s="36" t="n"/>
      <c r="C185" s="36" t="inlineStr">
        <is>
          <t>2025-04-17</t>
        </is>
      </c>
      <c r="D185" s="36" t="inlineStr">
        <is>
          <t>Q0401</t>
        </is>
      </c>
      <c r="E185" s="36" t="n"/>
      <c r="F185" s="36" t="inlineStr">
        <is>
          <t>浙江精准学科技有限公司</t>
        </is>
      </c>
      <c r="G185" s="36" t="inlineStr">
        <is>
          <t>记-144</t>
        </is>
      </c>
      <c r="H185" s="36" t="n"/>
      <c r="I185" s="89" t="n">
        <v>4</v>
      </c>
      <c r="J185" s="96" t="n"/>
      <c r="K185" s="40" t="n"/>
      <c r="L185" s="96" t="n"/>
      <c r="M185" s="36" t="n"/>
    </row>
    <row r="186" s="83">
      <c r="A186" s="37" t="inlineStr">
        <is>
          <t>100201</t>
        </is>
      </c>
      <c r="B186" s="37" t="n"/>
      <c r="C186" s="37" t="inlineStr">
        <is>
          <t>2025-04-18</t>
        </is>
      </c>
      <c r="D186" s="37" t="inlineStr">
        <is>
          <t>Q0401</t>
        </is>
      </c>
      <c r="E186" s="37" t="n"/>
      <c r="F186" s="37" t="inlineStr">
        <is>
          <t>浙江精准学科技有限公司</t>
        </is>
      </c>
      <c r="G186" s="37" t="inlineStr">
        <is>
          <t>记-150</t>
        </is>
      </c>
      <c r="H186" s="37" t="n"/>
      <c r="I186" s="89" t="n">
        <v>4</v>
      </c>
      <c r="J186" s="97" t="n"/>
      <c r="K186" s="42" t="n"/>
      <c r="L186" s="97" t="n"/>
      <c r="M186" s="37" t="n"/>
    </row>
    <row r="187" s="83">
      <c r="A187" s="36" t="inlineStr">
        <is>
          <t>100201</t>
        </is>
      </c>
      <c r="B187" s="36" t="n"/>
      <c r="C187" s="36" t="inlineStr">
        <is>
          <t>2025-04-18</t>
        </is>
      </c>
      <c r="D187" s="36" t="inlineStr">
        <is>
          <t>Q0401</t>
        </is>
      </c>
      <c r="E187" s="36" t="n"/>
      <c r="F187" s="36" t="inlineStr">
        <is>
          <t>浙江精准学科技有限公司</t>
        </is>
      </c>
      <c r="G187" s="36" t="inlineStr">
        <is>
          <t>记-152</t>
        </is>
      </c>
      <c r="H187" s="36" t="n"/>
      <c r="I187" s="89" t="n">
        <v>4</v>
      </c>
      <c r="J187" s="96" t="n"/>
      <c r="K187" s="40" t="n"/>
      <c r="L187" s="96" t="n"/>
      <c r="M187" s="36" t="n"/>
    </row>
    <row r="188" s="83">
      <c r="A188" s="37" t="inlineStr">
        <is>
          <t>100201</t>
        </is>
      </c>
      <c r="B188" s="37" t="n"/>
      <c r="C188" s="37" t="inlineStr">
        <is>
          <t>2025-04-18</t>
        </is>
      </c>
      <c r="D188" s="37" t="inlineStr">
        <is>
          <t>Q0401</t>
        </is>
      </c>
      <c r="E188" s="37" t="n"/>
      <c r="F188" s="37" t="inlineStr">
        <is>
          <t>浙江精准学科技有限公司</t>
        </is>
      </c>
      <c r="G188" s="37" t="inlineStr">
        <is>
          <t>记-153</t>
        </is>
      </c>
      <c r="H188" s="37" t="n"/>
      <c r="I188" s="89" t="n">
        <v>4</v>
      </c>
      <c r="J188" s="97" t="n"/>
      <c r="K188" s="42" t="n"/>
      <c r="L188" s="97" t="n"/>
      <c r="M188" s="37" t="n"/>
    </row>
    <row r="189" s="83">
      <c r="A189" s="36" t="inlineStr">
        <is>
          <t>100201</t>
        </is>
      </c>
      <c r="B189" s="36" t="n"/>
      <c r="C189" s="36" t="inlineStr">
        <is>
          <t>2025-04-19</t>
        </is>
      </c>
      <c r="D189" s="36" t="inlineStr">
        <is>
          <t>Q0401</t>
        </is>
      </c>
      <c r="E189" s="36" t="n"/>
      <c r="F189" s="36" t="inlineStr">
        <is>
          <t>浙江精准学科技有限公司</t>
        </is>
      </c>
      <c r="G189" s="36" t="inlineStr">
        <is>
          <t>记-168</t>
        </is>
      </c>
      <c r="H189" s="36" t="n"/>
      <c r="I189" s="89" t="n">
        <v>4</v>
      </c>
      <c r="J189" s="96" t="n"/>
      <c r="K189" s="40" t="n"/>
      <c r="L189" s="96" t="n"/>
      <c r="M189" s="36" t="n"/>
    </row>
    <row r="190" s="83">
      <c r="A190" s="37" t="inlineStr">
        <is>
          <t>100201</t>
        </is>
      </c>
      <c r="B190" s="37" t="n"/>
      <c r="C190" s="37" t="inlineStr">
        <is>
          <t>2025-04-20</t>
        </is>
      </c>
      <c r="D190" s="37" t="inlineStr">
        <is>
          <t>Q0401</t>
        </is>
      </c>
      <c r="E190" s="37" t="n"/>
      <c r="F190" s="37" t="inlineStr">
        <is>
          <t>浙江精准学科技有限公司</t>
        </is>
      </c>
      <c r="G190" s="37" t="inlineStr">
        <is>
          <t>记-171</t>
        </is>
      </c>
      <c r="H190" s="37" t="n"/>
      <c r="I190" s="89" t="n">
        <v>4</v>
      </c>
      <c r="J190" s="97" t="n"/>
      <c r="K190" s="42" t="n"/>
      <c r="L190" s="97" t="n"/>
      <c r="M190" s="37" t="n"/>
    </row>
    <row r="191" s="83">
      <c r="A191" s="36" t="inlineStr">
        <is>
          <t>100201</t>
        </is>
      </c>
      <c r="B191" s="36" t="n"/>
      <c r="C191" s="36" t="inlineStr">
        <is>
          <t>2025-04-21</t>
        </is>
      </c>
      <c r="D191" s="36" t="inlineStr">
        <is>
          <t>Q0401</t>
        </is>
      </c>
      <c r="E191" s="36" t="n"/>
      <c r="F191" s="36" t="inlineStr">
        <is>
          <t>浙江精准学科技有限公司</t>
        </is>
      </c>
      <c r="G191" s="36" t="inlineStr">
        <is>
          <t>记-174</t>
        </is>
      </c>
      <c r="H191" s="36" t="n"/>
      <c r="I191" s="89" t="n">
        <v>4</v>
      </c>
      <c r="J191" s="96" t="n"/>
      <c r="K191" s="40" t="n"/>
      <c r="L191" s="96" t="n"/>
      <c r="M191" s="36" t="n"/>
    </row>
    <row r="192" s="83">
      <c r="A192" s="37" t="inlineStr">
        <is>
          <t>100201</t>
        </is>
      </c>
      <c r="B192" s="37" t="n"/>
      <c r="C192" s="37" t="inlineStr">
        <is>
          <t>2025-04-22</t>
        </is>
      </c>
      <c r="D192" s="37" t="inlineStr">
        <is>
          <t>Q0401</t>
        </is>
      </c>
      <c r="E192" s="37" t="n"/>
      <c r="F192" s="37" t="inlineStr">
        <is>
          <t>浙江精准学科技有限公司</t>
        </is>
      </c>
      <c r="G192" s="37" t="inlineStr">
        <is>
          <t>记-180</t>
        </is>
      </c>
      <c r="H192" s="37" t="n"/>
      <c r="I192" s="89" t="n">
        <v>4</v>
      </c>
      <c r="J192" s="97" t="n"/>
      <c r="K192" s="42" t="n"/>
      <c r="L192" s="97" t="n"/>
      <c r="M192" s="37" t="n"/>
    </row>
    <row r="193" s="83">
      <c r="A193" s="36" t="inlineStr">
        <is>
          <t>100201</t>
        </is>
      </c>
      <c r="B193" s="36" t="n"/>
      <c r="C193" s="36" t="inlineStr">
        <is>
          <t>2025-04-23</t>
        </is>
      </c>
      <c r="D193" s="36" t="inlineStr">
        <is>
          <t>Q0401</t>
        </is>
      </c>
      <c r="E193" s="36" t="n"/>
      <c r="F193" s="36" t="inlineStr">
        <is>
          <t>浙江精准学科技有限公司</t>
        </is>
      </c>
      <c r="G193" s="36" t="inlineStr">
        <is>
          <t>记-188</t>
        </is>
      </c>
      <c r="H193" s="36" t="n"/>
      <c r="I193" s="89" t="n">
        <v>4</v>
      </c>
      <c r="J193" s="96" t="n"/>
      <c r="K193" s="40" t="n"/>
      <c r="L193" s="96" t="n"/>
      <c r="M193" s="36" t="n"/>
    </row>
    <row r="194" s="83">
      <c r="A194" s="37" t="inlineStr">
        <is>
          <t>100201</t>
        </is>
      </c>
      <c r="B194" s="37" t="n"/>
      <c r="C194" s="37" t="inlineStr">
        <is>
          <t>2025-04-24</t>
        </is>
      </c>
      <c r="D194" s="37" t="inlineStr">
        <is>
          <t>Q0401</t>
        </is>
      </c>
      <c r="E194" s="37" t="n"/>
      <c r="F194" s="37" t="inlineStr">
        <is>
          <t>浙江精准学科技有限公司</t>
        </is>
      </c>
      <c r="G194" s="37" t="inlineStr">
        <is>
          <t>记-195</t>
        </is>
      </c>
      <c r="H194" s="37" t="n"/>
      <c r="I194" s="89" t="n">
        <v>4</v>
      </c>
      <c r="J194" s="97" t="n"/>
      <c r="K194" s="42" t="n"/>
      <c r="L194" s="97" t="n"/>
      <c r="M194" s="37" t="n"/>
    </row>
    <row r="195" s="83">
      <c r="A195" s="36" t="inlineStr">
        <is>
          <t>100201</t>
        </is>
      </c>
      <c r="B195" s="36" t="n"/>
      <c r="C195" s="36" t="inlineStr">
        <is>
          <t>2025-04-25</t>
        </is>
      </c>
      <c r="D195" s="36" t="inlineStr">
        <is>
          <t>Q0401</t>
        </is>
      </c>
      <c r="E195" s="36" t="n"/>
      <c r="F195" s="36" t="inlineStr">
        <is>
          <t>浙江精准学科技有限公司</t>
        </is>
      </c>
      <c r="G195" s="36" t="inlineStr">
        <is>
          <t>记-201</t>
        </is>
      </c>
      <c r="H195" s="36" t="n"/>
      <c r="I195" s="89" t="n">
        <v>4</v>
      </c>
      <c r="J195" s="96" t="n"/>
      <c r="K195" s="40" t="n"/>
      <c r="L195" s="96" t="n"/>
      <c r="M195" s="36" t="n"/>
    </row>
    <row r="196" s="83">
      <c r="A196" s="37" t="inlineStr">
        <is>
          <t>100201</t>
        </is>
      </c>
      <c r="B196" s="37" t="n"/>
      <c r="C196" s="37" t="inlineStr">
        <is>
          <t>2025-04-26</t>
        </is>
      </c>
      <c r="D196" s="37" t="inlineStr">
        <is>
          <t>Q0401</t>
        </is>
      </c>
      <c r="E196" s="37" t="n"/>
      <c r="F196" s="37" t="inlineStr">
        <is>
          <t>浙江精准学科技有限公司</t>
        </is>
      </c>
      <c r="G196" s="37" t="inlineStr">
        <is>
          <t>记-213</t>
        </is>
      </c>
      <c r="H196" s="37" t="n"/>
      <c r="I196" s="89" t="n">
        <v>4</v>
      </c>
      <c r="J196" s="97" t="n"/>
      <c r="K196" s="42" t="n"/>
      <c r="L196" s="97" t="n"/>
      <c r="M196" s="37" t="n"/>
    </row>
    <row r="197" s="83">
      <c r="A197" s="36" t="inlineStr">
        <is>
          <t>100201</t>
        </is>
      </c>
      <c r="B197" s="36" t="n"/>
      <c r="C197" s="36" t="inlineStr">
        <is>
          <t>2025-04-27</t>
        </is>
      </c>
      <c r="D197" s="36" t="inlineStr">
        <is>
          <t>Q0401</t>
        </is>
      </c>
      <c r="E197" s="36" t="n"/>
      <c r="F197" s="36" t="inlineStr">
        <is>
          <t>浙江精准学科技有限公司</t>
        </is>
      </c>
      <c r="G197" s="36" t="inlineStr">
        <is>
          <t>记-216</t>
        </is>
      </c>
      <c r="H197" s="36" t="n"/>
      <c r="I197" s="89" t="n">
        <v>4</v>
      </c>
      <c r="J197" s="96" t="n"/>
      <c r="K197" s="40" t="n"/>
      <c r="L197" s="96" t="n"/>
      <c r="M197" s="36" t="n"/>
    </row>
    <row r="198" s="83">
      <c r="A198" s="37" t="inlineStr">
        <is>
          <t>100201</t>
        </is>
      </c>
      <c r="B198" s="37" t="n"/>
      <c r="C198" s="37" t="inlineStr">
        <is>
          <t>2025-04-27</t>
        </is>
      </c>
      <c r="D198" s="37" t="inlineStr">
        <is>
          <t>Q0401</t>
        </is>
      </c>
      <c r="E198" s="37" t="n"/>
      <c r="F198" s="37" t="inlineStr">
        <is>
          <t>浙江精准学科技有限公司</t>
        </is>
      </c>
      <c r="G198" s="37" t="inlineStr">
        <is>
          <t>记-217</t>
        </is>
      </c>
      <c r="H198" s="37" t="n"/>
      <c r="I198" s="89" t="n">
        <v>4</v>
      </c>
      <c r="J198" s="97" t="n"/>
      <c r="K198" s="42" t="n"/>
      <c r="L198" s="97" t="n"/>
      <c r="M198" s="37" t="n"/>
    </row>
    <row r="199" s="83">
      <c r="A199" s="36" t="inlineStr">
        <is>
          <t>100201</t>
        </is>
      </c>
      <c r="B199" s="36" t="n"/>
      <c r="C199" s="36" t="inlineStr">
        <is>
          <t>2025-04-27</t>
        </is>
      </c>
      <c r="D199" s="36" t="inlineStr">
        <is>
          <t>Q0401</t>
        </is>
      </c>
      <c r="E199" s="36" t="n"/>
      <c r="F199" s="36" t="inlineStr">
        <is>
          <t>浙江精准学科技有限公司</t>
        </is>
      </c>
      <c r="G199" s="36" t="inlineStr">
        <is>
          <t>记-218</t>
        </is>
      </c>
      <c r="H199" s="36" t="n"/>
      <c r="I199" s="89" t="n">
        <v>4</v>
      </c>
      <c r="J199" s="96" t="n"/>
      <c r="K199" s="40" t="n"/>
      <c r="L199" s="96" t="n"/>
      <c r="M199" s="36" t="n"/>
    </row>
    <row r="200" s="83">
      <c r="A200" s="37" t="inlineStr">
        <is>
          <t>100201</t>
        </is>
      </c>
      <c r="B200" s="37" t="n"/>
      <c r="C200" s="37" t="inlineStr">
        <is>
          <t>2025-04-28</t>
        </is>
      </c>
      <c r="D200" s="37" t="inlineStr">
        <is>
          <t>Q0401</t>
        </is>
      </c>
      <c r="E200" s="37" t="n"/>
      <c r="F200" s="37" t="inlineStr">
        <is>
          <t>浙江精准学科技有限公司</t>
        </is>
      </c>
      <c r="G200" s="37" t="inlineStr">
        <is>
          <t>记-225</t>
        </is>
      </c>
      <c r="H200" s="37" t="n"/>
      <c r="I200" s="89" t="n">
        <v>4</v>
      </c>
      <c r="J200" s="97" t="n"/>
      <c r="K200" s="42" t="n"/>
      <c r="L200" s="97" t="n"/>
      <c r="M200" s="37" t="n"/>
    </row>
    <row r="201" s="83">
      <c r="A201" s="36" t="inlineStr">
        <is>
          <t>100201</t>
        </is>
      </c>
      <c r="B201" s="36" t="n"/>
      <c r="C201" s="36" t="inlineStr">
        <is>
          <t>2025-04-29</t>
        </is>
      </c>
      <c r="D201" s="36" t="inlineStr">
        <is>
          <t>Q0401</t>
        </is>
      </c>
      <c r="E201" s="36" t="n"/>
      <c r="F201" s="36" t="inlineStr">
        <is>
          <t>浙江精准学科技有限公司</t>
        </is>
      </c>
      <c r="G201" s="36" t="inlineStr">
        <is>
          <t>记-238</t>
        </is>
      </c>
      <c r="H201" s="36" t="n"/>
      <c r="I201" s="89" t="n">
        <v>4</v>
      </c>
      <c r="J201" s="96" t="n"/>
      <c r="K201" s="40" t="n"/>
      <c r="L201" s="96" t="n"/>
      <c r="M201" s="36" t="n"/>
    </row>
    <row r="202" s="83">
      <c r="A202" s="37" t="inlineStr">
        <is>
          <t>100201</t>
        </is>
      </c>
      <c r="B202" s="37" t="n"/>
      <c r="C202" s="37" t="inlineStr">
        <is>
          <t>2025-04-30</t>
        </is>
      </c>
      <c r="D202" s="37" t="inlineStr">
        <is>
          <t>Q0401</t>
        </is>
      </c>
      <c r="E202" s="37" t="n"/>
      <c r="F202" s="37" t="inlineStr">
        <is>
          <t>浙江精准学科技有限公司</t>
        </is>
      </c>
      <c r="G202" s="37" t="inlineStr">
        <is>
          <t>记-248</t>
        </is>
      </c>
      <c r="H202" s="37" t="n"/>
      <c r="I202" s="89" t="n">
        <v>4</v>
      </c>
      <c r="J202" s="97" t="n"/>
      <c r="K202" s="42" t="n"/>
      <c r="L202" s="97" t="n"/>
      <c r="M202" s="37" t="n"/>
    </row>
    <row r="203" s="83">
      <c r="A203" s="36" t="inlineStr">
        <is>
          <t>100201</t>
        </is>
      </c>
      <c r="B203" s="36" t="n"/>
      <c r="C203" s="36" t="inlineStr">
        <is>
          <t>2025-04-30</t>
        </is>
      </c>
      <c r="D203" s="36" t="inlineStr">
        <is>
          <t>Q0401</t>
        </is>
      </c>
      <c r="E203" s="36" t="n"/>
      <c r="F203" s="36" t="inlineStr">
        <is>
          <t>浙江精准学科技有限公司</t>
        </is>
      </c>
      <c r="G203" s="36" t="inlineStr">
        <is>
          <t>记-249</t>
        </is>
      </c>
      <c r="H203" s="36" t="n"/>
      <c r="I203" s="89" t="n">
        <v>4</v>
      </c>
      <c r="J203" s="96" t="n"/>
      <c r="K203" s="40" t="n"/>
      <c r="L203" s="96" t="n"/>
      <c r="M203" s="36" t="n"/>
    </row>
    <row r="204" s="83">
      <c r="A204" s="36" t="inlineStr">
        <is>
          <t>100201</t>
        </is>
      </c>
      <c r="B204" s="36" t="n"/>
      <c r="C204" s="36" t="inlineStr">
        <is>
          <t>2025-04-07</t>
        </is>
      </c>
      <c r="D204" s="36" t="inlineStr">
        <is>
          <t>Q0402</t>
        </is>
      </c>
      <c r="E204" s="36" t="n"/>
      <c r="F204" s="36" t="inlineStr">
        <is>
          <t>浙江精准学科技有限公司</t>
        </is>
      </c>
      <c r="G204" s="36" t="inlineStr">
        <is>
          <t>记-51</t>
        </is>
      </c>
      <c r="H204" s="36" t="n"/>
      <c r="I204" s="96" t="n"/>
      <c r="J204" s="89" t="n">
        <v>4</v>
      </c>
      <c r="K204" s="40" t="n"/>
      <c r="L204" s="96" t="n"/>
      <c r="M204" s="36" t="n"/>
    </row>
    <row r="205" s="83">
      <c r="A205" s="37" t="inlineStr">
        <is>
          <t>100201</t>
        </is>
      </c>
      <c r="B205" s="37" t="n"/>
      <c r="C205" s="37" t="inlineStr">
        <is>
          <t>2025-04-11</t>
        </is>
      </c>
      <c r="D205" s="37" t="inlineStr">
        <is>
          <t>Q0402</t>
        </is>
      </c>
      <c r="E205" s="37" t="n"/>
      <c r="F205" s="37" t="inlineStr">
        <is>
          <t>浙江精准学科技有限公司</t>
        </is>
      </c>
      <c r="G205" s="37" t="inlineStr">
        <is>
          <t>记-99</t>
        </is>
      </c>
      <c r="H205" s="37" t="n"/>
      <c r="I205" s="97" t="n"/>
      <c r="J205" s="89" t="n">
        <v>4</v>
      </c>
      <c r="K205" s="42" t="n"/>
      <c r="L205" s="97" t="n"/>
      <c r="M205" s="37" t="n"/>
    </row>
    <row r="206" s="83">
      <c r="A206" s="36" t="inlineStr">
        <is>
          <t>100201</t>
        </is>
      </c>
      <c r="B206" s="36" t="n"/>
      <c r="C206" s="36" t="inlineStr">
        <is>
          <t>2025-04-15</t>
        </is>
      </c>
      <c r="D206" s="36" t="inlineStr">
        <is>
          <t>Q0402</t>
        </is>
      </c>
      <c r="E206" s="36" t="n"/>
      <c r="F206" s="36" t="inlineStr">
        <is>
          <t>浙江精准学科技有限公司</t>
        </is>
      </c>
      <c r="G206" s="36" t="inlineStr">
        <is>
          <t>记-129</t>
        </is>
      </c>
      <c r="H206" s="36" t="n"/>
      <c r="I206" s="96" t="n"/>
      <c r="J206" s="89" t="n">
        <v>4</v>
      </c>
      <c r="K206" s="40" t="n"/>
      <c r="L206" s="96" t="n"/>
      <c r="M206" s="36" t="n"/>
    </row>
    <row r="207" s="83">
      <c r="A207" s="37" t="inlineStr">
        <is>
          <t>100201</t>
        </is>
      </c>
      <c r="B207" s="37" t="n"/>
      <c r="C207" s="37" t="inlineStr">
        <is>
          <t>2025-04-27</t>
        </is>
      </c>
      <c r="D207" s="37" t="inlineStr">
        <is>
          <t>Q0602</t>
        </is>
      </c>
      <c r="E207" s="37" t="n"/>
      <c r="F207" s="37" t="inlineStr">
        <is>
          <t>浙江精准学科技有限公司</t>
        </is>
      </c>
      <c r="G207" s="37" t="inlineStr">
        <is>
          <t>记-220</t>
        </is>
      </c>
      <c r="H207" s="37" t="n"/>
      <c r="I207" s="97" t="n"/>
      <c r="J207" s="89" t="n">
        <v>4</v>
      </c>
      <c r="K207" s="42" t="n"/>
      <c r="L207" s="97" t="n"/>
      <c r="M207" s="37" t="n"/>
    </row>
    <row r="208" s="83">
      <c r="A208" s="36" t="inlineStr">
        <is>
          <t>100201</t>
        </is>
      </c>
      <c r="B208" s="36" t="n"/>
      <c r="C208" s="36" t="inlineStr">
        <is>
          <t>2025-04-27</t>
        </is>
      </c>
      <c r="D208" s="36" t="inlineStr">
        <is>
          <t>Q0402</t>
        </is>
      </c>
      <c r="E208" s="36" t="n"/>
      <c r="F208" s="36" t="inlineStr">
        <is>
          <t>浙江精准学科技有限公司</t>
        </is>
      </c>
      <c r="G208" s="36" t="inlineStr">
        <is>
          <t>记-221</t>
        </is>
      </c>
      <c r="H208" s="36" t="n"/>
      <c r="I208" s="96" t="n"/>
      <c r="J208" s="89" t="n">
        <v>4</v>
      </c>
      <c r="K208" s="40" t="n"/>
      <c r="L208" s="96" t="n"/>
      <c r="M208" s="36" t="n"/>
    </row>
    <row r="209" s="83">
      <c r="A209" s="37" t="inlineStr">
        <is>
          <t>100201</t>
        </is>
      </c>
      <c r="B209" s="37" t="n"/>
      <c r="C209" s="37" t="inlineStr">
        <is>
          <t>2025-04-14</t>
        </is>
      </c>
      <c r="D209" s="37" t="inlineStr">
        <is>
          <t>Q0801</t>
        </is>
      </c>
      <c r="E209" s="37" t="n"/>
      <c r="F209" s="37" t="inlineStr">
        <is>
          <t>浙江精准学科技有限公司</t>
        </is>
      </c>
      <c r="G209" s="37" t="inlineStr">
        <is>
          <t>记-117</t>
        </is>
      </c>
      <c r="H209" s="37" t="n"/>
      <c r="I209" s="97" t="n"/>
      <c r="J209" s="89" t="n">
        <v>4</v>
      </c>
      <c r="K209" s="42" t="n"/>
      <c r="L209" s="97" t="n"/>
      <c r="M209" s="37" t="n"/>
    </row>
    <row r="210" s="83">
      <c r="A210" s="36" t="inlineStr">
        <is>
          <t>100201</t>
        </is>
      </c>
      <c r="B210" s="36" t="n"/>
      <c r="C210" s="36" t="inlineStr">
        <is>
          <t>2025-04-15</t>
        </is>
      </c>
      <c r="D210" s="36" t="inlineStr">
        <is>
          <t>Q0801</t>
        </is>
      </c>
      <c r="E210" s="36" t="n"/>
      <c r="F210" s="36" t="inlineStr">
        <is>
          <t>浙江精准学科技有限公司</t>
        </is>
      </c>
      <c r="G210" s="36" t="inlineStr">
        <is>
          <t>记-128</t>
        </is>
      </c>
      <c r="H210" s="36" t="n"/>
      <c r="I210" s="96" t="n"/>
      <c r="J210" s="89" t="n">
        <v>4</v>
      </c>
      <c r="K210" s="40" t="n"/>
      <c r="L210" s="96" t="n"/>
      <c r="M210" s="36" t="n"/>
    </row>
    <row r="211" s="83">
      <c r="A211" s="36" t="inlineStr">
        <is>
          <t>100201</t>
        </is>
      </c>
      <c r="B211" s="36" t="n"/>
      <c r="C211" s="36" t="inlineStr">
        <is>
          <t>2025-04-01</t>
        </is>
      </c>
      <c r="D211" s="36" t="inlineStr">
        <is>
          <t>Q0803</t>
        </is>
      </c>
      <c r="E211" s="36" t="n"/>
      <c r="F211" s="36" t="inlineStr">
        <is>
          <t>浙江精准学科技有限公司</t>
        </is>
      </c>
      <c r="G211" s="36" t="inlineStr">
        <is>
          <t>记-11</t>
        </is>
      </c>
      <c r="H211" s="36" t="n"/>
      <c r="I211" s="96" t="n"/>
      <c r="J211" s="89" t="n">
        <v>4</v>
      </c>
      <c r="K211" s="40" t="n"/>
      <c r="L211" s="96" t="n"/>
      <c r="M211" s="36" t="n"/>
    </row>
    <row r="212" s="83">
      <c r="A212" s="37" t="inlineStr">
        <is>
          <t>100201</t>
        </is>
      </c>
      <c r="B212" s="37" t="n"/>
      <c r="C212" s="37" t="inlineStr">
        <is>
          <t>2025-04-01</t>
        </is>
      </c>
      <c r="D212" s="37" t="inlineStr">
        <is>
          <t>Q0803</t>
        </is>
      </c>
      <c r="E212" s="37" t="n"/>
      <c r="F212" s="37" t="inlineStr">
        <is>
          <t>浙江精准学科技有限公司</t>
        </is>
      </c>
      <c r="G212" s="37" t="inlineStr">
        <is>
          <t>记-12</t>
        </is>
      </c>
      <c r="H212" s="37" t="n"/>
      <c r="I212" s="97" t="n"/>
      <c r="J212" s="89" t="n">
        <v>4</v>
      </c>
      <c r="K212" s="42" t="n"/>
      <c r="L212" s="97" t="n"/>
      <c r="M212" s="37" t="n"/>
    </row>
    <row r="213" s="83">
      <c r="A213" s="36" t="inlineStr">
        <is>
          <t>100201</t>
        </is>
      </c>
      <c r="B213" s="36" t="n"/>
      <c r="C213" s="36" t="inlineStr">
        <is>
          <t>2025-04-01</t>
        </is>
      </c>
      <c r="D213" s="36" t="inlineStr">
        <is>
          <t>Q0803</t>
        </is>
      </c>
      <c r="E213" s="36" t="n"/>
      <c r="F213" s="36" t="inlineStr">
        <is>
          <t>浙江精准学科技有限公司</t>
        </is>
      </c>
      <c r="G213" s="36" t="inlineStr">
        <is>
          <t>记-12</t>
        </is>
      </c>
      <c r="H213" s="36" t="n"/>
      <c r="I213" s="96" t="n"/>
      <c r="J213" s="89" t="n">
        <v>4</v>
      </c>
      <c r="K213" s="40" t="n"/>
      <c r="L213" s="96" t="n"/>
      <c r="M213" s="36" t="n"/>
    </row>
    <row r="214" s="83">
      <c r="A214" s="37" t="inlineStr">
        <is>
          <t>100201</t>
        </is>
      </c>
      <c r="B214" s="37" t="n"/>
      <c r="C214" s="37" t="inlineStr">
        <is>
          <t>2025-04-01</t>
        </is>
      </c>
      <c r="D214" s="37" t="inlineStr">
        <is>
          <t>Q0803</t>
        </is>
      </c>
      <c r="E214" s="37" t="n"/>
      <c r="F214" s="37" t="inlineStr">
        <is>
          <t>浙江精准学科技有限公司</t>
        </is>
      </c>
      <c r="G214" s="37" t="inlineStr">
        <is>
          <t>记-12</t>
        </is>
      </c>
      <c r="H214" s="37" t="n"/>
      <c r="I214" s="97" t="n"/>
      <c r="J214" s="89" t="n">
        <v>4</v>
      </c>
      <c r="K214" s="42" t="n"/>
      <c r="L214" s="97" t="n"/>
      <c r="M214" s="37" t="n"/>
    </row>
    <row r="215" s="83">
      <c r="A215" s="36" t="inlineStr">
        <is>
          <t>100201</t>
        </is>
      </c>
      <c r="B215" s="36" t="n"/>
      <c r="C215" s="36" t="inlineStr">
        <is>
          <t>2025-04-29</t>
        </is>
      </c>
      <c r="D215" s="36" t="inlineStr">
        <is>
          <t>Q0803</t>
        </is>
      </c>
      <c r="E215" s="36" t="n"/>
      <c r="F215" s="36" t="inlineStr">
        <is>
          <t>浙江精准学科技有限公司</t>
        </is>
      </c>
      <c r="G215" s="36" t="inlineStr">
        <is>
          <t>记-239</t>
        </is>
      </c>
      <c r="H215" s="36" t="n"/>
      <c r="I215" s="96" t="n"/>
      <c r="J215" s="89" t="n">
        <v>4</v>
      </c>
      <c r="K215" s="40" t="n"/>
      <c r="L215" s="96" t="n"/>
      <c r="M215" s="36" t="n"/>
    </row>
    <row r="216" s="83">
      <c r="A216" s="36" t="inlineStr">
        <is>
          <t>100201</t>
        </is>
      </c>
      <c r="B216" s="36" t="n"/>
      <c r="C216" s="36" t="inlineStr">
        <is>
          <t>2025-04-21</t>
        </is>
      </c>
      <c r="D216" s="36" t="inlineStr">
        <is>
          <t>Q0804</t>
        </is>
      </c>
      <c r="E216" s="36" t="n"/>
      <c r="F216" s="36" t="inlineStr">
        <is>
          <t>浙江精准学科技有限公司</t>
        </is>
      </c>
      <c r="G216" s="36" t="inlineStr">
        <is>
          <t>记-176</t>
        </is>
      </c>
      <c r="H216" s="36" t="n"/>
      <c r="I216" s="96" t="n"/>
      <c r="J216" s="89" t="n">
        <v>4</v>
      </c>
      <c r="K216" s="40" t="n"/>
      <c r="L216" s="96" t="n"/>
      <c r="M216" s="36" t="n"/>
    </row>
    <row r="217" s="83">
      <c r="A217" s="37" t="inlineStr">
        <is>
          <t>100201</t>
        </is>
      </c>
      <c r="B217" s="37" t="n"/>
      <c r="C217" s="37" t="inlineStr">
        <is>
          <t>2025-04-22</t>
        </is>
      </c>
      <c r="D217" s="37" t="inlineStr">
        <is>
          <t>Q0804</t>
        </is>
      </c>
      <c r="E217" s="37" t="n"/>
      <c r="F217" s="37" t="inlineStr">
        <is>
          <t>浙江精准学科技有限公司</t>
        </is>
      </c>
      <c r="G217" s="37" t="inlineStr">
        <is>
          <t>记-185</t>
        </is>
      </c>
      <c r="H217" s="37" t="n"/>
      <c r="I217" s="97" t="n"/>
      <c r="J217" s="89" t="n">
        <v>4</v>
      </c>
      <c r="K217" s="42" t="n"/>
      <c r="L217" s="97" t="n"/>
      <c r="M217" s="37" t="n"/>
    </row>
    <row r="218" s="83">
      <c r="A218" s="37" t="inlineStr">
        <is>
          <t>100201</t>
        </is>
      </c>
      <c r="B218" s="37" t="n"/>
      <c r="C218" s="37" t="inlineStr">
        <is>
          <t>2025-04-10</t>
        </is>
      </c>
      <c r="D218" s="37" t="inlineStr">
        <is>
          <t>Q0805</t>
        </is>
      </c>
      <c r="E218" s="37" t="n"/>
      <c r="F218" s="37" t="inlineStr">
        <is>
          <t>浙江精准学科技有限公司</t>
        </is>
      </c>
      <c r="G218" s="37" t="inlineStr">
        <is>
          <t>记-78</t>
        </is>
      </c>
      <c r="H218" s="37" t="n"/>
      <c r="I218" s="89" t="n">
        <v>4</v>
      </c>
      <c r="J218" s="97" t="n"/>
      <c r="K218" s="42" t="n"/>
      <c r="L218" s="97" t="n"/>
      <c r="M218" s="37" t="n"/>
    </row>
    <row r="219" s="83">
      <c r="A219" s="36" t="inlineStr">
        <is>
          <t>100201</t>
        </is>
      </c>
      <c r="B219" s="36" t="n"/>
      <c r="C219" s="36" t="inlineStr">
        <is>
          <t>2025-04-14</t>
        </is>
      </c>
      <c r="D219" s="36" t="inlineStr">
        <is>
          <t>Q0805</t>
        </is>
      </c>
      <c r="E219" s="36" t="n"/>
      <c r="F219" s="36" t="inlineStr">
        <is>
          <t>浙江精准学科技有限公司</t>
        </is>
      </c>
      <c r="G219" s="36" t="inlineStr">
        <is>
          <t>记-115</t>
        </is>
      </c>
      <c r="H219" s="36" t="n"/>
      <c r="I219" s="96" t="n"/>
      <c r="J219" s="89" t="n">
        <v>4</v>
      </c>
      <c r="K219" s="40" t="n"/>
      <c r="L219" s="96" t="n"/>
      <c r="M219" s="36" t="n"/>
    </row>
    <row r="220" s="83">
      <c r="A220" s="37" t="inlineStr">
        <is>
          <t>100201</t>
        </is>
      </c>
      <c r="B220" s="37" t="n"/>
      <c r="C220" s="37" t="inlineStr">
        <is>
          <t>2025-04-14</t>
        </is>
      </c>
      <c r="D220" s="37" t="inlineStr">
        <is>
          <t>Q0805</t>
        </is>
      </c>
      <c r="E220" s="37" t="n"/>
      <c r="F220" s="37" t="inlineStr">
        <is>
          <t>浙江精准学科技有限公司</t>
        </is>
      </c>
      <c r="G220" s="37" t="inlineStr">
        <is>
          <t>记-117</t>
        </is>
      </c>
      <c r="H220" s="37" t="n"/>
      <c r="I220" s="89" t="n">
        <v>4</v>
      </c>
      <c r="J220" s="97" t="n"/>
      <c r="K220" s="42" t="n"/>
      <c r="L220" s="97" t="n"/>
      <c r="M220" s="37" t="n"/>
    </row>
    <row r="221" s="83">
      <c r="A221" s="37" t="inlineStr">
        <is>
          <t>100201</t>
        </is>
      </c>
      <c r="B221" s="37" t="n"/>
      <c r="C221" s="37" t="inlineStr">
        <is>
          <t>2025-04-10</t>
        </is>
      </c>
      <c r="D221" s="37" t="inlineStr">
        <is>
          <t>Q0806</t>
        </is>
      </c>
      <c r="E221" s="37" t="n"/>
      <c r="F221" s="37" t="inlineStr">
        <is>
          <t>浙江精准学科技有限公司</t>
        </is>
      </c>
      <c r="G221" s="37" t="inlineStr">
        <is>
          <t>记-82</t>
        </is>
      </c>
      <c r="H221" s="37" t="n"/>
      <c r="I221" s="97" t="n"/>
      <c r="J221" s="89" t="n">
        <v>4</v>
      </c>
      <c r="K221" s="42" t="n"/>
      <c r="L221" s="97" t="n"/>
      <c r="M221" s="37" t="n"/>
    </row>
    <row r="222" s="83">
      <c r="A222" s="36" t="inlineStr">
        <is>
          <t>100201</t>
        </is>
      </c>
      <c r="B222" s="36" t="n"/>
      <c r="C222" s="36" t="inlineStr">
        <is>
          <t>2025-04-10</t>
        </is>
      </c>
      <c r="D222" s="36" t="inlineStr">
        <is>
          <t>Q0806</t>
        </is>
      </c>
      <c r="E222" s="36" t="n"/>
      <c r="F222" s="36" t="inlineStr">
        <is>
          <t>浙江精准学科技有限公司</t>
        </is>
      </c>
      <c r="G222" s="36" t="inlineStr">
        <is>
          <t>记-85</t>
        </is>
      </c>
      <c r="H222" s="36" t="n"/>
      <c r="I222" s="96" t="n"/>
      <c r="J222" s="89" t="n">
        <v>4</v>
      </c>
      <c r="K222" s="40" t="n"/>
      <c r="L222" s="96" t="n"/>
      <c r="M222" s="36" t="n"/>
    </row>
    <row r="223" s="83">
      <c r="A223" s="37" t="inlineStr">
        <is>
          <t>100201</t>
        </is>
      </c>
      <c r="B223" s="37" t="n"/>
      <c r="C223" s="37" t="inlineStr">
        <is>
          <t>2025-04-11</t>
        </is>
      </c>
      <c r="D223" s="37" t="inlineStr">
        <is>
          <t>Q0806</t>
        </is>
      </c>
      <c r="E223" s="37" t="n"/>
      <c r="F223" s="37" t="inlineStr">
        <is>
          <t>浙江精准学科技有限公司</t>
        </is>
      </c>
      <c r="G223" s="37" t="inlineStr">
        <is>
          <t>记-101</t>
        </is>
      </c>
      <c r="H223" s="37" t="n"/>
      <c r="I223" s="97" t="n"/>
      <c r="J223" s="89" t="n">
        <v>4</v>
      </c>
      <c r="K223" s="42" t="n"/>
      <c r="L223" s="97" t="n"/>
      <c r="M223" s="37" t="n"/>
    </row>
    <row r="224" s="83">
      <c r="A224" s="37" t="inlineStr">
        <is>
          <t>100201</t>
        </is>
      </c>
      <c r="B224" s="37" t="n"/>
      <c r="C224" s="37" t="inlineStr">
        <is>
          <t>2025-04-18</t>
        </is>
      </c>
      <c r="D224" s="37" t="inlineStr">
        <is>
          <t>Q1001</t>
        </is>
      </c>
      <c r="E224" s="37" t="n"/>
      <c r="F224" s="37" t="inlineStr">
        <is>
          <t>浙江精准学科技有限公司</t>
        </is>
      </c>
      <c r="G224" s="37" t="inlineStr">
        <is>
          <t>记-165</t>
        </is>
      </c>
      <c r="H224" s="37" t="n"/>
      <c r="I224" s="97" t="n"/>
      <c r="J224" s="89" t="n">
        <v>4</v>
      </c>
      <c r="K224" s="42" t="n"/>
      <c r="L224" s="97" t="n"/>
      <c r="M224" s="37" t="n"/>
    </row>
    <row r="225" s="83">
      <c r="A225" s="36" t="inlineStr">
        <is>
          <t>100201</t>
        </is>
      </c>
      <c r="B225" s="36" t="n"/>
      <c r="C225" s="36" t="inlineStr">
        <is>
          <t>2025-04-24</t>
        </is>
      </c>
      <c r="D225" s="36" t="inlineStr">
        <is>
          <t>Q1001</t>
        </is>
      </c>
      <c r="E225" s="36" t="n"/>
      <c r="F225" s="36" t="inlineStr">
        <is>
          <t>浙江精准学科技有限公司</t>
        </is>
      </c>
      <c r="G225" s="36" t="inlineStr">
        <is>
          <t>记-198</t>
        </is>
      </c>
      <c r="H225" s="36" t="n"/>
      <c r="I225" s="96" t="n"/>
      <c r="J225" s="89" t="n">
        <v>4</v>
      </c>
      <c r="K225" s="40" t="n"/>
      <c r="L225" s="96" t="n"/>
      <c r="M225" s="36" t="n"/>
    </row>
    <row r="226" s="83">
      <c r="A226" s="37" t="inlineStr">
        <is>
          <t>100201</t>
        </is>
      </c>
      <c r="B226" s="37" t="n"/>
      <c r="C226" s="37" t="inlineStr">
        <is>
          <t>2025-04-24</t>
        </is>
      </c>
      <c r="D226" s="37" t="inlineStr">
        <is>
          <t>Q1001</t>
        </is>
      </c>
      <c r="E226" s="37" t="n"/>
      <c r="F226" s="37" t="inlineStr">
        <is>
          <t>浙江精准学科技有限公司</t>
        </is>
      </c>
      <c r="G226" s="37" t="inlineStr">
        <is>
          <t>记-198</t>
        </is>
      </c>
      <c r="H226" s="37" t="n"/>
      <c r="I226" s="97" t="n"/>
      <c r="J226" s="89" t="n">
        <v>4</v>
      </c>
      <c r="K226" s="42" t="n"/>
      <c r="L226" s="97" t="n"/>
      <c r="M226" s="37" t="n"/>
    </row>
    <row r="227" s="83">
      <c r="A227" s="36" t="inlineStr">
        <is>
          <t>100201</t>
        </is>
      </c>
      <c r="B227" s="36" t="n"/>
      <c r="C227" s="36" t="inlineStr">
        <is>
          <t>2025-04-09</t>
        </is>
      </c>
      <c r="D227" s="36" t="inlineStr">
        <is>
          <t>Q1002</t>
        </is>
      </c>
      <c r="E227" s="36" t="n"/>
      <c r="F227" s="36" t="inlineStr">
        <is>
          <t>浙江精准学科技有限公司</t>
        </is>
      </c>
      <c r="G227" s="36" t="inlineStr">
        <is>
          <t>记-71</t>
        </is>
      </c>
      <c r="H227" s="36" t="n"/>
      <c r="I227" s="96" t="n"/>
      <c r="J227" s="89" t="n">
        <v>4</v>
      </c>
      <c r="K227" s="40" t="n"/>
      <c r="L227" s="96" t="n"/>
      <c r="M227" s="36" t="n"/>
    </row>
    <row r="228" s="83">
      <c r="A228" s="37" t="inlineStr">
        <is>
          <t>100201</t>
        </is>
      </c>
      <c r="B228" s="37" t="n"/>
      <c r="C228" s="37" t="inlineStr">
        <is>
          <t>2025-04-01</t>
        </is>
      </c>
      <c r="D228" s="37" t="inlineStr">
        <is>
          <t>Q1003</t>
        </is>
      </c>
      <c r="E228" s="37" t="n"/>
      <c r="F228" s="37" t="inlineStr">
        <is>
          <t>浙江精准学科技有限公司</t>
        </is>
      </c>
      <c r="G228" s="37" t="inlineStr">
        <is>
          <t>记-5</t>
        </is>
      </c>
      <c r="H228" s="37" t="n"/>
      <c r="I228" s="97" t="n"/>
      <c r="J228" s="89" t="n">
        <v>4</v>
      </c>
      <c r="K228" s="42" t="n"/>
      <c r="L228" s="97" t="n"/>
      <c r="M228" s="37" t="n"/>
    </row>
    <row r="229" s="83">
      <c r="A229" s="36" t="inlineStr">
        <is>
          <t>100201</t>
        </is>
      </c>
      <c r="B229" s="36" t="n"/>
      <c r="C229" s="36" t="inlineStr">
        <is>
          <t>2025-04-09</t>
        </is>
      </c>
      <c r="D229" s="36" t="inlineStr">
        <is>
          <t>Q1003</t>
        </is>
      </c>
      <c r="E229" s="36" t="n"/>
      <c r="F229" s="36" t="inlineStr">
        <is>
          <t>浙江精准学科技有限公司</t>
        </is>
      </c>
      <c r="G229" s="36" t="inlineStr">
        <is>
          <t>记-71</t>
        </is>
      </c>
      <c r="H229" s="36" t="n"/>
      <c r="I229" s="96" t="n"/>
      <c r="J229" s="89" t="n">
        <v>4</v>
      </c>
      <c r="K229" s="40" t="n"/>
      <c r="L229" s="96" t="n"/>
      <c r="M229" s="36" t="n"/>
    </row>
    <row r="230" s="83">
      <c r="A230" s="37" t="inlineStr">
        <is>
          <t>100201</t>
        </is>
      </c>
      <c r="B230" s="37" t="n"/>
      <c r="C230" s="37" t="inlineStr">
        <is>
          <t>2025-04-14</t>
        </is>
      </c>
      <c r="D230" s="37" t="inlineStr">
        <is>
          <t>Q1003</t>
        </is>
      </c>
      <c r="E230" s="37" t="n"/>
      <c r="F230" s="37" t="inlineStr">
        <is>
          <t>浙江精准学科技有限公司</t>
        </is>
      </c>
      <c r="G230" s="37" t="inlineStr">
        <is>
          <t>记-119</t>
        </is>
      </c>
      <c r="H230" s="37" t="n"/>
      <c r="I230" s="97" t="n"/>
      <c r="J230" s="89" t="n">
        <v>4</v>
      </c>
      <c r="K230" s="42" t="n"/>
      <c r="L230" s="97" t="n"/>
      <c r="M230" s="37" t="n"/>
    </row>
    <row r="231" s="83">
      <c r="A231" s="36" t="inlineStr">
        <is>
          <t>100201</t>
        </is>
      </c>
      <c r="B231" s="36" t="n"/>
      <c r="C231" s="36" t="inlineStr">
        <is>
          <t>2025-04-09</t>
        </is>
      </c>
      <c r="D231" s="36" t="inlineStr">
        <is>
          <t>Q1005</t>
        </is>
      </c>
      <c r="E231" s="36" t="n"/>
      <c r="F231" s="36" t="inlineStr">
        <is>
          <t>浙江精准学科技有限公司</t>
        </is>
      </c>
      <c r="G231" s="36" t="inlineStr">
        <is>
          <t>记-71</t>
        </is>
      </c>
      <c r="H231" s="36" t="n"/>
      <c r="I231" s="96" t="n"/>
      <c r="J231" s="89" t="n">
        <v>4</v>
      </c>
      <c r="K231" s="40" t="n"/>
      <c r="L231" s="96" t="n"/>
      <c r="M231" s="36" t="n"/>
    </row>
    <row r="232" s="83">
      <c r="A232" s="36" t="inlineStr">
        <is>
          <t>100201</t>
        </is>
      </c>
      <c r="B232" s="36" t="n"/>
      <c r="C232" s="36" t="inlineStr">
        <is>
          <t>2025-04-02</t>
        </is>
      </c>
      <c r="D232" s="36" t="inlineStr">
        <is>
          <t>Q1006</t>
        </is>
      </c>
      <c r="E232" s="36" t="n"/>
      <c r="F232" s="36" t="inlineStr">
        <is>
          <t>浙江精准学科技有限公司</t>
        </is>
      </c>
      <c r="G232" s="36" t="inlineStr">
        <is>
          <t>记-24</t>
        </is>
      </c>
      <c r="H232" s="36" t="n"/>
      <c r="I232" s="96" t="n"/>
      <c r="J232" s="89" t="n">
        <v>4</v>
      </c>
      <c r="K232" s="40" t="n"/>
      <c r="L232" s="96" t="n"/>
      <c r="M232" s="36" t="n"/>
    </row>
    <row r="233" s="83">
      <c r="A233" s="37" t="inlineStr">
        <is>
          <t>100201</t>
        </is>
      </c>
      <c r="B233" s="37" t="n"/>
      <c r="C233" s="37" t="inlineStr">
        <is>
          <t>2025-04-23</t>
        </is>
      </c>
      <c r="D233" s="37" t="inlineStr">
        <is>
          <t>Q1006</t>
        </is>
      </c>
      <c r="E233" s="37" t="n"/>
      <c r="F233" s="37" t="inlineStr">
        <is>
          <t>浙江精准学科技有限公司</t>
        </is>
      </c>
      <c r="G233" s="37" t="inlineStr">
        <is>
          <t>记-191</t>
        </is>
      </c>
      <c r="H233" s="37" t="n"/>
      <c r="I233" s="97" t="n"/>
      <c r="J233" s="89" t="n">
        <v>4</v>
      </c>
      <c r="K233" s="42" t="n"/>
      <c r="L233" s="97" t="n"/>
      <c r="M233" s="37" t="n"/>
    </row>
    <row r="234" s="83">
      <c r="A234" s="36" t="inlineStr">
        <is>
          <t>100201</t>
        </is>
      </c>
      <c r="B234" s="36" t="n"/>
      <c r="C234" s="36" t="inlineStr">
        <is>
          <t>2025-04-18</t>
        </is>
      </c>
      <c r="D234" s="36" t="inlineStr">
        <is>
          <t>Q1101</t>
        </is>
      </c>
      <c r="E234" s="36" t="n"/>
      <c r="F234" s="36" t="inlineStr">
        <is>
          <t>浙江精准学科技有限公司</t>
        </is>
      </c>
      <c r="G234" s="36" t="inlineStr">
        <is>
          <t>记-157</t>
        </is>
      </c>
      <c r="H234" s="36" t="n"/>
      <c r="I234" s="96" t="n"/>
      <c r="J234" s="89" t="n">
        <v>4</v>
      </c>
      <c r="K234" s="40" t="n"/>
      <c r="L234" s="96" t="n"/>
      <c r="M234" s="36" t="n"/>
    </row>
    <row r="235" s="83">
      <c r="A235" s="37" t="inlineStr">
        <is>
          <t>100201</t>
        </is>
      </c>
      <c r="B235" s="37" t="n"/>
      <c r="C235" s="37" t="inlineStr">
        <is>
          <t>2025-04-03</t>
        </is>
      </c>
      <c r="D235" s="37" t="inlineStr">
        <is>
          <t>Q1505</t>
        </is>
      </c>
      <c r="E235" s="37" t="n"/>
      <c r="F235" s="37" t="inlineStr">
        <is>
          <t>浙江精准学科技有限公司</t>
        </is>
      </c>
      <c r="G235" s="37" t="inlineStr">
        <is>
          <t>记-30</t>
        </is>
      </c>
      <c r="H235" s="37" t="n"/>
      <c r="I235" s="97" t="n"/>
      <c r="J235" s="89" t="n">
        <v>4</v>
      </c>
      <c r="K235" s="42" t="n"/>
      <c r="L235" s="97" t="n"/>
      <c r="M235" s="37" t="n"/>
    </row>
    <row r="236" s="83">
      <c r="A236" s="36" t="inlineStr">
        <is>
          <t>100201</t>
        </is>
      </c>
      <c r="B236" s="36" t="n"/>
      <c r="C236" s="36" t="inlineStr">
        <is>
          <t>2025-04-30</t>
        </is>
      </c>
      <c r="D236" s="36" t="inlineStr">
        <is>
          <t>Q2807</t>
        </is>
      </c>
      <c r="E236" s="36" t="n"/>
      <c r="F236" s="36" t="inlineStr">
        <is>
          <t>浙江精准学科技有限公司</t>
        </is>
      </c>
      <c r="G236" s="36" t="inlineStr">
        <is>
          <t>记-260</t>
        </is>
      </c>
      <c r="H236" s="36" t="n"/>
      <c r="I236" s="96" t="n"/>
      <c r="J236" s="89" t="n">
        <v>4</v>
      </c>
      <c r="K236" s="40" t="n"/>
      <c r="L236" s="96" t="n"/>
      <c r="M236" s="36" t="n"/>
    </row>
    <row r="237" s="83">
      <c r="A237" s="36" t="inlineStr">
        <is>
          <t>100201</t>
        </is>
      </c>
      <c r="B237" s="36" t="n"/>
      <c r="C237" s="36" t="inlineStr">
        <is>
          <t>2025-04-24</t>
        </is>
      </c>
      <c r="D237" s="36" t="inlineStr">
        <is>
          <t>Q1501</t>
        </is>
      </c>
      <c r="E237" s="36" t="n"/>
      <c r="F237" s="36" t="inlineStr">
        <is>
          <t>浙江精准学科技有限公司</t>
        </is>
      </c>
      <c r="G237" s="36" t="inlineStr">
        <is>
          <t>记-197</t>
        </is>
      </c>
      <c r="H237" s="36" t="n"/>
      <c r="I237" s="96" t="n"/>
      <c r="J237" s="89" t="n">
        <v>4</v>
      </c>
      <c r="K237" s="40" t="n"/>
      <c r="L237" s="96" t="n"/>
      <c r="M237" s="36" t="n"/>
    </row>
    <row r="238" s="83">
      <c r="A238" s="37" t="inlineStr">
        <is>
          <t>100201</t>
        </is>
      </c>
      <c r="B238" s="37" t="n"/>
      <c r="C238" s="37" t="inlineStr">
        <is>
          <t>2025-04-01</t>
        </is>
      </c>
      <c r="D238" s="37" t="inlineStr">
        <is>
          <t>Q1505</t>
        </is>
      </c>
      <c r="E238" s="37" t="n"/>
      <c r="F238" s="37" t="inlineStr">
        <is>
          <t>浙江精准学科技有限公司</t>
        </is>
      </c>
      <c r="G238" s="37" t="inlineStr">
        <is>
          <t>记-9</t>
        </is>
      </c>
      <c r="H238" s="37" t="n"/>
      <c r="I238" s="97" t="n"/>
      <c r="J238" s="89" t="n">
        <v>4</v>
      </c>
      <c r="K238" s="42" t="n"/>
      <c r="L238" s="97" t="n"/>
      <c r="M238" s="37" t="n"/>
    </row>
    <row r="239" s="83">
      <c r="A239" s="36" t="inlineStr">
        <is>
          <t>100201</t>
        </is>
      </c>
      <c r="B239" s="36" t="n"/>
      <c r="C239" s="36" t="inlineStr">
        <is>
          <t>2025-04-08</t>
        </is>
      </c>
      <c r="D239" s="36" t="inlineStr">
        <is>
          <t>Q1505</t>
        </is>
      </c>
      <c r="E239" s="36" t="n"/>
      <c r="F239" s="36" t="inlineStr">
        <is>
          <t>浙江精准学科技有限公司</t>
        </is>
      </c>
      <c r="G239" s="36" t="inlineStr">
        <is>
          <t>记-58</t>
        </is>
      </c>
      <c r="H239" s="36" t="n"/>
      <c r="I239" s="96" t="n"/>
      <c r="J239" s="89" t="n">
        <v>4</v>
      </c>
      <c r="K239" s="40" t="n"/>
      <c r="L239" s="96" t="n"/>
      <c r="M239" s="36" t="n"/>
    </row>
    <row r="240" s="83">
      <c r="A240" s="37" t="inlineStr">
        <is>
          <t>100201</t>
        </is>
      </c>
      <c r="B240" s="37" t="n"/>
      <c r="C240" s="37" t="inlineStr">
        <is>
          <t>2025-04-09</t>
        </is>
      </c>
      <c r="D240" s="37" t="inlineStr">
        <is>
          <t>Q1505</t>
        </is>
      </c>
      <c r="E240" s="37" t="n"/>
      <c r="F240" s="37" t="inlineStr">
        <is>
          <t>浙江精准学科技有限公司</t>
        </is>
      </c>
      <c r="G240" s="37" t="inlineStr">
        <is>
          <t>记-72</t>
        </is>
      </c>
      <c r="H240" s="37" t="n"/>
      <c r="I240" s="97" t="n"/>
      <c r="J240" s="89" t="n">
        <v>4</v>
      </c>
      <c r="K240" s="42" t="n"/>
      <c r="L240" s="97" t="n"/>
      <c r="M240" s="37" t="n"/>
    </row>
    <row r="241" s="83">
      <c r="A241" s="36" t="inlineStr">
        <is>
          <t>100201</t>
        </is>
      </c>
      <c r="B241" s="36" t="n"/>
      <c r="C241" s="36" t="inlineStr">
        <is>
          <t>2025-04-17</t>
        </is>
      </c>
      <c r="D241" s="36" t="inlineStr">
        <is>
          <t>Q1505</t>
        </is>
      </c>
      <c r="E241" s="36" t="n"/>
      <c r="F241" s="36" t="inlineStr">
        <is>
          <t>浙江精准学科技有限公司</t>
        </is>
      </c>
      <c r="G241" s="36" t="inlineStr">
        <is>
          <t>记-145</t>
        </is>
      </c>
      <c r="H241" s="36" t="n"/>
      <c r="I241" s="96" t="n"/>
      <c r="J241" s="89" t="n">
        <v>4</v>
      </c>
      <c r="K241" s="40" t="n"/>
      <c r="L241" s="96" t="n"/>
      <c r="M241" s="36" t="n"/>
    </row>
    <row r="242" s="83">
      <c r="A242" s="36" t="inlineStr">
        <is>
          <t>100201</t>
        </is>
      </c>
      <c r="B242" s="36" t="n"/>
      <c r="C242" s="36" t="inlineStr">
        <is>
          <t>2025-04-02</t>
        </is>
      </c>
      <c r="D242" s="36" t="inlineStr">
        <is>
          <t>Q1701</t>
        </is>
      </c>
      <c r="E242" s="36" t="n"/>
      <c r="F242" s="36" t="inlineStr">
        <is>
          <t>浙江精准学科技有限公司</t>
        </is>
      </c>
      <c r="G242" s="36" t="inlineStr">
        <is>
          <t>记-18</t>
        </is>
      </c>
      <c r="H242" s="36" t="n"/>
      <c r="I242" s="96" t="n"/>
      <c r="J242" s="89" t="n">
        <v>4</v>
      </c>
      <c r="K242" s="40" t="n"/>
      <c r="L242" s="96" t="n"/>
      <c r="M242" s="36" t="n"/>
    </row>
    <row r="243" s="83">
      <c r="A243" s="37" t="inlineStr">
        <is>
          <t>100201</t>
        </is>
      </c>
      <c r="B243" s="37" t="n"/>
      <c r="C243" s="37" t="inlineStr">
        <is>
          <t>2025-04-08</t>
        </is>
      </c>
      <c r="D243" s="37" t="inlineStr">
        <is>
          <t>Q1701</t>
        </is>
      </c>
      <c r="E243" s="37" t="n"/>
      <c r="F243" s="37" t="inlineStr">
        <is>
          <t>浙江精准学科技有限公司</t>
        </is>
      </c>
      <c r="G243" s="37" t="inlineStr">
        <is>
          <t>记-59</t>
        </is>
      </c>
      <c r="H243" s="37" t="n"/>
      <c r="I243" s="97" t="n"/>
      <c r="J243" s="89" t="n">
        <v>4</v>
      </c>
      <c r="K243" s="42" t="n"/>
      <c r="L243" s="97" t="n"/>
      <c r="M243" s="37" t="n"/>
    </row>
    <row r="244" s="83">
      <c r="A244" s="36" t="inlineStr">
        <is>
          <t>100201</t>
        </is>
      </c>
      <c r="B244" s="36" t="n"/>
      <c r="C244" s="36" t="inlineStr">
        <is>
          <t>2025-04-08</t>
        </is>
      </c>
      <c r="D244" s="36" t="inlineStr">
        <is>
          <t>Q1701</t>
        </is>
      </c>
      <c r="E244" s="36" t="n"/>
      <c r="F244" s="36" t="inlineStr">
        <is>
          <t>浙江精准学科技有限公司</t>
        </is>
      </c>
      <c r="G244" s="36" t="inlineStr">
        <is>
          <t>记-61</t>
        </is>
      </c>
      <c r="H244" s="36" t="n"/>
      <c r="I244" s="96" t="n"/>
      <c r="J244" s="89" t="n">
        <v>4</v>
      </c>
      <c r="K244" s="40" t="n"/>
      <c r="L244" s="96" t="n"/>
      <c r="M244" s="36" t="n"/>
    </row>
    <row r="245" s="83">
      <c r="A245" s="37" t="inlineStr">
        <is>
          <t>100201</t>
        </is>
      </c>
      <c r="B245" s="37" t="n"/>
      <c r="C245" s="37" t="inlineStr">
        <is>
          <t>2025-04-08</t>
        </is>
      </c>
      <c r="D245" s="37" t="inlineStr">
        <is>
          <t>Q1701</t>
        </is>
      </c>
      <c r="E245" s="37" t="n"/>
      <c r="F245" s="37" t="inlineStr">
        <is>
          <t>浙江精准学科技有限公司</t>
        </is>
      </c>
      <c r="G245" s="37" t="inlineStr">
        <is>
          <t>记-62</t>
        </is>
      </c>
      <c r="H245" s="37" t="n"/>
      <c r="I245" s="97" t="n"/>
      <c r="J245" s="89" t="n">
        <v>4</v>
      </c>
      <c r="K245" s="42" t="n"/>
      <c r="L245" s="97" t="n"/>
      <c r="M245" s="37" t="n"/>
    </row>
    <row r="246" s="83">
      <c r="A246" s="36" t="inlineStr">
        <is>
          <t>100201</t>
        </is>
      </c>
      <c r="B246" s="36" t="n"/>
      <c r="C246" s="36" t="inlineStr">
        <is>
          <t>2025-04-10</t>
        </is>
      </c>
      <c r="D246" s="36" t="inlineStr">
        <is>
          <t>Q1701</t>
        </is>
      </c>
      <c r="E246" s="36" t="n"/>
      <c r="F246" s="36" t="inlineStr">
        <is>
          <t>浙江精准学科技有限公司</t>
        </is>
      </c>
      <c r="G246" s="36" t="inlineStr">
        <is>
          <t>记-83</t>
        </is>
      </c>
      <c r="H246" s="36" t="n"/>
      <c r="I246" s="96" t="n"/>
      <c r="J246" s="89" t="n">
        <v>4</v>
      </c>
      <c r="K246" s="40" t="n"/>
      <c r="L246" s="96" t="n"/>
      <c r="M246" s="36" t="n"/>
    </row>
    <row r="247" s="83">
      <c r="A247" s="37" t="inlineStr">
        <is>
          <t>100201</t>
        </is>
      </c>
      <c r="B247" s="37" t="n"/>
      <c r="C247" s="37" t="inlineStr">
        <is>
          <t>2025-04-15</t>
        </is>
      </c>
      <c r="D247" s="37" t="inlineStr">
        <is>
          <t>Q1701</t>
        </is>
      </c>
      <c r="E247" s="37" t="n"/>
      <c r="F247" s="37" t="inlineStr">
        <is>
          <t>浙江精准学科技有限公司</t>
        </is>
      </c>
      <c r="G247" s="37" t="inlineStr">
        <is>
          <t>记-126</t>
        </is>
      </c>
      <c r="H247" s="37" t="n"/>
      <c r="I247" s="97" t="n"/>
      <c r="J247" s="89" t="n">
        <v>4</v>
      </c>
      <c r="K247" s="42" t="n"/>
      <c r="L247" s="97" t="n"/>
      <c r="M247" s="37" t="n"/>
    </row>
    <row r="248" s="83">
      <c r="A248" s="36" t="inlineStr">
        <is>
          <t>100201</t>
        </is>
      </c>
      <c r="B248" s="36" t="n"/>
      <c r="C248" s="36" t="inlineStr">
        <is>
          <t>2025-04-30</t>
        </is>
      </c>
      <c r="D248" s="36" t="inlineStr">
        <is>
          <t>Q1701</t>
        </is>
      </c>
      <c r="E248" s="36" t="n"/>
      <c r="F248" s="36" t="inlineStr">
        <is>
          <t>浙江精准学科技有限公司</t>
        </is>
      </c>
      <c r="G248" s="36" t="inlineStr">
        <is>
          <t>记-252</t>
        </is>
      </c>
      <c r="H248" s="36" t="n"/>
      <c r="I248" s="96" t="n"/>
      <c r="J248" s="89" t="n">
        <v>4</v>
      </c>
      <c r="K248" s="40" t="n"/>
      <c r="L248" s="96" t="n"/>
      <c r="M248" s="36" t="n"/>
    </row>
    <row r="249" s="83">
      <c r="A249" s="37" t="inlineStr">
        <is>
          <t>100201</t>
        </is>
      </c>
      <c r="B249" s="37" t="n"/>
      <c r="C249" s="37" t="inlineStr">
        <is>
          <t>2025-04-10</t>
        </is>
      </c>
      <c r="D249" s="37" t="inlineStr">
        <is>
          <t>Q1805</t>
        </is>
      </c>
      <c r="E249" s="37" t="n"/>
      <c r="F249" s="37" t="inlineStr">
        <is>
          <t>浙江精准学科技有限公司</t>
        </is>
      </c>
      <c r="G249" s="37" t="inlineStr">
        <is>
          <t>记-79</t>
        </is>
      </c>
      <c r="H249" s="37" t="n"/>
      <c r="I249" s="97" t="n"/>
      <c r="J249" s="89" t="n">
        <v>4</v>
      </c>
      <c r="K249" s="42" t="n"/>
      <c r="L249" s="97" t="n"/>
      <c r="M249" s="37" t="n"/>
    </row>
    <row r="250" s="83">
      <c r="A250" s="37" t="inlineStr">
        <is>
          <t>100201</t>
        </is>
      </c>
      <c r="B250" s="37" t="n"/>
      <c r="C250" s="37" t="inlineStr">
        <is>
          <t>2025-04-16</t>
        </is>
      </c>
      <c r="D250" s="37" t="inlineStr">
        <is>
          <t>Q1905</t>
        </is>
      </c>
      <c r="E250" s="37" t="n"/>
      <c r="F250" s="37" t="inlineStr">
        <is>
          <t>浙江精准学科技有限公司</t>
        </is>
      </c>
      <c r="G250" s="37" t="inlineStr">
        <is>
          <t>记-136</t>
        </is>
      </c>
      <c r="H250" s="37" t="n"/>
      <c r="I250" s="97" t="n"/>
      <c r="J250" s="89" t="n">
        <v>4</v>
      </c>
      <c r="K250" s="42" t="n"/>
      <c r="L250" s="97" t="n"/>
      <c r="M250" s="37" t="n"/>
    </row>
    <row r="251" s="83">
      <c r="A251" s="36" t="inlineStr">
        <is>
          <t>100201</t>
        </is>
      </c>
      <c r="B251" s="36" t="n"/>
      <c r="C251" s="36" t="inlineStr">
        <is>
          <t>2025-04-17</t>
        </is>
      </c>
      <c r="D251" s="36" t="inlineStr">
        <is>
          <t>Q1903</t>
        </is>
      </c>
      <c r="E251" s="36" t="n"/>
      <c r="F251" s="36" t="inlineStr">
        <is>
          <t>浙江精准学科技有限公司</t>
        </is>
      </c>
      <c r="G251" s="36" t="inlineStr">
        <is>
          <t>记-146</t>
        </is>
      </c>
      <c r="H251" s="36" t="n"/>
      <c r="I251" s="96" t="n"/>
      <c r="J251" s="89" t="n">
        <v>4</v>
      </c>
      <c r="K251" s="40" t="n"/>
      <c r="L251" s="96" t="n"/>
      <c r="M251" s="36" t="n"/>
    </row>
    <row r="252" s="83">
      <c r="A252" s="37" t="inlineStr">
        <is>
          <t>100201</t>
        </is>
      </c>
      <c r="B252" s="37" t="n"/>
      <c r="C252" s="37" t="inlineStr">
        <is>
          <t>2025-04-17</t>
        </is>
      </c>
      <c r="D252" s="37" t="inlineStr">
        <is>
          <t>Q1903</t>
        </is>
      </c>
      <c r="E252" s="37" t="n"/>
      <c r="F252" s="37" t="inlineStr">
        <is>
          <t>浙江精准学科技有限公司</t>
        </is>
      </c>
      <c r="G252" s="37" t="inlineStr">
        <is>
          <t>记-146</t>
        </is>
      </c>
      <c r="H252" s="37" t="n"/>
      <c r="I252" s="89" t="n">
        <v>4</v>
      </c>
      <c r="J252" s="97" t="n"/>
      <c r="K252" s="42" t="n"/>
      <c r="L252" s="97" t="n"/>
      <c r="M252" s="37" t="n"/>
    </row>
    <row r="253" s="83">
      <c r="A253" s="36" t="inlineStr">
        <is>
          <t>100201</t>
        </is>
      </c>
      <c r="B253" s="36" t="n"/>
      <c r="C253" s="36" t="inlineStr">
        <is>
          <t>2025-04-17</t>
        </is>
      </c>
      <c r="D253" s="36" t="inlineStr">
        <is>
          <t>Q1903</t>
        </is>
      </c>
      <c r="E253" s="36" t="n"/>
      <c r="F253" s="36" t="inlineStr">
        <is>
          <t>浙江精准学科技有限公司</t>
        </is>
      </c>
      <c r="G253" s="36" t="inlineStr">
        <is>
          <t>记-146</t>
        </is>
      </c>
      <c r="H253" s="36" t="n"/>
      <c r="I253" s="96" t="n"/>
      <c r="J253" s="89" t="n">
        <v>4</v>
      </c>
      <c r="K253" s="40" t="n"/>
      <c r="L253" s="96" t="n"/>
      <c r="M253" s="36" t="n"/>
    </row>
    <row r="254" s="83">
      <c r="A254" s="37" t="inlineStr">
        <is>
          <t>100201</t>
        </is>
      </c>
      <c r="B254" s="37" t="n"/>
      <c r="C254" s="37" t="inlineStr">
        <is>
          <t>2025-04-01</t>
        </is>
      </c>
      <c r="D254" s="37" t="inlineStr">
        <is>
          <t>Q2002</t>
        </is>
      </c>
      <c r="E254" s="37" t="n"/>
      <c r="F254" s="37" t="inlineStr">
        <is>
          <t>浙江精准学科技有限公司</t>
        </is>
      </c>
      <c r="G254" s="37" t="inlineStr">
        <is>
          <t>记-8</t>
        </is>
      </c>
      <c r="H254" s="37" t="n"/>
      <c r="I254" s="97" t="n"/>
      <c r="J254" s="89" t="n">
        <v>4</v>
      </c>
      <c r="K254" s="42" t="n"/>
      <c r="L254" s="97" t="n"/>
      <c r="M254" s="37" t="n"/>
    </row>
    <row r="255" s="83">
      <c r="A255" s="36" t="inlineStr">
        <is>
          <t>100201</t>
        </is>
      </c>
      <c r="B255" s="36" t="n"/>
      <c r="C255" s="36" t="inlineStr">
        <is>
          <t>2025-04-02</t>
        </is>
      </c>
      <c r="D255" s="36" t="inlineStr">
        <is>
          <t>Q2002</t>
        </is>
      </c>
      <c r="E255" s="36" t="n"/>
      <c r="F255" s="36" t="inlineStr">
        <is>
          <t>浙江精准学科技有限公司</t>
        </is>
      </c>
      <c r="G255" s="36" t="inlineStr">
        <is>
          <t>记-20</t>
        </is>
      </c>
      <c r="H255" s="36" t="n"/>
      <c r="I255" s="96" t="n"/>
      <c r="J255" s="89" t="n">
        <v>4</v>
      </c>
      <c r="K255" s="40" t="n"/>
      <c r="L255" s="96" t="n"/>
      <c r="M255" s="36" t="n"/>
    </row>
    <row r="256" s="83">
      <c r="A256" s="37" t="inlineStr">
        <is>
          <t>100201</t>
        </is>
      </c>
      <c r="B256" s="37" t="n"/>
      <c r="C256" s="37" t="inlineStr">
        <is>
          <t>2025-04-02</t>
        </is>
      </c>
      <c r="D256" s="37" t="inlineStr">
        <is>
          <t>Q2002</t>
        </is>
      </c>
      <c r="E256" s="37" t="n"/>
      <c r="F256" s="37" t="inlineStr">
        <is>
          <t>浙江精准学科技有限公司</t>
        </is>
      </c>
      <c r="G256" s="37" t="inlineStr">
        <is>
          <t>记-21</t>
        </is>
      </c>
      <c r="H256" s="37" t="n"/>
      <c r="I256" s="97" t="n"/>
      <c r="J256" s="89" t="n">
        <v>4</v>
      </c>
      <c r="K256" s="42" t="n"/>
      <c r="L256" s="97" t="n"/>
      <c r="M256" s="37" t="n"/>
    </row>
    <row r="257" s="83">
      <c r="A257" s="36" t="inlineStr">
        <is>
          <t>100201</t>
        </is>
      </c>
      <c r="B257" s="36" t="n"/>
      <c r="C257" s="36" t="inlineStr">
        <is>
          <t>2025-04-03</t>
        </is>
      </c>
      <c r="D257" s="36" t="inlineStr">
        <is>
          <t>Q2002</t>
        </is>
      </c>
      <c r="E257" s="36" t="n"/>
      <c r="F257" s="36" t="inlineStr">
        <is>
          <t>浙江精准学科技有限公司</t>
        </is>
      </c>
      <c r="G257" s="36" t="inlineStr">
        <is>
          <t>记-31</t>
        </is>
      </c>
      <c r="H257" s="36" t="n"/>
      <c r="I257" s="96" t="n"/>
      <c r="J257" s="89" t="n">
        <v>4</v>
      </c>
      <c r="K257" s="40" t="n"/>
      <c r="L257" s="96" t="n"/>
      <c r="M257" s="36" t="n"/>
    </row>
    <row r="258" s="83">
      <c r="A258" s="37" t="inlineStr">
        <is>
          <t>100201</t>
        </is>
      </c>
      <c r="B258" s="37" t="n"/>
      <c r="C258" s="37" t="inlineStr">
        <is>
          <t>2025-04-03</t>
        </is>
      </c>
      <c r="D258" s="37" t="inlineStr">
        <is>
          <t>Q2002</t>
        </is>
      </c>
      <c r="E258" s="37" t="n"/>
      <c r="F258" s="37" t="inlineStr">
        <is>
          <t>浙江精准学科技有限公司</t>
        </is>
      </c>
      <c r="G258" s="37" t="inlineStr">
        <is>
          <t>记-32</t>
        </is>
      </c>
      <c r="H258" s="37" t="n"/>
      <c r="I258" s="97" t="n"/>
      <c r="J258" s="89" t="n">
        <v>4</v>
      </c>
      <c r="K258" s="42" t="n"/>
      <c r="L258" s="97" t="n"/>
      <c r="M258" s="37" t="n"/>
    </row>
    <row r="259" s="83">
      <c r="A259" s="36" t="inlineStr">
        <is>
          <t>100201</t>
        </is>
      </c>
      <c r="B259" s="36" t="n"/>
      <c r="C259" s="36" t="inlineStr">
        <is>
          <t>2025-04-03</t>
        </is>
      </c>
      <c r="D259" s="36" t="inlineStr">
        <is>
          <t>Q2002</t>
        </is>
      </c>
      <c r="E259" s="36" t="n"/>
      <c r="F259" s="36" t="inlineStr">
        <is>
          <t>浙江精准学科技有限公司</t>
        </is>
      </c>
      <c r="G259" s="36" t="inlineStr">
        <is>
          <t>记-34</t>
        </is>
      </c>
      <c r="H259" s="36" t="n"/>
      <c r="I259" s="96" t="n"/>
      <c r="J259" s="89" t="n">
        <v>4</v>
      </c>
      <c r="K259" s="40" t="n"/>
      <c r="L259" s="96" t="n"/>
      <c r="M259" s="36" t="n"/>
    </row>
    <row r="260" s="83">
      <c r="A260" s="37" t="inlineStr">
        <is>
          <t>100201</t>
        </is>
      </c>
      <c r="B260" s="37" t="n"/>
      <c r="C260" s="37" t="inlineStr">
        <is>
          <t>2025-04-08</t>
        </is>
      </c>
      <c r="D260" s="37" t="inlineStr">
        <is>
          <t>Q2002</t>
        </is>
      </c>
      <c r="E260" s="37" t="n"/>
      <c r="F260" s="37" t="inlineStr">
        <is>
          <t>浙江精准学科技有限公司</t>
        </is>
      </c>
      <c r="G260" s="37" t="inlineStr">
        <is>
          <t>记-56</t>
        </is>
      </c>
      <c r="H260" s="37" t="n"/>
      <c r="I260" s="97" t="n"/>
      <c r="J260" s="89" t="n">
        <v>4</v>
      </c>
      <c r="K260" s="42" t="n"/>
      <c r="L260" s="97" t="n"/>
      <c r="M260" s="37" t="n"/>
    </row>
    <row r="261" s="83">
      <c r="A261" s="36" t="inlineStr">
        <is>
          <t>100201</t>
        </is>
      </c>
      <c r="B261" s="36" t="n"/>
      <c r="C261" s="36" t="inlineStr">
        <is>
          <t>2025-04-08</t>
        </is>
      </c>
      <c r="D261" s="36" t="inlineStr">
        <is>
          <t>Q2002</t>
        </is>
      </c>
      <c r="E261" s="36" t="n"/>
      <c r="F261" s="36" t="inlineStr">
        <is>
          <t>浙江精准学科技有限公司</t>
        </is>
      </c>
      <c r="G261" s="36" t="inlineStr">
        <is>
          <t>记-57</t>
        </is>
      </c>
      <c r="H261" s="36" t="n"/>
      <c r="I261" s="96" t="n"/>
      <c r="J261" s="89" t="n">
        <v>4</v>
      </c>
      <c r="K261" s="40" t="n"/>
      <c r="L261" s="96" t="n"/>
      <c r="M261" s="36" t="n"/>
    </row>
    <row r="262" s="83">
      <c r="A262" s="37" t="inlineStr">
        <is>
          <t>100201</t>
        </is>
      </c>
      <c r="B262" s="37" t="n"/>
      <c r="C262" s="37" t="inlineStr">
        <is>
          <t>2025-04-09</t>
        </is>
      </c>
      <c r="D262" s="37" t="inlineStr">
        <is>
          <t>Q2002</t>
        </is>
      </c>
      <c r="E262" s="37" t="n"/>
      <c r="F262" s="37" t="inlineStr">
        <is>
          <t>浙江精准学科技有限公司</t>
        </is>
      </c>
      <c r="G262" s="37" t="inlineStr">
        <is>
          <t>记-70</t>
        </is>
      </c>
      <c r="H262" s="37" t="n"/>
      <c r="I262" s="97" t="n"/>
      <c r="J262" s="89" t="n">
        <v>4</v>
      </c>
      <c r="K262" s="42" t="n"/>
      <c r="L262" s="97" t="n"/>
      <c r="M262" s="37" t="n"/>
    </row>
    <row r="263" s="83">
      <c r="A263" s="36" t="inlineStr">
        <is>
          <t>100201</t>
        </is>
      </c>
      <c r="B263" s="36" t="n"/>
      <c r="C263" s="36" t="inlineStr">
        <is>
          <t>2025-04-10</t>
        </is>
      </c>
      <c r="D263" s="36" t="inlineStr">
        <is>
          <t>Q2002</t>
        </is>
      </c>
      <c r="E263" s="36" t="n"/>
      <c r="F263" s="36" t="inlineStr">
        <is>
          <t>浙江精准学科技有限公司</t>
        </is>
      </c>
      <c r="G263" s="36" t="inlineStr">
        <is>
          <t>记-80</t>
        </is>
      </c>
      <c r="H263" s="36" t="n"/>
      <c r="I263" s="96" t="n"/>
      <c r="J263" s="89" t="n">
        <v>4</v>
      </c>
      <c r="K263" s="40" t="n"/>
      <c r="L263" s="96" t="n"/>
      <c r="M263" s="36" t="n"/>
    </row>
    <row r="264" s="83">
      <c r="A264" s="37" t="inlineStr">
        <is>
          <t>100201</t>
        </is>
      </c>
      <c r="B264" s="37" t="n"/>
      <c r="C264" s="37" t="inlineStr">
        <is>
          <t>2025-04-11</t>
        </is>
      </c>
      <c r="D264" s="37" t="inlineStr">
        <is>
          <t>Q2002</t>
        </is>
      </c>
      <c r="E264" s="37" t="n"/>
      <c r="F264" s="37" t="inlineStr">
        <is>
          <t>浙江精准学科技有限公司</t>
        </is>
      </c>
      <c r="G264" s="37" t="inlineStr">
        <is>
          <t>记-94</t>
        </is>
      </c>
      <c r="H264" s="37" t="n"/>
      <c r="I264" s="97" t="n"/>
      <c r="J264" s="89" t="n">
        <v>4</v>
      </c>
      <c r="K264" s="42" t="n"/>
      <c r="L264" s="97" t="n"/>
      <c r="M264" s="37" t="n"/>
    </row>
    <row r="265" s="83">
      <c r="A265" s="36" t="inlineStr">
        <is>
          <t>100201</t>
        </is>
      </c>
      <c r="B265" s="36" t="n"/>
      <c r="C265" s="36" t="inlineStr">
        <is>
          <t>2025-04-11</t>
        </is>
      </c>
      <c r="D265" s="36" t="inlineStr">
        <is>
          <t>Q2002</t>
        </is>
      </c>
      <c r="E265" s="36" t="n"/>
      <c r="F265" s="36" t="inlineStr">
        <is>
          <t>浙江精准学科技有限公司</t>
        </is>
      </c>
      <c r="G265" s="36" t="inlineStr">
        <is>
          <t>记-95</t>
        </is>
      </c>
      <c r="H265" s="36" t="n"/>
      <c r="I265" s="96" t="n"/>
      <c r="J265" s="89" t="n">
        <v>4</v>
      </c>
      <c r="K265" s="40" t="n"/>
      <c r="L265" s="96" t="n"/>
      <c r="M265" s="36" t="n"/>
    </row>
    <row r="266" s="83">
      <c r="A266" s="37" t="inlineStr">
        <is>
          <t>100201</t>
        </is>
      </c>
      <c r="B266" s="37" t="n"/>
      <c r="C266" s="37" t="inlineStr">
        <is>
          <t>2025-04-11</t>
        </is>
      </c>
      <c r="D266" s="37" t="inlineStr">
        <is>
          <t>Q2002</t>
        </is>
      </c>
      <c r="E266" s="37" t="n"/>
      <c r="F266" s="37" t="inlineStr">
        <is>
          <t>浙江精准学科技有限公司</t>
        </is>
      </c>
      <c r="G266" s="37" t="inlineStr">
        <is>
          <t>记-96</t>
        </is>
      </c>
      <c r="H266" s="37" t="n"/>
      <c r="I266" s="97" t="n"/>
      <c r="J266" s="89" t="n">
        <v>4</v>
      </c>
      <c r="K266" s="42" t="n"/>
      <c r="L266" s="97" t="n"/>
      <c r="M266" s="37" t="n"/>
    </row>
    <row r="267" s="83">
      <c r="A267" s="36" t="inlineStr">
        <is>
          <t>100201</t>
        </is>
      </c>
      <c r="B267" s="36" t="n"/>
      <c r="C267" s="36" t="inlineStr">
        <is>
          <t>2025-04-11</t>
        </is>
      </c>
      <c r="D267" s="36" t="inlineStr">
        <is>
          <t>Q2002</t>
        </is>
      </c>
      <c r="E267" s="36" t="n"/>
      <c r="F267" s="36" t="inlineStr">
        <is>
          <t>浙江精准学科技有限公司</t>
        </is>
      </c>
      <c r="G267" s="36" t="inlineStr">
        <is>
          <t>记-97</t>
        </is>
      </c>
      <c r="H267" s="36" t="n"/>
      <c r="I267" s="96" t="n"/>
      <c r="J267" s="89" t="n">
        <v>4</v>
      </c>
      <c r="K267" s="40" t="n"/>
      <c r="L267" s="96" t="n"/>
      <c r="M267" s="36" t="n"/>
    </row>
    <row r="268" s="83">
      <c r="A268" s="37" t="inlineStr">
        <is>
          <t>100201</t>
        </is>
      </c>
      <c r="B268" s="37" t="n"/>
      <c r="C268" s="37" t="inlineStr">
        <is>
          <t>2025-04-11</t>
        </is>
      </c>
      <c r="D268" s="37" t="inlineStr">
        <is>
          <t>Q2002</t>
        </is>
      </c>
      <c r="E268" s="37" t="n"/>
      <c r="F268" s="37" t="inlineStr">
        <is>
          <t>浙江精准学科技有限公司</t>
        </is>
      </c>
      <c r="G268" s="37" t="inlineStr">
        <is>
          <t>记-98</t>
        </is>
      </c>
      <c r="H268" s="37" t="n"/>
      <c r="I268" s="97" t="n"/>
      <c r="J268" s="89" t="n">
        <v>4</v>
      </c>
      <c r="K268" s="42" t="n"/>
      <c r="L268" s="97" t="n"/>
      <c r="M268" s="37" t="n"/>
    </row>
    <row r="269" s="83">
      <c r="A269" s="36" t="inlineStr">
        <is>
          <t>100201</t>
        </is>
      </c>
      <c r="B269" s="36" t="n"/>
      <c r="C269" s="36" t="inlineStr">
        <is>
          <t>2025-04-15</t>
        </is>
      </c>
      <c r="D269" s="36" t="inlineStr">
        <is>
          <t>Q2002</t>
        </is>
      </c>
      <c r="E269" s="36" t="n"/>
      <c r="F269" s="36" t="inlineStr">
        <is>
          <t>浙江精准学科技有限公司</t>
        </is>
      </c>
      <c r="G269" s="36" t="inlineStr">
        <is>
          <t>记-123</t>
        </is>
      </c>
      <c r="H269" s="36" t="n"/>
      <c r="I269" s="96" t="n"/>
      <c r="J269" s="89" t="n">
        <v>4</v>
      </c>
      <c r="K269" s="40" t="n"/>
      <c r="L269" s="96" t="n"/>
      <c r="M269" s="36" t="n"/>
    </row>
    <row r="270" s="83">
      <c r="A270" s="37" t="inlineStr">
        <is>
          <t>100201</t>
        </is>
      </c>
      <c r="B270" s="37" t="n"/>
      <c r="C270" s="37" t="inlineStr">
        <is>
          <t>2025-04-15</t>
        </is>
      </c>
      <c r="D270" s="37" t="inlineStr">
        <is>
          <t>Q2002</t>
        </is>
      </c>
      <c r="E270" s="37" t="n"/>
      <c r="F270" s="37" t="inlineStr">
        <is>
          <t>浙江精准学科技有限公司</t>
        </is>
      </c>
      <c r="G270" s="37" t="inlineStr">
        <is>
          <t>记-124</t>
        </is>
      </c>
      <c r="H270" s="37" t="n"/>
      <c r="I270" s="97" t="n"/>
      <c r="J270" s="89" t="n">
        <v>4</v>
      </c>
      <c r="K270" s="42" t="n"/>
      <c r="L270" s="97" t="n"/>
      <c r="M270" s="37" t="n"/>
    </row>
    <row r="271" s="83">
      <c r="A271" s="36" t="inlineStr">
        <is>
          <t>100201</t>
        </is>
      </c>
      <c r="B271" s="36" t="n"/>
      <c r="C271" s="36" t="inlineStr">
        <is>
          <t>2025-04-16</t>
        </is>
      </c>
      <c r="D271" s="36" t="inlineStr">
        <is>
          <t>Q2002</t>
        </is>
      </c>
      <c r="E271" s="36" t="n"/>
      <c r="F271" s="36" t="inlineStr">
        <is>
          <t>浙江精准学科技有限公司</t>
        </is>
      </c>
      <c r="G271" s="36" t="inlineStr">
        <is>
          <t>记-134</t>
        </is>
      </c>
      <c r="H271" s="36" t="n"/>
      <c r="I271" s="96" t="n"/>
      <c r="J271" s="89" t="n">
        <v>4</v>
      </c>
      <c r="K271" s="40" t="n"/>
      <c r="L271" s="96" t="n"/>
      <c r="M271" s="36" t="n"/>
    </row>
    <row r="272" s="83">
      <c r="A272" s="37" t="inlineStr">
        <is>
          <t>100201</t>
        </is>
      </c>
      <c r="B272" s="37" t="n"/>
      <c r="C272" s="37" t="inlineStr">
        <is>
          <t>2025-04-16</t>
        </is>
      </c>
      <c r="D272" s="37" t="inlineStr">
        <is>
          <t>Q2002</t>
        </is>
      </c>
      <c r="E272" s="37" t="n"/>
      <c r="F272" s="37" t="inlineStr">
        <is>
          <t>浙江精准学科技有限公司</t>
        </is>
      </c>
      <c r="G272" s="37" t="inlineStr">
        <is>
          <t>记-135</t>
        </is>
      </c>
      <c r="H272" s="37" t="n"/>
      <c r="I272" s="97" t="n"/>
      <c r="J272" s="89" t="n">
        <v>4</v>
      </c>
      <c r="K272" s="42" t="n"/>
      <c r="L272" s="97" t="n"/>
      <c r="M272" s="37" t="n"/>
    </row>
    <row r="273" s="83">
      <c r="A273" s="36" t="inlineStr">
        <is>
          <t>100201</t>
        </is>
      </c>
      <c r="B273" s="36" t="n"/>
      <c r="C273" s="36" t="inlineStr">
        <is>
          <t>2025-04-17</t>
        </is>
      </c>
      <c r="D273" s="36" t="inlineStr">
        <is>
          <t>Q2002</t>
        </is>
      </c>
      <c r="E273" s="36" t="n"/>
      <c r="F273" s="36" t="inlineStr">
        <is>
          <t>浙江精准学科技有限公司</t>
        </is>
      </c>
      <c r="G273" s="36" t="inlineStr">
        <is>
          <t>记-149</t>
        </is>
      </c>
      <c r="H273" s="36" t="n"/>
      <c r="I273" s="96" t="n"/>
      <c r="J273" s="89" t="n">
        <v>4</v>
      </c>
      <c r="K273" s="40" t="n"/>
      <c r="L273" s="96" t="n"/>
      <c r="M273" s="36" t="n"/>
    </row>
    <row r="274" s="83">
      <c r="A274" s="37" t="inlineStr">
        <is>
          <t>100201</t>
        </is>
      </c>
      <c r="B274" s="37" t="n"/>
      <c r="C274" s="37" t="inlineStr">
        <is>
          <t>2025-04-18</t>
        </is>
      </c>
      <c r="D274" s="37" t="inlineStr">
        <is>
          <t>Q2002</t>
        </is>
      </c>
      <c r="E274" s="37" t="n"/>
      <c r="F274" s="37" t="inlineStr">
        <is>
          <t>浙江精准学科技有限公司</t>
        </is>
      </c>
      <c r="G274" s="37" t="inlineStr">
        <is>
          <t>记-151</t>
        </is>
      </c>
      <c r="H274" s="37" t="n"/>
      <c r="I274" s="97" t="n"/>
      <c r="J274" s="89" t="n">
        <v>4</v>
      </c>
      <c r="K274" s="42" t="n"/>
      <c r="L274" s="97" t="n"/>
      <c r="M274" s="37" t="n"/>
    </row>
    <row r="275" s="83">
      <c r="A275" s="36" t="inlineStr">
        <is>
          <t>100201</t>
        </is>
      </c>
      <c r="B275" s="36" t="n"/>
      <c r="C275" s="36" t="inlineStr">
        <is>
          <t>2025-04-18</t>
        </is>
      </c>
      <c r="D275" s="36" t="inlineStr">
        <is>
          <t>Q2002</t>
        </is>
      </c>
      <c r="E275" s="36" t="n"/>
      <c r="F275" s="36" t="inlineStr">
        <is>
          <t>浙江精准学科技有限公司</t>
        </is>
      </c>
      <c r="G275" s="36" t="inlineStr">
        <is>
          <t>记-155</t>
        </is>
      </c>
      <c r="H275" s="36" t="n"/>
      <c r="I275" s="96" t="n"/>
      <c r="J275" s="89" t="n">
        <v>4</v>
      </c>
      <c r="K275" s="40" t="n"/>
      <c r="L275" s="96" t="n"/>
      <c r="M275" s="36" t="n"/>
    </row>
    <row r="276" s="83">
      <c r="A276" s="37" t="inlineStr">
        <is>
          <t>100201</t>
        </is>
      </c>
      <c r="B276" s="37" t="n"/>
      <c r="C276" s="37" t="inlineStr">
        <is>
          <t>2025-04-18</t>
        </is>
      </c>
      <c r="D276" s="37" t="inlineStr">
        <is>
          <t>Q2002</t>
        </is>
      </c>
      <c r="E276" s="37" t="n"/>
      <c r="F276" s="37" t="inlineStr">
        <is>
          <t>浙江精准学科技有限公司</t>
        </is>
      </c>
      <c r="G276" s="37" t="inlineStr">
        <is>
          <t>记-156</t>
        </is>
      </c>
      <c r="H276" s="37" t="n"/>
      <c r="I276" s="97" t="n"/>
      <c r="J276" s="89" t="n">
        <v>4</v>
      </c>
      <c r="K276" s="42" t="n"/>
      <c r="L276" s="97" t="n"/>
      <c r="M276" s="37" t="n"/>
    </row>
    <row r="277" s="83">
      <c r="A277" s="36" t="inlineStr">
        <is>
          <t>100201</t>
        </is>
      </c>
      <c r="B277" s="36" t="n"/>
      <c r="C277" s="36" t="inlineStr">
        <is>
          <t>2025-04-18</t>
        </is>
      </c>
      <c r="D277" s="36" t="inlineStr">
        <is>
          <t>Q2002</t>
        </is>
      </c>
      <c r="E277" s="36" t="n"/>
      <c r="F277" s="36" t="inlineStr">
        <is>
          <t>浙江精准学科技有限公司</t>
        </is>
      </c>
      <c r="G277" s="36" t="inlineStr">
        <is>
          <t>记-162</t>
        </is>
      </c>
      <c r="H277" s="36" t="n"/>
      <c r="I277" s="96" t="n"/>
      <c r="J277" s="89" t="n">
        <v>4</v>
      </c>
      <c r="K277" s="40" t="n"/>
      <c r="L277" s="96" t="n"/>
      <c r="M277" s="36" t="n"/>
    </row>
    <row r="278" s="83">
      <c r="A278" s="37" t="inlineStr">
        <is>
          <t>100201</t>
        </is>
      </c>
      <c r="B278" s="37" t="n"/>
      <c r="C278" s="37" t="inlineStr">
        <is>
          <t>2025-04-22</t>
        </is>
      </c>
      <c r="D278" s="37" t="inlineStr">
        <is>
          <t>Q2002</t>
        </is>
      </c>
      <c r="E278" s="37" t="n"/>
      <c r="F278" s="37" t="inlineStr">
        <is>
          <t>浙江精准学科技有限公司</t>
        </is>
      </c>
      <c r="G278" s="37" t="inlineStr">
        <is>
          <t>记-184</t>
        </is>
      </c>
      <c r="H278" s="37" t="n"/>
      <c r="I278" s="97" t="n"/>
      <c r="J278" s="89" t="n">
        <v>4</v>
      </c>
      <c r="K278" s="42" t="n"/>
      <c r="L278" s="97" t="n"/>
      <c r="M278" s="37" t="n"/>
    </row>
    <row r="279" s="83">
      <c r="A279" s="36" t="inlineStr">
        <is>
          <t>100201</t>
        </is>
      </c>
      <c r="B279" s="36" t="n"/>
      <c r="C279" s="36" t="inlineStr">
        <is>
          <t>2025-04-24</t>
        </is>
      </c>
      <c r="D279" s="36" t="inlineStr">
        <is>
          <t>Q2002</t>
        </is>
      </c>
      <c r="E279" s="36" t="n"/>
      <c r="F279" s="36" t="inlineStr">
        <is>
          <t>浙江精准学科技有限公司</t>
        </is>
      </c>
      <c r="G279" s="36" t="inlineStr">
        <is>
          <t>记-196</t>
        </is>
      </c>
      <c r="H279" s="36" t="n"/>
      <c r="I279" s="96" t="n"/>
      <c r="J279" s="89" t="n">
        <v>4</v>
      </c>
      <c r="K279" s="40" t="n"/>
      <c r="L279" s="96" t="n"/>
      <c r="M279" s="36" t="n"/>
    </row>
    <row r="280" s="83">
      <c r="A280" s="37" t="inlineStr">
        <is>
          <t>100201</t>
        </is>
      </c>
      <c r="B280" s="37" t="n"/>
      <c r="C280" s="37" t="inlineStr">
        <is>
          <t>2025-04-25</t>
        </is>
      </c>
      <c r="D280" s="37" t="inlineStr">
        <is>
          <t>Q2002</t>
        </is>
      </c>
      <c r="E280" s="37" t="n"/>
      <c r="F280" s="37" t="inlineStr">
        <is>
          <t>浙江精准学科技有限公司</t>
        </is>
      </c>
      <c r="G280" s="37" t="inlineStr">
        <is>
          <t>记-203</t>
        </is>
      </c>
      <c r="H280" s="37" t="n"/>
      <c r="I280" s="97" t="n"/>
      <c r="J280" s="89" t="n">
        <v>4</v>
      </c>
      <c r="K280" s="42" t="n"/>
      <c r="L280" s="97" t="n"/>
      <c r="M280" s="37" t="n"/>
    </row>
    <row r="281" s="83">
      <c r="A281" s="36" t="inlineStr">
        <is>
          <t>100201</t>
        </is>
      </c>
      <c r="B281" s="36" t="n"/>
      <c r="C281" s="36" t="inlineStr">
        <is>
          <t>2025-04-25</t>
        </is>
      </c>
      <c r="D281" s="36" t="inlineStr">
        <is>
          <t>Q2002</t>
        </is>
      </c>
      <c r="E281" s="36" t="n"/>
      <c r="F281" s="36" t="inlineStr">
        <is>
          <t>浙江精准学科技有限公司</t>
        </is>
      </c>
      <c r="G281" s="36" t="inlineStr">
        <is>
          <t>记-204</t>
        </is>
      </c>
      <c r="H281" s="36" t="n"/>
      <c r="I281" s="96" t="n"/>
      <c r="J281" s="89" t="n">
        <v>4</v>
      </c>
      <c r="K281" s="40" t="n"/>
      <c r="L281" s="96" t="n"/>
      <c r="M281" s="36" t="n"/>
    </row>
    <row r="282" s="83">
      <c r="A282" s="37" t="inlineStr">
        <is>
          <t>100201</t>
        </is>
      </c>
      <c r="B282" s="37" t="n"/>
      <c r="C282" s="37" t="inlineStr">
        <is>
          <t>2025-04-28</t>
        </is>
      </c>
      <c r="D282" s="37" t="inlineStr">
        <is>
          <t>Q2002</t>
        </is>
      </c>
      <c r="E282" s="37" t="n"/>
      <c r="F282" s="37" t="inlineStr">
        <is>
          <t>浙江精准学科技有限公司</t>
        </is>
      </c>
      <c r="G282" s="37" t="inlineStr">
        <is>
          <t>记-228</t>
        </is>
      </c>
      <c r="H282" s="37" t="n"/>
      <c r="I282" s="97" t="n"/>
      <c r="J282" s="89" t="n">
        <v>4</v>
      </c>
      <c r="K282" s="42" t="n"/>
      <c r="L282" s="97" t="n"/>
      <c r="M282" s="37" t="n"/>
    </row>
    <row r="283" s="83">
      <c r="A283" s="36" t="inlineStr">
        <is>
          <t>100201</t>
        </is>
      </c>
      <c r="B283" s="36" t="n"/>
      <c r="C283" s="36" t="inlineStr">
        <is>
          <t>2025-04-29</t>
        </is>
      </c>
      <c r="D283" s="36" t="inlineStr">
        <is>
          <t>Q2002</t>
        </is>
      </c>
      <c r="E283" s="36" t="n"/>
      <c r="F283" s="36" t="inlineStr">
        <is>
          <t>浙江精准学科技有限公司</t>
        </is>
      </c>
      <c r="G283" s="36" t="inlineStr">
        <is>
          <t>记-243</t>
        </is>
      </c>
      <c r="H283" s="36" t="n"/>
      <c r="I283" s="96" t="n"/>
      <c r="J283" s="89" t="n">
        <v>4</v>
      </c>
      <c r="K283" s="40" t="n"/>
      <c r="L283" s="96" t="n"/>
      <c r="M283" s="36" t="n"/>
    </row>
    <row r="284" s="83">
      <c r="A284" s="37" t="inlineStr">
        <is>
          <t>100201</t>
        </is>
      </c>
      <c r="B284" s="37" t="n"/>
      <c r="C284" s="37" t="inlineStr">
        <is>
          <t>2025-04-29</t>
        </is>
      </c>
      <c r="D284" s="37" t="inlineStr">
        <is>
          <t>Q2002</t>
        </is>
      </c>
      <c r="E284" s="37" t="n"/>
      <c r="F284" s="37" t="inlineStr">
        <is>
          <t>浙江精准学科技有限公司</t>
        </is>
      </c>
      <c r="G284" s="37" t="inlineStr">
        <is>
          <t>记-244</t>
        </is>
      </c>
      <c r="H284" s="37" t="n"/>
      <c r="I284" s="97" t="n"/>
      <c r="J284" s="89" t="n">
        <v>4</v>
      </c>
      <c r="K284" s="42" t="n"/>
      <c r="L284" s="97" t="n"/>
      <c r="M284" s="37" t="n"/>
    </row>
    <row r="285" s="83">
      <c r="A285" s="36" t="inlineStr">
        <is>
          <t>100201</t>
        </is>
      </c>
      <c r="B285" s="36" t="n"/>
      <c r="C285" s="36" t="inlineStr">
        <is>
          <t>2025-04-29</t>
        </is>
      </c>
      <c r="D285" s="36" t="inlineStr">
        <is>
          <t>Q2002</t>
        </is>
      </c>
      <c r="E285" s="36" t="n"/>
      <c r="F285" s="36" t="inlineStr">
        <is>
          <t>浙江精准学科技有限公司</t>
        </is>
      </c>
      <c r="G285" s="36" t="inlineStr">
        <is>
          <t>记-245</t>
        </is>
      </c>
      <c r="H285" s="36" t="n"/>
      <c r="I285" s="96" t="n"/>
      <c r="J285" s="89" t="n">
        <v>4</v>
      </c>
      <c r="K285" s="40" t="n"/>
      <c r="L285" s="96" t="n"/>
      <c r="M285" s="36" t="n"/>
    </row>
    <row r="286" s="83">
      <c r="A286" s="37" t="inlineStr">
        <is>
          <t>100201</t>
        </is>
      </c>
      <c r="B286" s="37" t="n"/>
      <c r="C286" s="37" t="inlineStr">
        <is>
          <t>2025-04-30</t>
        </is>
      </c>
      <c r="D286" s="37" t="inlineStr">
        <is>
          <t>Q2002</t>
        </is>
      </c>
      <c r="E286" s="37" t="n"/>
      <c r="F286" s="37" t="inlineStr">
        <is>
          <t>浙江精准学科技有限公司</t>
        </is>
      </c>
      <c r="G286" s="37" t="inlineStr">
        <is>
          <t>记-250</t>
        </is>
      </c>
      <c r="H286" s="37" t="n"/>
      <c r="I286" s="97" t="n"/>
      <c r="J286" s="89" t="n">
        <v>4</v>
      </c>
      <c r="K286" s="42" t="n"/>
      <c r="L286" s="97" t="n"/>
      <c r="M286" s="37" t="n"/>
    </row>
    <row r="287" s="83">
      <c r="A287" s="36" t="inlineStr">
        <is>
          <t>100201</t>
        </is>
      </c>
      <c r="B287" s="36" t="n"/>
      <c r="C287" s="36" t="inlineStr">
        <is>
          <t>2025-04-30</t>
        </is>
      </c>
      <c r="D287" s="36" t="inlineStr">
        <is>
          <t>Q2002</t>
        </is>
      </c>
      <c r="E287" s="36" t="n"/>
      <c r="F287" s="36" t="inlineStr">
        <is>
          <t>浙江精准学科技有限公司</t>
        </is>
      </c>
      <c r="G287" s="36" t="inlineStr">
        <is>
          <t>记-255</t>
        </is>
      </c>
      <c r="H287" s="36" t="n"/>
      <c r="I287" s="96" t="n"/>
      <c r="J287" s="89" t="n">
        <v>4</v>
      </c>
      <c r="K287" s="40" t="n"/>
      <c r="L287" s="96" t="n"/>
      <c r="M287" s="36" t="n"/>
    </row>
    <row r="288" s="83">
      <c r="A288" s="37" t="inlineStr">
        <is>
          <t>100201</t>
        </is>
      </c>
      <c r="B288" s="37" t="n"/>
      <c r="C288" s="37" t="inlineStr">
        <is>
          <t>2025-04-30</t>
        </is>
      </c>
      <c r="D288" s="37" t="inlineStr">
        <is>
          <t>Q2002</t>
        </is>
      </c>
      <c r="E288" s="37" t="n"/>
      <c r="F288" s="37" t="inlineStr">
        <is>
          <t>浙江精准学科技有限公司</t>
        </is>
      </c>
      <c r="G288" s="37" t="inlineStr">
        <is>
          <t>记-256</t>
        </is>
      </c>
      <c r="H288" s="37" t="n"/>
      <c r="I288" s="97" t="n"/>
      <c r="J288" s="89" t="n">
        <v>4</v>
      </c>
      <c r="K288" s="42" t="n"/>
      <c r="L288" s="97" t="n"/>
      <c r="M288" s="37" t="n"/>
    </row>
    <row r="289" s="83">
      <c r="A289" s="36" t="inlineStr">
        <is>
          <t>100201</t>
        </is>
      </c>
      <c r="B289" s="36" t="n"/>
      <c r="C289" s="36" t="inlineStr">
        <is>
          <t>2025-04-30</t>
        </is>
      </c>
      <c r="D289" s="36" t="inlineStr">
        <is>
          <t>Q2002</t>
        </is>
      </c>
      <c r="E289" s="36" t="n"/>
      <c r="F289" s="36" t="inlineStr">
        <is>
          <t>浙江精准学科技有限公司</t>
        </is>
      </c>
      <c r="G289" s="36" t="inlineStr">
        <is>
          <t>记-257</t>
        </is>
      </c>
      <c r="H289" s="36" t="n"/>
      <c r="I289" s="96" t="n"/>
      <c r="J289" s="89" t="n">
        <v>4</v>
      </c>
      <c r="K289" s="40" t="n"/>
      <c r="L289" s="96" t="n"/>
      <c r="M289" s="36" t="n"/>
    </row>
    <row r="290" s="83">
      <c r="A290" s="37" t="inlineStr">
        <is>
          <t>100201</t>
        </is>
      </c>
      <c r="B290" s="37" t="n"/>
      <c r="C290" s="37" t="inlineStr">
        <is>
          <t>2025-04-30</t>
        </is>
      </c>
      <c r="D290" s="37" t="inlineStr">
        <is>
          <t>Q2002</t>
        </is>
      </c>
      <c r="E290" s="37" t="n"/>
      <c r="F290" s="37" t="inlineStr">
        <is>
          <t>浙江精准学科技有限公司</t>
        </is>
      </c>
      <c r="G290" s="37" t="inlineStr">
        <is>
          <t>记-258</t>
        </is>
      </c>
      <c r="H290" s="37" t="n"/>
      <c r="I290" s="97" t="n"/>
      <c r="J290" s="89" t="n">
        <v>4</v>
      </c>
      <c r="K290" s="42" t="n"/>
      <c r="L290" s="97" t="n"/>
      <c r="M290" s="37" t="n"/>
    </row>
    <row r="291" s="83">
      <c r="A291" s="37" t="inlineStr">
        <is>
          <t>100201</t>
        </is>
      </c>
      <c r="B291" s="37" t="n"/>
      <c r="C291" s="37" t="inlineStr">
        <is>
          <t>2025-04-18</t>
        </is>
      </c>
      <c r="D291" s="37" t="inlineStr">
        <is>
          <t>Q2003</t>
        </is>
      </c>
      <c r="E291" s="37" t="n"/>
      <c r="F291" s="37" t="inlineStr">
        <is>
          <t>浙江精准学科技有限公司</t>
        </is>
      </c>
      <c r="G291" s="37" t="inlineStr">
        <is>
          <t>记-160</t>
        </is>
      </c>
      <c r="H291" s="37" t="n"/>
      <c r="I291" s="97" t="n"/>
      <c r="J291" s="89" t="n">
        <v>4</v>
      </c>
      <c r="K291" s="42" t="n"/>
      <c r="L291" s="97" t="n"/>
      <c r="M291" s="37" t="n"/>
    </row>
    <row r="292" s="83">
      <c r="A292" s="36" t="inlineStr">
        <is>
          <t>100201</t>
        </is>
      </c>
      <c r="B292" s="36" t="n"/>
      <c r="C292" s="36" t="inlineStr">
        <is>
          <t>2025-04-30</t>
        </is>
      </c>
      <c r="D292" s="36" t="inlineStr">
        <is>
          <t>Q2003</t>
        </is>
      </c>
      <c r="E292" s="36" t="n"/>
      <c r="F292" s="36" t="inlineStr">
        <is>
          <t>浙江精准学科技有限公司</t>
        </is>
      </c>
      <c r="G292" s="36" t="inlineStr">
        <is>
          <t>记-254</t>
        </is>
      </c>
      <c r="H292" s="36" t="n"/>
      <c r="I292" s="96" t="n"/>
      <c r="J292" s="89" t="n">
        <v>4</v>
      </c>
      <c r="K292" s="40" t="n"/>
      <c r="L292" s="96" t="n"/>
      <c r="M292" s="36" t="n"/>
    </row>
    <row r="293" s="83">
      <c r="A293" s="36" t="inlineStr">
        <is>
          <t>100201</t>
        </is>
      </c>
      <c r="B293" s="36" t="n"/>
      <c r="C293" s="36" t="inlineStr">
        <is>
          <t>2025-04-18</t>
        </is>
      </c>
      <c r="D293" s="36" t="inlineStr">
        <is>
          <t>Q2005</t>
        </is>
      </c>
      <c r="E293" s="36" t="n"/>
      <c r="F293" s="36" t="inlineStr">
        <is>
          <t>浙江精准学科技有限公司</t>
        </is>
      </c>
      <c r="G293" s="36" t="inlineStr">
        <is>
          <t>记-159</t>
        </is>
      </c>
      <c r="H293" s="36" t="n"/>
      <c r="I293" s="96" t="n"/>
      <c r="J293" s="89" t="n">
        <v>4</v>
      </c>
      <c r="K293" s="40" t="n"/>
      <c r="L293" s="96" t="n"/>
      <c r="M293" s="36" t="n"/>
    </row>
    <row r="294" s="83">
      <c r="A294" s="37" t="inlineStr">
        <is>
          <t>100201</t>
        </is>
      </c>
      <c r="B294" s="37" t="n"/>
      <c r="C294" s="37" t="inlineStr">
        <is>
          <t>2025-04-30</t>
        </is>
      </c>
      <c r="D294" s="37" t="inlineStr">
        <is>
          <t>Q2005</t>
        </is>
      </c>
      <c r="E294" s="37" t="n"/>
      <c r="F294" s="37" t="inlineStr">
        <is>
          <t>浙江精准学科技有限公司</t>
        </is>
      </c>
      <c r="G294" s="37" t="inlineStr">
        <is>
          <t>记-263</t>
        </is>
      </c>
      <c r="H294" s="37" t="n"/>
      <c r="I294" s="97" t="n"/>
      <c r="J294" s="89" t="n">
        <v>4</v>
      </c>
      <c r="K294" s="42" t="n"/>
      <c r="L294" s="97" t="n"/>
      <c r="M294" s="37" t="n"/>
    </row>
    <row r="295" s="83">
      <c r="A295" s="37" t="inlineStr">
        <is>
          <t>100201</t>
        </is>
      </c>
      <c r="B295" s="37" t="n"/>
      <c r="C295" s="37" t="inlineStr">
        <is>
          <t>2025-04-10</t>
        </is>
      </c>
      <c r="D295" s="37" t="inlineStr">
        <is>
          <t>Q2101</t>
        </is>
      </c>
      <c r="E295" s="37" t="n"/>
      <c r="F295" s="37" t="inlineStr">
        <is>
          <t>浙江精准学科技有限公司</t>
        </is>
      </c>
      <c r="G295" s="37" t="inlineStr">
        <is>
          <t>记-87</t>
        </is>
      </c>
      <c r="H295" s="37" t="n"/>
      <c r="I295" s="97" t="n"/>
      <c r="J295" s="89" t="n">
        <v>4</v>
      </c>
      <c r="K295" s="42" t="n"/>
      <c r="L295" s="97" t="n"/>
      <c r="M295" s="37" t="n"/>
    </row>
    <row r="296" s="83">
      <c r="A296" s="37" t="inlineStr">
        <is>
          <t>100201</t>
        </is>
      </c>
      <c r="B296" s="37" t="n"/>
      <c r="C296" s="37" t="inlineStr">
        <is>
          <t>2025-04-15</t>
        </is>
      </c>
      <c r="D296" s="37" t="inlineStr">
        <is>
          <t>Q2102</t>
        </is>
      </c>
      <c r="E296" s="37" t="n"/>
      <c r="F296" s="37" t="inlineStr">
        <is>
          <t>浙江精准学科技有限公司</t>
        </is>
      </c>
      <c r="G296" s="37" t="inlineStr">
        <is>
          <t>记-127</t>
        </is>
      </c>
      <c r="H296" s="37" t="n"/>
      <c r="I296" s="97" t="n"/>
      <c r="J296" s="89" t="n">
        <v>4</v>
      </c>
      <c r="K296" s="42" t="n"/>
      <c r="L296" s="97" t="n"/>
      <c r="M296" s="37" t="n"/>
    </row>
    <row r="297" s="83">
      <c r="A297" s="37" t="inlineStr">
        <is>
          <t>100201</t>
        </is>
      </c>
      <c r="B297" s="37" t="n"/>
      <c r="C297" s="37" t="inlineStr">
        <is>
          <t>2025-04-27</t>
        </is>
      </c>
      <c r="D297" s="37" t="inlineStr">
        <is>
          <t>Q2202</t>
        </is>
      </c>
      <c r="E297" s="37" t="n"/>
      <c r="F297" s="37" t="inlineStr">
        <is>
          <t>浙江精准学科技有限公司</t>
        </is>
      </c>
      <c r="G297" s="37" t="inlineStr">
        <is>
          <t>记-219</t>
        </is>
      </c>
      <c r="H297" s="37" t="n"/>
      <c r="I297" s="97" t="n"/>
      <c r="J297" s="89" t="n">
        <v>4</v>
      </c>
      <c r="K297" s="42" t="n"/>
      <c r="L297" s="97" t="n"/>
      <c r="M297" s="37" t="n"/>
    </row>
    <row r="298" s="83">
      <c r="A298" s="36" t="inlineStr">
        <is>
          <t>100201</t>
        </is>
      </c>
      <c r="B298" s="36" t="n"/>
      <c r="C298" s="36" t="inlineStr">
        <is>
          <t>2025-04-22</t>
        </is>
      </c>
      <c r="D298" s="36" t="inlineStr">
        <is>
          <t>Q2501</t>
        </is>
      </c>
      <c r="E298" s="36" t="n"/>
      <c r="F298" s="36" t="inlineStr">
        <is>
          <t>浙江精准学科技有限公司</t>
        </is>
      </c>
      <c r="G298" s="36" t="inlineStr">
        <is>
          <t>记-183</t>
        </is>
      </c>
      <c r="H298" s="36" t="n"/>
      <c r="I298" s="96" t="n"/>
      <c r="J298" s="89" t="n">
        <v>4</v>
      </c>
      <c r="K298" s="40" t="n"/>
      <c r="L298" s="96" t="n"/>
      <c r="M298" s="36" t="n"/>
    </row>
    <row r="299" s="83">
      <c r="A299" s="36" t="inlineStr">
        <is>
          <t>100201</t>
        </is>
      </c>
      <c r="B299" s="36" t="n"/>
      <c r="C299" s="36" t="inlineStr">
        <is>
          <t>2025-04-02</t>
        </is>
      </c>
      <c r="D299" s="36" t="inlineStr">
        <is>
          <t>Q2601</t>
        </is>
      </c>
      <c r="E299" s="36" t="n"/>
      <c r="F299" s="36" t="inlineStr">
        <is>
          <t>浙江精准学科技有限公司</t>
        </is>
      </c>
      <c r="G299" s="36" t="inlineStr">
        <is>
          <t>记-17</t>
        </is>
      </c>
      <c r="H299" s="36" t="n"/>
      <c r="I299" s="96" t="n"/>
      <c r="J299" s="89" t="n">
        <v>4</v>
      </c>
      <c r="K299" s="40" t="n"/>
      <c r="L299" s="96" t="n"/>
      <c r="M299" s="36" t="n"/>
    </row>
    <row r="300" s="83">
      <c r="A300" s="37" t="inlineStr">
        <is>
          <t>100201</t>
        </is>
      </c>
      <c r="B300" s="37" t="n"/>
      <c r="C300" s="37" t="inlineStr">
        <is>
          <t>2025-04-02</t>
        </is>
      </c>
      <c r="D300" s="37" t="inlineStr">
        <is>
          <t>Q2601</t>
        </is>
      </c>
      <c r="E300" s="37" t="n"/>
      <c r="F300" s="37" t="inlineStr">
        <is>
          <t>浙江精准学科技有限公司</t>
        </is>
      </c>
      <c r="G300" s="37" t="inlineStr">
        <is>
          <t>记-19</t>
        </is>
      </c>
      <c r="H300" s="37" t="n"/>
      <c r="I300" s="97" t="n"/>
      <c r="J300" s="89" t="n">
        <v>4</v>
      </c>
      <c r="K300" s="42" t="n"/>
      <c r="L300" s="97" t="n"/>
      <c r="M300" s="37" t="n"/>
    </row>
    <row r="301" s="83">
      <c r="A301" s="36" t="inlineStr">
        <is>
          <t>100201</t>
        </is>
      </c>
      <c r="B301" s="36" t="n"/>
      <c r="C301" s="36" t="inlineStr">
        <is>
          <t>2025-04-08</t>
        </is>
      </c>
      <c r="D301" s="36" t="inlineStr">
        <is>
          <t>Q2601</t>
        </is>
      </c>
      <c r="E301" s="36" t="n"/>
      <c r="F301" s="36" t="inlineStr">
        <is>
          <t>浙江精准学科技有限公司</t>
        </is>
      </c>
      <c r="G301" s="36" t="inlineStr">
        <is>
          <t>记-60</t>
        </is>
      </c>
      <c r="H301" s="36" t="n"/>
      <c r="I301" s="96" t="n"/>
      <c r="J301" s="89" t="n">
        <v>4</v>
      </c>
      <c r="K301" s="40" t="n"/>
      <c r="L301" s="96" t="n"/>
      <c r="M301" s="36" t="n"/>
    </row>
    <row r="302" s="83">
      <c r="A302" s="37" t="inlineStr">
        <is>
          <t>100201</t>
        </is>
      </c>
      <c r="B302" s="37" t="n"/>
      <c r="C302" s="37" t="inlineStr">
        <is>
          <t>2025-04-11</t>
        </is>
      </c>
      <c r="D302" s="37" t="inlineStr">
        <is>
          <t>Q2601</t>
        </is>
      </c>
      <c r="E302" s="37" t="n"/>
      <c r="F302" s="37" t="inlineStr">
        <is>
          <t>浙江精准学科技有限公司</t>
        </is>
      </c>
      <c r="G302" s="37" t="inlineStr">
        <is>
          <t>记-102</t>
        </is>
      </c>
      <c r="H302" s="37" t="n"/>
      <c r="I302" s="97" t="n"/>
      <c r="J302" s="89" t="n">
        <v>4</v>
      </c>
      <c r="K302" s="42" t="n"/>
      <c r="L302" s="97" t="n"/>
      <c r="M302" s="37" t="n"/>
    </row>
    <row r="303" s="83">
      <c r="A303" s="36" t="inlineStr">
        <is>
          <t>100201</t>
        </is>
      </c>
      <c r="B303" s="36" t="n"/>
      <c r="C303" s="36" t="inlineStr">
        <is>
          <t>2025-04-14</t>
        </is>
      </c>
      <c r="D303" s="36" t="inlineStr">
        <is>
          <t>Q2601</t>
        </is>
      </c>
      <c r="E303" s="36" t="n"/>
      <c r="F303" s="36" t="inlineStr">
        <is>
          <t>浙江精准学科技有限公司</t>
        </is>
      </c>
      <c r="G303" s="36" t="inlineStr">
        <is>
          <t>记-116</t>
        </is>
      </c>
      <c r="H303" s="36" t="n"/>
      <c r="I303" s="96" t="n"/>
      <c r="J303" s="89" t="n">
        <v>4</v>
      </c>
      <c r="K303" s="40" t="n"/>
      <c r="L303" s="96" t="n"/>
      <c r="M303" s="36" t="n"/>
    </row>
    <row r="304" s="83">
      <c r="A304" s="37" t="inlineStr">
        <is>
          <t>100201</t>
        </is>
      </c>
      <c r="B304" s="37" t="n"/>
      <c r="C304" s="37" t="inlineStr">
        <is>
          <t>2025-04-15</t>
        </is>
      </c>
      <c r="D304" s="37" t="inlineStr">
        <is>
          <t>Q2601</t>
        </is>
      </c>
      <c r="E304" s="37" t="n"/>
      <c r="F304" s="37" t="inlineStr">
        <is>
          <t>浙江精准学科技有限公司</t>
        </is>
      </c>
      <c r="G304" s="37" t="inlineStr">
        <is>
          <t>记-125</t>
        </is>
      </c>
      <c r="H304" s="37" t="n"/>
      <c r="I304" s="97" t="n"/>
      <c r="J304" s="89" t="n">
        <v>4</v>
      </c>
      <c r="K304" s="42" t="n"/>
      <c r="L304" s="97" t="n"/>
      <c r="M304" s="37" t="n"/>
    </row>
    <row r="305" s="83">
      <c r="A305" s="36" t="inlineStr">
        <is>
          <t>100201</t>
        </is>
      </c>
      <c r="B305" s="36" t="n"/>
      <c r="C305" s="36" t="inlineStr">
        <is>
          <t>2025-04-18</t>
        </is>
      </c>
      <c r="D305" s="36" t="inlineStr">
        <is>
          <t>Q2601</t>
        </is>
      </c>
      <c r="E305" s="36" t="n"/>
      <c r="F305" s="36" t="inlineStr">
        <is>
          <t>浙江精准学科技有限公司</t>
        </is>
      </c>
      <c r="G305" s="36" t="inlineStr">
        <is>
          <t>记-158</t>
        </is>
      </c>
      <c r="H305" s="36" t="n"/>
      <c r="I305" s="96" t="n"/>
      <c r="J305" s="89" t="n">
        <v>4</v>
      </c>
      <c r="K305" s="40" t="n"/>
      <c r="L305" s="96" t="n"/>
      <c r="M305" s="36" t="n"/>
    </row>
    <row r="306" s="83">
      <c r="A306" s="37" t="inlineStr">
        <is>
          <t>100201</t>
        </is>
      </c>
      <c r="B306" s="37" t="n"/>
      <c r="C306" s="37" t="inlineStr">
        <is>
          <t>2025-04-21</t>
        </is>
      </c>
      <c r="D306" s="37" t="inlineStr">
        <is>
          <t>Q2601</t>
        </is>
      </c>
      <c r="E306" s="37" t="n"/>
      <c r="F306" s="37" t="inlineStr">
        <is>
          <t>浙江精准学科技有限公司</t>
        </is>
      </c>
      <c r="G306" s="37" t="inlineStr">
        <is>
          <t>记-175</t>
        </is>
      </c>
      <c r="H306" s="37" t="n"/>
      <c r="I306" s="97" t="n"/>
      <c r="J306" s="89" t="n">
        <v>4</v>
      </c>
      <c r="K306" s="42" t="n"/>
      <c r="L306" s="97" t="n"/>
      <c r="M306" s="37" t="n"/>
    </row>
    <row r="307" s="83">
      <c r="A307" s="36" t="inlineStr">
        <is>
          <t>100201</t>
        </is>
      </c>
      <c r="B307" s="36" t="n"/>
      <c r="C307" s="36" t="inlineStr">
        <is>
          <t>2025-04-22</t>
        </is>
      </c>
      <c r="D307" s="36" t="inlineStr">
        <is>
          <t>Q2601</t>
        </is>
      </c>
      <c r="E307" s="36" t="n"/>
      <c r="F307" s="36" t="inlineStr">
        <is>
          <t>浙江精准学科技有限公司</t>
        </is>
      </c>
      <c r="G307" s="36" t="inlineStr">
        <is>
          <t>记-182</t>
        </is>
      </c>
      <c r="H307" s="36" t="n"/>
      <c r="I307" s="96" t="n"/>
      <c r="J307" s="89" t="n">
        <v>4</v>
      </c>
      <c r="K307" s="40" t="n"/>
      <c r="L307" s="96" t="n"/>
      <c r="M307" s="36" t="n"/>
    </row>
    <row r="308" s="83">
      <c r="A308" s="37" t="inlineStr">
        <is>
          <t>100201</t>
        </is>
      </c>
      <c r="B308" s="37" t="n"/>
      <c r="C308" s="37" t="inlineStr">
        <is>
          <t>2025-04-25</t>
        </is>
      </c>
      <c r="D308" s="37" t="inlineStr">
        <is>
          <t>Q2601</t>
        </is>
      </c>
      <c r="E308" s="37" t="n"/>
      <c r="F308" s="37" t="inlineStr">
        <is>
          <t>浙江精准学科技有限公司</t>
        </is>
      </c>
      <c r="G308" s="37" t="inlineStr">
        <is>
          <t>记-205</t>
        </is>
      </c>
      <c r="H308" s="37" t="n"/>
      <c r="I308" s="97" t="n"/>
      <c r="J308" s="89" t="n">
        <v>4</v>
      </c>
      <c r="K308" s="42" t="n"/>
      <c r="L308" s="97" t="n"/>
      <c r="M308" s="37" t="n"/>
    </row>
    <row r="309" s="83">
      <c r="A309" s="36" t="inlineStr">
        <is>
          <t>100201</t>
        </is>
      </c>
      <c r="B309" s="36" t="n"/>
      <c r="C309" s="36" t="inlineStr">
        <is>
          <t>2025-04-25</t>
        </is>
      </c>
      <c r="D309" s="36" t="inlineStr">
        <is>
          <t>Q2601</t>
        </is>
      </c>
      <c r="E309" s="36" t="n"/>
      <c r="F309" s="36" t="inlineStr">
        <is>
          <t>浙江精准学科技有限公司</t>
        </is>
      </c>
      <c r="G309" s="36" t="inlineStr">
        <is>
          <t>记-208</t>
        </is>
      </c>
      <c r="H309" s="36" t="n"/>
      <c r="I309" s="96" t="n"/>
      <c r="J309" s="89" t="n">
        <v>4</v>
      </c>
      <c r="K309" s="40" t="n"/>
      <c r="L309" s="96" t="n"/>
      <c r="M309" s="36" t="n"/>
    </row>
    <row r="310" s="83">
      <c r="A310" s="37" t="inlineStr">
        <is>
          <t>100201</t>
        </is>
      </c>
      <c r="B310" s="37" t="n"/>
      <c r="C310" s="37" t="inlineStr">
        <is>
          <t>2025-04-27</t>
        </is>
      </c>
      <c r="D310" s="37" t="inlineStr">
        <is>
          <t>Q2601</t>
        </is>
      </c>
      <c r="E310" s="37" t="n"/>
      <c r="F310" s="37" t="inlineStr">
        <is>
          <t>浙江精准学科技有限公司</t>
        </is>
      </c>
      <c r="G310" s="37" t="inlineStr">
        <is>
          <t>记-222</t>
        </is>
      </c>
      <c r="H310" s="37" t="n"/>
      <c r="I310" s="97" t="n"/>
      <c r="J310" s="89" t="n">
        <v>4</v>
      </c>
      <c r="K310" s="42" t="n"/>
      <c r="L310" s="97" t="n"/>
      <c r="M310" s="37" t="n"/>
    </row>
    <row r="311" s="83">
      <c r="A311" s="36" t="inlineStr">
        <is>
          <t>100201</t>
        </is>
      </c>
      <c r="B311" s="36" t="n"/>
      <c r="C311" s="36" t="inlineStr">
        <is>
          <t>2025-04-28</t>
        </is>
      </c>
      <c r="D311" s="36" t="inlineStr">
        <is>
          <t>Q2601</t>
        </is>
      </c>
      <c r="E311" s="36" t="n"/>
      <c r="F311" s="36" t="inlineStr">
        <is>
          <t>浙江精准学科技有限公司</t>
        </is>
      </c>
      <c r="G311" s="36" t="inlineStr">
        <is>
          <t>记-226</t>
        </is>
      </c>
      <c r="H311" s="36" t="n"/>
      <c r="I311" s="96" t="n"/>
      <c r="J311" s="89" t="n">
        <v>4</v>
      </c>
      <c r="K311" s="40" t="n"/>
      <c r="L311" s="96" t="n"/>
      <c r="M311" s="36" t="n"/>
    </row>
    <row r="312" s="83">
      <c r="A312" s="37" t="inlineStr">
        <is>
          <t>100201</t>
        </is>
      </c>
      <c r="B312" s="37" t="n"/>
      <c r="C312" s="37" t="inlineStr">
        <is>
          <t>2025-04-25</t>
        </is>
      </c>
      <c r="D312" s="37" t="inlineStr">
        <is>
          <t>Q2702</t>
        </is>
      </c>
      <c r="E312" s="37" t="n"/>
      <c r="F312" s="37" t="inlineStr">
        <is>
          <t>浙江精准学科技有限公司</t>
        </is>
      </c>
      <c r="G312" s="37" t="inlineStr">
        <is>
          <t>记-206</t>
        </is>
      </c>
      <c r="H312" s="37" t="n"/>
      <c r="I312" s="97" t="n"/>
      <c r="J312" s="89" t="n">
        <v>4</v>
      </c>
      <c r="K312" s="42" t="n"/>
      <c r="L312" s="97" t="n"/>
      <c r="M312" s="37" t="n"/>
    </row>
    <row r="313" s="83">
      <c r="A313" s="36" t="inlineStr">
        <is>
          <t>100201</t>
        </is>
      </c>
      <c r="B313" s="36" t="n"/>
      <c r="C313" s="36" t="inlineStr">
        <is>
          <t>2025-04-28</t>
        </is>
      </c>
      <c r="D313" s="36" t="inlineStr">
        <is>
          <t>Q2702</t>
        </is>
      </c>
      <c r="E313" s="36" t="n"/>
      <c r="F313" s="36" t="inlineStr">
        <is>
          <t>浙江精准学科技有限公司</t>
        </is>
      </c>
      <c r="G313" s="36" t="inlineStr">
        <is>
          <t>记-227</t>
        </is>
      </c>
      <c r="H313" s="36" t="n"/>
      <c r="I313" s="96" t="n"/>
      <c r="J313" s="89" t="n">
        <v>4</v>
      </c>
      <c r="K313" s="40" t="n"/>
      <c r="L313" s="96" t="n"/>
      <c r="M313" s="36" t="n"/>
    </row>
    <row r="314" s="83">
      <c r="A314" s="36" t="inlineStr">
        <is>
          <t>100201</t>
        </is>
      </c>
      <c r="B314" s="36" t="n"/>
      <c r="C314" s="36" t="inlineStr">
        <is>
          <t>2025-04-30</t>
        </is>
      </c>
      <c r="D314" s="36" t="inlineStr">
        <is>
          <t>Q2707</t>
        </is>
      </c>
      <c r="E314" s="36" t="n"/>
      <c r="F314" s="36" t="inlineStr">
        <is>
          <t>浙江精准学科技有限公司</t>
        </is>
      </c>
      <c r="G314" s="36" t="inlineStr">
        <is>
          <t>记-262</t>
        </is>
      </c>
      <c r="H314" s="36" t="n"/>
      <c r="I314" s="96" t="n"/>
      <c r="J314" s="89" t="n">
        <v>4</v>
      </c>
      <c r="K314" s="40" t="n"/>
      <c r="L314" s="96" t="n"/>
      <c r="M314" s="36" t="n"/>
    </row>
    <row r="315" s="83">
      <c r="A315" s="36" t="inlineStr">
        <is>
          <t>100201</t>
        </is>
      </c>
      <c r="B315" s="36" t="n"/>
      <c r="C315" s="36" t="inlineStr">
        <is>
          <t>2025-04-30</t>
        </is>
      </c>
      <c r="D315" s="36" t="inlineStr">
        <is>
          <t>Q2708</t>
        </is>
      </c>
      <c r="E315" s="36" t="n"/>
      <c r="F315" s="36" t="inlineStr">
        <is>
          <t>浙江精准学科技有限公司</t>
        </is>
      </c>
      <c r="G315" s="36" t="inlineStr">
        <is>
          <t>记-262</t>
        </is>
      </c>
      <c r="H315" s="36" t="n"/>
      <c r="I315" s="96" t="n"/>
      <c r="J315" s="89" t="n">
        <v>4</v>
      </c>
      <c r="K315" s="40" t="n"/>
      <c r="L315" s="96" t="n"/>
      <c r="M315" s="36" t="n"/>
    </row>
    <row r="316" s="83">
      <c r="A316" s="36" t="inlineStr">
        <is>
          <t>100201</t>
        </is>
      </c>
      <c r="B316" s="36" t="n"/>
      <c r="C316" s="36" t="inlineStr">
        <is>
          <t>2025-04-03</t>
        </is>
      </c>
      <c r="D316" s="36" t="inlineStr">
        <is>
          <t>Q2802</t>
        </is>
      </c>
      <c r="E316" s="36" t="n"/>
      <c r="F316" s="36" t="inlineStr">
        <is>
          <t>浙江精准学科技有限公司</t>
        </is>
      </c>
      <c r="G316" s="36" t="inlineStr">
        <is>
          <t>记-36</t>
        </is>
      </c>
      <c r="H316" s="36" t="n"/>
      <c r="I316" s="96" t="n"/>
      <c r="J316" s="89" t="n">
        <v>4</v>
      </c>
      <c r="K316" s="40" t="n"/>
      <c r="L316" s="96" t="n"/>
      <c r="M316" s="36" t="n"/>
    </row>
    <row r="317" s="83">
      <c r="A317" s="37" t="inlineStr">
        <is>
          <t>100201</t>
        </is>
      </c>
      <c r="B317" s="37" t="n"/>
      <c r="C317" s="37" t="inlineStr">
        <is>
          <t>2025-04-03</t>
        </is>
      </c>
      <c r="D317" s="37" t="inlineStr">
        <is>
          <t>Q2802</t>
        </is>
      </c>
      <c r="E317" s="37" t="n"/>
      <c r="F317" s="37" t="inlineStr">
        <is>
          <t>浙江精准学科技有限公司</t>
        </is>
      </c>
      <c r="G317" s="37" t="inlineStr">
        <is>
          <t>记-36</t>
        </is>
      </c>
      <c r="H317" s="37" t="n"/>
      <c r="I317" s="89" t="n">
        <v>4</v>
      </c>
      <c r="J317" s="97" t="n"/>
      <c r="K317" s="42" t="n"/>
      <c r="L317" s="97" t="n"/>
      <c r="M317" s="37" t="n"/>
    </row>
    <row r="318" s="83">
      <c r="A318" s="36" t="inlineStr">
        <is>
          <t>100201</t>
        </is>
      </c>
      <c r="B318" s="36" t="n"/>
      <c r="C318" s="36" t="inlineStr">
        <is>
          <t>2025-04-07</t>
        </is>
      </c>
      <c r="D318" s="36" t="inlineStr">
        <is>
          <t>Q2802</t>
        </is>
      </c>
      <c r="E318" s="36" t="n"/>
      <c r="F318" s="36" t="inlineStr">
        <is>
          <t>浙江精准学科技有限公司</t>
        </is>
      </c>
      <c r="G318" s="36" t="inlineStr">
        <is>
          <t>记-49</t>
        </is>
      </c>
      <c r="H318" s="36" t="n"/>
      <c r="I318" s="96" t="n"/>
      <c r="J318" s="89" t="n">
        <v>4</v>
      </c>
      <c r="K318" s="40" t="n"/>
      <c r="L318" s="96" t="n"/>
      <c r="M318" s="36" t="n"/>
    </row>
    <row r="319" s="83">
      <c r="A319" s="37" t="inlineStr">
        <is>
          <t>100201</t>
        </is>
      </c>
      <c r="B319" s="37" t="n"/>
      <c r="C319" s="37" t="inlineStr">
        <is>
          <t>2025-04-18</t>
        </is>
      </c>
      <c r="D319" s="37" t="inlineStr">
        <is>
          <t>Q2802</t>
        </is>
      </c>
      <c r="E319" s="37" t="n"/>
      <c r="F319" s="37" t="inlineStr">
        <is>
          <t>浙江精准学科技有限公司</t>
        </is>
      </c>
      <c r="G319" s="37" t="inlineStr">
        <is>
          <t>记-154</t>
        </is>
      </c>
      <c r="H319" s="37" t="n"/>
      <c r="I319" s="97" t="n"/>
      <c r="J319" s="89" t="n">
        <v>4</v>
      </c>
      <c r="K319" s="42" t="n"/>
      <c r="L319" s="97" t="n"/>
      <c r="M319" s="37" t="n"/>
    </row>
    <row r="320" s="83">
      <c r="A320" s="36" t="inlineStr">
        <is>
          <t>100201</t>
        </is>
      </c>
      <c r="B320" s="36" t="n"/>
      <c r="C320" s="36" t="inlineStr">
        <is>
          <t>2025-04-21</t>
        </is>
      </c>
      <c r="D320" s="36" t="inlineStr">
        <is>
          <t>Q2802</t>
        </is>
      </c>
      <c r="E320" s="36" t="n"/>
      <c r="F320" s="36" t="inlineStr">
        <is>
          <t>浙江精准学科技有限公司</t>
        </is>
      </c>
      <c r="G320" s="36" t="inlineStr">
        <is>
          <t>记-177</t>
        </is>
      </c>
      <c r="H320" s="36" t="n"/>
      <c r="I320" s="96" t="n"/>
      <c r="J320" s="89" t="n">
        <v>4</v>
      </c>
      <c r="K320" s="40" t="n"/>
      <c r="L320" s="96" t="n"/>
      <c r="M320" s="36" t="n"/>
    </row>
    <row r="321" s="83">
      <c r="A321" s="37" t="inlineStr">
        <is>
          <t>100201</t>
        </is>
      </c>
      <c r="B321" s="37" t="n"/>
      <c r="C321" s="37" t="inlineStr">
        <is>
          <t>2025-04-23</t>
        </is>
      </c>
      <c r="D321" s="37" t="inlineStr">
        <is>
          <t>Q2802</t>
        </is>
      </c>
      <c r="E321" s="37" t="n"/>
      <c r="F321" s="37" t="inlineStr">
        <is>
          <t>浙江精准学科技有限公司</t>
        </is>
      </c>
      <c r="G321" s="37" t="inlineStr">
        <is>
          <t>记-190</t>
        </is>
      </c>
      <c r="H321" s="37" t="n"/>
      <c r="I321" s="97" t="n"/>
      <c r="J321" s="89" t="n">
        <v>4</v>
      </c>
      <c r="K321" s="42" t="n"/>
      <c r="L321" s="97" t="n"/>
      <c r="M321" s="37" t="n"/>
    </row>
    <row r="322" s="83">
      <c r="A322" s="36" t="inlineStr">
        <is>
          <t>100201</t>
        </is>
      </c>
      <c r="B322" s="36" t="n"/>
      <c r="C322" s="36" t="inlineStr">
        <is>
          <t>2025-04-25</t>
        </is>
      </c>
      <c r="D322" s="36" t="inlineStr">
        <is>
          <t>Q2907</t>
        </is>
      </c>
      <c r="E322" s="36" t="n"/>
      <c r="F322" s="36" t="inlineStr">
        <is>
          <t>浙江精准学科技有限公司</t>
        </is>
      </c>
      <c r="G322" s="36" t="inlineStr">
        <is>
          <t>记-207</t>
        </is>
      </c>
      <c r="H322" s="36" t="n"/>
      <c r="I322" s="96" t="n"/>
      <c r="J322" s="89" t="n">
        <v>4</v>
      </c>
      <c r="K322" s="40" t="n"/>
      <c r="L322" s="96" t="n"/>
      <c r="M322" s="36" t="n"/>
    </row>
    <row r="323" s="83">
      <c r="A323" s="37" t="inlineStr">
        <is>
          <t>100201</t>
        </is>
      </c>
      <c r="B323" s="37" t="n"/>
      <c r="C323" s="37" t="inlineStr">
        <is>
          <t>2025-04-30</t>
        </is>
      </c>
      <c r="D323" s="37" t="inlineStr">
        <is>
          <t>Q2802</t>
        </is>
      </c>
      <c r="E323" s="37" t="n"/>
      <c r="F323" s="37" t="inlineStr">
        <is>
          <t>浙江精准学科技有限公司</t>
        </is>
      </c>
      <c r="G323" s="37" t="inlineStr">
        <is>
          <t>记-259</t>
        </is>
      </c>
      <c r="H323" s="37" t="n"/>
      <c r="I323" s="97" t="n"/>
      <c r="J323" s="89" t="n">
        <v>4</v>
      </c>
      <c r="K323" s="42" t="n"/>
      <c r="L323" s="97" t="n"/>
      <c r="M323" s="37" t="n"/>
    </row>
    <row r="324" s="83">
      <c r="A324" s="36" t="inlineStr">
        <is>
          <t>100201</t>
        </is>
      </c>
      <c r="B324" s="36" t="n"/>
      <c r="C324" s="36" t="inlineStr">
        <is>
          <t>2025-04-30</t>
        </is>
      </c>
      <c r="D324" s="36" t="inlineStr">
        <is>
          <t>Q2804</t>
        </is>
      </c>
      <c r="E324" s="36" t="n"/>
      <c r="F324" s="36" t="inlineStr">
        <is>
          <t>浙江精准学科技有限公司</t>
        </is>
      </c>
      <c r="G324" s="36" t="inlineStr">
        <is>
          <t>记-261</t>
        </is>
      </c>
      <c r="H324" s="36" t="n"/>
      <c r="I324" s="96" t="n"/>
      <c r="J324" s="89" t="n">
        <v>4</v>
      </c>
      <c r="K324" s="40" t="n"/>
      <c r="L324" s="96" t="n"/>
      <c r="M324" s="36" t="n"/>
    </row>
    <row r="325" s="83">
      <c r="A325" s="36" t="inlineStr">
        <is>
          <t>100201</t>
        </is>
      </c>
      <c r="B325" s="36" t="n"/>
      <c r="C325" s="36" t="inlineStr">
        <is>
          <t>2025-04-01</t>
        </is>
      </c>
      <c r="D325" s="36" t="inlineStr">
        <is>
          <t>Q2805</t>
        </is>
      </c>
      <c r="E325" s="36" t="n"/>
      <c r="F325" s="36" t="inlineStr">
        <is>
          <t>浙江精准学科技有限公司</t>
        </is>
      </c>
      <c r="G325" s="36" t="inlineStr">
        <is>
          <t>记-6</t>
        </is>
      </c>
      <c r="H325" s="36" t="n"/>
      <c r="I325" s="96" t="n"/>
      <c r="J325" s="89" t="n">
        <v>4</v>
      </c>
      <c r="K325" s="40" t="n"/>
      <c r="L325" s="96" t="n"/>
      <c r="M325" s="36" t="n"/>
    </row>
    <row r="326" s="83">
      <c r="A326" s="37" t="inlineStr">
        <is>
          <t>100201</t>
        </is>
      </c>
      <c r="B326" s="37" t="n"/>
      <c r="C326" s="37" t="inlineStr">
        <is>
          <t>2025-04-01</t>
        </is>
      </c>
      <c r="D326" s="37" t="inlineStr">
        <is>
          <t>Q2805</t>
        </is>
      </c>
      <c r="E326" s="37" t="n"/>
      <c r="F326" s="37" t="inlineStr">
        <is>
          <t>浙江精准学科技有限公司</t>
        </is>
      </c>
      <c r="G326" s="37" t="inlineStr">
        <is>
          <t>记-7</t>
        </is>
      </c>
      <c r="H326" s="37" t="n"/>
      <c r="I326" s="97" t="n"/>
      <c r="J326" s="89" t="n">
        <v>4</v>
      </c>
      <c r="K326" s="42" t="n"/>
      <c r="L326" s="97" t="n"/>
      <c r="M326" s="37" t="n"/>
    </row>
    <row r="327" s="83">
      <c r="A327" s="36" t="inlineStr">
        <is>
          <t>100201</t>
        </is>
      </c>
      <c r="B327" s="36" t="n"/>
      <c r="C327" s="36" t="inlineStr">
        <is>
          <t>2025-04-02</t>
        </is>
      </c>
      <c r="D327" s="36" t="inlineStr">
        <is>
          <t>Q2901</t>
        </is>
      </c>
      <c r="E327" s="36" t="n"/>
      <c r="F327" s="36" t="inlineStr">
        <is>
          <t>浙江精准学科技有限公司</t>
        </is>
      </c>
      <c r="G327" s="36" t="inlineStr">
        <is>
          <t>记-19</t>
        </is>
      </c>
      <c r="H327" s="36" t="n"/>
      <c r="I327" s="96" t="n"/>
      <c r="J327" s="89" t="n">
        <v>4</v>
      </c>
      <c r="K327" s="40" t="n"/>
      <c r="L327" s="96" t="n"/>
      <c r="M327" s="36" t="n"/>
    </row>
    <row r="328" s="83">
      <c r="A328" s="37" t="inlineStr">
        <is>
          <t>100201</t>
        </is>
      </c>
      <c r="B328" s="37" t="n"/>
      <c r="C328" s="37" t="inlineStr">
        <is>
          <t>2025-04-07</t>
        </is>
      </c>
      <c r="D328" s="37" t="inlineStr">
        <is>
          <t>Q2901</t>
        </is>
      </c>
      <c r="E328" s="37" t="n"/>
      <c r="F328" s="37" t="inlineStr">
        <is>
          <t>浙江精准学科技有限公司</t>
        </is>
      </c>
      <c r="G328" s="37" t="inlineStr">
        <is>
          <t>记-50</t>
        </is>
      </c>
      <c r="H328" s="37" t="n"/>
      <c r="I328" s="97" t="n"/>
      <c r="J328" s="89" t="n">
        <v>4</v>
      </c>
      <c r="K328" s="42" t="n"/>
      <c r="L328" s="97" t="n"/>
      <c r="M328" s="37" t="n"/>
    </row>
    <row r="329" s="83">
      <c r="A329" s="37" t="inlineStr">
        <is>
          <t>100201</t>
        </is>
      </c>
      <c r="B329" s="37" t="n"/>
      <c r="C329" s="37" t="inlineStr">
        <is>
          <t>2025-04-02</t>
        </is>
      </c>
      <c r="D329" s="37" t="inlineStr">
        <is>
          <t>Q29010</t>
        </is>
      </c>
      <c r="E329" s="37" t="n"/>
      <c r="F329" s="37" t="inlineStr">
        <is>
          <t>浙江精准学科技有限公司</t>
        </is>
      </c>
      <c r="G329" s="37" t="inlineStr">
        <is>
          <t>记-23</t>
        </is>
      </c>
      <c r="H329" s="37" t="n"/>
      <c r="I329" s="97" t="n"/>
      <c r="J329" s="89" t="n">
        <v>4</v>
      </c>
      <c r="K329" s="42" t="n"/>
      <c r="L329" s="97" t="n"/>
      <c r="M329" s="37" t="n"/>
    </row>
    <row r="330" s="83">
      <c r="A330" s="36" t="inlineStr">
        <is>
          <t>100201</t>
        </is>
      </c>
      <c r="B330" s="36" t="n"/>
      <c r="C330" s="36" t="inlineStr">
        <is>
          <t>2025-04-17</t>
        </is>
      </c>
      <c r="D330" s="36" t="inlineStr">
        <is>
          <t>Q29010</t>
        </is>
      </c>
      <c r="E330" s="36" t="n"/>
      <c r="F330" s="36" t="inlineStr">
        <is>
          <t>浙江精准学科技有限公司</t>
        </is>
      </c>
      <c r="G330" s="36" t="inlineStr">
        <is>
          <t>记-147</t>
        </is>
      </c>
      <c r="H330" s="36" t="n"/>
      <c r="I330" s="96" t="n"/>
      <c r="J330" s="89" t="n">
        <v>4</v>
      </c>
      <c r="K330" s="40" t="n"/>
      <c r="L330" s="96" t="n"/>
      <c r="M330" s="36" t="n"/>
    </row>
    <row r="331" s="83">
      <c r="A331" s="37" t="inlineStr">
        <is>
          <t>100201</t>
        </is>
      </c>
      <c r="B331" s="37" t="n"/>
      <c r="C331" s="37" t="inlineStr">
        <is>
          <t>2025-04-17</t>
        </is>
      </c>
      <c r="D331" s="37" t="inlineStr">
        <is>
          <t>Q29010</t>
        </is>
      </c>
      <c r="E331" s="37" t="n"/>
      <c r="F331" s="37" t="inlineStr">
        <is>
          <t>浙江精准学科技有限公司</t>
        </is>
      </c>
      <c r="G331" s="37" t="inlineStr">
        <is>
          <t>记-148</t>
        </is>
      </c>
      <c r="H331" s="37" t="n"/>
      <c r="I331" s="97" t="n"/>
      <c r="J331" s="89" t="n">
        <v>4</v>
      </c>
      <c r="K331" s="42" t="n"/>
      <c r="L331" s="97" t="n"/>
      <c r="M331" s="37" t="n"/>
    </row>
    <row r="332" s="83">
      <c r="A332" s="36" t="inlineStr">
        <is>
          <t>100201</t>
        </is>
      </c>
      <c r="B332" s="36" t="n"/>
      <c r="C332" s="36" t="inlineStr">
        <is>
          <t>2025-04-29</t>
        </is>
      </c>
      <c r="D332" s="36" t="inlineStr">
        <is>
          <t>Q29010</t>
        </is>
      </c>
      <c r="E332" s="36" t="n"/>
      <c r="F332" s="36" t="inlineStr">
        <is>
          <t>浙江精准学科技有限公司</t>
        </is>
      </c>
      <c r="G332" s="36" t="inlineStr">
        <is>
          <t>记-241</t>
        </is>
      </c>
      <c r="H332" s="36" t="n"/>
      <c r="I332" s="96" t="n"/>
      <c r="J332" s="89" t="n">
        <v>4</v>
      </c>
      <c r="K332" s="40" t="n"/>
      <c r="L332" s="96" t="n"/>
      <c r="M332" s="36" t="n"/>
    </row>
    <row r="333" s="83">
      <c r="A333" s="36" t="inlineStr">
        <is>
          <t>100201</t>
        </is>
      </c>
      <c r="B333" s="36" t="n"/>
      <c r="C333" s="36" t="inlineStr">
        <is>
          <t>2025-04-10</t>
        </is>
      </c>
      <c r="D333" s="36" t="inlineStr">
        <is>
          <t>Q2902</t>
        </is>
      </c>
      <c r="E333" s="36" t="n"/>
      <c r="F333" s="36" t="inlineStr">
        <is>
          <t>浙江精准学科技有限公司</t>
        </is>
      </c>
      <c r="G333" s="36" t="inlineStr">
        <is>
          <t>记-81</t>
        </is>
      </c>
      <c r="H333" s="36" t="n"/>
      <c r="I333" s="96" t="n"/>
      <c r="J333" s="89" t="n">
        <v>4</v>
      </c>
      <c r="K333" s="40" t="n"/>
      <c r="L333" s="96" t="n"/>
      <c r="M333" s="36" t="n"/>
    </row>
    <row r="334" s="83">
      <c r="A334" s="37" t="inlineStr">
        <is>
          <t>100201</t>
        </is>
      </c>
      <c r="B334" s="37" t="n"/>
      <c r="C334" s="37" t="inlineStr">
        <is>
          <t>2025-04-30</t>
        </is>
      </c>
      <c r="D334" s="37" t="inlineStr">
        <is>
          <t>Q2902</t>
        </is>
      </c>
      <c r="E334" s="37" t="n"/>
      <c r="F334" s="37" t="inlineStr">
        <is>
          <t>浙江精准学科技有限公司</t>
        </is>
      </c>
      <c r="G334" s="37" t="inlineStr">
        <is>
          <t>记-251</t>
        </is>
      </c>
      <c r="H334" s="37" t="n"/>
      <c r="I334" s="97" t="n"/>
      <c r="J334" s="89" t="n">
        <v>4</v>
      </c>
      <c r="K334" s="42" t="n"/>
      <c r="L334" s="97" t="n"/>
      <c r="M334" s="37" t="n"/>
    </row>
    <row r="335" s="83">
      <c r="A335" s="36" t="inlineStr">
        <is>
          <t>100201</t>
        </is>
      </c>
      <c r="B335" s="36" t="n"/>
      <c r="C335" s="36" t="inlineStr">
        <is>
          <t>2025-04-30</t>
        </is>
      </c>
      <c r="D335" s="36" t="inlineStr">
        <is>
          <t>Q2902</t>
        </is>
      </c>
      <c r="E335" s="36" t="n"/>
      <c r="F335" s="36" t="inlineStr">
        <is>
          <t>浙江精准学科技有限公司</t>
        </is>
      </c>
      <c r="G335" s="36" t="inlineStr">
        <is>
          <t>记-260</t>
        </is>
      </c>
      <c r="H335" s="36" t="n"/>
      <c r="I335" s="96" t="n"/>
      <c r="J335" s="89" t="n">
        <v>4</v>
      </c>
      <c r="K335" s="40" t="n"/>
      <c r="L335" s="96" t="n"/>
      <c r="M335" s="36" t="n"/>
    </row>
    <row r="336" s="83">
      <c r="A336" s="37" t="inlineStr">
        <is>
          <t>100201</t>
        </is>
      </c>
      <c r="B336" s="37" t="n"/>
      <c r="C336" s="37" t="inlineStr">
        <is>
          <t>2025-04-05</t>
        </is>
      </c>
      <c r="D336" s="37" t="inlineStr">
        <is>
          <t>Q2904</t>
        </is>
      </c>
      <c r="E336" s="37" t="n"/>
      <c r="F336" s="37" t="inlineStr">
        <is>
          <t>浙江精准学科技有限公司</t>
        </is>
      </c>
      <c r="G336" s="37" t="inlineStr">
        <is>
          <t>记-41</t>
        </is>
      </c>
      <c r="H336" s="37" t="n"/>
      <c r="I336" s="97" t="n"/>
      <c r="J336" s="89" t="n">
        <v>4</v>
      </c>
      <c r="K336" s="42" t="n"/>
      <c r="L336" s="97" t="n"/>
      <c r="M336" s="37" t="n"/>
    </row>
    <row r="337" s="83">
      <c r="A337" s="37" t="inlineStr">
        <is>
          <t>100201</t>
        </is>
      </c>
      <c r="B337" s="37" t="n"/>
      <c r="C337" s="37" t="inlineStr">
        <is>
          <t>2025-04-25</t>
        </is>
      </c>
      <c r="D337" s="37" t="inlineStr">
        <is>
          <t>Q2905</t>
        </is>
      </c>
      <c r="E337" s="37" t="n"/>
      <c r="F337" s="37" t="inlineStr">
        <is>
          <t>浙江精准学科技有限公司</t>
        </is>
      </c>
      <c r="G337" s="37" t="inlineStr">
        <is>
          <t>记-202</t>
        </is>
      </c>
      <c r="H337" s="37" t="n"/>
      <c r="I337" s="97" t="n"/>
      <c r="J337" s="89" t="n">
        <v>4</v>
      </c>
      <c r="K337" s="42" t="n"/>
      <c r="L337" s="97" t="n"/>
      <c r="M337" s="37" t="n"/>
    </row>
    <row r="338" s="83">
      <c r="A338" s="37" t="inlineStr">
        <is>
          <t>100201</t>
        </is>
      </c>
      <c r="B338" s="37" t="n"/>
      <c r="C338" s="37" t="inlineStr">
        <is>
          <t>2025-04-10</t>
        </is>
      </c>
      <c r="D338" s="37" t="inlineStr">
        <is>
          <t>Q2907</t>
        </is>
      </c>
      <c r="E338" s="37" t="n"/>
      <c r="F338" s="37" t="inlineStr">
        <is>
          <t>浙江精准学科技有限公司</t>
        </is>
      </c>
      <c r="G338" s="37" t="inlineStr">
        <is>
          <t>记-77</t>
        </is>
      </c>
      <c r="H338" s="37" t="n"/>
      <c r="I338" s="89" t="n">
        <v>4</v>
      </c>
      <c r="J338" s="97" t="n"/>
      <c r="K338" s="42" t="n"/>
      <c r="L338" s="97" t="n"/>
      <c r="M338" s="37" t="n"/>
    </row>
    <row r="339" s="83">
      <c r="A339" s="36" t="inlineStr">
        <is>
          <t>100201</t>
        </is>
      </c>
      <c r="B339" s="36" t="n"/>
      <c r="C339" s="36" t="inlineStr">
        <is>
          <t>2025-04-11</t>
        </is>
      </c>
      <c r="D339" s="36" t="inlineStr">
        <is>
          <t>Q2907</t>
        </is>
      </c>
      <c r="E339" s="36" t="n"/>
      <c r="F339" s="36" t="inlineStr">
        <is>
          <t>浙江精准学科技有限公司</t>
        </is>
      </c>
      <c r="G339" s="36" t="inlineStr">
        <is>
          <t>记-100</t>
        </is>
      </c>
      <c r="H339" s="36" t="n"/>
      <c r="I339" s="96" t="n"/>
      <c r="J339" s="89" t="n">
        <v>4</v>
      </c>
      <c r="K339" s="40" t="n"/>
      <c r="L339" s="96" t="n"/>
      <c r="M339" s="36" t="n"/>
    </row>
    <row r="340" s="83">
      <c r="A340" s="37" t="inlineStr">
        <is>
          <t>100201</t>
        </is>
      </c>
      <c r="B340" s="37" t="n"/>
      <c r="C340" s="37" t="inlineStr">
        <is>
          <t>2025-04-22</t>
        </is>
      </c>
      <c r="D340" s="37" t="inlineStr">
        <is>
          <t>Q2907</t>
        </is>
      </c>
      <c r="E340" s="37" t="n"/>
      <c r="F340" s="37" t="inlineStr">
        <is>
          <t>浙江精准学科技有限公司</t>
        </is>
      </c>
      <c r="G340" s="37" t="inlineStr">
        <is>
          <t>记-181</t>
        </is>
      </c>
      <c r="H340" s="37" t="n"/>
      <c r="I340" s="89" t="n">
        <v>4</v>
      </c>
      <c r="J340" s="97" t="n"/>
      <c r="K340" s="42" t="n"/>
      <c r="L340" s="97" t="n"/>
      <c r="M340" s="37" t="n"/>
    </row>
    <row r="341" s="83">
      <c r="A341" s="36" t="inlineStr">
        <is>
          <t>100201</t>
        </is>
      </c>
      <c r="B341" s="36" t="n"/>
      <c r="C341" s="36" t="inlineStr">
        <is>
          <t>2025-04-23</t>
        </is>
      </c>
      <c r="D341" s="36" t="inlineStr">
        <is>
          <t>Q2907</t>
        </is>
      </c>
      <c r="E341" s="36" t="n"/>
      <c r="F341" s="36" t="inlineStr">
        <is>
          <t>浙江精准学科技有限公司</t>
        </is>
      </c>
      <c r="G341" s="36" t="inlineStr">
        <is>
          <t>记-189</t>
        </is>
      </c>
      <c r="H341" s="36" t="n"/>
      <c r="I341" s="89" t="n">
        <v>4</v>
      </c>
      <c r="J341" s="96" t="n"/>
      <c r="K341" s="40" t="n"/>
      <c r="L341" s="96" t="n"/>
      <c r="M341" s="36" t="n"/>
    </row>
    <row r="342" s="83">
      <c r="A342" s="37" t="inlineStr">
        <is>
          <t>100201</t>
        </is>
      </c>
      <c r="B342" s="37" t="n"/>
      <c r="C342" s="37" t="inlineStr">
        <is>
          <t>2025-04-25</t>
        </is>
      </c>
      <c r="D342" s="37" t="inlineStr">
        <is>
          <t>Q2907</t>
        </is>
      </c>
      <c r="E342" s="37" t="n"/>
      <c r="F342" s="37" t="inlineStr">
        <is>
          <t>浙江精准学科技有限公司</t>
        </is>
      </c>
      <c r="G342" s="37" t="inlineStr">
        <is>
          <t>记-210</t>
        </is>
      </c>
      <c r="H342" s="37" t="n"/>
      <c r="I342" s="89" t="n">
        <v>4</v>
      </c>
      <c r="J342" s="97" t="n"/>
      <c r="K342" s="42" t="n"/>
      <c r="L342" s="97" t="n"/>
      <c r="M342" s="37" t="n"/>
    </row>
    <row r="343" s="83">
      <c r="A343" s="36" t="inlineStr">
        <is>
          <t>100201</t>
        </is>
      </c>
      <c r="B343" s="36" t="n"/>
      <c r="C343" s="36" t="inlineStr">
        <is>
          <t>2025-04-29</t>
        </is>
      </c>
      <c r="D343" s="36" t="inlineStr">
        <is>
          <t>Q2907</t>
        </is>
      </c>
      <c r="E343" s="36" t="n"/>
      <c r="F343" s="36" t="inlineStr">
        <is>
          <t>浙江精准学科技有限公司</t>
        </is>
      </c>
      <c r="G343" s="36" t="inlineStr">
        <is>
          <t>记-242</t>
        </is>
      </c>
      <c r="H343" s="36" t="n"/>
      <c r="I343" s="96" t="n"/>
      <c r="J343" s="89" t="n">
        <v>4</v>
      </c>
      <c r="K343" s="40" t="n"/>
      <c r="L343" s="96" t="n"/>
      <c r="M343" s="36" t="n"/>
    </row>
    <row r="344" s="83">
      <c r="A344" s="37" t="inlineStr">
        <is>
          <t>100201</t>
        </is>
      </c>
      <c r="B344" s="37" t="n"/>
      <c r="C344" s="37" t="inlineStr">
        <is>
          <t>2025-04-30</t>
        </is>
      </c>
      <c r="D344" s="37" t="inlineStr">
        <is>
          <t>Q2907</t>
        </is>
      </c>
      <c r="E344" s="37" t="n"/>
      <c r="F344" s="37" t="inlineStr">
        <is>
          <t>浙江精准学科技有限公司</t>
        </is>
      </c>
      <c r="G344" s="37" t="inlineStr">
        <is>
          <t>记-253</t>
        </is>
      </c>
      <c r="H344" s="37" t="n"/>
      <c r="I344" s="97" t="n"/>
      <c r="J344" s="89" t="n">
        <v>4</v>
      </c>
      <c r="K344" s="42" t="n"/>
      <c r="L344" s="97" t="n"/>
      <c r="M344" s="37" t="n"/>
    </row>
    <row r="345" s="83">
      <c r="A345" s="37" t="inlineStr">
        <is>
          <t>100201</t>
        </is>
      </c>
      <c r="B345" s="37" t="n"/>
      <c r="C345" s="37" t="inlineStr">
        <is>
          <t>2025-04-16</t>
        </is>
      </c>
      <c r="D345" s="37" t="inlineStr">
        <is>
          <t>Q2908</t>
        </is>
      </c>
      <c r="E345" s="37" t="n"/>
      <c r="F345" s="37" t="inlineStr">
        <is>
          <t>浙江精准学科技有限公司</t>
        </is>
      </c>
      <c r="G345" s="37" t="inlineStr">
        <is>
          <t>记-137</t>
        </is>
      </c>
      <c r="H345" s="37" t="n"/>
      <c r="I345" s="97" t="n"/>
      <c r="J345" s="89" t="n">
        <v>4</v>
      </c>
      <c r="K345" s="42" t="n"/>
      <c r="L345" s="97" t="n"/>
      <c r="M345" s="37" t="n"/>
    </row>
    <row r="346" s="83">
      <c r="A346" s="36" t="inlineStr">
        <is>
          <t>100201</t>
        </is>
      </c>
      <c r="B346" s="36" t="n"/>
      <c r="C346" s="36" t="inlineStr">
        <is>
          <t>2025-04-18</t>
        </is>
      </c>
      <c r="D346" s="36" t="inlineStr">
        <is>
          <t>Q2908</t>
        </is>
      </c>
      <c r="E346" s="36" t="n"/>
      <c r="F346" s="36" t="inlineStr">
        <is>
          <t>浙江精准学科技有限公司</t>
        </is>
      </c>
      <c r="G346" s="36" t="inlineStr">
        <is>
          <t>记-161</t>
        </is>
      </c>
      <c r="H346" s="36" t="n"/>
      <c r="I346" s="96" t="n"/>
      <c r="J346" s="89" t="n">
        <v>4</v>
      </c>
      <c r="K346" s="40" t="n"/>
      <c r="L346" s="96" t="n"/>
      <c r="M346" s="36" t="n"/>
    </row>
    <row r="347" s="83">
      <c r="A347" s="37" t="inlineStr">
        <is>
          <t>100201</t>
        </is>
      </c>
      <c r="B347" s="37" t="n"/>
      <c r="C347" s="37" t="inlineStr">
        <is>
          <t>2025-04-18</t>
        </is>
      </c>
      <c r="D347" s="37" t="inlineStr">
        <is>
          <t>Q3003</t>
        </is>
      </c>
      <c r="E347" s="37" t="n"/>
      <c r="F347" s="37" t="inlineStr">
        <is>
          <t>浙江精准学科技有限公司</t>
        </is>
      </c>
      <c r="G347" s="37" t="inlineStr">
        <is>
          <t>记-164</t>
        </is>
      </c>
      <c r="H347" s="37" t="n"/>
      <c r="I347" s="97" t="n"/>
      <c r="J347" s="89" t="n">
        <v>4</v>
      </c>
      <c r="K347" s="42" t="n"/>
      <c r="L347" s="97" t="n"/>
      <c r="M347" s="37" t="n"/>
    </row>
    <row r="348" s="83">
      <c r="A348" s="36" t="inlineStr">
        <is>
          <t>100201</t>
        </is>
      </c>
      <c r="B348" s="36" t="n"/>
      <c r="C348" s="36" t="inlineStr">
        <is>
          <t>2025-04-14</t>
        </is>
      </c>
      <c r="D348" s="36" t="inlineStr">
        <is>
          <t>Q3101</t>
        </is>
      </c>
      <c r="E348" s="36" t="n"/>
      <c r="F348" s="36" t="inlineStr">
        <is>
          <t>浙江精准学科技有限公司</t>
        </is>
      </c>
      <c r="G348" s="36" t="inlineStr">
        <is>
          <t>记-114</t>
        </is>
      </c>
      <c r="H348" s="36" t="n"/>
      <c r="I348" s="96" t="n"/>
      <c r="J348" s="89" t="n">
        <v>4</v>
      </c>
      <c r="K348" s="40" t="n"/>
      <c r="L348" s="96" t="n"/>
      <c r="M348" s="36" t="n"/>
    </row>
    <row r="349" s="83">
      <c r="A349" s="37" t="inlineStr">
        <is>
          <t>100201</t>
        </is>
      </c>
      <c r="B349" s="37" t="n"/>
      <c r="C349" s="37" t="inlineStr">
        <is>
          <t>2025-04-01</t>
        </is>
      </c>
      <c r="D349" s="37" t="inlineStr">
        <is>
          <t>Q3103</t>
        </is>
      </c>
      <c r="E349" s="37" t="n"/>
      <c r="F349" s="37" t="inlineStr">
        <is>
          <t>浙江精准学科技有限公司</t>
        </is>
      </c>
      <c r="G349" s="37" t="inlineStr">
        <is>
          <t>记-12</t>
        </is>
      </c>
      <c r="H349" s="37" t="n"/>
      <c r="I349" s="97" t="n"/>
      <c r="J349" s="89" t="n">
        <v>4</v>
      </c>
      <c r="K349" s="42" t="n"/>
      <c r="L349" s="97" t="n"/>
      <c r="M349" s="37" t="n"/>
    </row>
    <row r="350" s="83">
      <c r="A350" s="37" t="inlineStr">
        <is>
          <t>100201</t>
        </is>
      </c>
      <c r="B350" s="37" t="n"/>
      <c r="C350" s="37" t="inlineStr">
        <is>
          <t>2025-04-11</t>
        </is>
      </c>
      <c r="D350" s="37" t="inlineStr">
        <is>
          <t>Q3105</t>
        </is>
      </c>
      <c r="E350" s="37" t="n"/>
      <c r="F350" s="37" t="inlineStr">
        <is>
          <t>浙江精准学科技有限公司</t>
        </is>
      </c>
      <c r="G350" s="37" t="inlineStr">
        <is>
          <t>记-103</t>
        </is>
      </c>
      <c r="H350" s="37" t="n"/>
      <c r="I350" s="89" t="n">
        <v>4</v>
      </c>
      <c r="J350" s="97" t="n"/>
      <c r="K350" s="42" t="n"/>
      <c r="L350" s="97" t="n"/>
      <c r="M350" s="37" t="n"/>
    </row>
    <row r="351" s="83">
      <c r="A351" s="36" t="inlineStr">
        <is>
          <t>100201</t>
        </is>
      </c>
      <c r="B351" s="36" t="n"/>
      <c r="C351" s="36" t="inlineStr">
        <is>
          <t>2025-04-11</t>
        </is>
      </c>
      <c r="D351" s="36" t="inlineStr">
        <is>
          <t>Q3105</t>
        </is>
      </c>
      <c r="E351" s="36" t="n"/>
      <c r="F351" s="36" t="inlineStr">
        <is>
          <t>浙江精准学科技有限公司</t>
        </is>
      </c>
      <c r="G351" s="36" t="inlineStr">
        <is>
          <t>记-104</t>
        </is>
      </c>
      <c r="H351" s="36" t="n"/>
      <c r="I351" s="89" t="n">
        <v>4</v>
      </c>
      <c r="J351" s="96" t="n"/>
      <c r="K351" s="40" t="n"/>
      <c r="L351" s="96" t="n"/>
      <c r="M351" s="36" t="n"/>
    </row>
    <row r="352" s="83">
      <c r="A352" s="37" t="inlineStr">
        <is>
          <t>100201</t>
        </is>
      </c>
      <c r="B352" s="37" t="n"/>
      <c r="C352" s="37" t="inlineStr">
        <is>
          <t>2025-04-14</t>
        </is>
      </c>
      <c r="D352" s="37" t="inlineStr">
        <is>
          <t>Q3204</t>
        </is>
      </c>
      <c r="E352" s="37" t="n"/>
      <c r="F352" s="37" t="inlineStr">
        <is>
          <t>浙江精准学科技有限公司</t>
        </is>
      </c>
      <c r="G352" s="37" t="inlineStr">
        <is>
          <t>记-118</t>
        </is>
      </c>
      <c r="H352" s="37" t="n"/>
      <c r="I352" s="97" t="n"/>
      <c r="J352" s="89" t="n">
        <v>4</v>
      </c>
      <c r="K352" s="42" t="n"/>
      <c r="L352" s="97" t="n"/>
      <c r="M352" s="37" t="n"/>
    </row>
    <row r="353" s="83">
      <c r="A353" s="36" t="inlineStr">
        <is>
          <t>100201</t>
        </is>
      </c>
      <c r="B353" s="36" t="n"/>
      <c r="C353" s="36" t="inlineStr">
        <is>
          <t>2025-04-09</t>
        </is>
      </c>
      <c r="D353" s="36" t="inlineStr">
        <is>
          <t>Q3205</t>
        </is>
      </c>
      <c r="E353" s="36" t="n"/>
      <c r="F353" s="36" t="inlineStr">
        <is>
          <t>浙江精准学科技有限公司</t>
        </is>
      </c>
      <c r="G353" s="36" t="inlineStr">
        <is>
          <t>记-71</t>
        </is>
      </c>
      <c r="H353" s="36" t="n"/>
      <c r="I353" s="96" t="n"/>
      <c r="J353" s="89" t="n">
        <v>4</v>
      </c>
      <c r="K353" s="40" t="n"/>
      <c r="L353" s="96" t="n"/>
      <c r="M353" s="36" t="n"/>
    </row>
    <row r="354" s="83">
      <c r="A354" s="36" t="inlineStr">
        <is>
          <t>100201</t>
        </is>
      </c>
      <c r="B354" s="36" t="n"/>
      <c r="C354" s="36" t="inlineStr">
        <is>
          <t>2025-04-01</t>
        </is>
      </c>
      <c r="D354" s="36" t="inlineStr">
        <is>
          <t>Q3206</t>
        </is>
      </c>
      <c r="E354" s="36" t="n"/>
      <c r="F354" s="36" t="inlineStr">
        <is>
          <t>浙江精准学科技有限公司</t>
        </is>
      </c>
      <c r="G354" s="36" t="inlineStr">
        <is>
          <t>记-4</t>
        </is>
      </c>
      <c r="H354" s="36" t="n"/>
      <c r="I354" s="96" t="n"/>
      <c r="J354" s="89" t="n">
        <v>4</v>
      </c>
      <c r="K354" s="40" t="n"/>
      <c r="L354" s="96" t="n"/>
      <c r="M354" s="36" t="n"/>
    </row>
    <row r="355" s="83">
      <c r="A355" s="37" t="inlineStr">
        <is>
          <t>100201</t>
        </is>
      </c>
      <c r="B355" s="37" t="n"/>
      <c r="C355" s="37" t="inlineStr">
        <is>
          <t>2025-04-01</t>
        </is>
      </c>
      <c r="D355" s="37" t="inlineStr">
        <is>
          <t>Q3206</t>
        </is>
      </c>
      <c r="E355" s="37" t="n"/>
      <c r="F355" s="37" t="inlineStr">
        <is>
          <t>浙江精准学科技有限公司</t>
        </is>
      </c>
      <c r="G355" s="37" t="inlineStr">
        <is>
          <t>记-4</t>
        </is>
      </c>
      <c r="H355" s="37" t="n"/>
      <c r="I355" s="89" t="n">
        <v>4</v>
      </c>
      <c r="J355" s="97" t="n"/>
      <c r="K355" s="42" t="n"/>
      <c r="L355" s="97" t="n"/>
      <c r="M355" s="37" t="n"/>
    </row>
    <row r="356" s="83">
      <c r="A356" s="36" t="inlineStr">
        <is>
          <t>100201</t>
        </is>
      </c>
      <c r="B356" s="36" t="n"/>
      <c r="C356" s="36" t="inlineStr">
        <is>
          <t>2025-04-10</t>
        </is>
      </c>
      <c r="D356" s="36" t="inlineStr">
        <is>
          <t>Q3206</t>
        </is>
      </c>
      <c r="E356" s="36" t="n"/>
      <c r="F356" s="36" t="inlineStr">
        <is>
          <t>浙江精准学科技有限公司</t>
        </is>
      </c>
      <c r="G356" s="36" t="inlineStr">
        <is>
          <t>记-84</t>
        </is>
      </c>
      <c r="H356" s="36" t="n"/>
      <c r="I356" s="96" t="n"/>
      <c r="J356" s="89" t="n">
        <v>4</v>
      </c>
      <c r="K356" s="40" t="n"/>
      <c r="L356" s="96" t="n"/>
      <c r="M356" s="36" t="n"/>
    </row>
    <row r="357" s="83">
      <c r="A357" s="37" t="inlineStr">
        <is>
          <t>100201</t>
        </is>
      </c>
      <c r="B357" s="37" t="n"/>
      <c r="C357" s="37" t="inlineStr">
        <is>
          <t>2025-04-10</t>
        </is>
      </c>
      <c r="D357" s="37" t="inlineStr">
        <is>
          <t>Q3206</t>
        </is>
      </c>
      <c r="E357" s="37" t="n"/>
      <c r="F357" s="37" t="inlineStr">
        <is>
          <t>浙江精准学科技有限公司</t>
        </is>
      </c>
      <c r="G357" s="37" t="inlineStr">
        <is>
          <t>记-86</t>
        </is>
      </c>
      <c r="H357" s="37" t="n"/>
      <c r="I357" s="97" t="n"/>
      <c r="J357" s="89" t="n">
        <v>4</v>
      </c>
      <c r="K357" s="42" t="n"/>
      <c r="L357" s="97" t="n"/>
      <c r="M357" s="37" t="n"/>
    </row>
    <row r="358" s="83">
      <c r="A358" s="36" t="inlineStr">
        <is>
          <t>100201</t>
        </is>
      </c>
      <c r="B358" s="36" t="n"/>
      <c r="C358" s="36" t="inlineStr">
        <is>
          <t>2025-04-25</t>
        </is>
      </c>
      <c r="D358" s="36" t="inlineStr">
        <is>
          <t>Q3206</t>
        </is>
      </c>
      <c r="E358" s="36" t="n"/>
      <c r="F358" s="36" t="inlineStr">
        <is>
          <t>浙江精准学科技有限公司</t>
        </is>
      </c>
      <c r="G358" s="36" t="inlineStr">
        <is>
          <t>记-209</t>
        </is>
      </c>
      <c r="H358" s="36" t="n"/>
      <c r="I358" s="96" t="n"/>
      <c r="J358" s="89" t="n">
        <v>4</v>
      </c>
      <c r="K358" s="40" t="n"/>
      <c r="L358" s="96" t="n"/>
      <c r="M358" s="36" t="n"/>
    </row>
    <row r="359" s="83">
      <c r="A359" s="37" t="inlineStr">
        <is>
          <t>100201</t>
        </is>
      </c>
      <c r="B359" s="37" t="n"/>
      <c r="C359" s="37" t="inlineStr">
        <is>
          <t>2025-04-28</t>
        </is>
      </c>
      <c r="D359" s="37" t="inlineStr">
        <is>
          <t>Q3206</t>
        </is>
      </c>
      <c r="E359" s="37" t="n"/>
      <c r="F359" s="37" t="inlineStr">
        <is>
          <t>浙江精准学科技有限公司</t>
        </is>
      </c>
      <c r="G359" s="37" t="inlineStr">
        <is>
          <t>记-229</t>
        </is>
      </c>
      <c r="H359" s="37" t="n"/>
      <c r="I359" s="97" t="n"/>
      <c r="J359" s="89" t="n">
        <v>4</v>
      </c>
      <c r="K359" s="42" t="n"/>
      <c r="L359" s="97" t="n"/>
      <c r="M359" s="37" t="n"/>
    </row>
    <row r="360" s="83">
      <c r="A360" s="37" t="inlineStr">
        <is>
          <t>100201</t>
        </is>
      </c>
      <c r="B360" s="37" t="n"/>
      <c r="C360" s="37" t="inlineStr">
        <is>
          <t>2025-04-09</t>
        </is>
      </c>
      <c r="D360" s="37" t="inlineStr">
        <is>
          <t>Q3208</t>
        </is>
      </c>
      <c r="E360" s="37" t="n"/>
      <c r="F360" s="37" t="inlineStr">
        <is>
          <t>浙江精准学科技有限公司</t>
        </is>
      </c>
      <c r="G360" s="37" t="inlineStr">
        <is>
          <t>记-71</t>
        </is>
      </c>
      <c r="H360" s="37" t="n"/>
      <c r="I360" s="97" t="n"/>
      <c r="J360" s="89" t="n">
        <v>4</v>
      </c>
      <c r="K360" s="42" t="n"/>
      <c r="L360" s="97" t="n"/>
      <c r="M360" s="37" t="n"/>
    </row>
    <row r="361" s="83">
      <c r="A361" s="36" t="inlineStr">
        <is>
          <t>100202</t>
        </is>
      </c>
      <c r="B361" s="36" t="n"/>
      <c r="C361" s="36" t="inlineStr">
        <is>
          <t>2025-04-11</t>
        </is>
      </c>
      <c r="D361" s="36" t="inlineStr">
        <is>
          <t>Q0401</t>
        </is>
      </c>
      <c r="E361" s="36" t="n"/>
      <c r="F361" s="36" t="inlineStr">
        <is>
          <t>浙江精准学科技有限公司</t>
        </is>
      </c>
      <c r="G361" s="36" t="inlineStr">
        <is>
          <t>记-103</t>
        </is>
      </c>
      <c r="H361" s="36" t="n"/>
      <c r="I361" s="96" t="n"/>
      <c r="J361" s="89" t="n">
        <v>4</v>
      </c>
      <c r="K361" s="40" t="n"/>
      <c r="L361" s="96" t="n"/>
      <c r="M361" s="36" t="n"/>
    </row>
    <row r="362" s="83">
      <c r="A362" s="37" t="inlineStr">
        <is>
          <t>100202</t>
        </is>
      </c>
      <c r="B362" s="37" t="n"/>
      <c r="C362" s="37" t="inlineStr">
        <is>
          <t>2025-04-11</t>
        </is>
      </c>
      <c r="D362" s="37" t="inlineStr">
        <is>
          <t>Q0401</t>
        </is>
      </c>
      <c r="E362" s="37" t="n"/>
      <c r="F362" s="37" t="inlineStr">
        <is>
          <t>浙江精准学科技有限公司</t>
        </is>
      </c>
      <c r="G362" s="37" t="inlineStr">
        <is>
          <t>记-104</t>
        </is>
      </c>
      <c r="H362" s="37" t="n"/>
      <c r="I362" s="97" t="n"/>
      <c r="J362" s="89" t="n">
        <v>4</v>
      </c>
      <c r="K362" s="42" t="n"/>
      <c r="L362" s="97" t="n"/>
      <c r="M362" s="37" t="n"/>
    </row>
    <row r="363" s="83">
      <c r="A363" s="36" t="inlineStr">
        <is>
          <t>100202</t>
        </is>
      </c>
      <c r="B363" s="36" t="n"/>
      <c r="C363" s="36" t="inlineStr">
        <is>
          <t>2025-04-30</t>
        </is>
      </c>
      <c r="D363" s="36" t="inlineStr">
        <is>
          <t>Q0401</t>
        </is>
      </c>
      <c r="E363" s="36" t="n"/>
      <c r="F363" s="36" t="inlineStr">
        <is>
          <t>浙江精准学科技有限公司</t>
        </is>
      </c>
      <c r="G363" s="36" t="inlineStr">
        <is>
          <t>记-280</t>
        </is>
      </c>
      <c r="H363" s="36" t="n"/>
      <c r="I363" s="96" t="n"/>
      <c r="J363" s="89" t="n">
        <v>4</v>
      </c>
      <c r="K363" s="40" t="n"/>
      <c r="L363" s="96" t="n"/>
      <c r="M363" s="36" t="n"/>
    </row>
    <row r="364" s="83">
      <c r="A364" s="37" t="inlineStr">
        <is>
          <t>100202</t>
        </is>
      </c>
      <c r="B364" s="37" t="n"/>
      <c r="C364" s="37" t="inlineStr">
        <is>
          <t>2025-04-30</t>
        </is>
      </c>
      <c r="D364" s="37" t="inlineStr">
        <is>
          <t>Q0401</t>
        </is>
      </c>
      <c r="E364" s="37" t="n"/>
      <c r="F364" s="37" t="inlineStr">
        <is>
          <t>浙江精准学科技有限公司</t>
        </is>
      </c>
      <c r="G364" s="37" t="inlineStr">
        <is>
          <t>记-280</t>
        </is>
      </c>
      <c r="H364" s="37" t="n"/>
      <c r="I364" s="97" t="n"/>
      <c r="J364" s="89" t="n">
        <v>4</v>
      </c>
      <c r="K364" s="42" t="n"/>
      <c r="L364" s="97" t="n"/>
      <c r="M364" s="37" t="n"/>
    </row>
    <row r="365" s="83">
      <c r="A365" s="36" t="inlineStr">
        <is>
          <t>100202</t>
        </is>
      </c>
      <c r="B365" s="36" t="n"/>
      <c r="C365" s="36" t="inlineStr">
        <is>
          <t>2025-04-09</t>
        </is>
      </c>
      <c r="D365" s="36" t="inlineStr">
        <is>
          <t>Q0501</t>
        </is>
      </c>
      <c r="E365" s="36" t="n"/>
      <c r="F365" s="36" t="inlineStr">
        <is>
          <t>浙江精准学科技有限公司</t>
        </is>
      </c>
      <c r="G365" s="36" t="inlineStr">
        <is>
          <t>记-75</t>
        </is>
      </c>
      <c r="H365" s="36" t="n"/>
      <c r="I365" s="89" t="n">
        <v>4</v>
      </c>
      <c r="J365" s="96" t="n"/>
      <c r="K365" s="40" t="n"/>
      <c r="L365" s="96" t="n"/>
      <c r="M365" s="36" t="n"/>
    </row>
    <row r="366" s="83">
      <c r="A366" s="37" t="inlineStr">
        <is>
          <t>101201</t>
        </is>
      </c>
      <c r="B366" s="37" t="n"/>
      <c r="C366" s="37" t="inlineStr">
        <is>
          <t>2025-04-01</t>
        </is>
      </c>
      <c r="D366" s="37" t="inlineStr">
        <is>
          <t>Else01</t>
        </is>
      </c>
      <c r="E366" s="37" t="n"/>
      <c r="F366" s="37" t="inlineStr">
        <is>
          <t>浙江精准学科技有限公司</t>
        </is>
      </c>
      <c r="G366" s="37" t="inlineStr">
        <is>
          <t>记-13</t>
        </is>
      </c>
      <c r="H366" s="37" t="n"/>
      <c r="I366" s="89" t="n">
        <v>4</v>
      </c>
      <c r="J366" s="97" t="n"/>
      <c r="K366" s="42" t="n"/>
      <c r="L366" s="97" t="n"/>
      <c r="M366" s="37" t="n"/>
    </row>
    <row r="367" s="83">
      <c r="A367" s="36" t="inlineStr">
        <is>
          <t>101201</t>
        </is>
      </c>
      <c r="B367" s="36" t="n"/>
      <c r="C367" s="36" t="inlineStr">
        <is>
          <t>2025-04-01</t>
        </is>
      </c>
      <c r="D367" s="36" t="inlineStr">
        <is>
          <t>Else01</t>
        </is>
      </c>
      <c r="E367" s="36" t="n"/>
      <c r="F367" s="36" t="inlineStr">
        <is>
          <t>浙江精准学科技有限公司</t>
        </is>
      </c>
      <c r="G367" s="36" t="inlineStr">
        <is>
          <t>记-14</t>
        </is>
      </c>
      <c r="H367" s="36" t="n"/>
      <c r="I367" s="96" t="n"/>
      <c r="J367" s="89" t="n">
        <v>4</v>
      </c>
      <c r="K367" s="40" t="n"/>
      <c r="L367" s="96" t="n"/>
      <c r="M367" s="36" t="n"/>
    </row>
    <row r="368" s="83">
      <c r="A368" s="37" t="inlineStr">
        <is>
          <t>101201</t>
        </is>
      </c>
      <c r="B368" s="37" t="n"/>
      <c r="C368" s="37" t="inlineStr">
        <is>
          <t>2025-04-02</t>
        </is>
      </c>
      <c r="D368" s="37" t="inlineStr">
        <is>
          <t>Else01</t>
        </is>
      </c>
      <c r="E368" s="37" t="n"/>
      <c r="F368" s="37" t="inlineStr">
        <is>
          <t>浙江精准学科技有限公司</t>
        </is>
      </c>
      <c r="G368" s="37" t="inlineStr">
        <is>
          <t>记-25</t>
        </is>
      </c>
      <c r="H368" s="37" t="n"/>
      <c r="I368" s="89" t="n">
        <v>4</v>
      </c>
      <c r="J368" s="97" t="n"/>
      <c r="K368" s="42" t="n"/>
      <c r="L368" s="97" t="n"/>
      <c r="M368" s="37" t="n"/>
    </row>
    <row r="369" s="83">
      <c r="A369" s="36" t="inlineStr">
        <is>
          <t>101201</t>
        </is>
      </c>
      <c r="B369" s="36" t="n"/>
      <c r="C369" s="36" t="inlineStr">
        <is>
          <t>2025-04-02</t>
        </is>
      </c>
      <c r="D369" s="36" t="inlineStr">
        <is>
          <t>Else01</t>
        </is>
      </c>
      <c r="E369" s="36" t="n"/>
      <c r="F369" s="36" t="inlineStr">
        <is>
          <t>浙江精准学科技有限公司</t>
        </is>
      </c>
      <c r="G369" s="36" t="inlineStr">
        <is>
          <t>记-26</t>
        </is>
      </c>
      <c r="H369" s="36" t="n"/>
      <c r="I369" s="96" t="n"/>
      <c r="J369" s="89" t="n">
        <v>4</v>
      </c>
      <c r="K369" s="40" t="n"/>
      <c r="L369" s="96" t="n"/>
      <c r="M369" s="36" t="n"/>
    </row>
    <row r="370" s="83">
      <c r="A370" s="37" t="inlineStr">
        <is>
          <t>101201</t>
        </is>
      </c>
      <c r="B370" s="37" t="n"/>
      <c r="C370" s="37" t="inlineStr">
        <is>
          <t>2025-04-03</t>
        </is>
      </c>
      <c r="D370" s="37" t="inlineStr">
        <is>
          <t>Else01</t>
        </is>
      </c>
      <c r="E370" s="37" t="n"/>
      <c r="F370" s="37" t="inlineStr">
        <is>
          <t>浙江精准学科技有限公司</t>
        </is>
      </c>
      <c r="G370" s="37" t="inlineStr">
        <is>
          <t>记-35</t>
        </is>
      </c>
      <c r="H370" s="37" t="n"/>
      <c r="I370" s="89" t="n">
        <v>4</v>
      </c>
      <c r="J370" s="97" t="n"/>
      <c r="K370" s="42" t="n"/>
      <c r="L370" s="97" t="n"/>
      <c r="M370" s="37" t="n"/>
    </row>
    <row r="371" s="83">
      <c r="A371" s="36" t="inlineStr">
        <is>
          <t>101201</t>
        </is>
      </c>
      <c r="B371" s="36" t="n"/>
      <c r="C371" s="36" t="inlineStr">
        <is>
          <t>2025-04-03</t>
        </is>
      </c>
      <c r="D371" s="36" t="inlineStr">
        <is>
          <t>Else01</t>
        </is>
      </c>
      <c r="E371" s="36" t="n"/>
      <c r="F371" s="36" t="inlineStr">
        <is>
          <t>浙江精准学科技有限公司</t>
        </is>
      </c>
      <c r="G371" s="36" t="inlineStr">
        <is>
          <t>记-37</t>
        </is>
      </c>
      <c r="H371" s="36" t="n"/>
      <c r="I371" s="96" t="n"/>
      <c r="J371" s="89" t="n">
        <v>4</v>
      </c>
      <c r="K371" s="40" t="n"/>
      <c r="L371" s="96" t="n"/>
      <c r="M371" s="36" t="n"/>
    </row>
    <row r="372" s="83">
      <c r="A372" s="37" t="inlineStr">
        <is>
          <t>101201</t>
        </is>
      </c>
      <c r="B372" s="37" t="n"/>
      <c r="C372" s="37" t="inlineStr">
        <is>
          <t>2025-04-04</t>
        </is>
      </c>
      <c r="D372" s="37" t="inlineStr">
        <is>
          <t>Else01</t>
        </is>
      </c>
      <c r="E372" s="37" t="n"/>
      <c r="F372" s="37" t="inlineStr">
        <is>
          <t>浙江精准学科技有限公司</t>
        </is>
      </c>
      <c r="G372" s="37" t="inlineStr">
        <is>
          <t>记-39</t>
        </is>
      </c>
      <c r="H372" s="37" t="n"/>
      <c r="I372" s="89" t="n">
        <v>4</v>
      </c>
      <c r="J372" s="97" t="n"/>
      <c r="K372" s="42" t="n"/>
      <c r="L372" s="97" t="n"/>
      <c r="M372" s="37" t="n"/>
    </row>
    <row r="373" s="83">
      <c r="A373" s="36" t="inlineStr">
        <is>
          <t>101201</t>
        </is>
      </c>
      <c r="B373" s="36" t="n"/>
      <c r="C373" s="36" t="inlineStr">
        <is>
          <t>2025-04-04</t>
        </is>
      </c>
      <c r="D373" s="36" t="inlineStr">
        <is>
          <t>Else01</t>
        </is>
      </c>
      <c r="E373" s="36" t="n"/>
      <c r="F373" s="36" t="inlineStr">
        <is>
          <t>浙江精准学科技有限公司</t>
        </is>
      </c>
      <c r="G373" s="36" t="inlineStr">
        <is>
          <t>记-40</t>
        </is>
      </c>
      <c r="H373" s="36" t="n"/>
      <c r="I373" s="96" t="n"/>
      <c r="J373" s="89" t="n">
        <v>4</v>
      </c>
      <c r="K373" s="40" t="n"/>
      <c r="L373" s="96" t="n"/>
      <c r="M373" s="36" t="n"/>
    </row>
    <row r="374" s="83">
      <c r="A374" s="37" t="inlineStr">
        <is>
          <t>101201</t>
        </is>
      </c>
      <c r="B374" s="37" t="n"/>
      <c r="C374" s="37" t="inlineStr">
        <is>
          <t>2025-04-05</t>
        </is>
      </c>
      <c r="D374" s="37" t="inlineStr">
        <is>
          <t>Else01</t>
        </is>
      </c>
      <c r="E374" s="37" t="n"/>
      <c r="F374" s="37" t="inlineStr">
        <is>
          <t>浙江精准学科技有限公司</t>
        </is>
      </c>
      <c r="G374" s="37" t="inlineStr">
        <is>
          <t>记-43</t>
        </is>
      </c>
      <c r="H374" s="37" t="n"/>
      <c r="I374" s="89" t="n">
        <v>4</v>
      </c>
      <c r="J374" s="97" t="n"/>
      <c r="K374" s="42" t="n"/>
      <c r="L374" s="97" t="n"/>
      <c r="M374" s="37" t="n"/>
    </row>
    <row r="375" s="83">
      <c r="A375" s="36" t="inlineStr">
        <is>
          <t>101201</t>
        </is>
      </c>
      <c r="B375" s="36" t="n"/>
      <c r="C375" s="36" t="inlineStr">
        <is>
          <t>2025-04-05</t>
        </is>
      </c>
      <c r="D375" s="36" t="inlineStr">
        <is>
          <t>Else01</t>
        </is>
      </c>
      <c r="E375" s="36" t="n"/>
      <c r="F375" s="36" t="inlineStr">
        <is>
          <t>浙江精准学科技有限公司</t>
        </is>
      </c>
      <c r="G375" s="36" t="inlineStr">
        <is>
          <t>记-44</t>
        </is>
      </c>
      <c r="H375" s="36" t="n"/>
      <c r="I375" s="96" t="n"/>
      <c r="J375" s="89" t="n">
        <v>4</v>
      </c>
      <c r="K375" s="40" t="n"/>
      <c r="L375" s="96" t="n"/>
      <c r="M375" s="36" t="n"/>
    </row>
    <row r="376" s="83">
      <c r="A376" s="37" t="inlineStr">
        <is>
          <t>101201</t>
        </is>
      </c>
      <c r="B376" s="37" t="n"/>
      <c r="C376" s="37" t="inlineStr">
        <is>
          <t>2025-04-06</t>
        </is>
      </c>
      <c r="D376" s="37" t="inlineStr">
        <is>
          <t>Else01</t>
        </is>
      </c>
      <c r="E376" s="37" t="n"/>
      <c r="F376" s="37" t="inlineStr">
        <is>
          <t>浙江精准学科技有限公司</t>
        </is>
      </c>
      <c r="G376" s="37" t="inlineStr">
        <is>
          <t>记-46</t>
        </is>
      </c>
      <c r="H376" s="37" t="n"/>
      <c r="I376" s="89" t="n">
        <v>4</v>
      </c>
      <c r="J376" s="97" t="n"/>
      <c r="K376" s="42" t="n"/>
      <c r="L376" s="97" t="n"/>
      <c r="M376" s="37" t="n"/>
    </row>
    <row r="377" s="83">
      <c r="A377" s="36" t="inlineStr">
        <is>
          <t>101201</t>
        </is>
      </c>
      <c r="B377" s="36" t="n"/>
      <c r="C377" s="36" t="inlineStr">
        <is>
          <t>2025-04-06</t>
        </is>
      </c>
      <c r="D377" s="36" t="inlineStr">
        <is>
          <t>Else01</t>
        </is>
      </c>
      <c r="E377" s="36" t="n"/>
      <c r="F377" s="36" t="inlineStr">
        <is>
          <t>浙江精准学科技有限公司</t>
        </is>
      </c>
      <c r="G377" s="36" t="inlineStr">
        <is>
          <t>记-47</t>
        </is>
      </c>
      <c r="H377" s="36" t="n"/>
      <c r="I377" s="96" t="n"/>
      <c r="J377" s="89" t="n">
        <v>4</v>
      </c>
      <c r="K377" s="40" t="n"/>
      <c r="L377" s="96" t="n"/>
      <c r="M377" s="36" t="n"/>
    </row>
    <row r="378" s="83">
      <c r="A378" s="37" t="inlineStr">
        <is>
          <t>101201</t>
        </is>
      </c>
      <c r="B378" s="37" t="n"/>
      <c r="C378" s="37" t="inlineStr">
        <is>
          <t>2025-04-07</t>
        </is>
      </c>
      <c r="D378" s="37" t="inlineStr">
        <is>
          <t>Else01</t>
        </is>
      </c>
      <c r="E378" s="37" t="n"/>
      <c r="F378" s="37" t="inlineStr">
        <is>
          <t>浙江精准学科技有限公司</t>
        </is>
      </c>
      <c r="G378" s="37" t="inlineStr">
        <is>
          <t>记-52</t>
        </is>
      </c>
      <c r="H378" s="37" t="n"/>
      <c r="I378" s="89" t="n">
        <v>4</v>
      </c>
      <c r="J378" s="97" t="n"/>
      <c r="K378" s="42" t="n"/>
      <c r="L378" s="97" t="n"/>
      <c r="M378" s="37" t="n"/>
    </row>
    <row r="379" s="83">
      <c r="A379" s="36" t="inlineStr">
        <is>
          <t>101201</t>
        </is>
      </c>
      <c r="B379" s="36" t="n"/>
      <c r="C379" s="36" t="inlineStr">
        <is>
          <t>2025-04-07</t>
        </is>
      </c>
      <c r="D379" s="36" t="inlineStr">
        <is>
          <t>Else01</t>
        </is>
      </c>
      <c r="E379" s="36" t="n"/>
      <c r="F379" s="36" t="inlineStr">
        <is>
          <t>浙江精准学科技有限公司</t>
        </is>
      </c>
      <c r="G379" s="36" t="inlineStr">
        <is>
          <t>记-53</t>
        </is>
      </c>
      <c r="H379" s="36" t="n"/>
      <c r="I379" s="96" t="n"/>
      <c r="J379" s="89" t="n">
        <v>4</v>
      </c>
      <c r="K379" s="40" t="n"/>
      <c r="L379" s="96" t="n"/>
      <c r="M379" s="36" t="n"/>
    </row>
    <row r="380" s="83">
      <c r="A380" s="37" t="inlineStr">
        <is>
          <t>101201</t>
        </is>
      </c>
      <c r="B380" s="37" t="n"/>
      <c r="C380" s="37" t="inlineStr">
        <is>
          <t>2025-04-08</t>
        </is>
      </c>
      <c r="D380" s="37" t="inlineStr">
        <is>
          <t>Else01</t>
        </is>
      </c>
      <c r="E380" s="37" t="n"/>
      <c r="F380" s="37" t="inlineStr">
        <is>
          <t>浙江精准学科技有限公司</t>
        </is>
      </c>
      <c r="G380" s="37" t="inlineStr">
        <is>
          <t>记-63</t>
        </is>
      </c>
      <c r="H380" s="37" t="n"/>
      <c r="I380" s="89" t="n">
        <v>4</v>
      </c>
      <c r="J380" s="97" t="n"/>
      <c r="K380" s="42" t="n"/>
      <c r="L380" s="97" t="n"/>
      <c r="M380" s="37" t="n"/>
    </row>
    <row r="381" s="83">
      <c r="A381" s="36" t="inlineStr">
        <is>
          <t>101201</t>
        </is>
      </c>
      <c r="B381" s="36" t="n"/>
      <c r="C381" s="36" t="inlineStr">
        <is>
          <t>2025-04-08</t>
        </is>
      </c>
      <c r="D381" s="36" t="inlineStr">
        <is>
          <t>Else01</t>
        </is>
      </c>
      <c r="E381" s="36" t="n"/>
      <c r="F381" s="36" t="inlineStr">
        <is>
          <t>浙江精准学科技有限公司</t>
        </is>
      </c>
      <c r="G381" s="36" t="inlineStr">
        <is>
          <t>记-64</t>
        </is>
      </c>
      <c r="H381" s="36" t="n"/>
      <c r="I381" s="96" t="n"/>
      <c r="J381" s="89" t="n">
        <v>4</v>
      </c>
      <c r="K381" s="40" t="n"/>
      <c r="L381" s="96" t="n"/>
      <c r="M381" s="36" t="n"/>
    </row>
    <row r="382" s="83">
      <c r="A382" s="37" t="inlineStr">
        <is>
          <t>101201</t>
        </is>
      </c>
      <c r="B382" s="37" t="n"/>
      <c r="C382" s="37" t="inlineStr">
        <is>
          <t>2025-04-09</t>
        </is>
      </c>
      <c r="D382" s="37" t="inlineStr">
        <is>
          <t>Else01</t>
        </is>
      </c>
      <c r="E382" s="37" t="n"/>
      <c r="F382" s="37" t="inlineStr">
        <is>
          <t>浙江精准学科技有限公司</t>
        </is>
      </c>
      <c r="G382" s="37" t="inlineStr">
        <is>
          <t>记-73</t>
        </is>
      </c>
      <c r="H382" s="37" t="n"/>
      <c r="I382" s="89" t="n">
        <v>4</v>
      </c>
      <c r="J382" s="97" t="n"/>
      <c r="K382" s="42" t="n"/>
      <c r="L382" s="97" t="n"/>
      <c r="M382" s="37" t="n"/>
    </row>
    <row r="383" s="83">
      <c r="A383" s="36" t="inlineStr">
        <is>
          <t>101201</t>
        </is>
      </c>
      <c r="B383" s="36" t="n"/>
      <c r="C383" s="36" t="inlineStr">
        <is>
          <t>2025-04-09</t>
        </is>
      </c>
      <c r="D383" s="36" t="inlineStr">
        <is>
          <t>Else01</t>
        </is>
      </c>
      <c r="E383" s="36" t="n"/>
      <c r="F383" s="36" t="inlineStr">
        <is>
          <t>浙江精准学科技有限公司</t>
        </is>
      </c>
      <c r="G383" s="36" t="inlineStr">
        <is>
          <t>记-74</t>
        </is>
      </c>
      <c r="H383" s="36" t="n"/>
      <c r="I383" s="96" t="n"/>
      <c r="J383" s="89" t="n">
        <v>4</v>
      </c>
      <c r="K383" s="40" t="n"/>
      <c r="L383" s="96" t="n"/>
      <c r="M383" s="36" t="n"/>
    </row>
    <row r="384" s="83">
      <c r="A384" s="37" t="inlineStr">
        <is>
          <t>101201</t>
        </is>
      </c>
      <c r="B384" s="37" t="n"/>
      <c r="C384" s="37" t="inlineStr">
        <is>
          <t>2025-04-10</t>
        </is>
      </c>
      <c r="D384" s="37" t="inlineStr">
        <is>
          <t>Else01</t>
        </is>
      </c>
      <c r="E384" s="37" t="n"/>
      <c r="F384" s="37" t="inlineStr">
        <is>
          <t>浙江精准学科技有限公司</t>
        </is>
      </c>
      <c r="G384" s="37" t="inlineStr">
        <is>
          <t>记-88</t>
        </is>
      </c>
      <c r="H384" s="37" t="n"/>
      <c r="I384" s="89" t="n">
        <v>4</v>
      </c>
      <c r="J384" s="97" t="n"/>
      <c r="K384" s="42" t="n"/>
      <c r="L384" s="97" t="n"/>
      <c r="M384" s="37" t="n"/>
    </row>
    <row r="385" s="83">
      <c r="A385" s="36" t="inlineStr">
        <is>
          <t>101201</t>
        </is>
      </c>
      <c r="B385" s="36" t="n"/>
      <c r="C385" s="36" t="inlineStr">
        <is>
          <t>2025-04-10</t>
        </is>
      </c>
      <c r="D385" s="36" t="inlineStr">
        <is>
          <t>Else01</t>
        </is>
      </c>
      <c r="E385" s="36" t="n"/>
      <c r="F385" s="36" t="inlineStr">
        <is>
          <t>浙江精准学科技有限公司</t>
        </is>
      </c>
      <c r="G385" s="36" t="inlineStr">
        <is>
          <t>记-89</t>
        </is>
      </c>
      <c r="H385" s="36" t="n"/>
      <c r="I385" s="96" t="n"/>
      <c r="J385" s="89" t="n">
        <v>4</v>
      </c>
      <c r="K385" s="40" t="n"/>
      <c r="L385" s="96" t="n"/>
      <c r="M385" s="36" t="n"/>
    </row>
    <row r="386" s="83">
      <c r="A386" s="37" t="inlineStr">
        <is>
          <t>101201</t>
        </is>
      </c>
      <c r="B386" s="37" t="n"/>
      <c r="C386" s="37" t="inlineStr">
        <is>
          <t>2025-04-11</t>
        </is>
      </c>
      <c r="D386" s="37" t="inlineStr">
        <is>
          <t>Else01</t>
        </is>
      </c>
      <c r="E386" s="37" t="n"/>
      <c r="F386" s="37" t="inlineStr">
        <is>
          <t>浙江精准学科技有限公司</t>
        </is>
      </c>
      <c r="G386" s="37" t="inlineStr">
        <is>
          <t>记-105</t>
        </is>
      </c>
      <c r="H386" s="37" t="n"/>
      <c r="I386" s="89" t="n">
        <v>4</v>
      </c>
      <c r="J386" s="97" t="n"/>
      <c r="K386" s="42" t="n"/>
      <c r="L386" s="97" t="n"/>
      <c r="M386" s="37" t="n"/>
    </row>
    <row r="387" s="83">
      <c r="A387" s="36" t="inlineStr">
        <is>
          <t>101201</t>
        </is>
      </c>
      <c r="B387" s="36" t="n"/>
      <c r="C387" s="36" t="inlineStr">
        <is>
          <t>2025-04-11</t>
        </is>
      </c>
      <c r="D387" s="36" t="inlineStr">
        <is>
          <t>Else01</t>
        </is>
      </c>
      <c r="E387" s="36" t="n"/>
      <c r="F387" s="36" t="inlineStr">
        <is>
          <t>浙江精准学科技有限公司</t>
        </is>
      </c>
      <c r="G387" s="36" t="inlineStr">
        <is>
          <t>记-106</t>
        </is>
      </c>
      <c r="H387" s="36" t="n"/>
      <c r="I387" s="96" t="n"/>
      <c r="J387" s="89" t="n">
        <v>4</v>
      </c>
      <c r="K387" s="40" t="n"/>
      <c r="L387" s="96" t="n"/>
      <c r="M387" s="36" t="n"/>
    </row>
    <row r="388" s="83">
      <c r="A388" s="37" t="inlineStr">
        <is>
          <t>101201</t>
        </is>
      </c>
      <c r="B388" s="37" t="n"/>
      <c r="C388" s="37" t="inlineStr">
        <is>
          <t>2025-04-12</t>
        </is>
      </c>
      <c r="D388" s="37" t="inlineStr">
        <is>
          <t>Else01</t>
        </is>
      </c>
      <c r="E388" s="37" t="n"/>
      <c r="F388" s="37" t="inlineStr">
        <is>
          <t>浙江精准学科技有限公司</t>
        </is>
      </c>
      <c r="G388" s="37" t="inlineStr">
        <is>
          <t>记-108</t>
        </is>
      </c>
      <c r="H388" s="37" t="n"/>
      <c r="I388" s="89" t="n">
        <v>4</v>
      </c>
      <c r="J388" s="97" t="n"/>
      <c r="K388" s="42" t="n"/>
      <c r="L388" s="97" t="n"/>
      <c r="M388" s="37" t="n"/>
    </row>
    <row r="389" s="83">
      <c r="A389" s="36" t="inlineStr">
        <is>
          <t>101201</t>
        </is>
      </c>
      <c r="B389" s="36" t="n"/>
      <c r="C389" s="36" t="inlineStr">
        <is>
          <t>2025-04-12</t>
        </is>
      </c>
      <c r="D389" s="36" t="inlineStr">
        <is>
          <t>Else01</t>
        </is>
      </c>
      <c r="E389" s="36" t="n"/>
      <c r="F389" s="36" t="inlineStr">
        <is>
          <t>浙江精准学科技有限公司</t>
        </is>
      </c>
      <c r="G389" s="36" t="inlineStr">
        <is>
          <t>记-109</t>
        </is>
      </c>
      <c r="H389" s="36" t="n"/>
      <c r="I389" s="96" t="n"/>
      <c r="J389" s="89" t="n">
        <v>4</v>
      </c>
      <c r="K389" s="40" t="n"/>
      <c r="L389" s="96" t="n"/>
      <c r="M389" s="36" t="n"/>
    </row>
    <row r="390" s="83">
      <c r="A390" s="37" t="inlineStr">
        <is>
          <t>101201</t>
        </is>
      </c>
      <c r="B390" s="37" t="n"/>
      <c r="C390" s="37" t="inlineStr">
        <is>
          <t>2025-04-13</t>
        </is>
      </c>
      <c r="D390" s="37" t="inlineStr">
        <is>
          <t>Else01</t>
        </is>
      </c>
      <c r="E390" s="37" t="n"/>
      <c r="F390" s="37" t="inlineStr">
        <is>
          <t>浙江精准学科技有限公司</t>
        </is>
      </c>
      <c r="G390" s="37" t="inlineStr">
        <is>
          <t>记-111</t>
        </is>
      </c>
      <c r="H390" s="37" t="n"/>
      <c r="I390" s="89" t="n">
        <v>4</v>
      </c>
      <c r="J390" s="97" t="n"/>
      <c r="K390" s="42" t="n"/>
      <c r="L390" s="97" t="n"/>
      <c r="M390" s="37" t="n"/>
    </row>
    <row r="391" s="83">
      <c r="A391" s="36" t="inlineStr">
        <is>
          <t>101201</t>
        </is>
      </c>
      <c r="B391" s="36" t="n"/>
      <c r="C391" s="36" t="inlineStr">
        <is>
          <t>2025-04-13</t>
        </is>
      </c>
      <c r="D391" s="36" t="inlineStr">
        <is>
          <t>Else01</t>
        </is>
      </c>
      <c r="E391" s="36" t="n"/>
      <c r="F391" s="36" t="inlineStr">
        <is>
          <t>浙江精准学科技有限公司</t>
        </is>
      </c>
      <c r="G391" s="36" t="inlineStr">
        <is>
          <t>记-112</t>
        </is>
      </c>
      <c r="H391" s="36" t="n"/>
      <c r="I391" s="96" t="n"/>
      <c r="J391" s="89" t="n">
        <v>4</v>
      </c>
      <c r="K391" s="40" t="n"/>
      <c r="L391" s="96" t="n"/>
      <c r="M391" s="36" t="n"/>
    </row>
    <row r="392" s="83">
      <c r="A392" s="37" t="inlineStr">
        <is>
          <t>101201</t>
        </is>
      </c>
      <c r="B392" s="37" t="n"/>
      <c r="C392" s="37" t="inlineStr">
        <is>
          <t>2025-04-14</t>
        </is>
      </c>
      <c r="D392" s="37" t="inlineStr">
        <is>
          <t>Else01</t>
        </is>
      </c>
      <c r="E392" s="37" t="n"/>
      <c r="F392" s="37" t="inlineStr">
        <is>
          <t>浙江精准学科技有限公司</t>
        </is>
      </c>
      <c r="G392" s="37" t="inlineStr">
        <is>
          <t>记-120</t>
        </is>
      </c>
      <c r="H392" s="37" t="n"/>
      <c r="I392" s="89" t="n">
        <v>4</v>
      </c>
      <c r="J392" s="97" t="n"/>
      <c r="K392" s="42" t="n"/>
      <c r="L392" s="97" t="n"/>
      <c r="M392" s="37" t="n"/>
    </row>
    <row r="393" s="83">
      <c r="A393" s="36" t="inlineStr">
        <is>
          <t>101201</t>
        </is>
      </c>
      <c r="B393" s="36" t="n"/>
      <c r="C393" s="36" t="inlineStr">
        <is>
          <t>2025-04-14</t>
        </is>
      </c>
      <c r="D393" s="36" t="inlineStr">
        <is>
          <t>Else01</t>
        </is>
      </c>
      <c r="E393" s="36" t="n"/>
      <c r="F393" s="36" t="inlineStr">
        <is>
          <t>浙江精准学科技有限公司</t>
        </is>
      </c>
      <c r="G393" s="36" t="inlineStr">
        <is>
          <t>记-121</t>
        </is>
      </c>
      <c r="H393" s="36" t="n"/>
      <c r="I393" s="96" t="n"/>
      <c r="J393" s="89" t="n">
        <v>4</v>
      </c>
      <c r="K393" s="40" t="n"/>
      <c r="L393" s="96" t="n"/>
      <c r="M393" s="36" t="n"/>
    </row>
    <row r="394" s="83">
      <c r="A394" s="37" t="inlineStr">
        <is>
          <t>101201</t>
        </is>
      </c>
      <c r="B394" s="37" t="n"/>
      <c r="C394" s="37" t="inlineStr">
        <is>
          <t>2025-04-15</t>
        </is>
      </c>
      <c r="D394" s="37" t="inlineStr">
        <is>
          <t>Else01</t>
        </is>
      </c>
      <c r="E394" s="37" t="n"/>
      <c r="F394" s="37" t="inlineStr">
        <is>
          <t>浙江精准学科技有限公司</t>
        </is>
      </c>
      <c r="G394" s="37" t="inlineStr">
        <is>
          <t>记-131</t>
        </is>
      </c>
      <c r="H394" s="37" t="n"/>
      <c r="I394" s="89" t="n">
        <v>4</v>
      </c>
      <c r="J394" s="97" t="n"/>
      <c r="K394" s="42" t="n"/>
      <c r="L394" s="97" t="n"/>
      <c r="M394" s="37" t="n"/>
    </row>
    <row r="395" s="83">
      <c r="A395" s="36" t="inlineStr">
        <is>
          <t>101201</t>
        </is>
      </c>
      <c r="B395" s="36" t="n"/>
      <c r="C395" s="36" t="inlineStr">
        <is>
          <t>2025-04-15</t>
        </is>
      </c>
      <c r="D395" s="36" t="inlineStr">
        <is>
          <t>Else01</t>
        </is>
      </c>
      <c r="E395" s="36" t="n"/>
      <c r="F395" s="36" t="inlineStr">
        <is>
          <t>浙江精准学科技有限公司</t>
        </is>
      </c>
      <c r="G395" s="36" t="inlineStr">
        <is>
          <t>记-132</t>
        </is>
      </c>
      <c r="H395" s="36" t="n"/>
      <c r="I395" s="96" t="n"/>
      <c r="J395" s="89" t="n">
        <v>4</v>
      </c>
      <c r="K395" s="40" t="n"/>
      <c r="L395" s="96" t="n"/>
      <c r="M395" s="36" t="n"/>
    </row>
    <row r="396" s="83">
      <c r="A396" s="37" t="inlineStr">
        <is>
          <t>101201</t>
        </is>
      </c>
      <c r="B396" s="37" t="n"/>
      <c r="C396" s="37" t="inlineStr">
        <is>
          <t>2025-04-16</t>
        </is>
      </c>
      <c r="D396" s="37" t="inlineStr">
        <is>
          <t>Else01</t>
        </is>
      </c>
      <c r="E396" s="37" t="n"/>
      <c r="F396" s="37" t="inlineStr">
        <is>
          <t>浙江精准学科技有限公司</t>
        </is>
      </c>
      <c r="G396" s="37" t="inlineStr">
        <is>
          <t>记-140</t>
        </is>
      </c>
      <c r="H396" s="37" t="n"/>
      <c r="I396" s="89" t="n">
        <v>4</v>
      </c>
      <c r="J396" s="97" t="n"/>
      <c r="K396" s="42" t="n"/>
      <c r="L396" s="97" t="n"/>
      <c r="M396" s="37" t="n"/>
    </row>
    <row r="397" s="83">
      <c r="A397" s="36" t="inlineStr">
        <is>
          <t>101201</t>
        </is>
      </c>
      <c r="B397" s="36" t="n"/>
      <c r="C397" s="36" t="inlineStr">
        <is>
          <t>2025-04-16</t>
        </is>
      </c>
      <c r="D397" s="36" t="inlineStr">
        <is>
          <t>Else01</t>
        </is>
      </c>
      <c r="E397" s="36" t="n"/>
      <c r="F397" s="36" t="inlineStr">
        <is>
          <t>浙江精准学科技有限公司</t>
        </is>
      </c>
      <c r="G397" s="36" t="inlineStr">
        <is>
          <t>记-141</t>
        </is>
      </c>
      <c r="H397" s="36" t="n"/>
      <c r="I397" s="96" t="n"/>
      <c r="J397" s="89" t="n">
        <v>4</v>
      </c>
      <c r="K397" s="40" t="n"/>
      <c r="L397" s="96" t="n"/>
      <c r="M397" s="36" t="n"/>
    </row>
    <row r="398" s="83">
      <c r="A398" s="37" t="inlineStr">
        <is>
          <t>101201</t>
        </is>
      </c>
      <c r="B398" s="37" t="n"/>
      <c r="C398" s="37" t="inlineStr">
        <is>
          <t>2025-04-17</t>
        </is>
      </c>
      <c r="D398" s="37" t="inlineStr">
        <is>
          <t>Else01</t>
        </is>
      </c>
      <c r="E398" s="37" t="n"/>
      <c r="F398" s="37" t="inlineStr">
        <is>
          <t>浙江精准学科技有限公司</t>
        </is>
      </c>
      <c r="G398" s="37" t="inlineStr">
        <is>
          <t>记-142</t>
        </is>
      </c>
      <c r="H398" s="37" t="n"/>
      <c r="I398" s="89" t="n">
        <v>4</v>
      </c>
      <c r="J398" s="97" t="n"/>
      <c r="K398" s="42" t="n"/>
      <c r="L398" s="97" t="n"/>
      <c r="M398" s="37" t="n"/>
    </row>
    <row r="399" s="83">
      <c r="A399" s="36" t="inlineStr">
        <is>
          <t>101201</t>
        </is>
      </c>
      <c r="B399" s="36" t="n"/>
      <c r="C399" s="36" t="inlineStr">
        <is>
          <t>2025-04-17</t>
        </is>
      </c>
      <c r="D399" s="36" t="inlineStr">
        <is>
          <t>Else01</t>
        </is>
      </c>
      <c r="E399" s="36" t="n"/>
      <c r="F399" s="36" t="inlineStr">
        <is>
          <t>浙江精准学科技有限公司</t>
        </is>
      </c>
      <c r="G399" s="36" t="inlineStr">
        <is>
          <t>记-143</t>
        </is>
      </c>
      <c r="H399" s="36" t="n"/>
      <c r="I399" s="96" t="n"/>
      <c r="J399" s="89" t="n">
        <v>4</v>
      </c>
      <c r="K399" s="40" t="n"/>
      <c r="L399" s="96" t="n"/>
      <c r="M399" s="36" t="n"/>
    </row>
    <row r="400" s="83">
      <c r="A400" s="37" t="inlineStr">
        <is>
          <t>101201</t>
        </is>
      </c>
      <c r="B400" s="37" t="n"/>
      <c r="C400" s="37" t="inlineStr">
        <is>
          <t>2025-04-18</t>
        </is>
      </c>
      <c r="D400" s="37" t="inlineStr">
        <is>
          <t>Else01</t>
        </is>
      </c>
      <c r="E400" s="37" t="n"/>
      <c r="F400" s="37" t="inlineStr">
        <is>
          <t>浙江精准学科技有限公司</t>
        </is>
      </c>
      <c r="G400" s="37" t="inlineStr">
        <is>
          <t>记-166</t>
        </is>
      </c>
      <c r="H400" s="37" t="n"/>
      <c r="I400" s="89" t="n">
        <v>4</v>
      </c>
      <c r="J400" s="97" t="n"/>
      <c r="K400" s="42" t="n"/>
      <c r="L400" s="97" t="n"/>
      <c r="M400" s="37" t="n"/>
    </row>
    <row r="401" s="83">
      <c r="A401" s="36" t="inlineStr">
        <is>
          <t>101201</t>
        </is>
      </c>
      <c r="B401" s="36" t="n"/>
      <c r="C401" s="36" t="inlineStr">
        <is>
          <t>2025-04-18</t>
        </is>
      </c>
      <c r="D401" s="36" t="inlineStr">
        <is>
          <t>Else01</t>
        </is>
      </c>
      <c r="E401" s="36" t="n"/>
      <c r="F401" s="36" t="inlineStr">
        <is>
          <t>浙江精准学科技有限公司</t>
        </is>
      </c>
      <c r="G401" s="36" t="inlineStr">
        <is>
          <t>记-167</t>
        </is>
      </c>
      <c r="H401" s="36" t="n"/>
      <c r="I401" s="96" t="n"/>
      <c r="J401" s="89" t="n">
        <v>4</v>
      </c>
      <c r="K401" s="40" t="n"/>
      <c r="L401" s="96" t="n"/>
      <c r="M401" s="36" t="n"/>
    </row>
    <row r="402" s="83">
      <c r="A402" s="37" t="inlineStr">
        <is>
          <t>101201</t>
        </is>
      </c>
      <c r="B402" s="37" t="n"/>
      <c r="C402" s="37" t="inlineStr">
        <is>
          <t>2025-04-19</t>
        </is>
      </c>
      <c r="D402" s="37" t="inlineStr">
        <is>
          <t>Else01</t>
        </is>
      </c>
      <c r="E402" s="37" t="n"/>
      <c r="F402" s="37" t="inlineStr">
        <is>
          <t>浙江精准学科技有限公司</t>
        </is>
      </c>
      <c r="G402" s="37" t="inlineStr">
        <is>
          <t>记-169</t>
        </is>
      </c>
      <c r="H402" s="37" t="n"/>
      <c r="I402" s="89" t="n">
        <v>4</v>
      </c>
      <c r="J402" s="97" t="n"/>
      <c r="K402" s="42" t="n"/>
      <c r="L402" s="97" t="n"/>
      <c r="M402" s="37" t="n"/>
    </row>
    <row r="403" s="83">
      <c r="A403" s="36" t="inlineStr">
        <is>
          <t>101201</t>
        </is>
      </c>
      <c r="B403" s="36" t="n"/>
      <c r="C403" s="36" t="inlineStr">
        <is>
          <t>2025-04-19</t>
        </is>
      </c>
      <c r="D403" s="36" t="inlineStr">
        <is>
          <t>Else01</t>
        </is>
      </c>
      <c r="E403" s="36" t="n"/>
      <c r="F403" s="36" t="inlineStr">
        <is>
          <t>浙江精准学科技有限公司</t>
        </is>
      </c>
      <c r="G403" s="36" t="inlineStr">
        <is>
          <t>记-170</t>
        </is>
      </c>
      <c r="H403" s="36" t="n"/>
      <c r="I403" s="96" t="n"/>
      <c r="J403" s="89" t="n">
        <v>4</v>
      </c>
      <c r="K403" s="40" t="n"/>
      <c r="L403" s="96" t="n"/>
      <c r="M403" s="36" t="n"/>
    </row>
    <row r="404" s="83">
      <c r="A404" s="37" t="inlineStr">
        <is>
          <t>101201</t>
        </is>
      </c>
      <c r="B404" s="37" t="n"/>
      <c r="C404" s="37" t="inlineStr">
        <is>
          <t>2025-04-20</t>
        </is>
      </c>
      <c r="D404" s="37" t="inlineStr">
        <is>
          <t>Else01</t>
        </is>
      </c>
      <c r="E404" s="37" t="n"/>
      <c r="F404" s="37" t="inlineStr">
        <is>
          <t>浙江精准学科技有限公司</t>
        </is>
      </c>
      <c r="G404" s="37" t="inlineStr">
        <is>
          <t>记-172</t>
        </is>
      </c>
      <c r="H404" s="37" t="n"/>
      <c r="I404" s="97" t="n"/>
      <c r="J404" s="89" t="n">
        <v>4</v>
      </c>
      <c r="K404" s="42" t="n"/>
      <c r="L404" s="97" t="n"/>
      <c r="M404" s="37" t="n"/>
    </row>
    <row r="405" s="83">
      <c r="A405" s="36" t="inlineStr">
        <is>
          <t>101201</t>
        </is>
      </c>
      <c r="B405" s="36" t="n"/>
      <c r="C405" s="36" t="inlineStr">
        <is>
          <t>2025-04-20</t>
        </is>
      </c>
      <c r="D405" s="36" t="inlineStr">
        <is>
          <t>Else01</t>
        </is>
      </c>
      <c r="E405" s="36" t="n"/>
      <c r="F405" s="36" t="inlineStr">
        <is>
          <t>浙江精准学科技有限公司</t>
        </is>
      </c>
      <c r="G405" s="36" t="inlineStr">
        <is>
          <t>记-173</t>
        </is>
      </c>
      <c r="H405" s="36" t="n"/>
      <c r="I405" s="89" t="n">
        <v>4</v>
      </c>
      <c r="J405" s="96" t="n"/>
      <c r="K405" s="40" t="n"/>
      <c r="L405" s="96" t="n"/>
      <c r="M405" s="36" t="n"/>
    </row>
    <row r="406" s="83">
      <c r="A406" s="37" t="inlineStr">
        <is>
          <t>101201</t>
        </is>
      </c>
      <c r="B406" s="37" t="n"/>
      <c r="C406" s="37" t="inlineStr">
        <is>
          <t>2025-04-20</t>
        </is>
      </c>
      <c r="D406" s="37" t="inlineStr">
        <is>
          <t>Q0303</t>
        </is>
      </c>
      <c r="E406" s="37" t="n"/>
      <c r="F406" s="37" t="inlineStr">
        <is>
          <t>浙江精准学科技有限公司</t>
        </is>
      </c>
      <c r="G406" s="37" t="inlineStr">
        <is>
          <t>记-173</t>
        </is>
      </c>
      <c r="H406" s="37" t="n"/>
      <c r="I406" s="89" t="n">
        <v>4</v>
      </c>
      <c r="J406" s="97" t="n"/>
      <c r="K406" s="42" t="n"/>
      <c r="L406" s="97" t="n"/>
      <c r="M406" s="37" t="n"/>
    </row>
    <row r="407" s="83">
      <c r="A407" s="36" t="inlineStr">
        <is>
          <t>101201</t>
        </is>
      </c>
      <c r="B407" s="36" t="n"/>
      <c r="C407" s="36" t="inlineStr">
        <is>
          <t>2025-04-21</t>
        </is>
      </c>
      <c r="D407" s="36" t="inlineStr">
        <is>
          <t>Else01</t>
        </is>
      </c>
      <c r="E407" s="36" t="n"/>
      <c r="F407" s="36" t="inlineStr">
        <is>
          <t>浙江精准学科技有限公司</t>
        </is>
      </c>
      <c r="G407" s="36" t="inlineStr">
        <is>
          <t>记-178</t>
        </is>
      </c>
      <c r="H407" s="36" t="n"/>
      <c r="I407" s="89" t="n">
        <v>4</v>
      </c>
      <c r="J407" s="96" t="n"/>
      <c r="K407" s="40" t="n"/>
      <c r="L407" s="96" t="n"/>
      <c r="M407" s="36" t="n"/>
    </row>
    <row r="408" s="83">
      <c r="A408" s="37" t="inlineStr">
        <is>
          <t>101201</t>
        </is>
      </c>
      <c r="B408" s="37" t="n"/>
      <c r="C408" s="37" t="inlineStr">
        <is>
          <t>2025-04-21</t>
        </is>
      </c>
      <c r="D408" s="37" t="inlineStr">
        <is>
          <t>Else01</t>
        </is>
      </c>
      <c r="E408" s="37" t="n"/>
      <c r="F408" s="37" t="inlineStr">
        <is>
          <t>浙江精准学科技有限公司</t>
        </is>
      </c>
      <c r="G408" s="37" t="inlineStr">
        <is>
          <t>记-179</t>
        </is>
      </c>
      <c r="H408" s="37" t="n"/>
      <c r="I408" s="97" t="n"/>
      <c r="J408" s="89" t="n">
        <v>4</v>
      </c>
      <c r="K408" s="42" t="n"/>
      <c r="L408" s="97" t="n"/>
      <c r="M408" s="37" t="n"/>
    </row>
    <row r="409" s="83">
      <c r="A409" s="36" t="inlineStr">
        <is>
          <t>101201</t>
        </is>
      </c>
      <c r="B409" s="36" t="n"/>
      <c r="C409" s="36" t="inlineStr">
        <is>
          <t>2025-04-22</t>
        </is>
      </c>
      <c r="D409" s="36" t="inlineStr">
        <is>
          <t>Else01</t>
        </is>
      </c>
      <c r="E409" s="36" t="n"/>
      <c r="F409" s="36" t="inlineStr">
        <is>
          <t>浙江精准学科技有限公司</t>
        </is>
      </c>
      <c r="G409" s="36" t="inlineStr">
        <is>
          <t>记-187</t>
        </is>
      </c>
      <c r="H409" s="36" t="n"/>
      <c r="I409" s="96" t="n"/>
      <c r="J409" s="89" t="n">
        <v>4</v>
      </c>
      <c r="K409" s="40" t="n"/>
      <c r="L409" s="96" t="n"/>
      <c r="M409" s="36" t="n"/>
    </row>
    <row r="410" s="83">
      <c r="A410" s="37" t="inlineStr">
        <is>
          <t>101201</t>
        </is>
      </c>
      <c r="B410" s="37" t="n"/>
      <c r="C410" s="37" t="inlineStr">
        <is>
          <t>2025-04-23</t>
        </is>
      </c>
      <c r="D410" s="37" t="inlineStr">
        <is>
          <t>Else01</t>
        </is>
      </c>
      <c r="E410" s="37" t="n"/>
      <c r="F410" s="37" t="inlineStr">
        <is>
          <t>浙江精准学科技有限公司</t>
        </is>
      </c>
      <c r="G410" s="37" t="inlineStr">
        <is>
          <t>记-193</t>
        </is>
      </c>
      <c r="H410" s="37" t="n"/>
      <c r="I410" s="89" t="n">
        <v>4</v>
      </c>
      <c r="J410" s="97" t="n"/>
      <c r="K410" s="42" t="n"/>
      <c r="L410" s="97" t="n"/>
      <c r="M410" s="37" t="n"/>
    </row>
    <row r="411" s="83">
      <c r="A411" s="36" t="inlineStr">
        <is>
          <t>101201</t>
        </is>
      </c>
      <c r="B411" s="36" t="n"/>
      <c r="C411" s="36" t="inlineStr">
        <is>
          <t>2025-04-23</t>
        </is>
      </c>
      <c r="D411" s="36" t="inlineStr">
        <is>
          <t>Else01</t>
        </is>
      </c>
      <c r="E411" s="36" t="n"/>
      <c r="F411" s="36" t="inlineStr">
        <is>
          <t>浙江精准学科技有限公司</t>
        </is>
      </c>
      <c r="G411" s="36" t="inlineStr">
        <is>
          <t>记-194</t>
        </is>
      </c>
      <c r="H411" s="36" t="n"/>
      <c r="I411" s="96" t="n"/>
      <c r="J411" s="89" t="n">
        <v>4</v>
      </c>
      <c r="K411" s="40" t="n"/>
      <c r="L411" s="96" t="n"/>
      <c r="M411" s="36" t="n"/>
    </row>
    <row r="412" s="83">
      <c r="A412" s="37" t="inlineStr">
        <is>
          <t>101201</t>
        </is>
      </c>
      <c r="B412" s="37" t="n"/>
      <c r="C412" s="37" t="inlineStr">
        <is>
          <t>2025-04-24</t>
        </is>
      </c>
      <c r="D412" s="37" t="inlineStr">
        <is>
          <t>Else01</t>
        </is>
      </c>
      <c r="E412" s="37" t="n"/>
      <c r="F412" s="37" t="inlineStr">
        <is>
          <t>浙江精准学科技有限公司</t>
        </is>
      </c>
      <c r="G412" s="37" t="inlineStr">
        <is>
          <t>记-199</t>
        </is>
      </c>
      <c r="H412" s="37" t="n"/>
      <c r="I412" s="89" t="n">
        <v>4</v>
      </c>
      <c r="J412" s="97" t="n"/>
      <c r="K412" s="42" t="n"/>
      <c r="L412" s="97" t="n"/>
      <c r="M412" s="37" t="n"/>
    </row>
    <row r="413" s="83">
      <c r="A413" s="36" t="inlineStr">
        <is>
          <t>101201</t>
        </is>
      </c>
      <c r="B413" s="36" t="n"/>
      <c r="C413" s="36" t="inlineStr">
        <is>
          <t>2025-04-24</t>
        </is>
      </c>
      <c r="D413" s="36" t="inlineStr">
        <is>
          <t>Else01</t>
        </is>
      </c>
      <c r="E413" s="36" t="n"/>
      <c r="F413" s="36" t="inlineStr">
        <is>
          <t>浙江精准学科技有限公司</t>
        </is>
      </c>
      <c r="G413" s="36" t="inlineStr">
        <is>
          <t>记-200</t>
        </is>
      </c>
      <c r="H413" s="36" t="n"/>
      <c r="I413" s="96" t="n"/>
      <c r="J413" s="89" t="n">
        <v>4</v>
      </c>
      <c r="K413" s="40" t="n"/>
      <c r="L413" s="96" t="n"/>
      <c r="M413" s="36" t="n"/>
    </row>
    <row r="414" s="83">
      <c r="A414" s="37" t="inlineStr">
        <is>
          <t>101201</t>
        </is>
      </c>
      <c r="B414" s="37" t="n"/>
      <c r="C414" s="37" t="inlineStr">
        <is>
          <t>2025-04-25</t>
        </is>
      </c>
      <c r="D414" s="37" t="inlineStr">
        <is>
          <t>Else01</t>
        </is>
      </c>
      <c r="E414" s="37" t="n"/>
      <c r="F414" s="37" t="inlineStr">
        <is>
          <t>浙江精准学科技有限公司</t>
        </is>
      </c>
      <c r="G414" s="37" t="inlineStr">
        <is>
          <t>记-211</t>
        </is>
      </c>
      <c r="H414" s="37" t="n"/>
      <c r="I414" s="89" t="n">
        <v>4</v>
      </c>
      <c r="J414" s="97" t="n"/>
      <c r="K414" s="42" t="n"/>
      <c r="L414" s="97" t="n"/>
      <c r="M414" s="37" t="n"/>
    </row>
    <row r="415" s="83">
      <c r="A415" s="36" t="inlineStr">
        <is>
          <t>101201</t>
        </is>
      </c>
      <c r="B415" s="36" t="n"/>
      <c r="C415" s="36" t="inlineStr">
        <is>
          <t>2025-04-25</t>
        </is>
      </c>
      <c r="D415" s="36" t="inlineStr">
        <is>
          <t>Else01</t>
        </is>
      </c>
      <c r="E415" s="36" t="n"/>
      <c r="F415" s="36" t="inlineStr">
        <is>
          <t>浙江精准学科技有限公司</t>
        </is>
      </c>
      <c r="G415" s="36" t="inlineStr">
        <is>
          <t>记-212</t>
        </is>
      </c>
      <c r="H415" s="36" t="n"/>
      <c r="I415" s="96" t="n"/>
      <c r="J415" s="89" t="n">
        <v>4</v>
      </c>
      <c r="K415" s="40" t="n"/>
      <c r="L415" s="96" t="n"/>
      <c r="M415" s="36" t="n"/>
    </row>
    <row r="416" s="83">
      <c r="A416" s="37" t="inlineStr">
        <is>
          <t>101201</t>
        </is>
      </c>
      <c r="B416" s="37" t="n"/>
      <c r="C416" s="37" t="inlineStr">
        <is>
          <t>2025-04-26</t>
        </is>
      </c>
      <c r="D416" s="37" t="inlineStr">
        <is>
          <t>Else01</t>
        </is>
      </c>
      <c r="E416" s="37" t="n"/>
      <c r="F416" s="37" t="inlineStr">
        <is>
          <t>浙江精准学科技有限公司</t>
        </is>
      </c>
      <c r="G416" s="37" t="inlineStr">
        <is>
          <t>记-214</t>
        </is>
      </c>
      <c r="H416" s="37" t="n"/>
      <c r="I416" s="89" t="n">
        <v>4</v>
      </c>
      <c r="J416" s="97" t="n"/>
      <c r="K416" s="42" t="n"/>
      <c r="L416" s="97" t="n"/>
      <c r="M416" s="37" t="n"/>
    </row>
    <row r="417" s="83">
      <c r="A417" s="36" t="inlineStr">
        <is>
          <t>101201</t>
        </is>
      </c>
      <c r="B417" s="36" t="n"/>
      <c r="C417" s="36" t="inlineStr">
        <is>
          <t>2025-04-26</t>
        </is>
      </c>
      <c r="D417" s="36" t="inlineStr">
        <is>
          <t>Else01</t>
        </is>
      </c>
      <c r="E417" s="36" t="n"/>
      <c r="F417" s="36" t="inlineStr">
        <is>
          <t>浙江精准学科技有限公司</t>
        </is>
      </c>
      <c r="G417" s="36" t="inlineStr">
        <is>
          <t>记-215</t>
        </is>
      </c>
      <c r="H417" s="36" t="n"/>
      <c r="I417" s="96" t="n"/>
      <c r="J417" s="89" t="n">
        <v>4</v>
      </c>
      <c r="K417" s="40" t="n"/>
      <c r="L417" s="96" t="n"/>
      <c r="M417" s="36" t="n"/>
    </row>
    <row r="418" s="83">
      <c r="A418" s="37" t="inlineStr">
        <is>
          <t>101201</t>
        </is>
      </c>
      <c r="B418" s="37" t="n"/>
      <c r="C418" s="37" t="inlineStr">
        <is>
          <t>2025-04-27</t>
        </is>
      </c>
      <c r="D418" s="37" t="inlineStr">
        <is>
          <t>Else01</t>
        </is>
      </c>
      <c r="E418" s="37" t="n"/>
      <c r="F418" s="37" t="inlineStr">
        <is>
          <t>浙江精准学科技有限公司</t>
        </is>
      </c>
      <c r="G418" s="37" t="inlineStr">
        <is>
          <t>记-223</t>
        </is>
      </c>
      <c r="H418" s="37" t="n"/>
      <c r="I418" s="89" t="n">
        <v>4</v>
      </c>
      <c r="J418" s="97" t="n"/>
      <c r="K418" s="42" t="n"/>
      <c r="L418" s="97" t="n"/>
      <c r="M418" s="37" t="n"/>
    </row>
    <row r="419" s="83">
      <c r="A419" s="36" t="inlineStr">
        <is>
          <t>101201</t>
        </is>
      </c>
      <c r="B419" s="36" t="n"/>
      <c r="C419" s="36" t="inlineStr">
        <is>
          <t>2025-04-27</t>
        </is>
      </c>
      <c r="D419" s="36" t="inlineStr">
        <is>
          <t>Else01</t>
        </is>
      </c>
      <c r="E419" s="36" t="n"/>
      <c r="F419" s="36" t="inlineStr">
        <is>
          <t>浙江精准学科技有限公司</t>
        </is>
      </c>
      <c r="G419" s="36" t="inlineStr">
        <is>
          <t>记-224</t>
        </is>
      </c>
      <c r="H419" s="36" t="n"/>
      <c r="I419" s="96" t="n"/>
      <c r="J419" s="89" t="n">
        <v>4</v>
      </c>
      <c r="K419" s="40" t="n"/>
      <c r="L419" s="96" t="n"/>
      <c r="M419" s="36" t="n"/>
    </row>
    <row r="420" s="83">
      <c r="A420" s="37" t="inlineStr">
        <is>
          <t>101201</t>
        </is>
      </c>
      <c r="B420" s="37" t="n"/>
      <c r="C420" s="37" t="inlineStr">
        <is>
          <t>2025-04-28</t>
        </is>
      </c>
      <c r="D420" s="37" t="inlineStr">
        <is>
          <t>Else01</t>
        </is>
      </c>
      <c r="E420" s="37" t="n"/>
      <c r="F420" s="37" t="inlineStr">
        <is>
          <t>浙江精准学科技有限公司</t>
        </is>
      </c>
      <c r="G420" s="37" t="inlineStr">
        <is>
          <t>记-230</t>
        </is>
      </c>
      <c r="H420" s="37" t="n"/>
      <c r="I420" s="89" t="n">
        <v>4</v>
      </c>
      <c r="J420" s="97" t="n"/>
      <c r="K420" s="42" t="n"/>
      <c r="L420" s="97" t="n"/>
      <c r="M420" s="37" t="n"/>
    </row>
    <row r="421" s="83">
      <c r="A421" s="36" t="inlineStr">
        <is>
          <t>101201</t>
        </is>
      </c>
      <c r="B421" s="36" t="n"/>
      <c r="C421" s="36" t="inlineStr">
        <is>
          <t>2025-04-28</t>
        </is>
      </c>
      <c r="D421" s="36" t="inlineStr">
        <is>
          <t>Else01</t>
        </is>
      </c>
      <c r="E421" s="36" t="n"/>
      <c r="F421" s="36" t="inlineStr">
        <is>
          <t>浙江精准学科技有限公司</t>
        </is>
      </c>
      <c r="G421" s="36" t="inlineStr">
        <is>
          <t>记-231</t>
        </is>
      </c>
      <c r="H421" s="36" t="n"/>
      <c r="I421" s="96" t="n"/>
      <c r="J421" s="89" t="n">
        <v>4</v>
      </c>
      <c r="K421" s="40" t="n"/>
      <c r="L421" s="96" t="n"/>
      <c r="M421" s="36" t="n"/>
    </row>
    <row r="422" s="83">
      <c r="A422" s="37" t="inlineStr">
        <is>
          <t>101201</t>
        </is>
      </c>
      <c r="B422" s="37" t="n"/>
      <c r="C422" s="37" t="inlineStr">
        <is>
          <t>2025-04-29</t>
        </is>
      </c>
      <c r="D422" s="37" t="inlineStr">
        <is>
          <t>Else01</t>
        </is>
      </c>
      <c r="E422" s="37" t="n"/>
      <c r="F422" s="37" t="inlineStr">
        <is>
          <t>浙江精准学科技有限公司</t>
        </is>
      </c>
      <c r="G422" s="37" t="inlineStr">
        <is>
          <t>记-246</t>
        </is>
      </c>
      <c r="H422" s="37" t="n"/>
      <c r="I422" s="89" t="n">
        <v>4</v>
      </c>
      <c r="J422" s="97" t="n"/>
      <c r="K422" s="42" t="n"/>
      <c r="L422" s="97" t="n"/>
      <c r="M422" s="37" t="n"/>
    </row>
    <row r="423" s="83">
      <c r="A423" s="36" t="inlineStr">
        <is>
          <t>101201</t>
        </is>
      </c>
      <c r="B423" s="36" t="n"/>
      <c r="C423" s="36" t="inlineStr">
        <is>
          <t>2025-04-29</t>
        </is>
      </c>
      <c r="D423" s="36" t="inlineStr">
        <is>
          <t>Else01</t>
        </is>
      </c>
      <c r="E423" s="36" t="n"/>
      <c r="F423" s="36" t="inlineStr">
        <is>
          <t>浙江精准学科技有限公司</t>
        </is>
      </c>
      <c r="G423" s="36" t="inlineStr">
        <is>
          <t>记-247</t>
        </is>
      </c>
      <c r="H423" s="36" t="n"/>
      <c r="I423" s="96" t="n"/>
      <c r="J423" s="89" t="n">
        <v>4</v>
      </c>
      <c r="K423" s="40" t="n"/>
      <c r="L423" s="96" t="n"/>
      <c r="M423" s="36" t="n"/>
    </row>
    <row r="424" s="83">
      <c r="A424" s="37" t="inlineStr">
        <is>
          <t>101201</t>
        </is>
      </c>
      <c r="B424" s="37" t="n"/>
      <c r="C424" s="37" t="inlineStr">
        <is>
          <t>2025-04-30</t>
        </is>
      </c>
      <c r="D424" s="37" t="inlineStr">
        <is>
          <t>Else01</t>
        </is>
      </c>
      <c r="E424" s="37" t="n"/>
      <c r="F424" s="37" t="inlineStr">
        <is>
          <t>浙江精准学科技有限公司</t>
        </is>
      </c>
      <c r="G424" s="37" t="inlineStr">
        <is>
          <t>记-264</t>
        </is>
      </c>
      <c r="H424" s="37" t="n"/>
      <c r="I424" s="89" t="n">
        <v>4</v>
      </c>
      <c r="J424" s="97" t="n"/>
      <c r="K424" s="42" t="n"/>
      <c r="L424" s="97" t="n"/>
      <c r="M424" s="37" t="n"/>
    </row>
    <row r="425" s="83">
      <c r="A425" s="36" t="inlineStr">
        <is>
          <t>101201</t>
        </is>
      </c>
      <c r="B425" s="36" t="n"/>
      <c r="C425" s="36" t="inlineStr">
        <is>
          <t>2025-04-30</t>
        </is>
      </c>
      <c r="D425" s="36" t="inlineStr">
        <is>
          <t>Else01</t>
        </is>
      </c>
      <c r="E425" s="36" t="n"/>
      <c r="F425" s="36" t="inlineStr">
        <is>
          <t>浙江精准学科技有限公司</t>
        </is>
      </c>
      <c r="G425" s="36" t="inlineStr">
        <is>
          <t>记-265</t>
        </is>
      </c>
      <c r="H425" s="36" t="n"/>
      <c r="I425" s="96" t="n"/>
      <c r="J425" s="89" t="n">
        <v>4</v>
      </c>
      <c r="K425" s="40" t="n"/>
      <c r="L425" s="96" t="n"/>
      <c r="M425" s="36" t="n"/>
    </row>
    <row r="426" s="83">
      <c r="A426" s="37" t="inlineStr">
        <is>
          <t>101201</t>
        </is>
      </c>
      <c r="B426" s="37" t="n"/>
      <c r="C426" s="37" t="inlineStr">
        <is>
          <t>2025-04-30</t>
        </is>
      </c>
      <c r="D426" s="37" t="inlineStr">
        <is>
          <t>Else01</t>
        </is>
      </c>
      <c r="E426" s="37" t="n"/>
      <c r="F426" s="37" t="inlineStr">
        <is>
          <t>浙江精准学科技有限公司</t>
        </is>
      </c>
      <c r="G426" s="37" t="inlineStr">
        <is>
          <t>记-266</t>
        </is>
      </c>
      <c r="H426" s="37" t="n"/>
      <c r="I426" s="89" t="n">
        <v>4</v>
      </c>
      <c r="J426" s="97" t="n"/>
      <c r="K426" s="42" t="n"/>
      <c r="L426" s="97" t="n"/>
      <c r="M426" s="37" t="n"/>
    </row>
    <row r="427" s="83">
      <c r="A427" s="36" t="inlineStr">
        <is>
          <t>101201</t>
        </is>
      </c>
      <c r="B427" s="36" t="n"/>
      <c r="C427" s="36" t="inlineStr">
        <is>
          <t>2025-04-30</t>
        </is>
      </c>
      <c r="D427" s="36" t="inlineStr">
        <is>
          <t>Else01</t>
        </is>
      </c>
      <c r="E427" s="36" t="n"/>
      <c r="F427" s="36" t="inlineStr">
        <is>
          <t>浙江精准学科技有限公司</t>
        </is>
      </c>
      <c r="G427" s="36" t="inlineStr">
        <is>
          <t>记-267</t>
        </is>
      </c>
      <c r="H427" s="36" t="n"/>
      <c r="I427" s="96" t="n"/>
      <c r="J427" s="89" t="n">
        <v>4</v>
      </c>
      <c r="K427" s="40" t="n"/>
      <c r="L427" s="96" t="n"/>
      <c r="M427" s="36" t="n"/>
    </row>
    <row r="428" s="83">
      <c r="A428" s="36" t="inlineStr">
        <is>
          <t>101201</t>
        </is>
      </c>
      <c r="B428" s="36" t="n"/>
      <c r="C428" s="36" t="inlineStr">
        <is>
          <t>2025-04-30</t>
        </is>
      </c>
      <c r="D428" s="36" t="inlineStr">
        <is>
          <t>Q0101</t>
        </is>
      </c>
      <c r="E428" s="36" t="n"/>
      <c r="F428" s="36" t="inlineStr">
        <is>
          <t>浙江精准学科技有限公司</t>
        </is>
      </c>
      <c r="G428" s="36" t="inlineStr">
        <is>
          <t>记-269</t>
        </is>
      </c>
      <c r="H428" s="36" t="n"/>
      <c r="I428" s="89" t="n">
        <v>4</v>
      </c>
      <c r="J428" s="96" t="n"/>
      <c r="K428" s="40" t="n"/>
      <c r="L428" s="96" t="n"/>
      <c r="M428" s="36" t="n"/>
    </row>
    <row r="429" s="83">
      <c r="A429" s="37" t="inlineStr">
        <is>
          <t>101201</t>
        </is>
      </c>
      <c r="B429" s="37" t="n"/>
      <c r="C429" s="37" t="inlineStr">
        <is>
          <t>2025-04-30</t>
        </is>
      </c>
      <c r="D429" s="37" t="inlineStr">
        <is>
          <t>Q0103</t>
        </is>
      </c>
      <c r="E429" s="37" t="n"/>
      <c r="F429" s="37" t="inlineStr">
        <is>
          <t>浙江精准学科技有限公司</t>
        </is>
      </c>
      <c r="G429" s="37" t="inlineStr">
        <is>
          <t>记-269</t>
        </is>
      </c>
      <c r="H429" s="37" t="n"/>
      <c r="I429" s="89" t="n">
        <v>4</v>
      </c>
      <c r="J429" s="97" t="n"/>
      <c r="K429" s="42" t="n"/>
      <c r="L429" s="97" t="n"/>
      <c r="M429" s="37" t="n"/>
    </row>
    <row r="430" s="83">
      <c r="A430" s="37" t="inlineStr">
        <is>
          <t>101201</t>
        </is>
      </c>
      <c r="B430" s="37" t="n"/>
      <c r="C430" s="37" t="inlineStr">
        <is>
          <t>2025-04-03</t>
        </is>
      </c>
      <c r="D430" s="37" t="inlineStr">
        <is>
          <t>Q0303</t>
        </is>
      </c>
      <c r="E430" s="37" t="n"/>
      <c r="F430" s="37" t="inlineStr">
        <is>
          <t>浙江精准学科技有限公司</t>
        </is>
      </c>
      <c r="G430" s="37" t="inlineStr">
        <is>
          <t>记-35</t>
        </is>
      </c>
      <c r="H430" s="37" t="n"/>
      <c r="I430" s="89" t="n">
        <v>4</v>
      </c>
      <c r="J430" s="97" t="n"/>
      <c r="K430" s="42" t="n"/>
      <c r="L430" s="97" t="n"/>
      <c r="M430" s="37" t="n"/>
    </row>
    <row r="431" s="83">
      <c r="A431" s="36" t="inlineStr">
        <is>
          <t>101201</t>
        </is>
      </c>
      <c r="B431" s="36" t="n"/>
      <c r="C431" s="36" t="inlineStr">
        <is>
          <t>2025-04-08</t>
        </is>
      </c>
      <c r="D431" s="36" t="inlineStr">
        <is>
          <t>Q0303</t>
        </is>
      </c>
      <c r="E431" s="36" t="n"/>
      <c r="F431" s="36" t="inlineStr">
        <is>
          <t>浙江精准学科技有限公司</t>
        </is>
      </c>
      <c r="G431" s="36" t="inlineStr">
        <is>
          <t>记-63</t>
        </is>
      </c>
      <c r="H431" s="36" t="n"/>
      <c r="I431" s="89" t="n">
        <v>4</v>
      </c>
      <c r="J431" s="96" t="n"/>
      <c r="K431" s="40" t="n"/>
      <c r="L431" s="96" t="n"/>
      <c r="M431" s="36" t="n"/>
    </row>
    <row r="432" s="83">
      <c r="A432" s="37" t="inlineStr">
        <is>
          <t>101201</t>
        </is>
      </c>
      <c r="B432" s="37" t="n"/>
      <c r="C432" s="37" t="inlineStr">
        <is>
          <t>2025-04-11</t>
        </is>
      </c>
      <c r="D432" s="37" t="inlineStr">
        <is>
          <t>Q0303</t>
        </is>
      </c>
      <c r="E432" s="37" t="n"/>
      <c r="F432" s="37" t="inlineStr">
        <is>
          <t>浙江精准学科技有限公司</t>
        </is>
      </c>
      <c r="G432" s="37" t="inlineStr">
        <is>
          <t>记-105</t>
        </is>
      </c>
      <c r="H432" s="37" t="n"/>
      <c r="I432" s="89" t="n">
        <v>4</v>
      </c>
      <c r="J432" s="97" t="n"/>
      <c r="K432" s="42" t="n"/>
      <c r="L432" s="97" t="n"/>
      <c r="M432" s="37" t="n"/>
    </row>
    <row r="433" s="83">
      <c r="A433" s="36" t="inlineStr">
        <is>
          <t>101201</t>
        </is>
      </c>
      <c r="B433" s="36" t="n"/>
      <c r="C433" s="36" t="inlineStr">
        <is>
          <t>2025-04-15</t>
        </is>
      </c>
      <c r="D433" s="36" t="inlineStr">
        <is>
          <t>Q0303</t>
        </is>
      </c>
      <c r="E433" s="36" t="n"/>
      <c r="F433" s="36" t="inlineStr">
        <is>
          <t>浙江精准学科技有限公司</t>
        </is>
      </c>
      <c r="G433" s="36" t="inlineStr">
        <is>
          <t>记-131</t>
        </is>
      </c>
      <c r="H433" s="36" t="n"/>
      <c r="I433" s="89" t="n">
        <v>4</v>
      </c>
      <c r="J433" s="96" t="n"/>
      <c r="K433" s="40" t="n"/>
      <c r="L433" s="96" t="n"/>
      <c r="M433" s="36" t="n"/>
    </row>
    <row r="434" s="83">
      <c r="A434" s="37" t="inlineStr">
        <is>
          <t>101201</t>
        </is>
      </c>
      <c r="B434" s="37" t="n"/>
      <c r="C434" s="37" t="inlineStr">
        <is>
          <t>2025-04-23</t>
        </is>
      </c>
      <c r="D434" s="37" t="inlineStr">
        <is>
          <t>Q0303</t>
        </is>
      </c>
      <c r="E434" s="37" t="n"/>
      <c r="F434" s="37" t="inlineStr">
        <is>
          <t>浙江精准学科技有限公司</t>
        </is>
      </c>
      <c r="G434" s="37" t="inlineStr">
        <is>
          <t>记-193</t>
        </is>
      </c>
      <c r="H434" s="37" t="n"/>
      <c r="I434" s="89" t="n">
        <v>4</v>
      </c>
      <c r="J434" s="97" t="n"/>
      <c r="K434" s="42" t="n"/>
      <c r="L434" s="97" t="n"/>
      <c r="M434" s="37" t="n"/>
    </row>
    <row r="435" s="83">
      <c r="A435" s="36" t="inlineStr">
        <is>
          <t>101201</t>
        </is>
      </c>
      <c r="B435" s="36" t="n"/>
      <c r="C435" s="36" t="inlineStr">
        <is>
          <t>2025-04-26</t>
        </is>
      </c>
      <c r="D435" s="36" t="inlineStr">
        <is>
          <t>Q0303</t>
        </is>
      </c>
      <c r="E435" s="36" t="n"/>
      <c r="F435" s="36" t="inlineStr">
        <is>
          <t>浙江精准学科技有限公司</t>
        </is>
      </c>
      <c r="G435" s="36" t="inlineStr">
        <is>
          <t>记-214</t>
        </is>
      </c>
      <c r="H435" s="36" t="n"/>
      <c r="I435" s="89" t="n">
        <v>4</v>
      </c>
      <c r="J435" s="96" t="n"/>
      <c r="K435" s="40" t="n"/>
      <c r="L435" s="96" t="n"/>
      <c r="M435" s="36" t="n"/>
    </row>
    <row r="436" s="83">
      <c r="A436" s="37" t="inlineStr">
        <is>
          <t>101201</t>
        </is>
      </c>
      <c r="B436" s="37" t="n"/>
      <c r="C436" s="37" t="inlineStr">
        <is>
          <t>2025-04-30</t>
        </is>
      </c>
      <c r="D436" s="37" t="inlineStr">
        <is>
          <t>Q0303</t>
        </is>
      </c>
      <c r="E436" s="37" t="n"/>
      <c r="F436" s="37" t="inlineStr">
        <is>
          <t>浙江精准学科技有限公司</t>
        </is>
      </c>
      <c r="G436" s="37" t="inlineStr">
        <is>
          <t>记-264</t>
        </is>
      </c>
      <c r="H436" s="37" t="n"/>
      <c r="I436" s="89" t="n">
        <v>4</v>
      </c>
      <c r="J436" s="97" t="n"/>
      <c r="K436" s="42" t="n"/>
      <c r="L436" s="97" t="n"/>
      <c r="M436" s="37" t="n"/>
    </row>
    <row r="437" s="83">
      <c r="A437" s="37" t="inlineStr">
        <is>
          <t>101201</t>
        </is>
      </c>
      <c r="B437" s="37" t="n"/>
      <c r="C437" s="37" t="inlineStr">
        <is>
          <t>2025-04-01</t>
        </is>
      </c>
      <c r="D437" s="37" t="inlineStr">
        <is>
          <t>Q0401</t>
        </is>
      </c>
      <c r="E437" s="37" t="n"/>
      <c r="F437" s="37" t="inlineStr">
        <is>
          <t>浙江精准学科技有限公司</t>
        </is>
      </c>
      <c r="G437" s="37" t="inlineStr">
        <is>
          <t>记-1</t>
        </is>
      </c>
      <c r="H437" s="37" t="n"/>
      <c r="I437" s="97" t="n"/>
      <c r="J437" s="89" t="n">
        <v>4</v>
      </c>
      <c r="K437" s="42" t="n"/>
      <c r="L437" s="97" t="n"/>
      <c r="M437" s="37" t="n"/>
    </row>
    <row r="438" s="83">
      <c r="A438" s="36" t="inlineStr">
        <is>
          <t>101201</t>
        </is>
      </c>
      <c r="B438" s="36" t="n"/>
      <c r="C438" s="36" t="inlineStr">
        <is>
          <t>2025-04-02</t>
        </is>
      </c>
      <c r="D438" s="36" t="inlineStr">
        <is>
          <t>Q0401</t>
        </is>
      </c>
      <c r="E438" s="36" t="n"/>
      <c r="F438" s="36" t="inlineStr">
        <is>
          <t>浙江精准学科技有限公司</t>
        </is>
      </c>
      <c r="G438" s="36" t="inlineStr">
        <is>
          <t>记-15</t>
        </is>
      </c>
      <c r="H438" s="36" t="n"/>
      <c r="I438" s="96" t="n"/>
      <c r="J438" s="89" t="n">
        <v>4</v>
      </c>
      <c r="K438" s="40" t="n"/>
      <c r="L438" s="96" t="n"/>
      <c r="M438" s="36" t="n"/>
    </row>
    <row r="439" s="83">
      <c r="A439" s="37" t="inlineStr">
        <is>
          <t>101201</t>
        </is>
      </c>
      <c r="B439" s="37" t="n"/>
      <c r="C439" s="37" t="inlineStr">
        <is>
          <t>2025-04-02</t>
        </is>
      </c>
      <c r="D439" s="37" t="inlineStr">
        <is>
          <t>Q0401</t>
        </is>
      </c>
      <c r="E439" s="37" t="n"/>
      <c r="F439" s="37" t="inlineStr">
        <is>
          <t>浙江精准学科技有限公司</t>
        </is>
      </c>
      <c r="G439" s="37" t="inlineStr">
        <is>
          <t>记-22</t>
        </is>
      </c>
      <c r="H439" s="37" t="n"/>
      <c r="I439" s="89" t="n">
        <v>4</v>
      </c>
      <c r="J439" s="97" t="n"/>
      <c r="K439" s="42" t="n"/>
      <c r="L439" s="97" t="n"/>
      <c r="M439" s="37" t="n"/>
    </row>
    <row r="440" s="83">
      <c r="A440" s="36" t="inlineStr">
        <is>
          <t>101201</t>
        </is>
      </c>
      <c r="B440" s="36" t="n"/>
      <c r="C440" s="36" t="inlineStr">
        <is>
          <t>2025-04-03</t>
        </is>
      </c>
      <c r="D440" s="36" t="inlineStr">
        <is>
          <t>Q0401</t>
        </is>
      </c>
      <c r="E440" s="36" t="n"/>
      <c r="F440" s="36" t="inlineStr">
        <is>
          <t>浙江精准学科技有限公司</t>
        </is>
      </c>
      <c r="G440" s="36" t="inlineStr">
        <is>
          <t>记-27</t>
        </is>
      </c>
      <c r="H440" s="36" t="n"/>
      <c r="I440" s="96" t="n"/>
      <c r="J440" s="89" t="n">
        <v>4</v>
      </c>
      <c r="K440" s="40" t="n"/>
      <c r="L440" s="96" t="n"/>
      <c r="M440" s="36" t="n"/>
    </row>
    <row r="441" s="83">
      <c r="A441" s="37" t="inlineStr">
        <is>
          <t>101201</t>
        </is>
      </c>
      <c r="B441" s="37" t="n"/>
      <c r="C441" s="37" t="inlineStr">
        <is>
          <t>2025-04-03</t>
        </is>
      </c>
      <c r="D441" s="37" t="inlineStr">
        <is>
          <t>Q0401</t>
        </is>
      </c>
      <c r="E441" s="37" t="n"/>
      <c r="F441" s="37" t="inlineStr">
        <is>
          <t>浙江精准学科技有限公司</t>
        </is>
      </c>
      <c r="G441" s="37" t="inlineStr">
        <is>
          <t>记-28</t>
        </is>
      </c>
      <c r="H441" s="37" t="n"/>
      <c r="I441" s="97" t="n"/>
      <c r="J441" s="89" t="n">
        <v>4</v>
      </c>
      <c r="K441" s="42" t="n"/>
      <c r="L441" s="97" t="n"/>
      <c r="M441" s="37" t="n"/>
    </row>
    <row r="442" s="83">
      <c r="A442" s="36" t="inlineStr">
        <is>
          <t>101201</t>
        </is>
      </c>
      <c r="B442" s="36" t="n"/>
      <c r="C442" s="36" t="inlineStr">
        <is>
          <t>2025-04-03</t>
        </is>
      </c>
      <c r="D442" s="36" t="inlineStr">
        <is>
          <t>Q0401</t>
        </is>
      </c>
      <c r="E442" s="36" t="n"/>
      <c r="F442" s="36" t="inlineStr">
        <is>
          <t>浙江精准学科技有限公司</t>
        </is>
      </c>
      <c r="G442" s="36" t="inlineStr">
        <is>
          <t>记-33</t>
        </is>
      </c>
      <c r="H442" s="36" t="n"/>
      <c r="I442" s="89" t="n">
        <v>4</v>
      </c>
      <c r="J442" s="96" t="n"/>
      <c r="K442" s="40" t="n"/>
      <c r="L442" s="96" t="n"/>
      <c r="M442" s="36" t="n"/>
    </row>
    <row r="443" s="83">
      <c r="A443" s="37" t="inlineStr">
        <is>
          <t>101201</t>
        </is>
      </c>
      <c r="B443" s="37" t="n"/>
      <c r="C443" s="37" t="inlineStr">
        <is>
          <t>2025-04-04</t>
        </is>
      </c>
      <c r="D443" s="37" t="inlineStr">
        <is>
          <t>Q0401</t>
        </is>
      </c>
      <c r="E443" s="37" t="n"/>
      <c r="F443" s="37" t="inlineStr">
        <is>
          <t>浙江精准学科技有限公司</t>
        </is>
      </c>
      <c r="G443" s="37" t="inlineStr">
        <is>
          <t>记-38</t>
        </is>
      </c>
      <c r="H443" s="37" t="n"/>
      <c r="I443" s="97" t="n"/>
      <c r="J443" s="89" t="n">
        <v>4</v>
      </c>
      <c r="K443" s="42" t="n"/>
      <c r="L443" s="97" t="n"/>
      <c r="M443" s="37" t="n"/>
    </row>
    <row r="444" s="83">
      <c r="A444" s="36" t="inlineStr">
        <is>
          <t>101201</t>
        </is>
      </c>
      <c r="B444" s="36" t="n"/>
      <c r="C444" s="36" t="inlineStr">
        <is>
          <t>2025-04-05</t>
        </is>
      </c>
      <c r="D444" s="36" t="inlineStr">
        <is>
          <t>Q0401</t>
        </is>
      </c>
      <c r="E444" s="36" t="n"/>
      <c r="F444" s="36" t="inlineStr">
        <is>
          <t>浙江精准学科技有限公司</t>
        </is>
      </c>
      <c r="G444" s="36" t="inlineStr">
        <is>
          <t>记-42</t>
        </is>
      </c>
      <c r="H444" s="36" t="n"/>
      <c r="I444" s="96" t="n"/>
      <c r="J444" s="89" t="n">
        <v>4</v>
      </c>
      <c r="K444" s="40" t="n"/>
      <c r="L444" s="96" t="n"/>
      <c r="M444" s="36" t="n"/>
    </row>
    <row r="445" s="83">
      <c r="A445" s="37" t="inlineStr">
        <is>
          <t>101201</t>
        </is>
      </c>
      <c r="B445" s="37" t="n"/>
      <c r="C445" s="37" t="inlineStr">
        <is>
          <t>2025-04-06</t>
        </is>
      </c>
      <c r="D445" s="37" t="inlineStr">
        <is>
          <t>Q0401</t>
        </is>
      </c>
      <c r="E445" s="37" t="n"/>
      <c r="F445" s="37" t="inlineStr">
        <is>
          <t>浙江精准学科技有限公司</t>
        </is>
      </c>
      <c r="G445" s="37" t="inlineStr">
        <is>
          <t>记-45</t>
        </is>
      </c>
      <c r="H445" s="37" t="n"/>
      <c r="I445" s="97" t="n"/>
      <c r="J445" s="89" t="n">
        <v>4</v>
      </c>
      <c r="K445" s="42" t="n"/>
      <c r="L445" s="97" t="n"/>
      <c r="M445" s="37" t="n"/>
    </row>
    <row r="446" s="83">
      <c r="A446" s="36" t="inlineStr">
        <is>
          <t>101201</t>
        </is>
      </c>
      <c r="B446" s="36" t="n"/>
      <c r="C446" s="36" t="inlineStr">
        <is>
          <t>2025-04-07</t>
        </is>
      </c>
      <c r="D446" s="36" t="inlineStr">
        <is>
          <t>Q0401</t>
        </is>
      </c>
      <c r="E446" s="36" t="n"/>
      <c r="F446" s="36" t="inlineStr">
        <is>
          <t>浙江精准学科技有限公司</t>
        </is>
      </c>
      <c r="G446" s="36" t="inlineStr">
        <is>
          <t>记-48</t>
        </is>
      </c>
      <c r="H446" s="36" t="n"/>
      <c r="I446" s="96" t="n"/>
      <c r="J446" s="89" t="n">
        <v>4</v>
      </c>
      <c r="K446" s="40" t="n"/>
      <c r="L446" s="96" t="n"/>
      <c r="M446" s="36" t="n"/>
    </row>
    <row r="447" s="83">
      <c r="A447" s="37" t="inlineStr">
        <is>
          <t>101201</t>
        </is>
      </c>
      <c r="B447" s="37" t="n"/>
      <c r="C447" s="37" t="inlineStr">
        <is>
          <t>2025-04-08</t>
        </is>
      </c>
      <c r="D447" s="37" t="inlineStr">
        <is>
          <t>Q0401</t>
        </is>
      </c>
      <c r="E447" s="37" t="n"/>
      <c r="F447" s="37" t="inlineStr">
        <is>
          <t>浙江精准学科技有限公司</t>
        </is>
      </c>
      <c r="G447" s="37" t="inlineStr">
        <is>
          <t>记-54</t>
        </is>
      </c>
      <c r="H447" s="37" t="n"/>
      <c r="I447" s="97" t="n"/>
      <c r="J447" s="89" t="n">
        <v>4</v>
      </c>
      <c r="K447" s="42" t="n"/>
      <c r="L447" s="97" t="n"/>
      <c r="M447" s="37" t="n"/>
    </row>
    <row r="448" s="83">
      <c r="A448" s="36" t="inlineStr">
        <is>
          <t>101201</t>
        </is>
      </c>
      <c r="B448" s="36" t="n"/>
      <c r="C448" s="36" t="inlineStr">
        <is>
          <t>2025-04-09</t>
        </is>
      </c>
      <c r="D448" s="36" t="inlineStr">
        <is>
          <t>Q0401</t>
        </is>
      </c>
      <c r="E448" s="36" t="n"/>
      <c r="F448" s="36" t="inlineStr">
        <is>
          <t>浙江精准学科技有限公司</t>
        </is>
      </c>
      <c r="G448" s="36" t="inlineStr">
        <is>
          <t>记-68</t>
        </is>
      </c>
      <c r="H448" s="36" t="n"/>
      <c r="I448" s="96" t="n"/>
      <c r="J448" s="89" t="n">
        <v>4</v>
      </c>
      <c r="K448" s="40" t="n"/>
      <c r="L448" s="96" t="n"/>
      <c r="M448" s="36" t="n"/>
    </row>
    <row r="449" s="83">
      <c r="A449" s="37" t="inlineStr">
        <is>
          <t>101201</t>
        </is>
      </c>
      <c r="B449" s="37" t="n"/>
      <c r="C449" s="37" t="inlineStr">
        <is>
          <t>2025-04-10</t>
        </is>
      </c>
      <c r="D449" s="37" t="inlineStr">
        <is>
          <t>Q0401</t>
        </is>
      </c>
      <c r="E449" s="37" t="n"/>
      <c r="F449" s="37" t="inlineStr">
        <is>
          <t>浙江精准学科技有限公司</t>
        </is>
      </c>
      <c r="G449" s="37" t="inlineStr">
        <is>
          <t>记-76</t>
        </is>
      </c>
      <c r="H449" s="37" t="n"/>
      <c r="I449" s="97" t="n"/>
      <c r="J449" s="89" t="n">
        <v>4</v>
      </c>
      <c r="K449" s="42" t="n"/>
      <c r="L449" s="97" t="n"/>
      <c r="M449" s="37" t="n"/>
    </row>
    <row r="450" s="83">
      <c r="A450" s="36" t="inlineStr">
        <is>
          <t>101201</t>
        </is>
      </c>
      <c r="B450" s="36" t="n"/>
      <c r="C450" s="36" t="inlineStr">
        <is>
          <t>2025-04-11</t>
        </is>
      </c>
      <c r="D450" s="36" t="inlineStr">
        <is>
          <t>Q0401</t>
        </is>
      </c>
      <c r="E450" s="36" t="n"/>
      <c r="F450" s="36" t="inlineStr">
        <is>
          <t>浙江精准学科技有限公司</t>
        </is>
      </c>
      <c r="G450" s="36" t="inlineStr">
        <is>
          <t>记-90</t>
        </is>
      </c>
      <c r="H450" s="36" t="n"/>
      <c r="I450" s="96" t="n"/>
      <c r="J450" s="89" t="n">
        <v>4</v>
      </c>
      <c r="K450" s="40" t="n"/>
      <c r="L450" s="96" t="n"/>
      <c r="M450" s="36" t="n"/>
    </row>
    <row r="451" s="83">
      <c r="A451" s="37" t="inlineStr">
        <is>
          <t>101201</t>
        </is>
      </c>
      <c r="B451" s="37" t="n"/>
      <c r="C451" s="37" t="inlineStr">
        <is>
          <t>2025-04-12</t>
        </is>
      </c>
      <c r="D451" s="37" t="inlineStr">
        <is>
          <t>Q0401</t>
        </is>
      </c>
      <c r="E451" s="37" t="n"/>
      <c r="F451" s="37" t="inlineStr">
        <is>
          <t>浙江精准学科技有限公司</t>
        </is>
      </c>
      <c r="G451" s="37" t="inlineStr">
        <is>
          <t>记-107</t>
        </is>
      </c>
      <c r="H451" s="37" t="n"/>
      <c r="I451" s="97" t="n"/>
      <c r="J451" s="89" t="n">
        <v>4</v>
      </c>
      <c r="K451" s="42" t="n"/>
      <c r="L451" s="97" t="n"/>
      <c r="M451" s="37" t="n"/>
    </row>
    <row r="452" s="83">
      <c r="A452" s="36" t="inlineStr">
        <is>
          <t>101201</t>
        </is>
      </c>
      <c r="B452" s="36" t="n"/>
      <c r="C452" s="36" t="inlineStr">
        <is>
          <t>2025-04-13</t>
        </is>
      </c>
      <c r="D452" s="36" t="inlineStr">
        <is>
          <t>Q0401</t>
        </is>
      </c>
      <c r="E452" s="36" t="n"/>
      <c r="F452" s="36" t="inlineStr">
        <is>
          <t>浙江精准学科技有限公司</t>
        </is>
      </c>
      <c r="G452" s="36" t="inlineStr">
        <is>
          <t>记-110</t>
        </is>
      </c>
      <c r="H452" s="36" t="n"/>
      <c r="I452" s="96" t="n"/>
      <c r="J452" s="89" t="n">
        <v>4</v>
      </c>
      <c r="K452" s="40" t="n"/>
      <c r="L452" s="96" t="n"/>
      <c r="M452" s="36" t="n"/>
    </row>
    <row r="453" s="83">
      <c r="A453" s="37" t="inlineStr">
        <is>
          <t>101201</t>
        </is>
      </c>
      <c r="B453" s="37" t="n"/>
      <c r="C453" s="37" t="inlineStr">
        <is>
          <t>2025-04-14</t>
        </is>
      </c>
      <c r="D453" s="37" t="inlineStr">
        <is>
          <t>Q0401</t>
        </is>
      </c>
      <c r="E453" s="37" t="n"/>
      <c r="F453" s="37" t="inlineStr">
        <is>
          <t>浙江精准学科技有限公司</t>
        </is>
      </c>
      <c r="G453" s="37" t="inlineStr">
        <is>
          <t>记-113</t>
        </is>
      </c>
      <c r="H453" s="37" t="n"/>
      <c r="I453" s="97" t="n"/>
      <c r="J453" s="89" t="n">
        <v>4</v>
      </c>
      <c r="K453" s="42" t="n"/>
      <c r="L453" s="97" t="n"/>
      <c r="M453" s="37" t="n"/>
    </row>
    <row r="454" s="83">
      <c r="A454" s="36" t="inlineStr">
        <is>
          <t>101201</t>
        </is>
      </c>
      <c r="B454" s="36" t="n"/>
      <c r="C454" s="36" t="inlineStr">
        <is>
          <t>2025-04-15</t>
        </is>
      </c>
      <c r="D454" s="36" t="inlineStr">
        <is>
          <t>Q0401</t>
        </is>
      </c>
      <c r="E454" s="36" t="n"/>
      <c r="F454" s="36" t="inlineStr">
        <is>
          <t>浙江精准学科技有限公司</t>
        </is>
      </c>
      <c r="G454" s="36" t="inlineStr">
        <is>
          <t>记-122</t>
        </is>
      </c>
      <c r="H454" s="36" t="n"/>
      <c r="I454" s="96" t="n"/>
      <c r="J454" s="89" t="n">
        <v>4</v>
      </c>
      <c r="K454" s="40" t="n"/>
      <c r="L454" s="96" t="n"/>
      <c r="M454" s="36" t="n"/>
    </row>
    <row r="455" s="83">
      <c r="A455" s="37" t="inlineStr">
        <is>
          <t>101201</t>
        </is>
      </c>
      <c r="B455" s="37" t="n"/>
      <c r="C455" s="37" t="inlineStr">
        <is>
          <t>2025-04-17</t>
        </is>
      </c>
      <c r="D455" s="37" t="inlineStr">
        <is>
          <t>Q0401</t>
        </is>
      </c>
      <c r="E455" s="37" t="n"/>
      <c r="F455" s="37" t="inlineStr">
        <is>
          <t>浙江精准学科技有限公司</t>
        </is>
      </c>
      <c r="G455" s="37" t="inlineStr">
        <is>
          <t>记-144</t>
        </is>
      </c>
      <c r="H455" s="37" t="n"/>
      <c r="I455" s="97" t="n"/>
      <c r="J455" s="89" t="n">
        <v>4</v>
      </c>
      <c r="K455" s="42" t="n"/>
      <c r="L455" s="97" t="n"/>
      <c r="M455" s="37" t="n"/>
    </row>
    <row r="456" s="83">
      <c r="A456" s="36" t="inlineStr">
        <is>
          <t>101201</t>
        </is>
      </c>
      <c r="B456" s="36" t="n"/>
      <c r="C456" s="36" t="inlineStr">
        <is>
          <t>2025-04-18</t>
        </is>
      </c>
      <c r="D456" s="36" t="inlineStr">
        <is>
          <t>Q0401</t>
        </is>
      </c>
      <c r="E456" s="36" t="n"/>
      <c r="F456" s="36" t="inlineStr">
        <is>
          <t>浙江精准学科技有限公司</t>
        </is>
      </c>
      <c r="G456" s="36" t="inlineStr">
        <is>
          <t>记-150</t>
        </is>
      </c>
      <c r="H456" s="36" t="n"/>
      <c r="I456" s="96" t="n"/>
      <c r="J456" s="89" t="n">
        <v>4</v>
      </c>
      <c r="K456" s="40" t="n"/>
      <c r="L456" s="96" t="n"/>
      <c r="M456" s="36" t="n"/>
    </row>
    <row r="457" s="83">
      <c r="A457" s="37" t="inlineStr">
        <is>
          <t>101201</t>
        </is>
      </c>
      <c r="B457" s="37" t="n"/>
      <c r="C457" s="37" t="inlineStr">
        <is>
          <t>2025-04-19</t>
        </is>
      </c>
      <c r="D457" s="37" t="inlineStr">
        <is>
          <t>Q0401</t>
        </is>
      </c>
      <c r="E457" s="37" t="n"/>
      <c r="F457" s="37" t="inlineStr">
        <is>
          <t>浙江精准学科技有限公司</t>
        </is>
      </c>
      <c r="G457" s="37" t="inlineStr">
        <is>
          <t>记-168</t>
        </is>
      </c>
      <c r="H457" s="37" t="n"/>
      <c r="I457" s="97" t="n"/>
      <c r="J457" s="89" t="n">
        <v>4</v>
      </c>
      <c r="K457" s="42" t="n"/>
      <c r="L457" s="97" t="n"/>
      <c r="M457" s="37" t="n"/>
    </row>
    <row r="458" s="83">
      <c r="A458" s="36" t="inlineStr">
        <is>
          <t>101201</t>
        </is>
      </c>
      <c r="B458" s="36" t="n"/>
      <c r="C458" s="36" t="inlineStr">
        <is>
          <t>2025-04-20</t>
        </is>
      </c>
      <c r="D458" s="36" t="inlineStr">
        <is>
          <t>Q0401</t>
        </is>
      </c>
      <c r="E458" s="36" t="n"/>
      <c r="F458" s="36" t="inlineStr">
        <is>
          <t>浙江精准学科技有限公司</t>
        </is>
      </c>
      <c r="G458" s="36" t="inlineStr">
        <is>
          <t>记-171</t>
        </is>
      </c>
      <c r="H458" s="36" t="n"/>
      <c r="I458" s="96" t="n"/>
      <c r="J458" s="89" t="n">
        <v>4</v>
      </c>
      <c r="K458" s="40" t="n"/>
      <c r="L458" s="96" t="n"/>
      <c r="M458" s="36" t="n"/>
    </row>
    <row r="459" s="83">
      <c r="A459" s="37" t="inlineStr">
        <is>
          <t>101201</t>
        </is>
      </c>
      <c r="B459" s="37" t="n"/>
      <c r="C459" s="37" t="inlineStr">
        <is>
          <t>2025-04-21</t>
        </is>
      </c>
      <c r="D459" s="37" t="inlineStr">
        <is>
          <t>Q0401</t>
        </is>
      </c>
      <c r="E459" s="37" t="n"/>
      <c r="F459" s="37" t="inlineStr">
        <is>
          <t>浙江精准学科技有限公司</t>
        </is>
      </c>
      <c r="G459" s="37" t="inlineStr">
        <is>
          <t>记-174</t>
        </is>
      </c>
      <c r="H459" s="37" t="n"/>
      <c r="I459" s="97" t="n"/>
      <c r="J459" s="89" t="n">
        <v>4</v>
      </c>
      <c r="K459" s="42" t="n"/>
      <c r="L459" s="97" t="n"/>
      <c r="M459" s="37" t="n"/>
    </row>
    <row r="460" s="83">
      <c r="A460" s="36" t="inlineStr">
        <is>
          <t>101201</t>
        </is>
      </c>
      <c r="B460" s="36" t="n"/>
      <c r="C460" s="36" t="inlineStr">
        <is>
          <t>2025-04-22</t>
        </is>
      </c>
      <c r="D460" s="36" t="inlineStr">
        <is>
          <t>Q0401</t>
        </is>
      </c>
      <c r="E460" s="36" t="n"/>
      <c r="F460" s="36" t="inlineStr">
        <is>
          <t>浙江精准学科技有限公司</t>
        </is>
      </c>
      <c r="G460" s="36" t="inlineStr">
        <is>
          <t>记-180</t>
        </is>
      </c>
      <c r="H460" s="36" t="n"/>
      <c r="I460" s="96" t="n"/>
      <c r="J460" s="89" t="n">
        <v>4</v>
      </c>
      <c r="K460" s="40" t="n"/>
      <c r="L460" s="96" t="n"/>
      <c r="M460" s="36" t="n"/>
    </row>
    <row r="461" s="83">
      <c r="A461" s="37" t="inlineStr">
        <is>
          <t>101201</t>
        </is>
      </c>
      <c r="B461" s="37" t="n"/>
      <c r="C461" s="37" t="inlineStr">
        <is>
          <t>2025-04-24</t>
        </is>
      </c>
      <c r="D461" s="37" t="inlineStr">
        <is>
          <t>Q0401</t>
        </is>
      </c>
      <c r="E461" s="37" t="n"/>
      <c r="F461" s="37" t="inlineStr">
        <is>
          <t>浙江精准学科技有限公司</t>
        </is>
      </c>
      <c r="G461" s="37" t="inlineStr">
        <is>
          <t>记-195</t>
        </is>
      </c>
      <c r="H461" s="37" t="n"/>
      <c r="I461" s="97" t="n"/>
      <c r="J461" s="89" t="n">
        <v>4</v>
      </c>
      <c r="K461" s="42" t="n"/>
      <c r="L461" s="97" t="n"/>
      <c r="M461" s="37" t="n"/>
    </row>
    <row r="462" s="83">
      <c r="A462" s="36" t="inlineStr">
        <is>
          <t>101201</t>
        </is>
      </c>
      <c r="B462" s="36" t="n"/>
      <c r="C462" s="36" t="inlineStr">
        <is>
          <t>2025-04-25</t>
        </is>
      </c>
      <c r="D462" s="36" t="inlineStr">
        <is>
          <t>Q0401</t>
        </is>
      </c>
      <c r="E462" s="36" t="n"/>
      <c r="F462" s="36" t="inlineStr">
        <is>
          <t>浙江精准学科技有限公司</t>
        </is>
      </c>
      <c r="G462" s="36" t="inlineStr">
        <is>
          <t>记-201</t>
        </is>
      </c>
      <c r="H462" s="36" t="n"/>
      <c r="I462" s="96" t="n"/>
      <c r="J462" s="89" t="n">
        <v>4</v>
      </c>
      <c r="K462" s="40" t="n"/>
      <c r="L462" s="96" t="n"/>
      <c r="M462" s="36" t="n"/>
    </row>
    <row r="463" s="83">
      <c r="A463" s="37" t="inlineStr">
        <is>
          <t>101201</t>
        </is>
      </c>
      <c r="B463" s="37" t="n"/>
      <c r="C463" s="37" t="inlineStr">
        <is>
          <t>2025-04-26</t>
        </is>
      </c>
      <c r="D463" s="37" t="inlineStr">
        <is>
          <t>Q0401</t>
        </is>
      </c>
      <c r="E463" s="37" t="n"/>
      <c r="F463" s="37" t="inlineStr">
        <is>
          <t>浙江精准学科技有限公司</t>
        </is>
      </c>
      <c r="G463" s="37" t="inlineStr">
        <is>
          <t>记-213</t>
        </is>
      </c>
      <c r="H463" s="37" t="n"/>
      <c r="I463" s="97" t="n"/>
      <c r="J463" s="89" t="n">
        <v>4</v>
      </c>
      <c r="K463" s="42" t="n"/>
      <c r="L463" s="97" t="n"/>
      <c r="M463" s="37" t="n"/>
    </row>
    <row r="464" s="83">
      <c r="A464" s="36" t="inlineStr">
        <is>
          <t>101201</t>
        </is>
      </c>
      <c r="B464" s="36" t="n"/>
      <c r="C464" s="36" t="inlineStr">
        <is>
          <t>2025-04-27</t>
        </is>
      </c>
      <c r="D464" s="36" t="inlineStr">
        <is>
          <t>Q0401</t>
        </is>
      </c>
      <c r="E464" s="36" t="n"/>
      <c r="F464" s="36" t="inlineStr">
        <is>
          <t>浙江精准学科技有限公司</t>
        </is>
      </c>
      <c r="G464" s="36" t="inlineStr">
        <is>
          <t>记-216</t>
        </is>
      </c>
      <c r="H464" s="36" t="n"/>
      <c r="I464" s="96" t="n"/>
      <c r="J464" s="89" t="n">
        <v>4</v>
      </c>
      <c r="K464" s="40" t="n"/>
      <c r="L464" s="96" t="n"/>
      <c r="M464" s="36" t="n"/>
    </row>
    <row r="465" s="83">
      <c r="A465" s="37" t="inlineStr">
        <is>
          <t>101201</t>
        </is>
      </c>
      <c r="B465" s="37" t="n"/>
      <c r="C465" s="37" t="inlineStr">
        <is>
          <t>2025-04-28</t>
        </is>
      </c>
      <c r="D465" s="37" t="inlineStr">
        <is>
          <t>Q0401</t>
        </is>
      </c>
      <c r="E465" s="37" t="n"/>
      <c r="F465" s="37" t="inlineStr">
        <is>
          <t>浙江精准学科技有限公司</t>
        </is>
      </c>
      <c r="G465" s="37" t="inlineStr">
        <is>
          <t>记-225</t>
        </is>
      </c>
      <c r="H465" s="37" t="n"/>
      <c r="I465" s="97" t="n"/>
      <c r="J465" s="89" t="n">
        <v>4</v>
      </c>
      <c r="K465" s="42" t="n"/>
      <c r="L465" s="97" t="n"/>
      <c r="M465" s="37" t="n"/>
    </row>
    <row r="466" s="83">
      <c r="A466" s="36" t="inlineStr">
        <is>
          <t>101201</t>
        </is>
      </c>
      <c r="B466" s="36" t="n"/>
      <c r="C466" s="36" t="inlineStr">
        <is>
          <t>2025-04-29</t>
        </is>
      </c>
      <c r="D466" s="36" t="inlineStr">
        <is>
          <t>Q0401</t>
        </is>
      </c>
      <c r="E466" s="36" t="n"/>
      <c r="F466" s="36" t="inlineStr">
        <is>
          <t>浙江精准学科技有限公司</t>
        </is>
      </c>
      <c r="G466" s="36" t="inlineStr">
        <is>
          <t>记-238</t>
        </is>
      </c>
      <c r="H466" s="36" t="n"/>
      <c r="I466" s="96" t="n"/>
      <c r="J466" s="89" t="n">
        <v>4</v>
      </c>
      <c r="K466" s="40" t="n"/>
      <c r="L466" s="96" t="n"/>
      <c r="M466" s="36" t="n"/>
    </row>
    <row r="467" s="83">
      <c r="A467" s="37" t="inlineStr">
        <is>
          <t>101201</t>
        </is>
      </c>
      <c r="B467" s="37" t="n"/>
      <c r="C467" s="37" t="inlineStr">
        <is>
          <t>2025-04-30</t>
        </is>
      </c>
      <c r="D467" s="37" t="inlineStr">
        <is>
          <t>Q0401</t>
        </is>
      </c>
      <c r="E467" s="37" t="n"/>
      <c r="F467" s="37" t="inlineStr">
        <is>
          <t>浙江精准学科技有限公司</t>
        </is>
      </c>
      <c r="G467" s="37" t="inlineStr">
        <is>
          <t>记-248</t>
        </is>
      </c>
      <c r="H467" s="37" t="n"/>
      <c r="I467" s="97" t="n"/>
      <c r="J467" s="89" t="n">
        <v>4</v>
      </c>
      <c r="K467" s="42" t="n"/>
      <c r="L467" s="97" t="n"/>
      <c r="M467" s="37" t="n"/>
    </row>
    <row r="468" s="83">
      <c r="A468" s="37" t="inlineStr">
        <is>
          <t>101201</t>
        </is>
      </c>
      <c r="B468" s="37" t="n"/>
      <c r="C468" s="37" t="inlineStr">
        <is>
          <t>2025-04-03</t>
        </is>
      </c>
      <c r="D468" s="37" t="inlineStr">
        <is>
          <t>Q0402</t>
        </is>
      </c>
      <c r="E468" s="37" t="n"/>
      <c r="F468" s="37" t="inlineStr">
        <is>
          <t>浙江精准学科技有限公司</t>
        </is>
      </c>
      <c r="G468" s="37" t="inlineStr">
        <is>
          <t>记-35</t>
        </is>
      </c>
      <c r="H468" s="37" t="n"/>
      <c r="I468" s="89" t="n">
        <v>4</v>
      </c>
      <c r="J468" s="97" t="n"/>
      <c r="K468" s="42" t="n"/>
      <c r="L468" s="97" t="n"/>
      <c r="M468" s="37" t="n"/>
    </row>
    <row r="469" s="83">
      <c r="A469" s="36" t="inlineStr">
        <is>
          <t>101201</t>
        </is>
      </c>
      <c r="B469" s="36" t="n"/>
      <c r="C469" s="36" t="inlineStr">
        <is>
          <t>2025-04-08</t>
        </is>
      </c>
      <c r="D469" s="36" t="inlineStr">
        <is>
          <t>Q0402</t>
        </is>
      </c>
      <c r="E469" s="36" t="n"/>
      <c r="F469" s="36" t="inlineStr">
        <is>
          <t>浙江精准学科技有限公司</t>
        </is>
      </c>
      <c r="G469" s="36" t="inlineStr">
        <is>
          <t>记-63</t>
        </is>
      </c>
      <c r="H469" s="36" t="n"/>
      <c r="I469" s="89" t="n">
        <v>4</v>
      </c>
      <c r="J469" s="96" t="n"/>
      <c r="K469" s="40" t="n"/>
      <c r="L469" s="96" t="n"/>
      <c r="M469" s="36" t="n"/>
    </row>
    <row r="470" s="83">
      <c r="A470" s="37" t="inlineStr">
        <is>
          <t>101201</t>
        </is>
      </c>
      <c r="B470" s="37" t="n"/>
      <c r="C470" s="37" t="inlineStr">
        <is>
          <t>2025-04-10</t>
        </is>
      </c>
      <c r="D470" s="37" t="inlineStr">
        <is>
          <t>Q0402</t>
        </is>
      </c>
      <c r="E470" s="37" t="n"/>
      <c r="F470" s="37" t="inlineStr">
        <is>
          <t>浙江精准学科技有限公司</t>
        </is>
      </c>
      <c r="G470" s="37" t="inlineStr">
        <is>
          <t>记-88</t>
        </is>
      </c>
      <c r="H470" s="37" t="n"/>
      <c r="I470" s="89" t="n">
        <v>4</v>
      </c>
      <c r="J470" s="97" t="n"/>
      <c r="K470" s="42" t="n"/>
      <c r="L470" s="97" t="n"/>
      <c r="M470" s="37" t="n"/>
    </row>
    <row r="471" s="83">
      <c r="A471" s="36" t="inlineStr">
        <is>
          <t>101201</t>
        </is>
      </c>
      <c r="B471" s="36" t="n"/>
      <c r="C471" s="36" t="inlineStr">
        <is>
          <t>2025-04-02</t>
        </is>
      </c>
      <c r="D471" s="36" t="inlineStr">
        <is>
          <t>Q2002</t>
        </is>
      </c>
      <c r="E471" s="36" t="n"/>
      <c r="F471" s="36" t="inlineStr">
        <is>
          <t>浙江精准学科技有限公司</t>
        </is>
      </c>
      <c r="G471" s="36" t="inlineStr">
        <is>
          <t>记-26</t>
        </is>
      </c>
      <c r="H471" s="36" t="n"/>
      <c r="I471" s="96" t="n"/>
      <c r="J471" s="89" t="n">
        <v>4</v>
      </c>
      <c r="K471" s="40" t="n"/>
      <c r="L471" s="96" t="n"/>
      <c r="M471" s="36" t="n"/>
    </row>
    <row r="472" s="83">
      <c r="A472" s="36" t="inlineStr">
        <is>
          <t>101201</t>
        </is>
      </c>
      <c r="B472" s="36" t="n"/>
      <c r="C472" s="36" t="inlineStr">
        <is>
          <t>2025-04-30</t>
        </is>
      </c>
      <c r="D472" s="36" t="inlineStr">
        <is>
          <t>Q2201</t>
        </is>
      </c>
      <c r="E472" s="36" t="n"/>
      <c r="F472" s="36" t="inlineStr">
        <is>
          <t>浙江精准学科技有限公司</t>
        </is>
      </c>
      <c r="G472" s="36" t="inlineStr">
        <is>
          <t>记-269</t>
        </is>
      </c>
      <c r="H472" s="36" t="n"/>
      <c r="I472" s="96" t="n"/>
      <c r="J472" s="89" t="n">
        <v>4</v>
      </c>
      <c r="K472" s="40" t="n"/>
      <c r="L472" s="96" t="n"/>
      <c r="M472" s="36" t="n"/>
    </row>
    <row r="473" s="83">
      <c r="A473" s="37" t="inlineStr">
        <is>
          <t>101201</t>
        </is>
      </c>
      <c r="B473" s="37" t="n"/>
      <c r="C473" s="37" t="inlineStr">
        <is>
          <t>2025-04-30</t>
        </is>
      </c>
      <c r="D473" s="37" t="inlineStr">
        <is>
          <t>Q2204</t>
        </is>
      </c>
      <c r="E473" s="37" t="n"/>
      <c r="F473" s="37" t="inlineStr">
        <is>
          <t>浙江精准学科技有限公司</t>
        </is>
      </c>
      <c r="G473" s="37" t="inlineStr">
        <is>
          <t>记-269</t>
        </is>
      </c>
      <c r="H473" s="37" t="n"/>
      <c r="I473" s="97" t="n"/>
      <c r="J473" s="89" t="n">
        <v>4</v>
      </c>
      <c r="K473" s="42" t="n"/>
      <c r="L473" s="97" t="n"/>
      <c r="M473" s="37" t="n"/>
    </row>
    <row r="474" s="83">
      <c r="A474" s="37" t="inlineStr">
        <is>
          <t>101201</t>
        </is>
      </c>
      <c r="B474" s="37" t="n"/>
      <c r="C474" s="37" t="inlineStr">
        <is>
          <t>2025-04-30</t>
        </is>
      </c>
      <c r="D474" s="37" t="inlineStr">
        <is>
          <t>Q2207</t>
        </is>
      </c>
      <c r="E474" s="37" t="n"/>
      <c r="F474" s="37" t="inlineStr">
        <is>
          <t>浙江精准学科技有限公司</t>
        </is>
      </c>
      <c r="G474" s="37" t="inlineStr">
        <is>
          <t>记-269</t>
        </is>
      </c>
      <c r="H474" s="37" t="n"/>
      <c r="I474" s="97" t="n"/>
      <c r="J474" s="89" t="n">
        <v>4</v>
      </c>
      <c r="K474" s="42" t="n"/>
      <c r="L474" s="97" t="n"/>
      <c r="M474" s="37" t="n"/>
    </row>
    <row r="475" s="83">
      <c r="A475" s="37" t="inlineStr">
        <is>
          <t>101201</t>
        </is>
      </c>
      <c r="B475" s="37" t="n"/>
      <c r="C475" s="37" t="inlineStr">
        <is>
          <t>2025-04-30</t>
        </is>
      </c>
      <c r="D475" s="37" t="inlineStr">
        <is>
          <t>Q2208</t>
        </is>
      </c>
      <c r="E475" s="37" t="n"/>
      <c r="F475" s="37" t="inlineStr">
        <is>
          <t>浙江精准学科技有限公司</t>
        </is>
      </c>
      <c r="G475" s="37" t="inlineStr">
        <is>
          <t>记-269</t>
        </is>
      </c>
      <c r="H475" s="37" t="n"/>
      <c r="I475" s="97" t="n"/>
      <c r="J475" s="89" t="n">
        <v>4</v>
      </c>
      <c r="K475" s="42" t="n"/>
      <c r="L475" s="97" t="n"/>
      <c r="M475" s="37" t="n"/>
    </row>
    <row r="476" s="83">
      <c r="A476" s="37" t="inlineStr">
        <is>
          <t>101201</t>
        </is>
      </c>
      <c r="B476" s="37" t="n"/>
      <c r="C476" s="37" t="inlineStr">
        <is>
          <t>2025-04-30</t>
        </is>
      </c>
      <c r="D476" s="37" t="inlineStr">
        <is>
          <t>Q2209</t>
        </is>
      </c>
      <c r="E476" s="37" t="n"/>
      <c r="F476" s="37" t="inlineStr">
        <is>
          <t>浙江精准学科技有限公司</t>
        </is>
      </c>
      <c r="G476" s="37" t="inlineStr">
        <is>
          <t>记-269</t>
        </is>
      </c>
      <c r="H476" s="37" t="n"/>
      <c r="I476" s="97" t="n"/>
      <c r="J476" s="89" t="n">
        <v>4</v>
      </c>
      <c r="K476" s="42" t="n"/>
      <c r="L476" s="97" t="n"/>
      <c r="M476" s="37" t="n"/>
    </row>
    <row r="477" s="83">
      <c r="A477" s="37" t="inlineStr">
        <is>
          <t>101201</t>
        </is>
      </c>
      <c r="B477" s="37" t="n"/>
      <c r="C477" s="37" t="inlineStr">
        <is>
          <t>2025-04-03</t>
        </is>
      </c>
      <c r="D477" s="37" t="inlineStr">
        <is>
          <t>Q3101</t>
        </is>
      </c>
      <c r="E477" s="37" t="n"/>
      <c r="F477" s="37" t="inlineStr">
        <is>
          <t>浙江精准学科技有限公司</t>
        </is>
      </c>
      <c r="G477" s="37" t="inlineStr">
        <is>
          <t>记-35</t>
        </is>
      </c>
      <c r="H477" s="37" t="n"/>
      <c r="I477" s="97" t="n"/>
      <c r="J477" s="89" t="n">
        <v>4</v>
      </c>
      <c r="K477" s="42" t="n"/>
      <c r="L477" s="97" t="n"/>
      <c r="M477" s="37" t="n"/>
    </row>
    <row r="478" s="83">
      <c r="A478" s="37" t="inlineStr">
        <is>
          <t>101203</t>
        </is>
      </c>
      <c r="B478" s="37" t="n"/>
      <c r="C478" s="37" t="inlineStr">
        <is>
          <t>2025-04-01</t>
        </is>
      </c>
      <c r="D478" s="37" t="inlineStr">
        <is>
          <t>Else01</t>
        </is>
      </c>
      <c r="E478" s="37" t="n"/>
      <c r="F478" s="37" t="inlineStr">
        <is>
          <t>浙江精准学科技有限公司</t>
        </is>
      </c>
      <c r="G478" s="37" t="inlineStr">
        <is>
          <t>记-13</t>
        </is>
      </c>
      <c r="H478" s="37" t="n"/>
      <c r="I478" s="89" t="n">
        <v>4</v>
      </c>
      <c r="J478" s="97" t="n"/>
      <c r="K478" s="42" t="n"/>
      <c r="L478" s="97" t="n"/>
      <c r="M478" s="37" t="n"/>
    </row>
    <row r="479" s="83">
      <c r="A479" s="36" t="inlineStr">
        <is>
          <t>101203</t>
        </is>
      </c>
      <c r="B479" s="36" t="n"/>
      <c r="C479" s="36" t="inlineStr">
        <is>
          <t>2025-04-01</t>
        </is>
      </c>
      <c r="D479" s="36" t="inlineStr">
        <is>
          <t>Else01</t>
        </is>
      </c>
      <c r="E479" s="36" t="n"/>
      <c r="F479" s="36" t="inlineStr">
        <is>
          <t>浙江精准学科技有限公司</t>
        </is>
      </c>
      <c r="G479" s="36" t="inlineStr">
        <is>
          <t>记-14</t>
        </is>
      </c>
      <c r="H479" s="36" t="n"/>
      <c r="I479" s="96" t="n"/>
      <c r="J479" s="89" t="n">
        <v>4</v>
      </c>
      <c r="K479" s="40" t="n"/>
      <c r="L479" s="96" t="n"/>
      <c r="M479" s="36" t="n"/>
    </row>
    <row r="480" s="83">
      <c r="A480" s="37" t="inlineStr">
        <is>
          <t>101203</t>
        </is>
      </c>
      <c r="B480" s="37" t="n"/>
      <c r="C480" s="37" t="inlineStr">
        <is>
          <t>2025-04-02</t>
        </is>
      </c>
      <c r="D480" s="37" t="inlineStr">
        <is>
          <t>Else01</t>
        </is>
      </c>
      <c r="E480" s="37" t="n"/>
      <c r="F480" s="37" t="inlineStr">
        <is>
          <t>浙江精准学科技有限公司</t>
        </is>
      </c>
      <c r="G480" s="37" t="inlineStr">
        <is>
          <t>记-25</t>
        </is>
      </c>
      <c r="H480" s="37" t="n"/>
      <c r="I480" s="89" t="n">
        <v>4</v>
      </c>
      <c r="J480" s="97" t="n"/>
      <c r="K480" s="42" t="n"/>
      <c r="L480" s="97" t="n"/>
      <c r="M480" s="37" t="n"/>
    </row>
    <row r="481" s="83">
      <c r="A481" s="36" t="inlineStr">
        <is>
          <t>101203</t>
        </is>
      </c>
      <c r="B481" s="36" t="n"/>
      <c r="C481" s="36" t="inlineStr">
        <is>
          <t>2025-04-02</t>
        </is>
      </c>
      <c r="D481" s="36" t="inlineStr">
        <is>
          <t>Else01</t>
        </is>
      </c>
      <c r="E481" s="36" t="n"/>
      <c r="F481" s="36" t="inlineStr">
        <is>
          <t>浙江精准学科技有限公司</t>
        </is>
      </c>
      <c r="G481" s="36" t="inlineStr">
        <is>
          <t>记-26</t>
        </is>
      </c>
      <c r="H481" s="36" t="n"/>
      <c r="I481" s="96" t="n"/>
      <c r="J481" s="89" t="n">
        <v>4</v>
      </c>
      <c r="K481" s="40" t="n"/>
      <c r="L481" s="96" t="n"/>
      <c r="M481" s="36" t="n"/>
    </row>
    <row r="482" s="83">
      <c r="A482" s="37" t="inlineStr">
        <is>
          <t>101203</t>
        </is>
      </c>
      <c r="B482" s="37" t="n"/>
      <c r="C482" s="37" t="inlineStr">
        <is>
          <t>2025-04-03</t>
        </is>
      </c>
      <c r="D482" s="37" t="inlineStr">
        <is>
          <t>Else01</t>
        </is>
      </c>
      <c r="E482" s="37" t="n"/>
      <c r="F482" s="37" t="inlineStr">
        <is>
          <t>浙江精准学科技有限公司</t>
        </is>
      </c>
      <c r="G482" s="37" t="inlineStr">
        <is>
          <t>记-35</t>
        </is>
      </c>
      <c r="H482" s="37" t="n"/>
      <c r="I482" s="89" t="n">
        <v>4</v>
      </c>
      <c r="J482" s="97" t="n"/>
      <c r="K482" s="42" t="n"/>
      <c r="L482" s="97" t="n"/>
      <c r="M482" s="37" t="n"/>
    </row>
    <row r="483" s="83">
      <c r="A483" s="36" t="inlineStr">
        <is>
          <t>101203</t>
        </is>
      </c>
      <c r="B483" s="36" t="n"/>
      <c r="C483" s="36" t="inlineStr">
        <is>
          <t>2025-04-03</t>
        </is>
      </c>
      <c r="D483" s="36" t="inlineStr">
        <is>
          <t>Else01</t>
        </is>
      </c>
      <c r="E483" s="36" t="n"/>
      <c r="F483" s="36" t="inlineStr">
        <is>
          <t>浙江精准学科技有限公司</t>
        </is>
      </c>
      <c r="G483" s="36" t="inlineStr">
        <is>
          <t>记-37</t>
        </is>
      </c>
      <c r="H483" s="36" t="n"/>
      <c r="I483" s="96" t="n"/>
      <c r="J483" s="89" t="n">
        <v>4</v>
      </c>
      <c r="K483" s="40" t="n"/>
      <c r="L483" s="96" t="n"/>
      <c r="M483" s="36" t="n"/>
    </row>
    <row r="484" s="83">
      <c r="A484" s="37" t="inlineStr">
        <is>
          <t>101203</t>
        </is>
      </c>
      <c r="B484" s="37" t="n"/>
      <c r="C484" s="37" t="inlineStr">
        <is>
          <t>2025-04-04</t>
        </is>
      </c>
      <c r="D484" s="37" t="inlineStr">
        <is>
          <t>Else01</t>
        </is>
      </c>
      <c r="E484" s="37" t="n"/>
      <c r="F484" s="37" t="inlineStr">
        <is>
          <t>浙江精准学科技有限公司</t>
        </is>
      </c>
      <c r="G484" s="37" t="inlineStr">
        <is>
          <t>记-39</t>
        </is>
      </c>
      <c r="H484" s="37" t="n"/>
      <c r="I484" s="89" t="n">
        <v>4</v>
      </c>
      <c r="J484" s="97" t="n"/>
      <c r="K484" s="42" t="n"/>
      <c r="L484" s="97" t="n"/>
      <c r="M484" s="37" t="n"/>
    </row>
    <row r="485" s="83">
      <c r="A485" s="36" t="inlineStr">
        <is>
          <t>101203</t>
        </is>
      </c>
      <c r="B485" s="36" t="n"/>
      <c r="C485" s="36" t="inlineStr">
        <is>
          <t>2025-04-04</t>
        </is>
      </c>
      <c r="D485" s="36" t="inlineStr">
        <is>
          <t>Else01</t>
        </is>
      </c>
      <c r="E485" s="36" t="n"/>
      <c r="F485" s="36" t="inlineStr">
        <is>
          <t>浙江精准学科技有限公司</t>
        </is>
      </c>
      <c r="G485" s="36" t="inlineStr">
        <is>
          <t>记-40</t>
        </is>
      </c>
      <c r="H485" s="36" t="n"/>
      <c r="I485" s="96" t="n"/>
      <c r="J485" s="89" t="n">
        <v>4</v>
      </c>
      <c r="K485" s="40" t="n"/>
      <c r="L485" s="96" t="n"/>
      <c r="M485" s="36" t="n"/>
    </row>
    <row r="486" s="83">
      <c r="A486" s="37" t="inlineStr">
        <is>
          <t>101203</t>
        </is>
      </c>
      <c r="B486" s="37" t="n"/>
      <c r="C486" s="37" t="inlineStr">
        <is>
          <t>2025-04-05</t>
        </is>
      </c>
      <c r="D486" s="37" t="inlineStr">
        <is>
          <t>Else01</t>
        </is>
      </c>
      <c r="E486" s="37" t="n"/>
      <c r="F486" s="37" t="inlineStr">
        <is>
          <t>浙江精准学科技有限公司</t>
        </is>
      </c>
      <c r="G486" s="37" t="inlineStr">
        <is>
          <t>记-43</t>
        </is>
      </c>
      <c r="H486" s="37" t="n"/>
      <c r="I486" s="89" t="n">
        <v>4</v>
      </c>
      <c r="J486" s="97" t="n"/>
      <c r="K486" s="42" t="n"/>
      <c r="L486" s="97" t="n"/>
      <c r="M486" s="37" t="n"/>
    </row>
    <row r="487" s="83">
      <c r="A487" s="36" t="inlineStr">
        <is>
          <t>101203</t>
        </is>
      </c>
      <c r="B487" s="36" t="n"/>
      <c r="C487" s="36" t="inlineStr">
        <is>
          <t>2025-04-05</t>
        </is>
      </c>
      <c r="D487" s="36" t="inlineStr">
        <is>
          <t>Else01</t>
        </is>
      </c>
      <c r="E487" s="36" t="n"/>
      <c r="F487" s="36" t="inlineStr">
        <is>
          <t>浙江精准学科技有限公司</t>
        </is>
      </c>
      <c r="G487" s="36" t="inlineStr">
        <is>
          <t>记-44</t>
        </is>
      </c>
      <c r="H487" s="36" t="n"/>
      <c r="I487" s="96" t="n"/>
      <c r="J487" s="89" t="n">
        <v>4</v>
      </c>
      <c r="K487" s="40" t="n"/>
      <c r="L487" s="96" t="n"/>
      <c r="M487" s="36" t="n"/>
    </row>
    <row r="488" s="83">
      <c r="A488" s="37" t="inlineStr">
        <is>
          <t>101203</t>
        </is>
      </c>
      <c r="B488" s="37" t="n"/>
      <c r="C488" s="37" t="inlineStr">
        <is>
          <t>2025-04-06</t>
        </is>
      </c>
      <c r="D488" s="37" t="inlineStr">
        <is>
          <t>Else01</t>
        </is>
      </c>
      <c r="E488" s="37" t="n"/>
      <c r="F488" s="37" t="inlineStr">
        <is>
          <t>浙江精准学科技有限公司</t>
        </is>
      </c>
      <c r="G488" s="37" t="inlineStr">
        <is>
          <t>记-46</t>
        </is>
      </c>
      <c r="H488" s="37" t="n"/>
      <c r="I488" s="89" t="n">
        <v>4</v>
      </c>
      <c r="J488" s="97" t="n"/>
      <c r="K488" s="42" t="n"/>
      <c r="L488" s="97" t="n"/>
      <c r="M488" s="37" t="n"/>
    </row>
    <row r="489" s="83">
      <c r="A489" s="36" t="inlineStr">
        <is>
          <t>101203</t>
        </is>
      </c>
      <c r="B489" s="36" t="n"/>
      <c r="C489" s="36" t="inlineStr">
        <is>
          <t>2025-04-06</t>
        </is>
      </c>
      <c r="D489" s="36" t="inlineStr">
        <is>
          <t>Else01</t>
        </is>
      </c>
      <c r="E489" s="36" t="n"/>
      <c r="F489" s="36" t="inlineStr">
        <is>
          <t>浙江精准学科技有限公司</t>
        </is>
      </c>
      <c r="G489" s="36" t="inlineStr">
        <is>
          <t>记-47</t>
        </is>
      </c>
      <c r="H489" s="36" t="n"/>
      <c r="I489" s="96" t="n"/>
      <c r="J489" s="89" t="n">
        <v>4</v>
      </c>
      <c r="K489" s="40" t="n"/>
      <c r="L489" s="96" t="n"/>
      <c r="M489" s="36" t="n"/>
    </row>
    <row r="490" s="83">
      <c r="A490" s="37" t="inlineStr">
        <is>
          <t>101203</t>
        </is>
      </c>
      <c r="B490" s="37" t="n"/>
      <c r="C490" s="37" t="inlineStr">
        <is>
          <t>2025-04-07</t>
        </is>
      </c>
      <c r="D490" s="37" t="inlineStr">
        <is>
          <t>Else01</t>
        </is>
      </c>
      <c r="E490" s="37" t="n"/>
      <c r="F490" s="37" t="inlineStr">
        <is>
          <t>浙江精准学科技有限公司</t>
        </is>
      </c>
      <c r="G490" s="37" t="inlineStr">
        <is>
          <t>记-52</t>
        </is>
      </c>
      <c r="H490" s="37" t="n"/>
      <c r="I490" s="89" t="n">
        <v>4</v>
      </c>
      <c r="J490" s="97" t="n"/>
      <c r="K490" s="42" t="n"/>
      <c r="L490" s="97" t="n"/>
      <c r="M490" s="37" t="n"/>
    </row>
    <row r="491" s="83">
      <c r="A491" s="36" t="inlineStr">
        <is>
          <t>101203</t>
        </is>
      </c>
      <c r="B491" s="36" t="n"/>
      <c r="C491" s="36" t="inlineStr">
        <is>
          <t>2025-04-07</t>
        </is>
      </c>
      <c r="D491" s="36" t="inlineStr">
        <is>
          <t>Else01</t>
        </is>
      </c>
      <c r="E491" s="36" t="n"/>
      <c r="F491" s="36" t="inlineStr">
        <is>
          <t>浙江精准学科技有限公司</t>
        </is>
      </c>
      <c r="G491" s="36" t="inlineStr">
        <is>
          <t>记-53</t>
        </is>
      </c>
      <c r="H491" s="36" t="n"/>
      <c r="I491" s="96" t="n"/>
      <c r="J491" s="89" t="n">
        <v>4</v>
      </c>
      <c r="K491" s="40" t="n"/>
      <c r="L491" s="96" t="n"/>
      <c r="M491" s="36" t="n"/>
    </row>
    <row r="492" s="83">
      <c r="A492" s="37" t="inlineStr">
        <is>
          <t>101203</t>
        </is>
      </c>
      <c r="B492" s="37" t="n"/>
      <c r="C492" s="37" t="inlineStr">
        <is>
          <t>2025-04-08</t>
        </is>
      </c>
      <c r="D492" s="37" t="inlineStr">
        <is>
          <t>Else01</t>
        </is>
      </c>
      <c r="E492" s="37" t="n"/>
      <c r="F492" s="37" t="inlineStr">
        <is>
          <t>浙江精准学科技有限公司</t>
        </is>
      </c>
      <c r="G492" s="37" t="inlineStr">
        <is>
          <t>记-63</t>
        </is>
      </c>
      <c r="H492" s="37" t="n"/>
      <c r="I492" s="89" t="n">
        <v>4</v>
      </c>
      <c r="J492" s="97" t="n"/>
      <c r="K492" s="42" t="n"/>
      <c r="L492" s="97" t="n"/>
      <c r="M492" s="37" t="n"/>
    </row>
    <row r="493" s="83">
      <c r="A493" s="36" t="inlineStr">
        <is>
          <t>101203</t>
        </is>
      </c>
      <c r="B493" s="36" t="n"/>
      <c r="C493" s="36" t="inlineStr">
        <is>
          <t>2025-04-08</t>
        </is>
      </c>
      <c r="D493" s="36" t="inlineStr">
        <is>
          <t>Else01</t>
        </is>
      </c>
      <c r="E493" s="36" t="n"/>
      <c r="F493" s="36" t="inlineStr">
        <is>
          <t>浙江精准学科技有限公司</t>
        </is>
      </c>
      <c r="G493" s="36" t="inlineStr">
        <is>
          <t>记-64</t>
        </is>
      </c>
      <c r="H493" s="36" t="n"/>
      <c r="I493" s="96" t="n"/>
      <c r="J493" s="89" t="n">
        <v>4</v>
      </c>
      <c r="K493" s="40" t="n"/>
      <c r="L493" s="96" t="n"/>
      <c r="M493" s="36" t="n"/>
    </row>
    <row r="494" s="83">
      <c r="A494" s="37" t="inlineStr">
        <is>
          <t>101203</t>
        </is>
      </c>
      <c r="B494" s="37" t="n"/>
      <c r="C494" s="37" t="inlineStr">
        <is>
          <t>2025-04-09</t>
        </is>
      </c>
      <c r="D494" s="37" t="inlineStr">
        <is>
          <t>Else01</t>
        </is>
      </c>
      <c r="E494" s="37" t="n"/>
      <c r="F494" s="37" t="inlineStr">
        <is>
          <t>浙江精准学科技有限公司</t>
        </is>
      </c>
      <c r="G494" s="37" t="inlineStr">
        <is>
          <t>记-73</t>
        </is>
      </c>
      <c r="H494" s="37" t="n"/>
      <c r="I494" s="89" t="n">
        <v>4</v>
      </c>
      <c r="J494" s="97" t="n"/>
      <c r="K494" s="42" t="n"/>
      <c r="L494" s="97" t="n"/>
      <c r="M494" s="37" t="n"/>
    </row>
    <row r="495" s="83">
      <c r="A495" s="36" t="inlineStr">
        <is>
          <t>101203</t>
        </is>
      </c>
      <c r="B495" s="36" t="n"/>
      <c r="C495" s="36" t="inlineStr">
        <is>
          <t>2025-04-09</t>
        </is>
      </c>
      <c r="D495" s="36" t="inlineStr">
        <is>
          <t>Else01</t>
        </is>
      </c>
      <c r="E495" s="36" t="n"/>
      <c r="F495" s="36" t="inlineStr">
        <is>
          <t>浙江精准学科技有限公司</t>
        </is>
      </c>
      <c r="G495" s="36" t="inlineStr">
        <is>
          <t>记-74</t>
        </is>
      </c>
      <c r="H495" s="36" t="n"/>
      <c r="I495" s="96" t="n"/>
      <c r="J495" s="89" t="n">
        <v>4</v>
      </c>
      <c r="K495" s="40" t="n"/>
      <c r="L495" s="96" t="n"/>
      <c r="M495" s="36" t="n"/>
    </row>
    <row r="496" s="83">
      <c r="A496" s="37" t="inlineStr">
        <is>
          <t>101203</t>
        </is>
      </c>
      <c r="B496" s="37" t="n"/>
      <c r="C496" s="37" t="inlineStr">
        <is>
          <t>2025-04-10</t>
        </is>
      </c>
      <c r="D496" s="37" t="inlineStr">
        <is>
          <t>Else01</t>
        </is>
      </c>
      <c r="E496" s="37" t="n"/>
      <c r="F496" s="37" t="inlineStr">
        <is>
          <t>浙江精准学科技有限公司</t>
        </is>
      </c>
      <c r="G496" s="37" t="inlineStr">
        <is>
          <t>记-88</t>
        </is>
      </c>
      <c r="H496" s="37" t="n"/>
      <c r="I496" s="89" t="n">
        <v>4</v>
      </c>
      <c r="J496" s="97" t="n"/>
      <c r="K496" s="42" t="n"/>
      <c r="L496" s="97" t="n"/>
      <c r="M496" s="37" t="n"/>
    </row>
    <row r="497" s="83">
      <c r="A497" s="36" t="inlineStr">
        <is>
          <t>101203</t>
        </is>
      </c>
      <c r="B497" s="36" t="n"/>
      <c r="C497" s="36" t="inlineStr">
        <is>
          <t>2025-04-10</t>
        </is>
      </c>
      <c r="D497" s="36" t="inlineStr">
        <is>
          <t>Else01</t>
        </is>
      </c>
      <c r="E497" s="36" t="n"/>
      <c r="F497" s="36" t="inlineStr">
        <is>
          <t>浙江精准学科技有限公司</t>
        </is>
      </c>
      <c r="G497" s="36" t="inlineStr">
        <is>
          <t>记-89</t>
        </is>
      </c>
      <c r="H497" s="36" t="n"/>
      <c r="I497" s="96" t="n"/>
      <c r="J497" s="89" t="n">
        <v>4</v>
      </c>
      <c r="K497" s="40" t="n"/>
      <c r="L497" s="96" t="n"/>
      <c r="M497" s="36" t="n"/>
    </row>
    <row r="498" s="83">
      <c r="A498" s="37" t="inlineStr">
        <is>
          <t>101203</t>
        </is>
      </c>
      <c r="B498" s="37" t="n"/>
      <c r="C498" s="37" t="inlineStr">
        <is>
          <t>2025-04-11</t>
        </is>
      </c>
      <c r="D498" s="37" t="inlineStr">
        <is>
          <t>Else01</t>
        </is>
      </c>
      <c r="E498" s="37" t="n"/>
      <c r="F498" s="37" t="inlineStr">
        <is>
          <t>浙江精准学科技有限公司</t>
        </is>
      </c>
      <c r="G498" s="37" t="inlineStr">
        <is>
          <t>记-105</t>
        </is>
      </c>
      <c r="H498" s="37" t="n"/>
      <c r="I498" s="89" t="n">
        <v>4</v>
      </c>
      <c r="J498" s="97" t="n"/>
      <c r="K498" s="42" t="n"/>
      <c r="L498" s="97" t="n"/>
      <c r="M498" s="37" t="n"/>
    </row>
    <row r="499" s="83">
      <c r="A499" s="36" t="inlineStr">
        <is>
          <t>101203</t>
        </is>
      </c>
      <c r="B499" s="36" t="n"/>
      <c r="C499" s="36" t="inlineStr">
        <is>
          <t>2025-04-11</t>
        </is>
      </c>
      <c r="D499" s="36" t="inlineStr">
        <is>
          <t>Else01</t>
        </is>
      </c>
      <c r="E499" s="36" t="n"/>
      <c r="F499" s="36" t="inlineStr">
        <is>
          <t>浙江精准学科技有限公司</t>
        </is>
      </c>
      <c r="G499" s="36" t="inlineStr">
        <is>
          <t>记-106</t>
        </is>
      </c>
      <c r="H499" s="36" t="n"/>
      <c r="I499" s="96" t="n"/>
      <c r="J499" s="89" t="n">
        <v>4</v>
      </c>
      <c r="K499" s="40" t="n"/>
      <c r="L499" s="96" t="n"/>
      <c r="M499" s="36" t="n"/>
    </row>
    <row r="500" s="83">
      <c r="A500" s="37" t="inlineStr">
        <is>
          <t>101203</t>
        </is>
      </c>
      <c r="B500" s="37" t="n"/>
      <c r="C500" s="37" t="inlineStr">
        <is>
          <t>2025-04-12</t>
        </is>
      </c>
      <c r="D500" s="37" t="inlineStr">
        <is>
          <t>Else01</t>
        </is>
      </c>
      <c r="E500" s="37" t="n"/>
      <c r="F500" s="37" t="inlineStr">
        <is>
          <t>浙江精准学科技有限公司</t>
        </is>
      </c>
      <c r="G500" s="37" t="inlineStr">
        <is>
          <t>记-108</t>
        </is>
      </c>
      <c r="H500" s="37" t="n"/>
      <c r="I500" s="89" t="n">
        <v>4</v>
      </c>
      <c r="J500" s="97" t="n"/>
      <c r="K500" s="42" t="n"/>
      <c r="L500" s="97" t="n"/>
      <c r="M500" s="37" t="n"/>
    </row>
    <row r="501" s="83">
      <c r="A501" s="36" t="inlineStr">
        <is>
          <t>101203</t>
        </is>
      </c>
      <c r="B501" s="36" t="n"/>
      <c r="C501" s="36" t="inlineStr">
        <is>
          <t>2025-04-12</t>
        </is>
      </c>
      <c r="D501" s="36" t="inlineStr">
        <is>
          <t>Else01</t>
        </is>
      </c>
      <c r="E501" s="36" t="n"/>
      <c r="F501" s="36" t="inlineStr">
        <is>
          <t>浙江精准学科技有限公司</t>
        </is>
      </c>
      <c r="G501" s="36" t="inlineStr">
        <is>
          <t>记-109</t>
        </is>
      </c>
      <c r="H501" s="36" t="n"/>
      <c r="I501" s="96" t="n"/>
      <c r="J501" s="89" t="n">
        <v>4</v>
      </c>
      <c r="K501" s="40" t="n"/>
      <c r="L501" s="96" t="n"/>
      <c r="M501" s="36" t="n"/>
    </row>
    <row r="502" s="83">
      <c r="A502" s="37" t="inlineStr">
        <is>
          <t>101203</t>
        </is>
      </c>
      <c r="B502" s="37" t="n"/>
      <c r="C502" s="37" t="inlineStr">
        <is>
          <t>2025-04-13</t>
        </is>
      </c>
      <c r="D502" s="37" t="inlineStr">
        <is>
          <t>Else01</t>
        </is>
      </c>
      <c r="E502" s="37" t="n"/>
      <c r="F502" s="37" t="inlineStr">
        <is>
          <t>浙江精准学科技有限公司</t>
        </is>
      </c>
      <c r="G502" s="37" t="inlineStr">
        <is>
          <t>记-111</t>
        </is>
      </c>
      <c r="H502" s="37" t="n"/>
      <c r="I502" s="89" t="n">
        <v>4</v>
      </c>
      <c r="J502" s="97" t="n"/>
      <c r="K502" s="42" t="n"/>
      <c r="L502" s="97" t="n"/>
      <c r="M502" s="37" t="n"/>
    </row>
    <row r="503" s="83">
      <c r="A503" s="36" t="inlineStr">
        <is>
          <t>101203</t>
        </is>
      </c>
      <c r="B503" s="36" t="n"/>
      <c r="C503" s="36" t="inlineStr">
        <is>
          <t>2025-04-13</t>
        </is>
      </c>
      <c r="D503" s="36" t="inlineStr">
        <is>
          <t>Else01</t>
        </is>
      </c>
      <c r="E503" s="36" t="n"/>
      <c r="F503" s="36" t="inlineStr">
        <is>
          <t>浙江精准学科技有限公司</t>
        </is>
      </c>
      <c r="G503" s="36" t="inlineStr">
        <is>
          <t>记-112</t>
        </is>
      </c>
      <c r="H503" s="36" t="n"/>
      <c r="I503" s="96" t="n"/>
      <c r="J503" s="89" t="n">
        <v>4</v>
      </c>
      <c r="K503" s="40" t="n"/>
      <c r="L503" s="96" t="n"/>
      <c r="M503" s="36" t="n"/>
    </row>
    <row r="504" s="83">
      <c r="A504" s="37" t="inlineStr">
        <is>
          <t>101203</t>
        </is>
      </c>
      <c r="B504" s="37" t="n"/>
      <c r="C504" s="37" t="inlineStr">
        <is>
          <t>2025-04-14</t>
        </is>
      </c>
      <c r="D504" s="37" t="inlineStr">
        <is>
          <t>Else01</t>
        </is>
      </c>
      <c r="E504" s="37" t="n"/>
      <c r="F504" s="37" t="inlineStr">
        <is>
          <t>浙江精准学科技有限公司</t>
        </is>
      </c>
      <c r="G504" s="37" t="inlineStr">
        <is>
          <t>记-120</t>
        </is>
      </c>
      <c r="H504" s="37" t="n"/>
      <c r="I504" s="89" t="n">
        <v>4</v>
      </c>
      <c r="J504" s="97" t="n"/>
      <c r="K504" s="42" t="n"/>
      <c r="L504" s="97" t="n"/>
      <c r="M504" s="37" t="n"/>
    </row>
    <row r="505" s="83">
      <c r="A505" s="36" t="inlineStr">
        <is>
          <t>101203</t>
        </is>
      </c>
      <c r="B505" s="36" t="n"/>
      <c r="C505" s="36" t="inlineStr">
        <is>
          <t>2025-04-14</t>
        </is>
      </c>
      <c r="D505" s="36" t="inlineStr">
        <is>
          <t>Else01</t>
        </is>
      </c>
      <c r="E505" s="36" t="n"/>
      <c r="F505" s="36" t="inlineStr">
        <is>
          <t>浙江精准学科技有限公司</t>
        </is>
      </c>
      <c r="G505" s="36" t="inlineStr">
        <is>
          <t>记-121</t>
        </is>
      </c>
      <c r="H505" s="36" t="n"/>
      <c r="I505" s="96" t="n"/>
      <c r="J505" s="89" t="n">
        <v>4</v>
      </c>
      <c r="K505" s="40" t="n"/>
      <c r="L505" s="96" t="n"/>
      <c r="M505" s="36" t="n"/>
    </row>
    <row r="506" s="83">
      <c r="A506" s="37" t="inlineStr">
        <is>
          <t>101203</t>
        </is>
      </c>
      <c r="B506" s="37" t="n"/>
      <c r="C506" s="37" t="inlineStr">
        <is>
          <t>2025-04-15</t>
        </is>
      </c>
      <c r="D506" s="37" t="inlineStr">
        <is>
          <t>Else01</t>
        </is>
      </c>
      <c r="E506" s="37" t="n"/>
      <c r="F506" s="37" t="inlineStr">
        <is>
          <t>浙江精准学科技有限公司</t>
        </is>
      </c>
      <c r="G506" s="37" t="inlineStr">
        <is>
          <t>记-131</t>
        </is>
      </c>
      <c r="H506" s="37" t="n"/>
      <c r="I506" s="89" t="n">
        <v>4</v>
      </c>
      <c r="J506" s="97" t="n"/>
      <c r="K506" s="42" t="n"/>
      <c r="L506" s="97" t="n"/>
      <c r="M506" s="37" t="n"/>
    </row>
    <row r="507" s="83">
      <c r="A507" s="36" t="inlineStr">
        <is>
          <t>101203</t>
        </is>
      </c>
      <c r="B507" s="36" t="n"/>
      <c r="C507" s="36" t="inlineStr">
        <is>
          <t>2025-04-15</t>
        </is>
      </c>
      <c r="D507" s="36" t="inlineStr">
        <is>
          <t>Else01</t>
        </is>
      </c>
      <c r="E507" s="36" t="n"/>
      <c r="F507" s="36" t="inlineStr">
        <is>
          <t>浙江精准学科技有限公司</t>
        </is>
      </c>
      <c r="G507" s="36" t="inlineStr">
        <is>
          <t>记-132</t>
        </is>
      </c>
      <c r="H507" s="36" t="n"/>
      <c r="I507" s="96" t="n"/>
      <c r="J507" s="89" t="n">
        <v>4</v>
      </c>
      <c r="K507" s="40" t="n"/>
      <c r="L507" s="96" t="n"/>
      <c r="M507" s="36" t="n"/>
    </row>
    <row r="508" s="83">
      <c r="A508" s="37" t="inlineStr">
        <is>
          <t>101203</t>
        </is>
      </c>
      <c r="B508" s="37" t="n"/>
      <c r="C508" s="37" t="inlineStr">
        <is>
          <t>2025-04-16</t>
        </is>
      </c>
      <c r="D508" s="37" t="inlineStr">
        <is>
          <t>Else01</t>
        </is>
      </c>
      <c r="E508" s="37" t="n"/>
      <c r="F508" s="37" t="inlineStr">
        <is>
          <t>浙江精准学科技有限公司</t>
        </is>
      </c>
      <c r="G508" s="37" t="inlineStr">
        <is>
          <t>记-140</t>
        </is>
      </c>
      <c r="H508" s="37" t="n"/>
      <c r="I508" s="89" t="n">
        <v>4</v>
      </c>
      <c r="J508" s="97" t="n"/>
      <c r="K508" s="42" t="n"/>
      <c r="L508" s="97" t="n"/>
      <c r="M508" s="37" t="n"/>
    </row>
    <row r="509" s="83">
      <c r="A509" s="36" t="inlineStr">
        <is>
          <t>101203</t>
        </is>
      </c>
      <c r="B509" s="36" t="n"/>
      <c r="C509" s="36" t="inlineStr">
        <is>
          <t>2025-04-16</t>
        </is>
      </c>
      <c r="D509" s="36" t="inlineStr">
        <is>
          <t>Else01</t>
        </is>
      </c>
      <c r="E509" s="36" t="n"/>
      <c r="F509" s="36" t="inlineStr">
        <is>
          <t>浙江精准学科技有限公司</t>
        </is>
      </c>
      <c r="G509" s="36" t="inlineStr">
        <is>
          <t>记-141</t>
        </is>
      </c>
      <c r="H509" s="36" t="n"/>
      <c r="I509" s="96" t="n"/>
      <c r="J509" s="89" t="n">
        <v>4</v>
      </c>
      <c r="K509" s="40" t="n"/>
      <c r="L509" s="96" t="n"/>
      <c r="M509" s="36" t="n"/>
    </row>
    <row r="510" s="83">
      <c r="A510" s="37" t="inlineStr">
        <is>
          <t>101203</t>
        </is>
      </c>
      <c r="B510" s="37" t="n"/>
      <c r="C510" s="37" t="inlineStr">
        <is>
          <t>2025-04-17</t>
        </is>
      </c>
      <c r="D510" s="37" t="inlineStr">
        <is>
          <t>Else01</t>
        </is>
      </c>
      <c r="E510" s="37" t="n"/>
      <c r="F510" s="37" t="inlineStr">
        <is>
          <t>浙江精准学科技有限公司</t>
        </is>
      </c>
      <c r="G510" s="37" t="inlineStr">
        <is>
          <t>记-142</t>
        </is>
      </c>
      <c r="H510" s="37" t="n"/>
      <c r="I510" s="89" t="n">
        <v>4</v>
      </c>
      <c r="J510" s="97" t="n"/>
      <c r="K510" s="42" t="n"/>
      <c r="L510" s="97" t="n"/>
      <c r="M510" s="37" t="n"/>
    </row>
    <row r="511" s="83">
      <c r="A511" s="36" t="inlineStr">
        <is>
          <t>101203</t>
        </is>
      </c>
      <c r="B511" s="36" t="n"/>
      <c r="C511" s="36" t="inlineStr">
        <is>
          <t>2025-04-17</t>
        </is>
      </c>
      <c r="D511" s="36" t="inlineStr">
        <is>
          <t>Else01</t>
        </is>
      </c>
      <c r="E511" s="36" t="n"/>
      <c r="F511" s="36" t="inlineStr">
        <is>
          <t>浙江精准学科技有限公司</t>
        </is>
      </c>
      <c r="G511" s="36" t="inlineStr">
        <is>
          <t>记-143</t>
        </is>
      </c>
      <c r="H511" s="36" t="n"/>
      <c r="I511" s="96" t="n"/>
      <c r="J511" s="89" t="n">
        <v>4</v>
      </c>
      <c r="K511" s="40" t="n"/>
      <c r="L511" s="96" t="n"/>
      <c r="M511" s="36" t="n"/>
    </row>
    <row r="512" s="83">
      <c r="A512" s="37" t="inlineStr">
        <is>
          <t>101203</t>
        </is>
      </c>
      <c r="B512" s="37" t="n"/>
      <c r="C512" s="37" t="inlineStr">
        <is>
          <t>2025-04-18</t>
        </is>
      </c>
      <c r="D512" s="37" t="inlineStr">
        <is>
          <t>Else01</t>
        </is>
      </c>
      <c r="E512" s="37" t="n"/>
      <c r="F512" s="37" t="inlineStr">
        <is>
          <t>浙江精准学科技有限公司</t>
        </is>
      </c>
      <c r="G512" s="37" t="inlineStr">
        <is>
          <t>记-166</t>
        </is>
      </c>
      <c r="H512" s="37" t="n"/>
      <c r="I512" s="89" t="n">
        <v>4</v>
      </c>
      <c r="J512" s="97" t="n"/>
      <c r="K512" s="42" t="n"/>
      <c r="L512" s="97" t="n"/>
      <c r="M512" s="37" t="n"/>
    </row>
    <row r="513" s="83">
      <c r="A513" s="36" t="inlineStr">
        <is>
          <t>101203</t>
        </is>
      </c>
      <c r="B513" s="36" t="n"/>
      <c r="C513" s="36" t="inlineStr">
        <is>
          <t>2025-04-18</t>
        </is>
      </c>
      <c r="D513" s="36" t="inlineStr">
        <is>
          <t>Else01</t>
        </is>
      </c>
      <c r="E513" s="36" t="n"/>
      <c r="F513" s="36" t="inlineStr">
        <is>
          <t>浙江精准学科技有限公司</t>
        </is>
      </c>
      <c r="G513" s="36" t="inlineStr">
        <is>
          <t>记-167</t>
        </is>
      </c>
      <c r="H513" s="36" t="n"/>
      <c r="I513" s="96" t="n"/>
      <c r="J513" s="89" t="n">
        <v>4</v>
      </c>
      <c r="K513" s="40" t="n"/>
      <c r="L513" s="96" t="n"/>
      <c r="M513" s="36" t="n"/>
    </row>
    <row r="514" s="83">
      <c r="A514" s="37" t="inlineStr">
        <is>
          <t>101203</t>
        </is>
      </c>
      <c r="B514" s="37" t="n"/>
      <c r="C514" s="37" t="inlineStr">
        <is>
          <t>2025-04-19</t>
        </is>
      </c>
      <c r="D514" s="37" t="inlineStr">
        <is>
          <t>Else01</t>
        </is>
      </c>
      <c r="E514" s="37" t="n"/>
      <c r="F514" s="37" t="inlineStr">
        <is>
          <t>浙江精准学科技有限公司</t>
        </is>
      </c>
      <c r="G514" s="37" t="inlineStr">
        <is>
          <t>记-169</t>
        </is>
      </c>
      <c r="H514" s="37" t="n"/>
      <c r="I514" s="89" t="n">
        <v>4</v>
      </c>
      <c r="J514" s="97" t="n"/>
      <c r="K514" s="42" t="n"/>
      <c r="L514" s="97" t="n"/>
      <c r="M514" s="37" t="n"/>
    </row>
    <row r="515" s="83">
      <c r="A515" s="36" t="inlineStr">
        <is>
          <t>101203</t>
        </is>
      </c>
      <c r="B515" s="36" t="n"/>
      <c r="C515" s="36" t="inlineStr">
        <is>
          <t>2025-04-19</t>
        </is>
      </c>
      <c r="D515" s="36" t="inlineStr">
        <is>
          <t>Else01</t>
        </is>
      </c>
      <c r="E515" s="36" t="n"/>
      <c r="F515" s="36" t="inlineStr">
        <is>
          <t>浙江精准学科技有限公司</t>
        </is>
      </c>
      <c r="G515" s="36" t="inlineStr">
        <is>
          <t>记-170</t>
        </is>
      </c>
      <c r="H515" s="36" t="n"/>
      <c r="I515" s="96" t="n"/>
      <c r="J515" s="89" t="n">
        <v>4</v>
      </c>
      <c r="K515" s="40" t="n"/>
      <c r="L515" s="96" t="n"/>
      <c r="M515" s="36" t="n"/>
    </row>
    <row r="516" s="83">
      <c r="A516" s="37" t="inlineStr">
        <is>
          <t>101203</t>
        </is>
      </c>
      <c r="B516" s="37" t="n"/>
      <c r="C516" s="37" t="inlineStr">
        <is>
          <t>2025-04-20</t>
        </is>
      </c>
      <c r="D516" s="37" t="inlineStr">
        <is>
          <t>Else01</t>
        </is>
      </c>
      <c r="E516" s="37" t="n"/>
      <c r="F516" s="37" t="inlineStr">
        <is>
          <t>浙江精准学科技有限公司</t>
        </is>
      </c>
      <c r="G516" s="37" t="inlineStr">
        <is>
          <t>记-172</t>
        </is>
      </c>
      <c r="H516" s="37" t="n"/>
      <c r="I516" s="97" t="n"/>
      <c r="J516" s="89" t="n">
        <v>4</v>
      </c>
      <c r="K516" s="42" t="n"/>
      <c r="L516" s="97" t="n"/>
      <c r="M516" s="37" t="n"/>
    </row>
    <row r="517" s="83">
      <c r="A517" s="36" t="inlineStr">
        <is>
          <t>101203</t>
        </is>
      </c>
      <c r="B517" s="36" t="n"/>
      <c r="C517" s="36" t="inlineStr">
        <is>
          <t>2025-04-20</t>
        </is>
      </c>
      <c r="D517" s="36" t="inlineStr">
        <is>
          <t>Else01</t>
        </is>
      </c>
      <c r="E517" s="36" t="n"/>
      <c r="F517" s="36" t="inlineStr">
        <is>
          <t>浙江精准学科技有限公司</t>
        </is>
      </c>
      <c r="G517" s="36" t="inlineStr">
        <is>
          <t>记-173</t>
        </is>
      </c>
      <c r="H517" s="36" t="n"/>
      <c r="I517" s="89" t="n">
        <v>4</v>
      </c>
      <c r="J517" s="96" t="n"/>
      <c r="K517" s="40" t="n"/>
      <c r="L517" s="96" t="n"/>
      <c r="M517" s="36" t="n"/>
    </row>
    <row r="518" s="83">
      <c r="A518" s="37" t="inlineStr">
        <is>
          <t>101203</t>
        </is>
      </c>
      <c r="B518" s="37" t="n"/>
      <c r="C518" s="37" t="inlineStr">
        <is>
          <t>2025-04-21</t>
        </is>
      </c>
      <c r="D518" s="37" t="inlineStr">
        <is>
          <t>Else01</t>
        </is>
      </c>
      <c r="E518" s="37" t="n"/>
      <c r="F518" s="37" t="inlineStr">
        <is>
          <t>浙江精准学科技有限公司</t>
        </is>
      </c>
      <c r="G518" s="37" t="inlineStr">
        <is>
          <t>记-178</t>
        </is>
      </c>
      <c r="H518" s="37" t="n"/>
      <c r="I518" s="89" t="n">
        <v>4</v>
      </c>
      <c r="J518" s="97" t="n"/>
      <c r="K518" s="42" t="n"/>
      <c r="L518" s="97" t="n"/>
      <c r="M518" s="37" t="n"/>
    </row>
    <row r="519" s="83">
      <c r="A519" s="36" t="inlineStr">
        <is>
          <t>101203</t>
        </is>
      </c>
      <c r="B519" s="36" t="n"/>
      <c r="C519" s="36" t="inlineStr">
        <is>
          <t>2025-04-21</t>
        </is>
      </c>
      <c r="D519" s="36" t="inlineStr">
        <is>
          <t>Else01</t>
        </is>
      </c>
      <c r="E519" s="36" t="n"/>
      <c r="F519" s="36" t="inlineStr">
        <is>
          <t>浙江精准学科技有限公司</t>
        </is>
      </c>
      <c r="G519" s="36" t="inlineStr">
        <is>
          <t>记-179</t>
        </is>
      </c>
      <c r="H519" s="36" t="n"/>
      <c r="I519" s="96" t="n"/>
      <c r="J519" s="89" t="n">
        <v>4</v>
      </c>
      <c r="K519" s="40" t="n"/>
      <c r="L519" s="96" t="n"/>
      <c r="M519" s="36" t="n"/>
    </row>
    <row r="520" s="83">
      <c r="A520" s="37" t="inlineStr">
        <is>
          <t>101203</t>
        </is>
      </c>
      <c r="B520" s="37" t="n"/>
      <c r="C520" s="37" t="inlineStr">
        <is>
          <t>2025-04-22</t>
        </is>
      </c>
      <c r="D520" s="37" t="inlineStr">
        <is>
          <t>Else01</t>
        </is>
      </c>
      <c r="E520" s="37" t="n"/>
      <c r="F520" s="37" t="inlineStr">
        <is>
          <t>浙江精准学科技有限公司</t>
        </is>
      </c>
      <c r="G520" s="37" t="inlineStr">
        <is>
          <t>记-186</t>
        </is>
      </c>
      <c r="H520" s="37" t="n"/>
      <c r="I520" s="89" t="n">
        <v>4</v>
      </c>
      <c r="J520" s="97" t="n"/>
      <c r="K520" s="42" t="n"/>
      <c r="L520" s="97" t="n"/>
      <c r="M520" s="37" t="n"/>
    </row>
    <row r="521" s="83">
      <c r="A521" s="36" t="inlineStr">
        <is>
          <t>101203</t>
        </is>
      </c>
      <c r="B521" s="36" t="n"/>
      <c r="C521" s="36" t="inlineStr">
        <is>
          <t>2025-04-22</t>
        </is>
      </c>
      <c r="D521" s="36" t="inlineStr">
        <is>
          <t>Else01</t>
        </is>
      </c>
      <c r="E521" s="36" t="n"/>
      <c r="F521" s="36" t="inlineStr">
        <is>
          <t>浙江精准学科技有限公司</t>
        </is>
      </c>
      <c r="G521" s="36" t="inlineStr">
        <is>
          <t>记-187</t>
        </is>
      </c>
      <c r="H521" s="36" t="n"/>
      <c r="I521" s="96" t="n"/>
      <c r="J521" s="89" t="n">
        <v>4</v>
      </c>
      <c r="K521" s="40" t="n"/>
      <c r="L521" s="96" t="n"/>
      <c r="M521" s="36" t="n"/>
    </row>
    <row r="522" s="83">
      <c r="A522" s="37" t="inlineStr">
        <is>
          <t>101203</t>
        </is>
      </c>
      <c r="B522" s="37" t="n"/>
      <c r="C522" s="37" t="inlineStr">
        <is>
          <t>2025-04-23</t>
        </is>
      </c>
      <c r="D522" s="37" t="inlineStr">
        <is>
          <t>Else01</t>
        </is>
      </c>
      <c r="E522" s="37" t="n"/>
      <c r="F522" s="37" t="inlineStr">
        <is>
          <t>浙江精准学科技有限公司</t>
        </is>
      </c>
      <c r="G522" s="37" t="inlineStr">
        <is>
          <t>记-193</t>
        </is>
      </c>
      <c r="H522" s="37" t="n"/>
      <c r="I522" s="89" t="n">
        <v>4</v>
      </c>
      <c r="J522" s="97" t="n"/>
      <c r="K522" s="42" t="n"/>
      <c r="L522" s="97" t="n"/>
      <c r="M522" s="37" t="n"/>
    </row>
    <row r="523" s="83">
      <c r="A523" s="36" t="inlineStr">
        <is>
          <t>101203</t>
        </is>
      </c>
      <c r="B523" s="36" t="n"/>
      <c r="C523" s="36" t="inlineStr">
        <is>
          <t>2025-04-23</t>
        </is>
      </c>
      <c r="D523" s="36" t="inlineStr">
        <is>
          <t>Else01</t>
        </is>
      </c>
      <c r="E523" s="36" t="n"/>
      <c r="F523" s="36" t="inlineStr">
        <is>
          <t>浙江精准学科技有限公司</t>
        </is>
      </c>
      <c r="G523" s="36" t="inlineStr">
        <is>
          <t>记-194</t>
        </is>
      </c>
      <c r="H523" s="36" t="n"/>
      <c r="I523" s="96" t="n"/>
      <c r="J523" s="89" t="n">
        <v>4</v>
      </c>
      <c r="K523" s="40" t="n"/>
      <c r="L523" s="96" t="n"/>
      <c r="M523" s="36" t="n"/>
    </row>
    <row r="524" s="83">
      <c r="A524" s="37" t="inlineStr">
        <is>
          <t>101203</t>
        </is>
      </c>
      <c r="B524" s="37" t="n"/>
      <c r="C524" s="37" t="inlineStr">
        <is>
          <t>2025-04-24</t>
        </is>
      </c>
      <c r="D524" s="37" t="inlineStr">
        <is>
          <t>Else01</t>
        </is>
      </c>
      <c r="E524" s="37" t="n"/>
      <c r="F524" s="37" t="inlineStr">
        <is>
          <t>浙江精准学科技有限公司</t>
        </is>
      </c>
      <c r="G524" s="37" t="inlineStr">
        <is>
          <t>记-199</t>
        </is>
      </c>
      <c r="H524" s="37" t="n"/>
      <c r="I524" s="89" t="n">
        <v>4</v>
      </c>
      <c r="J524" s="97" t="n"/>
      <c r="K524" s="42" t="n"/>
      <c r="L524" s="97" t="n"/>
      <c r="M524" s="37" t="n"/>
    </row>
    <row r="525" s="83">
      <c r="A525" s="36" t="inlineStr">
        <is>
          <t>101203</t>
        </is>
      </c>
      <c r="B525" s="36" t="n"/>
      <c r="C525" s="36" t="inlineStr">
        <is>
          <t>2025-04-24</t>
        </is>
      </c>
      <c r="D525" s="36" t="inlineStr">
        <is>
          <t>Else01</t>
        </is>
      </c>
      <c r="E525" s="36" t="n"/>
      <c r="F525" s="36" t="inlineStr">
        <is>
          <t>浙江精准学科技有限公司</t>
        </is>
      </c>
      <c r="G525" s="36" t="inlineStr">
        <is>
          <t>记-200</t>
        </is>
      </c>
      <c r="H525" s="36" t="n"/>
      <c r="I525" s="96" t="n"/>
      <c r="J525" s="89" t="n">
        <v>4</v>
      </c>
      <c r="K525" s="40" t="n"/>
      <c r="L525" s="96" t="n"/>
      <c r="M525" s="36" t="n"/>
    </row>
    <row r="526" s="83">
      <c r="A526" s="37" t="inlineStr">
        <is>
          <t>101203</t>
        </is>
      </c>
      <c r="B526" s="37" t="n"/>
      <c r="C526" s="37" t="inlineStr">
        <is>
          <t>2025-04-25</t>
        </is>
      </c>
      <c r="D526" s="37" t="inlineStr">
        <is>
          <t>Else01</t>
        </is>
      </c>
      <c r="E526" s="37" t="n"/>
      <c r="F526" s="37" t="inlineStr">
        <is>
          <t>浙江精准学科技有限公司</t>
        </is>
      </c>
      <c r="G526" s="37" t="inlineStr">
        <is>
          <t>记-211</t>
        </is>
      </c>
      <c r="H526" s="37" t="n"/>
      <c r="I526" s="89" t="n">
        <v>4</v>
      </c>
      <c r="J526" s="97" t="n"/>
      <c r="K526" s="42" t="n"/>
      <c r="L526" s="97" t="n"/>
      <c r="M526" s="37" t="n"/>
    </row>
    <row r="527" s="83">
      <c r="A527" s="36" t="inlineStr">
        <is>
          <t>101203</t>
        </is>
      </c>
      <c r="B527" s="36" t="n"/>
      <c r="C527" s="36" t="inlineStr">
        <is>
          <t>2025-04-25</t>
        </is>
      </c>
      <c r="D527" s="36" t="inlineStr">
        <is>
          <t>Else01</t>
        </is>
      </c>
      <c r="E527" s="36" t="n"/>
      <c r="F527" s="36" t="inlineStr">
        <is>
          <t>浙江精准学科技有限公司</t>
        </is>
      </c>
      <c r="G527" s="36" t="inlineStr">
        <is>
          <t>记-212</t>
        </is>
      </c>
      <c r="H527" s="36" t="n"/>
      <c r="I527" s="96" t="n"/>
      <c r="J527" s="89" t="n">
        <v>4</v>
      </c>
      <c r="K527" s="40" t="n"/>
      <c r="L527" s="96" t="n"/>
      <c r="M527" s="36" t="n"/>
    </row>
    <row r="528" s="83">
      <c r="A528" s="37" t="inlineStr">
        <is>
          <t>101203</t>
        </is>
      </c>
      <c r="B528" s="37" t="n"/>
      <c r="C528" s="37" t="inlineStr">
        <is>
          <t>2025-04-26</t>
        </is>
      </c>
      <c r="D528" s="37" t="inlineStr">
        <is>
          <t>Else01</t>
        </is>
      </c>
      <c r="E528" s="37" t="n"/>
      <c r="F528" s="37" t="inlineStr">
        <is>
          <t>浙江精准学科技有限公司</t>
        </is>
      </c>
      <c r="G528" s="37" t="inlineStr">
        <is>
          <t>记-214</t>
        </is>
      </c>
      <c r="H528" s="37" t="n"/>
      <c r="I528" s="89" t="n">
        <v>4</v>
      </c>
      <c r="J528" s="97" t="n"/>
      <c r="K528" s="42" t="n"/>
      <c r="L528" s="97" t="n"/>
      <c r="M528" s="37" t="n"/>
    </row>
    <row r="529" s="83">
      <c r="A529" s="36" t="inlineStr">
        <is>
          <t>101203</t>
        </is>
      </c>
      <c r="B529" s="36" t="n"/>
      <c r="C529" s="36" t="inlineStr">
        <is>
          <t>2025-04-26</t>
        </is>
      </c>
      <c r="D529" s="36" t="inlineStr">
        <is>
          <t>Else01</t>
        </is>
      </c>
      <c r="E529" s="36" t="n"/>
      <c r="F529" s="36" t="inlineStr">
        <is>
          <t>浙江精准学科技有限公司</t>
        </is>
      </c>
      <c r="G529" s="36" t="inlineStr">
        <is>
          <t>记-215</t>
        </is>
      </c>
      <c r="H529" s="36" t="n"/>
      <c r="I529" s="96" t="n"/>
      <c r="J529" s="89" t="n">
        <v>4</v>
      </c>
      <c r="K529" s="40" t="n"/>
      <c r="L529" s="96" t="n"/>
      <c r="M529" s="36" t="n"/>
    </row>
    <row r="530" s="83">
      <c r="A530" s="37" t="inlineStr">
        <is>
          <t>101203</t>
        </is>
      </c>
      <c r="B530" s="37" t="n"/>
      <c r="C530" s="37" t="inlineStr">
        <is>
          <t>2025-04-27</t>
        </is>
      </c>
      <c r="D530" s="37" t="inlineStr">
        <is>
          <t>Else01</t>
        </is>
      </c>
      <c r="E530" s="37" t="n"/>
      <c r="F530" s="37" t="inlineStr">
        <is>
          <t>浙江精准学科技有限公司</t>
        </is>
      </c>
      <c r="G530" s="37" t="inlineStr">
        <is>
          <t>记-223</t>
        </is>
      </c>
      <c r="H530" s="37" t="n"/>
      <c r="I530" s="89" t="n">
        <v>4</v>
      </c>
      <c r="J530" s="97" t="n"/>
      <c r="K530" s="42" t="n"/>
      <c r="L530" s="97" t="n"/>
      <c r="M530" s="37" t="n"/>
    </row>
    <row r="531" s="83">
      <c r="A531" s="36" t="inlineStr">
        <is>
          <t>101203</t>
        </is>
      </c>
      <c r="B531" s="36" t="n"/>
      <c r="C531" s="36" t="inlineStr">
        <is>
          <t>2025-04-27</t>
        </is>
      </c>
      <c r="D531" s="36" t="inlineStr">
        <is>
          <t>Else01</t>
        </is>
      </c>
      <c r="E531" s="36" t="n"/>
      <c r="F531" s="36" t="inlineStr">
        <is>
          <t>浙江精准学科技有限公司</t>
        </is>
      </c>
      <c r="G531" s="36" t="inlineStr">
        <is>
          <t>记-224</t>
        </is>
      </c>
      <c r="H531" s="36" t="n"/>
      <c r="I531" s="96" t="n"/>
      <c r="J531" s="89" t="n">
        <v>4</v>
      </c>
      <c r="K531" s="40" t="n"/>
      <c r="L531" s="96" t="n"/>
      <c r="M531" s="36" t="n"/>
    </row>
    <row r="532" s="83">
      <c r="A532" s="37" t="inlineStr">
        <is>
          <t>101203</t>
        </is>
      </c>
      <c r="B532" s="37" t="n"/>
      <c r="C532" s="37" t="inlineStr">
        <is>
          <t>2025-04-28</t>
        </is>
      </c>
      <c r="D532" s="37" t="inlineStr">
        <is>
          <t>Else01</t>
        </is>
      </c>
      <c r="E532" s="37" t="n"/>
      <c r="F532" s="37" t="inlineStr">
        <is>
          <t>浙江精准学科技有限公司</t>
        </is>
      </c>
      <c r="G532" s="37" t="inlineStr">
        <is>
          <t>记-230</t>
        </is>
      </c>
      <c r="H532" s="37" t="n"/>
      <c r="I532" s="89" t="n">
        <v>4</v>
      </c>
      <c r="J532" s="97" t="n"/>
      <c r="K532" s="42" t="n"/>
      <c r="L532" s="97" t="n"/>
      <c r="M532" s="37" t="n"/>
    </row>
    <row r="533" s="83">
      <c r="A533" s="36" t="inlineStr">
        <is>
          <t>101203</t>
        </is>
      </c>
      <c r="B533" s="36" t="n"/>
      <c r="C533" s="36" t="inlineStr">
        <is>
          <t>2025-04-28</t>
        </is>
      </c>
      <c r="D533" s="36" t="inlineStr">
        <is>
          <t>Else01</t>
        </is>
      </c>
      <c r="E533" s="36" t="n"/>
      <c r="F533" s="36" t="inlineStr">
        <is>
          <t>浙江精准学科技有限公司</t>
        </is>
      </c>
      <c r="G533" s="36" t="inlineStr">
        <is>
          <t>记-231</t>
        </is>
      </c>
      <c r="H533" s="36" t="n"/>
      <c r="I533" s="96" t="n"/>
      <c r="J533" s="89" t="n">
        <v>4</v>
      </c>
      <c r="K533" s="40" t="n"/>
      <c r="L533" s="96" t="n"/>
      <c r="M533" s="36" t="n"/>
    </row>
    <row r="534" s="83">
      <c r="A534" s="37" t="inlineStr">
        <is>
          <t>101203</t>
        </is>
      </c>
      <c r="B534" s="37" t="n"/>
      <c r="C534" s="37" t="inlineStr">
        <is>
          <t>2025-04-29</t>
        </is>
      </c>
      <c r="D534" s="37" t="inlineStr">
        <is>
          <t>Else01</t>
        </is>
      </c>
      <c r="E534" s="37" t="n"/>
      <c r="F534" s="37" t="inlineStr">
        <is>
          <t>浙江精准学科技有限公司</t>
        </is>
      </c>
      <c r="G534" s="37" t="inlineStr">
        <is>
          <t>记-246</t>
        </is>
      </c>
      <c r="H534" s="37" t="n"/>
      <c r="I534" s="89" t="n">
        <v>4</v>
      </c>
      <c r="J534" s="97" t="n"/>
      <c r="K534" s="42" t="n"/>
      <c r="L534" s="97" t="n"/>
      <c r="M534" s="37" t="n"/>
    </row>
    <row r="535" s="83">
      <c r="A535" s="36" t="inlineStr">
        <is>
          <t>101203</t>
        </is>
      </c>
      <c r="B535" s="36" t="n"/>
      <c r="C535" s="36" t="inlineStr">
        <is>
          <t>2025-04-29</t>
        </is>
      </c>
      <c r="D535" s="36" t="inlineStr">
        <is>
          <t>Else01</t>
        </is>
      </c>
      <c r="E535" s="36" t="n"/>
      <c r="F535" s="36" t="inlineStr">
        <is>
          <t>浙江精准学科技有限公司</t>
        </is>
      </c>
      <c r="G535" s="36" t="inlineStr">
        <is>
          <t>记-247</t>
        </is>
      </c>
      <c r="H535" s="36" t="n"/>
      <c r="I535" s="96" t="n"/>
      <c r="J535" s="89" t="n">
        <v>4</v>
      </c>
      <c r="K535" s="40" t="n"/>
      <c r="L535" s="96" t="n"/>
      <c r="M535" s="36" t="n"/>
    </row>
    <row r="536" s="83">
      <c r="A536" s="37" t="inlineStr">
        <is>
          <t>101203</t>
        </is>
      </c>
      <c r="B536" s="37" t="n"/>
      <c r="C536" s="37" t="inlineStr">
        <is>
          <t>2025-04-30</t>
        </is>
      </c>
      <c r="D536" s="37" t="inlineStr">
        <is>
          <t>Else01</t>
        </is>
      </c>
      <c r="E536" s="37" t="n"/>
      <c r="F536" s="37" t="inlineStr">
        <is>
          <t>浙江精准学科技有限公司</t>
        </is>
      </c>
      <c r="G536" s="37" t="inlineStr">
        <is>
          <t>记-264</t>
        </is>
      </c>
      <c r="H536" s="37" t="n"/>
      <c r="I536" s="89" t="n">
        <v>4</v>
      </c>
      <c r="J536" s="97" t="n"/>
      <c r="K536" s="42" t="n"/>
      <c r="L536" s="97" t="n"/>
      <c r="M536" s="37" t="n"/>
    </row>
    <row r="537" s="83">
      <c r="A537" s="36" t="inlineStr">
        <is>
          <t>101203</t>
        </is>
      </c>
      <c r="B537" s="36" t="n"/>
      <c r="C537" s="36" t="inlineStr">
        <is>
          <t>2025-04-30</t>
        </is>
      </c>
      <c r="D537" s="36" t="inlineStr">
        <is>
          <t>Else01</t>
        </is>
      </c>
      <c r="E537" s="36" t="n"/>
      <c r="F537" s="36" t="inlineStr">
        <is>
          <t>浙江精准学科技有限公司</t>
        </is>
      </c>
      <c r="G537" s="36" t="inlineStr">
        <is>
          <t>记-265</t>
        </is>
      </c>
      <c r="H537" s="36" t="n"/>
      <c r="I537" s="96" t="n"/>
      <c r="J537" s="89" t="n">
        <v>4</v>
      </c>
      <c r="K537" s="40" t="n"/>
      <c r="L537" s="96" t="n"/>
      <c r="M537" s="36" t="n"/>
    </row>
    <row r="538" s="83">
      <c r="A538" s="37" t="inlineStr">
        <is>
          <t>101203</t>
        </is>
      </c>
      <c r="B538" s="37" t="n"/>
      <c r="C538" s="37" t="inlineStr">
        <is>
          <t>2025-04-30</t>
        </is>
      </c>
      <c r="D538" s="37" t="inlineStr">
        <is>
          <t>Else01</t>
        </is>
      </c>
      <c r="E538" s="37" t="n"/>
      <c r="F538" s="37" t="inlineStr">
        <is>
          <t>浙江精准学科技有限公司</t>
        </is>
      </c>
      <c r="G538" s="37" t="inlineStr">
        <is>
          <t>记-266</t>
        </is>
      </c>
      <c r="H538" s="37" t="n"/>
      <c r="I538" s="89" t="n">
        <v>4</v>
      </c>
      <c r="J538" s="97" t="n"/>
      <c r="K538" s="42" t="n"/>
      <c r="L538" s="97" t="n"/>
      <c r="M538" s="37" t="n"/>
    </row>
    <row r="539" s="83">
      <c r="A539" s="36" t="inlineStr">
        <is>
          <t>101203</t>
        </is>
      </c>
      <c r="B539" s="36" t="n"/>
      <c r="C539" s="36" t="inlineStr">
        <is>
          <t>2025-04-30</t>
        </is>
      </c>
      <c r="D539" s="36" t="inlineStr">
        <is>
          <t>Else01</t>
        </is>
      </c>
      <c r="E539" s="36" t="n"/>
      <c r="F539" s="36" t="inlineStr">
        <is>
          <t>浙江精准学科技有限公司</t>
        </is>
      </c>
      <c r="G539" s="36" t="inlineStr">
        <is>
          <t>记-267</t>
        </is>
      </c>
      <c r="H539" s="36" t="n"/>
      <c r="I539" s="96" t="n"/>
      <c r="J539" s="89" t="n">
        <v>4</v>
      </c>
      <c r="K539" s="40" t="n"/>
      <c r="L539" s="96" t="n"/>
      <c r="M539" s="36" t="n"/>
    </row>
    <row r="540" s="83">
      <c r="A540" s="36" t="inlineStr">
        <is>
          <t>101203</t>
        </is>
      </c>
      <c r="B540" s="36" t="n"/>
      <c r="C540" s="36" t="inlineStr">
        <is>
          <t>2025-04-30</t>
        </is>
      </c>
      <c r="D540" s="36" t="inlineStr">
        <is>
          <t>Q0101</t>
        </is>
      </c>
      <c r="E540" s="36" t="n"/>
      <c r="F540" s="36" t="inlineStr">
        <is>
          <t>浙江精准学科技有限公司</t>
        </is>
      </c>
      <c r="G540" s="36" t="inlineStr">
        <is>
          <t>记-268</t>
        </is>
      </c>
      <c r="H540" s="36" t="n"/>
      <c r="I540" s="89" t="n">
        <v>4</v>
      </c>
      <c r="J540" s="96" t="n"/>
      <c r="K540" s="40" t="n"/>
      <c r="L540" s="96" t="n"/>
      <c r="M540" s="36" t="n"/>
    </row>
    <row r="541" s="83">
      <c r="A541" s="37" t="inlineStr">
        <is>
          <t>101203</t>
        </is>
      </c>
      <c r="B541" s="37" t="n"/>
      <c r="C541" s="37" t="inlineStr">
        <is>
          <t>2025-04-30</t>
        </is>
      </c>
      <c r="D541" s="37" t="inlineStr">
        <is>
          <t>Q0101</t>
        </is>
      </c>
      <c r="E541" s="37" t="n"/>
      <c r="F541" s="37" t="inlineStr">
        <is>
          <t>浙江精准学科技有限公司</t>
        </is>
      </c>
      <c r="G541" s="37" t="inlineStr">
        <is>
          <t>记-268</t>
        </is>
      </c>
      <c r="H541" s="37" t="n"/>
      <c r="I541" s="97" t="n"/>
      <c r="J541" s="89" t="n">
        <v>4</v>
      </c>
      <c r="K541" s="42" t="n"/>
      <c r="L541" s="97" t="n"/>
      <c r="M541" s="37" t="n"/>
    </row>
    <row r="542" s="83">
      <c r="A542" s="37" t="inlineStr">
        <is>
          <t>101203</t>
        </is>
      </c>
      <c r="B542" s="37" t="n"/>
      <c r="C542" s="37" t="inlineStr">
        <is>
          <t>2025-04-30</t>
        </is>
      </c>
      <c r="D542" s="37" t="inlineStr">
        <is>
          <t>Q0103</t>
        </is>
      </c>
      <c r="E542" s="37" t="n"/>
      <c r="F542" s="37" t="inlineStr">
        <is>
          <t>浙江精准学科技有限公司</t>
        </is>
      </c>
      <c r="G542" s="37" t="inlineStr">
        <is>
          <t>记-268</t>
        </is>
      </c>
      <c r="H542" s="37" t="n"/>
      <c r="I542" s="89" t="n">
        <v>4</v>
      </c>
      <c r="J542" s="97" t="n"/>
      <c r="K542" s="42" t="n"/>
      <c r="L542" s="97" t="n"/>
      <c r="M542" s="37" t="n"/>
    </row>
    <row r="543" s="83">
      <c r="A543" s="36" t="inlineStr">
        <is>
          <t>101203</t>
        </is>
      </c>
      <c r="B543" s="36" t="n"/>
      <c r="C543" s="36" t="inlineStr">
        <is>
          <t>2025-04-30</t>
        </is>
      </c>
      <c r="D543" s="36" t="inlineStr">
        <is>
          <t>Q0103</t>
        </is>
      </c>
      <c r="E543" s="36" t="n"/>
      <c r="F543" s="36" t="inlineStr">
        <is>
          <t>浙江精准学科技有限公司</t>
        </is>
      </c>
      <c r="G543" s="36" t="inlineStr">
        <is>
          <t>记-268</t>
        </is>
      </c>
      <c r="H543" s="36" t="n"/>
      <c r="I543" s="96" t="n"/>
      <c r="J543" s="89" t="n">
        <v>4</v>
      </c>
      <c r="K543" s="40" t="n"/>
      <c r="L543" s="96" t="n"/>
      <c r="M543" s="36" t="n"/>
    </row>
    <row r="544" s="83">
      <c r="A544" s="37" t="inlineStr">
        <is>
          <t>101203</t>
        </is>
      </c>
      <c r="B544" s="37" t="n"/>
      <c r="C544" s="37" t="inlineStr">
        <is>
          <t>2025-04-02</t>
        </is>
      </c>
      <c r="D544" s="37" t="inlineStr">
        <is>
          <t>Q0401</t>
        </is>
      </c>
      <c r="E544" s="37" t="n"/>
      <c r="F544" s="37" t="inlineStr">
        <is>
          <t>浙江精准学科技有限公司</t>
        </is>
      </c>
      <c r="G544" s="37" t="inlineStr">
        <is>
          <t>记-16</t>
        </is>
      </c>
      <c r="H544" s="37" t="n"/>
      <c r="I544" s="97" t="n"/>
      <c r="J544" s="89" t="n">
        <v>4</v>
      </c>
      <c r="K544" s="42" t="n"/>
      <c r="L544" s="97" t="n"/>
      <c r="M544" s="37" t="n"/>
    </row>
    <row r="545" s="83">
      <c r="A545" s="36" t="inlineStr">
        <is>
          <t>101203</t>
        </is>
      </c>
      <c r="B545" s="36" t="n"/>
      <c r="C545" s="36" t="inlineStr">
        <is>
          <t>2025-04-08</t>
        </is>
      </c>
      <c r="D545" s="36" t="inlineStr">
        <is>
          <t>Q0401</t>
        </is>
      </c>
      <c r="E545" s="36" t="n"/>
      <c r="F545" s="36" t="inlineStr">
        <is>
          <t>浙江精准学科技有限公司</t>
        </is>
      </c>
      <c r="G545" s="36" t="inlineStr">
        <is>
          <t>记-55</t>
        </is>
      </c>
      <c r="H545" s="36" t="n"/>
      <c r="I545" s="96" t="n"/>
      <c r="J545" s="89" t="n">
        <v>4</v>
      </c>
      <c r="K545" s="40" t="n"/>
      <c r="L545" s="96" t="n"/>
      <c r="M545" s="36" t="n"/>
    </row>
    <row r="546" s="83">
      <c r="A546" s="37" t="inlineStr">
        <is>
          <t>101203</t>
        </is>
      </c>
      <c r="B546" s="37" t="n"/>
      <c r="C546" s="37" t="inlineStr">
        <is>
          <t>2025-04-09</t>
        </is>
      </c>
      <c r="D546" s="37" t="inlineStr">
        <is>
          <t>Q0401</t>
        </is>
      </c>
      <c r="E546" s="37" t="n"/>
      <c r="F546" s="37" t="inlineStr">
        <is>
          <t>浙江精准学科技有限公司</t>
        </is>
      </c>
      <c r="G546" s="37" t="inlineStr">
        <is>
          <t>记-69</t>
        </is>
      </c>
      <c r="H546" s="37" t="n"/>
      <c r="I546" s="97" t="n"/>
      <c r="J546" s="89" t="n">
        <v>4</v>
      </c>
      <c r="K546" s="42" t="n"/>
      <c r="L546" s="97" t="n"/>
      <c r="M546" s="37" t="n"/>
    </row>
    <row r="547" s="83">
      <c r="A547" s="36" t="inlineStr">
        <is>
          <t>101203</t>
        </is>
      </c>
      <c r="B547" s="36" t="n"/>
      <c r="C547" s="36" t="inlineStr">
        <is>
          <t>2025-04-16</t>
        </is>
      </c>
      <c r="D547" s="36" t="inlineStr">
        <is>
          <t>Q0401</t>
        </is>
      </c>
      <c r="E547" s="36" t="n"/>
      <c r="F547" s="36" t="inlineStr">
        <is>
          <t>浙江精准学科技有限公司</t>
        </is>
      </c>
      <c r="G547" s="36" t="inlineStr">
        <is>
          <t>记-133</t>
        </is>
      </c>
      <c r="H547" s="36" t="n"/>
      <c r="I547" s="96" t="n"/>
      <c r="J547" s="89" t="n">
        <v>4</v>
      </c>
      <c r="K547" s="40" t="n"/>
      <c r="L547" s="96" t="n"/>
      <c r="M547" s="36" t="n"/>
    </row>
    <row r="548" s="83">
      <c r="A548" s="37" t="inlineStr">
        <is>
          <t>101203</t>
        </is>
      </c>
      <c r="B548" s="37" t="n"/>
      <c r="C548" s="37" t="inlineStr">
        <is>
          <t>2025-04-18</t>
        </is>
      </c>
      <c r="D548" s="37" t="inlineStr">
        <is>
          <t>Q0401</t>
        </is>
      </c>
      <c r="E548" s="37" t="n"/>
      <c r="F548" s="37" t="inlineStr">
        <is>
          <t>浙江精准学科技有限公司</t>
        </is>
      </c>
      <c r="G548" s="37" t="inlineStr">
        <is>
          <t>记-153</t>
        </is>
      </c>
      <c r="H548" s="37" t="n"/>
      <c r="I548" s="97" t="n"/>
      <c r="J548" s="89" t="n">
        <v>4</v>
      </c>
      <c r="K548" s="42" t="n"/>
      <c r="L548" s="97" t="n"/>
      <c r="M548" s="37" t="n"/>
    </row>
    <row r="549" s="83">
      <c r="A549" s="36" t="inlineStr">
        <is>
          <t>101203</t>
        </is>
      </c>
      <c r="B549" s="36" t="n"/>
      <c r="C549" s="36" t="inlineStr">
        <is>
          <t>2025-04-23</t>
        </is>
      </c>
      <c r="D549" s="36" t="inlineStr">
        <is>
          <t>Q0401</t>
        </is>
      </c>
      <c r="E549" s="36" t="n"/>
      <c r="F549" s="36" t="inlineStr">
        <is>
          <t>浙江精准学科技有限公司</t>
        </is>
      </c>
      <c r="G549" s="36" t="inlineStr">
        <is>
          <t>记-188</t>
        </is>
      </c>
      <c r="H549" s="36" t="n"/>
      <c r="I549" s="96" t="n"/>
      <c r="J549" s="89" t="n">
        <v>4</v>
      </c>
      <c r="K549" s="40" t="n"/>
      <c r="L549" s="96" t="n"/>
      <c r="M549" s="36" t="n"/>
    </row>
    <row r="550" s="83">
      <c r="A550" s="37" t="inlineStr">
        <is>
          <t>101203</t>
        </is>
      </c>
      <c r="B550" s="37" t="n"/>
      <c r="C550" s="37" t="inlineStr">
        <is>
          <t>2025-04-27</t>
        </is>
      </c>
      <c r="D550" s="37" t="inlineStr">
        <is>
          <t>Q0401</t>
        </is>
      </c>
      <c r="E550" s="37" t="n"/>
      <c r="F550" s="37" t="inlineStr">
        <is>
          <t>浙江精准学科技有限公司</t>
        </is>
      </c>
      <c r="G550" s="37" t="inlineStr">
        <is>
          <t>记-217</t>
        </is>
      </c>
      <c r="H550" s="37" t="n"/>
      <c r="I550" s="97" t="n"/>
      <c r="J550" s="89" t="n">
        <v>4</v>
      </c>
      <c r="K550" s="42" t="n"/>
      <c r="L550" s="97" t="n"/>
      <c r="M550" s="37" t="n"/>
    </row>
    <row r="551" s="83">
      <c r="A551" s="36" t="inlineStr">
        <is>
          <t>101203</t>
        </is>
      </c>
      <c r="B551" s="36" t="n"/>
      <c r="C551" s="36" t="inlineStr">
        <is>
          <t>2025-04-30</t>
        </is>
      </c>
      <c r="D551" s="36" t="inlineStr">
        <is>
          <t>Q0401</t>
        </is>
      </c>
      <c r="E551" s="36" t="n"/>
      <c r="F551" s="36" t="inlineStr">
        <is>
          <t>浙江精准学科技有限公司</t>
        </is>
      </c>
      <c r="G551" s="36" t="inlineStr">
        <is>
          <t>记-249</t>
        </is>
      </c>
      <c r="H551" s="36" t="n"/>
      <c r="I551" s="96" t="n"/>
      <c r="J551" s="89" t="n">
        <v>4</v>
      </c>
      <c r="K551" s="40" t="n"/>
      <c r="L551" s="96" t="n"/>
      <c r="M551" s="36" t="n"/>
    </row>
    <row r="552" s="83">
      <c r="A552" s="36" t="inlineStr">
        <is>
          <t>101203</t>
        </is>
      </c>
      <c r="B552" s="36" t="n"/>
      <c r="C552" s="36" t="inlineStr">
        <is>
          <t>2025-04-30</t>
        </is>
      </c>
      <c r="D552" s="36" t="inlineStr">
        <is>
          <t>Q2201</t>
        </is>
      </c>
      <c r="E552" s="36" t="n"/>
      <c r="F552" s="36" t="inlineStr">
        <is>
          <t>浙江精准学科技有限公司</t>
        </is>
      </c>
      <c r="G552" s="36" t="inlineStr">
        <is>
          <t>记-268</t>
        </is>
      </c>
      <c r="H552" s="36" t="n"/>
      <c r="I552" s="96" t="n"/>
      <c r="J552" s="89" t="n">
        <v>4</v>
      </c>
      <c r="K552" s="40" t="n"/>
      <c r="L552" s="96" t="n"/>
      <c r="M552" s="36" t="n"/>
    </row>
    <row r="553" s="83">
      <c r="A553" s="37" t="inlineStr">
        <is>
          <t>101203</t>
        </is>
      </c>
      <c r="B553" s="37" t="n"/>
      <c r="C553" s="37" t="inlineStr">
        <is>
          <t>2025-04-30</t>
        </is>
      </c>
      <c r="D553" s="37" t="inlineStr">
        <is>
          <t>Q2201</t>
        </is>
      </c>
      <c r="E553" s="37" t="n"/>
      <c r="F553" s="37" t="inlineStr">
        <is>
          <t>浙江精准学科技有限公司</t>
        </is>
      </c>
      <c r="G553" s="37" t="inlineStr">
        <is>
          <t>记-268</t>
        </is>
      </c>
      <c r="H553" s="37" t="n"/>
      <c r="I553" s="89" t="n">
        <v>4</v>
      </c>
      <c r="J553" s="97" t="n"/>
      <c r="K553" s="42" t="n"/>
      <c r="L553" s="97" t="n"/>
      <c r="M553" s="37" t="n"/>
    </row>
    <row r="554" s="83">
      <c r="A554" s="37" t="inlineStr">
        <is>
          <t>101203</t>
        </is>
      </c>
      <c r="B554" s="37" t="n"/>
      <c r="C554" s="37" t="inlineStr">
        <is>
          <t>2025-04-30</t>
        </is>
      </c>
      <c r="D554" s="37" t="inlineStr">
        <is>
          <t>Q2204</t>
        </is>
      </c>
      <c r="E554" s="37" t="n"/>
      <c r="F554" s="37" t="inlineStr">
        <is>
          <t>浙江精准学科技有限公司</t>
        </is>
      </c>
      <c r="G554" s="37" t="inlineStr">
        <is>
          <t>记-268</t>
        </is>
      </c>
      <c r="H554" s="37" t="n"/>
      <c r="I554" s="97" t="n"/>
      <c r="J554" s="89" t="n">
        <v>4</v>
      </c>
      <c r="K554" s="42" t="n"/>
      <c r="L554" s="97" t="n"/>
      <c r="M554" s="37" t="n"/>
    </row>
    <row r="555" s="83">
      <c r="A555" s="37" t="inlineStr">
        <is>
          <t>101203</t>
        </is>
      </c>
      <c r="B555" s="37" t="n"/>
      <c r="C555" s="37" t="inlineStr">
        <is>
          <t>2025-04-30</t>
        </is>
      </c>
      <c r="D555" s="37" t="inlineStr">
        <is>
          <t>Q2205</t>
        </is>
      </c>
      <c r="E555" s="37" t="n"/>
      <c r="F555" s="37" t="inlineStr">
        <is>
          <t>浙江精准学科技有限公司</t>
        </is>
      </c>
      <c r="G555" s="37" t="inlineStr">
        <is>
          <t>记-268</t>
        </is>
      </c>
      <c r="H555" s="37" t="n"/>
      <c r="I555" s="97" t="n"/>
      <c r="J555" s="89" t="n">
        <v>4</v>
      </c>
      <c r="K555" s="42" t="n"/>
      <c r="L555" s="97" t="n"/>
      <c r="M555" s="37" t="n"/>
    </row>
    <row r="556" s="83">
      <c r="A556" s="37" t="inlineStr">
        <is>
          <t>101207</t>
        </is>
      </c>
      <c r="B556" s="37" t="n"/>
      <c r="C556" s="37" t="inlineStr">
        <is>
          <t>2025-04-01</t>
        </is>
      </c>
      <c r="D556" s="37" t="inlineStr">
        <is>
          <t>Else01</t>
        </is>
      </c>
      <c r="E556" s="37" t="n"/>
      <c r="F556" s="37" t="inlineStr">
        <is>
          <t>浙江精准学科技有限公司</t>
        </is>
      </c>
      <c r="G556" s="37" t="inlineStr">
        <is>
          <t>记-13</t>
        </is>
      </c>
      <c r="H556" s="37" t="n"/>
      <c r="I556" s="89" t="n">
        <v>4</v>
      </c>
      <c r="J556" s="97" t="n"/>
      <c r="K556" s="42" t="n"/>
      <c r="L556" s="97" t="n"/>
      <c r="M556" s="37" t="n"/>
    </row>
    <row r="557" s="83">
      <c r="A557" s="36" t="inlineStr">
        <is>
          <t>101207</t>
        </is>
      </c>
      <c r="B557" s="36" t="n"/>
      <c r="C557" s="36" t="inlineStr">
        <is>
          <t>2025-04-01</t>
        </is>
      </c>
      <c r="D557" s="36" t="inlineStr">
        <is>
          <t>Else01</t>
        </is>
      </c>
      <c r="E557" s="36" t="n"/>
      <c r="F557" s="36" t="inlineStr">
        <is>
          <t>浙江精准学科技有限公司</t>
        </is>
      </c>
      <c r="G557" s="36" t="inlineStr">
        <is>
          <t>记-14</t>
        </is>
      </c>
      <c r="H557" s="36" t="n"/>
      <c r="I557" s="96" t="n"/>
      <c r="J557" s="89" t="n">
        <v>4</v>
      </c>
      <c r="K557" s="40" t="n"/>
      <c r="L557" s="96" t="n"/>
      <c r="M557" s="36" t="n"/>
    </row>
    <row r="558" s="83">
      <c r="A558" s="37" t="inlineStr">
        <is>
          <t>101207</t>
        </is>
      </c>
      <c r="B558" s="37" t="n"/>
      <c r="C558" s="37" t="inlineStr">
        <is>
          <t>2025-04-02</t>
        </is>
      </c>
      <c r="D558" s="37" t="inlineStr">
        <is>
          <t>Else01</t>
        </is>
      </c>
      <c r="E558" s="37" t="n"/>
      <c r="F558" s="37" t="inlineStr">
        <is>
          <t>浙江精准学科技有限公司</t>
        </is>
      </c>
      <c r="G558" s="37" t="inlineStr">
        <is>
          <t>记-25</t>
        </is>
      </c>
      <c r="H558" s="37" t="n"/>
      <c r="I558" s="89" t="n">
        <v>4</v>
      </c>
      <c r="J558" s="97" t="n"/>
      <c r="K558" s="42" t="n"/>
      <c r="L558" s="97" t="n"/>
      <c r="M558" s="37" t="n"/>
    </row>
    <row r="559" s="83">
      <c r="A559" s="36" t="inlineStr">
        <is>
          <t>101207</t>
        </is>
      </c>
      <c r="B559" s="36" t="n"/>
      <c r="C559" s="36" t="inlineStr">
        <is>
          <t>2025-04-02</t>
        </is>
      </c>
      <c r="D559" s="36" t="inlineStr">
        <is>
          <t>Else01</t>
        </is>
      </c>
      <c r="E559" s="36" t="n"/>
      <c r="F559" s="36" t="inlineStr">
        <is>
          <t>浙江精准学科技有限公司</t>
        </is>
      </c>
      <c r="G559" s="36" t="inlineStr">
        <is>
          <t>记-26</t>
        </is>
      </c>
      <c r="H559" s="36" t="n"/>
      <c r="I559" s="96" t="n"/>
      <c r="J559" s="89" t="n">
        <v>4</v>
      </c>
      <c r="K559" s="40" t="n"/>
      <c r="L559" s="96" t="n"/>
      <c r="M559" s="36" t="n"/>
    </row>
    <row r="560" s="83">
      <c r="A560" s="37" t="inlineStr">
        <is>
          <t>101207</t>
        </is>
      </c>
      <c r="B560" s="37" t="n"/>
      <c r="C560" s="37" t="inlineStr">
        <is>
          <t>2025-04-03</t>
        </is>
      </c>
      <c r="D560" s="37" t="inlineStr">
        <is>
          <t>Else01</t>
        </is>
      </c>
      <c r="E560" s="37" t="n"/>
      <c r="F560" s="37" t="inlineStr">
        <is>
          <t>浙江精准学科技有限公司</t>
        </is>
      </c>
      <c r="G560" s="37" t="inlineStr">
        <is>
          <t>记-35</t>
        </is>
      </c>
      <c r="H560" s="37" t="n"/>
      <c r="I560" s="89" t="n">
        <v>4</v>
      </c>
      <c r="J560" s="97" t="n"/>
      <c r="K560" s="42" t="n"/>
      <c r="L560" s="97" t="n"/>
      <c r="M560" s="37" t="n"/>
    </row>
    <row r="561" s="83">
      <c r="A561" s="36" t="inlineStr">
        <is>
          <t>101207</t>
        </is>
      </c>
      <c r="B561" s="36" t="n"/>
      <c r="C561" s="36" t="inlineStr">
        <is>
          <t>2025-04-03</t>
        </is>
      </c>
      <c r="D561" s="36" t="inlineStr">
        <is>
          <t>Else01</t>
        </is>
      </c>
      <c r="E561" s="36" t="n"/>
      <c r="F561" s="36" t="inlineStr">
        <is>
          <t>浙江精准学科技有限公司</t>
        </is>
      </c>
      <c r="G561" s="36" t="inlineStr">
        <is>
          <t>记-37</t>
        </is>
      </c>
      <c r="H561" s="36" t="n"/>
      <c r="I561" s="96" t="n"/>
      <c r="J561" s="89" t="n">
        <v>4</v>
      </c>
      <c r="K561" s="40" t="n"/>
      <c r="L561" s="96" t="n"/>
      <c r="M561" s="36" t="n"/>
    </row>
    <row r="562" s="83">
      <c r="A562" s="37" t="inlineStr">
        <is>
          <t>101207</t>
        </is>
      </c>
      <c r="B562" s="37" t="n"/>
      <c r="C562" s="37" t="inlineStr">
        <is>
          <t>2025-04-04</t>
        </is>
      </c>
      <c r="D562" s="37" t="inlineStr">
        <is>
          <t>Else01</t>
        </is>
      </c>
      <c r="E562" s="37" t="n"/>
      <c r="F562" s="37" t="inlineStr">
        <is>
          <t>浙江精准学科技有限公司</t>
        </is>
      </c>
      <c r="G562" s="37" t="inlineStr">
        <is>
          <t>记-39</t>
        </is>
      </c>
      <c r="H562" s="37" t="n"/>
      <c r="I562" s="89" t="n">
        <v>4</v>
      </c>
      <c r="J562" s="97" t="n"/>
      <c r="K562" s="42" t="n"/>
      <c r="L562" s="97" t="n"/>
      <c r="M562" s="37" t="n"/>
    </row>
    <row r="563" s="83">
      <c r="A563" s="36" t="inlineStr">
        <is>
          <t>101207</t>
        </is>
      </c>
      <c r="B563" s="36" t="n"/>
      <c r="C563" s="36" t="inlineStr">
        <is>
          <t>2025-04-04</t>
        </is>
      </c>
      <c r="D563" s="36" t="inlineStr">
        <is>
          <t>Else01</t>
        </is>
      </c>
      <c r="E563" s="36" t="n"/>
      <c r="F563" s="36" t="inlineStr">
        <is>
          <t>浙江精准学科技有限公司</t>
        </is>
      </c>
      <c r="G563" s="36" t="inlineStr">
        <is>
          <t>记-40</t>
        </is>
      </c>
      <c r="H563" s="36" t="n"/>
      <c r="I563" s="96" t="n"/>
      <c r="J563" s="89" t="n">
        <v>4</v>
      </c>
      <c r="K563" s="40" t="n"/>
      <c r="L563" s="96" t="n"/>
      <c r="M563" s="36" t="n"/>
    </row>
    <row r="564" s="83">
      <c r="A564" s="37" t="inlineStr">
        <is>
          <t>101207</t>
        </is>
      </c>
      <c r="B564" s="37" t="n"/>
      <c r="C564" s="37" t="inlineStr">
        <is>
          <t>2025-04-05</t>
        </is>
      </c>
      <c r="D564" s="37" t="inlineStr">
        <is>
          <t>Else01</t>
        </is>
      </c>
      <c r="E564" s="37" t="n"/>
      <c r="F564" s="37" t="inlineStr">
        <is>
          <t>浙江精准学科技有限公司</t>
        </is>
      </c>
      <c r="G564" s="37" t="inlineStr">
        <is>
          <t>记-43</t>
        </is>
      </c>
      <c r="H564" s="37" t="n"/>
      <c r="I564" s="89" t="n">
        <v>4</v>
      </c>
      <c r="J564" s="97" t="n"/>
      <c r="K564" s="42" t="n"/>
      <c r="L564" s="97" t="n"/>
      <c r="M564" s="37" t="n"/>
    </row>
    <row r="565" s="83">
      <c r="A565" s="36" t="inlineStr">
        <is>
          <t>101207</t>
        </is>
      </c>
      <c r="B565" s="36" t="n"/>
      <c r="C565" s="36" t="inlineStr">
        <is>
          <t>2025-04-05</t>
        </is>
      </c>
      <c r="D565" s="36" t="inlineStr">
        <is>
          <t>Else01</t>
        </is>
      </c>
      <c r="E565" s="36" t="n"/>
      <c r="F565" s="36" t="inlineStr">
        <is>
          <t>浙江精准学科技有限公司</t>
        </is>
      </c>
      <c r="G565" s="36" t="inlineStr">
        <is>
          <t>记-44</t>
        </is>
      </c>
      <c r="H565" s="36" t="n"/>
      <c r="I565" s="96" t="n"/>
      <c r="J565" s="89" t="n">
        <v>4</v>
      </c>
      <c r="K565" s="40" t="n"/>
      <c r="L565" s="96" t="n"/>
      <c r="M565" s="36" t="n"/>
    </row>
    <row r="566" s="83">
      <c r="A566" s="37" t="inlineStr">
        <is>
          <t>101207</t>
        </is>
      </c>
      <c r="B566" s="37" t="n"/>
      <c r="C566" s="37" t="inlineStr">
        <is>
          <t>2025-04-06</t>
        </is>
      </c>
      <c r="D566" s="37" t="inlineStr">
        <is>
          <t>Else01</t>
        </is>
      </c>
      <c r="E566" s="37" t="n"/>
      <c r="F566" s="37" t="inlineStr">
        <is>
          <t>浙江精准学科技有限公司</t>
        </is>
      </c>
      <c r="G566" s="37" t="inlineStr">
        <is>
          <t>记-46</t>
        </is>
      </c>
      <c r="H566" s="37" t="n"/>
      <c r="I566" s="89" t="n">
        <v>4</v>
      </c>
      <c r="J566" s="97" t="n"/>
      <c r="K566" s="42" t="n"/>
      <c r="L566" s="97" t="n"/>
      <c r="M566" s="37" t="n"/>
    </row>
    <row r="567" s="83">
      <c r="A567" s="36" t="inlineStr">
        <is>
          <t>101207</t>
        </is>
      </c>
      <c r="B567" s="36" t="n"/>
      <c r="C567" s="36" t="inlineStr">
        <is>
          <t>2025-04-06</t>
        </is>
      </c>
      <c r="D567" s="36" t="inlineStr">
        <is>
          <t>Else01</t>
        </is>
      </c>
      <c r="E567" s="36" t="n"/>
      <c r="F567" s="36" t="inlineStr">
        <is>
          <t>浙江精准学科技有限公司</t>
        </is>
      </c>
      <c r="G567" s="36" t="inlineStr">
        <is>
          <t>记-47</t>
        </is>
      </c>
      <c r="H567" s="36" t="n"/>
      <c r="I567" s="96" t="n"/>
      <c r="J567" s="89" t="n">
        <v>4</v>
      </c>
      <c r="K567" s="40" t="n"/>
      <c r="L567" s="96" t="n"/>
      <c r="M567" s="36" t="n"/>
    </row>
    <row r="568" s="83">
      <c r="A568" s="37" t="inlineStr">
        <is>
          <t>101207</t>
        </is>
      </c>
      <c r="B568" s="37" t="n"/>
      <c r="C568" s="37" t="inlineStr">
        <is>
          <t>2025-04-07</t>
        </is>
      </c>
      <c r="D568" s="37" t="inlineStr">
        <is>
          <t>Else01</t>
        </is>
      </c>
      <c r="E568" s="37" t="n"/>
      <c r="F568" s="37" t="inlineStr">
        <is>
          <t>浙江精准学科技有限公司</t>
        </is>
      </c>
      <c r="G568" s="37" t="inlineStr">
        <is>
          <t>记-52</t>
        </is>
      </c>
      <c r="H568" s="37" t="n"/>
      <c r="I568" s="89" t="n">
        <v>4</v>
      </c>
      <c r="J568" s="97" t="n"/>
      <c r="K568" s="42" t="n"/>
      <c r="L568" s="97" t="n"/>
      <c r="M568" s="37" t="n"/>
    </row>
    <row r="569" s="83">
      <c r="A569" s="36" t="inlineStr">
        <is>
          <t>101207</t>
        </is>
      </c>
      <c r="B569" s="36" t="n"/>
      <c r="C569" s="36" t="inlineStr">
        <is>
          <t>2025-04-07</t>
        </is>
      </c>
      <c r="D569" s="36" t="inlineStr">
        <is>
          <t>Else01</t>
        </is>
      </c>
      <c r="E569" s="36" t="n"/>
      <c r="F569" s="36" t="inlineStr">
        <is>
          <t>浙江精准学科技有限公司</t>
        </is>
      </c>
      <c r="G569" s="36" t="inlineStr">
        <is>
          <t>记-53</t>
        </is>
      </c>
      <c r="H569" s="36" t="n"/>
      <c r="I569" s="96" t="n"/>
      <c r="J569" s="89" t="n">
        <v>4</v>
      </c>
      <c r="K569" s="40" t="n"/>
      <c r="L569" s="96" t="n"/>
      <c r="M569" s="36" t="n"/>
    </row>
    <row r="570" s="83">
      <c r="A570" s="37" t="inlineStr">
        <is>
          <t>101207</t>
        </is>
      </c>
      <c r="B570" s="37" t="n"/>
      <c r="C570" s="37" t="inlineStr">
        <is>
          <t>2025-04-08</t>
        </is>
      </c>
      <c r="D570" s="37" t="inlineStr">
        <is>
          <t>Else01</t>
        </is>
      </c>
      <c r="E570" s="37" t="n"/>
      <c r="F570" s="37" t="inlineStr">
        <is>
          <t>浙江精准学科技有限公司</t>
        </is>
      </c>
      <c r="G570" s="37" t="inlineStr">
        <is>
          <t>记-63</t>
        </is>
      </c>
      <c r="H570" s="37" t="n"/>
      <c r="I570" s="89" t="n">
        <v>4</v>
      </c>
      <c r="J570" s="97" t="n"/>
      <c r="K570" s="42" t="n"/>
      <c r="L570" s="97" t="n"/>
      <c r="M570" s="37" t="n"/>
    </row>
    <row r="571" s="83">
      <c r="A571" s="36" t="inlineStr">
        <is>
          <t>101207</t>
        </is>
      </c>
      <c r="B571" s="36" t="n"/>
      <c r="C571" s="36" t="inlineStr">
        <is>
          <t>2025-04-08</t>
        </is>
      </c>
      <c r="D571" s="36" t="inlineStr">
        <is>
          <t>Else01</t>
        </is>
      </c>
      <c r="E571" s="36" t="n"/>
      <c r="F571" s="36" t="inlineStr">
        <is>
          <t>浙江精准学科技有限公司</t>
        </is>
      </c>
      <c r="G571" s="36" t="inlineStr">
        <is>
          <t>记-64</t>
        </is>
      </c>
      <c r="H571" s="36" t="n"/>
      <c r="I571" s="96" t="n"/>
      <c r="J571" s="89" t="n">
        <v>4</v>
      </c>
      <c r="K571" s="40" t="n"/>
      <c r="L571" s="96" t="n"/>
      <c r="M571" s="36" t="n"/>
    </row>
    <row r="572" s="83">
      <c r="A572" s="37" t="inlineStr">
        <is>
          <t>101207</t>
        </is>
      </c>
      <c r="B572" s="37" t="n"/>
      <c r="C572" s="37" t="inlineStr">
        <is>
          <t>2025-04-09</t>
        </is>
      </c>
      <c r="D572" s="37" t="inlineStr">
        <is>
          <t>Else01</t>
        </is>
      </c>
      <c r="E572" s="37" t="n"/>
      <c r="F572" s="37" t="inlineStr">
        <is>
          <t>浙江精准学科技有限公司</t>
        </is>
      </c>
      <c r="G572" s="37" t="inlineStr">
        <is>
          <t>记-73</t>
        </is>
      </c>
      <c r="H572" s="37" t="n"/>
      <c r="I572" s="89" t="n">
        <v>4</v>
      </c>
      <c r="J572" s="97" t="n"/>
      <c r="K572" s="42" t="n"/>
      <c r="L572" s="97" t="n"/>
      <c r="M572" s="37" t="n"/>
    </row>
    <row r="573" s="83">
      <c r="A573" s="36" t="inlineStr">
        <is>
          <t>101207</t>
        </is>
      </c>
      <c r="B573" s="36" t="n"/>
      <c r="C573" s="36" t="inlineStr">
        <is>
          <t>2025-04-09</t>
        </is>
      </c>
      <c r="D573" s="36" t="inlineStr">
        <is>
          <t>Else01</t>
        </is>
      </c>
      <c r="E573" s="36" t="n"/>
      <c r="F573" s="36" t="inlineStr">
        <is>
          <t>浙江精准学科技有限公司</t>
        </is>
      </c>
      <c r="G573" s="36" t="inlineStr">
        <is>
          <t>记-74</t>
        </is>
      </c>
      <c r="H573" s="36" t="n"/>
      <c r="I573" s="96" t="n"/>
      <c r="J573" s="89" t="n">
        <v>4</v>
      </c>
      <c r="K573" s="40" t="n"/>
      <c r="L573" s="96" t="n"/>
      <c r="M573" s="36" t="n"/>
    </row>
    <row r="574" s="83">
      <c r="A574" s="37" t="inlineStr">
        <is>
          <t>101207</t>
        </is>
      </c>
      <c r="B574" s="37" t="n"/>
      <c r="C574" s="37" t="inlineStr">
        <is>
          <t>2025-04-10</t>
        </is>
      </c>
      <c r="D574" s="37" t="inlineStr">
        <is>
          <t>Else01</t>
        </is>
      </c>
      <c r="E574" s="37" t="n"/>
      <c r="F574" s="37" t="inlineStr">
        <is>
          <t>浙江精准学科技有限公司</t>
        </is>
      </c>
      <c r="G574" s="37" t="inlineStr">
        <is>
          <t>记-88</t>
        </is>
      </c>
      <c r="H574" s="37" t="n"/>
      <c r="I574" s="89" t="n">
        <v>4</v>
      </c>
      <c r="J574" s="97" t="n"/>
      <c r="K574" s="42" t="n"/>
      <c r="L574" s="97" t="n"/>
      <c r="M574" s="37" t="n"/>
    </row>
    <row r="575" s="83">
      <c r="A575" s="36" t="inlineStr">
        <is>
          <t>101207</t>
        </is>
      </c>
      <c r="B575" s="36" t="n"/>
      <c r="C575" s="36" t="inlineStr">
        <is>
          <t>2025-04-11</t>
        </is>
      </c>
      <c r="D575" s="36" t="inlineStr">
        <is>
          <t>Else01</t>
        </is>
      </c>
      <c r="E575" s="36" t="n"/>
      <c r="F575" s="36" t="inlineStr">
        <is>
          <t>浙江精准学科技有限公司</t>
        </is>
      </c>
      <c r="G575" s="36" t="inlineStr">
        <is>
          <t>记-105</t>
        </is>
      </c>
      <c r="H575" s="36" t="n"/>
      <c r="I575" s="89" t="n">
        <v>4</v>
      </c>
      <c r="J575" s="96" t="n"/>
      <c r="K575" s="40" t="n"/>
      <c r="L575" s="96" t="n"/>
      <c r="M575" s="36" t="n"/>
    </row>
    <row r="576" s="83">
      <c r="A576" s="37" t="inlineStr">
        <is>
          <t>101207</t>
        </is>
      </c>
      <c r="B576" s="37" t="n"/>
      <c r="C576" s="37" t="inlineStr">
        <is>
          <t>2025-04-11</t>
        </is>
      </c>
      <c r="D576" s="37" t="inlineStr">
        <is>
          <t>Else01</t>
        </is>
      </c>
      <c r="E576" s="37" t="n"/>
      <c r="F576" s="37" t="inlineStr">
        <is>
          <t>浙江精准学科技有限公司</t>
        </is>
      </c>
      <c r="G576" s="37" t="inlineStr">
        <is>
          <t>记-106</t>
        </is>
      </c>
      <c r="H576" s="37" t="n"/>
      <c r="I576" s="97" t="n"/>
      <c r="J576" s="89" t="n">
        <v>4</v>
      </c>
      <c r="K576" s="42" t="n"/>
      <c r="L576" s="97" t="n"/>
      <c r="M576" s="37" t="n"/>
    </row>
    <row r="577" s="83">
      <c r="A577" s="36" t="inlineStr">
        <is>
          <t>101207</t>
        </is>
      </c>
      <c r="B577" s="36" t="n"/>
      <c r="C577" s="36" t="inlineStr">
        <is>
          <t>2025-04-12</t>
        </is>
      </c>
      <c r="D577" s="36" t="inlineStr">
        <is>
          <t>Else01</t>
        </is>
      </c>
      <c r="E577" s="36" t="n"/>
      <c r="F577" s="36" t="inlineStr">
        <is>
          <t>浙江精准学科技有限公司</t>
        </is>
      </c>
      <c r="G577" s="36" t="inlineStr">
        <is>
          <t>记-108</t>
        </is>
      </c>
      <c r="H577" s="36" t="n"/>
      <c r="I577" s="89" t="n">
        <v>4</v>
      </c>
      <c r="J577" s="96" t="n"/>
      <c r="K577" s="40" t="n"/>
      <c r="L577" s="96" t="n"/>
      <c r="M577" s="36" t="n"/>
    </row>
    <row r="578" s="83">
      <c r="A578" s="37" t="inlineStr">
        <is>
          <t>101207</t>
        </is>
      </c>
      <c r="B578" s="37" t="n"/>
      <c r="C578" s="37" t="inlineStr">
        <is>
          <t>2025-04-12</t>
        </is>
      </c>
      <c r="D578" s="37" t="inlineStr">
        <is>
          <t>Else01</t>
        </is>
      </c>
      <c r="E578" s="37" t="n"/>
      <c r="F578" s="37" t="inlineStr">
        <is>
          <t>浙江精准学科技有限公司</t>
        </is>
      </c>
      <c r="G578" s="37" t="inlineStr">
        <is>
          <t>记-109</t>
        </is>
      </c>
      <c r="H578" s="37" t="n"/>
      <c r="I578" s="97" t="n"/>
      <c r="J578" s="89" t="n">
        <v>4</v>
      </c>
      <c r="K578" s="42" t="n"/>
      <c r="L578" s="97" t="n"/>
      <c r="M578" s="37" t="n"/>
    </row>
    <row r="579" s="83">
      <c r="A579" s="36" t="inlineStr">
        <is>
          <t>101207</t>
        </is>
      </c>
      <c r="B579" s="36" t="n"/>
      <c r="C579" s="36" t="inlineStr">
        <is>
          <t>2025-04-13</t>
        </is>
      </c>
      <c r="D579" s="36" t="inlineStr">
        <is>
          <t>Else01</t>
        </is>
      </c>
      <c r="E579" s="36" t="n"/>
      <c r="F579" s="36" t="inlineStr">
        <is>
          <t>浙江精准学科技有限公司</t>
        </is>
      </c>
      <c r="G579" s="36" t="inlineStr">
        <is>
          <t>记-111</t>
        </is>
      </c>
      <c r="H579" s="36" t="n"/>
      <c r="I579" s="89" t="n">
        <v>4</v>
      </c>
      <c r="J579" s="96" t="n"/>
      <c r="K579" s="40" t="n"/>
      <c r="L579" s="96" t="n"/>
      <c r="M579" s="36" t="n"/>
    </row>
    <row r="580" s="83">
      <c r="A580" s="37" t="inlineStr">
        <is>
          <t>101207</t>
        </is>
      </c>
      <c r="B580" s="37" t="n"/>
      <c r="C580" s="37" t="inlineStr">
        <is>
          <t>2025-04-13</t>
        </is>
      </c>
      <c r="D580" s="37" t="inlineStr">
        <is>
          <t>Else01</t>
        </is>
      </c>
      <c r="E580" s="37" t="n"/>
      <c r="F580" s="37" t="inlineStr">
        <is>
          <t>浙江精准学科技有限公司</t>
        </is>
      </c>
      <c r="G580" s="37" t="inlineStr">
        <is>
          <t>记-112</t>
        </is>
      </c>
      <c r="H580" s="37" t="n"/>
      <c r="I580" s="97" t="n"/>
      <c r="J580" s="89" t="n">
        <v>4</v>
      </c>
      <c r="K580" s="42" t="n"/>
      <c r="L580" s="97" t="n"/>
      <c r="M580" s="37" t="n"/>
    </row>
    <row r="581" s="83">
      <c r="A581" s="36" t="inlineStr">
        <is>
          <t>101207</t>
        </is>
      </c>
      <c r="B581" s="36" t="n"/>
      <c r="C581" s="36" t="inlineStr">
        <is>
          <t>2025-04-14</t>
        </is>
      </c>
      <c r="D581" s="36" t="inlineStr">
        <is>
          <t>Else01</t>
        </is>
      </c>
      <c r="E581" s="36" t="n"/>
      <c r="F581" s="36" t="inlineStr">
        <is>
          <t>浙江精准学科技有限公司</t>
        </is>
      </c>
      <c r="G581" s="36" t="inlineStr">
        <is>
          <t>记-120</t>
        </is>
      </c>
      <c r="H581" s="36" t="n"/>
      <c r="I581" s="89" t="n">
        <v>4</v>
      </c>
      <c r="J581" s="96" t="n"/>
      <c r="K581" s="40" t="n"/>
      <c r="L581" s="96" t="n"/>
      <c r="M581" s="36" t="n"/>
    </row>
    <row r="582" s="83">
      <c r="A582" s="37" t="inlineStr">
        <is>
          <t>101207</t>
        </is>
      </c>
      <c r="B582" s="37" t="n"/>
      <c r="C582" s="37" t="inlineStr">
        <is>
          <t>2025-04-14</t>
        </is>
      </c>
      <c r="D582" s="37" t="inlineStr">
        <is>
          <t>Else01</t>
        </is>
      </c>
      <c r="E582" s="37" t="n"/>
      <c r="F582" s="37" t="inlineStr">
        <is>
          <t>浙江精准学科技有限公司</t>
        </is>
      </c>
      <c r="G582" s="37" t="inlineStr">
        <is>
          <t>记-121</t>
        </is>
      </c>
      <c r="H582" s="37" t="n"/>
      <c r="I582" s="97" t="n"/>
      <c r="J582" s="89" t="n">
        <v>4</v>
      </c>
      <c r="K582" s="42" t="n"/>
      <c r="L582" s="97" t="n"/>
      <c r="M582" s="37" t="n"/>
    </row>
    <row r="583" s="83">
      <c r="A583" s="36" t="inlineStr">
        <is>
          <t>101207</t>
        </is>
      </c>
      <c r="B583" s="36" t="n"/>
      <c r="C583" s="36" t="inlineStr">
        <is>
          <t>2025-04-15</t>
        </is>
      </c>
      <c r="D583" s="36" t="inlineStr">
        <is>
          <t>Else01</t>
        </is>
      </c>
      <c r="E583" s="36" t="n"/>
      <c r="F583" s="36" t="inlineStr">
        <is>
          <t>浙江精准学科技有限公司</t>
        </is>
      </c>
      <c r="G583" s="36" t="inlineStr">
        <is>
          <t>记-131</t>
        </is>
      </c>
      <c r="H583" s="36" t="n"/>
      <c r="I583" s="89" t="n">
        <v>4</v>
      </c>
      <c r="J583" s="96" t="n"/>
      <c r="K583" s="40" t="n"/>
      <c r="L583" s="96" t="n"/>
      <c r="M583" s="36" t="n"/>
    </row>
    <row r="584" s="83">
      <c r="A584" s="37" t="inlineStr">
        <is>
          <t>101207</t>
        </is>
      </c>
      <c r="B584" s="37" t="n"/>
      <c r="C584" s="37" t="inlineStr">
        <is>
          <t>2025-04-15</t>
        </is>
      </c>
      <c r="D584" s="37" t="inlineStr">
        <is>
          <t>Else01</t>
        </is>
      </c>
      <c r="E584" s="37" t="n"/>
      <c r="F584" s="37" t="inlineStr">
        <is>
          <t>浙江精准学科技有限公司</t>
        </is>
      </c>
      <c r="G584" s="37" t="inlineStr">
        <is>
          <t>记-132</t>
        </is>
      </c>
      <c r="H584" s="37" t="n"/>
      <c r="I584" s="97" t="n"/>
      <c r="J584" s="89" t="n">
        <v>4</v>
      </c>
      <c r="K584" s="42" t="n"/>
      <c r="L584" s="97" t="n"/>
      <c r="M584" s="37" t="n"/>
    </row>
    <row r="585" s="83">
      <c r="A585" s="36" t="inlineStr">
        <is>
          <t>101207</t>
        </is>
      </c>
      <c r="B585" s="36" t="n"/>
      <c r="C585" s="36" t="inlineStr">
        <is>
          <t>2025-04-16</t>
        </is>
      </c>
      <c r="D585" s="36" t="inlineStr">
        <is>
          <t>Else01</t>
        </is>
      </c>
      <c r="E585" s="36" t="n"/>
      <c r="F585" s="36" t="inlineStr">
        <is>
          <t>浙江精准学科技有限公司</t>
        </is>
      </c>
      <c r="G585" s="36" t="inlineStr">
        <is>
          <t>记-140</t>
        </is>
      </c>
      <c r="H585" s="36" t="n"/>
      <c r="I585" s="89" t="n">
        <v>4</v>
      </c>
      <c r="J585" s="96" t="n"/>
      <c r="K585" s="40" t="n"/>
      <c r="L585" s="96" t="n"/>
      <c r="M585" s="36" t="n"/>
    </row>
    <row r="586" s="83">
      <c r="A586" s="37" t="inlineStr">
        <is>
          <t>101207</t>
        </is>
      </c>
      <c r="B586" s="37" t="n"/>
      <c r="C586" s="37" t="inlineStr">
        <is>
          <t>2025-04-16</t>
        </is>
      </c>
      <c r="D586" s="37" t="inlineStr">
        <is>
          <t>Else01</t>
        </is>
      </c>
      <c r="E586" s="37" t="n"/>
      <c r="F586" s="37" t="inlineStr">
        <is>
          <t>浙江精准学科技有限公司</t>
        </is>
      </c>
      <c r="G586" s="37" t="inlineStr">
        <is>
          <t>记-141</t>
        </is>
      </c>
      <c r="H586" s="37" t="n"/>
      <c r="I586" s="97" t="n"/>
      <c r="J586" s="89" t="n">
        <v>4</v>
      </c>
      <c r="K586" s="42" t="n"/>
      <c r="L586" s="97" t="n"/>
      <c r="M586" s="37" t="n"/>
    </row>
    <row r="587" s="83">
      <c r="A587" s="36" t="inlineStr">
        <is>
          <t>101207</t>
        </is>
      </c>
      <c r="B587" s="36" t="n"/>
      <c r="C587" s="36" t="inlineStr">
        <is>
          <t>2025-04-17</t>
        </is>
      </c>
      <c r="D587" s="36" t="inlineStr">
        <is>
          <t>Else01</t>
        </is>
      </c>
      <c r="E587" s="36" t="n"/>
      <c r="F587" s="36" t="inlineStr">
        <is>
          <t>浙江精准学科技有限公司</t>
        </is>
      </c>
      <c r="G587" s="36" t="inlineStr">
        <is>
          <t>记-142</t>
        </is>
      </c>
      <c r="H587" s="36" t="n"/>
      <c r="I587" s="89" t="n">
        <v>4</v>
      </c>
      <c r="J587" s="96" t="n"/>
      <c r="K587" s="40" t="n"/>
      <c r="L587" s="96" t="n"/>
      <c r="M587" s="36" t="n"/>
    </row>
    <row r="588" s="83">
      <c r="A588" s="37" t="inlineStr">
        <is>
          <t>101207</t>
        </is>
      </c>
      <c r="B588" s="37" t="n"/>
      <c r="C588" s="37" t="inlineStr">
        <is>
          <t>2025-04-17</t>
        </is>
      </c>
      <c r="D588" s="37" t="inlineStr">
        <is>
          <t>Else01</t>
        </is>
      </c>
      <c r="E588" s="37" t="n"/>
      <c r="F588" s="37" t="inlineStr">
        <is>
          <t>浙江精准学科技有限公司</t>
        </is>
      </c>
      <c r="G588" s="37" t="inlineStr">
        <is>
          <t>记-143</t>
        </is>
      </c>
      <c r="H588" s="37" t="n"/>
      <c r="I588" s="97" t="n"/>
      <c r="J588" s="89" t="n">
        <v>4</v>
      </c>
      <c r="K588" s="42" t="n"/>
      <c r="L588" s="97" t="n"/>
      <c r="M588" s="37" t="n"/>
    </row>
    <row r="589" s="83">
      <c r="A589" s="36" t="inlineStr">
        <is>
          <t>101207</t>
        </is>
      </c>
      <c r="B589" s="36" t="n"/>
      <c r="C589" s="36" t="inlineStr">
        <is>
          <t>2025-04-18</t>
        </is>
      </c>
      <c r="D589" s="36" t="inlineStr">
        <is>
          <t>Else01</t>
        </is>
      </c>
      <c r="E589" s="36" t="n"/>
      <c r="F589" s="36" t="inlineStr">
        <is>
          <t>浙江精准学科技有限公司</t>
        </is>
      </c>
      <c r="G589" s="36" t="inlineStr">
        <is>
          <t>记-166</t>
        </is>
      </c>
      <c r="H589" s="36" t="n"/>
      <c r="I589" s="89" t="n">
        <v>4</v>
      </c>
      <c r="J589" s="96" t="n"/>
      <c r="K589" s="40" t="n"/>
      <c r="L589" s="96" t="n"/>
      <c r="M589" s="36" t="n"/>
    </row>
    <row r="590" s="83">
      <c r="A590" s="37" t="inlineStr">
        <is>
          <t>101207</t>
        </is>
      </c>
      <c r="B590" s="37" t="n"/>
      <c r="C590" s="37" t="inlineStr">
        <is>
          <t>2025-04-18</t>
        </is>
      </c>
      <c r="D590" s="37" t="inlineStr">
        <is>
          <t>Else01</t>
        </is>
      </c>
      <c r="E590" s="37" t="n"/>
      <c r="F590" s="37" t="inlineStr">
        <is>
          <t>浙江精准学科技有限公司</t>
        </is>
      </c>
      <c r="G590" s="37" t="inlineStr">
        <is>
          <t>记-167</t>
        </is>
      </c>
      <c r="H590" s="37" t="n"/>
      <c r="I590" s="97" t="n"/>
      <c r="J590" s="89" t="n">
        <v>4</v>
      </c>
      <c r="K590" s="42" t="n"/>
      <c r="L590" s="97" t="n"/>
      <c r="M590" s="37" t="n"/>
    </row>
    <row r="591" s="83">
      <c r="A591" s="36" t="inlineStr">
        <is>
          <t>101207</t>
        </is>
      </c>
      <c r="B591" s="36" t="n"/>
      <c r="C591" s="36" t="inlineStr">
        <is>
          <t>2025-04-19</t>
        </is>
      </c>
      <c r="D591" s="36" t="inlineStr">
        <is>
          <t>Else01</t>
        </is>
      </c>
      <c r="E591" s="36" t="n"/>
      <c r="F591" s="36" t="inlineStr">
        <is>
          <t>浙江精准学科技有限公司</t>
        </is>
      </c>
      <c r="G591" s="36" t="inlineStr">
        <is>
          <t>记-169</t>
        </is>
      </c>
      <c r="H591" s="36" t="n"/>
      <c r="I591" s="89" t="n">
        <v>4</v>
      </c>
      <c r="J591" s="96" t="n"/>
      <c r="K591" s="40" t="n"/>
      <c r="L591" s="96" t="n"/>
      <c r="M591" s="36" t="n"/>
    </row>
    <row r="592" s="83">
      <c r="A592" s="37" t="inlineStr">
        <is>
          <t>101207</t>
        </is>
      </c>
      <c r="B592" s="37" t="n"/>
      <c r="C592" s="37" t="inlineStr">
        <is>
          <t>2025-04-19</t>
        </is>
      </c>
      <c r="D592" s="37" t="inlineStr">
        <is>
          <t>Else01</t>
        </is>
      </c>
      <c r="E592" s="37" t="n"/>
      <c r="F592" s="37" t="inlineStr">
        <is>
          <t>浙江精准学科技有限公司</t>
        </is>
      </c>
      <c r="G592" s="37" t="inlineStr">
        <is>
          <t>记-170</t>
        </is>
      </c>
      <c r="H592" s="37" t="n"/>
      <c r="I592" s="97" t="n"/>
      <c r="J592" s="89" t="n">
        <v>4</v>
      </c>
      <c r="K592" s="42" t="n"/>
      <c r="L592" s="97" t="n"/>
      <c r="M592" s="37" t="n"/>
    </row>
    <row r="593" s="83">
      <c r="A593" s="36" t="inlineStr">
        <is>
          <t>101207</t>
        </is>
      </c>
      <c r="B593" s="36" t="n"/>
      <c r="C593" s="36" t="inlineStr">
        <is>
          <t>2025-04-20</t>
        </is>
      </c>
      <c r="D593" s="36" t="inlineStr">
        <is>
          <t>Else01</t>
        </is>
      </c>
      <c r="E593" s="36" t="n"/>
      <c r="F593" s="36" t="inlineStr">
        <is>
          <t>浙江精准学科技有限公司</t>
        </is>
      </c>
      <c r="G593" s="36" t="inlineStr">
        <is>
          <t>记-172</t>
        </is>
      </c>
      <c r="H593" s="36" t="n"/>
      <c r="I593" s="96" t="n"/>
      <c r="J593" s="89" t="n">
        <v>4</v>
      </c>
      <c r="K593" s="40" t="n"/>
      <c r="L593" s="96" t="n"/>
      <c r="M593" s="36" t="n"/>
    </row>
    <row r="594" s="83">
      <c r="A594" s="37" t="inlineStr">
        <is>
          <t>101207</t>
        </is>
      </c>
      <c r="B594" s="37" t="n"/>
      <c r="C594" s="37" t="inlineStr">
        <is>
          <t>2025-04-20</t>
        </is>
      </c>
      <c r="D594" s="37" t="inlineStr">
        <is>
          <t>Else01</t>
        </is>
      </c>
      <c r="E594" s="37" t="n"/>
      <c r="F594" s="37" t="inlineStr">
        <is>
          <t>浙江精准学科技有限公司</t>
        </is>
      </c>
      <c r="G594" s="37" t="inlineStr">
        <is>
          <t>记-173</t>
        </is>
      </c>
      <c r="H594" s="37" t="n"/>
      <c r="I594" s="89" t="n">
        <v>4</v>
      </c>
      <c r="J594" s="97" t="n"/>
      <c r="K594" s="42" t="n"/>
      <c r="L594" s="97" t="n"/>
      <c r="M594" s="37" t="n"/>
    </row>
    <row r="595" s="83">
      <c r="A595" s="36" t="inlineStr">
        <is>
          <t>101207</t>
        </is>
      </c>
      <c r="B595" s="36" t="n"/>
      <c r="C595" s="36" t="inlineStr">
        <is>
          <t>2025-04-21</t>
        </is>
      </c>
      <c r="D595" s="36" t="inlineStr">
        <is>
          <t>Else01</t>
        </is>
      </c>
      <c r="E595" s="36" t="n"/>
      <c r="F595" s="36" t="inlineStr">
        <is>
          <t>浙江精准学科技有限公司</t>
        </is>
      </c>
      <c r="G595" s="36" t="inlineStr">
        <is>
          <t>记-178</t>
        </is>
      </c>
      <c r="H595" s="36" t="n"/>
      <c r="I595" s="89" t="n">
        <v>4</v>
      </c>
      <c r="J595" s="96" t="n"/>
      <c r="K595" s="40" t="n"/>
      <c r="L595" s="96" t="n"/>
      <c r="M595" s="36" t="n"/>
    </row>
    <row r="596" s="83">
      <c r="A596" s="37" t="inlineStr">
        <is>
          <t>101207</t>
        </is>
      </c>
      <c r="B596" s="37" t="n"/>
      <c r="C596" s="37" t="inlineStr">
        <is>
          <t>2025-04-21</t>
        </is>
      </c>
      <c r="D596" s="37" t="inlineStr">
        <is>
          <t>Else01</t>
        </is>
      </c>
      <c r="E596" s="37" t="n"/>
      <c r="F596" s="37" t="inlineStr">
        <is>
          <t>浙江精准学科技有限公司</t>
        </is>
      </c>
      <c r="G596" s="37" t="inlineStr">
        <is>
          <t>记-179</t>
        </is>
      </c>
      <c r="H596" s="37" t="n"/>
      <c r="I596" s="97" t="n"/>
      <c r="J596" s="89" t="n">
        <v>4</v>
      </c>
      <c r="K596" s="42" t="n"/>
      <c r="L596" s="97" t="n"/>
      <c r="M596" s="37" t="n"/>
    </row>
    <row r="597" s="83">
      <c r="A597" s="36" t="inlineStr">
        <is>
          <t>101207</t>
        </is>
      </c>
      <c r="B597" s="36" t="n"/>
      <c r="C597" s="36" t="inlineStr">
        <is>
          <t>2025-04-22</t>
        </is>
      </c>
      <c r="D597" s="36" t="inlineStr">
        <is>
          <t>Else01</t>
        </is>
      </c>
      <c r="E597" s="36" t="n"/>
      <c r="F597" s="36" t="inlineStr">
        <is>
          <t>浙江精准学科技有限公司</t>
        </is>
      </c>
      <c r="G597" s="36" t="inlineStr">
        <is>
          <t>记-186</t>
        </is>
      </c>
      <c r="H597" s="36" t="n"/>
      <c r="I597" s="89" t="n">
        <v>4</v>
      </c>
      <c r="J597" s="96" t="n"/>
      <c r="K597" s="40" t="n"/>
      <c r="L597" s="96" t="n"/>
      <c r="M597" s="36" t="n"/>
    </row>
    <row r="598" s="83">
      <c r="A598" s="37" t="inlineStr">
        <is>
          <t>101207</t>
        </is>
      </c>
      <c r="B598" s="37" t="n"/>
      <c r="C598" s="37" t="inlineStr">
        <is>
          <t>2025-04-22</t>
        </is>
      </c>
      <c r="D598" s="37" t="inlineStr">
        <is>
          <t>Else01</t>
        </is>
      </c>
      <c r="E598" s="37" t="n"/>
      <c r="F598" s="37" t="inlineStr">
        <is>
          <t>浙江精准学科技有限公司</t>
        </is>
      </c>
      <c r="G598" s="37" t="inlineStr">
        <is>
          <t>记-187</t>
        </is>
      </c>
      <c r="H598" s="37" t="n"/>
      <c r="I598" s="97" t="n"/>
      <c r="J598" s="89" t="n">
        <v>4</v>
      </c>
      <c r="K598" s="42" t="n"/>
      <c r="L598" s="97" t="n"/>
      <c r="M598" s="37" t="n"/>
    </row>
    <row r="599" s="83">
      <c r="A599" s="36" t="inlineStr">
        <is>
          <t>101207</t>
        </is>
      </c>
      <c r="B599" s="36" t="n"/>
      <c r="C599" s="36" t="inlineStr">
        <is>
          <t>2025-04-23</t>
        </is>
      </c>
      <c r="D599" s="36" t="inlineStr">
        <is>
          <t>Else01</t>
        </is>
      </c>
      <c r="E599" s="36" t="n"/>
      <c r="F599" s="36" t="inlineStr">
        <is>
          <t>浙江精准学科技有限公司</t>
        </is>
      </c>
      <c r="G599" s="36" t="inlineStr">
        <is>
          <t>记-193</t>
        </is>
      </c>
      <c r="H599" s="36" t="n"/>
      <c r="I599" s="89" t="n">
        <v>4</v>
      </c>
      <c r="J599" s="96" t="n"/>
      <c r="K599" s="40" t="n"/>
      <c r="L599" s="96" t="n"/>
      <c r="M599" s="36" t="n"/>
    </row>
    <row r="600" s="83">
      <c r="A600" s="37" t="inlineStr">
        <is>
          <t>101207</t>
        </is>
      </c>
      <c r="B600" s="37" t="n"/>
      <c r="C600" s="37" t="inlineStr">
        <is>
          <t>2025-04-23</t>
        </is>
      </c>
      <c r="D600" s="37" t="inlineStr">
        <is>
          <t>Else01</t>
        </is>
      </c>
      <c r="E600" s="37" t="n"/>
      <c r="F600" s="37" t="inlineStr">
        <is>
          <t>浙江精准学科技有限公司</t>
        </is>
      </c>
      <c r="G600" s="37" t="inlineStr">
        <is>
          <t>记-194</t>
        </is>
      </c>
      <c r="H600" s="37" t="n"/>
      <c r="I600" s="97" t="n"/>
      <c r="J600" s="89" t="n">
        <v>4</v>
      </c>
      <c r="K600" s="42" t="n"/>
      <c r="L600" s="97" t="n"/>
      <c r="M600" s="37" t="n"/>
    </row>
    <row r="601" s="83">
      <c r="A601" s="36" t="inlineStr">
        <is>
          <t>101207</t>
        </is>
      </c>
      <c r="B601" s="36" t="n"/>
      <c r="C601" s="36" t="inlineStr">
        <is>
          <t>2025-04-24</t>
        </is>
      </c>
      <c r="D601" s="36" t="inlineStr">
        <is>
          <t>Else01</t>
        </is>
      </c>
      <c r="E601" s="36" t="n"/>
      <c r="F601" s="36" t="inlineStr">
        <is>
          <t>浙江精准学科技有限公司</t>
        </is>
      </c>
      <c r="G601" s="36" t="inlineStr">
        <is>
          <t>记-199</t>
        </is>
      </c>
      <c r="H601" s="36" t="n"/>
      <c r="I601" s="89" t="n">
        <v>4</v>
      </c>
      <c r="J601" s="96" t="n"/>
      <c r="K601" s="40" t="n"/>
      <c r="L601" s="96" t="n"/>
      <c r="M601" s="36" t="n"/>
    </row>
    <row r="602" s="83">
      <c r="A602" s="37" t="inlineStr">
        <is>
          <t>101207</t>
        </is>
      </c>
      <c r="B602" s="37" t="n"/>
      <c r="C602" s="37" t="inlineStr">
        <is>
          <t>2025-04-24</t>
        </is>
      </c>
      <c r="D602" s="37" t="inlineStr">
        <is>
          <t>Else01</t>
        </is>
      </c>
      <c r="E602" s="37" t="n"/>
      <c r="F602" s="37" t="inlineStr">
        <is>
          <t>浙江精准学科技有限公司</t>
        </is>
      </c>
      <c r="G602" s="37" t="inlineStr">
        <is>
          <t>记-200</t>
        </is>
      </c>
      <c r="H602" s="37" t="n"/>
      <c r="I602" s="97" t="n"/>
      <c r="J602" s="89" t="n">
        <v>4</v>
      </c>
      <c r="K602" s="42" t="n"/>
      <c r="L602" s="97" t="n"/>
      <c r="M602" s="37" t="n"/>
    </row>
    <row r="603" s="83">
      <c r="A603" s="36" t="inlineStr">
        <is>
          <t>101207</t>
        </is>
      </c>
      <c r="B603" s="36" t="n"/>
      <c r="C603" s="36" t="inlineStr">
        <is>
          <t>2025-04-25</t>
        </is>
      </c>
      <c r="D603" s="36" t="inlineStr">
        <is>
          <t>Else01</t>
        </is>
      </c>
      <c r="E603" s="36" t="n"/>
      <c r="F603" s="36" t="inlineStr">
        <is>
          <t>浙江精准学科技有限公司</t>
        </is>
      </c>
      <c r="G603" s="36" t="inlineStr">
        <is>
          <t>记-211</t>
        </is>
      </c>
      <c r="H603" s="36" t="n"/>
      <c r="I603" s="89" t="n">
        <v>4</v>
      </c>
      <c r="J603" s="96" t="n"/>
      <c r="K603" s="40" t="n"/>
      <c r="L603" s="96" t="n"/>
      <c r="M603" s="36" t="n"/>
    </row>
    <row r="604" s="83">
      <c r="A604" s="37" t="inlineStr">
        <is>
          <t>101207</t>
        </is>
      </c>
      <c r="B604" s="37" t="n"/>
      <c r="C604" s="37" t="inlineStr">
        <is>
          <t>2025-04-25</t>
        </is>
      </c>
      <c r="D604" s="37" t="inlineStr">
        <is>
          <t>Else01</t>
        </is>
      </c>
      <c r="E604" s="37" t="n"/>
      <c r="F604" s="37" t="inlineStr">
        <is>
          <t>浙江精准学科技有限公司</t>
        </is>
      </c>
      <c r="G604" s="37" t="inlineStr">
        <is>
          <t>记-212</t>
        </is>
      </c>
      <c r="H604" s="37" t="n"/>
      <c r="I604" s="97" t="n"/>
      <c r="J604" s="89" t="n">
        <v>4</v>
      </c>
      <c r="K604" s="42" t="n"/>
      <c r="L604" s="97" t="n"/>
      <c r="M604" s="37" t="n"/>
    </row>
    <row r="605" s="83">
      <c r="A605" s="36" t="inlineStr">
        <is>
          <t>101207</t>
        </is>
      </c>
      <c r="B605" s="36" t="n"/>
      <c r="C605" s="36" t="inlineStr">
        <is>
          <t>2025-04-26</t>
        </is>
      </c>
      <c r="D605" s="36" t="inlineStr">
        <is>
          <t>Else01</t>
        </is>
      </c>
      <c r="E605" s="36" t="n"/>
      <c r="F605" s="36" t="inlineStr">
        <is>
          <t>浙江精准学科技有限公司</t>
        </is>
      </c>
      <c r="G605" s="36" t="inlineStr">
        <is>
          <t>记-214</t>
        </is>
      </c>
      <c r="H605" s="36" t="n"/>
      <c r="I605" s="89" t="n">
        <v>4</v>
      </c>
      <c r="J605" s="96" t="n"/>
      <c r="K605" s="40" t="n"/>
      <c r="L605" s="96" t="n"/>
      <c r="M605" s="36" t="n"/>
    </row>
    <row r="606" s="83">
      <c r="A606" s="37" t="inlineStr">
        <is>
          <t>101207</t>
        </is>
      </c>
      <c r="B606" s="37" t="n"/>
      <c r="C606" s="37" t="inlineStr">
        <is>
          <t>2025-04-26</t>
        </is>
      </c>
      <c r="D606" s="37" t="inlineStr">
        <is>
          <t>Else01</t>
        </is>
      </c>
      <c r="E606" s="37" t="n"/>
      <c r="F606" s="37" t="inlineStr">
        <is>
          <t>浙江精准学科技有限公司</t>
        </is>
      </c>
      <c r="G606" s="37" t="inlineStr">
        <is>
          <t>记-215</t>
        </is>
      </c>
      <c r="H606" s="37" t="n"/>
      <c r="I606" s="97" t="n"/>
      <c r="J606" s="89" t="n">
        <v>4</v>
      </c>
      <c r="K606" s="42" t="n"/>
      <c r="L606" s="97" t="n"/>
      <c r="M606" s="37" t="n"/>
    </row>
    <row r="607" s="83">
      <c r="A607" s="36" t="inlineStr">
        <is>
          <t>101207</t>
        </is>
      </c>
      <c r="B607" s="36" t="n"/>
      <c r="C607" s="36" t="inlineStr">
        <is>
          <t>2025-04-27</t>
        </is>
      </c>
      <c r="D607" s="36" t="inlineStr">
        <is>
          <t>Else01</t>
        </is>
      </c>
      <c r="E607" s="36" t="n"/>
      <c r="F607" s="36" t="inlineStr">
        <is>
          <t>浙江精准学科技有限公司</t>
        </is>
      </c>
      <c r="G607" s="36" t="inlineStr">
        <is>
          <t>记-223</t>
        </is>
      </c>
      <c r="H607" s="36" t="n"/>
      <c r="I607" s="89" t="n">
        <v>4</v>
      </c>
      <c r="J607" s="96" t="n"/>
      <c r="K607" s="40" t="n"/>
      <c r="L607" s="96" t="n"/>
      <c r="M607" s="36" t="n"/>
    </row>
    <row r="608" s="83">
      <c r="A608" s="37" t="inlineStr">
        <is>
          <t>101207</t>
        </is>
      </c>
      <c r="B608" s="37" t="n"/>
      <c r="C608" s="37" t="inlineStr">
        <is>
          <t>2025-04-27</t>
        </is>
      </c>
      <c r="D608" s="37" t="inlineStr">
        <is>
          <t>Else01</t>
        </is>
      </c>
      <c r="E608" s="37" t="n"/>
      <c r="F608" s="37" t="inlineStr">
        <is>
          <t>浙江精准学科技有限公司</t>
        </is>
      </c>
      <c r="G608" s="37" t="inlineStr">
        <is>
          <t>记-224</t>
        </is>
      </c>
      <c r="H608" s="37" t="n"/>
      <c r="I608" s="97" t="n"/>
      <c r="J608" s="89" t="n">
        <v>4</v>
      </c>
      <c r="K608" s="42" t="n"/>
      <c r="L608" s="97" t="n"/>
      <c r="M608" s="37" t="n"/>
    </row>
    <row r="609" s="83">
      <c r="A609" s="36" t="inlineStr">
        <is>
          <t>101207</t>
        </is>
      </c>
      <c r="B609" s="36" t="n"/>
      <c r="C609" s="36" t="inlineStr">
        <is>
          <t>2025-04-28</t>
        </is>
      </c>
      <c r="D609" s="36" t="inlineStr">
        <is>
          <t>Else01</t>
        </is>
      </c>
      <c r="E609" s="36" t="n"/>
      <c r="F609" s="36" t="inlineStr">
        <is>
          <t>浙江精准学科技有限公司</t>
        </is>
      </c>
      <c r="G609" s="36" t="inlineStr">
        <is>
          <t>记-230</t>
        </is>
      </c>
      <c r="H609" s="36" t="n"/>
      <c r="I609" s="89" t="n">
        <v>4</v>
      </c>
      <c r="J609" s="96" t="n"/>
      <c r="K609" s="40" t="n"/>
      <c r="L609" s="96" t="n"/>
      <c r="M609" s="36" t="n"/>
    </row>
    <row r="610" s="83">
      <c r="A610" s="37" t="inlineStr">
        <is>
          <t>101207</t>
        </is>
      </c>
      <c r="B610" s="37" t="n"/>
      <c r="C610" s="37" t="inlineStr">
        <is>
          <t>2025-04-28</t>
        </is>
      </c>
      <c r="D610" s="37" t="inlineStr">
        <is>
          <t>Else01</t>
        </is>
      </c>
      <c r="E610" s="37" t="n"/>
      <c r="F610" s="37" t="inlineStr">
        <is>
          <t>浙江精准学科技有限公司</t>
        </is>
      </c>
      <c r="G610" s="37" t="inlineStr">
        <is>
          <t>记-231</t>
        </is>
      </c>
      <c r="H610" s="37" t="n"/>
      <c r="I610" s="97" t="n"/>
      <c r="J610" s="89" t="n">
        <v>4</v>
      </c>
      <c r="K610" s="42" t="n"/>
      <c r="L610" s="97" t="n"/>
      <c r="M610" s="37" t="n"/>
    </row>
    <row r="611" s="83">
      <c r="A611" s="36" t="inlineStr">
        <is>
          <t>101207</t>
        </is>
      </c>
      <c r="B611" s="36" t="n"/>
      <c r="C611" s="36" t="inlineStr">
        <is>
          <t>2025-04-29</t>
        </is>
      </c>
      <c r="D611" s="36" t="inlineStr">
        <is>
          <t>Else01</t>
        </is>
      </c>
      <c r="E611" s="36" t="n"/>
      <c r="F611" s="36" t="inlineStr">
        <is>
          <t>浙江精准学科技有限公司</t>
        </is>
      </c>
      <c r="G611" s="36" t="inlineStr">
        <is>
          <t>记-246</t>
        </is>
      </c>
      <c r="H611" s="36" t="n"/>
      <c r="I611" s="89" t="n">
        <v>4</v>
      </c>
      <c r="J611" s="96" t="n"/>
      <c r="K611" s="40" t="n"/>
      <c r="L611" s="96" t="n"/>
      <c r="M611" s="36" t="n"/>
    </row>
    <row r="612" s="83">
      <c r="A612" s="37" t="inlineStr">
        <is>
          <t>101207</t>
        </is>
      </c>
      <c r="B612" s="37" t="n"/>
      <c r="C612" s="37" t="inlineStr">
        <is>
          <t>2025-04-29</t>
        </is>
      </c>
      <c r="D612" s="37" t="inlineStr">
        <is>
          <t>Else01</t>
        </is>
      </c>
      <c r="E612" s="37" t="n"/>
      <c r="F612" s="37" t="inlineStr">
        <is>
          <t>浙江精准学科技有限公司</t>
        </is>
      </c>
      <c r="G612" s="37" t="inlineStr">
        <is>
          <t>记-247</t>
        </is>
      </c>
      <c r="H612" s="37" t="n"/>
      <c r="I612" s="97" t="n"/>
      <c r="J612" s="89" t="n">
        <v>4</v>
      </c>
      <c r="K612" s="42" t="n"/>
      <c r="L612" s="97" t="n"/>
      <c r="M612" s="37" t="n"/>
    </row>
    <row r="613" s="83">
      <c r="A613" s="36" t="inlineStr">
        <is>
          <t>101207</t>
        </is>
      </c>
      <c r="B613" s="36" t="n"/>
      <c r="C613" s="36" t="inlineStr">
        <is>
          <t>2025-04-30</t>
        </is>
      </c>
      <c r="D613" s="36" t="inlineStr">
        <is>
          <t>Else01</t>
        </is>
      </c>
      <c r="E613" s="36" t="n"/>
      <c r="F613" s="36" t="inlineStr">
        <is>
          <t>浙江精准学科技有限公司</t>
        </is>
      </c>
      <c r="G613" s="36" t="inlineStr">
        <is>
          <t>记-264</t>
        </is>
      </c>
      <c r="H613" s="36" t="n"/>
      <c r="I613" s="89" t="n">
        <v>4</v>
      </c>
      <c r="J613" s="96" t="n"/>
      <c r="K613" s="40" t="n"/>
      <c r="L613" s="96" t="n"/>
      <c r="M613" s="36" t="n"/>
    </row>
    <row r="614" s="83">
      <c r="A614" s="37" t="inlineStr">
        <is>
          <t>101207</t>
        </is>
      </c>
      <c r="B614" s="37" t="n"/>
      <c r="C614" s="37" t="inlineStr">
        <is>
          <t>2025-04-30</t>
        </is>
      </c>
      <c r="D614" s="37" t="inlineStr">
        <is>
          <t>Else01</t>
        </is>
      </c>
      <c r="E614" s="37" t="n"/>
      <c r="F614" s="37" t="inlineStr">
        <is>
          <t>浙江精准学科技有限公司</t>
        </is>
      </c>
      <c r="G614" s="37" t="inlineStr">
        <is>
          <t>记-265</t>
        </is>
      </c>
      <c r="H614" s="37" t="n"/>
      <c r="I614" s="97" t="n"/>
      <c r="J614" s="89" t="n">
        <v>4</v>
      </c>
      <c r="K614" s="42" t="n"/>
      <c r="L614" s="97" t="n"/>
      <c r="M614" s="37" t="n"/>
    </row>
    <row r="615" s="83">
      <c r="A615" s="36" t="inlineStr">
        <is>
          <t>101207</t>
        </is>
      </c>
      <c r="B615" s="36" t="n"/>
      <c r="C615" s="36" t="inlineStr">
        <is>
          <t>2025-04-30</t>
        </is>
      </c>
      <c r="D615" s="36" t="inlineStr">
        <is>
          <t>Else01</t>
        </is>
      </c>
      <c r="E615" s="36" t="n"/>
      <c r="F615" s="36" t="inlineStr">
        <is>
          <t>浙江精准学科技有限公司</t>
        </is>
      </c>
      <c r="G615" s="36" t="inlineStr">
        <is>
          <t>记-266</t>
        </is>
      </c>
      <c r="H615" s="36" t="n"/>
      <c r="I615" s="89" t="n">
        <v>4</v>
      </c>
      <c r="J615" s="96" t="n"/>
      <c r="K615" s="40" t="n"/>
      <c r="L615" s="96" t="n"/>
      <c r="M615" s="36" t="n"/>
    </row>
    <row r="616" s="83">
      <c r="A616" s="37" t="inlineStr">
        <is>
          <t>101207</t>
        </is>
      </c>
      <c r="B616" s="37" t="n"/>
      <c r="C616" s="37" t="inlineStr">
        <is>
          <t>2025-04-30</t>
        </is>
      </c>
      <c r="D616" s="37" t="inlineStr">
        <is>
          <t>Else01</t>
        </is>
      </c>
      <c r="E616" s="37" t="n"/>
      <c r="F616" s="37" t="inlineStr">
        <is>
          <t>浙江精准学科技有限公司</t>
        </is>
      </c>
      <c r="G616" s="37" t="inlineStr">
        <is>
          <t>记-267</t>
        </is>
      </c>
      <c r="H616" s="37" t="n"/>
      <c r="I616" s="97" t="n"/>
      <c r="J616" s="89" t="n">
        <v>4</v>
      </c>
      <c r="K616" s="42" t="n"/>
      <c r="L616" s="97" t="n"/>
      <c r="M616" s="37" t="n"/>
    </row>
    <row r="617" s="83">
      <c r="A617" s="37" t="inlineStr">
        <is>
          <t>101207</t>
        </is>
      </c>
      <c r="B617" s="37" t="n"/>
      <c r="C617" s="37" t="inlineStr">
        <is>
          <t>2025-04-30</t>
        </is>
      </c>
      <c r="D617" s="37" t="inlineStr">
        <is>
          <t>Q0101</t>
        </is>
      </c>
      <c r="E617" s="37" t="n"/>
      <c r="F617" s="37" t="inlineStr">
        <is>
          <t>浙江精准学科技有限公司</t>
        </is>
      </c>
      <c r="G617" s="37" t="inlineStr">
        <is>
          <t>记-270</t>
        </is>
      </c>
      <c r="H617" s="37" t="n"/>
      <c r="I617" s="89" t="n">
        <v>4</v>
      </c>
      <c r="J617" s="97" t="n"/>
      <c r="K617" s="42" t="n"/>
      <c r="L617" s="97" t="n"/>
      <c r="M617" s="37" t="n"/>
    </row>
    <row r="618" s="83">
      <c r="A618" s="36" t="inlineStr">
        <is>
          <t>101207</t>
        </is>
      </c>
      <c r="B618" s="36" t="n"/>
      <c r="C618" s="36" t="inlineStr">
        <is>
          <t>2025-04-30</t>
        </is>
      </c>
      <c r="D618" s="36" t="inlineStr">
        <is>
          <t>Q0101</t>
        </is>
      </c>
      <c r="E618" s="36" t="n"/>
      <c r="F618" s="36" t="inlineStr">
        <is>
          <t>浙江精准学科技有限公司</t>
        </is>
      </c>
      <c r="G618" s="36" t="inlineStr">
        <is>
          <t>记-270</t>
        </is>
      </c>
      <c r="H618" s="36" t="n"/>
      <c r="I618" s="96" t="n"/>
      <c r="J618" s="89" t="n">
        <v>4</v>
      </c>
      <c r="K618" s="40" t="n"/>
      <c r="L618" s="96" t="n"/>
      <c r="M618" s="36" t="n"/>
    </row>
    <row r="619" s="83">
      <c r="A619" s="37" t="inlineStr">
        <is>
          <t>101207</t>
        </is>
      </c>
      <c r="B619" s="37" t="n"/>
      <c r="C619" s="37" t="inlineStr">
        <is>
          <t>2025-04-30</t>
        </is>
      </c>
      <c r="D619" s="37" t="inlineStr">
        <is>
          <t>Q0103</t>
        </is>
      </c>
      <c r="E619" s="37" t="n"/>
      <c r="F619" s="37" t="inlineStr">
        <is>
          <t>浙江精准学科技有限公司</t>
        </is>
      </c>
      <c r="G619" s="37" t="inlineStr">
        <is>
          <t>记-270</t>
        </is>
      </c>
      <c r="H619" s="37" t="n"/>
      <c r="I619" s="89" t="n">
        <v>4</v>
      </c>
      <c r="J619" s="97" t="n"/>
      <c r="K619" s="42" t="n"/>
      <c r="L619" s="97" t="n"/>
      <c r="M619" s="37" t="n"/>
    </row>
    <row r="620" s="83">
      <c r="A620" s="37" t="inlineStr">
        <is>
          <t>101207</t>
        </is>
      </c>
      <c r="B620" s="37" t="n"/>
      <c r="C620" s="37" t="inlineStr">
        <is>
          <t>2025-04-11</t>
        </is>
      </c>
      <c r="D620" s="37" t="inlineStr">
        <is>
          <t>Q0401</t>
        </is>
      </c>
      <c r="E620" s="37" t="n"/>
      <c r="F620" s="37" t="inlineStr">
        <is>
          <t>浙江精准学科技有限公司</t>
        </is>
      </c>
      <c r="G620" s="37" t="inlineStr">
        <is>
          <t>记-93</t>
        </is>
      </c>
      <c r="H620" s="37" t="n"/>
      <c r="I620" s="97" t="n"/>
      <c r="J620" s="89" t="n">
        <v>4</v>
      </c>
      <c r="K620" s="42" t="n"/>
      <c r="L620" s="97" t="n"/>
      <c r="M620" s="37" t="n"/>
    </row>
    <row r="621" s="83">
      <c r="A621" s="36" t="inlineStr">
        <is>
          <t>101207</t>
        </is>
      </c>
      <c r="B621" s="36" t="n"/>
      <c r="C621" s="36" t="inlineStr">
        <is>
          <t>2025-04-27</t>
        </is>
      </c>
      <c r="D621" s="36" t="inlineStr">
        <is>
          <t>Q0401</t>
        </is>
      </c>
      <c r="E621" s="36" t="n"/>
      <c r="F621" s="36" t="inlineStr">
        <is>
          <t>浙江精准学科技有限公司</t>
        </is>
      </c>
      <c r="G621" s="36" t="inlineStr">
        <is>
          <t>记-218</t>
        </is>
      </c>
      <c r="H621" s="36" t="n"/>
      <c r="I621" s="96" t="n"/>
      <c r="J621" s="89" t="n">
        <v>4</v>
      </c>
      <c r="K621" s="40" t="n"/>
      <c r="L621" s="96" t="n"/>
      <c r="M621" s="36" t="n"/>
    </row>
    <row r="622" s="83">
      <c r="A622" s="36" t="inlineStr">
        <is>
          <t>101207</t>
        </is>
      </c>
      <c r="B622" s="36" t="n"/>
      <c r="C622" s="36" t="inlineStr">
        <is>
          <t>2025-04-30</t>
        </is>
      </c>
      <c r="D622" s="36" t="inlineStr">
        <is>
          <t>Q2201</t>
        </is>
      </c>
      <c r="E622" s="36" t="n"/>
      <c r="F622" s="36" t="inlineStr">
        <is>
          <t>浙江精准学科技有限公司</t>
        </is>
      </c>
      <c r="G622" s="36" t="inlineStr">
        <is>
          <t>记-270</t>
        </is>
      </c>
      <c r="H622" s="36" t="n"/>
      <c r="I622" s="96" t="n"/>
      <c r="J622" s="89" t="n">
        <v>4</v>
      </c>
      <c r="K622" s="40" t="n"/>
      <c r="L622" s="96" t="n"/>
      <c r="M622" s="36" t="n"/>
    </row>
    <row r="623" s="83">
      <c r="A623" s="37" t="inlineStr">
        <is>
          <t>101207</t>
        </is>
      </c>
      <c r="B623" s="37" t="n"/>
      <c r="C623" s="37" t="inlineStr">
        <is>
          <t>2025-04-30</t>
        </is>
      </c>
      <c r="D623" s="37" t="inlineStr">
        <is>
          <t>Q2201</t>
        </is>
      </c>
      <c r="E623" s="37" t="n"/>
      <c r="F623" s="37" t="inlineStr">
        <is>
          <t>浙江精准学科技有限公司</t>
        </is>
      </c>
      <c r="G623" s="37" t="inlineStr">
        <is>
          <t>记-270</t>
        </is>
      </c>
      <c r="H623" s="37" t="n"/>
      <c r="I623" s="97" t="n"/>
      <c r="J623" s="89" t="n">
        <v>4</v>
      </c>
      <c r="K623" s="42" t="n"/>
      <c r="L623" s="97" t="n"/>
      <c r="M623" s="37" t="n"/>
    </row>
    <row r="624" s="83">
      <c r="A624" s="37" t="inlineStr">
        <is>
          <t>101207</t>
        </is>
      </c>
      <c r="B624" s="37" t="n"/>
      <c r="C624" s="37" t="inlineStr">
        <is>
          <t>2025-04-30</t>
        </is>
      </c>
      <c r="D624" s="37" t="inlineStr">
        <is>
          <t>Q2204</t>
        </is>
      </c>
      <c r="E624" s="37" t="n"/>
      <c r="F624" s="37" t="inlineStr">
        <is>
          <t>浙江精准学科技有限公司</t>
        </is>
      </c>
      <c r="G624" s="37" t="inlineStr">
        <is>
          <t>记-270</t>
        </is>
      </c>
      <c r="H624" s="37" t="n"/>
      <c r="I624" s="97" t="n"/>
      <c r="J624" s="89" t="n">
        <v>4</v>
      </c>
      <c r="K624" s="42" t="n"/>
      <c r="L624" s="97" t="n"/>
      <c r="M624" s="37" t="n"/>
    </row>
    <row r="625" s="83">
      <c r="A625" s="37" t="inlineStr">
        <is>
          <t>101207</t>
        </is>
      </c>
      <c r="B625" s="37" t="n"/>
      <c r="C625" s="37" t="inlineStr">
        <is>
          <t>2025-04-30</t>
        </is>
      </c>
      <c r="D625" s="37" t="inlineStr">
        <is>
          <t>Q2205</t>
        </is>
      </c>
      <c r="E625" s="37" t="n"/>
      <c r="F625" s="37" t="inlineStr">
        <is>
          <t>浙江精准学科技有限公司</t>
        </is>
      </c>
      <c r="G625" s="37" t="inlineStr">
        <is>
          <t>记-270</t>
        </is>
      </c>
      <c r="H625" s="37" t="n"/>
      <c r="I625" s="97" t="n"/>
      <c r="J625" s="89" t="n">
        <v>4</v>
      </c>
      <c r="K625" s="42" t="n"/>
      <c r="L625" s="97" t="n"/>
      <c r="M625" s="37" t="n"/>
    </row>
    <row r="626" s="83">
      <c r="A626" s="37" t="inlineStr">
        <is>
          <t>101207</t>
        </is>
      </c>
      <c r="B626" s="37" t="n"/>
      <c r="C626" s="37" t="inlineStr">
        <is>
          <t>2025-04-30</t>
        </is>
      </c>
      <c r="D626" s="37" t="inlineStr">
        <is>
          <t>Q2207</t>
        </is>
      </c>
      <c r="E626" s="37" t="n"/>
      <c r="F626" s="37" t="inlineStr">
        <is>
          <t>浙江精准学科技有限公司</t>
        </is>
      </c>
      <c r="G626" s="37" t="inlineStr">
        <is>
          <t>记-270</t>
        </is>
      </c>
      <c r="H626" s="37" t="n"/>
      <c r="I626" s="97" t="n"/>
      <c r="J626" s="89" t="n">
        <v>4</v>
      </c>
      <c r="K626" s="42" t="n"/>
      <c r="L626" s="97" t="n"/>
      <c r="M626" s="37" t="n"/>
    </row>
    <row r="627" s="83">
      <c r="A627" s="37" t="inlineStr">
        <is>
          <t>101207</t>
        </is>
      </c>
      <c r="B627" s="37" t="n"/>
      <c r="C627" s="37" t="inlineStr">
        <is>
          <t>2025-04-30</t>
        </is>
      </c>
      <c r="D627" s="37" t="inlineStr">
        <is>
          <t>Q2208</t>
        </is>
      </c>
      <c r="E627" s="37" t="n"/>
      <c r="F627" s="37" t="inlineStr">
        <is>
          <t>浙江精准学科技有限公司</t>
        </is>
      </c>
      <c r="G627" s="37" t="inlineStr">
        <is>
          <t>记-270</t>
        </is>
      </c>
      <c r="H627" s="37" t="n"/>
      <c r="I627" s="97" t="n"/>
      <c r="J627" s="89" t="n">
        <v>4</v>
      </c>
      <c r="K627" s="42" t="n"/>
      <c r="L627" s="97" t="n"/>
      <c r="M627" s="37" t="n"/>
    </row>
    <row r="630" s="83">
      <c r="K630" s="89" t="n"/>
    </row>
  </sheetData>
  <autoFilter ref="A1:N627"/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J580"/>
  <sheetViews>
    <sheetView workbookViewId="0">
      <pane ySplit="1" topLeftCell="A3" activePane="bottomLeft" state="frozen"/>
      <selection activeCell="A1" sqref="A1"/>
      <selection pane="bottomLeft" activeCell="O11" sqref="O11"/>
    </sheetView>
  </sheetViews>
  <sheetFormatPr baseColWidth="8" defaultColWidth="8.838461538461541" defaultRowHeight="14" customHeight="1"/>
  <cols>
    <col width="8.838461538461541" customWidth="1" style="22" min="1" max="1"/>
    <col width="12" customWidth="1" style="22" min="2" max="2"/>
    <col width="11.5" customWidth="1" style="22" min="3" max="3"/>
    <col width="11.1615384615385" customWidth="1" style="22" min="4" max="4"/>
    <col width="14.8384615384615" customWidth="1" style="22" min="5" max="5"/>
    <col width="20.3384615384615" customWidth="1" style="22" min="6" max="6"/>
    <col width="9" customWidth="1" style="22" min="7" max="7"/>
    <col width="15.6153846153846" customWidth="1" style="23" min="8" max="8"/>
    <col width="13.0769230769231" customWidth="1" style="84" min="9" max="9"/>
    <col width="16.1615384615385" customWidth="1" style="84" min="10" max="10"/>
  </cols>
  <sheetData>
    <row r="1" s="83">
      <c r="A1" s="25" t="inlineStr">
        <is>
          <t>科目编码</t>
        </is>
      </c>
      <c r="B1" s="25" t="inlineStr">
        <is>
          <t>科目名称</t>
        </is>
      </c>
      <c r="C1" s="25" t="inlineStr">
        <is>
          <t>日期</t>
        </is>
      </c>
      <c r="D1" s="25" t="inlineStr">
        <is>
          <t>费用项目编码</t>
        </is>
      </c>
      <c r="E1" s="25" t="inlineStr">
        <is>
          <t>费用项目名称</t>
        </is>
      </c>
      <c r="F1" s="25" t="inlineStr">
        <is>
          <t>核算账簿</t>
        </is>
      </c>
      <c r="G1" s="25" t="inlineStr">
        <is>
          <t>凭证号</t>
        </is>
      </c>
      <c r="H1" s="25" t="inlineStr">
        <is>
          <t>摘要</t>
        </is>
      </c>
      <c r="I1" s="98" t="inlineStr">
        <is>
          <t>借方本币</t>
        </is>
      </c>
      <c r="J1" s="98" t="inlineStr">
        <is>
          <t>贷方本币</t>
        </is>
      </c>
    </row>
    <row r="2" s="83">
      <c r="A2" s="26" t="inlineStr">
        <is>
          <t>101201</t>
        </is>
      </c>
      <c r="B2" s="26" t="n"/>
      <c r="C2" s="26" t="inlineStr">
        <is>
          <t>2025-05-31</t>
        </is>
      </c>
      <c r="D2" s="26" t="inlineStr">
        <is>
          <t>Q0101</t>
        </is>
      </c>
      <c r="E2" s="26" t="n"/>
      <c r="F2" s="26" t="inlineStr">
        <is>
          <t>杭州实时查科技有限公司</t>
        </is>
      </c>
      <c r="G2" s="26" t="inlineStr">
        <is>
          <t>记-1</t>
        </is>
      </c>
      <c r="H2" s="26" t="n"/>
      <c r="I2" s="99" t="n">
        <v>5</v>
      </c>
      <c r="J2" s="99" t="n"/>
    </row>
    <row r="3" s="83">
      <c r="A3" s="26" t="inlineStr">
        <is>
          <t>101201</t>
        </is>
      </c>
      <c r="B3" s="26" t="n"/>
      <c r="C3" s="26" t="inlineStr">
        <is>
          <t>2025-05-31</t>
        </is>
      </c>
      <c r="D3" s="26" t="inlineStr">
        <is>
          <t>Q2201</t>
        </is>
      </c>
      <c r="E3" s="26" t="n"/>
      <c r="F3" s="26" t="inlineStr">
        <is>
          <t>杭州实时查科技有限公司</t>
        </is>
      </c>
      <c r="G3" s="26" t="inlineStr">
        <is>
          <t>记-1</t>
        </is>
      </c>
      <c r="H3" s="26" t="n"/>
      <c r="I3" s="99" t="n"/>
      <c r="J3" s="99" t="n">
        <v>5</v>
      </c>
    </row>
    <row r="4" s="83">
      <c r="A4" s="27" t="inlineStr">
        <is>
          <t>101201</t>
        </is>
      </c>
      <c r="B4" s="27" t="n"/>
      <c r="C4" s="27" t="inlineStr">
        <is>
          <t>2025-05-31</t>
        </is>
      </c>
      <c r="D4" s="27" t="inlineStr">
        <is>
          <t>Q2204</t>
        </is>
      </c>
      <c r="E4" s="27" t="n"/>
      <c r="F4" s="27" t="inlineStr">
        <is>
          <t>杭州实时查科技有限公司</t>
        </is>
      </c>
      <c r="G4" s="27" t="inlineStr">
        <is>
          <t>记-1</t>
        </is>
      </c>
      <c r="H4" s="27" t="n"/>
      <c r="I4" s="100" t="n"/>
      <c r="J4" s="100" t="n">
        <v>5</v>
      </c>
    </row>
    <row r="5" s="83">
      <c r="A5" s="27" t="inlineStr">
        <is>
          <t>101201</t>
        </is>
      </c>
      <c r="B5" s="27" t="n"/>
      <c r="C5" s="27" t="inlineStr">
        <is>
          <t>2025-05-31</t>
        </is>
      </c>
      <c r="D5" s="27" t="inlineStr">
        <is>
          <t>Q2207</t>
        </is>
      </c>
      <c r="E5" s="27" t="n"/>
      <c r="F5" s="27" t="inlineStr">
        <is>
          <t>杭州实时查科技有限公司</t>
        </is>
      </c>
      <c r="G5" s="27" t="inlineStr">
        <is>
          <t>记-1</t>
        </is>
      </c>
      <c r="H5" s="27" t="n"/>
      <c r="I5" s="100" t="n"/>
      <c r="J5" s="100" t="n">
        <v>5</v>
      </c>
    </row>
    <row r="6" s="83">
      <c r="A6" s="26" t="inlineStr">
        <is>
          <t>101201</t>
        </is>
      </c>
      <c r="B6" s="26" t="n"/>
      <c r="C6" s="26" t="inlineStr">
        <is>
          <t>2025-05-31</t>
        </is>
      </c>
      <c r="D6" s="26" t="inlineStr">
        <is>
          <t>Q2209</t>
        </is>
      </c>
      <c r="E6" s="26" t="n"/>
      <c r="F6" s="26" t="inlineStr">
        <is>
          <t>杭州实时查科技有限公司</t>
        </is>
      </c>
      <c r="G6" s="26" t="inlineStr">
        <is>
          <t>记-1</t>
        </is>
      </c>
      <c r="H6" s="26" t="n"/>
      <c r="I6" s="99" t="n"/>
      <c r="J6" s="99" t="n">
        <v>5</v>
      </c>
    </row>
    <row r="7" s="83">
      <c r="A7" s="26" t="inlineStr">
        <is>
          <t>100201</t>
        </is>
      </c>
      <c r="B7" s="26" t="n"/>
      <c r="C7" s="26" t="inlineStr">
        <is>
          <t>2025-05-06</t>
        </is>
      </c>
      <c r="D7" s="26" t="inlineStr">
        <is>
          <t>Q0803</t>
        </is>
      </c>
      <c r="E7" s="26" t="n"/>
      <c r="F7" s="26" t="inlineStr">
        <is>
          <t>杭州驷海宾朋智能科技有限公司</t>
        </is>
      </c>
      <c r="G7" s="26" t="inlineStr">
        <is>
          <t>记-1</t>
        </is>
      </c>
      <c r="H7" s="26" t="n"/>
      <c r="I7" s="99" t="n"/>
      <c r="J7" s="99" t="n">
        <v>5</v>
      </c>
    </row>
    <row r="8" s="83">
      <c r="A8" s="26" t="inlineStr">
        <is>
          <t>100201</t>
        </is>
      </c>
      <c r="B8" s="26" t="n"/>
      <c r="C8" s="26" t="inlineStr">
        <is>
          <t>2025-05-21</t>
        </is>
      </c>
      <c r="D8" s="26" t="inlineStr">
        <is>
          <t>Q0804</t>
        </is>
      </c>
      <c r="E8" s="26" t="n"/>
      <c r="F8" s="26" t="inlineStr">
        <is>
          <t>杭州驷海宾朋智能科技有限公司</t>
        </is>
      </c>
      <c r="G8" s="26" t="inlineStr">
        <is>
          <t>记-2</t>
        </is>
      </c>
      <c r="H8" s="26" t="n"/>
      <c r="I8" s="99" t="n"/>
      <c r="J8" s="99" t="n">
        <v>5</v>
      </c>
    </row>
    <row r="9" s="83">
      <c r="A9" s="27" t="inlineStr">
        <is>
          <t>100201</t>
        </is>
      </c>
      <c r="B9" s="27" t="n"/>
      <c r="C9" s="27" t="inlineStr">
        <is>
          <t>2025-05-16</t>
        </is>
      </c>
      <c r="D9" s="27" t="inlineStr">
        <is>
          <t>Q0301</t>
        </is>
      </c>
      <c r="E9" s="27" t="n"/>
      <c r="F9" s="27" t="inlineStr">
        <is>
          <t>海南精准学科技有限公司</t>
        </is>
      </c>
      <c r="G9" s="27" t="inlineStr">
        <is>
          <t>记-7</t>
        </is>
      </c>
      <c r="H9" s="27" t="n"/>
      <c r="I9" s="99" t="n">
        <v>5</v>
      </c>
      <c r="J9" s="100" t="n">
        <v>5</v>
      </c>
    </row>
    <row r="10" s="83">
      <c r="A10" s="26" t="inlineStr">
        <is>
          <t>100201</t>
        </is>
      </c>
      <c r="B10" s="26" t="n"/>
      <c r="C10" s="26" t="inlineStr">
        <is>
          <t>2025-05-15</t>
        </is>
      </c>
      <c r="D10" s="26" t="inlineStr">
        <is>
          <t>Q0801</t>
        </is>
      </c>
      <c r="E10" s="26" t="n"/>
      <c r="F10" s="26" t="inlineStr">
        <is>
          <t>海南精准学科技有限公司</t>
        </is>
      </c>
      <c r="G10" s="26" t="inlineStr">
        <is>
          <t>记-5</t>
        </is>
      </c>
      <c r="H10" s="26" t="n"/>
      <c r="I10" s="99" t="n"/>
      <c r="J10" s="99" t="n">
        <v>5</v>
      </c>
    </row>
    <row r="11" s="83">
      <c r="A11" s="26" t="inlineStr">
        <is>
          <t>100201</t>
        </is>
      </c>
      <c r="B11" s="26" t="n"/>
      <c r="C11" s="26" t="inlineStr">
        <is>
          <t>2025-05-06</t>
        </is>
      </c>
      <c r="D11" s="26" t="inlineStr">
        <is>
          <t>Q0803</t>
        </is>
      </c>
      <c r="E11" s="26" t="n"/>
      <c r="F11" s="26" t="inlineStr">
        <is>
          <t>海南精准学科技有限公司</t>
        </is>
      </c>
      <c r="G11" s="26" t="inlineStr">
        <is>
          <t>记-2</t>
        </is>
      </c>
      <c r="H11" s="26" t="n"/>
      <c r="I11" s="99" t="n"/>
      <c r="J11" s="99" t="n">
        <v>5</v>
      </c>
    </row>
    <row r="12" s="83">
      <c r="A12" s="26" t="inlineStr">
        <is>
          <t>100201</t>
        </is>
      </c>
      <c r="B12" s="26" t="n"/>
      <c r="C12" s="26" t="inlineStr">
        <is>
          <t>2025-05-07</t>
        </is>
      </c>
      <c r="D12" s="26" t="inlineStr">
        <is>
          <t>Q0804</t>
        </is>
      </c>
      <c r="E12" s="26" t="n"/>
      <c r="F12" s="26" t="inlineStr">
        <is>
          <t>海南精准学科技有限公司</t>
        </is>
      </c>
      <c r="G12" s="26" t="inlineStr">
        <is>
          <t>记-4</t>
        </is>
      </c>
      <c r="H12" s="26" t="n"/>
      <c r="I12" s="99" t="n"/>
      <c r="J12" s="99" t="n">
        <v>5</v>
      </c>
    </row>
    <row r="13" s="83">
      <c r="A13" s="26" t="inlineStr">
        <is>
          <t>100201</t>
        </is>
      </c>
      <c r="B13" s="26" t="n"/>
      <c r="C13" s="26" t="inlineStr">
        <is>
          <t>2025-05-22</t>
        </is>
      </c>
      <c r="D13" s="26" t="inlineStr">
        <is>
          <t>Q0805</t>
        </is>
      </c>
      <c r="E13" s="26" t="n"/>
      <c r="F13" s="26" t="inlineStr">
        <is>
          <t>海南精准学科技有限公司</t>
        </is>
      </c>
      <c r="G13" s="26" t="inlineStr">
        <is>
          <t>记-9</t>
        </is>
      </c>
      <c r="H13" s="26" t="n"/>
      <c r="I13" s="99" t="n"/>
      <c r="J13" s="99" t="n">
        <v>5</v>
      </c>
    </row>
    <row r="14" s="83">
      <c r="A14" s="26" t="inlineStr">
        <is>
          <t>100201</t>
        </is>
      </c>
      <c r="B14" s="26" t="n"/>
      <c r="C14" s="26" t="inlineStr">
        <is>
          <t>2025-05-22</t>
        </is>
      </c>
      <c r="D14" s="26" t="inlineStr">
        <is>
          <t>Q2706</t>
        </is>
      </c>
      <c r="E14" s="26" t="n"/>
      <c r="F14" s="26" t="inlineStr">
        <is>
          <t>海南精准学科技有限公司</t>
        </is>
      </c>
      <c r="G14" s="26" t="inlineStr">
        <is>
          <t>记-8</t>
        </is>
      </c>
      <c r="H14" s="26" t="n"/>
      <c r="I14" s="99" t="n"/>
      <c r="J14" s="99" t="n">
        <v>5</v>
      </c>
    </row>
    <row r="15" s="83">
      <c r="A15" s="27" t="inlineStr">
        <is>
          <t>100201</t>
        </is>
      </c>
      <c r="B15" s="27" t="n"/>
      <c r="C15" s="27" t="inlineStr">
        <is>
          <t>2025-05-23</t>
        </is>
      </c>
      <c r="D15" s="27" t="inlineStr">
        <is>
          <t>Q2802</t>
        </is>
      </c>
      <c r="E15" s="27" t="n"/>
      <c r="F15" s="27" t="inlineStr">
        <is>
          <t>海南精准学科技有限公司</t>
        </is>
      </c>
      <c r="G15" s="27" t="inlineStr">
        <is>
          <t>记-10</t>
        </is>
      </c>
      <c r="H15" s="27" t="n"/>
      <c r="I15" s="100" t="n"/>
      <c r="J15" s="100" t="n">
        <v>5</v>
      </c>
    </row>
    <row r="16" s="83">
      <c r="A16" s="26" t="inlineStr">
        <is>
          <t>100201</t>
        </is>
      </c>
      <c r="B16" s="26" t="n"/>
      <c r="C16" s="26" t="inlineStr">
        <is>
          <t>2025-05-03</t>
        </is>
      </c>
      <c r="D16" s="26" t="inlineStr">
        <is>
          <t>Q3101</t>
        </is>
      </c>
      <c r="E16" s="26" t="n"/>
      <c r="F16" s="26" t="inlineStr">
        <is>
          <t>海南精准学科技有限公司</t>
        </is>
      </c>
      <c r="G16" s="26" t="inlineStr">
        <is>
          <t>记-1</t>
        </is>
      </c>
      <c r="H16" s="26" t="n"/>
      <c r="I16" s="99" t="n"/>
      <c r="J16" s="99" t="n">
        <v>5</v>
      </c>
    </row>
    <row r="17" s="83">
      <c r="A17" s="27" t="inlineStr">
        <is>
          <t>100201</t>
        </is>
      </c>
      <c r="B17" s="27" t="n"/>
      <c r="C17" s="27" t="inlineStr">
        <is>
          <t>2025-05-06</t>
        </is>
      </c>
      <c r="D17" s="27" t="inlineStr">
        <is>
          <t>Q3101</t>
        </is>
      </c>
      <c r="E17" s="27" t="n"/>
      <c r="F17" s="27" t="inlineStr">
        <is>
          <t>海南精准学科技有限公司</t>
        </is>
      </c>
      <c r="G17" s="27" t="inlineStr">
        <is>
          <t>记-3</t>
        </is>
      </c>
      <c r="H17" s="27" t="n"/>
      <c r="I17" s="100" t="n"/>
      <c r="J17" s="100" t="n">
        <v>5</v>
      </c>
    </row>
    <row r="18" s="83">
      <c r="A18" s="26" t="inlineStr">
        <is>
          <t>100201</t>
        </is>
      </c>
      <c r="B18" s="26" t="n"/>
      <c r="C18" s="26" t="inlineStr">
        <is>
          <t>2025-05-15</t>
        </is>
      </c>
      <c r="D18" s="26" t="inlineStr">
        <is>
          <t>Q3101</t>
        </is>
      </c>
      <c r="E18" s="26" t="n"/>
      <c r="F18" s="26" t="inlineStr">
        <is>
          <t>海南精准学科技有限公司</t>
        </is>
      </c>
      <c r="G18" s="26" t="inlineStr">
        <is>
          <t>记-6</t>
        </is>
      </c>
      <c r="H18" s="26" t="n"/>
      <c r="I18" s="99" t="n"/>
      <c r="J18" s="99" t="n">
        <v>5</v>
      </c>
    </row>
    <row r="19" s="83">
      <c r="A19" s="27" t="inlineStr">
        <is>
          <t>100201</t>
        </is>
      </c>
      <c r="B19" s="27" t="n"/>
      <c r="C19" s="27" t="inlineStr">
        <is>
          <t>2025-05-23</t>
        </is>
      </c>
      <c r="D19" s="27" t="inlineStr">
        <is>
          <t>Q3101</t>
        </is>
      </c>
      <c r="E19" s="27" t="n"/>
      <c r="F19" s="27" t="inlineStr">
        <is>
          <t>海南精准学科技有限公司</t>
        </is>
      </c>
      <c r="G19" s="27" t="inlineStr">
        <is>
          <t>记-11</t>
        </is>
      </c>
      <c r="H19" s="27" t="n"/>
      <c r="I19" s="100" t="n"/>
      <c r="J19" s="100" t="n">
        <v>5</v>
      </c>
    </row>
    <row r="20" s="83">
      <c r="A20" s="26" t="inlineStr">
        <is>
          <t>100201</t>
        </is>
      </c>
      <c r="B20" s="26" t="n"/>
      <c r="C20" s="26" t="inlineStr">
        <is>
          <t>2025-05-12</t>
        </is>
      </c>
      <c r="D20" s="26" t="inlineStr">
        <is>
          <t>Q0303</t>
        </is>
      </c>
      <c r="E20" s="26" t="n"/>
      <c r="F20" s="26" t="inlineStr">
        <is>
          <t>杭州知识跳跳科技有限公司</t>
        </is>
      </c>
      <c r="G20" s="26" t="inlineStr">
        <is>
          <t>记-17</t>
        </is>
      </c>
      <c r="H20" s="26" t="n"/>
      <c r="I20" s="99" t="n">
        <v>5</v>
      </c>
      <c r="J20" s="99" t="n">
        <v>5</v>
      </c>
    </row>
    <row r="21" s="83">
      <c r="A21" s="27" t="inlineStr">
        <is>
          <t>100201</t>
        </is>
      </c>
      <c r="B21" s="27" t="n"/>
      <c r="C21" s="27" t="inlineStr">
        <is>
          <t>2025-05-12</t>
        </is>
      </c>
      <c r="D21" s="27" t="inlineStr">
        <is>
          <t>Q0303</t>
        </is>
      </c>
      <c r="E21" s="27" t="n"/>
      <c r="F21" s="27" t="inlineStr">
        <is>
          <t>杭州知识跳跳科技有限公司</t>
        </is>
      </c>
      <c r="G21" s="27" t="inlineStr">
        <is>
          <t>记-18</t>
        </is>
      </c>
      <c r="H21" s="27" t="n"/>
      <c r="I21" s="99" t="n">
        <v>5</v>
      </c>
      <c r="J21" s="100" t="n">
        <v>5</v>
      </c>
    </row>
    <row r="22" s="83">
      <c r="A22" s="26" t="inlineStr">
        <is>
          <t>100201</t>
        </is>
      </c>
      <c r="B22" s="26" t="n"/>
      <c r="C22" s="26" t="inlineStr">
        <is>
          <t>2025-05-13</t>
        </is>
      </c>
      <c r="D22" s="26" t="inlineStr">
        <is>
          <t>Q0303</t>
        </is>
      </c>
      <c r="E22" s="26" t="n"/>
      <c r="F22" s="26" t="inlineStr">
        <is>
          <t>杭州知识跳跳科技有限公司</t>
        </is>
      </c>
      <c r="G22" s="26" t="inlineStr">
        <is>
          <t>记-19</t>
        </is>
      </c>
      <c r="H22" s="26" t="n"/>
      <c r="I22" s="99" t="n">
        <v>5</v>
      </c>
      <c r="J22" s="99" t="n">
        <v>5</v>
      </c>
    </row>
    <row r="23" s="83">
      <c r="A23" s="26" t="inlineStr">
        <is>
          <t>100201</t>
        </is>
      </c>
      <c r="B23" s="26" t="n"/>
      <c r="C23" s="26" t="inlineStr">
        <is>
          <t>2025-05-13</t>
        </is>
      </c>
      <c r="D23" s="26" t="inlineStr">
        <is>
          <t>Q0401</t>
        </is>
      </c>
      <c r="E23" s="26" t="n"/>
      <c r="F23" s="26" t="inlineStr">
        <is>
          <t>杭州知识跳跳科技有限公司</t>
        </is>
      </c>
      <c r="G23" s="26" t="inlineStr">
        <is>
          <t>记-21</t>
        </is>
      </c>
      <c r="H23" s="26" t="n"/>
      <c r="I23" s="99" t="n">
        <v>5</v>
      </c>
      <c r="J23" s="99" t="n">
        <v>5</v>
      </c>
    </row>
    <row r="24" s="83">
      <c r="A24" s="27" t="inlineStr">
        <is>
          <t>100201</t>
        </is>
      </c>
      <c r="B24" s="27" t="n"/>
      <c r="C24" s="27" t="inlineStr">
        <is>
          <t>2025-05-13</t>
        </is>
      </c>
      <c r="D24" s="27" t="inlineStr">
        <is>
          <t>Q0303</t>
        </is>
      </c>
      <c r="E24" s="27" t="n"/>
      <c r="F24" s="27" t="inlineStr">
        <is>
          <t>杭州知识跳跳科技有限公司</t>
        </is>
      </c>
      <c r="G24" s="27" t="inlineStr">
        <is>
          <t>记-23</t>
        </is>
      </c>
      <c r="H24" s="27" t="n"/>
      <c r="I24" s="99" t="n">
        <v>5</v>
      </c>
      <c r="J24" s="100" t="n">
        <v>5</v>
      </c>
    </row>
    <row r="25" s="83">
      <c r="A25" s="26" t="inlineStr">
        <is>
          <t>100201</t>
        </is>
      </c>
      <c r="B25" s="26" t="n"/>
      <c r="C25" s="26" t="inlineStr">
        <is>
          <t>2025-05-23</t>
        </is>
      </c>
      <c r="D25" s="26" t="inlineStr">
        <is>
          <t>Q0401</t>
        </is>
      </c>
      <c r="E25" s="26" t="n"/>
      <c r="F25" s="26" t="inlineStr">
        <is>
          <t>杭州知识跳跳科技有限公司</t>
        </is>
      </c>
      <c r="G25" s="26" t="inlineStr">
        <is>
          <t>记-37</t>
        </is>
      </c>
      <c r="H25" s="26" t="n"/>
      <c r="I25" s="99" t="n">
        <v>5</v>
      </c>
      <c r="J25" s="99" t="n">
        <v>5</v>
      </c>
    </row>
    <row r="26" s="83">
      <c r="A26" s="26" t="inlineStr">
        <is>
          <t>100201</t>
        </is>
      </c>
      <c r="B26" s="26" t="n"/>
      <c r="C26" s="26" t="inlineStr">
        <is>
          <t>2025-05-23</t>
        </is>
      </c>
      <c r="D26" s="26" t="inlineStr">
        <is>
          <t>Q0601</t>
        </is>
      </c>
      <c r="E26" s="26" t="n"/>
      <c r="F26" s="26" t="inlineStr">
        <is>
          <t>杭州知识跳跳科技有限公司</t>
        </is>
      </c>
      <c r="G26" s="26" t="inlineStr">
        <is>
          <t>记-38</t>
        </is>
      </c>
      <c r="H26" s="26" t="n"/>
      <c r="I26" s="99" t="n"/>
      <c r="J26" s="99" t="n">
        <v>5</v>
      </c>
    </row>
    <row r="27" s="83">
      <c r="A27" s="26" t="inlineStr">
        <is>
          <t>100201</t>
        </is>
      </c>
      <c r="B27" s="26" t="n"/>
      <c r="C27" s="26" t="inlineStr">
        <is>
          <t>2025-05-15</t>
        </is>
      </c>
      <c r="D27" s="26" t="inlineStr">
        <is>
          <t>Q0801</t>
        </is>
      </c>
      <c r="E27" s="26" t="n"/>
      <c r="F27" s="26" t="inlineStr">
        <is>
          <t>杭州知识跳跳科技有限公司</t>
        </is>
      </c>
      <c r="G27" s="26" t="inlineStr">
        <is>
          <t>记-27</t>
        </is>
      </c>
      <c r="H27" s="26" t="n"/>
      <c r="I27" s="99" t="n"/>
      <c r="J27" s="99" t="n">
        <v>5</v>
      </c>
    </row>
    <row r="28" s="83">
      <c r="A28" s="26" t="inlineStr">
        <is>
          <t>100201</t>
        </is>
      </c>
      <c r="B28" s="26" t="n"/>
      <c r="C28" s="26" t="inlineStr">
        <is>
          <t>2025-05-06</t>
        </is>
      </c>
      <c r="D28" s="26" t="inlineStr">
        <is>
          <t>Q0803</t>
        </is>
      </c>
      <c r="E28" s="26" t="n"/>
      <c r="F28" s="26" t="inlineStr">
        <is>
          <t>杭州知识跳跳科技有限公司</t>
        </is>
      </c>
      <c r="G28" s="26" t="inlineStr">
        <is>
          <t>记-9</t>
        </is>
      </c>
      <c r="H28" s="26" t="n"/>
      <c r="I28" s="99" t="n"/>
      <c r="J28" s="99" t="n">
        <v>5</v>
      </c>
    </row>
    <row r="29" s="83">
      <c r="A29" s="26" t="inlineStr">
        <is>
          <t>100201</t>
        </is>
      </c>
      <c r="B29" s="26" t="n"/>
      <c r="C29" s="26" t="inlineStr">
        <is>
          <t>2025-05-21</t>
        </is>
      </c>
      <c r="D29" s="26" t="inlineStr">
        <is>
          <t>Q0804</t>
        </is>
      </c>
      <c r="E29" s="26" t="n"/>
      <c r="F29" s="26" t="inlineStr">
        <is>
          <t>杭州知识跳跳科技有限公司</t>
        </is>
      </c>
      <c r="G29" s="26" t="inlineStr">
        <is>
          <t>记-33</t>
        </is>
      </c>
      <c r="H29" s="26" t="n"/>
      <c r="I29" s="99" t="n"/>
      <c r="J29" s="99" t="n">
        <v>5</v>
      </c>
    </row>
    <row r="30" s="83">
      <c r="A30" s="26" t="inlineStr">
        <is>
          <t>100201</t>
        </is>
      </c>
      <c r="B30" s="26" t="n"/>
      <c r="C30" s="26" t="inlineStr">
        <is>
          <t>2025-05-22</t>
        </is>
      </c>
      <c r="D30" s="26" t="inlineStr">
        <is>
          <t>Q0805</t>
        </is>
      </c>
      <c r="E30" s="26" t="n"/>
      <c r="F30" s="26" t="inlineStr">
        <is>
          <t>杭州知识跳跳科技有限公司</t>
        </is>
      </c>
      <c r="G30" s="26" t="inlineStr">
        <is>
          <t>记-36</t>
        </is>
      </c>
      <c r="H30" s="26" t="n"/>
      <c r="I30" s="99" t="n"/>
      <c r="J30" s="99" t="n">
        <v>5</v>
      </c>
    </row>
    <row r="31" s="83">
      <c r="A31" s="27" t="inlineStr">
        <is>
          <t>100201</t>
        </is>
      </c>
      <c r="B31" s="27" t="n"/>
      <c r="C31" s="27" t="inlineStr">
        <is>
          <t>2025-05-14</t>
        </is>
      </c>
      <c r="D31" s="27" t="inlineStr">
        <is>
          <t>Q0808</t>
        </is>
      </c>
      <c r="E31" s="27" t="n"/>
      <c r="F31" s="27" t="inlineStr">
        <is>
          <t>杭州知识跳跳科技有限公司</t>
        </is>
      </c>
      <c r="G31" s="27" t="inlineStr">
        <is>
          <t>记-26</t>
        </is>
      </c>
      <c r="H31" s="27" t="n"/>
      <c r="I31" s="100" t="n"/>
      <c r="J31" s="100" t="n">
        <v>5</v>
      </c>
    </row>
    <row r="32" s="83">
      <c r="A32" s="27" t="inlineStr">
        <is>
          <t>100201</t>
        </is>
      </c>
      <c r="B32" s="27" t="n"/>
      <c r="C32" s="27" t="inlineStr">
        <is>
          <t>2025-05-14</t>
        </is>
      </c>
      <c r="D32" s="27" t="inlineStr">
        <is>
          <t>Q1501</t>
        </is>
      </c>
      <c r="E32" s="27" t="n"/>
      <c r="F32" s="27" t="inlineStr">
        <is>
          <t>杭州知识跳跳科技有限公司</t>
        </is>
      </c>
      <c r="G32" s="27" t="inlineStr">
        <is>
          <t>记-25</t>
        </is>
      </c>
      <c r="H32" s="27" t="n"/>
      <c r="I32" s="100" t="n"/>
      <c r="J32" s="100" t="n">
        <v>5</v>
      </c>
    </row>
    <row r="33" s="83">
      <c r="A33" s="27" t="inlineStr">
        <is>
          <t>100201</t>
        </is>
      </c>
      <c r="B33" s="27" t="n"/>
      <c r="C33" s="27" t="inlineStr">
        <is>
          <t>2025-05-12</t>
        </is>
      </c>
      <c r="D33" s="27" t="inlineStr">
        <is>
          <t>Q1505</t>
        </is>
      </c>
      <c r="E33" s="27" t="n"/>
      <c r="F33" s="27" t="inlineStr">
        <is>
          <t>杭州知识跳跳科技有限公司</t>
        </is>
      </c>
      <c r="G33" s="27" t="inlineStr">
        <is>
          <t>记-16</t>
        </is>
      </c>
      <c r="H33" s="27" t="n"/>
      <c r="I33" s="100" t="n"/>
      <c r="J33" s="100" t="n">
        <v>5</v>
      </c>
    </row>
    <row r="34" s="83">
      <c r="A34" s="26" t="inlineStr">
        <is>
          <t>100201</t>
        </is>
      </c>
      <c r="B34" s="26" t="n"/>
      <c r="C34" s="26" t="inlineStr">
        <is>
          <t>2025-05-13</t>
        </is>
      </c>
      <c r="D34" s="26" t="inlineStr">
        <is>
          <t>Q1505</t>
        </is>
      </c>
      <c r="E34" s="26" t="n"/>
      <c r="F34" s="26" t="inlineStr">
        <is>
          <t>杭州知识跳跳科技有限公司</t>
        </is>
      </c>
      <c r="G34" s="26" t="inlineStr">
        <is>
          <t>记-22</t>
        </is>
      </c>
      <c r="H34" s="26" t="n"/>
      <c r="I34" s="99" t="n"/>
      <c r="J34" s="99" t="n">
        <v>5</v>
      </c>
    </row>
    <row r="35" s="83">
      <c r="A35" s="27" t="inlineStr">
        <is>
          <t>100201</t>
        </is>
      </c>
      <c r="B35" s="27" t="n"/>
      <c r="C35" s="27" t="inlineStr">
        <is>
          <t>2025-05-19</t>
        </is>
      </c>
      <c r="D35" s="27" t="inlineStr">
        <is>
          <t>Q1505</t>
        </is>
      </c>
      <c r="E35" s="27" t="n"/>
      <c r="F35" s="27" t="inlineStr">
        <is>
          <t>杭州知识跳跳科技有限公司</t>
        </is>
      </c>
      <c r="G35" s="27" t="inlineStr">
        <is>
          <t>记-28</t>
        </is>
      </c>
      <c r="H35" s="27" t="n"/>
      <c r="I35" s="100" t="n"/>
      <c r="J35" s="100" t="n">
        <v>5</v>
      </c>
    </row>
    <row r="36" s="83">
      <c r="A36" s="26" t="inlineStr">
        <is>
          <t>100201</t>
        </is>
      </c>
      <c r="B36" s="26" t="n"/>
      <c r="C36" s="26" t="inlineStr">
        <is>
          <t>2025-05-28</t>
        </is>
      </c>
      <c r="D36" s="26" t="inlineStr">
        <is>
          <t>Q1505</t>
        </is>
      </c>
      <c r="E36" s="26" t="n"/>
      <c r="F36" s="26" t="inlineStr">
        <is>
          <t>杭州知识跳跳科技有限公司</t>
        </is>
      </c>
      <c r="G36" s="26" t="inlineStr">
        <is>
          <t>记-42</t>
        </is>
      </c>
      <c r="H36" s="26" t="n"/>
      <c r="I36" s="99" t="n"/>
      <c r="J36" s="99" t="n">
        <v>5</v>
      </c>
    </row>
    <row r="37" s="83">
      <c r="A37" s="26" t="inlineStr">
        <is>
          <t>100201</t>
        </is>
      </c>
      <c r="B37" s="26" t="n"/>
      <c r="C37" s="26" t="inlineStr">
        <is>
          <t>2025-05-29</t>
        </is>
      </c>
      <c r="D37" s="26" t="inlineStr">
        <is>
          <t>Q1701</t>
        </is>
      </c>
      <c r="E37" s="26" t="n"/>
      <c r="F37" s="26" t="inlineStr">
        <is>
          <t>杭州知识跳跳科技有限公司</t>
        </is>
      </c>
      <c r="G37" s="26" t="inlineStr">
        <is>
          <t>记-43</t>
        </is>
      </c>
      <c r="H37" s="26" t="n"/>
      <c r="I37" s="99" t="n"/>
      <c r="J37" s="99" t="n">
        <v>5</v>
      </c>
    </row>
    <row r="38" s="83">
      <c r="A38" s="27" t="inlineStr">
        <is>
          <t>100201</t>
        </is>
      </c>
      <c r="B38" s="27" t="n"/>
      <c r="C38" s="27" t="inlineStr">
        <is>
          <t>2025-05-21</t>
        </is>
      </c>
      <c r="D38" s="27" t="inlineStr">
        <is>
          <t>Q2202</t>
        </is>
      </c>
      <c r="E38" s="27" t="n"/>
      <c r="F38" s="27" t="inlineStr">
        <is>
          <t>杭州知识跳跳科技有限公司</t>
        </is>
      </c>
      <c r="G38" s="27" t="inlineStr">
        <is>
          <t>记-29</t>
        </is>
      </c>
      <c r="H38" s="27" t="n"/>
      <c r="I38" s="99" t="n">
        <v>5</v>
      </c>
      <c r="J38" s="100" t="n">
        <v>5</v>
      </c>
    </row>
    <row r="39" s="83">
      <c r="A39" s="27" t="inlineStr">
        <is>
          <t>100201</t>
        </is>
      </c>
      <c r="B39" s="27" t="n"/>
      <c r="C39" s="27" t="inlineStr">
        <is>
          <t>2025-05-23</t>
        </is>
      </c>
      <c r="D39" s="27" t="inlineStr">
        <is>
          <t>Q2601</t>
        </is>
      </c>
      <c r="E39" s="27" t="n"/>
      <c r="F39" s="27" t="inlineStr">
        <is>
          <t>杭州知识跳跳科技有限公司</t>
        </is>
      </c>
      <c r="G39" s="27" t="inlineStr">
        <is>
          <t>记-39</t>
        </is>
      </c>
      <c r="H39" s="27" t="n"/>
      <c r="I39" s="100" t="n"/>
      <c r="J39" s="100" t="n">
        <v>5</v>
      </c>
    </row>
    <row r="40" s="83">
      <c r="A40" s="27" t="inlineStr">
        <is>
          <t>100201</t>
        </is>
      </c>
      <c r="B40" s="27" t="n"/>
      <c r="C40" s="27" t="inlineStr">
        <is>
          <t>2025-05-28</t>
        </is>
      </c>
      <c r="D40" s="27" t="inlineStr">
        <is>
          <t>Q29010</t>
        </is>
      </c>
      <c r="E40" s="27" t="n"/>
      <c r="F40" s="27" t="inlineStr">
        <is>
          <t>杭州知识跳跳科技有限公司</t>
        </is>
      </c>
      <c r="G40" s="27" t="inlineStr">
        <is>
          <t>记-41</t>
        </is>
      </c>
      <c r="H40" s="27" t="n"/>
      <c r="I40" s="100" t="n"/>
      <c r="J40" s="100" t="n">
        <v>5</v>
      </c>
    </row>
    <row r="41" s="83">
      <c r="A41" s="27" t="inlineStr">
        <is>
          <t>100201</t>
        </is>
      </c>
      <c r="B41" s="27" t="n"/>
      <c r="C41" s="27" t="inlineStr">
        <is>
          <t>2025-05-05</t>
        </is>
      </c>
      <c r="D41" s="27" t="inlineStr">
        <is>
          <t>Q2904</t>
        </is>
      </c>
      <c r="E41" s="27" t="n"/>
      <c r="F41" s="27" t="inlineStr">
        <is>
          <t>杭州知识跳跳科技有限公司</t>
        </is>
      </c>
      <c r="G41" s="27" t="inlineStr">
        <is>
          <t>记-7</t>
        </is>
      </c>
      <c r="H41" s="27" t="n"/>
      <c r="I41" s="100" t="n"/>
      <c r="J41" s="100" t="n">
        <v>5</v>
      </c>
    </row>
    <row r="42" s="83">
      <c r="A42" s="26" t="inlineStr">
        <is>
          <t>100201</t>
        </is>
      </c>
      <c r="B42" s="26" t="n"/>
      <c r="C42" s="26" t="inlineStr">
        <is>
          <t>2025-05-21</t>
        </is>
      </c>
      <c r="D42" s="26" t="inlineStr">
        <is>
          <t>Q2907</t>
        </is>
      </c>
      <c r="E42" s="26" t="n"/>
      <c r="F42" s="26" t="inlineStr">
        <is>
          <t>杭州知识跳跳科技有限公司</t>
        </is>
      </c>
      <c r="G42" s="26" t="inlineStr">
        <is>
          <t>记-35</t>
        </is>
      </c>
      <c r="H42" s="26" t="n"/>
      <c r="I42" s="99" t="n"/>
      <c r="J42" s="99" t="n">
        <v>5</v>
      </c>
    </row>
    <row r="43" s="83">
      <c r="A43" s="26" t="inlineStr">
        <is>
          <t>100201</t>
        </is>
      </c>
      <c r="B43" s="26" t="n"/>
      <c r="C43" s="26" t="inlineStr">
        <is>
          <t>2025-05-21</t>
        </is>
      </c>
      <c r="D43" s="26" t="inlineStr">
        <is>
          <t>Q2908</t>
        </is>
      </c>
      <c r="E43" s="26" t="n"/>
      <c r="F43" s="26" t="inlineStr">
        <is>
          <t>杭州知识跳跳科技有限公司</t>
        </is>
      </c>
      <c r="G43" s="26" t="inlineStr">
        <is>
          <t>记-34</t>
        </is>
      </c>
      <c r="H43" s="26" t="n"/>
      <c r="I43" s="99" t="n"/>
      <c r="J43" s="99" t="n">
        <v>5</v>
      </c>
    </row>
    <row r="44" s="83">
      <c r="A44" s="27" t="inlineStr">
        <is>
          <t>100201</t>
        </is>
      </c>
      <c r="B44" s="27" t="n"/>
      <c r="C44" s="27" t="inlineStr">
        <is>
          <t>2025-05-23</t>
        </is>
      </c>
      <c r="D44" s="27" t="inlineStr">
        <is>
          <t>Q2908</t>
        </is>
      </c>
      <c r="E44" s="27" t="n"/>
      <c r="F44" s="27" t="inlineStr">
        <is>
          <t>杭州知识跳跳科技有限公司</t>
        </is>
      </c>
      <c r="G44" s="27" t="inlineStr">
        <is>
          <t>记-40</t>
        </is>
      </c>
      <c r="H44" s="27" t="n"/>
      <c r="I44" s="100" t="n"/>
      <c r="J44" s="100" t="n">
        <v>5</v>
      </c>
    </row>
    <row r="45" s="83">
      <c r="A45" s="26" t="inlineStr">
        <is>
          <t>101203</t>
        </is>
      </c>
      <c r="B45" s="26" t="n"/>
      <c r="C45" s="26" t="inlineStr">
        <is>
          <t>2025-05-01</t>
        </is>
      </c>
      <c r="D45" s="26" t="inlineStr">
        <is>
          <t>Else01</t>
        </is>
      </c>
      <c r="E45" s="26" t="n"/>
      <c r="F45" s="26" t="inlineStr">
        <is>
          <t>杭州知识跳跳科技有限公司</t>
        </is>
      </c>
      <c r="G45" s="26" t="inlineStr">
        <is>
          <t>记-2</t>
        </is>
      </c>
      <c r="H45" s="26" t="n"/>
      <c r="I45" s="99" t="n">
        <v>5</v>
      </c>
      <c r="J45" s="99" t="n">
        <v>5</v>
      </c>
    </row>
    <row r="46" s="83">
      <c r="A46" s="27" t="inlineStr">
        <is>
          <t>101203</t>
        </is>
      </c>
      <c r="B46" s="27" t="n"/>
      <c r="C46" s="27" t="inlineStr">
        <is>
          <t>2025-05-01</t>
        </is>
      </c>
      <c r="D46" s="27" t="inlineStr">
        <is>
          <t>Else01</t>
        </is>
      </c>
      <c r="E46" s="27" t="n"/>
      <c r="F46" s="27" t="inlineStr">
        <is>
          <t>杭州知识跳跳科技有限公司</t>
        </is>
      </c>
      <c r="G46" s="27" t="inlineStr">
        <is>
          <t>记-2</t>
        </is>
      </c>
      <c r="H46" s="27" t="n"/>
      <c r="I46" s="100" t="n"/>
      <c r="J46" s="100" t="n">
        <v>5</v>
      </c>
    </row>
    <row r="47" s="83">
      <c r="A47" s="26" t="inlineStr">
        <is>
          <t>101203</t>
        </is>
      </c>
      <c r="B47" s="26" t="n"/>
      <c r="C47" s="26" t="inlineStr">
        <is>
          <t>2025-05-02</t>
        </is>
      </c>
      <c r="D47" s="26" t="inlineStr">
        <is>
          <t>Else01</t>
        </is>
      </c>
      <c r="E47" s="26" t="n"/>
      <c r="F47" s="26" t="inlineStr">
        <is>
          <t>杭州知识跳跳科技有限公司</t>
        </is>
      </c>
      <c r="G47" s="26" t="inlineStr">
        <is>
          <t>记-3</t>
        </is>
      </c>
      <c r="H47" s="26" t="n"/>
      <c r="I47" s="99" t="n">
        <v>5</v>
      </c>
      <c r="J47" s="99" t="n">
        <v>5</v>
      </c>
    </row>
    <row r="48" s="83">
      <c r="A48" s="27" t="inlineStr">
        <is>
          <t>101203</t>
        </is>
      </c>
      <c r="B48" s="27" t="n"/>
      <c r="C48" s="27" t="inlineStr">
        <is>
          <t>2025-05-02</t>
        </is>
      </c>
      <c r="D48" s="27" t="inlineStr">
        <is>
          <t>Else01</t>
        </is>
      </c>
      <c r="E48" s="27" t="n"/>
      <c r="F48" s="27" t="inlineStr">
        <is>
          <t>杭州知识跳跳科技有限公司</t>
        </is>
      </c>
      <c r="G48" s="27" t="inlineStr">
        <is>
          <t>记-3</t>
        </is>
      </c>
      <c r="H48" s="27" t="n"/>
      <c r="I48" s="100" t="n"/>
      <c r="J48" s="100" t="n">
        <v>5</v>
      </c>
    </row>
    <row r="49" s="83">
      <c r="A49" s="26" t="inlineStr">
        <is>
          <t>101203</t>
        </is>
      </c>
      <c r="B49" s="26" t="n"/>
      <c r="C49" s="26" t="inlineStr">
        <is>
          <t>2025-05-03</t>
        </is>
      </c>
      <c r="D49" s="26" t="inlineStr">
        <is>
          <t>Else01</t>
        </is>
      </c>
      <c r="E49" s="26" t="n"/>
      <c r="F49" s="26" t="inlineStr">
        <is>
          <t>杭州知识跳跳科技有限公司</t>
        </is>
      </c>
      <c r="G49" s="26" t="inlineStr">
        <is>
          <t>记-4</t>
        </is>
      </c>
      <c r="H49" s="26" t="n"/>
      <c r="I49" s="99" t="n">
        <v>5</v>
      </c>
      <c r="J49" s="99" t="n">
        <v>5</v>
      </c>
    </row>
    <row r="50" s="83">
      <c r="A50" s="27" t="inlineStr">
        <is>
          <t>101203</t>
        </is>
      </c>
      <c r="B50" s="27" t="n"/>
      <c r="C50" s="27" t="inlineStr">
        <is>
          <t>2025-05-03</t>
        </is>
      </c>
      <c r="D50" s="27" t="inlineStr">
        <is>
          <t>Else01</t>
        </is>
      </c>
      <c r="E50" s="27" t="n"/>
      <c r="F50" s="27" t="inlineStr">
        <is>
          <t>杭州知识跳跳科技有限公司</t>
        </is>
      </c>
      <c r="G50" s="27" t="inlineStr">
        <is>
          <t>记-4</t>
        </is>
      </c>
      <c r="H50" s="27" t="n"/>
      <c r="I50" s="100" t="n"/>
      <c r="J50" s="100" t="n">
        <v>5</v>
      </c>
    </row>
    <row r="51" s="83">
      <c r="A51" s="26" t="inlineStr">
        <is>
          <t>101203</t>
        </is>
      </c>
      <c r="B51" s="26" t="n"/>
      <c r="C51" s="26" t="inlineStr">
        <is>
          <t>2025-05-04</t>
        </is>
      </c>
      <c r="D51" s="26" t="inlineStr">
        <is>
          <t>Else01</t>
        </is>
      </c>
      <c r="E51" s="26" t="n"/>
      <c r="F51" s="26" t="inlineStr">
        <is>
          <t>杭州知识跳跳科技有限公司</t>
        </is>
      </c>
      <c r="G51" s="26" t="inlineStr">
        <is>
          <t>记-5</t>
        </is>
      </c>
      <c r="H51" s="26" t="n"/>
      <c r="I51" s="99" t="n">
        <v>5</v>
      </c>
      <c r="J51" s="99" t="n">
        <v>5</v>
      </c>
    </row>
    <row r="52" s="83">
      <c r="A52" s="27" t="inlineStr">
        <is>
          <t>101203</t>
        </is>
      </c>
      <c r="B52" s="27" t="n"/>
      <c r="C52" s="27" t="inlineStr">
        <is>
          <t>2025-05-04</t>
        </is>
      </c>
      <c r="D52" s="27" t="inlineStr">
        <is>
          <t>Else01</t>
        </is>
      </c>
      <c r="E52" s="27" t="n"/>
      <c r="F52" s="27" t="inlineStr">
        <is>
          <t>杭州知识跳跳科技有限公司</t>
        </is>
      </c>
      <c r="G52" s="27" t="inlineStr">
        <is>
          <t>记-5</t>
        </is>
      </c>
      <c r="H52" s="27" t="n"/>
      <c r="I52" s="100" t="n"/>
      <c r="J52" s="100" t="n">
        <v>5</v>
      </c>
    </row>
    <row r="53" s="83">
      <c r="A53" s="26" t="inlineStr">
        <is>
          <t>101203</t>
        </is>
      </c>
      <c r="B53" s="26" t="n"/>
      <c r="C53" s="26" t="inlineStr">
        <is>
          <t>2025-05-05</t>
        </is>
      </c>
      <c r="D53" s="26" t="inlineStr">
        <is>
          <t>Else01</t>
        </is>
      </c>
      <c r="E53" s="26" t="n"/>
      <c r="F53" s="26" t="inlineStr">
        <is>
          <t>杭州知识跳跳科技有限公司</t>
        </is>
      </c>
      <c r="G53" s="26" t="inlineStr">
        <is>
          <t>记-6</t>
        </is>
      </c>
      <c r="H53" s="26" t="n"/>
      <c r="I53" s="99" t="n">
        <v>5</v>
      </c>
      <c r="J53" s="99" t="n">
        <v>5</v>
      </c>
    </row>
    <row r="54" s="83">
      <c r="A54" s="27" t="inlineStr">
        <is>
          <t>101203</t>
        </is>
      </c>
      <c r="B54" s="27" t="n"/>
      <c r="C54" s="27" t="inlineStr">
        <is>
          <t>2025-05-05</t>
        </is>
      </c>
      <c r="D54" s="27" t="inlineStr">
        <is>
          <t>Else01</t>
        </is>
      </c>
      <c r="E54" s="27" t="n"/>
      <c r="F54" s="27" t="inlineStr">
        <is>
          <t>杭州知识跳跳科技有限公司</t>
        </is>
      </c>
      <c r="G54" s="27" t="inlineStr">
        <is>
          <t>记-6</t>
        </is>
      </c>
      <c r="H54" s="27" t="n"/>
      <c r="I54" s="100" t="n"/>
      <c r="J54" s="100" t="n">
        <v>5</v>
      </c>
    </row>
    <row r="55" s="83">
      <c r="A55" s="26" t="inlineStr">
        <is>
          <t>101203</t>
        </is>
      </c>
      <c r="B55" s="26" t="n"/>
      <c r="C55" s="26" t="inlineStr">
        <is>
          <t>2025-05-06</t>
        </is>
      </c>
      <c r="D55" s="26" t="inlineStr">
        <is>
          <t>Else01</t>
        </is>
      </c>
      <c r="E55" s="26" t="n"/>
      <c r="F55" s="26" t="inlineStr">
        <is>
          <t>杭州知识跳跳科技有限公司</t>
        </is>
      </c>
      <c r="G55" s="26" t="inlineStr">
        <is>
          <t>记-8</t>
        </is>
      </c>
      <c r="H55" s="26" t="n"/>
      <c r="I55" s="99" t="n">
        <v>5</v>
      </c>
      <c r="J55" s="99" t="n">
        <v>5</v>
      </c>
    </row>
    <row r="56" s="83">
      <c r="A56" s="27" t="inlineStr">
        <is>
          <t>101203</t>
        </is>
      </c>
      <c r="B56" s="27" t="n"/>
      <c r="C56" s="27" t="inlineStr">
        <is>
          <t>2025-05-06</t>
        </is>
      </c>
      <c r="D56" s="27" t="inlineStr">
        <is>
          <t>Else01</t>
        </is>
      </c>
      <c r="E56" s="27" t="n"/>
      <c r="F56" s="27" t="inlineStr">
        <is>
          <t>杭州知识跳跳科技有限公司</t>
        </is>
      </c>
      <c r="G56" s="27" t="inlineStr">
        <is>
          <t>记-8</t>
        </is>
      </c>
      <c r="H56" s="27" t="n"/>
      <c r="I56" s="100" t="n"/>
      <c r="J56" s="100" t="n">
        <v>5</v>
      </c>
    </row>
    <row r="57" s="83">
      <c r="A57" s="26" t="inlineStr">
        <is>
          <t>101203</t>
        </is>
      </c>
      <c r="B57" s="26" t="n"/>
      <c r="C57" s="26" t="inlineStr">
        <is>
          <t>2025-05-07</t>
        </is>
      </c>
      <c r="D57" s="26" t="inlineStr">
        <is>
          <t>Else01</t>
        </is>
      </c>
      <c r="E57" s="26" t="n"/>
      <c r="F57" s="26" t="inlineStr">
        <is>
          <t>杭州知识跳跳科技有限公司</t>
        </is>
      </c>
      <c r="G57" s="26" t="inlineStr">
        <is>
          <t>记-10</t>
        </is>
      </c>
      <c r="H57" s="26" t="n"/>
      <c r="I57" s="99" t="n">
        <v>5</v>
      </c>
      <c r="J57" s="99" t="n">
        <v>5</v>
      </c>
    </row>
    <row r="58" s="83">
      <c r="A58" s="27" t="inlineStr">
        <is>
          <t>101203</t>
        </is>
      </c>
      <c r="B58" s="27" t="n"/>
      <c r="C58" s="27" t="inlineStr">
        <is>
          <t>2025-05-07</t>
        </is>
      </c>
      <c r="D58" s="27" t="inlineStr">
        <is>
          <t>Else01</t>
        </is>
      </c>
      <c r="E58" s="27" t="n"/>
      <c r="F58" s="27" t="inlineStr">
        <is>
          <t>杭州知识跳跳科技有限公司</t>
        </is>
      </c>
      <c r="G58" s="27" t="inlineStr">
        <is>
          <t>记-10</t>
        </is>
      </c>
      <c r="H58" s="27" t="n"/>
      <c r="I58" s="100" t="n"/>
      <c r="J58" s="100" t="n">
        <v>5</v>
      </c>
    </row>
    <row r="59" s="83">
      <c r="A59" s="26" t="inlineStr">
        <is>
          <t>101203</t>
        </is>
      </c>
      <c r="B59" s="26" t="n"/>
      <c r="C59" s="26" t="inlineStr">
        <is>
          <t>2025-05-08</t>
        </is>
      </c>
      <c r="D59" s="26" t="inlineStr">
        <is>
          <t>Else01</t>
        </is>
      </c>
      <c r="E59" s="26" t="n"/>
      <c r="F59" s="26" t="inlineStr">
        <is>
          <t>杭州知识跳跳科技有限公司</t>
        </is>
      </c>
      <c r="G59" s="26" t="inlineStr">
        <is>
          <t>记-11</t>
        </is>
      </c>
      <c r="H59" s="26" t="n"/>
      <c r="I59" s="99" t="n">
        <v>5</v>
      </c>
      <c r="J59" s="99" t="n">
        <v>5</v>
      </c>
    </row>
    <row r="60" s="83">
      <c r="A60" s="27" t="inlineStr">
        <is>
          <t>101203</t>
        </is>
      </c>
      <c r="B60" s="27" t="n"/>
      <c r="C60" s="27" t="inlineStr">
        <is>
          <t>2025-05-08</t>
        </is>
      </c>
      <c r="D60" s="27" t="inlineStr">
        <is>
          <t>Else01</t>
        </is>
      </c>
      <c r="E60" s="27" t="n"/>
      <c r="F60" s="27" t="inlineStr">
        <is>
          <t>杭州知识跳跳科技有限公司</t>
        </is>
      </c>
      <c r="G60" s="27" t="inlineStr">
        <is>
          <t>记-11</t>
        </is>
      </c>
      <c r="H60" s="27" t="n"/>
      <c r="I60" s="100" t="n"/>
      <c r="J60" s="100" t="n">
        <v>5</v>
      </c>
    </row>
    <row r="61" s="83">
      <c r="A61" s="26" t="inlineStr">
        <is>
          <t>101203</t>
        </is>
      </c>
      <c r="B61" s="26" t="n"/>
      <c r="C61" s="26" t="inlineStr">
        <is>
          <t>2025-05-09</t>
        </is>
      </c>
      <c r="D61" s="26" t="inlineStr">
        <is>
          <t>Else01</t>
        </is>
      </c>
      <c r="E61" s="26" t="n"/>
      <c r="F61" s="26" t="inlineStr">
        <is>
          <t>杭州知识跳跳科技有限公司</t>
        </is>
      </c>
      <c r="G61" s="26" t="inlineStr">
        <is>
          <t>记-12</t>
        </is>
      </c>
      <c r="H61" s="26" t="n"/>
      <c r="I61" s="99" t="n">
        <v>5</v>
      </c>
      <c r="J61" s="99" t="n">
        <v>5</v>
      </c>
    </row>
    <row r="62" s="83">
      <c r="A62" s="27" t="inlineStr">
        <is>
          <t>101203</t>
        </is>
      </c>
      <c r="B62" s="27" t="n"/>
      <c r="C62" s="27" t="inlineStr">
        <is>
          <t>2025-05-09</t>
        </is>
      </c>
      <c r="D62" s="27" t="inlineStr">
        <is>
          <t>Else01</t>
        </is>
      </c>
      <c r="E62" s="27" t="n"/>
      <c r="F62" s="27" t="inlineStr">
        <is>
          <t>杭州知识跳跳科技有限公司</t>
        </is>
      </c>
      <c r="G62" s="27" t="inlineStr">
        <is>
          <t>记-12</t>
        </is>
      </c>
      <c r="H62" s="27" t="n"/>
      <c r="I62" s="100" t="n"/>
      <c r="J62" s="100" t="n">
        <v>5</v>
      </c>
    </row>
    <row r="63" s="83">
      <c r="A63" s="26" t="inlineStr">
        <is>
          <t>101203</t>
        </is>
      </c>
      <c r="B63" s="26" t="n"/>
      <c r="C63" s="26" t="inlineStr">
        <is>
          <t>2025-05-10</t>
        </is>
      </c>
      <c r="D63" s="26" t="inlineStr">
        <is>
          <t>Else01</t>
        </is>
      </c>
      <c r="E63" s="26" t="n"/>
      <c r="F63" s="26" t="inlineStr">
        <is>
          <t>杭州知识跳跳科技有限公司</t>
        </is>
      </c>
      <c r="G63" s="26" t="inlineStr">
        <is>
          <t>记-13</t>
        </is>
      </c>
      <c r="H63" s="26" t="n"/>
      <c r="I63" s="99" t="n">
        <v>5</v>
      </c>
      <c r="J63" s="99" t="n">
        <v>5</v>
      </c>
    </row>
    <row r="64" s="83">
      <c r="A64" s="27" t="inlineStr">
        <is>
          <t>101203</t>
        </is>
      </c>
      <c r="B64" s="27" t="n"/>
      <c r="C64" s="27" t="inlineStr">
        <is>
          <t>2025-05-10</t>
        </is>
      </c>
      <c r="D64" s="27" t="inlineStr">
        <is>
          <t>Else01</t>
        </is>
      </c>
      <c r="E64" s="27" t="n"/>
      <c r="F64" s="27" t="inlineStr">
        <is>
          <t>杭州知识跳跳科技有限公司</t>
        </is>
      </c>
      <c r="G64" s="27" t="inlineStr">
        <is>
          <t>记-13</t>
        </is>
      </c>
      <c r="H64" s="27" t="n"/>
      <c r="I64" s="100" t="n"/>
      <c r="J64" s="100" t="n">
        <v>5</v>
      </c>
    </row>
    <row r="65" s="83">
      <c r="A65" s="26" t="inlineStr">
        <is>
          <t>101203</t>
        </is>
      </c>
      <c r="B65" s="26" t="n"/>
      <c r="C65" s="26" t="inlineStr">
        <is>
          <t>2025-05-11</t>
        </is>
      </c>
      <c r="D65" s="26" t="inlineStr">
        <is>
          <t>Else01</t>
        </is>
      </c>
      <c r="E65" s="26" t="n"/>
      <c r="F65" s="26" t="inlineStr">
        <is>
          <t>杭州知识跳跳科技有限公司</t>
        </is>
      </c>
      <c r="G65" s="26" t="inlineStr">
        <is>
          <t>记-14</t>
        </is>
      </c>
      <c r="H65" s="26" t="n"/>
      <c r="I65" s="99" t="n">
        <v>5</v>
      </c>
      <c r="J65" s="99" t="n">
        <v>5</v>
      </c>
    </row>
    <row r="66" s="83">
      <c r="A66" s="27" t="inlineStr">
        <is>
          <t>101203</t>
        </is>
      </c>
      <c r="B66" s="27" t="n"/>
      <c r="C66" s="27" t="inlineStr">
        <is>
          <t>2025-05-11</t>
        </is>
      </c>
      <c r="D66" s="27" t="inlineStr">
        <is>
          <t>Else01</t>
        </is>
      </c>
      <c r="E66" s="27" t="n"/>
      <c r="F66" s="27" t="inlineStr">
        <is>
          <t>杭州知识跳跳科技有限公司</t>
        </is>
      </c>
      <c r="G66" s="27" t="inlineStr">
        <is>
          <t>记-14</t>
        </is>
      </c>
      <c r="H66" s="27" t="n"/>
      <c r="I66" s="100" t="n"/>
      <c r="J66" s="100" t="n">
        <v>5</v>
      </c>
    </row>
    <row r="67" s="83">
      <c r="A67" s="26" t="inlineStr">
        <is>
          <t>101203</t>
        </is>
      </c>
      <c r="B67" s="26" t="n"/>
      <c r="C67" s="26" t="inlineStr">
        <is>
          <t>2025-05-13</t>
        </is>
      </c>
      <c r="D67" s="26" t="inlineStr">
        <is>
          <t>Else01</t>
        </is>
      </c>
      <c r="E67" s="26" t="n"/>
      <c r="F67" s="26" t="inlineStr">
        <is>
          <t>杭州知识跳跳科技有限公司</t>
        </is>
      </c>
      <c r="G67" s="26" t="inlineStr">
        <is>
          <t>记-20</t>
        </is>
      </c>
      <c r="H67" s="26" t="n"/>
      <c r="I67" s="99" t="n">
        <v>5</v>
      </c>
      <c r="J67" s="99" t="n">
        <v>5</v>
      </c>
    </row>
    <row r="68" s="83">
      <c r="A68" s="27" t="inlineStr">
        <is>
          <t>101203</t>
        </is>
      </c>
      <c r="B68" s="27" t="n"/>
      <c r="C68" s="27" t="inlineStr">
        <is>
          <t>2025-05-13</t>
        </is>
      </c>
      <c r="D68" s="27" t="inlineStr">
        <is>
          <t>Else01</t>
        </is>
      </c>
      <c r="E68" s="27" t="n"/>
      <c r="F68" s="27" t="inlineStr">
        <is>
          <t>杭州知识跳跳科技有限公司</t>
        </is>
      </c>
      <c r="G68" s="27" t="inlineStr">
        <is>
          <t>记-20</t>
        </is>
      </c>
      <c r="H68" s="27" t="n"/>
      <c r="I68" s="100" t="n"/>
      <c r="J68" s="100" t="n">
        <v>5</v>
      </c>
    </row>
    <row r="69" s="83">
      <c r="A69" s="26" t="inlineStr">
        <is>
          <t>101203</t>
        </is>
      </c>
      <c r="B69" s="26" t="n"/>
      <c r="C69" s="26" t="inlineStr">
        <is>
          <t>2025-05-14</t>
        </is>
      </c>
      <c r="D69" s="26" t="inlineStr">
        <is>
          <t>Else01</t>
        </is>
      </c>
      <c r="E69" s="26" t="n"/>
      <c r="F69" s="26" t="inlineStr">
        <is>
          <t>杭州知识跳跳科技有限公司</t>
        </is>
      </c>
      <c r="G69" s="26" t="inlineStr">
        <is>
          <t>记-24</t>
        </is>
      </c>
      <c r="H69" s="26" t="n"/>
      <c r="I69" s="99" t="n">
        <v>5</v>
      </c>
      <c r="J69" s="99" t="n">
        <v>5</v>
      </c>
    </row>
    <row r="70" s="83">
      <c r="A70" s="27" t="inlineStr">
        <is>
          <t>101203</t>
        </is>
      </c>
      <c r="B70" s="27" t="n"/>
      <c r="C70" s="27" t="inlineStr">
        <is>
          <t>2025-05-14</t>
        </is>
      </c>
      <c r="D70" s="27" t="inlineStr">
        <is>
          <t>Else01</t>
        </is>
      </c>
      <c r="E70" s="27" t="n"/>
      <c r="F70" s="27" t="inlineStr">
        <is>
          <t>杭州知识跳跳科技有限公司</t>
        </is>
      </c>
      <c r="G70" s="27" t="inlineStr">
        <is>
          <t>记-24</t>
        </is>
      </c>
      <c r="H70" s="27" t="n"/>
      <c r="I70" s="100" t="n"/>
      <c r="J70" s="100" t="n">
        <v>5</v>
      </c>
    </row>
    <row r="71" s="83">
      <c r="A71" s="26" t="inlineStr">
        <is>
          <t>101203</t>
        </is>
      </c>
      <c r="B71" s="26" t="n"/>
      <c r="C71" s="26" t="inlineStr">
        <is>
          <t>2025-05-21</t>
        </is>
      </c>
      <c r="D71" s="26" t="inlineStr">
        <is>
          <t>Else01</t>
        </is>
      </c>
      <c r="E71" s="26" t="n"/>
      <c r="F71" s="26" t="inlineStr">
        <is>
          <t>杭州知识跳跳科技有限公司</t>
        </is>
      </c>
      <c r="G71" s="26" t="inlineStr">
        <is>
          <t>记-15</t>
        </is>
      </c>
      <c r="H71" s="26" t="n"/>
      <c r="I71" s="99" t="n">
        <v>5</v>
      </c>
      <c r="J71" s="99" t="n">
        <v>5</v>
      </c>
    </row>
    <row r="72" s="83">
      <c r="A72" s="27" t="inlineStr">
        <is>
          <t>101203</t>
        </is>
      </c>
      <c r="B72" s="27" t="n"/>
      <c r="C72" s="27" t="inlineStr">
        <is>
          <t>2025-05-21</t>
        </is>
      </c>
      <c r="D72" s="27" t="inlineStr">
        <is>
          <t>Else01</t>
        </is>
      </c>
      <c r="E72" s="27" t="n"/>
      <c r="F72" s="27" t="inlineStr">
        <is>
          <t>杭州知识跳跳科技有限公司</t>
        </is>
      </c>
      <c r="G72" s="27" t="inlineStr">
        <is>
          <t>记-15</t>
        </is>
      </c>
      <c r="H72" s="27" t="n"/>
      <c r="I72" s="100" t="n"/>
      <c r="J72" s="100" t="n">
        <v>5</v>
      </c>
    </row>
    <row r="73" s="83">
      <c r="A73" s="26" t="inlineStr">
        <is>
          <t>101203</t>
        </is>
      </c>
      <c r="B73" s="26" t="n"/>
      <c r="C73" s="26" t="inlineStr">
        <is>
          <t>2025-05-31</t>
        </is>
      </c>
      <c r="D73" s="26" t="inlineStr">
        <is>
          <t>Else01</t>
        </is>
      </c>
      <c r="E73" s="26" t="n"/>
      <c r="F73" s="26" t="inlineStr">
        <is>
          <t>杭州知识跳跳科技有限公司</t>
        </is>
      </c>
      <c r="G73" s="26" t="inlineStr">
        <is>
          <t>记-44</t>
        </is>
      </c>
      <c r="H73" s="26" t="n"/>
      <c r="I73" s="99" t="n">
        <v>5</v>
      </c>
      <c r="J73" s="99" t="n">
        <v>5</v>
      </c>
    </row>
    <row r="74" s="83">
      <c r="A74" s="27" t="inlineStr">
        <is>
          <t>101203</t>
        </is>
      </c>
      <c r="B74" s="27" t="n"/>
      <c r="C74" s="27" t="inlineStr">
        <is>
          <t>2025-05-31</t>
        </is>
      </c>
      <c r="D74" s="27" t="inlineStr">
        <is>
          <t>Else01</t>
        </is>
      </c>
      <c r="E74" s="27" t="n"/>
      <c r="F74" s="27" t="inlineStr">
        <is>
          <t>杭州知识跳跳科技有限公司</t>
        </is>
      </c>
      <c r="G74" s="27" t="inlineStr">
        <is>
          <t>记-44</t>
        </is>
      </c>
      <c r="H74" s="27" t="n"/>
      <c r="I74" s="100" t="n"/>
      <c r="J74" s="100" t="n">
        <v>5</v>
      </c>
    </row>
    <row r="75" s="83">
      <c r="A75" s="27" t="inlineStr">
        <is>
          <t>101203</t>
        </is>
      </c>
      <c r="B75" s="27" t="n"/>
      <c r="C75" s="27" t="inlineStr">
        <is>
          <t>2025-05-31</t>
        </is>
      </c>
      <c r="D75" s="27" t="inlineStr">
        <is>
          <t>Q0101</t>
        </is>
      </c>
      <c r="E75" s="27" t="n"/>
      <c r="F75" s="27" t="inlineStr">
        <is>
          <t>杭州知识跳跳科技有限公司</t>
        </is>
      </c>
      <c r="G75" s="27" t="inlineStr">
        <is>
          <t>记-45</t>
        </is>
      </c>
      <c r="H75" s="27" t="n"/>
      <c r="I75" s="99" t="n">
        <v>5</v>
      </c>
      <c r="J75" s="100" t="n">
        <v>5</v>
      </c>
    </row>
    <row r="76" s="83">
      <c r="A76" s="26" t="inlineStr">
        <is>
          <t>101203</t>
        </is>
      </c>
      <c r="B76" s="26" t="n"/>
      <c r="C76" s="26" t="inlineStr">
        <is>
          <t>2025-05-31</t>
        </is>
      </c>
      <c r="D76" s="26" t="inlineStr">
        <is>
          <t>Q0101</t>
        </is>
      </c>
      <c r="E76" s="26" t="n"/>
      <c r="F76" s="26" t="inlineStr">
        <is>
          <t>杭州知识跳跳科技有限公司</t>
        </is>
      </c>
      <c r="G76" s="26" t="inlineStr">
        <is>
          <t>记-45</t>
        </is>
      </c>
      <c r="H76" s="26" t="n"/>
      <c r="I76" s="99" t="n"/>
      <c r="J76" s="99" t="n">
        <v>5</v>
      </c>
    </row>
    <row r="77" s="83">
      <c r="A77" s="26" t="inlineStr">
        <is>
          <t>101203</t>
        </is>
      </c>
      <c r="B77" s="26" t="n"/>
      <c r="C77" s="26" t="inlineStr">
        <is>
          <t>2025-05-31</t>
        </is>
      </c>
      <c r="D77" s="26" t="inlineStr">
        <is>
          <t>Q0103</t>
        </is>
      </c>
      <c r="E77" s="26" t="n"/>
      <c r="F77" s="26" t="inlineStr">
        <is>
          <t>杭州知识跳跳科技有限公司</t>
        </is>
      </c>
      <c r="G77" s="26" t="inlineStr">
        <is>
          <t>记-45</t>
        </is>
      </c>
      <c r="H77" s="26" t="n"/>
      <c r="I77" s="99" t="n">
        <v>5</v>
      </c>
      <c r="J77" s="99" t="n">
        <v>5</v>
      </c>
    </row>
    <row r="78" s="83">
      <c r="A78" s="27" t="inlineStr">
        <is>
          <t>101203</t>
        </is>
      </c>
      <c r="B78" s="27" t="n"/>
      <c r="C78" s="27" t="inlineStr">
        <is>
          <t>2025-05-31</t>
        </is>
      </c>
      <c r="D78" s="27" t="inlineStr">
        <is>
          <t>Q0103</t>
        </is>
      </c>
      <c r="E78" s="27" t="n"/>
      <c r="F78" s="27" t="inlineStr">
        <is>
          <t>杭州知识跳跳科技有限公司</t>
        </is>
      </c>
      <c r="G78" s="27" t="inlineStr">
        <is>
          <t>记-45</t>
        </is>
      </c>
      <c r="H78" s="27" t="n"/>
      <c r="I78" s="100" t="n"/>
      <c r="J78" s="100" t="n">
        <v>5</v>
      </c>
    </row>
    <row r="79" s="83">
      <c r="A79" s="26" t="inlineStr">
        <is>
          <t>101203</t>
        </is>
      </c>
      <c r="B79" s="26" t="n"/>
      <c r="C79" s="26" t="inlineStr">
        <is>
          <t>2025-05-13</t>
        </is>
      </c>
      <c r="D79" s="26" t="inlineStr">
        <is>
          <t>Q0401</t>
        </is>
      </c>
      <c r="E79" s="26" t="n"/>
      <c r="F79" s="26" t="inlineStr">
        <is>
          <t>杭州知识跳跳科技有限公司</t>
        </is>
      </c>
      <c r="G79" s="26" t="inlineStr">
        <is>
          <t>记-21</t>
        </is>
      </c>
      <c r="H79" s="26" t="n"/>
      <c r="I79" s="99" t="n"/>
      <c r="J79" s="99" t="n">
        <v>5</v>
      </c>
    </row>
    <row r="80" s="83">
      <c r="A80" s="27" t="inlineStr">
        <is>
          <t>101203</t>
        </is>
      </c>
      <c r="B80" s="27" t="n"/>
      <c r="C80" s="27" t="inlineStr">
        <is>
          <t>2025-05-23</t>
        </is>
      </c>
      <c r="D80" s="27" t="inlineStr">
        <is>
          <t>Q0401</t>
        </is>
      </c>
      <c r="E80" s="27" t="n"/>
      <c r="F80" s="27" t="inlineStr">
        <is>
          <t>杭州知识跳跳科技有限公司</t>
        </is>
      </c>
      <c r="G80" s="27" t="inlineStr">
        <is>
          <t>记-37</t>
        </is>
      </c>
      <c r="H80" s="27" t="n"/>
      <c r="I80" s="100" t="n"/>
      <c r="J80" s="100" t="n">
        <v>5</v>
      </c>
    </row>
    <row r="81" s="83">
      <c r="A81" s="26" t="inlineStr">
        <is>
          <t>101203</t>
        </is>
      </c>
      <c r="B81" s="26" t="n"/>
      <c r="C81" s="26" t="inlineStr">
        <is>
          <t>2025-05-31</t>
        </is>
      </c>
      <c r="D81" s="26" t="inlineStr">
        <is>
          <t>Q0601</t>
        </is>
      </c>
      <c r="E81" s="26" t="n"/>
      <c r="F81" s="26" t="inlineStr">
        <is>
          <t>杭州知识跳跳科技有限公司</t>
        </is>
      </c>
      <c r="G81" s="26" t="inlineStr">
        <is>
          <t>记-45</t>
        </is>
      </c>
      <c r="H81" s="26" t="n"/>
      <c r="I81" s="99" t="n"/>
      <c r="J81" s="99" t="n">
        <v>5</v>
      </c>
    </row>
    <row r="82" s="83">
      <c r="A82" s="27" t="inlineStr">
        <is>
          <t>101203</t>
        </is>
      </c>
      <c r="B82" s="27" t="n"/>
      <c r="C82" s="27" t="inlineStr">
        <is>
          <t>2025-05-31</t>
        </is>
      </c>
      <c r="D82" s="27" t="inlineStr">
        <is>
          <t>Q2201</t>
        </is>
      </c>
      <c r="E82" s="27" t="n"/>
      <c r="F82" s="27" t="inlineStr">
        <is>
          <t>杭州知识跳跳科技有限公司</t>
        </is>
      </c>
      <c r="G82" s="27" t="inlineStr">
        <is>
          <t>记-45</t>
        </is>
      </c>
      <c r="H82" s="27" t="n"/>
      <c r="I82" s="100" t="n"/>
      <c r="J82" s="100" t="n">
        <v>5</v>
      </c>
    </row>
    <row r="83" s="83">
      <c r="A83" s="26" t="inlineStr">
        <is>
          <t>101203</t>
        </is>
      </c>
      <c r="B83" s="26" t="n"/>
      <c r="C83" s="26" t="inlineStr">
        <is>
          <t>2025-05-31</t>
        </is>
      </c>
      <c r="D83" s="26" t="inlineStr">
        <is>
          <t>Q2204</t>
        </is>
      </c>
      <c r="E83" s="26" t="n"/>
      <c r="F83" s="26" t="inlineStr">
        <is>
          <t>杭州知识跳跳科技有限公司</t>
        </is>
      </c>
      <c r="G83" s="26" t="inlineStr">
        <is>
          <t>记-45</t>
        </is>
      </c>
      <c r="H83" s="26" t="n"/>
      <c r="I83" s="99" t="n"/>
      <c r="J83" s="99" t="n">
        <v>5</v>
      </c>
    </row>
    <row r="84" s="83">
      <c r="A84" s="26" t="inlineStr">
        <is>
          <t>101203</t>
        </is>
      </c>
      <c r="B84" s="26" t="n"/>
      <c r="C84" s="26" t="inlineStr">
        <is>
          <t>2025-05-31</t>
        </is>
      </c>
      <c r="D84" s="26" t="inlineStr">
        <is>
          <t>Q2205</t>
        </is>
      </c>
      <c r="E84" s="26" t="n"/>
      <c r="F84" s="26" t="inlineStr">
        <is>
          <t>杭州知识跳跳科技有限公司</t>
        </is>
      </c>
      <c r="G84" s="26" t="inlineStr">
        <is>
          <t>记-45</t>
        </is>
      </c>
      <c r="H84" s="26" t="n"/>
      <c r="I84" s="99" t="n"/>
      <c r="J84" s="99" t="n">
        <v>5</v>
      </c>
    </row>
    <row r="85" s="83">
      <c r="A85" s="26" t="inlineStr">
        <is>
          <t>100201</t>
        </is>
      </c>
      <c r="B85" s="26" t="n"/>
      <c r="C85" s="26" t="inlineStr">
        <is>
          <t>2025-05-09</t>
        </is>
      </c>
      <c r="D85" s="26" t="inlineStr">
        <is>
          <t>Q0101</t>
        </is>
      </c>
      <c r="E85" s="26" t="n"/>
      <c r="F85" s="26" t="inlineStr">
        <is>
          <t>浙江精准学科技有限公司</t>
        </is>
      </c>
      <c r="G85" s="26" t="inlineStr">
        <is>
          <t>记-40</t>
        </is>
      </c>
      <c r="H85" s="26" t="n"/>
      <c r="I85" s="99" t="n"/>
      <c r="J85" s="99" t="n">
        <v>5</v>
      </c>
    </row>
    <row r="86" s="83">
      <c r="A86" s="26" t="inlineStr">
        <is>
          <t>100201</t>
        </is>
      </c>
      <c r="B86" s="26" t="n"/>
      <c r="C86" s="26" t="inlineStr">
        <is>
          <t>2025-05-09</t>
        </is>
      </c>
      <c r="D86" s="26" t="inlineStr">
        <is>
          <t>Q0301</t>
        </is>
      </c>
      <c r="E86" s="26" t="n"/>
      <c r="F86" s="26" t="inlineStr">
        <is>
          <t>浙江精准学科技有限公司</t>
        </is>
      </c>
      <c r="G86" s="26" t="inlineStr">
        <is>
          <t>记-42</t>
        </is>
      </c>
      <c r="H86" s="26" t="n"/>
      <c r="I86" s="99" t="n">
        <v>5</v>
      </c>
      <c r="J86" s="99" t="n">
        <v>5</v>
      </c>
    </row>
    <row r="87" s="83">
      <c r="A87" s="27" t="inlineStr">
        <is>
          <t>100201</t>
        </is>
      </c>
      <c r="B87" s="27" t="n"/>
      <c r="C87" s="27" t="inlineStr">
        <is>
          <t>2025-05-13</t>
        </is>
      </c>
      <c r="D87" s="27" t="inlineStr">
        <is>
          <t>Q0303</t>
        </is>
      </c>
      <c r="E87" s="27" t="n"/>
      <c r="F87" s="27" t="inlineStr">
        <is>
          <t>浙江精准学科技有限公司</t>
        </is>
      </c>
      <c r="G87" s="27" t="inlineStr">
        <is>
          <t>记-63</t>
        </is>
      </c>
      <c r="H87" s="27" t="n"/>
      <c r="I87" s="99" t="n">
        <v>5</v>
      </c>
      <c r="J87" s="100" t="n">
        <v>5</v>
      </c>
    </row>
    <row r="88" s="83">
      <c r="A88" s="26" t="inlineStr">
        <is>
          <t>100201</t>
        </is>
      </c>
      <c r="B88" s="26" t="n"/>
      <c r="C88" s="26" t="inlineStr">
        <is>
          <t>2025-05-13</t>
        </is>
      </c>
      <c r="D88" s="26" t="inlineStr">
        <is>
          <t>Q0303</t>
        </is>
      </c>
      <c r="E88" s="26" t="n"/>
      <c r="F88" s="26" t="inlineStr">
        <is>
          <t>浙江精准学科技有限公司</t>
        </is>
      </c>
      <c r="G88" s="26" t="inlineStr">
        <is>
          <t>记-64</t>
        </is>
      </c>
      <c r="H88" s="26" t="n"/>
      <c r="I88" s="99" t="n">
        <v>5</v>
      </c>
      <c r="J88" s="99" t="n">
        <v>5</v>
      </c>
    </row>
    <row r="89" s="83">
      <c r="A89" s="27" t="inlineStr">
        <is>
          <t>100201</t>
        </is>
      </c>
      <c r="B89" s="27" t="n"/>
      <c r="C89" s="27" t="inlineStr">
        <is>
          <t>2025-05-14</t>
        </is>
      </c>
      <c r="D89" s="27" t="inlineStr">
        <is>
          <t>Q0303</t>
        </is>
      </c>
      <c r="E89" s="27" t="n"/>
      <c r="F89" s="27" t="inlineStr">
        <is>
          <t>浙江精准学科技有限公司</t>
        </is>
      </c>
      <c r="G89" s="27" t="inlineStr">
        <is>
          <t>记-81</t>
        </is>
      </c>
      <c r="H89" s="27" t="n"/>
      <c r="I89" s="99" t="n">
        <v>5</v>
      </c>
      <c r="J89" s="100" t="n">
        <v>5</v>
      </c>
    </row>
    <row r="90" s="83">
      <c r="A90" s="26" t="inlineStr">
        <is>
          <t>100201</t>
        </is>
      </c>
      <c r="B90" s="26" t="n"/>
      <c r="C90" s="26" t="inlineStr">
        <is>
          <t>2025-05-19</t>
        </is>
      </c>
      <c r="D90" s="26" t="inlineStr">
        <is>
          <t>Q0303</t>
        </is>
      </c>
      <c r="E90" s="26" t="n"/>
      <c r="F90" s="26" t="inlineStr">
        <is>
          <t>浙江精准学科技有限公司</t>
        </is>
      </c>
      <c r="G90" s="26" t="inlineStr">
        <is>
          <t>记-123</t>
        </is>
      </c>
      <c r="H90" s="26" t="n"/>
      <c r="I90" s="99" t="n">
        <v>5</v>
      </c>
      <c r="J90" s="99" t="n">
        <v>5</v>
      </c>
    </row>
    <row r="91" s="83">
      <c r="A91" s="26" t="inlineStr">
        <is>
          <t>100201</t>
        </is>
      </c>
      <c r="B91" s="26" t="n"/>
      <c r="C91" s="26" t="inlineStr">
        <is>
          <t>2025-05-01</t>
        </is>
      </c>
      <c r="D91" s="26" t="inlineStr">
        <is>
          <t>Q0401</t>
        </is>
      </c>
      <c r="E91" s="26" t="n"/>
      <c r="F91" s="26" t="inlineStr">
        <is>
          <t>浙江精准学科技有限公司</t>
        </is>
      </c>
      <c r="G91" s="26" t="inlineStr">
        <is>
          <t>记-5</t>
        </is>
      </c>
      <c r="H91" s="26" t="n"/>
      <c r="I91" s="99" t="n">
        <v>5</v>
      </c>
      <c r="J91" s="99" t="n">
        <v>5</v>
      </c>
    </row>
    <row r="92" s="83">
      <c r="A92" s="27" t="inlineStr">
        <is>
          <t>100201</t>
        </is>
      </c>
      <c r="B92" s="27" t="n"/>
      <c r="C92" s="27" t="inlineStr">
        <is>
          <t>2025-05-02</t>
        </is>
      </c>
      <c r="D92" s="27" t="inlineStr">
        <is>
          <t>Q0401</t>
        </is>
      </c>
      <c r="E92" s="27" t="n"/>
      <c r="F92" s="27" t="inlineStr">
        <is>
          <t>浙江精准学科技有限公司</t>
        </is>
      </c>
      <c r="G92" s="27" t="inlineStr">
        <is>
          <t>记-8</t>
        </is>
      </c>
      <c r="H92" s="27" t="n"/>
      <c r="I92" s="99" t="n">
        <v>5</v>
      </c>
      <c r="J92" s="100" t="n">
        <v>5</v>
      </c>
    </row>
    <row r="93" s="83">
      <c r="A93" s="26" t="inlineStr">
        <is>
          <t>100201</t>
        </is>
      </c>
      <c r="B93" s="26" t="n"/>
      <c r="C93" s="26" t="inlineStr">
        <is>
          <t>2025-05-03</t>
        </is>
      </c>
      <c r="D93" s="26" t="inlineStr">
        <is>
          <t>Q0401</t>
        </is>
      </c>
      <c r="E93" s="26" t="n"/>
      <c r="F93" s="26" t="inlineStr">
        <is>
          <t>浙江精准学科技有限公司</t>
        </is>
      </c>
      <c r="G93" s="26" t="inlineStr">
        <is>
          <t>记-11</t>
        </is>
      </c>
      <c r="H93" s="26" t="n"/>
      <c r="I93" s="99" t="n">
        <v>5</v>
      </c>
      <c r="J93" s="99" t="n">
        <v>5</v>
      </c>
    </row>
    <row r="94" s="83">
      <c r="A94" s="27" t="inlineStr">
        <is>
          <t>100201</t>
        </is>
      </c>
      <c r="B94" s="27" t="n"/>
      <c r="C94" s="27" t="inlineStr">
        <is>
          <t>2025-05-04</t>
        </is>
      </c>
      <c r="D94" s="27" t="inlineStr">
        <is>
          <t>Q0401</t>
        </is>
      </c>
      <c r="E94" s="27" t="n"/>
      <c r="F94" s="27" t="inlineStr">
        <is>
          <t>浙江精准学科技有限公司</t>
        </is>
      </c>
      <c r="G94" s="27" t="inlineStr">
        <is>
          <t>记-14</t>
        </is>
      </c>
      <c r="H94" s="27" t="n"/>
      <c r="I94" s="99" t="n">
        <v>5</v>
      </c>
      <c r="J94" s="100" t="n">
        <v>5</v>
      </c>
    </row>
    <row r="95" s="83">
      <c r="A95" s="26" t="inlineStr">
        <is>
          <t>100201</t>
        </is>
      </c>
      <c r="B95" s="26" t="n"/>
      <c r="C95" s="26" t="inlineStr">
        <is>
          <t>2025-05-05</t>
        </is>
      </c>
      <c r="D95" s="26" t="inlineStr">
        <is>
          <t>Q0401</t>
        </is>
      </c>
      <c r="E95" s="26" t="n"/>
      <c r="F95" s="26" t="inlineStr">
        <is>
          <t>浙江精准学科技有限公司</t>
        </is>
      </c>
      <c r="G95" s="26" t="inlineStr">
        <is>
          <t>记-17</t>
        </is>
      </c>
      <c r="H95" s="26" t="n"/>
      <c r="I95" s="99" t="n">
        <v>5</v>
      </c>
      <c r="J95" s="99" t="n">
        <v>5</v>
      </c>
    </row>
    <row r="96" s="83">
      <c r="A96" s="27" t="inlineStr">
        <is>
          <t>100201</t>
        </is>
      </c>
      <c r="B96" s="27" t="n"/>
      <c r="C96" s="27" t="inlineStr">
        <is>
          <t>2025-05-06</t>
        </is>
      </c>
      <c r="D96" s="27" t="inlineStr">
        <is>
          <t>Q0401</t>
        </is>
      </c>
      <c r="E96" s="27" t="n"/>
      <c r="F96" s="27" t="inlineStr">
        <is>
          <t>浙江精准学科技有限公司</t>
        </is>
      </c>
      <c r="G96" s="27" t="inlineStr">
        <is>
          <t>记-21</t>
        </is>
      </c>
      <c r="H96" s="27" t="n"/>
      <c r="I96" s="99" t="n">
        <v>5</v>
      </c>
      <c r="J96" s="100" t="n">
        <v>5</v>
      </c>
    </row>
    <row r="97" s="83">
      <c r="A97" s="26" t="inlineStr">
        <is>
          <t>100201</t>
        </is>
      </c>
      <c r="B97" s="26" t="n"/>
      <c r="C97" s="26" t="inlineStr">
        <is>
          <t>2025-05-07</t>
        </is>
      </c>
      <c r="D97" s="26" t="inlineStr">
        <is>
          <t>Q0401</t>
        </is>
      </c>
      <c r="E97" s="26" t="n"/>
      <c r="F97" s="26" t="inlineStr">
        <is>
          <t>浙江精准学科技有限公司</t>
        </is>
      </c>
      <c r="G97" s="26" t="inlineStr">
        <is>
          <t>记-23</t>
        </is>
      </c>
      <c r="H97" s="26" t="n"/>
      <c r="I97" s="99" t="n">
        <v>5</v>
      </c>
      <c r="J97" s="99" t="n">
        <v>5</v>
      </c>
    </row>
    <row r="98" s="83">
      <c r="A98" s="27" t="inlineStr">
        <is>
          <t>100201</t>
        </is>
      </c>
      <c r="B98" s="27" t="n"/>
      <c r="C98" s="27" t="inlineStr">
        <is>
          <t>2025-05-07</t>
        </is>
      </c>
      <c r="D98" s="27" t="inlineStr">
        <is>
          <t>Q0401</t>
        </is>
      </c>
      <c r="E98" s="27" t="n"/>
      <c r="F98" s="27" t="inlineStr">
        <is>
          <t>浙江精准学科技有限公司</t>
        </is>
      </c>
      <c r="G98" s="27" t="inlineStr">
        <is>
          <t>记-24</t>
        </is>
      </c>
      <c r="H98" s="27" t="n"/>
      <c r="I98" s="99" t="n">
        <v>5</v>
      </c>
      <c r="J98" s="100" t="n">
        <v>5</v>
      </c>
    </row>
    <row r="99" s="83">
      <c r="A99" s="26" t="inlineStr">
        <is>
          <t>100201</t>
        </is>
      </c>
      <c r="B99" s="26" t="n"/>
      <c r="C99" s="26" t="inlineStr">
        <is>
          <t>2025-05-08</t>
        </is>
      </c>
      <c r="D99" s="26" t="inlineStr">
        <is>
          <t>Q0401</t>
        </is>
      </c>
      <c r="E99" s="26" t="n"/>
      <c r="F99" s="26" t="inlineStr">
        <is>
          <t>浙江精准学科技有限公司</t>
        </is>
      </c>
      <c r="G99" s="26" t="inlineStr">
        <is>
          <t>记-34</t>
        </is>
      </c>
      <c r="H99" s="26" t="n"/>
      <c r="I99" s="99" t="n">
        <v>5</v>
      </c>
      <c r="J99" s="99" t="n">
        <v>5</v>
      </c>
    </row>
    <row r="100" s="83">
      <c r="A100" s="27" t="inlineStr">
        <is>
          <t>100201</t>
        </is>
      </c>
      <c r="B100" s="27" t="n"/>
      <c r="C100" s="27" t="inlineStr">
        <is>
          <t>2025-05-11</t>
        </is>
      </c>
      <c r="D100" s="27" t="inlineStr">
        <is>
          <t>Q0401</t>
        </is>
      </c>
      <c r="E100" s="27" t="n"/>
      <c r="F100" s="27" t="inlineStr">
        <is>
          <t>浙江精准学科技有限公司</t>
        </is>
      </c>
      <c r="G100" s="27" t="inlineStr">
        <is>
          <t>记-49</t>
        </is>
      </c>
      <c r="H100" s="27" t="n"/>
      <c r="I100" s="99" t="n">
        <v>5</v>
      </c>
      <c r="J100" s="100" t="n">
        <v>5</v>
      </c>
    </row>
    <row r="101" s="83">
      <c r="A101" s="26" t="inlineStr">
        <is>
          <t>100201</t>
        </is>
      </c>
      <c r="B101" s="26" t="n"/>
      <c r="C101" s="26" t="inlineStr">
        <is>
          <t>2025-05-14</t>
        </is>
      </c>
      <c r="D101" s="26" t="inlineStr">
        <is>
          <t>Q0401</t>
        </is>
      </c>
      <c r="E101" s="26" t="n"/>
      <c r="F101" s="26" t="inlineStr">
        <is>
          <t>浙江精准学科技有限公司</t>
        </is>
      </c>
      <c r="G101" s="26" t="inlineStr">
        <is>
          <t>记-70</t>
        </is>
      </c>
      <c r="H101" s="26" t="n"/>
      <c r="I101" s="99" t="n">
        <v>5</v>
      </c>
      <c r="J101" s="99" t="n">
        <v>5</v>
      </c>
    </row>
    <row r="102" s="83">
      <c r="A102" s="27" t="inlineStr">
        <is>
          <t>100201</t>
        </is>
      </c>
      <c r="B102" s="27" t="n"/>
      <c r="C102" s="27" t="inlineStr">
        <is>
          <t>2025-05-14</t>
        </is>
      </c>
      <c r="D102" s="27" t="inlineStr">
        <is>
          <t>Q0401</t>
        </is>
      </c>
      <c r="E102" s="27" t="n"/>
      <c r="F102" s="27" t="inlineStr">
        <is>
          <t>浙江精准学科技有限公司</t>
        </is>
      </c>
      <c r="G102" s="27" t="inlineStr">
        <is>
          <t>记-71</t>
        </is>
      </c>
      <c r="H102" s="27" t="n"/>
      <c r="I102" s="99" t="n">
        <v>5</v>
      </c>
      <c r="J102" s="100" t="n">
        <v>5</v>
      </c>
    </row>
    <row r="103" s="83">
      <c r="A103" s="26" t="inlineStr">
        <is>
          <t>100201</t>
        </is>
      </c>
      <c r="B103" s="26" t="n"/>
      <c r="C103" s="26" t="inlineStr">
        <is>
          <t>2025-05-15</t>
        </is>
      </c>
      <c r="D103" s="26" t="inlineStr">
        <is>
          <t>Q0401</t>
        </is>
      </c>
      <c r="E103" s="26" t="n"/>
      <c r="F103" s="26" t="inlineStr">
        <is>
          <t>浙江精准学科技有限公司</t>
        </is>
      </c>
      <c r="G103" s="26" t="inlineStr">
        <is>
          <t>记-96</t>
        </is>
      </c>
      <c r="H103" s="26" t="n"/>
      <c r="I103" s="99" t="n">
        <v>5</v>
      </c>
      <c r="J103" s="99" t="n">
        <v>5</v>
      </c>
    </row>
    <row r="104" s="83">
      <c r="A104" s="26" t="n"/>
      <c r="B104" s="26" t="n"/>
      <c r="C104" s="26" t="n"/>
      <c r="D104" s="26" t="inlineStr">
        <is>
          <t>Q3105</t>
        </is>
      </c>
      <c r="E104" s="26" t="n"/>
      <c r="F104" s="26" t="inlineStr">
        <is>
          <t>浙江精准学科技有限公司</t>
        </is>
      </c>
      <c r="G104" s="26" t="inlineStr">
        <is>
          <t>记-96</t>
        </is>
      </c>
      <c r="H104" s="26" t="n"/>
      <c r="I104" s="99" t="n">
        <v>5</v>
      </c>
      <c r="J104" s="99" t="n">
        <v>5</v>
      </c>
    </row>
    <row r="105" s="83">
      <c r="A105" s="27" t="inlineStr">
        <is>
          <t>100201</t>
        </is>
      </c>
      <c r="B105" s="27" t="n"/>
      <c r="C105" s="27" t="inlineStr">
        <is>
          <t>2025-05-15</t>
        </is>
      </c>
      <c r="D105" s="27" t="inlineStr">
        <is>
          <t>Q0401</t>
        </is>
      </c>
      <c r="E105" s="27" t="n"/>
      <c r="F105" s="27" t="inlineStr">
        <is>
          <t>浙江精准学科技有限公司</t>
        </is>
      </c>
      <c r="G105" s="27" t="inlineStr">
        <is>
          <t>记-97</t>
        </is>
      </c>
      <c r="H105" s="27" t="n"/>
      <c r="I105" s="99" t="n">
        <v>5</v>
      </c>
      <c r="J105" s="100" t="n">
        <v>5</v>
      </c>
    </row>
    <row r="106" s="83">
      <c r="A106" s="26" t="inlineStr">
        <is>
          <t>100201</t>
        </is>
      </c>
      <c r="B106" s="26" t="n"/>
      <c r="C106" s="26" t="inlineStr">
        <is>
          <t>2025-05-15</t>
        </is>
      </c>
      <c r="D106" s="26" t="inlineStr">
        <is>
          <t>Q0401</t>
        </is>
      </c>
      <c r="E106" s="26" t="n"/>
      <c r="F106" s="26" t="inlineStr">
        <is>
          <t>浙江精准学科技有限公司</t>
        </is>
      </c>
      <c r="G106" s="26" t="inlineStr">
        <is>
          <t>记-97</t>
        </is>
      </c>
      <c r="H106" s="26" t="n"/>
      <c r="I106" s="99" t="n"/>
      <c r="J106" s="101" t="n">
        <v>5</v>
      </c>
    </row>
    <row r="107" s="83">
      <c r="A107" s="27" t="inlineStr">
        <is>
          <t>100201</t>
        </is>
      </c>
      <c r="B107" s="27" t="n"/>
      <c r="C107" s="27" t="inlineStr">
        <is>
          <t>2025-05-16</t>
        </is>
      </c>
      <c r="D107" s="27" t="inlineStr">
        <is>
          <t>Q0401</t>
        </is>
      </c>
      <c r="E107" s="27" t="n"/>
      <c r="F107" s="27" t="inlineStr">
        <is>
          <t>浙江精准学科技有限公司</t>
        </is>
      </c>
      <c r="G107" s="27" t="inlineStr">
        <is>
          <t>记-104</t>
        </is>
      </c>
      <c r="H107" s="27" t="n"/>
      <c r="I107" s="99" t="n">
        <v>5</v>
      </c>
      <c r="J107" s="100" t="n">
        <v>5</v>
      </c>
    </row>
    <row r="108" s="83">
      <c r="A108" s="26" t="inlineStr">
        <is>
          <t>100201</t>
        </is>
      </c>
      <c r="B108" s="26" t="n"/>
      <c r="C108" s="26" t="inlineStr">
        <is>
          <t>2025-05-16</t>
        </is>
      </c>
      <c r="D108" s="26" t="inlineStr">
        <is>
          <t>Q0401</t>
        </is>
      </c>
      <c r="E108" s="26" t="n"/>
      <c r="F108" s="26" t="inlineStr">
        <is>
          <t>浙江精准学科技有限公司</t>
        </is>
      </c>
      <c r="G108" s="26" t="inlineStr">
        <is>
          <t>记-105</t>
        </is>
      </c>
      <c r="H108" s="26" t="n"/>
      <c r="I108" s="99" t="n">
        <v>5</v>
      </c>
      <c r="J108" s="99" t="n">
        <v>5</v>
      </c>
    </row>
    <row r="109" s="83">
      <c r="A109" s="27" t="inlineStr">
        <is>
          <t>100201</t>
        </is>
      </c>
      <c r="B109" s="27" t="n"/>
      <c r="C109" s="27" t="inlineStr">
        <is>
          <t>2025-05-18</t>
        </is>
      </c>
      <c r="D109" s="27" t="inlineStr">
        <is>
          <t>Q0401</t>
        </is>
      </c>
      <c r="E109" s="27" t="n"/>
      <c r="F109" s="27" t="inlineStr">
        <is>
          <t>浙江精准学科技有限公司</t>
        </is>
      </c>
      <c r="G109" s="27" t="inlineStr">
        <is>
          <t>记-119</t>
        </is>
      </c>
      <c r="H109" s="27" t="n"/>
      <c r="I109" s="99" t="n">
        <v>5</v>
      </c>
      <c r="J109" s="100" t="n">
        <v>5</v>
      </c>
    </row>
    <row r="110" s="83">
      <c r="A110" s="26" t="inlineStr">
        <is>
          <t>100201</t>
        </is>
      </c>
      <c r="B110" s="26" t="n"/>
      <c r="C110" s="26" t="inlineStr">
        <is>
          <t>2025-05-19</t>
        </is>
      </c>
      <c r="D110" s="26" t="inlineStr">
        <is>
          <t>Q0401</t>
        </is>
      </c>
      <c r="E110" s="26" t="n"/>
      <c r="F110" s="26" t="inlineStr">
        <is>
          <t>浙江精准学科技有限公司</t>
        </is>
      </c>
      <c r="G110" s="26" t="inlineStr">
        <is>
          <t>记-122</t>
        </is>
      </c>
      <c r="H110" s="26" t="n"/>
      <c r="I110" s="99" t="n">
        <v>5</v>
      </c>
      <c r="J110" s="99" t="n">
        <v>5</v>
      </c>
    </row>
    <row r="111" s="83">
      <c r="A111" s="27" t="inlineStr">
        <is>
          <t>100201</t>
        </is>
      </c>
      <c r="B111" s="27" t="n"/>
      <c r="C111" s="27" t="inlineStr">
        <is>
          <t>2025-05-20</t>
        </is>
      </c>
      <c r="D111" s="27" t="inlineStr">
        <is>
          <t>Q0401</t>
        </is>
      </c>
      <c r="E111" s="27" t="n"/>
      <c r="F111" s="27" t="inlineStr">
        <is>
          <t>浙江精准学科技有限公司</t>
        </is>
      </c>
      <c r="G111" s="27" t="inlineStr">
        <is>
          <t>记-133</t>
        </is>
      </c>
      <c r="H111" s="27" t="n"/>
      <c r="I111" s="99" t="n">
        <v>5</v>
      </c>
      <c r="J111" s="100" t="n">
        <v>5</v>
      </c>
    </row>
    <row r="112" s="83">
      <c r="A112" s="26" t="inlineStr">
        <is>
          <t>100201</t>
        </is>
      </c>
      <c r="B112" s="26" t="n"/>
      <c r="C112" s="26" t="inlineStr">
        <is>
          <t>2025-05-20</t>
        </is>
      </c>
      <c r="D112" s="26" t="inlineStr">
        <is>
          <t>Q0401</t>
        </is>
      </c>
      <c r="E112" s="26" t="n"/>
      <c r="F112" s="26" t="inlineStr">
        <is>
          <t>浙江精准学科技有限公司</t>
        </is>
      </c>
      <c r="G112" s="26" t="inlineStr">
        <is>
          <t>记-140</t>
        </is>
      </c>
      <c r="H112" s="26" t="n"/>
      <c r="I112" s="99" t="n"/>
      <c r="J112" s="99" t="n">
        <v>5</v>
      </c>
    </row>
    <row r="113" s="83">
      <c r="A113" s="27" t="inlineStr">
        <is>
          <t>100201</t>
        </is>
      </c>
      <c r="B113" s="27" t="n"/>
      <c r="C113" s="27" t="inlineStr">
        <is>
          <t>2025-05-20</t>
        </is>
      </c>
      <c r="D113" s="27" t="inlineStr">
        <is>
          <t>Q0401</t>
        </is>
      </c>
      <c r="E113" s="27" t="n"/>
      <c r="F113" s="27" t="inlineStr">
        <is>
          <t>浙江精准学科技有限公司</t>
        </is>
      </c>
      <c r="G113" s="27" t="inlineStr">
        <is>
          <t>记-140</t>
        </is>
      </c>
      <c r="H113" s="27" t="n"/>
      <c r="I113" s="99" t="n">
        <v>5</v>
      </c>
      <c r="J113" s="100" t="n">
        <v>5</v>
      </c>
    </row>
    <row r="114" s="83">
      <c r="A114" s="26" t="inlineStr">
        <is>
          <t>100201</t>
        </is>
      </c>
      <c r="B114" s="26" t="n"/>
      <c r="C114" s="26" t="inlineStr">
        <is>
          <t>2025-05-20</t>
        </is>
      </c>
      <c r="D114" s="26" t="inlineStr">
        <is>
          <t>Q0401</t>
        </is>
      </c>
      <c r="E114" s="26" t="n"/>
      <c r="F114" s="26" t="inlineStr">
        <is>
          <t>浙江精准学科技有限公司</t>
        </is>
      </c>
      <c r="G114" s="26" t="inlineStr">
        <is>
          <t>记-140</t>
        </is>
      </c>
      <c r="H114" s="26" t="n"/>
      <c r="I114" s="99" t="n"/>
      <c r="J114" s="99" t="n">
        <v>5</v>
      </c>
    </row>
    <row r="115" s="83">
      <c r="A115" s="27" t="inlineStr">
        <is>
          <t>100201</t>
        </is>
      </c>
      <c r="B115" s="27" t="n"/>
      <c r="C115" s="27" t="inlineStr">
        <is>
          <t>2025-05-20</t>
        </is>
      </c>
      <c r="D115" s="27" t="inlineStr">
        <is>
          <t>Q0401</t>
        </is>
      </c>
      <c r="E115" s="27" t="n"/>
      <c r="F115" s="27" t="inlineStr">
        <is>
          <t>浙江精准学科技有限公司</t>
        </is>
      </c>
      <c r="G115" s="27" t="inlineStr">
        <is>
          <t>记-246</t>
        </is>
      </c>
      <c r="H115" s="27" t="n"/>
      <c r="I115" s="99" t="n">
        <v>5</v>
      </c>
      <c r="J115" s="100" t="n">
        <v>5</v>
      </c>
    </row>
    <row r="116" s="83">
      <c r="A116" s="26" t="inlineStr">
        <is>
          <t>100201</t>
        </is>
      </c>
      <c r="B116" s="26" t="n"/>
      <c r="C116" s="26" t="inlineStr">
        <is>
          <t>2025-05-21</t>
        </is>
      </c>
      <c r="D116" s="26" t="inlineStr">
        <is>
          <t>Q0401</t>
        </is>
      </c>
      <c r="E116" s="26" t="n"/>
      <c r="F116" s="26" t="inlineStr">
        <is>
          <t>浙江精准学科技有限公司</t>
        </is>
      </c>
      <c r="G116" s="26" t="inlineStr">
        <is>
          <t>记-158</t>
        </is>
      </c>
      <c r="H116" s="26" t="n"/>
      <c r="I116" s="99" t="n">
        <v>5</v>
      </c>
      <c r="J116" s="99" t="n">
        <v>5</v>
      </c>
    </row>
    <row r="117" s="83">
      <c r="A117" s="27" t="inlineStr">
        <is>
          <t>100201</t>
        </is>
      </c>
      <c r="B117" s="27" t="n"/>
      <c r="C117" s="27" t="inlineStr">
        <is>
          <t>2025-05-21</t>
        </is>
      </c>
      <c r="D117" s="27" t="inlineStr">
        <is>
          <t>Q0401</t>
        </is>
      </c>
      <c r="E117" s="27" t="n"/>
      <c r="F117" s="27" t="inlineStr">
        <is>
          <t>浙江精准学科技有限公司</t>
        </is>
      </c>
      <c r="G117" s="27" t="inlineStr">
        <is>
          <t>记-159</t>
        </is>
      </c>
      <c r="H117" s="27" t="n"/>
      <c r="I117" s="99" t="n">
        <v>5</v>
      </c>
      <c r="J117" s="100" t="n">
        <v>5</v>
      </c>
    </row>
    <row r="118" s="83">
      <c r="A118" s="26" t="inlineStr">
        <is>
          <t>100201</t>
        </is>
      </c>
      <c r="B118" s="26" t="n"/>
      <c r="C118" s="26" t="inlineStr">
        <is>
          <t>2025-05-22</t>
        </is>
      </c>
      <c r="D118" s="26" t="inlineStr">
        <is>
          <t>Q0401</t>
        </is>
      </c>
      <c r="E118" s="26" t="n"/>
      <c r="F118" s="26" t="inlineStr">
        <is>
          <t>浙江精准学科技有限公司</t>
        </is>
      </c>
      <c r="G118" s="26" t="inlineStr">
        <is>
          <t>记-162</t>
        </is>
      </c>
      <c r="H118" s="26" t="n"/>
      <c r="I118" s="99" t="n">
        <v>5</v>
      </c>
      <c r="J118" s="99" t="n">
        <v>5</v>
      </c>
    </row>
    <row r="119" s="83">
      <c r="A119" s="27" t="inlineStr">
        <is>
          <t>100201</t>
        </is>
      </c>
      <c r="B119" s="27" t="n"/>
      <c r="C119" s="27" t="inlineStr">
        <is>
          <t>2025-05-23</t>
        </is>
      </c>
      <c r="D119" s="27" t="inlineStr">
        <is>
          <t>Q0401</t>
        </is>
      </c>
      <c r="E119" s="27" t="n"/>
      <c r="F119" s="27" t="inlineStr">
        <is>
          <t>浙江精准学科技有限公司</t>
        </is>
      </c>
      <c r="G119" s="27" t="inlineStr">
        <is>
          <t>记-167</t>
        </is>
      </c>
      <c r="H119" s="27" t="n"/>
      <c r="I119" s="99" t="n">
        <v>5</v>
      </c>
      <c r="J119" s="100" t="n">
        <v>5</v>
      </c>
    </row>
    <row r="120" s="83">
      <c r="A120" s="26" t="inlineStr">
        <is>
          <t>100201</t>
        </is>
      </c>
      <c r="B120" s="26" t="n"/>
      <c r="C120" s="26" t="inlineStr">
        <is>
          <t>2025-05-23</t>
        </is>
      </c>
      <c r="D120" s="26" t="inlineStr">
        <is>
          <t>Q0401</t>
        </is>
      </c>
      <c r="E120" s="26" t="n"/>
      <c r="F120" s="26" t="inlineStr">
        <is>
          <t>浙江精准学科技有限公司</t>
        </is>
      </c>
      <c r="G120" s="26" t="inlineStr">
        <is>
          <t>记-168</t>
        </is>
      </c>
      <c r="H120" s="26" t="n"/>
      <c r="I120" s="99" t="n">
        <v>5</v>
      </c>
      <c r="J120" s="99" t="n">
        <v>5</v>
      </c>
    </row>
    <row r="121" s="83">
      <c r="A121" s="27" t="inlineStr">
        <is>
          <t>100201</t>
        </is>
      </c>
      <c r="B121" s="27" t="n"/>
      <c r="C121" s="27" t="inlineStr">
        <is>
          <t>2025-05-25</t>
        </is>
      </c>
      <c r="D121" s="27" t="inlineStr">
        <is>
          <t>Q0401</t>
        </is>
      </c>
      <c r="E121" s="27" t="n"/>
      <c r="F121" s="27" t="inlineStr">
        <is>
          <t>浙江精准学科技有限公司</t>
        </is>
      </c>
      <c r="G121" s="27" t="inlineStr">
        <is>
          <t>记-180</t>
        </is>
      </c>
      <c r="H121" s="27" t="n"/>
      <c r="I121" s="99" t="n">
        <v>5</v>
      </c>
      <c r="J121" s="100" t="n">
        <v>5</v>
      </c>
    </row>
    <row r="122" s="83">
      <c r="A122" s="26" t="inlineStr">
        <is>
          <t>100201</t>
        </is>
      </c>
      <c r="B122" s="26" t="n"/>
      <c r="C122" s="26" t="inlineStr">
        <is>
          <t>2025-05-26</t>
        </is>
      </c>
      <c r="D122" s="26" t="inlineStr">
        <is>
          <t>Q0401</t>
        </is>
      </c>
      <c r="E122" s="26" t="n"/>
      <c r="F122" s="26" t="inlineStr">
        <is>
          <t>浙江精准学科技有限公司</t>
        </is>
      </c>
      <c r="G122" s="26" t="inlineStr">
        <is>
          <t>记-183</t>
        </is>
      </c>
      <c r="H122" s="26" t="n"/>
      <c r="I122" s="99" t="n">
        <v>5</v>
      </c>
      <c r="J122" s="99" t="n">
        <v>5</v>
      </c>
    </row>
    <row r="123" s="83">
      <c r="A123" s="27" t="inlineStr">
        <is>
          <t>100201</t>
        </is>
      </c>
      <c r="B123" s="27" t="n"/>
      <c r="C123" s="27" t="inlineStr">
        <is>
          <t>2025-05-28</t>
        </is>
      </c>
      <c r="D123" s="27" t="inlineStr">
        <is>
          <t>Q0401</t>
        </is>
      </c>
      <c r="E123" s="27" t="n"/>
      <c r="F123" s="27" t="inlineStr">
        <is>
          <t>浙江精准学科技有限公司</t>
        </is>
      </c>
      <c r="G123" s="27" t="inlineStr">
        <is>
          <t>记-202</t>
        </is>
      </c>
      <c r="H123" s="27" t="n"/>
      <c r="I123" s="99" t="n">
        <v>5</v>
      </c>
      <c r="J123" s="100" t="n">
        <v>5</v>
      </c>
    </row>
    <row r="124" s="83">
      <c r="A124" s="26" t="inlineStr">
        <is>
          <t>100201</t>
        </is>
      </c>
      <c r="B124" s="26" t="n"/>
      <c r="C124" s="26" t="inlineStr">
        <is>
          <t>2025-05-28</t>
        </is>
      </c>
      <c r="D124" s="26" t="inlineStr">
        <is>
          <t>Q0401</t>
        </is>
      </c>
      <c r="E124" s="26" t="n"/>
      <c r="F124" s="26" t="inlineStr">
        <is>
          <t>浙江精准学科技有限公司</t>
        </is>
      </c>
      <c r="G124" s="26" t="inlineStr">
        <is>
          <t>记-203</t>
        </is>
      </c>
      <c r="H124" s="26" t="n"/>
      <c r="I124" s="99" t="n">
        <v>5</v>
      </c>
      <c r="J124" s="99" t="n">
        <v>5</v>
      </c>
    </row>
    <row r="125" s="83">
      <c r="A125" s="27" t="inlineStr">
        <is>
          <t>100201</t>
        </is>
      </c>
      <c r="B125" s="27" t="n"/>
      <c r="C125" s="27" t="inlineStr">
        <is>
          <t>2025-05-28</t>
        </is>
      </c>
      <c r="D125" s="27" t="inlineStr">
        <is>
          <t>Q0401</t>
        </is>
      </c>
      <c r="E125" s="27" t="n"/>
      <c r="F125" s="27" t="inlineStr">
        <is>
          <t>浙江精准学科技有限公司</t>
        </is>
      </c>
      <c r="G125" s="27" t="inlineStr">
        <is>
          <t>记-204</t>
        </is>
      </c>
      <c r="H125" s="27" t="n"/>
      <c r="I125" s="99" t="n">
        <v>5</v>
      </c>
      <c r="J125" s="100" t="n">
        <v>5</v>
      </c>
    </row>
    <row r="126" s="83">
      <c r="A126" s="26" t="inlineStr">
        <is>
          <t>100201</t>
        </is>
      </c>
      <c r="B126" s="26" t="n"/>
      <c r="C126" s="26" t="inlineStr">
        <is>
          <t>2025-05-28</t>
        </is>
      </c>
      <c r="D126" s="26" t="inlineStr">
        <is>
          <t>Q0401</t>
        </is>
      </c>
      <c r="E126" s="26" t="n"/>
      <c r="F126" s="26" t="inlineStr">
        <is>
          <t>浙江精准学科技有限公司</t>
        </is>
      </c>
      <c r="G126" s="26" t="inlineStr">
        <is>
          <t>记-205</t>
        </is>
      </c>
      <c r="H126" s="26" t="n"/>
      <c r="I126" s="99" t="n">
        <v>5</v>
      </c>
      <c r="J126" s="99" t="n">
        <v>5</v>
      </c>
    </row>
    <row r="127" s="83">
      <c r="A127" s="26" t="inlineStr">
        <is>
          <t>100201</t>
        </is>
      </c>
      <c r="B127" s="26" t="n"/>
      <c r="C127" s="26" t="inlineStr">
        <is>
          <t>2025-05-15</t>
        </is>
      </c>
      <c r="D127" s="26" t="inlineStr">
        <is>
          <t>Q0402</t>
        </is>
      </c>
      <c r="E127" s="26" t="n"/>
      <c r="F127" s="26" t="inlineStr">
        <is>
          <t>浙江精准学科技有限公司</t>
        </is>
      </c>
      <c r="G127" s="26" t="inlineStr">
        <is>
          <t>记-87</t>
        </is>
      </c>
      <c r="H127" s="26" t="n"/>
      <c r="I127" s="99" t="n"/>
      <c r="J127" s="99" t="n">
        <v>5</v>
      </c>
    </row>
    <row r="128" s="83">
      <c r="A128" s="27" t="inlineStr">
        <is>
          <t>100201</t>
        </is>
      </c>
      <c r="B128" s="27" t="n"/>
      <c r="C128" s="27" t="inlineStr">
        <is>
          <t>2025-05-16</t>
        </is>
      </c>
      <c r="D128" s="27" t="inlineStr">
        <is>
          <t>Q0402</t>
        </is>
      </c>
      <c r="E128" s="27" t="n"/>
      <c r="F128" s="27" t="inlineStr">
        <is>
          <t>浙江精准学科技有限公司</t>
        </is>
      </c>
      <c r="G128" s="27" t="inlineStr">
        <is>
          <t>记-107</t>
        </is>
      </c>
      <c r="H128" s="27" t="n"/>
      <c r="I128" s="100" t="n"/>
      <c r="J128" s="100" t="n">
        <v>5</v>
      </c>
    </row>
    <row r="129" s="83">
      <c r="A129" s="26" t="inlineStr">
        <is>
          <t>100201</t>
        </is>
      </c>
      <c r="B129" s="26" t="n"/>
      <c r="C129" s="26" t="inlineStr">
        <is>
          <t>2025-05-15</t>
        </is>
      </c>
      <c r="D129" s="26" t="inlineStr">
        <is>
          <t>Q0801</t>
        </is>
      </c>
      <c r="E129" s="26" t="n"/>
      <c r="F129" s="26" t="inlineStr">
        <is>
          <t>浙江精准学科技有限公司</t>
        </is>
      </c>
      <c r="G129" s="26" t="inlineStr">
        <is>
          <t>记-100</t>
        </is>
      </c>
      <c r="H129" s="26" t="n"/>
      <c r="I129" s="99" t="n"/>
      <c r="J129" s="99" t="n">
        <v>5</v>
      </c>
    </row>
    <row r="130" s="83">
      <c r="A130" s="26" t="inlineStr">
        <is>
          <t>100201</t>
        </is>
      </c>
      <c r="B130" s="26" t="n"/>
      <c r="C130" s="26" t="inlineStr">
        <is>
          <t>2025-05-06</t>
        </is>
      </c>
      <c r="D130" s="26" t="inlineStr">
        <is>
          <t>Q0803</t>
        </is>
      </c>
      <c r="E130" s="26" t="n"/>
      <c r="F130" s="26" t="inlineStr">
        <is>
          <t>浙江精准学科技有限公司</t>
        </is>
      </c>
      <c r="G130" s="26" t="inlineStr">
        <is>
          <t>记-22</t>
        </is>
      </c>
      <c r="H130" s="26" t="n"/>
      <c r="I130" s="99" t="n"/>
      <c r="J130" s="99" t="n">
        <v>5</v>
      </c>
    </row>
    <row r="131" s="83">
      <c r="A131" s="26" t="inlineStr">
        <is>
          <t>100201</t>
        </is>
      </c>
      <c r="B131" s="26" t="n"/>
      <c r="C131" s="26" t="inlineStr">
        <is>
          <t>2025-05-09</t>
        </is>
      </c>
      <c r="D131" s="26" t="inlineStr">
        <is>
          <t>Q0804</t>
        </is>
      </c>
      <c r="E131" s="26" t="n"/>
      <c r="F131" s="26" t="inlineStr">
        <is>
          <t>浙江精准学科技有限公司</t>
        </is>
      </c>
      <c r="G131" s="26" t="inlineStr">
        <is>
          <t>记-41</t>
        </is>
      </c>
      <c r="H131" s="26" t="n"/>
      <c r="I131" s="99" t="n"/>
      <c r="J131" s="99" t="n">
        <v>5</v>
      </c>
    </row>
    <row r="132" s="83">
      <c r="A132" s="27" t="inlineStr">
        <is>
          <t>100201</t>
        </is>
      </c>
      <c r="B132" s="27" t="n"/>
      <c r="C132" s="27" t="inlineStr">
        <is>
          <t>2025-05-21</t>
        </is>
      </c>
      <c r="D132" s="27" t="inlineStr">
        <is>
          <t>Q0804</t>
        </is>
      </c>
      <c r="E132" s="27" t="n"/>
      <c r="F132" s="27" t="inlineStr">
        <is>
          <t>浙江精准学科技有限公司</t>
        </is>
      </c>
      <c r="G132" s="27" t="inlineStr">
        <is>
          <t>记-147</t>
        </is>
      </c>
      <c r="H132" s="27" t="n"/>
      <c r="I132" s="100" t="n"/>
      <c r="J132" s="100" t="n">
        <v>5</v>
      </c>
    </row>
    <row r="133" s="83">
      <c r="A133" s="26" t="inlineStr">
        <is>
          <t>100201</t>
        </is>
      </c>
      <c r="B133" s="26" t="n"/>
      <c r="C133" s="26" t="inlineStr">
        <is>
          <t>2025-05-21</t>
        </is>
      </c>
      <c r="D133" s="26" t="inlineStr">
        <is>
          <t>Q0804</t>
        </is>
      </c>
      <c r="E133" s="26" t="n"/>
      <c r="F133" s="26" t="inlineStr">
        <is>
          <t>浙江精准学科技有限公司</t>
        </is>
      </c>
      <c r="G133" s="26" t="inlineStr">
        <is>
          <t>记-148</t>
        </is>
      </c>
      <c r="H133" s="26" t="n"/>
      <c r="I133" s="99" t="n"/>
      <c r="J133" s="99" t="n">
        <v>5</v>
      </c>
    </row>
    <row r="134" s="83">
      <c r="A134" s="26" t="inlineStr">
        <is>
          <t>100201</t>
        </is>
      </c>
      <c r="B134" s="26" t="n"/>
      <c r="C134" s="26" t="inlineStr">
        <is>
          <t>2025-05-22</t>
        </is>
      </c>
      <c r="D134" s="26" t="inlineStr">
        <is>
          <t>Q0805</t>
        </is>
      </c>
      <c r="E134" s="26" t="n"/>
      <c r="F134" s="26" t="inlineStr">
        <is>
          <t>浙江精准学科技有限公司</t>
        </is>
      </c>
      <c r="G134" s="26" t="inlineStr">
        <is>
          <t>记-163</t>
        </is>
      </c>
      <c r="H134" s="26" t="n"/>
      <c r="I134" s="99" t="n"/>
      <c r="J134" s="99" t="n">
        <v>5</v>
      </c>
    </row>
    <row r="135" s="83">
      <c r="A135" s="26" t="inlineStr">
        <is>
          <t>100201</t>
        </is>
      </c>
      <c r="B135" s="26" t="n"/>
      <c r="C135" s="26" t="inlineStr">
        <is>
          <t>2025-05-07</t>
        </is>
      </c>
      <c r="D135" s="26" t="inlineStr">
        <is>
          <t>Q0806</t>
        </is>
      </c>
      <c r="E135" s="26" t="n"/>
      <c r="F135" s="26" t="inlineStr">
        <is>
          <t>浙江精准学科技有限公司</t>
        </is>
      </c>
      <c r="G135" s="26" t="inlineStr">
        <is>
          <t>记-27</t>
        </is>
      </c>
      <c r="H135" s="26" t="n"/>
      <c r="I135" s="99" t="n"/>
      <c r="J135" s="99" t="n">
        <v>5</v>
      </c>
    </row>
    <row r="136" s="83">
      <c r="A136" s="27" t="inlineStr">
        <is>
          <t>100201</t>
        </is>
      </c>
      <c r="B136" s="27" t="n"/>
      <c r="C136" s="27" t="inlineStr">
        <is>
          <t>2025-05-07</t>
        </is>
      </c>
      <c r="D136" s="27" t="inlineStr">
        <is>
          <t>Q0806</t>
        </is>
      </c>
      <c r="E136" s="27" t="n"/>
      <c r="F136" s="27" t="inlineStr">
        <is>
          <t>浙江精准学科技有限公司</t>
        </is>
      </c>
      <c r="G136" s="27" t="inlineStr">
        <is>
          <t>记-29</t>
        </is>
      </c>
      <c r="H136" s="27" t="n"/>
      <c r="I136" s="100" t="n"/>
      <c r="J136" s="100" t="n">
        <v>5</v>
      </c>
    </row>
    <row r="137" s="83">
      <c r="A137" s="26" t="inlineStr">
        <is>
          <t>100201</t>
        </is>
      </c>
      <c r="B137" s="26" t="n"/>
      <c r="C137" s="26" t="inlineStr">
        <is>
          <t>2025-05-20</t>
        </is>
      </c>
      <c r="D137" s="26" t="inlineStr">
        <is>
          <t>Q0806</t>
        </is>
      </c>
      <c r="E137" s="26" t="n"/>
      <c r="F137" s="26" t="inlineStr">
        <is>
          <t>浙江精准学科技有限公司</t>
        </is>
      </c>
      <c r="G137" s="26" t="inlineStr">
        <is>
          <t>记-138</t>
        </is>
      </c>
      <c r="H137" s="26" t="n"/>
      <c r="I137" s="99" t="n"/>
      <c r="J137" s="99" t="n">
        <v>5</v>
      </c>
    </row>
    <row r="138" s="83">
      <c r="A138" s="27" t="inlineStr">
        <is>
          <t>100201</t>
        </is>
      </c>
      <c r="B138" s="27" t="n"/>
      <c r="C138" s="27" t="inlineStr">
        <is>
          <t>2025-05-27</t>
        </is>
      </c>
      <c r="D138" s="27" t="inlineStr">
        <is>
          <t>Q0806</t>
        </is>
      </c>
      <c r="E138" s="27" t="n"/>
      <c r="F138" s="27" t="inlineStr">
        <is>
          <t>浙江精准学科技有限公司</t>
        </is>
      </c>
      <c r="G138" s="27" t="inlineStr">
        <is>
          <t>记-198</t>
        </is>
      </c>
      <c r="H138" s="27" t="n"/>
      <c r="I138" s="100" t="n"/>
      <c r="J138" s="100" t="n">
        <v>5</v>
      </c>
    </row>
    <row r="139" s="83">
      <c r="A139" s="27" t="inlineStr">
        <is>
          <t>100201</t>
        </is>
      </c>
      <c r="B139" s="27" t="n"/>
      <c r="C139" s="27" t="inlineStr">
        <is>
          <t>2025-05-15</t>
        </is>
      </c>
      <c r="D139" s="27" t="inlineStr">
        <is>
          <t>Q0807</t>
        </is>
      </c>
      <c r="E139" s="27" t="n"/>
      <c r="F139" s="27" t="inlineStr">
        <is>
          <t>浙江精准学科技有限公司</t>
        </is>
      </c>
      <c r="G139" s="27" t="inlineStr">
        <is>
          <t>记-101</t>
        </is>
      </c>
      <c r="H139" s="27" t="n"/>
      <c r="I139" s="100" t="n"/>
      <c r="J139" s="100" t="n">
        <v>5</v>
      </c>
    </row>
    <row r="140" s="83">
      <c r="A140" s="26" t="inlineStr">
        <is>
          <t>100201</t>
        </is>
      </c>
      <c r="B140" s="26" t="n"/>
      <c r="C140" s="26" t="inlineStr">
        <is>
          <t>2025-05-26</t>
        </is>
      </c>
      <c r="D140" s="26" t="inlineStr">
        <is>
          <t>Q0809</t>
        </is>
      </c>
      <c r="E140" s="26" t="n"/>
      <c r="F140" s="26" t="inlineStr">
        <is>
          <t>浙江精准学科技有限公司</t>
        </is>
      </c>
      <c r="G140" s="26" t="inlineStr">
        <is>
          <t>记-187</t>
        </is>
      </c>
      <c r="H140" s="26" t="n"/>
      <c r="I140" s="99" t="n"/>
      <c r="J140" s="99" t="n">
        <v>5</v>
      </c>
    </row>
    <row r="141" s="83">
      <c r="A141" s="27" t="inlineStr">
        <is>
          <t>100201</t>
        </is>
      </c>
      <c r="B141" s="27" t="n"/>
      <c r="C141" s="27" t="inlineStr">
        <is>
          <t>2025-05-26</t>
        </is>
      </c>
      <c r="D141" s="27" t="inlineStr">
        <is>
          <t>Q0809</t>
        </is>
      </c>
      <c r="E141" s="27" t="n"/>
      <c r="F141" s="27" t="inlineStr">
        <is>
          <t>浙江精准学科技有限公司</t>
        </is>
      </c>
      <c r="G141" s="27" t="inlineStr">
        <is>
          <t>记-188</t>
        </is>
      </c>
      <c r="H141" s="27" t="n"/>
      <c r="I141" s="100" t="n"/>
      <c r="J141" s="100" t="n">
        <v>5</v>
      </c>
    </row>
    <row r="142" s="83">
      <c r="A142" s="26" t="inlineStr">
        <is>
          <t>100201</t>
        </is>
      </c>
      <c r="B142" s="26" t="n"/>
      <c r="C142" s="26" t="inlineStr">
        <is>
          <t>2025-05-29</t>
        </is>
      </c>
      <c r="D142" s="26" t="inlineStr">
        <is>
          <t>Q1001</t>
        </is>
      </c>
      <c r="E142" s="26" t="n"/>
      <c r="F142" s="26" t="inlineStr">
        <is>
          <t>浙江精准学科技有限公司</t>
        </is>
      </c>
      <c r="G142" s="26" t="inlineStr">
        <is>
          <t>记-208</t>
        </is>
      </c>
      <c r="H142" s="26" t="n"/>
      <c r="I142" s="99" t="n"/>
      <c r="J142" s="99" t="n">
        <v>5</v>
      </c>
    </row>
    <row r="143" s="83">
      <c r="A143" s="27" t="inlineStr">
        <is>
          <t>100201</t>
        </is>
      </c>
      <c r="B143" s="27" t="n"/>
      <c r="C143" s="27" t="inlineStr">
        <is>
          <t>2025-05-26</t>
        </is>
      </c>
      <c r="D143" s="27" t="inlineStr">
        <is>
          <t>Q1003</t>
        </is>
      </c>
      <c r="E143" s="27" t="n"/>
      <c r="F143" s="27" t="inlineStr">
        <is>
          <t>浙江精准学科技有限公司</t>
        </is>
      </c>
      <c r="G143" s="27" t="inlineStr">
        <is>
          <t>记-185</t>
        </is>
      </c>
      <c r="H143" s="27" t="n"/>
      <c r="I143" s="100" t="n"/>
      <c r="J143" s="100" t="n">
        <v>5</v>
      </c>
    </row>
    <row r="144" s="83">
      <c r="A144" s="26" t="inlineStr">
        <is>
          <t>100201</t>
        </is>
      </c>
      <c r="B144" s="26" t="n"/>
      <c r="C144" s="26" t="inlineStr">
        <is>
          <t>2025-05-15</t>
        </is>
      </c>
      <c r="D144" s="26" t="inlineStr">
        <is>
          <t>Q1006</t>
        </is>
      </c>
      <c r="E144" s="26" t="n"/>
      <c r="F144" s="26" t="inlineStr">
        <is>
          <t>浙江精准学科技有限公司</t>
        </is>
      </c>
      <c r="G144" s="26" t="inlineStr">
        <is>
          <t>记-92</t>
        </is>
      </c>
      <c r="H144" s="26" t="n"/>
      <c r="I144" s="99" t="n"/>
      <c r="J144" s="99" t="n">
        <v>5</v>
      </c>
    </row>
    <row r="145" s="83">
      <c r="A145" s="26" t="inlineStr">
        <is>
          <t>100201</t>
        </is>
      </c>
      <c r="B145" s="26" t="n"/>
      <c r="C145" s="26" t="inlineStr">
        <is>
          <t>2025-05-26</t>
        </is>
      </c>
      <c r="D145" s="26" t="inlineStr">
        <is>
          <t>Q1101</t>
        </is>
      </c>
      <c r="E145" s="26" t="n"/>
      <c r="F145" s="26" t="inlineStr">
        <is>
          <t>浙江精准学科技有限公司</t>
        </is>
      </c>
      <c r="G145" s="26" t="inlineStr">
        <is>
          <t>记-185</t>
        </is>
      </c>
      <c r="H145" s="26" t="n"/>
      <c r="I145" s="99" t="n"/>
      <c r="J145" s="99" t="n">
        <v>5</v>
      </c>
    </row>
    <row r="146" s="83">
      <c r="A146" s="27" t="inlineStr">
        <is>
          <t>100201</t>
        </is>
      </c>
      <c r="B146" s="27" t="n"/>
      <c r="C146" s="27" t="inlineStr">
        <is>
          <t>2025-05-30</t>
        </is>
      </c>
      <c r="D146" s="27" t="inlineStr">
        <is>
          <t>Q1501</t>
        </is>
      </c>
      <c r="E146" s="27" t="n"/>
      <c r="F146" s="27" t="inlineStr">
        <is>
          <t>浙江精准学科技有限公司</t>
        </is>
      </c>
      <c r="G146" s="27" t="inlineStr">
        <is>
          <t>记-222</t>
        </is>
      </c>
      <c r="H146" s="27" t="n"/>
      <c r="I146" s="100" t="n"/>
      <c r="J146" s="100" t="n">
        <v>5</v>
      </c>
    </row>
    <row r="147" s="83">
      <c r="A147" s="26" t="inlineStr">
        <is>
          <t>100201</t>
        </is>
      </c>
      <c r="B147" s="26" t="n"/>
      <c r="C147" s="26" t="inlineStr">
        <is>
          <t>2025-05-08</t>
        </is>
      </c>
      <c r="D147" s="26" t="inlineStr">
        <is>
          <t>Q1505</t>
        </is>
      </c>
      <c r="E147" s="26" t="n"/>
      <c r="F147" s="26" t="inlineStr">
        <is>
          <t>浙江精准学科技有限公司</t>
        </is>
      </c>
      <c r="G147" s="26" t="inlineStr">
        <is>
          <t>记-37</t>
        </is>
      </c>
      <c r="H147" s="26" t="n"/>
      <c r="I147" s="99" t="n"/>
      <c r="J147" s="99" t="n">
        <v>5</v>
      </c>
    </row>
    <row r="148" s="83">
      <c r="A148" s="27" t="inlineStr">
        <is>
          <t>100201</t>
        </is>
      </c>
      <c r="B148" s="27" t="n"/>
      <c r="C148" s="27" t="inlineStr">
        <is>
          <t>2025-05-13</t>
        </is>
      </c>
      <c r="D148" s="27" t="inlineStr">
        <is>
          <t>Q1505</t>
        </is>
      </c>
      <c r="E148" s="27" t="n"/>
      <c r="F148" s="27" t="inlineStr">
        <is>
          <t>浙江精准学科技有限公司</t>
        </is>
      </c>
      <c r="G148" s="27" t="inlineStr">
        <is>
          <t>记-56</t>
        </is>
      </c>
      <c r="H148" s="27" t="n"/>
      <c r="I148" s="100" t="n"/>
      <c r="J148" s="100" t="n">
        <v>5</v>
      </c>
    </row>
    <row r="149" s="83">
      <c r="A149" s="26" t="inlineStr">
        <is>
          <t>100201</t>
        </is>
      </c>
      <c r="B149" s="26" t="n"/>
      <c r="C149" s="26" t="inlineStr">
        <is>
          <t>2025-05-15</t>
        </is>
      </c>
      <c r="D149" s="26" t="inlineStr">
        <is>
          <t>Q1505</t>
        </is>
      </c>
      <c r="E149" s="26" t="n"/>
      <c r="F149" s="26" t="inlineStr">
        <is>
          <t>浙江精准学科技有限公司</t>
        </is>
      </c>
      <c r="G149" s="26" t="inlineStr">
        <is>
          <t>记-90</t>
        </is>
      </c>
      <c r="H149" s="26" t="n"/>
      <c r="I149" s="99" t="n"/>
      <c r="J149" s="99" t="n">
        <v>5</v>
      </c>
    </row>
    <row r="150" s="83">
      <c r="A150" s="27" t="inlineStr">
        <is>
          <t>100201</t>
        </is>
      </c>
      <c r="B150" s="27" t="n"/>
      <c r="C150" s="27" t="inlineStr">
        <is>
          <t>2025-05-15</t>
        </is>
      </c>
      <c r="D150" s="27" t="inlineStr">
        <is>
          <t>Q1505</t>
        </is>
      </c>
      <c r="E150" s="27" t="n"/>
      <c r="F150" s="27" t="inlineStr">
        <is>
          <t>浙江精准学科技有限公司</t>
        </is>
      </c>
      <c r="G150" s="27" t="inlineStr">
        <is>
          <t>记-95</t>
        </is>
      </c>
      <c r="H150" s="27" t="n"/>
      <c r="I150" s="100" t="n"/>
      <c r="J150" s="100" t="n">
        <v>5</v>
      </c>
    </row>
    <row r="151" s="83">
      <c r="A151" s="26" t="inlineStr">
        <is>
          <t>100201</t>
        </is>
      </c>
      <c r="B151" s="26" t="n"/>
      <c r="C151" s="26" t="inlineStr">
        <is>
          <t>2025-05-16</t>
        </is>
      </c>
      <c r="D151" s="26" t="inlineStr">
        <is>
          <t>Q1505</t>
        </is>
      </c>
      <c r="E151" s="26" t="n"/>
      <c r="F151" s="26" t="inlineStr">
        <is>
          <t>浙江精准学科技有限公司</t>
        </is>
      </c>
      <c r="G151" s="26" t="inlineStr">
        <is>
          <t>记-114</t>
        </is>
      </c>
      <c r="H151" s="26" t="n"/>
      <c r="I151" s="99" t="n"/>
      <c r="J151" s="99" t="n">
        <v>5</v>
      </c>
    </row>
    <row r="152" s="83">
      <c r="A152" s="27" t="inlineStr">
        <is>
          <t>100201</t>
        </is>
      </c>
      <c r="B152" s="27" t="n"/>
      <c r="C152" s="27" t="inlineStr">
        <is>
          <t>2025-05-23</t>
        </is>
      </c>
      <c r="D152" s="27" t="inlineStr">
        <is>
          <t>Q1505</t>
        </is>
      </c>
      <c r="E152" s="27" t="n"/>
      <c r="F152" s="27" t="inlineStr">
        <is>
          <t>浙江精准学科技有限公司</t>
        </is>
      </c>
      <c r="G152" s="27" t="inlineStr">
        <is>
          <t>记-166</t>
        </is>
      </c>
      <c r="H152" s="27" t="n"/>
      <c r="I152" s="100" t="n"/>
      <c r="J152" s="100" t="n">
        <v>5</v>
      </c>
    </row>
    <row r="153" s="83">
      <c r="A153" s="26" t="inlineStr">
        <is>
          <t>100201</t>
        </is>
      </c>
      <c r="B153" s="26" t="n"/>
      <c r="C153" s="26" t="inlineStr">
        <is>
          <t>2025-05-08</t>
        </is>
      </c>
      <c r="D153" s="26" t="inlineStr">
        <is>
          <t>Q1603</t>
        </is>
      </c>
      <c r="E153" s="26" t="n"/>
      <c r="F153" s="26" t="inlineStr">
        <is>
          <t>浙江精准学科技有限公司</t>
        </is>
      </c>
      <c r="G153" s="26" t="inlineStr">
        <is>
          <t>记-36</t>
        </is>
      </c>
      <c r="H153" s="26" t="n"/>
      <c r="I153" s="99" t="n"/>
      <c r="J153" s="99" t="n">
        <v>5</v>
      </c>
    </row>
    <row r="154" s="83">
      <c r="A154" s="27" t="inlineStr">
        <is>
          <t>100201</t>
        </is>
      </c>
      <c r="B154" s="27" t="n"/>
      <c r="C154" s="27" t="inlineStr">
        <is>
          <t>2025-05-13</t>
        </is>
      </c>
      <c r="D154" s="27" t="inlineStr">
        <is>
          <t>Q1603</t>
        </is>
      </c>
      <c r="E154" s="27" t="n"/>
      <c r="F154" s="27" t="inlineStr">
        <is>
          <t>浙江精准学科技有限公司</t>
        </is>
      </c>
      <c r="G154" s="27" t="inlineStr">
        <is>
          <t>记-55</t>
        </is>
      </c>
      <c r="H154" s="27" t="n"/>
      <c r="I154" s="100" t="n"/>
      <c r="J154" s="100" t="n">
        <v>5</v>
      </c>
    </row>
    <row r="155" s="83">
      <c r="A155" s="26" t="inlineStr">
        <is>
          <t>100201</t>
        </is>
      </c>
      <c r="B155" s="26" t="n"/>
      <c r="C155" s="26" t="inlineStr">
        <is>
          <t>2025-05-14</t>
        </is>
      </c>
      <c r="D155" s="26" t="inlineStr">
        <is>
          <t>Q1603</t>
        </is>
      </c>
      <c r="E155" s="26" t="n"/>
      <c r="F155" s="26" t="inlineStr">
        <is>
          <t>浙江精准学科技有限公司</t>
        </is>
      </c>
      <c r="G155" s="26" t="inlineStr">
        <is>
          <t>记-74</t>
        </is>
      </c>
      <c r="H155" s="26" t="n"/>
      <c r="I155" s="99" t="n"/>
      <c r="J155" s="99" t="n">
        <v>5</v>
      </c>
    </row>
    <row r="156" s="83">
      <c r="A156" s="26" t="inlineStr">
        <is>
          <t>100201</t>
        </is>
      </c>
      <c r="B156" s="26" t="n"/>
      <c r="C156" s="26" t="inlineStr">
        <is>
          <t>2025-05-13</t>
        </is>
      </c>
      <c r="D156" s="26" t="inlineStr">
        <is>
          <t>Q1701</t>
        </is>
      </c>
      <c r="E156" s="26" t="n"/>
      <c r="F156" s="26" t="inlineStr">
        <is>
          <t>浙江精准学科技有限公司</t>
        </is>
      </c>
      <c r="G156" s="26" t="inlineStr">
        <is>
          <t>记-59</t>
        </is>
      </c>
      <c r="H156" s="26" t="n"/>
      <c r="I156" s="99" t="n"/>
      <c r="J156" s="99" t="n">
        <v>5</v>
      </c>
    </row>
    <row r="157" s="83">
      <c r="A157" s="27" t="inlineStr">
        <is>
          <t>100201</t>
        </is>
      </c>
      <c r="B157" s="27" t="n"/>
      <c r="C157" s="27" t="inlineStr">
        <is>
          <t>2025-05-15</t>
        </is>
      </c>
      <c r="D157" s="27" t="inlineStr">
        <is>
          <t>Q1701</t>
        </is>
      </c>
      <c r="E157" s="27" t="n"/>
      <c r="F157" s="27" t="inlineStr">
        <is>
          <t>浙江精准学科技有限公司</t>
        </is>
      </c>
      <c r="G157" s="27" t="inlineStr">
        <is>
          <t>记-91</t>
        </is>
      </c>
      <c r="H157" s="27" t="n"/>
      <c r="I157" s="100" t="n"/>
      <c r="J157" s="100" t="n">
        <v>5</v>
      </c>
    </row>
    <row r="158" s="83">
      <c r="A158" s="26" t="inlineStr">
        <is>
          <t>100201</t>
        </is>
      </c>
      <c r="B158" s="26" t="n"/>
      <c r="C158" s="26" t="inlineStr">
        <is>
          <t>2025-05-16</t>
        </is>
      </c>
      <c r="D158" s="26" t="inlineStr">
        <is>
          <t>Q1701</t>
        </is>
      </c>
      <c r="E158" s="26" t="n"/>
      <c r="F158" s="26" t="inlineStr">
        <is>
          <t>浙江精准学科技有限公司</t>
        </is>
      </c>
      <c r="G158" s="26" t="inlineStr">
        <is>
          <t>记-112</t>
        </is>
      </c>
      <c r="H158" s="26" t="n"/>
      <c r="I158" s="99" t="n"/>
      <c r="J158" s="99" t="n">
        <v>5</v>
      </c>
    </row>
    <row r="159" s="83">
      <c r="A159" s="27" t="inlineStr">
        <is>
          <t>100201</t>
        </is>
      </c>
      <c r="B159" s="27" t="n"/>
      <c r="C159" s="27" t="inlineStr">
        <is>
          <t>2025-05-16</t>
        </is>
      </c>
      <c r="D159" s="27" t="inlineStr">
        <is>
          <t>Q1701</t>
        </is>
      </c>
      <c r="E159" s="27" t="n"/>
      <c r="F159" s="27" t="inlineStr">
        <is>
          <t>浙江精准学科技有限公司</t>
        </is>
      </c>
      <c r="G159" s="27" t="inlineStr">
        <is>
          <t>记-113</t>
        </is>
      </c>
      <c r="H159" s="27" t="n"/>
      <c r="I159" s="100" t="n"/>
      <c r="J159" s="100" t="n">
        <v>5</v>
      </c>
    </row>
    <row r="160" s="83">
      <c r="A160" s="26" t="inlineStr">
        <is>
          <t>100201</t>
        </is>
      </c>
      <c r="B160" s="26" t="n"/>
      <c r="C160" s="26" t="inlineStr">
        <is>
          <t>2025-05-26</t>
        </is>
      </c>
      <c r="D160" s="26" t="inlineStr">
        <is>
          <t>Q1701</t>
        </is>
      </c>
      <c r="E160" s="26" t="n"/>
      <c r="F160" s="26" t="inlineStr">
        <is>
          <t>浙江精准学科技有限公司</t>
        </is>
      </c>
      <c r="G160" s="26" t="inlineStr">
        <is>
          <t>记-186</t>
        </is>
      </c>
      <c r="H160" s="26" t="n"/>
      <c r="I160" s="99" t="n"/>
      <c r="J160" s="99" t="n">
        <v>5</v>
      </c>
    </row>
    <row r="161" s="83">
      <c r="A161" s="27" t="inlineStr">
        <is>
          <t>100201</t>
        </is>
      </c>
      <c r="B161" s="27" t="n"/>
      <c r="C161" s="27" t="inlineStr">
        <is>
          <t>2025-05-29</t>
        </is>
      </c>
      <c r="D161" s="27" t="inlineStr">
        <is>
          <t>Q1701</t>
        </is>
      </c>
      <c r="E161" s="27" t="n"/>
      <c r="F161" s="27" t="inlineStr">
        <is>
          <t>浙江精准学科技有限公司</t>
        </is>
      </c>
      <c r="G161" s="27" t="inlineStr">
        <is>
          <t>记-209</t>
        </is>
      </c>
      <c r="H161" s="27" t="n"/>
      <c r="I161" s="100" t="n"/>
      <c r="J161" s="100" t="n">
        <v>5</v>
      </c>
    </row>
    <row r="162" s="83">
      <c r="A162" s="26" t="inlineStr">
        <is>
          <t>100201</t>
        </is>
      </c>
      <c r="B162" s="26" t="n"/>
      <c r="C162" s="26" t="inlineStr">
        <is>
          <t>2025-05-29</t>
        </is>
      </c>
      <c r="D162" s="26" t="inlineStr">
        <is>
          <t>Q1701</t>
        </is>
      </c>
      <c r="E162" s="26" t="n"/>
      <c r="F162" s="26" t="inlineStr">
        <is>
          <t>浙江精准学科技有限公司</t>
        </is>
      </c>
      <c r="G162" s="26" t="inlineStr">
        <is>
          <t>记-211</t>
        </is>
      </c>
      <c r="H162" s="26" t="n"/>
      <c r="I162" s="99" t="n"/>
      <c r="J162" s="99" t="n">
        <v>5</v>
      </c>
    </row>
    <row r="163" s="83">
      <c r="A163" s="26" t="inlineStr">
        <is>
          <t>100201</t>
        </is>
      </c>
      <c r="B163" s="26" t="n"/>
      <c r="C163" s="26" t="inlineStr">
        <is>
          <t>2025-05-15</t>
        </is>
      </c>
      <c r="D163" s="26" t="inlineStr">
        <is>
          <t>Q1801</t>
        </is>
      </c>
      <c r="E163" s="26" t="n"/>
      <c r="F163" s="26" t="inlineStr">
        <is>
          <t>浙江精准学科技有限公司</t>
        </is>
      </c>
      <c r="G163" s="26" t="inlineStr">
        <is>
          <t>记-86</t>
        </is>
      </c>
      <c r="H163" s="26" t="n"/>
      <c r="I163" s="99" t="n"/>
      <c r="J163" s="99" t="n">
        <v>5</v>
      </c>
    </row>
    <row r="164" s="83">
      <c r="A164" s="27" t="inlineStr">
        <is>
          <t>100201</t>
        </is>
      </c>
      <c r="B164" s="27" t="n"/>
      <c r="C164" s="27" t="inlineStr">
        <is>
          <t>2025-05-19</t>
        </is>
      </c>
      <c r="D164" s="27" t="inlineStr">
        <is>
          <t>Q1801</t>
        </is>
      </c>
      <c r="E164" s="27" t="n"/>
      <c r="F164" s="27" t="inlineStr">
        <is>
          <t>浙江精准学科技有限公司</t>
        </is>
      </c>
      <c r="G164" s="27" t="inlineStr">
        <is>
          <t>记-124</t>
        </is>
      </c>
      <c r="H164" s="27" t="n"/>
      <c r="I164" s="100" t="n"/>
      <c r="J164" s="100" t="n">
        <v>5</v>
      </c>
    </row>
    <row r="165" s="83">
      <c r="A165" s="27" t="inlineStr">
        <is>
          <t>100201</t>
        </is>
      </c>
      <c r="B165" s="27" t="n"/>
      <c r="C165" s="27" t="inlineStr">
        <is>
          <t>2025-05-19</t>
        </is>
      </c>
      <c r="D165" s="27" t="inlineStr">
        <is>
          <t>Q1802</t>
        </is>
      </c>
      <c r="E165" s="27" t="n"/>
      <c r="F165" s="27" t="inlineStr">
        <is>
          <t>浙江精准学科技有限公司</t>
        </is>
      </c>
      <c r="G165" s="27" t="inlineStr">
        <is>
          <t>记-124</t>
        </is>
      </c>
      <c r="H165" s="27" t="n"/>
      <c r="I165" s="100" t="n"/>
      <c r="J165" s="100" t="n">
        <v>5</v>
      </c>
    </row>
    <row r="166" s="83">
      <c r="A166" s="26" t="inlineStr">
        <is>
          <t>100201</t>
        </is>
      </c>
      <c r="B166" s="26" t="n"/>
      <c r="C166" s="26" t="inlineStr">
        <is>
          <t>2025-05-07</t>
        </is>
      </c>
      <c r="D166" s="26" t="inlineStr">
        <is>
          <t>Q1805</t>
        </is>
      </c>
      <c r="E166" s="26" t="n"/>
      <c r="F166" s="26" t="inlineStr">
        <is>
          <t>浙江精准学科技有限公司</t>
        </is>
      </c>
      <c r="G166" s="26" t="inlineStr">
        <is>
          <t>记-28</t>
        </is>
      </c>
      <c r="H166" s="26" t="n"/>
      <c r="I166" s="99" t="n"/>
      <c r="J166" s="99" t="n">
        <v>5</v>
      </c>
    </row>
    <row r="167" s="83">
      <c r="A167" s="27" t="inlineStr">
        <is>
          <t>100201</t>
        </is>
      </c>
      <c r="B167" s="27" t="n"/>
      <c r="C167" s="27" t="inlineStr">
        <is>
          <t>2025-05-19</t>
        </is>
      </c>
      <c r="D167" s="27" t="inlineStr">
        <is>
          <t>Q1805</t>
        </is>
      </c>
      <c r="E167" s="27" t="n"/>
      <c r="F167" s="27" t="inlineStr">
        <is>
          <t>浙江精准学科技有限公司</t>
        </is>
      </c>
      <c r="G167" s="27" t="inlineStr">
        <is>
          <t>记-130</t>
        </is>
      </c>
      <c r="H167" s="27" t="n"/>
      <c r="I167" s="100" t="n"/>
      <c r="J167" s="100" t="n">
        <v>5</v>
      </c>
    </row>
    <row r="168" s="83">
      <c r="A168" s="26" t="inlineStr">
        <is>
          <t>100201</t>
        </is>
      </c>
      <c r="B168" s="26" t="n"/>
      <c r="C168" s="26" t="inlineStr">
        <is>
          <t>2025-05-13</t>
        </is>
      </c>
      <c r="D168" s="26" t="inlineStr">
        <is>
          <t>Q1902</t>
        </is>
      </c>
      <c r="E168" s="26" t="n"/>
      <c r="F168" s="26" t="inlineStr">
        <is>
          <t>浙江精准学科技有限公司</t>
        </is>
      </c>
      <c r="G168" s="26" t="inlineStr">
        <is>
          <t>记-58</t>
        </is>
      </c>
      <c r="H168" s="26" t="n"/>
      <c r="I168" s="99" t="n"/>
      <c r="J168" s="99" t="n">
        <v>5</v>
      </c>
    </row>
    <row r="169" customFormat="1" s="21">
      <c r="A169" s="32" t="inlineStr">
        <is>
          <t>100201</t>
        </is>
      </c>
      <c r="B169" s="32" t="n"/>
      <c r="C169" s="32" t="inlineStr">
        <is>
          <t>2025-05-21</t>
        </is>
      </c>
      <c r="D169" s="32" t="inlineStr">
        <is>
          <t>Q1903</t>
        </is>
      </c>
      <c r="E169" s="32" t="n"/>
      <c r="F169" s="32" t="inlineStr">
        <is>
          <t>浙江精准学科技有限公司</t>
        </is>
      </c>
      <c r="G169" s="32" t="inlineStr">
        <is>
          <t>记-149</t>
        </is>
      </c>
      <c r="H169" s="32" t="n"/>
      <c r="I169" s="99" t="n">
        <v>5</v>
      </c>
      <c r="J169" s="101" t="n">
        <v>5</v>
      </c>
    </row>
    <row r="170" customFormat="1" s="21">
      <c r="A170" s="32" t="inlineStr">
        <is>
          <t>100201</t>
        </is>
      </c>
      <c r="B170" s="32" t="n"/>
      <c r="C170" s="32" t="inlineStr">
        <is>
          <t>2025-05-21</t>
        </is>
      </c>
      <c r="D170" s="32" t="inlineStr">
        <is>
          <t>Q1903</t>
        </is>
      </c>
      <c r="E170" s="32" t="n"/>
      <c r="F170" s="32" t="inlineStr">
        <is>
          <t>浙江精准学科技有限公司</t>
        </is>
      </c>
      <c r="G170" s="32" t="inlineStr">
        <is>
          <t>记-150</t>
        </is>
      </c>
      <c r="H170" s="32" t="n"/>
      <c r="I170" s="99" t="n">
        <v>5</v>
      </c>
      <c r="J170" s="101" t="n">
        <v>5</v>
      </c>
    </row>
    <row r="171" customFormat="1" s="21">
      <c r="A171" s="32" t="inlineStr">
        <is>
          <t>100201</t>
        </is>
      </c>
      <c r="B171" s="32" t="n"/>
      <c r="C171" s="32" t="inlineStr">
        <is>
          <t>2025-05-26</t>
        </is>
      </c>
      <c r="D171" s="32" t="inlineStr">
        <is>
          <t>Q1903</t>
        </is>
      </c>
      <c r="E171" s="32" t="n"/>
      <c r="F171" s="32" t="inlineStr">
        <is>
          <t>浙江精准学科技有限公司</t>
        </is>
      </c>
      <c r="G171" s="32" t="inlineStr">
        <is>
          <t>记-184</t>
        </is>
      </c>
      <c r="H171" s="32" t="n"/>
      <c r="I171" s="99" t="n">
        <v>5</v>
      </c>
      <c r="J171" s="101" t="n">
        <v>5</v>
      </c>
    </row>
    <row r="172" customFormat="1" s="21">
      <c r="A172" s="32" t="inlineStr">
        <is>
          <t>100201</t>
        </is>
      </c>
      <c r="B172" s="32" t="n"/>
      <c r="C172" s="32" t="inlineStr">
        <is>
          <t>2025-05-27</t>
        </is>
      </c>
      <c r="D172" s="32" t="inlineStr">
        <is>
          <t>Q1903</t>
        </is>
      </c>
      <c r="E172" s="32" t="n"/>
      <c r="F172" s="32" t="inlineStr">
        <is>
          <t>浙江精准学科技有限公司</t>
        </is>
      </c>
      <c r="G172" s="32" t="inlineStr">
        <is>
          <t>记-199</t>
        </is>
      </c>
      <c r="H172" s="32" t="n"/>
      <c r="I172" s="99" t="n">
        <v>5</v>
      </c>
      <c r="J172" s="101" t="n">
        <v>5</v>
      </c>
    </row>
    <row r="173" s="83">
      <c r="A173" s="27" t="inlineStr">
        <is>
          <t>100201</t>
        </is>
      </c>
      <c r="B173" s="27" t="n"/>
      <c r="C173" s="27" t="inlineStr">
        <is>
          <t>2025-05-15</t>
        </is>
      </c>
      <c r="D173" s="27" t="inlineStr">
        <is>
          <t>Q1905</t>
        </is>
      </c>
      <c r="E173" s="27" t="n"/>
      <c r="F173" s="27" t="inlineStr">
        <is>
          <t>浙江精准学科技有限公司</t>
        </is>
      </c>
      <c r="G173" s="27" t="inlineStr">
        <is>
          <t>记-98</t>
        </is>
      </c>
      <c r="H173" s="27" t="n"/>
      <c r="I173" s="100" t="n"/>
      <c r="J173" s="100" t="n">
        <v>5</v>
      </c>
    </row>
    <row r="174" s="83">
      <c r="A174" s="26" t="inlineStr">
        <is>
          <t>100201</t>
        </is>
      </c>
      <c r="B174" s="26" t="n"/>
      <c r="C174" s="26" t="inlineStr">
        <is>
          <t>2025-05-13</t>
        </is>
      </c>
      <c r="D174" s="26" t="inlineStr">
        <is>
          <t>Q2002</t>
        </is>
      </c>
      <c r="E174" s="26" t="n"/>
      <c r="F174" s="26" t="inlineStr">
        <is>
          <t>浙江精准学科技有限公司</t>
        </is>
      </c>
      <c r="G174" s="26" t="inlineStr">
        <is>
          <t>记-53</t>
        </is>
      </c>
      <c r="H174" s="26" t="n"/>
      <c r="I174" s="99" t="n"/>
      <c r="J174" s="99" t="n">
        <v>5</v>
      </c>
    </row>
    <row r="175" s="83">
      <c r="A175" s="27" t="inlineStr">
        <is>
          <t>100201</t>
        </is>
      </c>
      <c r="B175" s="27" t="n"/>
      <c r="C175" s="27" t="inlineStr">
        <is>
          <t>2025-05-13</t>
        </is>
      </c>
      <c r="D175" s="27" t="inlineStr">
        <is>
          <t>Q2002</t>
        </is>
      </c>
      <c r="E175" s="27" t="n"/>
      <c r="F175" s="27" t="inlineStr">
        <is>
          <t>浙江精准学科技有限公司</t>
        </is>
      </c>
      <c r="G175" s="27" t="inlineStr">
        <is>
          <t>记-57</t>
        </is>
      </c>
      <c r="H175" s="27" t="n"/>
      <c r="I175" s="100" t="n"/>
      <c r="J175" s="100" t="n">
        <v>5</v>
      </c>
    </row>
    <row r="176" s="83">
      <c r="A176" s="26" t="inlineStr">
        <is>
          <t>100201</t>
        </is>
      </c>
      <c r="B176" s="26" t="n"/>
      <c r="C176" s="26" t="inlineStr">
        <is>
          <t>2025-05-14</t>
        </is>
      </c>
      <c r="D176" s="26" t="inlineStr">
        <is>
          <t>Q2002</t>
        </is>
      </c>
      <c r="E176" s="26" t="n"/>
      <c r="F176" s="26" t="inlineStr">
        <is>
          <t>浙江精准学科技有限公司</t>
        </is>
      </c>
      <c r="G176" s="26" t="inlineStr">
        <is>
          <t>记-79</t>
        </is>
      </c>
      <c r="H176" s="26" t="n"/>
      <c r="I176" s="99" t="n"/>
      <c r="J176" s="99" t="n">
        <v>5</v>
      </c>
    </row>
    <row r="177" s="83">
      <c r="A177" s="27" t="inlineStr">
        <is>
          <t>100201</t>
        </is>
      </c>
      <c r="B177" s="27" t="n"/>
      <c r="C177" s="27" t="inlineStr">
        <is>
          <t>2025-05-15</t>
        </is>
      </c>
      <c r="D177" s="27" t="inlineStr">
        <is>
          <t>Q2002</t>
        </is>
      </c>
      <c r="E177" s="27" t="n"/>
      <c r="F177" s="27" t="inlineStr">
        <is>
          <t>浙江精准学科技有限公司</t>
        </is>
      </c>
      <c r="G177" s="27" t="inlineStr">
        <is>
          <t>记-99</t>
        </is>
      </c>
      <c r="H177" s="27" t="n"/>
      <c r="I177" s="100" t="n"/>
      <c r="J177" s="100" t="n">
        <v>5</v>
      </c>
    </row>
    <row r="178" s="83">
      <c r="A178" s="26" t="inlineStr">
        <is>
          <t>100201</t>
        </is>
      </c>
      <c r="B178" s="26" t="n"/>
      <c r="C178" s="26" t="inlineStr">
        <is>
          <t>2025-05-16</t>
        </is>
      </c>
      <c r="D178" s="26" t="inlineStr">
        <is>
          <t>Q2002</t>
        </is>
      </c>
      <c r="E178" s="26" t="n"/>
      <c r="F178" s="26" t="inlineStr">
        <is>
          <t>浙江精准学科技有限公司</t>
        </is>
      </c>
      <c r="G178" s="26" t="inlineStr">
        <is>
          <t>记-108</t>
        </is>
      </c>
      <c r="H178" s="26" t="n"/>
      <c r="I178" s="99" t="n"/>
      <c r="J178" s="99" t="n">
        <v>5</v>
      </c>
    </row>
    <row r="179" s="83">
      <c r="A179" s="27" t="inlineStr">
        <is>
          <t>100201</t>
        </is>
      </c>
      <c r="B179" s="27" t="n"/>
      <c r="C179" s="27" t="inlineStr">
        <is>
          <t>2025-05-16</t>
        </is>
      </c>
      <c r="D179" s="27" t="inlineStr">
        <is>
          <t>Q2002</t>
        </is>
      </c>
      <c r="E179" s="27" t="n"/>
      <c r="F179" s="27" t="inlineStr">
        <is>
          <t>浙江精准学科技有限公司</t>
        </is>
      </c>
      <c r="G179" s="27" t="inlineStr">
        <is>
          <t>记-110</t>
        </is>
      </c>
      <c r="H179" s="27" t="n"/>
      <c r="I179" s="100" t="n"/>
      <c r="J179" s="100" t="n">
        <v>5</v>
      </c>
    </row>
    <row r="180" s="83">
      <c r="A180" s="26" t="inlineStr">
        <is>
          <t>100201</t>
        </is>
      </c>
      <c r="B180" s="26" t="n"/>
      <c r="C180" s="26" t="inlineStr">
        <is>
          <t>2025-05-16</t>
        </is>
      </c>
      <c r="D180" s="26" t="inlineStr">
        <is>
          <t>Q2002</t>
        </is>
      </c>
      <c r="E180" s="26" t="n"/>
      <c r="F180" s="26" t="inlineStr">
        <is>
          <t>浙江精准学科技有限公司</t>
        </is>
      </c>
      <c r="G180" s="26" t="inlineStr">
        <is>
          <t>记-111</t>
        </is>
      </c>
      <c r="H180" s="26" t="n"/>
      <c r="I180" s="99" t="n"/>
      <c r="J180" s="99" t="n">
        <v>5</v>
      </c>
    </row>
    <row r="181" s="83">
      <c r="A181" s="27" t="inlineStr">
        <is>
          <t>100201</t>
        </is>
      </c>
      <c r="B181" s="27" t="n"/>
      <c r="C181" s="27" t="inlineStr">
        <is>
          <t>2025-05-20</t>
        </is>
      </c>
      <c r="D181" s="27" t="inlineStr">
        <is>
          <t>Q2002</t>
        </is>
      </c>
      <c r="E181" s="27" t="n"/>
      <c r="F181" s="27" t="inlineStr">
        <is>
          <t>浙江精准学科技有限公司</t>
        </is>
      </c>
      <c r="G181" s="27" t="inlineStr">
        <is>
          <t>记-136</t>
        </is>
      </c>
      <c r="H181" s="27" t="n"/>
      <c r="I181" s="100" t="n"/>
      <c r="J181" s="100" t="n">
        <v>5</v>
      </c>
    </row>
    <row r="182" s="83">
      <c r="A182" s="26" t="inlineStr">
        <is>
          <t>100201</t>
        </is>
      </c>
      <c r="B182" s="26" t="n"/>
      <c r="C182" s="26" t="inlineStr">
        <is>
          <t>2025-05-21</t>
        </is>
      </c>
      <c r="D182" s="26" t="inlineStr">
        <is>
          <t>Q2002</t>
        </is>
      </c>
      <c r="E182" s="26" t="n"/>
      <c r="F182" s="26" t="inlineStr">
        <is>
          <t>浙江精准学科技有限公司</t>
        </is>
      </c>
      <c r="G182" s="26" t="inlineStr">
        <is>
          <t>记-151</t>
        </is>
      </c>
      <c r="H182" s="26" t="n"/>
      <c r="I182" s="99" t="n"/>
      <c r="J182" s="99" t="n">
        <v>5</v>
      </c>
    </row>
    <row r="183" s="83">
      <c r="A183" s="27" t="inlineStr">
        <is>
          <t>100201</t>
        </is>
      </c>
      <c r="B183" s="27" t="n"/>
      <c r="C183" s="27" t="inlineStr">
        <is>
          <t>2025-05-23</t>
        </is>
      </c>
      <c r="D183" s="27" t="inlineStr">
        <is>
          <t>Q2002</t>
        </is>
      </c>
      <c r="E183" s="27" t="n"/>
      <c r="F183" s="27" t="inlineStr">
        <is>
          <t>浙江精准学科技有限公司</t>
        </is>
      </c>
      <c r="G183" s="27" t="inlineStr">
        <is>
          <t>记-171</t>
        </is>
      </c>
      <c r="H183" s="27" t="n"/>
      <c r="I183" s="100" t="n"/>
      <c r="J183" s="100" t="n">
        <v>5</v>
      </c>
    </row>
    <row r="184" s="83">
      <c r="A184" s="26" t="inlineStr">
        <is>
          <t>100201</t>
        </is>
      </c>
      <c r="B184" s="26" t="n"/>
      <c r="C184" s="26" t="inlineStr">
        <is>
          <t>2025-05-23</t>
        </is>
      </c>
      <c r="D184" s="26" t="inlineStr">
        <is>
          <t>Q2002</t>
        </is>
      </c>
      <c r="E184" s="26" t="n"/>
      <c r="F184" s="26" t="inlineStr">
        <is>
          <t>浙江精准学科技有限公司</t>
        </is>
      </c>
      <c r="G184" s="26" t="inlineStr">
        <is>
          <t>记-172</t>
        </is>
      </c>
      <c r="H184" s="26" t="n"/>
      <c r="I184" s="99" t="n"/>
      <c r="J184" s="99" t="n">
        <v>5</v>
      </c>
    </row>
    <row r="185" s="83">
      <c r="A185" s="27" t="inlineStr">
        <is>
          <t>100201</t>
        </is>
      </c>
      <c r="B185" s="27" t="n"/>
      <c r="C185" s="27" t="inlineStr">
        <is>
          <t>2025-05-23</t>
        </is>
      </c>
      <c r="D185" s="27" t="inlineStr">
        <is>
          <t>Q2002</t>
        </is>
      </c>
      <c r="E185" s="27" t="n"/>
      <c r="F185" s="27" t="inlineStr">
        <is>
          <t>浙江精准学科技有限公司</t>
        </is>
      </c>
      <c r="G185" s="27" t="inlineStr">
        <is>
          <t>记-173</t>
        </is>
      </c>
      <c r="H185" s="27" t="n"/>
      <c r="I185" s="100" t="n"/>
      <c r="J185" s="100" t="n">
        <v>5</v>
      </c>
    </row>
    <row r="186" s="83">
      <c r="A186" s="26" t="inlineStr">
        <is>
          <t>100201</t>
        </is>
      </c>
      <c r="B186" s="26" t="n"/>
      <c r="C186" s="26" t="inlineStr">
        <is>
          <t>2025-05-26</t>
        </is>
      </c>
      <c r="D186" s="26" t="inlineStr">
        <is>
          <t>Q2002</t>
        </is>
      </c>
      <c r="E186" s="26" t="n"/>
      <c r="F186" s="26" t="inlineStr">
        <is>
          <t>浙江精准学科技有限公司</t>
        </is>
      </c>
      <c r="G186" s="26" t="inlineStr">
        <is>
          <t>记-190</t>
        </is>
      </c>
      <c r="H186" s="26" t="n"/>
      <c r="I186" s="99" t="n"/>
      <c r="J186" s="99" t="n">
        <v>5</v>
      </c>
    </row>
    <row r="187" s="83">
      <c r="A187" s="27" t="inlineStr">
        <is>
          <t>100201</t>
        </is>
      </c>
      <c r="B187" s="27" t="n"/>
      <c r="C187" s="27" t="inlineStr">
        <is>
          <t>2025-05-30</t>
        </is>
      </c>
      <c r="D187" s="27" t="inlineStr">
        <is>
          <t>Q2002</t>
        </is>
      </c>
      <c r="E187" s="27" t="n"/>
      <c r="F187" s="27" t="inlineStr">
        <is>
          <t>浙江精准学科技有限公司</t>
        </is>
      </c>
      <c r="G187" s="27" t="inlineStr">
        <is>
          <t>记-223</t>
        </is>
      </c>
      <c r="H187" s="27" t="n"/>
      <c r="I187" s="100" t="n"/>
      <c r="J187" s="100" t="n">
        <v>5</v>
      </c>
    </row>
    <row r="188" s="83">
      <c r="A188" s="26" t="inlineStr">
        <is>
          <t>100201</t>
        </is>
      </c>
      <c r="B188" s="26" t="n"/>
      <c r="C188" s="26" t="inlineStr">
        <is>
          <t>2025-05-30</t>
        </is>
      </c>
      <c r="D188" s="26" t="inlineStr">
        <is>
          <t>Q2002</t>
        </is>
      </c>
      <c r="E188" s="26" t="n"/>
      <c r="F188" s="26" t="inlineStr">
        <is>
          <t>浙江精准学科技有限公司</t>
        </is>
      </c>
      <c r="G188" s="26" t="inlineStr">
        <is>
          <t>记-224</t>
        </is>
      </c>
      <c r="H188" s="26" t="n"/>
      <c r="I188" s="99" t="n"/>
      <c r="J188" s="99" t="n">
        <v>5</v>
      </c>
    </row>
    <row r="189" s="83">
      <c r="A189" s="27" t="inlineStr">
        <is>
          <t>100201</t>
        </is>
      </c>
      <c r="B189" s="27" t="n"/>
      <c r="C189" s="27" t="inlineStr">
        <is>
          <t>2025-05-30</t>
        </is>
      </c>
      <c r="D189" s="27" t="inlineStr">
        <is>
          <t>Q2002</t>
        </is>
      </c>
      <c r="E189" s="27" t="n"/>
      <c r="F189" s="27" t="inlineStr">
        <is>
          <t>浙江精准学科技有限公司</t>
        </is>
      </c>
      <c r="G189" s="27" t="inlineStr">
        <is>
          <t>记-225</t>
        </is>
      </c>
      <c r="H189" s="27" t="n"/>
      <c r="I189" s="100" t="n"/>
      <c r="J189" s="100" t="n">
        <v>5</v>
      </c>
    </row>
    <row r="190" s="83">
      <c r="A190" s="26" t="inlineStr">
        <is>
          <t>100201</t>
        </is>
      </c>
      <c r="B190" s="26" t="n"/>
      <c r="C190" s="26" t="inlineStr">
        <is>
          <t>2025-05-30</t>
        </is>
      </c>
      <c r="D190" s="26" t="inlineStr">
        <is>
          <t>Q2002</t>
        </is>
      </c>
      <c r="E190" s="26" t="n"/>
      <c r="F190" s="26" t="inlineStr">
        <is>
          <t>浙江精准学科技有限公司</t>
        </is>
      </c>
      <c r="G190" s="26" t="inlineStr">
        <is>
          <t>记-226</t>
        </is>
      </c>
      <c r="H190" s="26" t="n"/>
      <c r="I190" s="99" t="n"/>
      <c r="J190" s="99" t="n">
        <v>5</v>
      </c>
    </row>
    <row r="191" s="83">
      <c r="A191" s="27" t="inlineStr">
        <is>
          <t>100201</t>
        </is>
      </c>
      <c r="B191" s="27" t="n"/>
      <c r="C191" s="27" t="inlineStr">
        <is>
          <t>2025-05-30</t>
        </is>
      </c>
      <c r="D191" s="27" t="inlineStr">
        <is>
          <t>Q2002</t>
        </is>
      </c>
      <c r="E191" s="27" t="n"/>
      <c r="F191" s="27" t="inlineStr">
        <is>
          <t>浙江精准学科技有限公司</t>
        </is>
      </c>
      <c r="G191" s="27" t="inlineStr">
        <is>
          <t>记-227</t>
        </is>
      </c>
      <c r="H191" s="27" t="n"/>
      <c r="I191" s="100" t="n"/>
      <c r="J191" s="100" t="n">
        <v>5</v>
      </c>
    </row>
    <row r="192" s="83">
      <c r="A192" s="26" t="inlineStr">
        <is>
          <t>100201</t>
        </is>
      </c>
      <c r="B192" s="26" t="n"/>
      <c r="C192" s="26" t="inlineStr">
        <is>
          <t>2025-05-30</t>
        </is>
      </c>
      <c r="D192" s="26" t="inlineStr">
        <is>
          <t>Q2002</t>
        </is>
      </c>
      <c r="E192" s="26" t="n"/>
      <c r="F192" s="26" t="inlineStr">
        <is>
          <t>浙江精准学科技有限公司</t>
        </is>
      </c>
      <c r="G192" s="26" t="inlineStr">
        <is>
          <t>记-228</t>
        </is>
      </c>
      <c r="H192" s="26" t="n"/>
      <c r="I192" s="99" t="n"/>
      <c r="J192" s="99" t="n">
        <v>5</v>
      </c>
    </row>
    <row r="193" s="83">
      <c r="A193" s="27" t="inlineStr">
        <is>
          <t>100201</t>
        </is>
      </c>
      <c r="B193" s="27" t="n"/>
      <c r="C193" s="27" t="inlineStr">
        <is>
          <t>2025-05-14</t>
        </is>
      </c>
      <c r="D193" s="27" t="inlineStr">
        <is>
          <t>Q2102</t>
        </is>
      </c>
      <c r="E193" s="27" t="n"/>
      <c r="F193" s="27" t="inlineStr">
        <is>
          <t>浙江精准学科技有限公司</t>
        </is>
      </c>
      <c r="G193" s="27" t="inlineStr">
        <is>
          <t>记-82</t>
        </is>
      </c>
      <c r="H193" s="27" t="n"/>
      <c r="I193" s="100" t="n"/>
      <c r="J193" s="100" t="n">
        <v>5</v>
      </c>
    </row>
    <row r="194" s="83">
      <c r="A194" s="26" t="inlineStr">
        <is>
          <t>100201</t>
        </is>
      </c>
      <c r="B194" s="26" t="n"/>
      <c r="C194" s="26" t="inlineStr">
        <is>
          <t>2025-05-20</t>
        </is>
      </c>
      <c r="D194" s="26" t="inlineStr">
        <is>
          <t>Q2102</t>
        </is>
      </c>
      <c r="E194" s="26" t="n"/>
      <c r="F194" s="26" t="inlineStr">
        <is>
          <t>浙江精准学科技有限公司</t>
        </is>
      </c>
      <c r="G194" s="26" t="inlineStr">
        <is>
          <t>记-135</t>
        </is>
      </c>
      <c r="H194" s="26" t="n"/>
      <c r="I194" s="99" t="n"/>
      <c r="J194" s="99" t="n">
        <v>5</v>
      </c>
    </row>
    <row r="195" s="83">
      <c r="A195" s="27" t="inlineStr">
        <is>
          <t>100201</t>
        </is>
      </c>
      <c r="B195" s="27" t="n"/>
      <c r="C195" s="27" t="inlineStr">
        <is>
          <t>2025-05-30</t>
        </is>
      </c>
      <c r="D195" s="27" t="inlineStr">
        <is>
          <t>Q2102</t>
        </is>
      </c>
      <c r="E195" s="27" t="n"/>
      <c r="F195" s="27" t="inlineStr">
        <is>
          <t>浙江精准学科技有限公司</t>
        </is>
      </c>
      <c r="G195" s="27" t="inlineStr">
        <is>
          <t>记-231</t>
        </is>
      </c>
      <c r="H195" s="27" t="n"/>
      <c r="I195" s="100" t="n"/>
      <c r="J195" s="100" t="n">
        <v>5</v>
      </c>
    </row>
    <row r="196" s="83">
      <c r="A196" s="27" t="inlineStr">
        <is>
          <t>100201</t>
        </is>
      </c>
      <c r="B196" s="27" t="n"/>
      <c r="C196" s="27" t="inlineStr">
        <is>
          <t>2025-05-19</t>
        </is>
      </c>
      <c r="D196" s="27" t="inlineStr">
        <is>
          <t>Q2501</t>
        </is>
      </c>
      <c r="E196" s="27" t="n"/>
      <c r="F196" s="27" t="inlineStr">
        <is>
          <t>浙江精准学科技有限公司</t>
        </is>
      </c>
      <c r="G196" s="27" t="inlineStr">
        <is>
          <t>记-128</t>
        </is>
      </c>
      <c r="H196" s="27" t="n"/>
      <c r="I196" s="100" t="n"/>
      <c r="J196" s="100" t="n">
        <v>5</v>
      </c>
    </row>
    <row r="197" s="83">
      <c r="A197" s="27" t="inlineStr">
        <is>
          <t>100201</t>
        </is>
      </c>
      <c r="B197" s="27" t="n"/>
      <c r="C197" s="27" t="inlineStr">
        <is>
          <t>2025-05-14</t>
        </is>
      </c>
      <c r="D197" s="27" t="inlineStr">
        <is>
          <t>Q2601</t>
        </is>
      </c>
      <c r="E197" s="27" t="n"/>
      <c r="F197" s="27" t="inlineStr">
        <is>
          <t>浙江精准学科技有限公司</t>
        </is>
      </c>
      <c r="G197" s="27" t="inlineStr">
        <is>
          <t>记-76</t>
        </is>
      </c>
      <c r="H197" s="27" t="n"/>
      <c r="I197" s="100" t="n"/>
      <c r="J197" s="100" t="n">
        <v>5</v>
      </c>
    </row>
    <row r="198" s="83">
      <c r="A198" s="26" t="inlineStr">
        <is>
          <t>100201</t>
        </is>
      </c>
      <c r="B198" s="26" t="n"/>
      <c r="C198" s="26" t="inlineStr">
        <is>
          <t>2025-05-14</t>
        </is>
      </c>
      <c r="D198" s="26" t="inlineStr">
        <is>
          <t>Q2601</t>
        </is>
      </c>
      <c r="E198" s="26" t="n"/>
      <c r="F198" s="26" t="inlineStr">
        <is>
          <t>浙江精准学科技有限公司</t>
        </is>
      </c>
      <c r="G198" s="26" t="inlineStr">
        <is>
          <t>记-80</t>
        </is>
      </c>
      <c r="H198" s="26" t="n"/>
      <c r="I198" s="99" t="n"/>
      <c r="J198" s="99" t="n">
        <v>5</v>
      </c>
    </row>
    <row r="199" s="83">
      <c r="A199" s="27" t="inlineStr">
        <is>
          <t>100201</t>
        </is>
      </c>
      <c r="B199" s="27" t="n"/>
      <c r="C199" s="27" t="inlineStr">
        <is>
          <t>2025-05-15</t>
        </is>
      </c>
      <c r="D199" s="27" t="inlineStr">
        <is>
          <t>Q2601</t>
        </is>
      </c>
      <c r="E199" s="27" t="n"/>
      <c r="F199" s="27" t="inlineStr">
        <is>
          <t>浙江精准学科技有限公司</t>
        </is>
      </c>
      <c r="G199" s="27" t="inlineStr">
        <is>
          <t>记-88</t>
        </is>
      </c>
      <c r="H199" s="27" t="n"/>
      <c r="I199" s="100" t="n"/>
      <c r="J199" s="100" t="n">
        <v>5</v>
      </c>
    </row>
    <row r="200" s="83">
      <c r="A200" s="26" t="inlineStr">
        <is>
          <t>100201</t>
        </is>
      </c>
      <c r="B200" s="26" t="n"/>
      <c r="C200" s="26" t="inlineStr">
        <is>
          <t>2025-05-15</t>
        </is>
      </c>
      <c r="D200" s="26" t="inlineStr">
        <is>
          <t>Q2601</t>
        </is>
      </c>
      <c r="E200" s="26" t="n"/>
      <c r="F200" s="26" t="inlineStr">
        <is>
          <t>浙江精准学科技有限公司</t>
        </is>
      </c>
      <c r="G200" s="26" t="inlineStr">
        <is>
          <t>记-89</t>
        </is>
      </c>
      <c r="H200" s="26" t="n"/>
      <c r="I200" s="99" t="n"/>
      <c r="J200" s="99" t="n">
        <v>5</v>
      </c>
    </row>
    <row r="201" s="83">
      <c r="A201" s="27" t="inlineStr">
        <is>
          <t>100201</t>
        </is>
      </c>
      <c r="B201" s="27" t="n"/>
      <c r="C201" s="27" t="inlineStr">
        <is>
          <t>2025-05-19</t>
        </is>
      </c>
      <c r="D201" s="27" t="inlineStr">
        <is>
          <t>Q2601</t>
        </is>
      </c>
      <c r="E201" s="27" t="n"/>
      <c r="F201" s="27" t="inlineStr">
        <is>
          <t>浙江精准学科技有限公司</t>
        </is>
      </c>
      <c r="G201" s="27" t="inlineStr">
        <is>
          <t>记-129</t>
        </is>
      </c>
      <c r="H201" s="27" t="n"/>
      <c r="I201" s="100" t="n"/>
      <c r="J201" s="100" t="n">
        <v>5</v>
      </c>
    </row>
    <row r="202" s="83">
      <c r="A202" s="26" t="inlineStr">
        <is>
          <t>100201</t>
        </is>
      </c>
      <c r="B202" s="26" t="n"/>
      <c r="C202" s="26" t="inlineStr">
        <is>
          <t>2025-05-20</t>
        </is>
      </c>
      <c r="D202" s="26" t="inlineStr">
        <is>
          <t>Q2601</t>
        </is>
      </c>
      <c r="E202" s="26" t="n"/>
      <c r="F202" s="26" t="inlineStr">
        <is>
          <t>浙江精准学科技有限公司</t>
        </is>
      </c>
      <c r="G202" s="26" t="inlineStr">
        <is>
          <t>记-134</t>
        </is>
      </c>
      <c r="H202" s="26" t="n"/>
      <c r="I202" s="99" t="n"/>
      <c r="J202" s="99" t="n">
        <v>5</v>
      </c>
    </row>
    <row r="203" s="83">
      <c r="A203" s="27" t="inlineStr">
        <is>
          <t>100201</t>
        </is>
      </c>
      <c r="B203" s="27" t="n"/>
      <c r="C203" s="27" t="inlineStr">
        <is>
          <t>2025-05-20</t>
        </is>
      </c>
      <c r="D203" s="27" t="inlineStr">
        <is>
          <t>Q2601</t>
        </is>
      </c>
      <c r="E203" s="27" t="n"/>
      <c r="F203" s="27" t="inlineStr">
        <is>
          <t>浙江精准学科技有限公司</t>
        </is>
      </c>
      <c r="G203" s="27" t="inlineStr">
        <is>
          <t>记-137</t>
        </is>
      </c>
      <c r="H203" s="27" t="n"/>
      <c r="I203" s="100" t="n"/>
      <c r="J203" s="100" t="n">
        <v>5</v>
      </c>
    </row>
    <row r="204" s="83">
      <c r="A204" s="26" t="inlineStr">
        <is>
          <t>100201</t>
        </is>
      </c>
      <c r="B204" s="26" t="n"/>
      <c r="C204" s="26" t="inlineStr">
        <is>
          <t>2025-05-21</t>
        </is>
      </c>
      <c r="D204" s="26" t="inlineStr">
        <is>
          <t>Q2601</t>
        </is>
      </c>
      <c r="E204" s="26" t="n"/>
      <c r="F204" s="26" t="inlineStr">
        <is>
          <t>浙江精准学科技有限公司</t>
        </is>
      </c>
      <c r="G204" s="26" t="inlineStr">
        <is>
          <t>记-152</t>
        </is>
      </c>
      <c r="H204" s="26" t="n"/>
      <c r="I204" s="99" t="n"/>
      <c r="J204" s="99" t="n">
        <v>5</v>
      </c>
    </row>
    <row r="205" s="83">
      <c r="A205" s="27" t="inlineStr">
        <is>
          <t>100201</t>
        </is>
      </c>
      <c r="B205" s="27" t="n"/>
      <c r="C205" s="27" t="inlineStr">
        <is>
          <t>2025-05-21</t>
        </is>
      </c>
      <c r="D205" s="27" t="inlineStr">
        <is>
          <t>Q2601</t>
        </is>
      </c>
      <c r="E205" s="27" t="n"/>
      <c r="F205" s="27" t="inlineStr">
        <is>
          <t>浙江精准学科技有限公司</t>
        </is>
      </c>
      <c r="G205" s="27" t="inlineStr">
        <is>
          <t>记-153</t>
        </is>
      </c>
      <c r="H205" s="27" t="n"/>
      <c r="I205" s="100" t="n"/>
      <c r="J205" s="100" t="n">
        <v>5</v>
      </c>
    </row>
    <row r="206" s="83">
      <c r="A206" s="26" t="inlineStr">
        <is>
          <t>100201</t>
        </is>
      </c>
      <c r="B206" s="26" t="n"/>
      <c r="C206" s="26" t="inlineStr">
        <is>
          <t>2025-05-21</t>
        </is>
      </c>
      <c r="D206" s="26" t="inlineStr">
        <is>
          <t>Q2601</t>
        </is>
      </c>
      <c r="E206" s="26" t="n"/>
      <c r="F206" s="26" t="inlineStr">
        <is>
          <t>浙江精准学科技有限公司</t>
        </is>
      </c>
      <c r="G206" s="26" t="inlineStr">
        <is>
          <t>记-155</t>
        </is>
      </c>
      <c r="H206" s="26" t="n"/>
      <c r="I206" s="99" t="n"/>
      <c r="J206" s="99" t="n">
        <v>5</v>
      </c>
    </row>
    <row r="207" s="83">
      <c r="A207" s="27" t="inlineStr">
        <is>
          <t>100201</t>
        </is>
      </c>
      <c r="B207" s="27" t="n"/>
      <c r="C207" s="27" t="inlineStr">
        <is>
          <t>2025-05-23</t>
        </is>
      </c>
      <c r="D207" s="27" t="inlineStr">
        <is>
          <t>Q2601</t>
        </is>
      </c>
      <c r="E207" s="27" t="n"/>
      <c r="F207" s="27" t="inlineStr">
        <is>
          <t>浙江精准学科技有限公司</t>
        </is>
      </c>
      <c r="G207" s="27" t="inlineStr">
        <is>
          <t>记-161</t>
        </is>
      </c>
      <c r="H207" s="27" t="n"/>
      <c r="I207" s="100" t="n"/>
      <c r="J207" s="100" t="n">
        <v>5</v>
      </c>
    </row>
    <row r="208" s="83">
      <c r="A208" s="27" t="inlineStr">
        <is>
          <t>100201</t>
        </is>
      </c>
      <c r="B208" s="27" t="n"/>
      <c r="C208" s="27" t="inlineStr">
        <is>
          <t>2025-05-14</t>
        </is>
      </c>
      <c r="D208" s="27" t="inlineStr">
        <is>
          <t>Q2703</t>
        </is>
      </c>
      <c r="E208" s="27" t="n"/>
      <c r="F208" s="27" t="inlineStr">
        <is>
          <t>浙江精准学科技有限公司</t>
        </is>
      </c>
      <c r="G208" s="27" t="inlineStr">
        <is>
          <t>记-78</t>
        </is>
      </c>
      <c r="H208" s="27" t="n"/>
      <c r="I208" s="100" t="n"/>
      <c r="J208" s="100" t="n">
        <v>5</v>
      </c>
    </row>
    <row r="209" s="83">
      <c r="A209" s="26" t="inlineStr">
        <is>
          <t>100201</t>
        </is>
      </c>
      <c r="B209" s="26" t="n"/>
      <c r="C209" s="26" t="inlineStr">
        <is>
          <t>2025-05-30</t>
        </is>
      </c>
      <c r="D209" s="26" t="inlineStr">
        <is>
          <t>Q2703</t>
        </is>
      </c>
      <c r="E209" s="26" t="n"/>
      <c r="F209" s="26" t="inlineStr">
        <is>
          <t>浙江精准学科技有限公司</t>
        </is>
      </c>
      <c r="G209" s="26" t="inlineStr">
        <is>
          <t>记-230</t>
        </is>
      </c>
      <c r="H209" s="26" t="n"/>
      <c r="I209" s="99" t="n"/>
      <c r="J209" s="99" t="n">
        <v>5</v>
      </c>
    </row>
    <row r="210" s="83">
      <c r="A210" s="27" t="inlineStr">
        <is>
          <t>100201</t>
        </is>
      </c>
      <c r="B210" s="27" t="n"/>
      <c r="C210" s="27" t="inlineStr">
        <is>
          <t>2025-05-30</t>
        </is>
      </c>
      <c r="D210" s="27" t="inlineStr">
        <is>
          <t>Q2707</t>
        </is>
      </c>
      <c r="E210" s="27" t="n"/>
      <c r="F210" s="27" t="inlineStr">
        <is>
          <t>浙江精准学科技有限公司</t>
        </is>
      </c>
      <c r="G210" s="27" t="inlineStr">
        <is>
          <t>记-221</t>
        </is>
      </c>
      <c r="H210" s="27" t="n"/>
      <c r="I210" s="99" t="n">
        <v>5</v>
      </c>
      <c r="J210" s="100" t="n">
        <v>5</v>
      </c>
    </row>
    <row r="211" s="83">
      <c r="A211" s="26" t="inlineStr">
        <is>
          <t>100201</t>
        </is>
      </c>
      <c r="B211" s="26" t="n"/>
      <c r="C211" s="26" t="inlineStr">
        <is>
          <t>2025-05-30</t>
        </is>
      </c>
      <c r="D211" s="26" t="inlineStr">
        <is>
          <t>Q2707</t>
        </is>
      </c>
      <c r="E211" s="26" t="n"/>
      <c r="F211" s="26" t="inlineStr">
        <is>
          <t>浙江精准学科技有限公司</t>
        </is>
      </c>
      <c r="G211" s="26" t="inlineStr">
        <is>
          <t>记-232</t>
        </is>
      </c>
      <c r="H211" s="26" t="n"/>
      <c r="I211" s="99" t="n"/>
      <c r="J211" s="99" t="n">
        <v>5</v>
      </c>
    </row>
    <row r="212" s="83">
      <c r="A212" s="27" t="inlineStr">
        <is>
          <t>100201</t>
        </is>
      </c>
      <c r="B212" s="27" t="n"/>
      <c r="C212" s="27" t="inlineStr">
        <is>
          <t>2025-05-08</t>
        </is>
      </c>
      <c r="D212" s="27" t="inlineStr">
        <is>
          <t>Q2802</t>
        </is>
      </c>
      <c r="E212" s="27" t="n"/>
      <c r="F212" s="27" t="inlineStr">
        <is>
          <t>浙江精准学科技有限公司</t>
        </is>
      </c>
      <c r="G212" s="27" t="inlineStr">
        <is>
          <t>记-35</t>
        </is>
      </c>
      <c r="H212" s="27" t="n"/>
      <c r="I212" s="100" t="n"/>
      <c r="J212" s="100" t="n">
        <v>5</v>
      </c>
    </row>
    <row r="213" s="83">
      <c r="A213" s="26" t="inlineStr">
        <is>
          <t>100201</t>
        </is>
      </c>
      <c r="B213" s="26" t="n"/>
      <c r="C213" s="26" t="inlineStr">
        <is>
          <t>2025-05-14</t>
        </is>
      </c>
      <c r="D213" s="26" t="inlineStr">
        <is>
          <t>Q2802</t>
        </is>
      </c>
      <c r="E213" s="26" t="n"/>
      <c r="F213" s="26" t="inlineStr">
        <is>
          <t>浙江精准学科技有限公司</t>
        </is>
      </c>
      <c r="G213" s="26" t="inlineStr">
        <is>
          <t>记-73</t>
        </is>
      </c>
      <c r="H213" s="26" t="n"/>
      <c r="I213" s="99" t="n"/>
      <c r="J213" s="99" t="n">
        <v>5</v>
      </c>
    </row>
    <row r="214" s="83">
      <c r="A214" s="27" t="inlineStr">
        <is>
          <t>100201</t>
        </is>
      </c>
      <c r="B214" s="27" t="n"/>
      <c r="C214" s="27" t="inlineStr">
        <is>
          <t>2025-05-14</t>
        </is>
      </c>
      <c r="D214" s="27" t="inlineStr">
        <is>
          <t>Q2802</t>
        </is>
      </c>
      <c r="E214" s="27" t="n"/>
      <c r="F214" s="27" t="inlineStr">
        <is>
          <t>浙江精准学科技有限公司</t>
        </is>
      </c>
      <c r="G214" s="27" t="inlineStr">
        <is>
          <t>记-83</t>
        </is>
      </c>
      <c r="H214" s="27" t="n"/>
      <c r="I214" s="100" t="n"/>
      <c r="J214" s="100" t="n">
        <v>5</v>
      </c>
    </row>
    <row r="215" s="83">
      <c r="A215" s="26" t="inlineStr">
        <is>
          <t>100201</t>
        </is>
      </c>
      <c r="B215" s="26" t="n"/>
      <c r="C215" s="26" t="inlineStr">
        <is>
          <t>2025-05-15</t>
        </is>
      </c>
      <c r="D215" s="26" t="inlineStr">
        <is>
          <t>Q2802</t>
        </is>
      </c>
      <c r="E215" s="26" t="n"/>
      <c r="F215" s="26" t="inlineStr">
        <is>
          <t>浙江精准学科技有限公司</t>
        </is>
      </c>
      <c r="G215" s="26" t="inlineStr">
        <is>
          <t>记-93</t>
        </is>
      </c>
      <c r="H215" s="26" t="n"/>
      <c r="I215" s="99" t="n"/>
      <c r="J215" s="99" t="n">
        <v>5</v>
      </c>
    </row>
    <row r="216" s="83">
      <c r="A216" s="27" t="inlineStr">
        <is>
          <t>100201</t>
        </is>
      </c>
      <c r="B216" s="27" t="n"/>
      <c r="C216" s="27" t="inlineStr">
        <is>
          <t>2025-05-16</t>
        </is>
      </c>
      <c r="D216" s="27" t="inlineStr">
        <is>
          <t>Q2802</t>
        </is>
      </c>
      <c r="E216" s="27" t="n"/>
      <c r="F216" s="27" t="inlineStr">
        <is>
          <t>浙江精准学科技有限公司</t>
        </is>
      </c>
      <c r="G216" s="27" t="inlineStr">
        <is>
          <t>记-106</t>
        </is>
      </c>
      <c r="H216" s="27" t="n"/>
      <c r="I216" s="100" t="n"/>
      <c r="J216" s="100" t="n">
        <v>5</v>
      </c>
    </row>
    <row r="217" s="83">
      <c r="A217" s="26" t="inlineStr">
        <is>
          <t>100201</t>
        </is>
      </c>
      <c r="B217" s="26" t="n"/>
      <c r="C217" s="26" t="inlineStr">
        <is>
          <t>2025-05-23</t>
        </is>
      </c>
      <c r="D217" s="26" t="inlineStr">
        <is>
          <t>Q2802</t>
        </is>
      </c>
      <c r="E217" s="26" t="n"/>
      <c r="F217" s="26" t="inlineStr">
        <is>
          <t>浙江精准学科技有限公司</t>
        </is>
      </c>
      <c r="G217" s="26" t="inlineStr">
        <is>
          <t>记-170</t>
        </is>
      </c>
      <c r="H217" s="26" t="n"/>
      <c r="I217" s="99" t="n"/>
      <c r="J217" s="99" t="n">
        <v>5</v>
      </c>
    </row>
    <row r="218" s="83">
      <c r="A218" s="27" t="inlineStr">
        <is>
          <t>100201</t>
        </is>
      </c>
      <c r="B218" s="27" t="n"/>
      <c r="C218" s="27" t="inlineStr">
        <is>
          <t>2025-05-29</t>
        </is>
      </c>
      <c r="D218" s="27" t="inlineStr">
        <is>
          <t>Q2802</t>
        </is>
      </c>
      <c r="E218" s="27" t="n"/>
      <c r="F218" s="27" t="inlineStr">
        <is>
          <t>浙江精准学科技有限公司</t>
        </is>
      </c>
      <c r="G218" s="27" t="inlineStr">
        <is>
          <t>记-210</t>
        </is>
      </c>
      <c r="H218" s="27" t="n"/>
      <c r="I218" s="100" t="n"/>
      <c r="J218" s="100" t="n">
        <v>5</v>
      </c>
    </row>
    <row r="219" s="83">
      <c r="A219" s="26" t="inlineStr">
        <is>
          <t>100201</t>
        </is>
      </c>
      <c r="B219" s="26" t="n"/>
      <c r="C219" s="26" t="inlineStr">
        <is>
          <t>2025-05-14</t>
        </is>
      </c>
      <c r="D219" s="26" t="inlineStr">
        <is>
          <t>Q2805</t>
        </is>
      </c>
      <c r="E219" s="26" t="n"/>
      <c r="F219" s="26" t="inlineStr">
        <is>
          <t>浙江精准学科技有限公司</t>
        </is>
      </c>
      <c r="G219" s="26" t="inlineStr">
        <is>
          <t>记-77</t>
        </is>
      </c>
      <c r="H219" s="26" t="n"/>
      <c r="I219" s="99" t="n"/>
      <c r="J219" s="99" t="n">
        <v>5</v>
      </c>
    </row>
    <row r="220" s="83">
      <c r="A220" s="27" t="inlineStr">
        <is>
          <t>100201</t>
        </is>
      </c>
      <c r="B220" s="27" t="n"/>
      <c r="C220" s="27" t="inlineStr">
        <is>
          <t>2025-05-07</t>
        </is>
      </c>
      <c r="D220" s="27" t="inlineStr">
        <is>
          <t>Q2901</t>
        </is>
      </c>
      <c r="E220" s="27" t="n"/>
      <c r="F220" s="27" t="inlineStr">
        <is>
          <t>浙江精准学科技有限公司</t>
        </is>
      </c>
      <c r="G220" s="27" t="inlineStr">
        <is>
          <t>记-30</t>
        </is>
      </c>
      <c r="H220" s="27" t="n"/>
      <c r="I220" s="100" t="n"/>
      <c r="J220" s="100" t="n">
        <v>5</v>
      </c>
    </row>
    <row r="221" s="83">
      <c r="A221" s="26" t="inlineStr">
        <is>
          <t>100201</t>
        </is>
      </c>
      <c r="B221" s="26" t="n"/>
      <c r="C221" s="26" t="inlineStr">
        <is>
          <t>2025-05-07</t>
        </is>
      </c>
      <c r="D221" s="26" t="inlineStr">
        <is>
          <t>Q2901</t>
        </is>
      </c>
      <c r="E221" s="26" t="n"/>
      <c r="F221" s="26" t="inlineStr">
        <is>
          <t>浙江精准学科技有限公司</t>
        </is>
      </c>
      <c r="G221" s="26" t="inlineStr">
        <is>
          <t>记-30</t>
        </is>
      </c>
      <c r="H221" s="26" t="n"/>
      <c r="I221" s="99" t="n"/>
      <c r="J221" s="99" t="n">
        <v>5</v>
      </c>
    </row>
    <row r="222" s="83">
      <c r="A222" s="27" t="inlineStr">
        <is>
          <t>100201</t>
        </is>
      </c>
      <c r="B222" s="27" t="n"/>
      <c r="C222" s="27" t="inlineStr">
        <is>
          <t>2025-05-07</t>
        </is>
      </c>
      <c r="D222" s="27" t="inlineStr">
        <is>
          <t>Q2901</t>
        </is>
      </c>
      <c r="E222" s="27" t="n"/>
      <c r="F222" s="27" t="inlineStr">
        <is>
          <t>浙江精准学科技有限公司</t>
        </is>
      </c>
      <c r="G222" s="27" t="inlineStr">
        <is>
          <t>记-30</t>
        </is>
      </c>
      <c r="H222" s="27" t="n"/>
      <c r="I222" s="100" t="n"/>
      <c r="J222" s="100" t="n">
        <v>5</v>
      </c>
    </row>
    <row r="223" s="83">
      <c r="A223" s="26" t="inlineStr">
        <is>
          <t>100201</t>
        </is>
      </c>
      <c r="B223" s="26" t="n"/>
      <c r="C223" s="26" t="inlineStr">
        <is>
          <t>2025-05-08</t>
        </is>
      </c>
      <c r="D223" s="26" t="inlineStr">
        <is>
          <t>Q2901</t>
        </is>
      </c>
      <c r="E223" s="26" t="n"/>
      <c r="F223" s="26" t="inlineStr">
        <is>
          <t>浙江精准学科技有限公司</t>
        </is>
      </c>
      <c r="G223" s="26" t="inlineStr">
        <is>
          <t>记-38</t>
        </is>
      </c>
      <c r="H223" s="26" t="n"/>
      <c r="I223" s="99" t="n"/>
      <c r="J223" s="99" t="n">
        <v>5</v>
      </c>
    </row>
    <row r="224" s="83">
      <c r="A224" s="27" t="inlineStr">
        <is>
          <t>100201</t>
        </is>
      </c>
      <c r="B224" s="27" t="n"/>
      <c r="C224" s="27" t="inlineStr">
        <is>
          <t>2025-05-08</t>
        </is>
      </c>
      <c r="D224" s="27" t="inlineStr">
        <is>
          <t>Q2901</t>
        </is>
      </c>
      <c r="E224" s="27" t="n"/>
      <c r="F224" s="27" t="inlineStr">
        <is>
          <t>浙江精准学科技有限公司</t>
        </is>
      </c>
      <c r="G224" s="27" t="inlineStr">
        <is>
          <t>记-38</t>
        </is>
      </c>
      <c r="H224" s="27" t="n"/>
      <c r="I224" s="99" t="n">
        <v>5</v>
      </c>
      <c r="J224" s="100" t="n">
        <v>5</v>
      </c>
    </row>
    <row r="225" s="83">
      <c r="A225" s="26" t="inlineStr">
        <is>
          <t>100201</t>
        </is>
      </c>
      <c r="B225" s="26" t="n"/>
      <c r="C225" s="26" t="inlineStr">
        <is>
          <t>2025-05-08</t>
        </is>
      </c>
      <c r="D225" s="26" t="inlineStr">
        <is>
          <t>Q2901</t>
        </is>
      </c>
      <c r="E225" s="26" t="n"/>
      <c r="F225" s="26" t="inlineStr">
        <is>
          <t>浙江精准学科技有限公司</t>
        </is>
      </c>
      <c r="G225" s="26" t="inlineStr">
        <is>
          <t>记-38</t>
        </is>
      </c>
      <c r="H225" s="26" t="n"/>
      <c r="I225" s="99" t="n"/>
      <c r="J225" s="99" t="n">
        <v>5</v>
      </c>
    </row>
    <row r="226" s="83">
      <c r="A226" s="27" t="inlineStr">
        <is>
          <t>100201</t>
        </is>
      </c>
      <c r="B226" s="27" t="n"/>
      <c r="C226" s="27" t="inlineStr">
        <is>
          <t>2025-05-12</t>
        </is>
      </c>
      <c r="D226" s="27" t="inlineStr">
        <is>
          <t>Q2901</t>
        </is>
      </c>
      <c r="E226" s="27" t="n"/>
      <c r="F226" s="27" t="inlineStr">
        <is>
          <t>浙江精准学科技有限公司</t>
        </is>
      </c>
      <c r="G226" s="27" t="inlineStr">
        <is>
          <t>记-52</t>
        </is>
      </c>
      <c r="H226" s="27" t="n"/>
      <c r="I226" s="100" t="n"/>
      <c r="J226" s="100" t="n">
        <v>5</v>
      </c>
    </row>
    <row r="227" s="83">
      <c r="A227" s="26" t="inlineStr">
        <is>
          <t>100201</t>
        </is>
      </c>
      <c r="B227" s="26" t="n"/>
      <c r="C227" s="26" t="inlineStr">
        <is>
          <t>2025-05-26</t>
        </is>
      </c>
      <c r="D227" s="26" t="inlineStr">
        <is>
          <t>Q2901</t>
        </is>
      </c>
      <c r="E227" s="26" t="n"/>
      <c r="F227" s="26" t="inlineStr">
        <is>
          <t>浙江精准学科技有限公司</t>
        </is>
      </c>
      <c r="G227" s="26" t="inlineStr">
        <is>
          <t>记-191</t>
        </is>
      </c>
      <c r="H227" s="26" t="n"/>
      <c r="I227" s="99" t="n"/>
      <c r="J227" s="99" t="n">
        <v>5</v>
      </c>
    </row>
    <row r="228" s="83">
      <c r="A228" s="27" t="inlineStr">
        <is>
          <t>100201</t>
        </is>
      </c>
      <c r="B228" s="27" t="n"/>
      <c r="C228" s="27" t="inlineStr">
        <is>
          <t>2025-05-26</t>
        </is>
      </c>
      <c r="D228" s="27" t="inlineStr">
        <is>
          <t>Q2901</t>
        </is>
      </c>
      <c r="E228" s="27" t="n"/>
      <c r="F228" s="27" t="inlineStr">
        <is>
          <t>浙江精准学科技有限公司</t>
        </is>
      </c>
      <c r="G228" s="27" t="inlineStr">
        <is>
          <t>记-191</t>
        </is>
      </c>
      <c r="H228" s="27" t="n"/>
      <c r="I228" s="100" t="n"/>
      <c r="J228" s="100" t="n">
        <v>5</v>
      </c>
    </row>
    <row r="229" s="83">
      <c r="A229" s="26" t="inlineStr">
        <is>
          <t>100201</t>
        </is>
      </c>
      <c r="B229" s="26" t="n"/>
      <c r="C229" s="26" t="inlineStr">
        <is>
          <t>2025-05-27</t>
        </is>
      </c>
      <c r="D229" s="26" t="inlineStr">
        <is>
          <t>Q2901</t>
        </is>
      </c>
      <c r="E229" s="26" t="n"/>
      <c r="F229" s="26" t="inlineStr">
        <is>
          <t>浙江精准学科技有限公司</t>
        </is>
      </c>
      <c r="G229" s="26" t="inlineStr">
        <is>
          <t>记-197</t>
        </is>
      </c>
      <c r="H229" s="26" t="n"/>
      <c r="I229" s="99" t="n"/>
      <c r="J229" s="99" t="n">
        <v>5</v>
      </c>
    </row>
    <row r="230" s="83">
      <c r="A230" s="26" t="inlineStr">
        <is>
          <t>100201</t>
        </is>
      </c>
      <c r="B230" s="26" t="n"/>
      <c r="C230" s="26" t="inlineStr">
        <is>
          <t>2025-05-14</t>
        </is>
      </c>
      <c r="D230" s="26" t="inlineStr">
        <is>
          <t>Q29010</t>
        </is>
      </c>
      <c r="E230" s="26" t="n"/>
      <c r="F230" s="26" t="inlineStr">
        <is>
          <t>浙江精准学科技有限公司</t>
        </is>
      </c>
      <c r="G230" s="26" t="inlineStr">
        <is>
          <t>记-78</t>
        </is>
      </c>
      <c r="H230" s="26" t="n"/>
      <c r="I230" s="99" t="n"/>
      <c r="J230" s="99" t="n">
        <v>5</v>
      </c>
    </row>
    <row r="231" s="83">
      <c r="A231" s="26" t="inlineStr">
        <is>
          <t>100201</t>
        </is>
      </c>
      <c r="B231" s="26" t="n"/>
      <c r="C231" s="26" t="inlineStr">
        <is>
          <t>2025-05-14</t>
        </is>
      </c>
      <c r="D231" s="26" t="inlineStr">
        <is>
          <t>Q2902</t>
        </is>
      </c>
      <c r="E231" s="26" t="n"/>
      <c r="F231" s="26" t="inlineStr">
        <is>
          <t>浙江精准学科技有限公司</t>
        </is>
      </c>
      <c r="G231" s="26" t="inlineStr">
        <is>
          <t>记-72</t>
        </is>
      </c>
      <c r="H231" s="26" t="n"/>
      <c r="I231" s="99" t="n"/>
      <c r="J231" s="99" t="n">
        <v>5</v>
      </c>
    </row>
    <row r="232" s="83">
      <c r="A232" s="27" t="inlineStr">
        <is>
          <t>100201</t>
        </is>
      </c>
      <c r="B232" s="27" t="n"/>
      <c r="C232" s="27" t="inlineStr">
        <is>
          <t>2025-05-16</t>
        </is>
      </c>
      <c r="D232" s="27" t="inlineStr">
        <is>
          <t>Q2902</t>
        </is>
      </c>
      <c r="E232" s="27" t="n"/>
      <c r="F232" s="27" t="inlineStr">
        <is>
          <t>浙江精准学科技有限公司</t>
        </is>
      </c>
      <c r="G232" s="27" t="inlineStr">
        <is>
          <t>记-109</t>
        </is>
      </c>
      <c r="H232" s="27" t="n"/>
      <c r="I232" s="100" t="n"/>
      <c r="J232" s="100" t="n">
        <v>5</v>
      </c>
    </row>
    <row r="233" s="83">
      <c r="A233" s="26" t="inlineStr">
        <is>
          <t>100201</t>
        </is>
      </c>
      <c r="B233" s="26" t="n"/>
      <c r="C233" s="26" t="inlineStr">
        <is>
          <t>2025-05-19</t>
        </is>
      </c>
      <c r="D233" s="26" t="inlineStr">
        <is>
          <t>Q2902</t>
        </is>
      </c>
      <c r="E233" s="26" t="n"/>
      <c r="F233" s="26" t="inlineStr">
        <is>
          <t>浙江精准学科技有限公司</t>
        </is>
      </c>
      <c r="G233" s="26" t="inlineStr">
        <is>
          <t>记-126</t>
        </is>
      </c>
      <c r="H233" s="26" t="n"/>
      <c r="I233" s="99" t="n"/>
      <c r="J233" s="99" t="n">
        <v>5</v>
      </c>
    </row>
    <row r="234" s="83">
      <c r="A234" s="27" t="inlineStr">
        <is>
          <t>100201</t>
        </is>
      </c>
      <c r="B234" s="27" t="n"/>
      <c r="C234" s="27" t="inlineStr">
        <is>
          <t>2025-05-20</t>
        </is>
      </c>
      <c r="D234" s="27" t="inlineStr">
        <is>
          <t>Q2902</t>
        </is>
      </c>
      <c r="E234" s="27" t="n"/>
      <c r="F234" s="27" t="inlineStr">
        <is>
          <t>浙江精准学科技有限公司</t>
        </is>
      </c>
      <c r="G234" s="27" t="inlineStr">
        <is>
          <t>记-138</t>
        </is>
      </c>
      <c r="H234" s="27" t="n"/>
      <c r="I234" s="100" t="n"/>
      <c r="J234" s="100" t="n">
        <v>5</v>
      </c>
    </row>
    <row r="235" s="83">
      <c r="A235" s="26" t="inlineStr">
        <is>
          <t>100201</t>
        </is>
      </c>
      <c r="B235" s="26" t="n"/>
      <c r="C235" s="26" t="inlineStr">
        <is>
          <t>2025-05-23</t>
        </is>
      </c>
      <c r="D235" s="26" t="inlineStr">
        <is>
          <t>Q2902</t>
        </is>
      </c>
      <c r="E235" s="26" t="n"/>
      <c r="F235" s="26" t="inlineStr">
        <is>
          <t>浙江精准学科技有限公司</t>
        </is>
      </c>
      <c r="G235" s="26" t="inlineStr">
        <is>
          <t>记-169</t>
        </is>
      </c>
      <c r="H235" s="26" t="n"/>
      <c r="I235" s="99" t="n"/>
      <c r="J235" s="99" t="n">
        <v>5</v>
      </c>
    </row>
    <row r="236" s="83">
      <c r="A236" s="27" t="inlineStr">
        <is>
          <t>100201</t>
        </is>
      </c>
      <c r="B236" s="27" t="n"/>
      <c r="C236" s="27" t="inlineStr">
        <is>
          <t>2025-05-27</t>
        </is>
      </c>
      <c r="D236" s="27" t="inlineStr">
        <is>
          <t>Q2902</t>
        </is>
      </c>
      <c r="E236" s="27" t="n"/>
      <c r="F236" s="27" t="inlineStr">
        <is>
          <t>浙江精准学科技有限公司</t>
        </is>
      </c>
      <c r="G236" s="27" t="inlineStr">
        <is>
          <t>记-196</t>
        </is>
      </c>
      <c r="H236" s="27" t="n"/>
      <c r="I236" s="100" t="n"/>
      <c r="J236" s="100" t="n">
        <v>5</v>
      </c>
    </row>
    <row r="237" s="83">
      <c r="A237" s="26" t="inlineStr">
        <is>
          <t>100201</t>
        </is>
      </c>
      <c r="B237" s="26" t="n"/>
      <c r="C237" s="26" t="inlineStr">
        <is>
          <t>2025-05-27</t>
        </is>
      </c>
      <c r="D237" s="26" t="inlineStr">
        <is>
          <t>Q2902</t>
        </is>
      </c>
      <c r="E237" s="26" t="n"/>
      <c r="F237" s="26" t="inlineStr">
        <is>
          <t>浙江精准学科技有限公司</t>
        </is>
      </c>
      <c r="G237" s="26" t="inlineStr">
        <is>
          <t>记-197</t>
        </is>
      </c>
      <c r="H237" s="26" t="n"/>
      <c r="I237" s="99" t="n"/>
      <c r="J237" s="99" t="n">
        <v>5</v>
      </c>
    </row>
    <row r="238" s="83">
      <c r="A238" s="27" t="inlineStr">
        <is>
          <t>100201</t>
        </is>
      </c>
      <c r="B238" s="27" t="n"/>
      <c r="C238" s="27" t="inlineStr">
        <is>
          <t>2025-05-05</t>
        </is>
      </c>
      <c r="D238" s="27" t="inlineStr">
        <is>
          <t>Q2904</t>
        </is>
      </c>
      <c r="E238" s="27" t="n"/>
      <c r="F238" s="27" t="inlineStr">
        <is>
          <t>浙江精准学科技有限公司</t>
        </is>
      </c>
      <c r="G238" s="27" t="inlineStr">
        <is>
          <t>记-18</t>
        </is>
      </c>
      <c r="H238" s="27" t="n"/>
      <c r="I238" s="100" t="n"/>
      <c r="J238" s="100" t="n">
        <v>5</v>
      </c>
    </row>
    <row r="239" s="83">
      <c r="A239" s="27" t="inlineStr">
        <is>
          <t>100201</t>
        </is>
      </c>
      <c r="B239" s="27" t="n"/>
      <c r="C239" s="27" t="inlineStr">
        <is>
          <t>2025-05-30</t>
        </is>
      </c>
      <c r="D239" s="27" t="inlineStr">
        <is>
          <t>Q2905</t>
        </is>
      </c>
      <c r="E239" s="27" t="n"/>
      <c r="F239" s="27" t="inlineStr">
        <is>
          <t>浙江精准学科技有限公司</t>
        </is>
      </c>
      <c r="G239" s="27" t="inlineStr">
        <is>
          <t>记-229</t>
        </is>
      </c>
      <c r="H239" s="27" t="n"/>
      <c r="I239" s="100" t="n"/>
      <c r="J239" s="100" t="n">
        <v>5</v>
      </c>
    </row>
    <row r="240" s="83">
      <c r="A240" s="27" t="inlineStr">
        <is>
          <t>100201</t>
        </is>
      </c>
      <c r="B240" s="27" t="n"/>
      <c r="C240" s="27" t="inlineStr">
        <is>
          <t>2025-05-07</t>
        </is>
      </c>
      <c r="D240" s="27" t="inlineStr">
        <is>
          <t>Q2907</t>
        </is>
      </c>
      <c r="E240" s="27" t="n"/>
      <c r="F240" s="27" t="inlineStr">
        <is>
          <t>浙江精准学科技有限公司</t>
        </is>
      </c>
      <c r="G240" s="27" t="inlineStr">
        <is>
          <t>记-30</t>
        </is>
      </c>
      <c r="H240" s="27" t="n"/>
      <c r="I240" s="100" t="n"/>
      <c r="J240" s="100" t="n">
        <v>5</v>
      </c>
    </row>
    <row r="241" s="83">
      <c r="A241" s="26" t="inlineStr">
        <is>
          <t>100201</t>
        </is>
      </c>
      <c r="B241" s="26" t="n"/>
      <c r="C241" s="26" t="inlineStr">
        <is>
          <t>2025-05-07</t>
        </is>
      </c>
      <c r="D241" s="26" t="inlineStr">
        <is>
          <t>Q2907</t>
        </is>
      </c>
      <c r="E241" s="26" t="n"/>
      <c r="F241" s="26" t="inlineStr">
        <is>
          <t>浙江精准学科技有限公司</t>
        </is>
      </c>
      <c r="G241" s="26" t="inlineStr">
        <is>
          <t>记-30</t>
        </is>
      </c>
      <c r="H241" s="26" t="n"/>
      <c r="I241" s="99" t="n"/>
      <c r="J241" s="99" t="n">
        <v>5</v>
      </c>
    </row>
    <row r="242" s="83">
      <c r="A242" s="27" t="inlineStr">
        <is>
          <t>100201</t>
        </is>
      </c>
      <c r="B242" s="27" t="n"/>
      <c r="C242" s="27" t="inlineStr">
        <is>
          <t>2025-05-07</t>
        </is>
      </c>
      <c r="D242" s="27" t="inlineStr">
        <is>
          <t>Q2907</t>
        </is>
      </c>
      <c r="E242" s="27" t="n"/>
      <c r="F242" s="27" t="inlineStr">
        <is>
          <t>浙江精准学科技有限公司</t>
        </is>
      </c>
      <c r="G242" s="27" t="inlineStr">
        <is>
          <t>记-31</t>
        </is>
      </c>
      <c r="H242" s="27" t="n"/>
      <c r="I242" s="100" t="n"/>
      <c r="J242" s="100" t="n">
        <v>5</v>
      </c>
    </row>
    <row r="243" s="83">
      <c r="A243" s="26" t="inlineStr">
        <is>
          <t>100201</t>
        </is>
      </c>
      <c r="B243" s="26" t="n"/>
      <c r="C243" s="26" t="inlineStr">
        <is>
          <t>2025-05-07</t>
        </is>
      </c>
      <c r="D243" s="26" t="inlineStr">
        <is>
          <t>Q2907</t>
        </is>
      </c>
      <c r="E243" s="26" t="n"/>
      <c r="F243" s="26" t="inlineStr">
        <is>
          <t>浙江精准学科技有限公司</t>
        </is>
      </c>
      <c r="G243" s="26" t="inlineStr">
        <is>
          <t>记-32</t>
        </is>
      </c>
      <c r="H243" s="26" t="n"/>
      <c r="I243" s="99" t="n"/>
      <c r="J243" s="99" t="n">
        <v>5</v>
      </c>
    </row>
    <row r="244" s="83">
      <c r="A244" s="27" t="inlineStr">
        <is>
          <t>100201</t>
        </is>
      </c>
      <c r="B244" s="27" t="n"/>
      <c r="C244" s="27" t="inlineStr">
        <is>
          <t>2025-05-22</t>
        </is>
      </c>
      <c r="D244" s="27" t="inlineStr">
        <is>
          <t>Q2907</t>
        </is>
      </c>
      <c r="E244" s="27" t="n"/>
      <c r="F244" s="27" t="inlineStr">
        <is>
          <t>浙江精准学科技有限公司</t>
        </is>
      </c>
      <c r="G244" s="27" t="inlineStr">
        <is>
          <t>记-160</t>
        </is>
      </c>
      <c r="H244" s="27" t="n"/>
      <c r="I244" s="99" t="n">
        <v>5</v>
      </c>
      <c r="J244" s="100" t="n">
        <v>5</v>
      </c>
    </row>
    <row r="245" s="83">
      <c r="A245" s="27" t="inlineStr">
        <is>
          <t>100201</t>
        </is>
      </c>
      <c r="B245" s="27" t="n"/>
      <c r="C245" s="27" t="inlineStr">
        <is>
          <t>2025-05-26</t>
        </is>
      </c>
      <c r="D245" s="27" t="inlineStr">
        <is>
          <t>Q2908</t>
        </is>
      </c>
      <c r="E245" s="27" t="n"/>
      <c r="F245" s="27" t="inlineStr">
        <is>
          <t>浙江精准学科技有限公司</t>
        </is>
      </c>
      <c r="G245" s="27" t="inlineStr">
        <is>
          <t>记-189</t>
        </is>
      </c>
      <c r="H245" s="27" t="n"/>
      <c r="I245" s="100" t="n"/>
      <c r="J245" s="100" t="n">
        <v>5</v>
      </c>
    </row>
    <row r="246" s="83">
      <c r="A246" s="27" t="inlineStr">
        <is>
          <t>100201</t>
        </is>
      </c>
      <c r="B246" s="27" t="n"/>
      <c r="C246" s="27" t="inlineStr">
        <is>
          <t>2025-05-19</t>
        </is>
      </c>
      <c r="D246" s="27" t="inlineStr">
        <is>
          <t>Q3204</t>
        </is>
      </c>
      <c r="E246" s="27" t="n"/>
      <c r="F246" s="27" t="inlineStr">
        <is>
          <t>浙江精准学科技有限公司</t>
        </is>
      </c>
      <c r="G246" s="27" t="inlineStr">
        <is>
          <t>记-125</t>
        </is>
      </c>
      <c r="H246" s="27" t="n"/>
      <c r="I246" s="100" t="n"/>
      <c r="J246" s="100" t="n">
        <v>5</v>
      </c>
    </row>
    <row r="247" s="83">
      <c r="A247" s="27" t="inlineStr">
        <is>
          <t>100201</t>
        </is>
      </c>
      <c r="B247" s="27" t="n"/>
      <c r="C247" s="27" t="inlineStr">
        <is>
          <t>2025-05-15</t>
        </is>
      </c>
      <c r="D247" s="27" t="inlineStr">
        <is>
          <t>Q3205</t>
        </is>
      </c>
      <c r="E247" s="27" t="n"/>
      <c r="F247" s="27" t="inlineStr">
        <is>
          <t>浙江精准学科技有限公司</t>
        </is>
      </c>
      <c r="G247" s="27" t="inlineStr">
        <is>
          <t>记-94</t>
        </is>
      </c>
      <c r="H247" s="27" t="n"/>
      <c r="I247" s="100" t="n"/>
      <c r="J247" s="100" t="n">
        <v>5</v>
      </c>
    </row>
    <row r="248" s="83">
      <c r="A248" s="27" t="inlineStr">
        <is>
          <t>100201</t>
        </is>
      </c>
      <c r="B248" s="27" t="n"/>
      <c r="C248" s="27" t="inlineStr">
        <is>
          <t>2025-05-13</t>
        </is>
      </c>
      <c r="D248" s="27" t="inlineStr">
        <is>
          <t>Q3206</t>
        </is>
      </c>
      <c r="E248" s="27" t="n"/>
      <c r="F248" s="27" t="inlineStr">
        <is>
          <t>浙江精准学科技有限公司</t>
        </is>
      </c>
      <c r="G248" s="27" t="inlineStr">
        <is>
          <t>记-61</t>
        </is>
      </c>
      <c r="H248" s="27" t="n"/>
      <c r="I248" s="100" t="n"/>
      <c r="J248" s="100" t="n">
        <v>5</v>
      </c>
    </row>
    <row r="249" s="83">
      <c r="A249" s="26" t="inlineStr">
        <is>
          <t>100201</t>
        </is>
      </c>
      <c r="B249" s="26" t="n"/>
      <c r="C249" s="26" t="inlineStr">
        <is>
          <t>2025-05-19</t>
        </is>
      </c>
      <c r="D249" s="26" t="inlineStr">
        <is>
          <t>Q3206</t>
        </is>
      </c>
      <c r="E249" s="26" t="n"/>
      <c r="F249" s="26" t="inlineStr">
        <is>
          <t>浙江精准学科技有限公司</t>
        </is>
      </c>
      <c r="G249" s="26" t="inlineStr">
        <is>
          <t>记-127</t>
        </is>
      </c>
      <c r="H249" s="26" t="n"/>
      <c r="I249" s="99" t="n"/>
      <c r="J249" s="99" t="n">
        <v>5</v>
      </c>
    </row>
    <row r="250" s="83">
      <c r="A250" s="27" t="inlineStr">
        <is>
          <t>100201</t>
        </is>
      </c>
      <c r="B250" s="27" t="n"/>
      <c r="C250" s="27" t="inlineStr">
        <is>
          <t>2025-05-30</t>
        </is>
      </c>
      <c r="D250" s="27" t="inlineStr">
        <is>
          <t>Q3206</t>
        </is>
      </c>
      <c r="E250" s="27" t="n"/>
      <c r="F250" s="27" t="inlineStr">
        <is>
          <t>浙江精准学科技有限公司</t>
        </is>
      </c>
      <c r="G250" s="27" t="inlineStr">
        <is>
          <t>记-233</t>
        </is>
      </c>
      <c r="H250" s="27" t="n"/>
      <c r="I250" s="100" t="n"/>
      <c r="J250" s="100" t="n">
        <v>5</v>
      </c>
    </row>
    <row r="251" s="83">
      <c r="A251" s="26" t="inlineStr">
        <is>
          <t>100201</t>
        </is>
      </c>
      <c r="B251" s="26" t="n"/>
      <c r="C251" s="26" t="inlineStr">
        <is>
          <t>2025-05-30</t>
        </is>
      </c>
      <c r="D251" s="26" t="inlineStr">
        <is>
          <t>Q3206</t>
        </is>
      </c>
      <c r="E251" s="26" t="n"/>
      <c r="F251" s="26" t="inlineStr">
        <is>
          <t>浙江精准学科技有限公司</t>
        </is>
      </c>
      <c r="G251" s="26" t="inlineStr">
        <is>
          <t>记-234</t>
        </is>
      </c>
      <c r="H251" s="26" t="n"/>
      <c r="I251" s="99" t="n"/>
      <c r="J251" s="99" t="n">
        <v>5</v>
      </c>
    </row>
    <row r="252" s="83">
      <c r="A252" s="27" t="inlineStr">
        <is>
          <t>100201</t>
        </is>
      </c>
      <c r="B252" s="27" t="n"/>
      <c r="C252" s="27" t="inlineStr">
        <is>
          <t>2025-05-30</t>
        </is>
      </c>
      <c r="D252" s="27" t="inlineStr">
        <is>
          <t>Q3206</t>
        </is>
      </c>
      <c r="E252" s="27" t="n"/>
      <c r="F252" s="27" t="inlineStr">
        <is>
          <t>浙江精准学科技有限公司</t>
        </is>
      </c>
      <c r="G252" s="27" t="inlineStr">
        <is>
          <t>记-235</t>
        </is>
      </c>
      <c r="H252" s="27" t="n"/>
      <c r="I252" s="100" t="n"/>
      <c r="J252" s="100" t="n">
        <v>5</v>
      </c>
    </row>
    <row r="253" s="83">
      <c r="A253" s="27" t="inlineStr">
        <is>
          <t>100201</t>
        </is>
      </c>
      <c r="B253" s="27" t="n"/>
      <c r="C253" s="27" t="inlineStr">
        <is>
          <t>2025-05-30</t>
        </is>
      </c>
      <c r="D253" s="27" t="inlineStr">
        <is>
          <t>Q3210</t>
        </is>
      </c>
      <c r="E253" s="27" t="n"/>
      <c r="F253" s="27" t="inlineStr">
        <is>
          <t>浙江精准学科技有限公司</t>
        </is>
      </c>
      <c r="G253" s="27" t="inlineStr">
        <is>
          <t>记-232</t>
        </is>
      </c>
      <c r="H253" s="27" t="n"/>
      <c r="I253" s="100" t="n"/>
      <c r="J253" s="100" t="n">
        <v>5</v>
      </c>
    </row>
    <row r="254" s="83">
      <c r="A254" s="26" t="inlineStr">
        <is>
          <t>100201</t>
        </is>
      </c>
      <c r="B254" s="26" t="n"/>
      <c r="C254" s="26" t="inlineStr">
        <is>
          <t>2025-05-13</t>
        </is>
      </c>
      <c r="D254" s="26" t="inlineStr">
        <is>
          <t>Q3212</t>
        </is>
      </c>
      <c r="E254" s="26" t="n"/>
      <c r="F254" s="26" t="inlineStr">
        <is>
          <t>浙江精准学科技有限公司</t>
        </is>
      </c>
      <c r="G254" s="26" t="inlineStr">
        <is>
          <t>记-54</t>
        </is>
      </c>
      <c r="H254" s="26" t="n"/>
      <c r="I254" s="99" t="n"/>
      <c r="J254" s="99" t="n">
        <v>5</v>
      </c>
    </row>
    <row r="255" s="83">
      <c r="A255" s="27" t="inlineStr">
        <is>
          <t>100201</t>
        </is>
      </c>
      <c r="B255" s="27" t="n"/>
      <c r="C255" s="27" t="inlineStr">
        <is>
          <t>2025-05-21</t>
        </is>
      </c>
      <c r="D255" s="27" t="inlineStr">
        <is>
          <t>Q3212</t>
        </is>
      </c>
      <c r="E255" s="27" t="n"/>
      <c r="F255" s="27" t="inlineStr">
        <is>
          <t>浙江精准学科技有限公司</t>
        </is>
      </c>
      <c r="G255" s="27" t="inlineStr">
        <is>
          <t>记-154</t>
        </is>
      </c>
      <c r="H255" s="27" t="n"/>
      <c r="I255" s="100" t="n"/>
      <c r="J255" s="100" t="n">
        <v>5</v>
      </c>
    </row>
    <row r="256" s="83">
      <c r="A256" s="26" t="inlineStr">
        <is>
          <t>100201</t>
        </is>
      </c>
      <c r="B256" s="26" t="n"/>
      <c r="C256" s="26" t="inlineStr">
        <is>
          <t>2025-05-27</t>
        </is>
      </c>
      <c r="D256" s="26" t="inlineStr">
        <is>
          <t>Q3212</t>
        </is>
      </c>
      <c r="E256" s="26" t="n"/>
      <c r="F256" s="26" t="inlineStr">
        <is>
          <t>浙江精准学科技有限公司</t>
        </is>
      </c>
      <c r="G256" s="26" t="inlineStr">
        <is>
          <t>记-195</t>
        </is>
      </c>
      <c r="H256" s="26" t="n"/>
      <c r="I256" s="99" t="n"/>
      <c r="J256" s="99" t="n">
        <v>5</v>
      </c>
    </row>
    <row r="257" s="83">
      <c r="A257" s="27" t="inlineStr">
        <is>
          <t>100202</t>
        </is>
      </c>
      <c r="B257" s="27" t="n"/>
      <c r="C257" s="27" t="inlineStr">
        <is>
          <t>2025-05-15</t>
        </is>
      </c>
      <c r="D257" s="27" t="inlineStr">
        <is>
          <t>Q0401</t>
        </is>
      </c>
      <c r="E257" s="27" t="n"/>
      <c r="F257" s="27" t="inlineStr">
        <is>
          <t>浙江精准学科技有限公司</t>
        </is>
      </c>
      <c r="G257" s="27" t="inlineStr">
        <is>
          <t>记-96</t>
        </is>
      </c>
      <c r="H257" s="27" t="n"/>
      <c r="I257" s="100" t="n"/>
      <c r="J257" s="100" t="n">
        <v>5</v>
      </c>
    </row>
    <row r="258" s="83">
      <c r="A258" s="26" t="inlineStr">
        <is>
          <t>100202</t>
        </is>
      </c>
      <c r="B258" s="26" t="n"/>
      <c r="C258" s="26" t="inlineStr">
        <is>
          <t>2025-05-28</t>
        </is>
      </c>
      <c r="D258" s="26" t="inlineStr">
        <is>
          <t>Q0401</t>
        </is>
      </c>
      <c r="E258" s="26" t="n"/>
      <c r="F258" s="26" t="inlineStr">
        <is>
          <t>浙江精准学科技有限公司</t>
        </is>
      </c>
      <c r="G258" s="26" t="inlineStr">
        <is>
          <t>记-204</t>
        </is>
      </c>
      <c r="H258" s="26" t="n"/>
      <c r="I258" s="99" t="n"/>
      <c r="J258" s="99" t="n">
        <v>5</v>
      </c>
    </row>
    <row r="259" customFormat="1" s="21">
      <c r="A259" s="32" t="n"/>
      <c r="B259" s="32" t="n"/>
      <c r="C259" s="32" t="n"/>
      <c r="D259" s="32" t="inlineStr">
        <is>
          <t>Q3105</t>
        </is>
      </c>
      <c r="E259" s="32" t="n"/>
      <c r="F259" s="32" t="inlineStr">
        <is>
          <t>浙江精准学科技有限公司</t>
        </is>
      </c>
      <c r="G259" s="32" t="inlineStr">
        <is>
          <t>记-204</t>
        </is>
      </c>
      <c r="H259" s="32" t="n"/>
      <c r="I259" s="101" t="n"/>
      <c r="J259" s="101" t="n">
        <v>5</v>
      </c>
    </row>
    <row r="260" s="83">
      <c r="A260" s="27" t="inlineStr">
        <is>
          <t>100202</t>
        </is>
      </c>
      <c r="B260" s="27" t="n"/>
      <c r="C260" s="27" t="inlineStr">
        <is>
          <t>2025-05-28</t>
        </is>
      </c>
      <c r="D260" s="27" t="inlineStr">
        <is>
          <t>Q0401</t>
        </is>
      </c>
      <c r="E260" s="27" t="n"/>
      <c r="F260" s="27" t="inlineStr">
        <is>
          <t>浙江精准学科技有限公司</t>
        </is>
      </c>
      <c r="G260" s="27" t="inlineStr">
        <is>
          <t>记-205</t>
        </is>
      </c>
      <c r="H260" s="27" t="n"/>
      <c r="I260" s="100" t="n"/>
      <c r="J260" s="100" t="n">
        <v>5</v>
      </c>
    </row>
    <row r="261" customFormat="1" s="21">
      <c r="A261" s="32" t="n"/>
      <c r="B261" s="32" t="n"/>
      <c r="C261" s="32" t="n"/>
      <c r="D261" s="32" t="inlineStr">
        <is>
          <t>Q3105</t>
        </is>
      </c>
      <c r="E261" s="32" t="n"/>
      <c r="F261" s="32" t="inlineStr">
        <is>
          <t>浙江精准学科技有限公司</t>
        </is>
      </c>
      <c r="G261" s="32" t="inlineStr">
        <is>
          <t>记-205</t>
        </is>
      </c>
      <c r="H261" s="32" t="n"/>
      <c r="I261" s="101" t="n"/>
      <c r="J261" s="101" t="n">
        <v>5</v>
      </c>
    </row>
    <row r="262" s="83">
      <c r="A262" s="27" t="inlineStr">
        <is>
          <t>100202</t>
        </is>
      </c>
      <c r="B262" s="27" t="n"/>
      <c r="C262" s="27" t="inlineStr">
        <is>
          <t>2025-05-13</t>
        </is>
      </c>
      <c r="D262" s="27" t="inlineStr">
        <is>
          <t>Q0501</t>
        </is>
      </c>
      <c r="E262" s="27" t="n"/>
      <c r="F262" s="27" t="inlineStr">
        <is>
          <t>浙江精准学科技有限公司</t>
        </is>
      </c>
      <c r="G262" s="27" t="inlineStr">
        <is>
          <t>记-67</t>
        </is>
      </c>
      <c r="H262" s="27" t="n"/>
      <c r="I262" s="99" t="n">
        <v>5</v>
      </c>
      <c r="J262" s="100" t="n">
        <v>5</v>
      </c>
    </row>
    <row r="263" s="83">
      <c r="A263" s="26" t="inlineStr">
        <is>
          <t>100202</t>
        </is>
      </c>
      <c r="B263" s="26" t="n"/>
      <c r="C263" s="26" t="inlineStr">
        <is>
          <t>2025-05-26</t>
        </is>
      </c>
      <c r="D263" s="26" t="inlineStr">
        <is>
          <t>Q0501</t>
        </is>
      </c>
      <c r="E263" s="26" t="n"/>
      <c r="F263" s="26" t="inlineStr">
        <is>
          <t>浙江精准学科技有限公司</t>
        </is>
      </c>
      <c r="G263" s="26" t="inlineStr">
        <is>
          <t>记-192</t>
        </is>
      </c>
      <c r="H263" s="26" t="n"/>
      <c r="I263" s="99" t="n">
        <v>5</v>
      </c>
      <c r="J263" s="99" t="n">
        <v>5</v>
      </c>
    </row>
    <row r="264" s="83">
      <c r="A264" s="27" t="inlineStr">
        <is>
          <t>101201</t>
        </is>
      </c>
      <c r="B264" s="27" t="n"/>
      <c r="C264" s="27" t="inlineStr">
        <is>
          <t>2025-05-01</t>
        </is>
      </c>
      <c r="D264" s="27" t="inlineStr">
        <is>
          <t>Else01</t>
        </is>
      </c>
      <c r="E264" s="27" t="n"/>
      <c r="F264" s="27" t="inlineStr">
        <is>
          <t>浙江精准学科技有限公司</t>
        </is>
      </c>
      <c r="G264" s="27" t="inlineStr">
        <is>
          <t>记-3</t>
        </is>
      </c>
      <c r="H264" s="27" t="n"/>
      <c r="I264" s="99" t="n">
        <v>5</v>
      </c>
      <c r="J264" s="100" t="n">
        <v>5</v>
      </c>
    </row>
    <row r="265" s="83">
      <c r="A265" s="26" t="inlineStr">
        <is>
          <t>101201</t>
        </is>
      </c>
      <c r="B265" s="26" t="n"/>
      <c r="C265" s="26" t="inlineStr">
        <is>
          <t>2025-05-01</t>
        </is>
      </c>
      <c r="D265" s="26" t="inlineStr">
        <is>
          <t>Else01</t>
        </is>
      </c>
      <c r="E265" s="26" t="n"/>
      <c r="F265" s="26" t="inlineStr">
        <is>
          <t>浙江精准学科技有限公司</t>
        </is>
      </c>
      <c r="G265" s="26" t="inlineStr">
        <is>
          <t>记-4</t>
        </is>
      </c>
      <c r="H265" s="26" t="n"/>
      <c r="I265" s="99" t="n"/>
      <c r="J265" s="99" t="n">
        <v>5</v>
      </c>
    </row>
    <row r="266" s="83">
      <c r="A266" s="27" t="inlineStr">
        <is>
          <t>101201</t>
        </is>
      </c>
      <c r="B266" s="27" t="n"/>
      <c r="C266" s="27" t="inlineStr">
        <is>
          <t>2025-05-02</t>
        </is>
      </c>
      <c r="D266" s="27" t="inlineStr">
        <is>
          <t>Else01</t>
        </is>
      </c>
      <c r="E266" s="27" t="n"/>
      <c r="F266" s="27" t="inlineStr">
        <is>
          <t>浙江精准学科技有限公司</t>
        </is>
      </c>
      <c r="G266" s="27" t="inlineStr">
        <is>
          <t>记-6</t>
        </is>
      </c>
      <c r="H266" s="27" t="n"/>
      <c r="I266" s="99" t="n">
        <v>5</v>
      </c>
      <c r="J266" s="100" t="n">
        <v>5</v>
      </c>
    </row>
    <row r="267" s="83">
      <c r="A267" s="26" t="inlineStr">
        <is>
          <t>101201</t>
        </is>
      </c>
      <c r="B267" s="26" t="n"/>
      <c r="C267" s="26" t="inlineStr">
        <is>
          <t>2025-05-02</t>
        </is>
      </c>
      <c r="D267" s="26" t="inlineStr">
        <is>
          <t>Else01</t>
        </is>
      </c>
      <c r="E267" s="26" t="n"/>
      <c r="F267" s="26" t="inlineStr">
        <is>
          <t>浙江精准学科技有限公司</t>
        </is>
      </c>
      <c r="G267" s="26" t="inlineStr">
        <is>
          <t>记-7</t>
        </is>
      </c>
      <c r="H267" s="26" t="n"/>
      <c r="I267" s="99" t="n"/>
      <c r="J267" s="99" t="n">
        <v>5</v>
      </c>
    </row>
    <row r="268" s="83">
      <c r="A268" s="27" t="inlineStr">
        <is>
          <t>101201</t>
        </is>
      </c>
      <c r="B268" s="27" t="n"/>
      <c r="C268" s="27" t="inlineStr">
        <is>
          <t>2025-05-03</t>
        </is>
      </c>
      <c r="D268" s="27" t="inlineStr">
        <is>
          <t>Else01</t>
        </is>
      </c>
      <c r="E268" s="27" t="n"/>
      <c r="F268" s="27" t="inlineStr">
        <is>
          <t>浙江精准学科技有限公司</t>
        </is>
      </c>
      <c r="G268" s="27" t="inlineStr">
        <is>
          <t>记-9</t>
        </is>
      </c>
      <c r="H268" s="27" t="n"/>
      <c r="I268" s="99" t="n">
        <v>5</v>
      </c>
      <c r="J268" s="100" t="n">
        <v>5</v>
      </c>
    </row>
    <row r="269" s="83">
      <c r="A269" s="26" t="inlineStr">
        <is>
          <t>101201</t>
        </is>
      </c>
      <c r="B269" s="26" t="n"/>
      <c r="C269" s="26" t="inlineStr">
        <is>
          <t>2025-05-03</t>
        </is>
      </c>
      <c r="D269" s="26" t="inlineStr">
        <is>
          <t>Else01</t>
        </is>
      </c>
      <c r="E269" s="26" t="n"/>
      <c r="F269" s="26" t="inlineStr">
        <is>
          <t>浙江精准学科技有限公司</t>
        </is>
      </c>
      <c r="G269" s="26" t="inlineStr">
        <is>
          <t>记-10</t>
        </is>
      </c>
      <c r="H269" s="26" t="n"/>
      <c r="I269" s="99" t="n"/>
      <c r="J269" s="99" t="n">
        <v>5</v>
      </c>
    </row>
    <row r="270" s="83">
      <c r="A270" s="27" t="inlineStr">
        <is>
          <t>101201</t>
        </is>
      </c>
      <c r="B270" s="27" t="n"/>
      <c r="C270" s="27" t="inlineStr">
        <is>
          <t>2025-05-04</t>
        </is>
      </c>
      <c r="D270" s="27" t="inlineStr">
        <is>
          <t>Else01</t>
        </is>
      </c>
      <c r="E270" s="27" t="n"/>
      <c r="F270" s="27" t="inlineStr">
        <is>
          <t>浙江精准学科技有限公司</t>
        </is>
      </c>
      <c r="G270" s="27" t="inlineStr">
        <is>
          <t>记-12</t>
        </is>
      </c>
      <c r="H270" s="27" t="n"/>
      <c r="I270" s="99" t="n">
        <v>5</v>
      </c>
      <c r="J270" s="100" t="n">
        <v>5</v>
      </c>
    </row>
    <row r="271" s="83">
      <c r="A271" s="26" t="inlineStr">
        <is>
          <t>101201</t>
        </is>
      </c>
      <c r="B271" s="26" t="n"/>
      <c r="C271" s="26" t="inlineStr">
        <is>
          <t>2025-05-04</t>
        </is>
      </c>
      <c r="D271" s="26" t="inlineStr">
        <is>
          <t>Else01</t>
        </is>
      </c>
      <c r="E271" s="26" t="n"/>
      <c r="F271" s="26" t="inlineStr">
        <is>
          <t>浙江精准学科技有限公司</t>
        </is>
      </c>
      <c r="G271" s="26" t="inlineStr">
        <is>
          <t>记-13</t>
        </is>
      </c>
      <c r="H271" s="26" t="n"/>
      <c r="I271" s="99" t="n"/>
      <c r="J271" s="99" t="n">
        <v>5</v>
      </c>
    </row>
    <row r="272" s="83">
      <c r="A272" s="27" t="inlineStr">
        <is>
          <t>101201</t>
        </is>
      </c>
      <c r="B272" s="27" t="n"/>
      <c r="C272" s="27" t="inlineStr">
        <is>
          <t>2025-05-05</t>
        </is>
      </c>
      <c r="D272" s="27" t="inlineStr">
        <is>
          <t>Else01</t>
        </is>
      </c>
      <c r="E272" s="27" t="n"/>
      <c r="F272" s="27" t="inlineStr">
        <is>
          <t>浙江精准学科技有限公司</t>
        </is>
      </c>
      <c r="G272" s="27" t="inlineStr">
        <is>
          <t>记-15</t>
        </is>
      </c>
      <c r="H272" s="27" t="n"/>
      <c r="I272" s="99" t="n">
        <v>5</v>
      </c>
      <c r="J272" s="100" t="n">
        <v>5</v>
      </c>
    </row>
    <row r="273" s="83">
      <c r="A273" s="26" t="inlineStr">
        <is>
          <t>101201</t>
        </is>
      </c>
      <c r="B273" s="26" t="n"/>
      <c r="C273" s="26" t="inlineStr">
        <is>
          <t>2025-05-05</t>
        </is>
      </c>
      <c r="D273" s="26" t="inlineStr">
        <is>
          <t>Else01</t>
        </is>
      </c>
      <c r="E273" s="26" t="n"/>
      <c r="F273" s="26" t="inlineStr">
        <is>
          <t>浙江精准学科技有限公司</t>
        </is>
      </c>
      <c r="G273" s="26" t="inlineStr">
        <is>
          <t>记-16</t>
        </is>
      </c>
      <c r="H273" s="26" t="n"/>
      <c r="I273" s="99" t="n"/>
      <c r="J273" s="99" t="n">
        <v>5</v>
      </c>
    </row>
    <row r="274" s="83">
      <c r="A274" s="27" t="inlineStr">
        <is>
          <t>101201</t>
        </is>
      </c>
      <c r="B274" s="27" t="n"/>
      <c r="C274" s="27" t="inlineStr">
        <is>
          <t>2025-05-06</t>
        </is>
      </c>
      <c r="D274" s="27" t="inlineStr">
        <is>
          <t>Else01</t>
        </is>
      </c>
      <c r="E274" s="27" t="n"/>
      <c r="F274" s="27" t="inlineStr">
        <is>
          <t>浙江精准学科技有限公司</t>
        </is>
      </c>
      <c r="G274" s="27" t="inlineStr">
        <is>
          <t>记-19</t>
        </is>
      </c>
      <c r="H274" s="27" t="n"/>
      <c r="I274" s="99" t="n">
        <v>5</v>
      </c>
      <c r="J274" s="100" t="n">
        <v>5</v>
      </c>
    </row>
    <row r="275" s="83">
      <c r="A275" s="26" t="inlineStr">
        <is>
          <t>101201</t>
        </is>
      </c>
      <c r="B275" s="26" t="n"/>
      <c r="C275" s="26" t="inlineStr">
        <is>
          <t>2025-05-06</t>
        </is>
      </c>
      <c r="D275" s="26" t="inlineStr">
        <is>
          <t>Else01</t>
        </is>
      </c>
      <c r="E275" s="26" t="n"/>
      <c r="F275" s="26" t="inlineStr">
        <is>
          <t>浙江精准学科技有限公司</t>
        </is>
      </c>
      <c r="G275" s="26" t="inlineStr">
        <is>
          <t>记-20</t>
        </is>
      </c>
      <c r="H275" s="26" t="n"/>
      <c r="I275" s="99" t="n"/>
      <c r="J275" s="99" t="n">
        <v>5</v>
      </c>
    </row>
    <row r="276" s="83">
      <c r="A276" s="27" t="inlineStr">
        <is>
          <t>101201</t>
        </is>
      </c>
      <c r="B276" s="27" t="n"/>
      <c r="C276" s="27" t="inlineStr">
        <is>
          <t>2025-05-07</t>
        </is>
      </c>
      <c r="D276" s="27" t="inlineStr">
        <is>
          <t>Else01</t>
        </is>
      </c>
      <c r="E276" s="27" t="n"/>
      <c r="F276" s="27" t="inlineStr">
        <is>
          <t>浙江精准学科技有限公司</t>
        </is>
      </c>
      <c r="G276" s="27" t="inlineStr">
        <is>
          <t>记-25</t>
        </is>
      </c>
      <c r="H276" s="27" t="n"/>
      <c r="I276" s="99" t="n">
        <v>5</v>
      </c>
      <c r="J276" s="100" t="n">
        <v>5</v>
      </c>
    </row>
    <row r="277" s="83">
      <c r="A277" s="26" t="inlineStr">
        <is>
          <t>101201</t>
        </is>
      </c>
      <c r="B277" s="26" t="n"/>
      <c r="C277" s="26" t="inlineStr">
        <is>
          <t>2025-05-07</t>
        </is>
      </c>
      <c r="D277" s="26" t="inlineStr">
        <is>
          <t>Else01</t>
        </is>
      </c>
      <c r="E277" s="26" t="n"/>
      <c r="F277" s="26" t="inlineStr">
        <is>
          <t>浙江精准学科技有限公司</t>
        </is>
      </c>
      <c r="G277" s="26" t="inlineStr">
        <is>
          <t>记-26</t>
        </is>
      </c>
      <c r="H277" s="26" t="n"/>
      <c r="I277" s="99" t="n"/>
      <c r="J277" s="99" t="n">
        <v>5</v>
      </c>
    </row>
    <row r="278" s="83">
      <c r="A278" s="27" t="inlineStr">
        <is>
          <t>101201</t>
        </is>
      </c>
      <c r="B278" s="27" t="n"/>
      <c r="C278" s="27" t="inlineStr">
        <is>
          <t>2025-05-08</t>
        </is>
      </c>
      <c r="D278" s="27" t="inlineStr">
        <is>
          <t>Else01</t>
        </is>
      </c>
      <c r="E278" s="27" t="n"/>
      <c r="F278" s="27" t="inlineStr">
        <is>
          <t>浙江精准学科技有限公司</t>
        </is>
      </c>
      <c r="G278" s="27" t="inlineStr">
        <is>
          <t>记-139</t>
        </is>
      </c>
      <c r="H278" s="27" t="n"/>
      <c r="I278" s="99" t="n">
        <v>5</v>
      </c>
      <c r="J278" s="100" t="n">
        <v>5</v>
      </c>
    </row>
    <row r="279" s="83">
      <c r="A279" s="26" t="inlineStr">
        <is>
          <t>101201</t>
        </is>
      </c>
      <c r="B279" s="26" t="n"/>
      <c r="C279" s="26" t="inlineStr">
        <is>
          <t>2025-05-08</t>
        </is>
      </c>
      <c r="D279" s="26" t="inlineStr">
        <is>
          <t>Else01</t>
        </is>
      </c>
      <c r="E279" s="26" t="n"/>
      <c r="F279" s="26" t="inlineStr">
        <is>
          <t>浙江精准学科技有限公司</t>
        </is>
      </c>
      <c r="G279" s="26" t="inlineStr">
        <is>
          <t>记-139</t>
        </is>
      </c>
      <c r="H279" s="26" t="n"/>
      <c r="I279" s="99" t="n"/>
      <c r="J279" s="99" t="n">
        <v>5</v>
      </c>
    </row>
    <row r="280" s="83">
      <c r="A280" s="27" t="inlineStr">
        <is>
          <t>101201</t>
        </is>
      </c>
      <c r="B280" s="27" t="n"/>
      <c r="C280" s="27" t="inlineStr">
        <is>
          <t>2025-05-09</t>
        </is>
      </c>
      <c r="D280" s="27" t="inlineStr">
        <is>
          <t>Else01</t>
        </is>
      </c>
      <c r="E280" s="27" t="n"/>
      <c r="F280" s="27" t="inlineStr">
        <is>
          <t>浙江精准学科技有限公司</t>
        </is>
      </c>
      <c r="G280" s="27" t="inlineStr">
        <is>
          <t>记-43</t>
        </is>
      </c>
      <c r="H280" s="27" t="n"/>
      <c r="I280" s="99" t="n">
        <v>5</v>
      </c>
      <c r="J280" s="100" t="n">
        <v>5</v>
      </c>
    </row>
    <row r="281" s="83">
      <c r="A281" s="26" t="inlineStr">
        <is>
          <t>101201</t>
        </is>
      </c>
      <c r="B281" s="26" t="n"/>
      <c r="C281" s="26" t="inlineStr">
        <is>
          <t>2025-05-09</t>
        </is>
      </c>
      <c r="D281" s="26" t="inlineStr">
        <is>
          <t>Else01</t>
        </is>
      </c>
      <c r="E281" s="26" t="n"/>
      <c r="F281" s="26" t="inlineStr">
        <is>
          <t>浙江精准学科技有限公司</t>
        </is>
      </c>
      <c r="G281" s="26" t="inlineStr">
        <is>
          <t>记-44</t>
        </is>
      </c>
      <c r="H281" s="26" t="n"/>
      <c r="I281" s="99" t="n"/>
      <c r="J281" s="99" t="n">
        <v>5</v>
      </c>
    </row>
    <row r="282" s="83">
      <c r="A282" s="27" t="inlineStr">
        <is>
          <t>101201</t>
        </is>
      </c>
      <c r="B282" s="27" t="n"/>
      <c r="C282" s="27" t="inlineStr">
        <is>
          <t>2025-05-10</t>
        </is>
      </c>
      <c r="D282" s="27" t="inlineStr">
        <is>
          <t>Else01</t>
        </is>
      </c>
      <c r="E282" s="27" t="n"/>
      <c r="F282" s="27" t="inlineStr">
        <is>
          <t>浙江精准学科技有限公司</t>
        </is>
      </c>
      <c r="G282" s="27" t="inlineStr">
        <is>
          <t>记-45</t>
        </is>
      </c>
      <c r="H282" s="27" t="n"/>
      <c r="I282" s="99" t="n">
        <v>5</v>
      </c>
      <c r="J282" s="100" t="n">
        <v>5</v>
      </c>
    </row>
    <row r="283" s="83">
      <c r="A283" s="26" t="inlineStr">
        <is>
          <t>101201</t>
        </is>
      </c>
      <c r="B283" s="26" t="n"/>
      <c r="C283" s="26" t="inlineStr">
        <is>
          <t>2025-05-10</t>
        </is>
      </c>
      <c r="D283" s="26" t="inlineStr">
        <is>
          <t>Else01</t>
        </is>
      </c>
      <c r="E283" s="26" t="n"/>
      <c r="F283" s="26" t="inlineStr">
        <is>
          <t>浙江精准学科技有限公司</t>
        </is>
      </c>
      <c r="G283" s="26" t="inlineStr">
        <is>
          <t>记-46</t>
        </is>
      </c>
      <c r="H283" s="26" t="n"/>
      <c r="I283" s="99" t="n"/>
      <c r="J283" s="99" t="n">
        <v>5</v>
      </c>
    </row>
    <row r="284" s="83">
      <c r="A284" s="27" t="inlineStr">
        <is>
          <t>101201</t>
        </is>
      </c>
      <c r="B284" s="27" t="n"/>
      <c r="C284" s="27" t="inlineStr">
        <is>
          <t>2025-05-11</t>
        </is>
      </c>
      <c r="D284" s="27" t="inlineStr">
        <is>
          <t>Else01</t>
        </is>
      </c>
      <c r="E284" s="27" t="n"/>
      <c r="F284" s="27" t="inlineStr">
        <is>
          <t>浙江精准学科技有限公司</t>
        </is>
      </c>
      <c r="G284" s="27" t="inlineStr">
        <is>
          <t>记-47</t>
        </is>
      </c>
      <c r="H284" s="27" t="n"/>
      <c r="I284" s="99" t="n">
        <v>5</v>
      </c>
      <c r="J284" s="100" t="n">
        <v>5</v>
      </c>
    </row>
    <row r="285" s="83">
      <c r="A285" s="26" t="inlineStr">
        <is>
          <t>101201</t>
        </is>
      </c>
      <c r="B285" s="26" t="n"/>
      <c r="C285" s="26" t="inlineStr">
        <is>
          <t>2025-05-11</t>
        </is>
      </c>
      <c r="D285" s="26" t="inlineStr">
        <is>
          <t>Else01</t>
        </is>
      </c>
      <c r="E285" s="26" t="n"/>
      <c r="F285" s="26" t="inlineStr">
        <is>
          <t>浙江精准学科技有限公司</t>
        </is>
      </c>
      <c r="G285" s="26" t="inlineStr">
        <is>
          <t>记-48</t>
        </is>
      </c>
      <c r="H285" s="26" t="n"/>
      <c r="I285" s="99" t="n"/>
      <c r="J285" s="99" t="n">
        <v>5</v>
      </c>
    </row>
    <row r="286" s="83">
      <c r="A286" s="27" t="inlineStr">
        <is>
          <t>101201</t>
        </is>
      </c>
      <c r="B286" s="27" t="n"/>
      <c r="C286" s="27" t="inlineStr">
        <is>
          <t>2025-05-12</t>
        </is>
      </c>
      <c r="D286" s="27" t="inlineStr">
        <is>
          <t>Else01</t>
        </is>
      </c>
      <c r="E286" s="27" t="n"/>
      <c r="F286" s="27" t="inlineStr">
        <is>
          <t>浙江精准学科技有限公司</t>
        </is>
      </c>
      <c r="G286" s="27" t="inlineStr">
        <is>
          <t>记-50</t>
        </is>
      </c>
      <c r="H286" s="27" t="n"/>
      <c r="I286" s="99" t="n">
        <v>5</v>
      </c>
      <c r="J286" s="100" t="n">
        <v>5</v>
      </c>
    </row>
    <row r="287" s="83">
      <c r="A287" s="26" t="inlineStr">
        <is>
          <t>101201</t>
        </is>
      </c>
      <c r="B287" s="26" t="n"/>
      <c r="C287" s="26" t="inlineStr">
        <is>
          <t>2025-05-12</t>
        </is>
      </c>
      <c r="D287" s="26" t="inlineStr">
        <is>
          <t>Else01</t>
        </is>
      </c>
      <c r="E287" s="26" t="n"/>
      <c r="F287" s="26" t="inlineStr">
        <is>
          <t>浙江精准学科技有限公司</t>
        </is>
      </c>
      <c r="G287" s="26" t="inlineStr">
        <is>
          <t>记-51</t>
        </is>
      </c>
      <c r="H287" s="26" t="n"/>
      <c r="I287" s="99" t="n"/>
      <c r="J287" s="99" t="n">
        <v>5</v>
      </c>
    </row>
    <row r="288" s="83">
      <c r="A288" s="27" t="inlineStr">
        <is>
          <t>101201</t>
        </is>
      </c>
      <c r="B288" s="27" t="n"/>
      <c r="C288" s="27" t="inlineStr">
        <is>
          <t>2025-05-13</t>
        </is>
      </c>
      <c r="D288" s="27" t="inlineStr">
        <is>
          <t>Else01</t>
        </is>
      </c>
      <c r="E288" s="27" t="n"/>
      <c r="F288" s="27" t="inlineStr">
        <is>
          <t>浙江精准学科技有限公司</t>
        </is>
      </c>
      <c r="G288" s="27" t="inlineStr">
        <is>
          <t>记-65</t>
        </is>
      </c>
      <c r="H288" s="27" t="n"/>
      <c r="I288" s="99" t="n">
        <v>5</v>
      </c>
      <c r="J288" s="100" t="n">
        <v>5</v>
      </c>
    </row>
    <row r="289" s="83">
      <c r="A289" s="26" t="inlineStr">
        <is>
          <t>101201</t>
        </is>
      </c>
      <c r="B289" s="26" t="n"/>
      <c r="C289" s="26" t="inlineStr">
        <is>
          <t>2025-05-13</t>
        </is>
      </c>
      <c r="D289" s="26" t="inlineStr">
        <is>
          <t>Else01</t>
        </is>
      </c>
      <c r="E289" s="26" t="n"/>
      <c r="F289" s="26" t="inlineStr">
        <is>
          <t>浙江精准学科技有限公司</t>
        </is>
      </c>
      <c r="G289" s="26" t="inlineStr">
        <is>
          <t>记-66</t>
        </is>
      </c>
      <c r="H289" s="26" t="n"/>
      <c r="I289" s="99" t="n"/>
      <c r="J289" s="99" t="n">
        <v>5</v>
      </c>
    </row>
    <row r="290" s="83">
      <c r="A290" s="27" t="inlineStr">
        <is>
          <t>101201</t>
        </is>
      </c>
      <c r="B290" s="27" t="n"/>
      <c r="C290" s="27" t="inlineStr">
        <is>
          <t>2025-05-14</t>
        </is>
      </c>
      <c r="D290" s="27" t="inlineStr">
        <is>
          <t>Else01</t>
        </is>
      </c>
      <c r="E290" s="27" t="n"/>
      <c r="F290" s="27" t="inlineStr">
        <is>
          <t>浙江精准学科技有限公司</t>
        </is>
      </c>
      <c r="G290" s="27" t="inlineStr">
        <is>
          <t>记-68</t>
        </is>
      </c>
      <c r="H290" s="27" t="n"/>
      <c r="I290" s="99" t="n">
        <v>5</v>
      </c>
      <c r="J290" s="100" t="n">
        <v>5</v>
      </c>
    </row>
    <row r="291" s="83">
      <c r="A291" s="26" t="inlineStr">
        <is>
          <t>101201</t>
        </is>
      </c>
      <c r="B291" s="26" t="n"/>
      <c r="C291" s="26" t="inlineStr">
        <is>
          <t>2025-05-14</t>
        </is>
      </c>
      <c r="D291" s="26" t="inlineStr">
        <is>
          <t>Else01</t>
        </is>
      </c>
      <c r="E291" s="26" t="n"/>
      <c r="F291" s="26" t="inlineStr">
        <is>
          <t>浙江精准学科技有限公司</t>
        </is>
      </c>
      <c r="G291" s="26" t="inlineStr">
        <is>
          <t>记-69</t>
        </is>
      </c>
      <c r="H291" s="26" t="n"/>
      <c r="I291" s="99" t="n"/>
      <c r="J291" s="99" t="n">
        <v>5</v>
      </c>
    </row>
    <row r="292" s="83">
      <c r="A292" s="27" t="inlineStr">
        <is>
          <t>101201</t>
        </is>
      </c>
      <c r="B292" s="27" t="n"/>
      <c r="C292" s="27" t="inlineStr">
        <is>
          <t>2025-05-15</t>
        </is>
      </c>
      <c r="D292" s="27" t="inlineStr">
        <is>
          <t>Else01</t>
        </is>
      </c>
      <c r="E292" s="27" t="n"/>
      <c r="F292" s="27" t="inlineStr">
        <is>
          <t>浙江精准学科技有限公司</t>
        </is>
      </c>
      <c r="G292" s="27" t="inlineStr">
        <is>
          <t>记-102</t>
        </is>
      </c>
      <c r="H292" s="27" t="n"/>
      <c r="I292" s="99" t="n">
        <v>5</v>
      </c>
      <c r="J292" s="100" t="n">
        <v>5</v>
      </c>
    </row>
    <row r="293" s="83">
      <c r="A293" s="26" t="inlineStr">
        <is>
          <t>101201</t>
        </is>
      </c>
      <c r="B293" s="26" t="n"/>
      <c r="C293" s="26" t="inlineStr">
        <is>
          <t>2025-05-15</t>
        </is>
      </c>
      <c r="D293" s="26" t="inlineStr">
        <is>
          <t>Else01</t>
        </is>
      </c>
      <c r="E293" s="26" t="n"/>
      <c r="F293" s="26" t="inlineStr">
        <is>
          <t>浙江精准学科技有限公司</t>
        </is>
      </c>
      <c r="G293" s="26" t="inlineStr">
        <is>
          <t>记-103</t>
        </is>
      </c>
      <c r="H293" s="26" t="n"/>
      <c r="I293" s="99" t="n"/>
      <c r="J293" s="99" t="n">
        <v>5</v>
      </c>
    </row>
    <row r="294" s="83">
      <c r="A294" s="27" t="inlineStr">
        <is>
          <t>101201</t>
        </is>
      </c>
      <c r="B294" s="27" t="n"/>
      <c r="C294" s="27" t="inlineStr">
        <is>
          <t>2025-05-16</t>
        </is>
      </c>
      <c r="D294" s="27" t="inlineStr">
        <is>
          <t>Else01</t>
        </is>
      </c>
      <c r="E294" s="27" t="n"/>
      <c r="F294" s="27" t="inlineStr">
        <is>
          <t>浙江精准学科技有限公司</t>
        </is>
      </c>
      <c r="G294" s="27" t="inlineStr">
        <is>
          <t>记-115</t>
        </is>
      </c>
      <c r="H294" s="27" t="n"/>
      <c r="I294" s="99" t="n">
        <v>5</v>
      </c>
      <c r="J294" s="100" t="n">
        <v>5</v>
      </c>
    </row>
    <row r="295" s="83">
      <c r="A295" s="26" t="inlineStr">
        <is>
          <t>101201</t>
        </is>
      </c>
      <c r="B295" s="26" t="n"/>
      <c r="C295" s="26" t="inlineStr">
        <is>
          <t>2025-05-16</t>
        </is>
      </c>
      <c r="D295" s="26" t="inlineStr">
        <is>
          <t>Else01</t>
        </is>
      </c>
      <c r="E295" s="26" t="n"/>
      <c r="F295" s="26" t="inlineStr">
        <is>
          <t>浙江精准学科技有限公司</t>
        </is>
      </c>
      <c r="G295" s="26" t="inlineStr">
        <is>
          <t>记-116</t>
        </is>
      </c>
      <c r="H295" s="26" t="n"/>
      <c r="I295" s="99" t="n"/>
      <c r="J295" s="99" t="n">
        <v>5</v>
      </c>
    </row>
    <row r="296" s="83">
      <c r="A296" s="27" t="inlineStr">
        <is>
          <t>101201</t>
        </is>
      </c>
      <c r="B296" s="27" t="n"/>
      <c r="C296" s="27" t="inlineStr">
        <is>
          <t>2025-05-17</t>
        </is>
      </c>
      <c r="D296" s="27" t="inlineStr">
        <is>
          <t>Else01</t>
        </is>
      </c>
      <c r="E296" s="27" t="n"/>
      <c r="F296" s="27" t="inlineStr">
        <is>
          <t>浙江精准学科技有限公司</t>
        </is>
      </c>
      <c r="G296" s="27" t="inlineStr">
        <is>
          <t>记-117</t>
        </is>
      </c>
      <c r="H296" s="27" t="n"/>
      <c r="I296" s="99" t="n">
        <v>5</v>
      </c>
      <c r="J296" s="100" t="n">
        <v>5</v>
      </c>
    </row>
    <row r="297" s="83">
      <c r="A297" s="26" t="inlineStr">
        <is>
          <t>101201</t>
        </is>
      </c>
      <c r="B297" s="26" t="n"/>
      <c r="C297" s="26" t="inlineStr">
        <is>
          <t>2025-05-17</t>
        </is>
      </c>
      <c r="D297" s="26" t="inlineStr">
        <is>
          <t>Else01</t>
        </is>
      </c>
      <c r="E297" s="26" t="n"/>
      <c r="F297" s="26" t="inlineStr">
        <is>
          <t>浙江精准学科技有限公司</t>
        </is>
      </c>
      <c r="G297" s="26" t="inlineStr">
        <is>
          <t>记-118</t>
        </is>
      </c>
      <c r="H297" s="26" t="n"/>
      <c r="I297" s="99" t="n"/>
      <c r="J297" s="99" t="n">
        <v>5</v>
      </c>
    </row>
    <row r="298" s="83">
      <c r="A298" s="27" t="inlineStr">
        <is>
          <t>101201</t>
        </is>
      </c>
      <c r="B298" s="27" t="n"/>
      <c r="C298" s="27" t="inlineStr">
        <is>
          <t>2025-05-18</t>
        </is>
      </c>
      <c r="D298" s="27" t="inlineStr">
        <is>
          <t>Else01</t>
        </is>
      </c>
      <c r="E298" s="27" t="n"/>
      <c r="F298" s="27" t="inlineStr">
        <is>
          <t>浙江精准学科技有限公司</t>
        </is>
      </c>
      <c r="G298" s="27" t="inlineStr">
        <is>
          <t>记-120</t>
        </is>
      </c>
      <c r="H298" s="27" t="n"/>
      <c r="I298" s="99" t="n">
        <v>5</v>
      </c>
      <c r="J298" s="100" t="n">
        <v>5</v>
      </c>
    </row>
    <row r="299" s="83">
      <c r="A299" s="26" t="inlineStr">
        <is>
          <t>101201</t>
        </is>
      </c>
      <c r="B299" s="26" t="n"/>
      <c r="C299" s="26" t="inlineStr">
        <is>
          <t>2025-05-18</t>
        </is>
      </c>
      <c r="D299" s="26" t="inlineStr">
        <is>
          <t>Else01</t>
        </is>
      </c>
      <c r="E299" s="26" t="n"/>
      <c r="F299" s="26" t="inlineStr">
        <is>
          <t>浙江精准学科技有限公司</t>
        </is>
      </c>
      <c r="G299" s="26" t="inlineStr">
        <is>
          <t>记-121</t>
        </is>
      </c>
      <c r="H299" s="26" t="n"/>
      <c r="I299" s="99" t="n"/>
      <c r="J299" s="99" t="n">
        <v>5</v>
      </c>
    </row>
    <row r="300" s="83">
      <c r="A300" s="27" t="inlineStr">
        <is>
          <t>101201</t>
        </is>
      </c>
      <c r="B300" s="27" t="n"/>
      <c r="C300" s="27" t="inlineStr">
        <is>
          <t>2025-05-19</t>
        </is>
      </c>
      <c r="D300" s="27" t="inlineStr">
        <is>
          <t>Else01</t>
        </is>
      </c>
      <c r="E300" s="27" t="n"/>
      <c r="F300" s="27" t="inlineStr">
        <is>
          <t>浙江精准学科技有限公司</t>
        </is>
      </c>
      <c r="G300" s="27" t="inlineStr">
        <is>
          <t>记-131</t>
        </is>
      </c>
      <c r="H300" s="27" t="n"/>
      <c r="I300" s="99" t="n">
        <v>5</v>
      </c>
      <c r="J300" s="100" t="n">
        <v>5</v>
      </c>
    </row>
    <row r="301" s="83">
      <c r="A301" s="26" t="inlineStr">
        <is>
          <t>101201</t>
        </is>
      </c>
      <c r="B301" s="26" t="n"/>
      <c r="C301" s="26" t="inlineStr">
        <is>
          <t>2025-05-19</t>
        </is>
      </c>
      <c r="D301" s="26" t="inlineStr">
        <is>
          <t>Else01</t>
        </is>
      </c>
      <c r="E301" s="26" t="n"/>
      <c r="F301" s="26" t="inlineStr">
        <is>
          <t>浙江精准学科技有限公司</t>
        </is>
      </c>
      <c r="G301" s="26" t="inlineStr">
        <is>
          <t>记-132</t>
        </is>
      </c>
      <c r="H301" s="26" t="n"/>
      <c r="I301" s="99" t="n"/>
      <c r="J301" s="99" t="n">
        <v>5</v>
      </c>
    </row>
    <row r="302" s="83">
      <c r="A302" s="27" t="inlineStr">
        <is>
          <t>101201</t>
        </is>
      </c>
      <c r="B302" s="27" t="n"/>
      <c r="C302" s="27" t="inlineStr">
        <is>
          <t>2025-05-20</t>
        </is>
      </c>
      <c r="D302" s="27" t="inlineStr">
        <is>
          <t>Else01</t>
        </is>
      </c>
      <c r="E302" s="27" t="n"/>
      <c r="F302" s="27" t="inlineStr">
        <is>
          <t>浙江精准学科技有限公司</t>
        </is>
      </c>
      <c r="G302" s="27" t="inlineStr">
        <is>
          <t>记-145</t>
        </is>
      </c>
      <c r="H302" s="27" t="n"/>
      <c r="I302" s="99" t="n">
        <v>5</v>
      </c>
      <c r="J302" s="100" t="n">
        <v>5</v>
      </c>
    </row>
    <row r="303" s="83">
      <c r="A303" s="26" t="inlineStr">
        <is>
          <t>101201</t>
        </is>
      </c>
      <c r="B303" s="26" t="n"/>
      <c r="C303" s="26" t="inlineStr">
        <is>
          <t>2025-05-20</t>
        </is>
      </c>
      <c r="D303" s="26" t="inlineStr">
        <is>
          <t>Else01</t>
        </is>
      </c>
      <c r="E303" s="26" t="n"/>
      <c r="F303" s="26" t="inlineStr">
        <is>
          <t>浙江精准学科技有限公司</t>
        </is>
      </c>
      <c r="G303" s="26" t="inlineStr">
        <is>
          <t>记-146</t>
        </is>
      </c>
      <c r="H303" s="26" t="n"/>
      <c r="I303" s="99" t="n"/>
      <c r="J303" s="99" t="n">
        <v>5</v>
      </c>
    </row>
    <row r="304" s="83">
      <c r="A304" s="27" t="inlineStr">
        <is>
          <t>101201</t>
        </is>
      </c>
      <c r="B304" s="27" t="n"/>
      <c r="C304" s="27" t="inlineStr">
        <is>
          <t>2025-05-21</t>
        </is>
      </c>
      <c r="D304" s="27" t="inlineStr">
        <is>
          <t>Else01</t>
        </is>
      </c>
      <c r="E304" s="27" t="n"/>
      <c r="F304" s="27" t="inlineStr">
        <is>
          <t>浙江精准学科技有限公司</t>
        </is>
      </c>
      <c r="G304" s="27" t="inlineStr">
        <is>
          <t>记-156</t>
        </is>
      </c>
      <c r="H304" s="27" t="n"/>
      <c r="I304" s="99" t="n">
        <v>5</v>
      </c>
      <c r="J304" s="100" t="n">
        <v>5</v>
      </c>
    </row>
    <row r="305" s="83">
      <c r="A305" s="26" t="inlineStr">
        <is>
          <t>101201</t>
        </is>
      </c>
      <c r="B305" s="26" t="n"/>
      <c r="C305" s="26" t="inlineStr">
        <is>
          <t>2025-05-21</t>
        </is>
      </c>
      <c r="D305" s="26" t="inlineStr">
        <is>
          <t>Else01</t>
        </is>
      </c>
      <c r="E305" s="26" t="n"/>
      <c r="F305" s="26" t="inlineStr">
        <is>
          <t>浙江精准学科技有限公司</t>
        </is>
      </c>
      <c r="G305" s="26" t="inlineStr">
        <is>
          <t>记-157</t>
        </is>
      </c>
      <c r="H305" s="26" t="n"/>
      <c r="I305" s="99" t="n"/>
      <c r="J305" s="99" t="n">
        <v>5</v>
      </c>
    </row>
    <row r="306" s="83">
      <c r="A306" s="27" t="inlineStr">
        <is>
          <t>101201</t>
        </is>
      </c>
      <c r="B306" s="27" t="n"/>
      <c r="C306" s="27" t="inlineStr">
        <is>
          <t>2025-05-22</t>
        </is>
      </c>
      <c r="D306" s="27" t="inlineStr">
        <is>
          <t>Else01</t>
        </is>
      </c>
      <c r="E306" s="27" t="n"/>
      <c r="F306" s="27" t="inlineStr">
        <is>
          <t>浙江精准学科技有限公司</t>
        </is>
      </c>
      <c r="G306" s="27" t="inlineStr">
        <is>
          <t>记-164</t>
        </is>
      </c>
      <c r="H306" s="27" t="n"/>
      <c r="I306" s="100" t="n"/>
      <c r="J306" s="100" t="n">
        <v>5</v>
      </c>
    </row>
    <row r="307" s="83">
      <c r="A307" s="26" t="inlineStr">
        <is>
          <t>101201</t>
        </is>
      </c>
      <c r="B307" s="26" t="n"/>
      <c r="C307" s="26" t="inlineStr">
        <is>
          <t>2025-05-22</t>
        </is>
      </c>
      <c r="D307" s="26" t="inlineStr">
        <is>
          <t>Else01</t>
        </is>
      </c>
      <c r="E307" s="26" t="n"/>
      <c r="F307" s="26" t="inlineStr">
        <is>
          <t>浙江精准学科技有限公司</t>
        </is>
      </c>
      <c r="G307" s="26" t="inlineStr">
        <is>
          <t>记-165</t>
        </is>
      </c>
      <c r="H307" s="26" t="n"/>
      <c r="I307" s="99" t="n">
        <v>5</v>
      </c>
      <c r="J307" s="99" t="n">
        <v>5</v>
      </c>
    </row>
    <row r="308" s="83">
      <c r="A308" s="27" t="inlineStr">
        <is>
          <t>101201</t>
        </is>
      </c>
      <c r="B308" s="27" t="n"/>
      <c r="C308" s="27" t="inlineStr">
        <is>
          <t>2025-05-23</t>
        </is>
      </c>
      <c r="D308" s="27" t="inlineStr">
        <is>
          <t>Else01</t>
        </is>
      </c>
      <c r="E308" s="27" t="n"/>
      <c r="F308" s="27" t="inlineStr">
        <is>
          <t>浙江精准学科技有限公司</t>
        </is>
      </c>
      <c r="G308" s="27" t="inlineStr">
        <is>
          <t>记-174</t>
        </is>
      </c>
      <c r="H308" s="27" t="n"/>
      <c r="I308" s="99" t="n">
        <v>5</v>
      </c>
      <c r="J308" s="100" t="n">
        <v>5</v>
      </c>
    </row>
    <row r="309" s="83">
      <c r="A309" s="26" t="inlineStr">
        <is>
          <t>101201</t>
        </is>
      </c>
      <c r="B309" s="26" t="n"/>
      <c r="C309" s="26" t="inlineStr">
        <is>
          <t>2025-05-23</t>
        </is>
      </c>
      <c r="D309" s="26" t="inlineStr">
        <is>
          <t>Else01</t>
        </is>
      </c>
      <c r="E309" s="26" t="n"/>
      <c r="F309" s="26" t="inlineStr">
        <is>
          <t>浙江精准学科技有限公司</t>
        </is>
      </c>
      <c r="G309" s="26" t="inlineStr">
        <is>
          <t>记-175</t>
        </is>
      </c>
      <c r="H309" s="26" t="n"/>
      <c r="I309" s="99" t="n"/>
      <c r="J309" s="99" t="n">
        <v>5</v>
      </c>
    </row>
    <row r="310" s="83">
      <c r="A310" s="27" t="inlineStr">
        <is>
          <t>101201</t>
        </is>
      </c>
      <c r="B310" s="27" t="n"/>
      <c r="C310" s="27" t="inlineStr">
        <is>
          <t>2025-05-24</t>
        </is>
      </c>
      <c r="D310" s="27" t="inlineStr">
        <is>
          <t>Else01</t>
        </is>
      </c>
      <c r="E310" s="27" t="n"/>
      <c r="F310" s="27" t="inlineStr">
        <is>
          <t>浙江精准学科技有限公司</t>
        </is>
      </c>
      <c r="G310" s="27" t="inlineStr">
        <is>
          <t>记-176</t>
        </is>
      </c>
      <c r="H310" s="27" t="n"/>
      <c r="I310" s="99" t="n">
        <v>5</v>
      </c>
      <c r="J310" s="100" t="n">
        <v>5</v>
      </c>
    </row>
    <row r="311" s="83">
      <c r="A311" s="26" t="inlineStr">
        <is>
          <t>101201</t>
        </is>
      </c>
      <c r="B311" s="26" t="n"/>
      <c r="C311" s="26" t="inlineStr">
        <is>
          <t>2025-05-24</t>
        </is>
      </c>
      <c r="D311" s="26" t="inlineStr">
        <is>
          <t>Else01</t>
        </is>
      </c>
      <c r="E311" s="26" t="n"/>
      <c r="F311" s="26" t="inlineStr">
        <is>
          <t>浙江精准学科技有限公司</t>
        </is>
      </c>
      <c r="G311" s="26" t="inlineStr">
        <is>
          <t>记-177</t>
        </is>
      </c>
      <c r="H311" s="26" t="n"/>
      <c r="I311" s="99" t="n"/>
      <c r="J311" s="99" t="n">
        <v>5</v>
      </c>
    </row>
    <row r="312" s="83">
      <c r="A312" s="27" t="inlineStr">
        <is>
          <t>101201</t>
        </is>
      </c>
      <c r="B312" s="27" t="n"/>
      <c r="C312" s="27" t="inlineStr">
        <is>
          <t>2025-05-25</t>
        </is>
      </c>
      <c r="D312" s="27" t="inlineStr">
        <is>
          <t>Else01</t>
        </is>
      </c>
      <c r="E312" s="27" t="n"/>
      <c r="F312" s="27" t="inlineStr">
        <is>
          <t>浙江精准学科技有限公司</t>
        </is>
      </c>
      <c r="G312" s="27" t="inlineStr">
        <is>
          <t>记-178</t>
        </is>
      </c>
      <c r="H312" s="27" t="n"/>
      <c r="I312" s="99" t="n">
        <v>5</v>
      </c>
      <c r="J312" s="100" t="n">
        <v>5</v>
      </c>
    </row>
    <row r="313" s="83">
      <c r="A313" s="26" t="inlineStr">
        <is>
          <t>101201</t>
        </is>
      </c>
      <c r="B313" s="26" t="n"/>
      <c r="C313" s="26" t="inlineStr">
        <is>
          <t>2025-05-25</t>
        </is>
      </c>
      <c r="D313" s="26" t="inlineStr">
        <is>
          <t>Else01</t>
        </is>
      </c>
      <c r="E313" s="26" t="n"/>
      <c r="F313" s="26" t="inlineStr">
        <is>
          <t>浙江精准学科技有限公司</t>
        </is>
      </c>
      <c r="G313" s="26" t="inlineStr">
        <is>
          <t>记-179</t>
        </is>
      </c>
      <c r="H313" s="26" t="n"/>
      <c r="I313" s="99" t="n"/>
      <c r="J313" s="99" t="n">
        <v>5</v>
      </c>
    </row>
    <row r="314" s="83">
      <c r="A314" s="27" t="inlineStr">
        <is>
          <t>101201</t>
        </is>
      </c>
      <c r="B314" s="27" t="n"/>
      <c r="C314" s="27" t="inlineStr">
        <is>
          <t>2025-05-26</t>
        </is>
      </c>
      <c r="D314" s="27" t="inlineStr">
        <is>
          <t>Else01</t>
        </is>
      </c>
      <c r="E314" s="27" t="n"/>
      <c r="F314" s="27" t="inlineStr">
        <is>
          <t>浙江精准学科技有限公司</t>
        </is>
      </c>
      <c r="G314" s="27" t="inlineStr">
        <is>
          <t>记-193</t>
        </is>
      </c>
      <c r="H314" s="27" t="n"/>
      <c r="I314" s="99" t="n">
        <v>5</v>
      </c>
      <c r="J314" s="100" t="n">
        <v>5</v>
      </c>
    </row>
    <row r="315" s="83">
      <c r="A315" s="26" t="inlineStr">
        <is>
          <t>101201</t>
        </is>
      </c>
      <c r="B315" s="26" t="n"/>
      <c r="C315" s="26" t="inlineStr">
        <is>
          <t>2025-05-26</t>
        </is>
      </c>
      <c r="D315" s="26" t="inlineStr">
        <is>
          <t>Else01</t>
        </is>
      </c>
      <c r="E315" s="26" t="n"/>
      <c r="F315" s="26" t="inlineStr">
        <is>
          <t>浙江精准学科技有限公司</t>
        </is>
      </c>
      <c r="G315" s="26" t="inlineStr">
        <is>
          <t>记-194</t>
        </is>
      </c>
      <c r="H315" s="26" t="n"/>
      <c r="I315" s="99" t="n"/>
      <c r="J315" s="99" t="n">
        <v>5</v>
      </c>
    </row>
    <row r="316" s="83">
      <c r="A316" s="27" t="inlineStr">
        <is>
          <t>101201</t>
        </is>
      </c>
      <c r="B316" s="27" t="n"/>
      <c r="C316" s="27" t="inlineStr">
        <is>
          <t>2025-05-27</t>
        </is>
      </c>
      <c r="D316" s="27" t="inlineStr">
        <is>
          <t>Else01</t>
        </is>
      </c>
      <c r="E316" s="27" t="n"/>
      <c r="F316" s="27" t="inlineStr">
        <is>
          <t>浙江精准学科技有限公司</t>
        </is>
      </c>
      <c r="G316" s="27" t="inlineStr">
        <is>
          <t>记-200</t>
        </is>
      </c>
      <c r="H316" s="27" t="n"/>
      <c r="I316" s="99" t="n">
        <v>5</v>
      </c>
      <c r="J316" s="100" t="n">
        <v>5</v>
      </c>
    </row>
    <row r="317" s="83">
      <c r="A317" s="26" t="inlineStr">
        <is>
          <t>101201</t>
        </is>
      </c>
      <c r="B317" s="26" t="n"/>
      <c r="C317" s="26" t="inlineStr">
        <is>
          <t>2025-05-27</t>
        </is>
      </c>
      <c r="D317" s="26" t="inlineStr">
        <is>
          <t>Else01</t>
        </is>
      </c>
      <c r="E317" s="26" t="n"/>
      <c r="F317" s="26" t="inlineStr">
        <is>
          <t>浙江精准学科技有限公司</t>
        </is>
      </c>
      <c r="G317" s="26" t="inlineStr">
        <is>
          <t>记-201</t>
        </is>
      </c>
      <c r="H317" s="26" t="n"/>
      <c r="I317" s="99" t="n"/>
      <c r="J317" s="99" t="n">
        <v>5</v>
      </c>
    </row>
    <row r="318" s="83">
      <c r="A318" s="27" t="inlineStr">
        <is>
          <t>101201</t>
        </is>
      </c>
      <c r="B318" s="27" t="n"/>
      <c r="C318" s="27" t="inlineStr">
        <is>
          <t>2025-05-28</t>
        </is>
      </c>
      <c r="D318" s="27" t="inlineStr">
        <is>
          <t>Else01</t>
        </is>
      </c>
      <c r="E318" s="27" t="n"/>
      <c r="F318" s="27" t="inlineStr">
        <is>
          <t>浙江精准学科技有限公司</t>
        </is>
      </c>
      <c r="G318" s="27" t="inlineStr">
        <is>
          <t>记-206</t>
        </is>
      </c>
      <c r="H318" s="27" t="n"/>
      <c r="I318" s="99" t="n">
        <v>5</v>
      </c>
      <c r="J318" s="100" t="n">
        <v>5</v>
      </c>
    </row>
    <row r="319" s="83">
      <c r="A319" s="26" t="inlineStr">
        <is>
          <t>101201</t>
        </is>
      </c>
      <c r="B319" s="26" t="n"/>
      <c r="C319" s="26" t="inlineStr">
        <is>
          <t>2025-05-28</t>
        </is>
      </c>
      <c r="D319" s="26" t="inlineStr">
        <is>
          <t>Else01</t>
        </is>
      </c>
      <c r="E319" s="26" t="n"/>
      <c r="F319" s="26" t="inlineStr">
        <is>
          <t>浙江精准学科技有限公司</t>
        </is>
      </c>
      <c r="G319" s="26" t="inlineStr">
        <is>
          <t>记-207</t>
        </is>
      </c>
      <c r="H319" s="26" t="n"/>
      <c r="I319" s="99" t="n"/>
      <c r="J319" s="99" t="n">
        <v>5</v>
      </c>
    </row>
    <row r="320" s="83">
      <c r="A320" s="27" t="inlineStr">
        <is>
          <t>101201</t>
        </is>
      </c>
      <c r="B320" s="27" t="n"/>
      <c r="C320" s="27" t="inlineStr">
        <is>
          <t>2025-05-29</t>
        </is>
      </c>
      <c r="D320" s="27" t="inlineStr">
        <is>
          <t>Else01</t>
        </is>
      </c>
      <c r="E320" s="27" t="n"/>
      <c r="F320" s="27" t="inlineStr">
        <is>
          <t>浙江精准学科技有限公司</t>
        </is>
      </c>
      <c r="G320" s="27" t="inlineStr">
        <is>
          <t>记-212</t>
        </is>
      </c>
      <c r="H320" s="27" t="n"/>
      <c r="I320" s="99" t="n">
        <v>5</v>
      </c>
      <c r="J320" s="100" t="n">
        <v>5</v>
      </c>
    </row>
    <row r="321" s="83">
      <c r="A321" s="26" t="inlineStr">
        <is>
          <t>101201</t>
        </is>
      </c>
      <c r="B321" s="26" t="n"/>
      <c r="C321" s="26" t="inlineStr">
        <is>
          <t>2025-05-29</t>
        </is>
      </c>
      <c r="D321" s="26" t="inlineStr">
        <is>
          <t>Else01</t>
        </is>
      </c>
      <c r="E321" s="26" t="n"/>
      <c r="F321" s="26" t="inlineStr">
        <is>
          <t>浙江精准学科技有限公司</t>
        </is>
      </c>
      <c r="G321" s="26" t="inlineStr">
        <is>
          <t>记-213</t>
        </is>
      </c>
      <c r="H321" s="26" t="n"/>
      <c r="I321" s="99" t="n"/>
      <c r="J321" s="99" t="n">
        <v>5</v>
      </c>
    </row>
    <row r="322" s="83">
      <c r="A322" s="27" t="inlineStr">
        <is>
          <t>101201</t>
        </is>
      </c>
      <c r="B322" s="27" t="n"/>
      <c r="C322" s="27" t="inlineStr">
        <is>
          <t>2025-05-30</t>
        </is>
      </c>
      <c r="D322" s="27" t="inlineStr">
        <is>
          <t>Else01</t>
        </is>
      </c>
      <c r="E322" s="27" t="n"/>
      <c r="F322" s="27" t="inlineStr">
        <is>
          <t>浙江精准学科技有限公司</t>
        </is>
      </c>
      <c r="G322" s="27" t="inlineStr">
        <is>
          <t>记-236</t>
        </is>
      </c>
      <c r="H322" s="27" t="n"/>
      <c r="I322" s="99" t="n">
        <v>5</v>
      </c>
      <c r="J322" s="100" t="n">
        <v>5</v>
      </c>
    </row>
    <row r="323" s="83">
      <c r="A323" s="26" t="inlineStr">
        <is>
          <t>101201</t>
        </is>
      </c>
      <c r="B323" s="26" t="n"/>
      <c r="C323" s="26" t="inlineStr">
        <is>
          <t>2025-05-30</t>
        </is>
      </c>
      <c r="D323" s="26" t="inlineStr">
        <is>
          <t>Else01</t>
        </is>
      </c>
      <c r="E323" s="26" t="n"/>
      <c r="F323" s="26" t="inlineStr">
        <is>
          <t>浙江精准学科技有限公司</t>
        </is>
      </c>
      <c r="G323" s="26" t="inlineStr">
        <is>
          <t>记-237</t>
        </is>
      </c>
      <c r="H323" s="26" t="n"/>
      <c r="I323" s="99" t="n"/>
      <c r="J323" s="99" t="n">
        <v>5</v>
      </c>
    </row>
    <row r="324" s="83">
      <c r="A324" s="27" t="inlineStr">
        <is>
          <t>101201</t>
        </is>
      </c>
      <c r="B324" s="27" t="n"/>
      <c r="C324" s="27" t="inlineStr">
        <is>
          <t>2025-05-31</t>
        </is>
      </c>
      <c r="D324" s="27" t="inlineStr">
        <is>
          <t>Else01</t>
        </is>
      </c>
      <c r="E324" s="27" t="n"/>
      <c r="F324" s="27" t="inlineStr">
        <is>
          <t>浙江精准学科技有限公司</t>
        </is>
      </c>
      <c r="G324" s="27" t="inlineStr">
        <is>
          <t>记-238</t>
        </is>
      </c>
      <c r="H324" s="27" t="n"/>
      <c r="I324" s="99" t="n">
        <v>5</v>
      </c>
      <c r="J324" s="100" t="n">
        <v>5</v>
      </c>
    </row>
    <row r="325" s="83">
      <c r="A325" s="26" t="inlineStr">
        <is>
          <t>101201</t>
        </is>
      </c>
      <c r="B325" s="26" t="n"/>
      <c r="C325" s="26" t="inlineStr">
        <is>
          <t>2025-05-31</t>
        </is>
      </c>
      <c r="D325" s="26" t="inlineStr">
        <is>
          <t>Else01</t>
        </is>
      </c>
      <c r="E325" s="26" t="n"/>
      <c r="F325" s="26" t="inlineStr">
        <is>
          <t>浙江精准学科技有限公司</t>
        </is>
      </c>
      <c r="G325" s="26" t="inlineStr">
        <is>
          <t>记-239</t>
        </is>
      </c>
      <c r="H325" s="26" t="n"/>
      <c r="I325" s="99" t="n"/>
      <c r="J325" s="99" t="n">
        <v>5</v>
      </c>
    </row>
    <row r="326" s="83">
      <c r="A326" s="27" t="inlineStr">
        <is>
          <t>101201</t>
        </is>
      </c>
      <c r="B326" s="27" t="n"/>
      <c r="C326" s="27" t="inlineStr">
        <is>
          <t>2025-05-31</t>
        </is>
      </c>
      <c r="D326" s="27" t="inlineStr">
        <is>
          <t>Else01</t>
        </is>
      </c>
      <c r="E326" s="27" t="n"/>
      <c r="F326" s="27" t="inlineStr">
        <is>
          <t>浙江精准学科技有限公司</t>
        </is>
      </c>
      <c r="G326" s="27" t="inlineStr">
        <is>
          <t>记-240</t>
        </is>
      </c>
      <c r="H326" s="27" t="n"/>
      <c r="I326" s="99" t="n">
        <v>5</v>
      </c>
      <c r="J326" s="100" t="n">
        <v>5</v>
      </c>
    </row>
    <row r="327" s="83">
      <c r="A327" s="26" t="inlineStr">
        <is>
          <t>101201</t>
        </is>
      </c>
      <c r="B327" s="26" t="n"/>
      <c r="C327" s="26" t="inlineStr">
        <is>
          <t>2025-05-31</t>
        </is>
      </c>
      <c r="D327" s="26" t="inlineStr">
        <is>
          <t>Else01</t>
        </is>
      </c>
      <c r="E327" s="26" t="n"/>
      <c r="F327" s="26" t="inlineStr">
        <is>
          <t>浙江精准学科技有限公司</t>
        </is>
      </c>
      <c r="G327" s="26" t="inlineStr">
        <is>
          <t>记-241</t>
        </is>
      </c>
      <c r="H327" s="26" t="n"/>
      <c r="I327" s="99" t="n"/>
      <c r="J327" s="99" t="n">
        <v>5</v>
      </c>
    </row>
    <row r="328" s="83">
      <c r="A328" s="26" t="inlineStr">
        <is>
          <t>101201</t>
        </is>
      </c>
      <c r="B328" s="26" t="n"/>
      <c r="C328" s="26" t="inlineStr">
        <is>
          <t>2025-05-31</t>
        </is>
      </c>
      <c r="D328" s="26" t="inlineStr">
        <is>
          <t>Q0101</t>
        </is>
      </c>
      <c r="E328" s="26" t="n"/>
      <c r="F328" s="26" t="inlineStr">
        <is>
          <t>浙江精准学科技有限公司</t>
        </is>
      </c>
      <c r="G328" s="26" t="inlineStr">
        <is>
          <t>记-243</t>
        </is>
      </c>
      <c r="H328" s="26" t="n"/>
      <c r="I328" s="99" t="n">
        <v>5</v>
      </c>
      <c r="J328" s="99" t="n">
        <v>5</v>
      </c>
    </row>
    <row r="329" s="83">
      <c r="A329" s="27" t="inlineStr">
        <is>
          <t>101201</t>
        </is>
      </c>
      <c r="B329" s="27" t="n"/>
      <c r="C329" s="27" t="inlineStr">
        <is>
          <t>2025-05-05</t>
        </is>
      </c>
      <c r="D329" s="27" t="inlineStr">
        <is>
          <t>Q0303</t>
        </is>
      </c>
      <c r="E329" s="27" t="n"/>
      <c r="F329" s="27" t="inlineStr">
        <is>
          <t>浙江精准学科技有限公司</t>
        </is>
      </c>
      <c r="G329" s="27" t="inlineStr">
        <is>
          <t>记-15</t>
        </is>
      </c>
      <c r="H329" s="27" t="n"/>
      <c r="I329" s="99" t="n">
        <v>5</v>
      </c>
      <c r="J329" s="100" t="n">
        <v>5</v>
      </c>
    </row>
    <row r="330" s="83">
      <c r="A330" s="26" t="inlineStr">
        <is>
          <t>101201</t>
        </is>
      </c>
      <c r="B330" s="26" t="n"/>
      <c r="C330" s="26" t="inlineStr">
        <is>
          <t>2025-05-08</t>
        </is>
      </c>
      <c r="D330" s="26" t="inlineStr">
        <is>
          <t>Q0303</t>
        </is>
      </c>
      <c r="E330" s="26" t="n"/>
      <c r="F330" s="26" t="inlineStr">
        <is>
          <t>浙江精准学科技有限公司</t>
        </is>
      </c>
      <c r="G330" s="26" t="inlineStr">
        <is>
          <t>记-139</t>
        </is>
      </c>
      <c r="H330" s="26" t="n"/>
      <c r="I330" s="99" t="n">
        <v>5</v>
      </c>
      <c r="J330" s="99" t="n">
        <v>5</v>
      </c>
    </row>
    <row r="331" s="83">
      <c r="A331" s="27" t="inlineStr">
        <is>
          <t>101201</t>
        </is>
      </c>
      <c r="B331" s="27" t="n"/>
      <c r="C331" s="27" t="inlineStr">
        <is>
          <t>2025-05-10</t>
        </is>
      </c>
      <c r="D331" s="27" t="inlineStr">
        <is>
          <t>Q0303</t>
        </is>
      </c>
      <c r="E331" s="27" t="n"/>
      <c r="F331" s="27" t="inlineStr">
        <is>
          <t>浙江精准学科技有限公司</t>
        </is>
      </c>
      <c r="G331" s="27" t="inlineStr">
        <is>
          <t>记-45</t>
        </is>
      </c>
      <c r="H331" s="27" t="n"/>
      <c r="I331" s="99" t="n">
        <v>5</v>
      </c>
      <c r="J331" s="100" t="n">
        <v>5</v>
      </c>
    </row>
    <row r="332" s="83">
      <c r="A332" s="26" t="inlineStr">
        <is>
          <t>101201</t>
        </is>
      </c>
      <c r="B332" s="26" t="n"/>
      <c r="C332" s="26" t="inlineStr">
        <is>
          <t>2025-05-13</t>
        </is>
      </c>
      <c r="D332" s="26" t="inlineStr">
        <is>
          <t>Q0303</t>
        </is>
      </c>
      <c r="E332" s="26" t="n"/>
      <c r="F332" s="26" t="inlineStr">
        <is>
          <t>浙江精准学科技有限公司</t>
        </is>
      </c>
      <c r="G332" s="26" t="inlineStr">
        <is>
          <t>记-65</t>
        </is>
      </c>
      <c r="H332" s="26" t="n"/>
      <c r="I332" s="99" t="n">
        <v>5</v>
      </c>
      <c r="J332" s="99" t="n">
        <v>5</v>
      </c>
    </row>
    <row r="333" s="83">
      <c r="A333" s="27" t="inlineStr">
        <is>
          <t>101201</t>
        </is>
      </c>
      <c r="B333" s="27" t="n"/>
      <c r="C333" s="27" t="inlineStr">
        <is>
          <t>2025-05-15</t>
        </is>
      </c>
      <c r="D333" s="27" t="inlineStr">
        <is>
          <t>Q0303</t>
        </is>
      </c>
      <c r="E333" s="27" t="n"/>
      <c r="F333" s="27" t="inlineStr">
        <is>
          <t>浙江精准学科技有限公司</t>
        </is>
      </c>
      <c r="G333" s="27" t="inlineStr">
        <is>
          <t>记-102</t>
        </is>
      </c>
      <c r="H333" s="27" t="n"/>
      <c r="I333" s="99" t="n">
        <v>5</v>
      </c>
      <c r="J333" s="100" t="n">
        <v>5</v>
      </c>
    </row>
    <row r="334" s="83">
      <c r="A334" s="26" t="inlineStr">
        <is>
          <t>101201</t>
        </is>
      </c>
      <c r="B334" s="26" t="n"/>
      <c r="C334" s="26" t="inlineStr">
        <is>
          <t>2025-05-18</t>
        </is>
      </c>
      <c r="D334" s="26" t="inlineStr">
        <is>
          <t>Q0303</t>
        </is>
      </c>
      <c r="E334" s="26" t="n"/>
      <c r="F334" s="26" t="inlineStr">
        <is>
          <t>浙江精准学科技有限公司</t>
        </is>
      </c>
      <c r="G334" s="26" t="inlineStr">
        <is>
          <t>记-120</t>
        </is>
      </c>
      <c r="H334" s="26" t="n"/>
      <c r="I334" s="99" t="n">
        <v>5</v>
      </c>
      <c r="J334" s="99" t="n">
        <v>5</v>
      </c>
    </row>
    <row r="335" s="83">
      <c r="A335" s="27" t="inlineStr">
        <is>
          <t>101201</t>
        </is>
      </c>
      <c r="B335" s="27" t="n"/>
      <c r="C335" s="27" t="inlineStr">
        <is>
          <t>2025-05-22</t>
        </is>
      </c>
      <c r="D335" s="27" t="inlineStr">
        <is>
          <t>Q0303</t>
        </is>
      </c>
      <c r="E335" s="27" t="n"/>
      <c r="F335" s="27" t="inlineStr">
        <is>
          <t>浙江精准学科技有限公司</t>
        </is>
      </c>
      <c r="G335" s="27" t="inlineStr">
        <is>
          <t>记-165</t>
        </is>
      </c>
      <c r="H335" s="27" t="n"/>
      <c r="I335" s="99" t="n">
        <v>5</v>
      </c>
      <c r="J335" s="100" t="n">
        <v>5</v>
      </c>
    </row>
    <row r="336" s="83">
      <c r="A336" s="27" t="inlineStr">
        <is>
          <t>101201</t>
        </is>
      </c>
      <c r="B336" s="27" t="n"/>
      <c r="C336" s="27" t="inlineStr">
        <is>
          <t>2025-05-01</t>
        </is>
      </c>
      <c r="D336" s="27" t="inlineStr">
        <is>
          <t>Q0401</t>
        </is>
      </c>
      <c r="E336" s="27" t="n"/>
      <c r="F336" s="27" t="inlineStr">
        <is>
          <t>浙江精准学科技有限公司</t>
        </is>
      </c>
      <c r="G336" s="27" t="inlineStr">
        <is>
          <t>记-5</t>
        </is>
      </c>
      <c r="H336" s="27" t="n"/>
      <c r="I336" s="100" t="n"/>
      <c r="J336" s="100" t="n">
        <v>5</v>
      </c>
    </row>
    <row r="337" s="83">
      <c r="A337" s="26" t="inlineStr">
        <is>
          <t>101201</t>
        </is>
      </c>
      <c r="B337" s="26" t="n"/>
      <c r="C337" s="26" t="inlineStr">
        <is>
          <t>2025-05-02</t>
        </is>
      </c>
      <c r="D337" s="26" t="inlineStr">
        <is>
          <t>Q0401</t>
        </is>
      </c>
      <c r="E337" s="26" t="n"/>
      <c r="F337" s="26" t="inlineStr">
        <is>
          <t>浙江精准学科技有限公司</t>
        </is>
      </c>
      <c r="G337" s="26" t="inlineStr">
        <is>
          <t>记-8</t>
        </is>
      </c>
      <c r="H337" s="26" t="n"/>
      <c r="I337" s="99" t="n"/>
      <c r="J337" s="99" t="n">
        <v>5</v>
      </c>
    </row>
    <row r="338" s="83">
      <c r="A338" s="27" t="inlineStr">
        <is>
          <t>101201</t>
        </is>
      </c>
      <c r="B338" s="27" t="n"/>
      <c r="C338" s="27" t="inlineStr">
        <is>
          <t>2025-05-03</t>
        </is>
      </c>
      <c r="D338" s="27" t="inlineStr">
        <is>
          <t>Q0401</t>
        </is>
      </c>
      <c r="E338" s="27" t="n"/>
      <c r="F338" s="27" t="inlineStr">
        <is>
          <t>浙江精准学科技有限公司</t>
        </is>
      </c>
      <c r="G338" s="27" t="inlineStr">
        <is>
          <t>记-11</t>
        </is>
      </c>
      <c r="H338" s="27" t="n"/>
      <c r="I338" s="100" t="n"/>
      <c r="J338" s="100" t="n">
        <v>5</v>
      </c>
    </row>
    <row r="339" s="83">
      <c r="A339" s="26" t="inlineStr">
        <is>
          <t>101201</t>
        </is>
      </c>
      <c r="B339" s="26" t="n"/>
      <c r="C339" s="26" t="inlineStr">
        <is>
          <t>2025-05-04</t>
        </is>
      </c>
      <c r="D339" s="26" t="inlineStr">
        <is>
          <t>Q0401</t>
        </is>
      </c>
      <c r="E339" s="26" t="n"/>
      <c r="F339" s="26" t="inlineStr">
        <is>
          <t>浙江精准学科技有限公司</t>
        </is>
      </c>
      <c r="G339" s="26" t="inlineStr">
        <is>
          <t>记-14</t>
        </is>
      </c>
      <c r="H339" s="26" t="n"/>
      <c r="I339" s="99" t="n"/>
      <c r="J339" s="99" t="n">
        <v>5</v>
      </c>
    </row>
    <row r="340" s="83">
      <c r="A340" s="27" t="inlineStr">
        <is>
          <t>101201</t>
        </is>
      </c>
      <c r="B340" s="27" t="n"/>
      <c r="C340" s="27" t="inlineStr">
        <is>
          <t>2025-05-05</t>
        </is>
      </c>
      <c r="D340" s="27" t="inlineStr">
        <is>
          <t>Q0401</t>
        </is>
      </c>
      <c r="E340" s="27" t="n"/>
      <c r="F340" s="27" t="inlineStr">
        <is>
          <t>浙江精准学科技有限公司</t>
        </is>
      </c>
      <c r="G340" s="27" t="inlineStr">
        <is>
          <t>记-17</t>
        </is>
      </c>
      <c r="H340" s="27" t="n"/>
      <c r="I340" s="100" t="n"/>
      <c r="J340" s="100" t="n">
        <v>5</v>
      </c>
    </row>
    <row r="341" s="83">
      <c r="A341" s="26" t="inlineStr">
        <is>
          <t>101201</t>
        </is>
      </c>
      <c r="B341" s="26" t="n"/>
      <c r="C341" s="26" t="inlineStr">
        <is>
          <t>2025-05-06</t>
        </is>
      </c>
      <c r="D341" s="26" t="inlineStr">
        <is>
          <t>Q0401</t>
        </is>
      </c>
      <c r="E341" s="26" t="n"/>
      <c r="F341" s="26" t="inlineStr">
        <is>
          <t>浙江精准学科技有限公司</t>
        </is>
      </c>
      <c r="G341" s="26" t="inlineStr">
        <is>
          <t>记-21</t>
        </is>
      </c>
      <c r="H341" s="26" t="n"/>
      <c r="I341" s="99" t="n"/>
      <c r="J341" s="99" t="n">
        <v>5</v>
      </c>
    </row>
    <row r="342" s="83">
      <c r="A342" s="27" t="inlineStr">
        <is>
          <t>101201</t>
        </is>
      </c>
      <c r="B342" s="27" t="n"/>
      <c r="C342" s="27" t="inlineStr">
        <is>
          <t>2025-05-07</t>
        </is>
      </c>
      <c r="D342" s="27" t="inlineStr">
        <is>
          <t>Q0401</t>
        </is>
      </c>
      <c r="E342" s="27" t="n"/>
      <c r="F342" s="27" t="inlineStr">
        <is>
          <t>浙江精准学科技有限公司</t>
        </is>
      </c>
      <c r="G342" s="27" t="inlineStr">
        <is>
          <t>记-23</t>
        </is>
      </c>
      <c r="H342" s="27" t="n"/>
      <c r="I342" s="100" t="n"/>
      <c r="J342" s="100" t="n">
        <v>5</v>
      </c>
    </row>
    <row r="343" s="83">
      <c r="A343" s="26" t="inlineStr">
        <is>
          <t>101201</t>
        </is>
      </c>
      <c r="B343" s="26" t="n"/>
      <c r="C343" s="26" t="inlineStr">
        <is>
          <t>2025-05-08</t>
        </is>
      </c>
      <c r="D343" s="26" t="inlineStr">
        <is>
          <t>Q0401</t>
        </is>
      </c>
      <c r="E343" s="26" t="n"/>
      <c r="F343" s="26" t="inlineStr">
        <is>
          <t>浙江精准学科技有限公司</t>
        </is>
      </c>
      <c r="G343" s="26" t="inlineStr">
        <is>
          <t>记-34</t>
        </is>
      </c>
      <c r="H343" s="26" t="n"/>
      <c r="I343" s="99" t="n"/>
      <c r="J343" s="99" t="n">
        <v>5</v>
      </c>
    </row>
    <row r="344" s="83">
      <c r="A344" s="27" t="inlineStr">
        <is>
          <t>101201</t>
        </is>
      </c>
      <c r="B344" s="27" t="n"/>
      <c r="C344" s="27" t="inlineStr">
        <is>
          <t>2025-05-11</t>
        </is>
      </c>
      <c r="D344" s="27" t="inlineStr">
        <is>
          <t>Q0401</t>
        </is>
      </c>
      <c r="E344" s="27" t="n"/>
      <c r="F344" s="27" t="inlineStr">
        <is>
          <t>浙江精准学科技有限公司</t>
        </is>
      </c>
      <c r="G344" s="27" t="inlineStr">
        <is>
          <t>记-49</t>
        </is>
      </c>
      <c r="H344" s="27" t="n"/>
      <c r="I344" s="100" t="n"/>
      <c r="J344" s="100" t="n">
        <v>5</v>
      </c>
    </row>
    <row r="345" s="83">
      <c r="A345" s="26" t="inlineStr">
        <is>
          <t>101201</t>
        </is>
      </c>
      <c r="B345" s="26" t="n"/>
      <c r="C345" s="26" t="inlineStr">
        <is>
          <t>2025-05-14</t>
        </is>
      </c>
      <c r="D345" s="26" t="inlineStr">
        <is>
          <t>Q0401</t>
        </is>
      </c>
      <c r="E345" s="26" t="n"/>
      <c r="F345" s="26" t="inlineStr">
        <is>
          <t>浙江精准学科技有限公司</t>
        </is>
      </c>
      <c r="G345" s="26" t="inlineStr">
        <is>
          <t>记-71</t>
        </is>
      </c>
      <c r="H345" s="26" t="n"/>
      <c r="I345" s="99" t="n"/>
      <c r="J345" s="99" t="n">
        <v>5</v>
      </c>
    </row>
    <row r="346" s="83">
      <c r="A346" s="27" t="inlineStr">
        <is>
          <t>101201</t>
        </is>
      </c>
      <c r="B346" s="27" t="n"/>
      <c r="C346" s="27" t="inlineStr">
        <is>
          <t>2025-05-18</t>
        </is>
      </c>
      <c r="D346" s="27" t="inlineStr">
        <is>
          <t>Q0401</t>
        </is>
      </c>
      <c r="E346" s="27" t="n"/>
      <c r="F346" s="27" t="inlineStr">
        <is>
          <t>浙江精准学科技有限公司</t>
        </is>
      </c>
      <c r="G346" s="27" t="inlineStr">
        <is>
          <t>记-119</t>
        </is>
      </c>
      <c r="H346" s="27" t="n"/>
      <c r="I346" s="100" t="n"/>
      <c r="J346" s="100" t="n">
        <v>5</v>
      </c>
    </row>
    <row r="347" s="83">
      <c r="A347" s="26" t="inlineStr">
        <is>
          <t>101201</t>
        </is>
      </c>
      <c r="B347" s="26" t="n"/>
      <c r="C347" s="26" t="inlineStr">
        <is>
          <t>2025-05-20</t>
        </is>
      </c>
      <c r="D347" s="26" t="inlineStr">
        <is>
          <t>Q0401</t>
        </is>
      </c>
      <c r="E347" s="26" t="n"/>
      <c r="F347" s="26" t="inlineStr">
        <is>
          <t>浙江精准学科技有限公司</t>
        </is>
      </c>
      <c r="G347" s="26" t="inlineStr">
        <is>
          <t>记-140</t>
        </is>
      </c>
      <c r="H347" s="26" t="n"/>
      <c r="I347" s="99" t="n">
        <v>5</v>
      </c>
      <c r="J347" s="99" t="n">
        <v>5</v>
      </c>
    </row>
    <row r="348" s="83">
      <c r="A348" s="27" t="inlineStr">
        <is>
          <t>101201</t>
        </is>
      </c>
      <c r="B348" s="27" t="n"/>
      <c r="C348" s="27" t="inlineStr">
        <is>
          <t>2025-05-20</t>
        </is>
      </c>
      <c r="D348" s="27" t="inlineStr">
        <is>
          <t>Q0401</t>
        </is>
      </c>
      <c r="E348" s="27" t="n"/>
      <c r="F348" s="27" t="inlineStr">
        <is>
          <t>浙江精准学科技有限公司</t>
        </is>
      </c>
      <c r="G348" s="27" t="inlineStr">
        <is>
          <t>记-140</t>
        </is>
      </c>
      <c r="H348" s="27" t="n"/>
      <c r="I348" s="100" t="n"/>
      <c r="J348" s="100" t="n">
        <v>5</v>
      </c>
    </row>
    <row r="349" s="83">
      <c r="A349" s="26" t="inlineStr">
        <is>
          <t>101201</t>
        </is>
      </c>
      <c r="B349" s="26" t="n"/>
      <c r="C349" s="26" t="inlineStr">
        <is>
          <t>2025-05-20</t>
        </is>
      </c>
      <c r="D349" s="26" t="inlineStr">
        <is>
          <t>Q0401</t>
        </is>
      </c>
      <c r="E349" s="26" t="n"/>
      <c r="F349" s="26" t="inlineStr">
        <is>
          <t>浙江精准学科技有限公司</t>
        </is>
      </c>
      <c r="G349" s="26" t="inlineStr">
        <is>
          <t>记-140</t>
        </is>
      </c>
      <c r="H349" s="26" t="n"/>
      <c r="I349" s="99" t="n">
        <v>5</v>
      </c>
      <c r="J349" s="99" t="n">
        <v>5</v>
      </c>
    </row>
    <row r="350" s="83">
      <c r="A350" s="27" t="inlineStr">
        <is>
          <t>101201</t>
        </is>
      </c>
      <c r="B350" s="27" t="n"/>
      <c r="C350" s="27" t="inlineStr">
        <is>
          <t>2025-05-21</t>
        </is>
      </c>
      <c r="D350" s="27" t="inlineStr">
        <is>
          <t>Q0401</t>
        </is>
      </c>
      <c r="E350" s="27" t="n"/>
      <c r="F350" s="27" t="inlineStr">
        <is>
          <t>浙江精准学科技有限公司</t>
        </is>
      </c>
      <c r="G350" s="27" t="inlineStr">
        <is>
          <t>记-159</t>
        </is>
      </c>
      <c r="H350" s="27" t="n"/>
      <c r="I350" s="100" t="n"/>
      <c r="J350" s="100" t="n">
        <v>5</v>
      </c>
    </row>
    <row r="351" s="83">
      <c r="A351" s="26" t="inlineStr">
        <is>
          <t>101201</t>
        </is>
      </c>
      <c r="B351" s="26" t="n"/>
      <c r="C351" s="26" t="inlineStr">
        <is>
          <t>2025-05-25</t>
        </is>
      </c>
      <c r="D351" s="26" t="inlineStr">
        <is>
          <t>Q0401</t>
        </is>
      </c>
      <c r="E351" s="26" t="n"/>
      <c r="F351" s="26" t="inlineStr">
        <is>
          <t>浙江精准学科技有限公司</t>
        </is>
      </c>
      <c r="G351" s="26" t="inlineStr">
        <is>
          <t>记-180</t>
        </is>
      </c>
      <c r="H351" s="26" t="n"/>
      <c r="I351" s="99" t="n"/>
      <c r="J351" s="99" t="n">
        <v>5</v>
      </c>
    </row>
    <row r="352" s="83">
      <c r="A352" s="27" t="inlineStr">
        <is>
          <t>101201</t>
        </is>
      </c>
      <c r="B352" s="27" t="n"/>
      <c r="C352" s="27" t="inlineStr">
        <is>
          <t>2025-05-28</t>
        </is>
      </c>
      <c r="D352" s="27" t="inlineStr">
        <is>
          <t>Q0401</t>
        </is>
      </c>
      <c r="E352" s="27" t="n"/>
      <c r="F352" s="27" t="inlineStr">
        <is>
          <t>浙江精准学科技有限公司</t>
        </is>
      </c>
      <c r="G352" s="27" t="inlineStr">
        <is>
          <t>记-202</t>
        </is>
      </c>
      <c r="H352" s="27" t="n"/>
      <c r="I352" s="100" t="n"/>
      <c r="J352" s="100" t="n">
        <v>5</v>
      </c>
    </row>
    <row r="353" s="83">
      <c r="A353" s="27" t="inlineStr">
        <is>
          <t>101201</t>
        </is>
      </c>
      <c r="B353" s="27" t="n"/>
      <c r="C353" s="27" t="inlineStr">
        <is>
          <t>2025-05-13</t>
        </is>
      </c>
      <c r="D353" s="27" t="inlineStr">
        <is>
          <t>Q0402</t>
        </is>
      </c>
      <c r="E353" s="27" t="n"/>
      <c r="F353" s="27" t="inlineStr">
        <is>
          <t>浙江精准学科技有限公司</t>
        </is>
      </c>
      <c r="G353" s="27" t="inlineStr">
        <is>
          <t>记-65</t>
        </is>
      </c>
      <c r="H353" s="27" t="n"/>
      <c r="I353" s="99" t="n">
        <v>5</v>
      </c>
      <c r="J353" s="100" t="n">
        <v>5</v>
      </c>
    </row>
    <row r="354" s="83">
      <c r="A354" s="26" t="inlineStr">
        <is>
          <t>101201</t>
        </is>
      </c>
      <c r="B354" s="26" t="n"/>
      <c r="C354" s="26" t="inlineStr">
        <is>
          <t>2025-05-31</t>
        </is>
      </c>
      <c r="D354" s="26" t="inlineStr">
        <is>
          <t>Q2201</t>
        </is>
      </c>
      <c r="E354" s="26" t="n"/>
      <c r="F354" s="26" t="inlineStr">
        <is>
          <t>浙江精准学科技有限公司</t>
        </is>
      </c>
      <c r="G354" s="26" t="inlineStr">
        <is>
          <t>记-243</t>
        </is>
      </c>
      <c r="H354" s="26" t="n"/>
      <c r="I354" s="99" t="n"/>
      <c r="J354" s="99" t="n">
        <v>5</v>
      </c>
    </row>
    <row r="355" s="83">
      <c r="A355" s="27" t="inlineStr">
        <is>
          <t>101201</t>
        </is>
      </c>
      <c r="B355" s="27" t="n"/>
      <c r="C355" s="27" t="inlineStr">
        <is>
          <t>2025-05-31</t>
        </is>
      </c>
      <c r="D355" s="27" t="inlineStr">
        <is>
          <t>Q2204</t>
        </is>
      </c>
      <c r="E355" s="27" t="n"/>
      <c r="F355" s="27" t="inlineStr">
        <is>
          <t>浙江精准学科技有限公司</t>
        </is>
      </c>
      <c r="G355" s="27" t="inlineStr">
        <is>
          <t>记-243</t>
        </is>
      </c>
      <c r="H355" s="27" t="n"/>
      <c r="I355" s="100" t="n"/>
      <c r="J355" s="100" t="n">
        <v>5</v>
      </c>
    </row>
    <row r="356" s="83">
      <c r="A356" s="27" t="inlineStr">
        <is>
          <t>101201</t>
        </is>
      </c>
      <c r="B356" s="27" t="n"/>
      <c r="C356" s="27" t="inlineStr">
        <is>
          <t>2025-05-31</t>
        </is>
      </c>
      <c r="D356" s="27" t="inlineStr">
        <is>
          <t>Q2207</t>
        </is>
      </c>
      <c r="E356" s="27" t="n"/>
      <c r="F356" s="27" t="inlineStr">
        <is>
          <t>浙江精准学科技有限公司</t>
        </is>
      </c>
      <c r="G356" s="27" t="inlineStr">
        <is>
          <t>记-243</t>
        </is>
      </c>
      <c r="H356" s="27" t="n"/>
      <c r="I356" s="100" t="n"/>
      <c r="J356" s="100" t="n">
        <v>5</v>
      </c>
    </row>
    <row r="357" s="83">
      <c r="A357" s="27" t="inlineStr">
        <is>
          <t>101201</t>
        </is>
      </c>
      <c r="B357" s="27" t="n"/>
      <c r="C357" s="27" t="inlineStr">
        <is>
          <t>2025-05-31</t>
        </is>
      </c>
      <c r="D357" s="27" t="inlineStr">
        <is>
          <t>Q2208</t>
        </is>
      </c>
      <c r="E357" s="27" t="n"/>
      <c r="F357" s="27" t="inlineStr">
        <is>
          <t>浙江精准学科技有限公司</t>
        </is>
      </c>
      <c r="G357" s="27" t="inlineStr">
        <is>
          <t>记-243</t>
        </is>
      </c>
      <c r="H357" s="27" t="n"/>
      <c r="I357" s="100" t="n"/>
      <c r="J357" s="100" t="n">
        <v>5</v>
      </c>
    </row>
    <row r="358" s="83">
      <c r="A358" s="27" t="inlineStr">
        <is>
          <t>101201</t>
        </is>
      </c>
      <c r="B358" s="27" t="n"/>
      <c r="C358" s="27" t="inlineStr">
        <is>
          <t>2025-05-31</t>
        </is>
      </c>
      <c r="D358" s="27" t="inlineStr">
        <is>
          <t>Q2209</t>
        </is>
      </c>
      <c r="E358" s="27" t="n"/>
      <c r="F358" s="27" t="inlineStr">
        <is>
          <t>浙江精准学科技有限公司</t>
        </is>
      </c>
      <c r="G358" s="27" t="inlineStr">
        <is>
          <t>记-243</t>
        </is>
      </c>
      <c r="H358" s="27" t="n"/>
      <c r="I358" s="100" t="n"/>
      <c r="J358" s="100" t="n">
        <v>5</v>
      </c>
    </row>
    <row r="359" s="83">
      <c r="A359" s="26" t="inlineStr">
        <is>
          <t>101203</t>
        </is>
      </c>
      <c r="B359" s="26" t="n"/>
      <c r="C359" s="26" t="inlineStr">
        <is>
          <t>2025-05-01</t>
        </is>
      </c>
      <c r="D359" s="26" t="inlineStr">
        <is>
          <t>Else01</t>
        </is>
      </c>
      <c r="E359" s="26" t="n"/>
      <c r="F359" s="26" t="inlineStr">
        <is>
          <t>浙江精准学科技有限公司</t>
        </is>
      </c>
      <c r="G359" s="26" t="inlineStr">
        <is>
          <t>记-3</t>
        </is>
      </c>
      <c r="H359" s="26" t="n"/>
      <c r="I359" s="99" t="n">
        <v>5</v>
      </c>
      <c r="J359" s="99" t="n">
        <v>5</v>
      </c>
    </row>
    <row r="360" s="83">
      <c r="A360" s="27" t="inlineStr">
        <is>
          <t>101203</t>
        </is>
      </c>
      <c r="B360" s="27" t="n"/>
      <c r="C360" s="27" t="inlineStr">
        <is>
          <t>2025-05-01</t>
        </is>
      </c>
      <c r="D360" s="27" t="inlineStr">
        <is>
          <t>Else01</t>
        </is>
      </c>
      <c r="E360" s="27" t="n"/>
      <c r="F360" s="27" t="inlineStr">
        <is>
          <t>浙江精准学科技有限公司</t>
        </is>
      </c>
      <c r="G360" s="27" t="inlineStr">
        <is>
          <t>记-4</t>
        </is>
      </c>
      <c r="H360" s="27" t="n"/>
      <c r="I360" s="100" t="n"/>
      <c r="J360" s="100" t="n">
        <v>5</v>
      </c>
    </row>
    <row r="361" s="83">
      <c r="A361" s="26" t="inlineStr">
        <is>
          <t>101203</t>
        </is>
      </c>
      <c r="B361" s="26" t="n"/>
      <c r="C361" s="26" t="inlineStr">
        <is>
          <t>2025-05-02</t>
        </is>
      </c>
      <c r="D361" s="26" t="inlineStr">
        <is>
          <t>Else01</t>
        </is>
      </c>
      <c r="E361" s="26" t="n"/>
      <c r="F361" s="26" t="inlineStr">
        <is>
          <t>浙江精准学科技有限公司</t>
        </is>
      </c>
      <c r="G361" s="26" t="inlineStr">
        <is>
          <t>记-6</t>
        </is>
      </c>
      <c r="H361" s="26" t="n"/>
      <c r="I361" s="99" t="n">
        <v>5</v>
      </c>
      <c r="J361" s="99" t="n">
        <v>5</v>
      </c>
    </row>
    <row r="362" s="83">
      <c r="A362" s="27" t="inlineStr">
        <is>
          <t>101203</t>
        </is>
      </c>
      <c r="B362" s="27" t="n"/>
      <c r="C362" s="27" t="inlineStr">
        <is>
          <t>2025-05-02</t>
        </is>
      </c>
      <c r="D362" s="27" t="inlineStr">
        <is>
          <t>Else01</t>
        </is>
      </c>
      <c r="E362" s="27" t="n"/>
      <c r="F362" s="27" t="inlineStr">
        <is>
          <t>浙江精准学科技有限公司</t>
        </is>
      </c>
      <c r="G362" s="27" t="inlineStr">
        <is>
          <t>记-7</t>
        </is>
      </c>
      <c r="H362" s="27" t="n"/>
      <c r="I362" s="100" t="n"/>
      <c r="J362" s="100" t="n">
        <v>5</v>
      </c>
    </row>
    <row r="363" s="83">
      <c r="A363" s="26" t="inlineStr">
        <is>
          <t>101203</t>
        </is>
      </c>
      <c r="B363" s="26" t="n"/>
      <c r="C363" s="26" t="inlineStr">
        <is>
          <t>2025-05-03</t>
        </is>
      </c>
      <c r="D363" s="26" t="inlineStr">
        <is>
          <t>Else01</t>
        </is>
      </c>
      <c r="E363" s="26" t="n"/>
      <c r="F363" s="26" t="inlineStr">
        <is>
          <t>浙江精准学科技有限公司</t>
        </is>
      </c>
      <c r="G363" s="26" t="inlineStr">
        <is>
          <t>记-9</t>
        </is>
      </c>
      <c r="H363" s="26" t="n"/>
      <c r="I363" s="99" t="n">
        <v>5</v>
      </c>
      <c r="J363" s="99" t="n">
        <v>5</v>
      </c>
    </row>
    <row r="364" s="83">
      <c r="A364" s="27" t="inlineStr">
        <is>
          <t>101203</t>
        </is>
      </c>
      <c r="B364" s="27" t="n"/>
      <c r="C364" s="27" t="inlineStr">
        <is>
          <t>2025-05-03</t>
        </is>
      </c>
      <c r="D364" s="27" t="inlineStr">
        <is>
          <t>Else01</t>
        </is>
      </c>
      <c r="E364" s="27" t="n"/>
      <c r="F364" s="27" t="inlineStr">
        <is>
          <t>浙江精准学科技有限公司</t>
        </is>
      </c>
      <c r="G364" s="27" t="inlineStr">
        <is>
          <t>记-10</t>
        </is>
      </c>
      <c r="H364" s="27" t="n"/>
      <c r="I364" s="100" t="n"/>
      <c r="J364" s="100" t="n">
        <v>5</v>
      </c>
    </row>
    <row r="365" s="83">
      <c r="A365" s="26" t="inlineStr">
        <is>
          <t>101203</t>
        </is>
      </c>
      <c r="B365" s="26" t="n"/>
      <c r="C365" s="26" t="inlineStr">
        <is>
          <t>2025-05-04</t>
        </is>
      </c>
      <c r="D365" s="26" t="inlineStr">
        <is>
          <t>Else01</t>
        </is>
      </c>
      <c r="E365" s="26" t="n"/>
      <c r="F365" s="26" t="inlineStr">
        <is>
          <t>浙江精准学科技有限公司</t>
        </is>
      </c>
      <c r="G365" s="26" t="inlineStr">
        <is>
          <t>记-12</t>
        </is>
      </c>
      <c r="H365" s="26" t="n"/>
      <c r="I365" s="99" t="n">
        <v>5</v>
      </c>
      <c r="J365" s="99" t="n">
        <v>5</v>
      </c>
    </row>
    <row r="366" s="83">
      <c r="A366" s="27" t="inlineStr">
        <is>
          <t>101203</t>
        </is>
      </c>
      <c r="B366" s="27" t="n"/>
      <c r="C366" s="27" t="inlineStr">
        <is>
          <t>2025-05-04</t>
        </is>
      </c>
      <c r="D366" s="27" t="inlineStr">
        <is>
          <t>Else01</t>
        </is>
      </c>
      <c r="E366" s="27" t="n"/>
      <c r="F366" s="27" t="inlineStr">
        <is>
          <t>浙江精准学科技有限公司</t>
        </is>
      </c>
      <c r="G366" s="27" t="inlineStr">
        <is>
          <t>记-13</t>
        </is>
      </c>
      <c r="H366" s="27" t="n"/>
      <c r="I366" s="100" t="n"/>
      <c r="J366" s="100" t="n">
        <v>5</v>
      </c>
    </row>
    <row r="367" s="83">
      <c r="A367" s="26" t="inlineStr">
        <is>
          <t>101203</t>
        </is>
      </c>
      <c r="B367" s="26" t="n"/>
      <c r="C367" s="26" t="inlineStr">
        <is>
          <t>2025-05-05</t>
        </is>
      </c>
      <c r="D367" s="26" t="inlineStr">
        <is>
          <t>Else01</t>
        </is>
      </c>
      <c r="E367" s="26" t="n"/>
      <c r="F367" s="26" t="inlineStr">
        <is>
          <t>浙江精准学科技有限公司</t>
        </is>
      </c>
      <c r="G367" s="26" t="inlineStr">
        <is>
          <t>记-15</t>
        </is>
      </c>
      <c r="H367" s="26" t="n"/>
      <c r="I367" s="99" t="n">
        <v>5</v>
      </c>
      <c r="J367" s="99" t="n">
        <v>5</v>
      </c>
    </row>
    <row r="368" s="83">
      <c r="A368" s="27" t="inlineStr">
        <is>
          <t>101203</t>
        </is>
      </c>
      <c r="B368" s="27" t="n"/>
      <c r="C368" s="27" t="inlineStr">
        <is>
          <t>2025-05-05</t>
        </is>
      </c>
      <c r="D368" s="27" t="inlineStr">
        <is>
          <t>Else01</t>
        </is>
      </c>
      <c r="E368" s="27" t="n"/>
      <c r="F368" s="27" t="inlineStr">
        <is>
          <t>浙江精准学科技有限公司</t>
        </is>
      </c>
      <c r="G368" s="27" t="inlineStr">
        <is>
          <t>记-16</t>
        </is>
      </c>
      <c r="H368" s="27" t="n"/>
      <c r="I368" s="100" t="n"/>
      <c r="J368" s="100" t="n">
        <v>5</v>
      </c>
    </row>
    <row r="369" s="83">
      <c r="A369" s="26" t="inlineStr">
        <is>
          <t>101203</t>
        </is>
      </c>
      <c r="B369" s="26" t="n"/>
      <c r="C369" s="26" t="inlineStr">
        <is>
          <t>2025-05-06</t>
        </is>
      </c>
      <c r="D369" s="26" t="inlineStr">
        <is>
          <t>Else01</t>
        </is>
      </c>
      <c r="E369" s="26" t="n"/>
      <c r="F369" s="26" t="inlineStr">
        <is>
          <t>浙江精准学科技有限公司</t>
        </is>
      </c>
      <c r="G369" s="26" t="inlineStr">
        <is>
          <t>记-19</t>
        </is>
      </c>
      <c r="H369" s="26" t="n"/>
      <c r="I369" s="99" t="n">
        <v>5</v>
      </c>
      <c r="J369" s="99" t="n">
        <v>5</v>
      </c>
    </row>
    <row r="370" s="83">
      <c r="A370" s="27" t="inlineStr">
        <is>
          <t>101203</t>
        </is>
      </c>
      <c r="B370" s="27" t="n"/>
      <c r="C370" s="27" t="inlineStr">
        <is>
          <t>2025-05-06</t>
        </is>
      </c>
      <c r="D370" s="27" t="inlineStr">
        <is>
          <t>Else01</t>
        </is>
      </c>
      <c r="E370" s="27" t="n"/>
      <c r="F370" s="27" t="inlineStr">
        <is>
          <t>浙江精准学科技有限公司</t>
        </is>
      </c>
      <c r="G370" s="27" t="inlineStr">
        <is>
          <t>记-20</t>
        </is>
      </c>
      <c r="H370" s="27" t="n"/>
      <c r="I370" s="100" t="n"/>
      <c r="J370" s="100" t="n">
        <v>5</v>
      </c>
    </row>
    <row r="371" s="83">
      <c r="A371" s="26" t="inlineStr">
        <is>
          <t>101203</t>
        </is>
      </c>
      <c r="B371" s="26" t="n"/>
      <c r="C371" s="26" t="inlineStr">
        <is>
          <t>2025-05-07</t>
        </is>
      </c>
      <c r="D371" s="26" t="inlineStr">
        <is>
          <t>Else01</t>
        </is>
      </c>
      <c r="E371" s="26" t="n"/>
      <c r="F371" s="26" t="inlineStr">
        <is>
          <t>浙江精准学科技有限公司</t>
        </is>
      </c>
      <c r="G371" s="26" t="inlineStr">
        <is>
          <t>记-25</t>
        </is>
      </c>
      <c r="H371" s="26" t="n"/>
      <c r="I371" s="99" t="n">
        <v>5</v>
      </c>
      <c r="J371" s="99" t="n">
        <v>5</v>
      </c>
    </row>
    <row r="372" s="83">
      <c r="A372" s="27" t="inlineStr">
        <is>
          <t>101203</t>
        </is>
      </c>
      <c r="B372" s="27" t="n"/>
      <c r="C372" s="27" t="inlineStr">
        <is>
          <t>2025-05-07</t>
        </is>
      </c>
      <c r="D372" s="27" t="inlineStr">
        <is>
          <t>Else01</t>
        </is>
      </c>
      <c r="E372" s="27" t="n"/>
      <c r="F372" s="27" t="inlineStr">
        <is>
          <t>浙江精准学科技有限公司</t>
        </is>
      </c>
      <c r="G372" s="27" t="inlineStr">
        <is>
          <t>记-26</t>
        </is>
      </c>
      <c r="H372" s="27" t="n"/>
      <c r="I372" s="100" t="n"/>
      <c r="J372" s="100" t="n">
        <v>5</v>
      </c>
    </row>
    <row r="373" s="83">
      <c r="A373" s="26" t="inlineStr">
        <is>
          <t>101203</t>
        </is>
      </c>
      <c r="B373" s="26" t="n"/>
      <c r="C373" s="26" t="inlineStr">
        <is>
          <t>2025-05-08</t>
        </is>
      </c>
      <c r="D373" s="26" t="inlineStr">
        <is>
          <t>Else01</t>
        </is>
      </c>
      <c r="E373" s="26" t="n"/>
      <c r="F373" s="26" t="inlineStr">
        <is>
          <t>浙江精准学科技有限公司</t>
        </is>
      </c>
      <c r="G373" s="26" t="inlineStr">
        <is>
          <t>记-139</t>
        </is>
      </c>
      <c r="H373" s="26" t="n"/>
      <c r="I373" s="99" t="n">
        <v>5</v>
      </c>
      <c r="J373" s="99" t="n">
        <v>5</v>
      </c>
    </row>
    <row r="374" s="83">
      <c r="A374" s="27" t="inlineStr">
        <is>
          <t>101203</t>
        </is>
      </c>
      <c r="B374" s="27" t="n"/>
      <c r="C374" s="27" t="inlineStr">
        <is>
          <t>2025-05-08</t>
        </is>
      </c>
      <c r="D374" s="27" t="inlineStr">
        <is>
          <t>Else01</t>
        </is>
      </c>
      <c r="E374" s="27" t="n"/>
      <c r="F374" s="27" t="inlineStr">
        <is>
          <t>浙江精准学科技有限公司</t>
        </is>
      </c>
      <c r="G374" s="27" t="inlineStr">
        <is>
          <t>记-139</t>
        </is>
      </c>
      <c r="H374" s="27" t="n"/>
      <c r="I374" s="100" t="n"/>
      <c r="J374" s="100" t="n">
        <v>5</v>
      </c>
    </row>
    <row r="375" s="83">
      <c r="A375" s="26" t="inlineStr">
        <is>
          <t>101203</t>
        </is>
      </c>
      <c r="B375" s="26" t="n"/>
      <c r="C375" s="26" t="inlineStr">
        <is>
          <t>2025-05-09</t>
        </is>
      </c>
      <c r="D375" s="26" t="inlineStr">
        <is>
          <t>Else01</t>
        </is>
      </c>
      <c r="E375" s="26" t="n"/>
      <c r="F375" s="26" t="inlineStr">
        <is>
          <t>浙江精准学科技有限公司</t>
        </is>
      </c>
      <c r="G375" s="26" t="inlineStr">
        <is>
          <t>记-43</t>
        </is>
      </c>
      <c r="H375" s="26" t="n"/>
      <c r="I375" s="99" t="n">
        <v>5</v>
      </c>
      <c r="J375" s="99" t="n">
        <v>5</v>
      </c>
    </row>
    <row r="376" s="83">
      <c r="A376" s="27" t="inlineStr">
        <is>
          <t>101203</t>
        </is>
      </c>
      <c r="B376" s="27" t="n"/>
      <c r="C376" s="27" t="inlineStr">
        <is>
          <t>2025-05-09</t>
        </is>
      </c>
      <c r="D376" s="27" t="inlineStr">
        <is>
          <t>Else01</t>
        </is>
      </c>
      <c r="E376" s="27" t="n"/>
      <c r="F376" s="27" t="inlineStr">
        <is>
          <t>浙江精准学科技有限公司</t>
        </is>
      </c>
      <c r="G376" s="27" t="inlineStr">
        <is>
          <t>记-44</t>
        </is>
      </c>
      <c r="H376" s="27" t="n"/>
      <c r="I376" s="100" t="n"/>
      <c r="J376" s="100" t="n">
        <v>5</v>
      </c>
    </row>
    <row r="377" s="83">
      <c r="A377" s="26" t="inlineStr">
        <is>
          <t>101203</t>
        </is>
      </c>
      <c r="B377" s="26" t="n"/>
      <c r="C377" s="26" t="inlineStr">
        <is>
          <t>2025-05-10</t>
        </is>
      </c>
      <c r="D377" s="26" t="inlineStr">
        <is>
          <t>Else01</t>
        </is>
      </c>
      <c r="E377" s="26" t="n"/>
      <c r="F377" s="26" t="inlineStr">
        <is>
          <t>浙江精准学科技有限公司</t>
        </is>
      </c>
      <c r="G377" s="26" t="inlineStr">
        <is>
          <t>记-45</t>
        </is>
      </c>
      <c r="H377" s="26" t="n"/>
      <c r="I377" s="99" t="n">
        <v>5</v>
      </c>
      <c r="J377" s="99" t="n">
        <v>5</v>
      </c>
    </row>
    <row r="378" s="83">
      <c r="A378" s="27" t="inlineStr">
        <is>
          <t>101203</t>
        </is>
      </c>
      <c r="B378" s="27" t="n"/>
      <c r="C378" s="27" t="inlineStr">
        <is>
          <t>2025-05-10</t>
        </is>
      </c>
      <c r="D378" s="27" t="inlineStr">
        <is>
          <t>Else01</t>
        </is>
      </c>
      <c r="E378" s="27" t="n"/>
      <c r="F378" s="27" t="inlineStr">
        <is>
          <t>浙江精准学科技有限公司</t>
        </is>
      </c>
      <c r="G378" s="27" t="inlineStr">
        <is>
          <t>记-46</t>
        </is>
      </c>
      <c r="H378" s="27" t="n"/>
      <c r="I378" s="100" t="n"/>
      <c r="J378" s="100" t="n">
        <v>5</v>
      </c>
    </row>
    <row r="379" s="83">
      <c r="A379" s="26" t="inlineStr">
        <is>
          <t>101203</t>
        </is>
      </c>
      <c r="B379" s="26" t="n"/>
      <c r="C379" s="26" t="inlineStr">
        <is>
          <t>2025-05-11</t>
        </is>
      </c>
      <c r="D379" s="26" t="inlineStr">
        <is>
          <t>Else01</t>
        </is>
      </c>
      <c r="E379" s="26" t="n"/>
      <c r="F379" s="26" t="inlineStr">
        <is>
          <t>浙江精准学科技有限公司</t>
        </is>
      </c>
      <c r="G379" s="26" t="inlineStr">
        <is>
          <t>记-47</t>
        </is>
      </c>
      <c r="H379" s="26" t="n"/>
      <c r="I379" s="99" t="n">
        <v>5</v>
      </c>
      <c r="J379" s="99" t="n">
        <v>5</v>
      </c>
    </row>
    <row r="380" s="83">
      <c r="A380" s="27" t="inlineStr">
        <is>
          <t>101203</t>
        </is>
      </c>
      <c r="B380" s="27" t="n"/>
      <c r="C380" s="27" t="inlineStr">
        <is>
          <t>2025-05-11</t>
        </is>
      </c>
      <c r="D380" s="27" t="inlineStr">
        <is>
          <t>Else01</t>
        </is>
      </c>
      <c r="E380" s="27" t="n"/>
      <c r="F380" s="27" t="inlineStr">
        <is>
          <t>浙江精准学科技有限公司</t>
        </is>
      </c>
      <c r="G380" s="27" t="inlineStr">
        <is>
          <t>记-48</t>
        </is>
      </c>
      <c r="H380" s="27" t="n"/>
      <c r="I380" s="100" t="n"/>
      <c r="J380" s="100" t="n">
        <v>5</v>
      </c>
    </row>
    <row r="381" s="83">
      <c r="A381" s="26" t="inlineStr">
        <is>
          <t>101203</t>
        </is>
      </c>
      <c r="B381" s="26" t="n"/>
      <c r="C381" s="26" t="inlineStr">
        <is>
          <t>2025-05-12</t>
        </is>
      </c>
      <c r="D381" s="26" t="inlineStr">
        <is>
          <t>Else01</t>
        </is>
      </c>
      <c r="E381" s="26" t="n"/>
      <c r="F381" s="26" t="inlineStr">
        <is>
          <t>浙江精准学科技有限公司</t>
        </is>
      </c>
      <c r="G381" s="26" t="inlineStr">
        <is>
          <t>记-50</t>
        </is>
      </c>
      <c r="H381" s="26" t="n"/>
      <c r="I381" s="99" t="n">
        <v>5</v>
      </c>
      <c r="J381" s="99" t="n">
        <v>5</v>
      </c>
    </row>
    <row r="382" s="83">
      <c r="A382" s="27" t="inlineStr">
        <is>
          <t>101203</t>
        </is>
      </c>
      <c r="B382" s="27" t="n"/>
      <c r="C382" s="27" t="inlineStr">
        <is>
          <t>2025-05-12</t>
        </is>
      </c>
      <c r="D382" s="27" t="inlineStr">
        <is>
          <t>Else01</t>
        </is>
      </c>
      <c r="E382" s="27" t="n"/>
      <c r="F382" s="27" t="inlineStr">
        <is>
          <t>浙江精准学科技有限公司</t>
        </is>
      </c>
      <c r="G382" s="27" t="inlineStr">
        <is>
          <t>记-51</t>
        </is>
      </c>
      <c r="H382" s="27" t="n"/>
      <c r="I382" s="100" t="n"/>
      <c r="J382" s="100" t="n">
        <v>5</v>
      </c>
    </row>
    <row r="383" s="83">
      <c r="A383" s="26" t="inlineStr">
        <is>
          <t>101203</t>
        </is>
      </c>
      <c r="B383" s="26" t="n"/>
      <c r="C383" s="26" t="inlineStr">
        <is>
          <t>2025-05-13</t>
        </is>
      </c>
      <c r="D383" s="26" t="inlineStr">
        <is>
          <t>Else01</t>
        </is>
      </c>
      <c r="E383" s="26" t="n"/>
      <c r="F383" s="26" t="inlineStr">
        <is>
          <t>浙江精准学科技有限公司</t>
        </is>
      </c>
      <c r="G383" s="26" t="inlineStr">
        <is>
          <t>记-65</t>
        </is>
      </c>
      <c r="H383" s="26" t="n"/>
      <c r="I383" s="99" t="n">
        <v>5</v>
      </c>
      <c r="J383" s="99" t="n">
        <v>5</v>
      </c>
    </row>
    <row r="384" s="83">
      <c r="A384" s="27" t="inlineStr">
        <is>
          <t>101203</t>
        </is>
      </c>
      <c r="B384" s="27" t="n"/>
      <c r="C384" s="27" t="inlineStr">
        <is>
          <t>2025-05-13</t>
        </is>
      </c>
      <c r="D384" s="27" t="inlineStr">
        <is>
          <t>Else01</t>
        </is>
      </c>
      <c r="E384" s="27" t="n"/>
      <c r="F384" s="27" t="inlineStr">
        <is>
          <t>浙江精准学科技有限公司</t>
        </is>
      </c>
      <c r="G384" s="27" t="inlineStr">
        <is>
          <t>记-66</t>
        </is>
      </c>
      <c r="H384" s="27" t="n"/>
      <c r="I384" s="100" t="n"/>
      <c r="J384" s="100" t="n">
        <v>5</v>
      </c>
    </row>
    <row r="385" s="83">
      <c r="A385" s="26" t="inlineStr">
        <is>
          <t>101203</t>
        </is>
      </c>
      <c r="B385" s="26" t="n"/>
      <c r="C385" s="26" t="inlineStr">
        <is>
          <t>2025-05-14</t>
        </is>
      </c>
      <c r="D385" s="26" t="inlineStr">
        <is>
          <t>Else01</t>
        </is>
      </c>
      <c r="E385" s="26" t="n"/>
      <c r="F385" s="26" t="inlineStr">
        <is>
          <t>浙江精准学科技有限公司</t>
        </is>
      </c>
      <c r="G385" s="26" t="inlineStr">
        <is>
          <t>记-68</t>
        </is>
      </c>
      <c r="H385" s="26" t="n"/>
      <c r="I385" s="99" t="n">
        <v>5</v>
      </c>
      <c r="J385" s="99" t="n">
        <v>5</v>
      </c>
    </row>
    <row r="386" s="83">
      <c r="A386" s="27" t="inlineStr">
        <is>
          <t>101203</t>
        </is>
      </c>
      <c r="B386" s="27" t="n"/>
      <c r="C386" s="27" t="inlineStr">
        <is>
          <t>2025-05-14</t>
        </is>
      </c>
      <c r="D386" s="27" t="inlineStr">
        <is>
          <t>Else01</t>
        </is>
      </c>
      <c r="E386" s="27" t="n"/>
      <c r="F386" s="27" t="inlineStr">
        <is>
          <t>浙江精准学科技有限公司</t>
        </is>
      </c>
      <c r="G386" s="27" t="inlineStr">
        <is>
          <t>记-69</t>
        </is>
      </c>
      <c r="H386" s="27" t="n"/>
      <c r="I386" s="100" t="n"/>
      <c r="J386" s="100" t="n">
        <v>5</v>
      </c>
    </row>
    <row r="387" s="83">
      <c r="A387" s="26" t="inlineStr">
        <is>
          <t>101203</t>
        </is>
      </c>
      <c r="B387" s="26" t="n"/>
      <c r="C387" s="26" t="inlineStr">
        <is>
          <t>2025-05-15</t>
        </is>
      </c>
      <c r="D387" s="26" t="inlineStr">
        <is>
          <t>Else01</t>
        </is>
      </c>
      <c r="E387" s="26" t="n"/>
      <c r="F387" s="26" t="inlineStr">
        <is>
          <t>浙江精准学科技有限公司</t>
        </is>
      </c>
      <c r="G387" s="26" t="inlineStr">
        <is>
          <t>记-102</t>
        </is>
      </c>
      <c r="H387" s="26" t="n"/>
      <c r="I387" s="99" t="n">
        <v>5</v>
      </c>
      <c r="J387" s="99" t="n">
        <v>5</v>
      </c>
    </row>
    <row r="388" s="83">
      <c r="A388" s="27" t="inlineStr">
        <is>
          <t>101203</t>
        </is>
      </c>
      <c r="B388" s="27" t="n"/>
      <c r="C388" s="27" t="inlineStr">
        <is>
          <t>2025-05-15</t>
        </is>
      </c>
      <c r="D388" s="27" t="inlineStr">
        <is>
          <t>Else01</t>
        </is>
      </c>
      <c r="E388" s="27" t="n"/>
      <c r="F388" s="27" t="inlineStr">
        <is>
          <t>浙江精准学科技有限公司</t>
        </is>
      </c>
      <c r="G388" s="27" t="inlineStr">
        <is>
          <t>记-102</t>
        </is>
      </c>
      <c r="H388" s="27" t="n"/>
      <c r="I388" s="99" t="n">
        <v>5</v>
      </c>
      <c r="J388" s="100" t="n">
        <v>5</v>
      </c>
    </row>
    <row r="389" s="83">
      <c r="A389" s="26" t="inlineStr">
        <is>
          <t>101203</t>
        </is>
      </c>
      <c r="B389" s="26" t="n"/>
      <c r="C389" s="26" t="inlineStr">
        <is>
          <t>2025-05-15</t>
        </is>
      </c>
      <c r="D389" s="26" t="inlineStr">
        <is>
          <t>Else01</t>
        </is>
      </c>
      <c r="E389" s="26" t="n"/>
      <c r="F389" s="26" t="inlineStr">
        <is>
          <t>浙江精准学科技有限公司</t>
        </is>
      </c>
      <c r="G389" s="26" t="inlineStr">
        <is>
          <t>记-103</t>
        </is>
      </c>
      <c r="H389" s="26" t="n"/>
      <c r="I389" s="99" t="n"/>
      <c r="J389" s="99" t="n">
        <v>5</v>
      </c>
    </row>
    <row r="390" s="83">
      <c r="A390" s="27" t="inlineStr">
        <is>
          <t>101203</t>
        </is>
      </c>
      <c r="B390" s="27" t="n"/>
      <c r="C390" s="27" t="inlineStr">
        <is>
          <t>2025-05-15</t>
        </is>
      </c>
      <c r="D390" s="27" t="inlineStr">
        <is>
          <t>Else01</t>
        </is>
      </c>
      <c r="E390" s="27" t="n"/>
      <c r="F390" s="27" t="inlineStr">
        <is>
          <t>浙江精准学科技有限公司</t>
        </is>
      </c>
      <c r="G390" s="27" t="inlineStr">
        <is>
          <t>记-103</t>
        </is>
      </c>
      <c r="H390" s="27" t="n"/>
      <c r="I390" s="100" t="n"/>
      <c r="J390" s="100" t="n">
        <v>5</v>
      </c>
    </row>
    <row r="391" s="83">
      <c r="A391" s="26" t="inlineStr">
        <is>
          <t>101203</t>
        </is>
      </c>
      <c r="B391" s="26" t="n"/>
      <c r="C391" s="26" t="inlineStr">
        <is>
          <t>2025-05-16</t>
        </is>
      </c>
      <c r="D391" s="26" t="inlineStr">
        <is>
          <t>Else01</t>
        </is>
      </c>
      <c r="E391" s="26" t="n"/>
      <c r="F391" s="26" t="inlineStr">
        <is>
          <t>浙江精准学科技有限公司</t>
        </is>
      </c>
      <c r="G391" s="26" t="inlineStr">
        <is>
          <t>记-115</t>
        </is>
      </c>
      <c r="H391" s="26" t="n"/>
      <c r="I391" s="99" t="n">
        <v>5</v>
      </c>
      <c r="J391" s="99" t="n">
        <v>5</v>
      </c>
    </row>
    <row r="392" s="83">
      <c r="A392" s="27" t="inlineStr">
        <is>
          <t>101203</t>
        </is>
      </c>
      <c r="B392" s="27" t="n"/>
      <c r="C392" s="27" t="inlineStr">
        <is>
          <t>2025-05-16</t>
        </is>
      </c>
      <c r="D392" s="27" t="inlineStr">
        <is>
          <t>Else01</t>
        </is>
      </c>
      <c r="E392" s="27" t="n"/>
      <c r="F392" s="27" t="inlineStr">
        <is>
          <t>浙江精准学科技有限公司</t>
        </is>
      </c>
      <c r="G392" s="27" t="inlineStr">
        <is>
          <t>记-115</t>
        </is>
      </c>
      <c r="H392" s="27" t="n"/>
      <c r="I392" s="99" t="n">
        <v>5</v>
      </c>
      <c r="J392" s="100" t="n">
        <v>5</v>
      </c>
    </row>
    <row r="393" s="83">
      <c r="A393" s="26" t="inlineStr">
        <is>
          <t>101203</t>
        </is>
      </c>
      <c r="B393" s="26" t="n"/>
      <c r="C393" s="26" t="inlineStr">
        <is>
          <t>2025-05-16</t>
        </is>
      </c>
      <c r="D393" s="26" t="inlineStr">
        <is>
          <t>Else01</t>
        </is>
      </c>
      <c r="E393" s="26" t="n"/>
      <c r="F393" s="26" t="inlineStr">
        <is>
          <t>浙江精准学科技有限公司</t>
        </is>
      </c>
      <c r="G393" s="26" t="inlineStr">
        <is>
          <t>记-116</t>
        </is>
      </c>
      <c r="H393" s="26" t="n"/>
      <c r="I393" s="99" t="n"/>
      <c r="J393" s="99" t="n">
        <v>5</v>
      </c>
    </row>
    <row r="394" s="83">
      <c r="A394" s="27" t="inlineStr">
        <is>
          <t>101203</t>
        </is>
      </c>
      <c r="B394" s="27" t="n"/>
      <c r="C394" s="27" t="inlineStr">
        <is>
          <t>2025-05-16</t>
        </is>
      </c>
      <c r="D394" s="27" t="inlineStr">
        <is>
          <t>Else01</t>
        </is>
      </c>
      <c r="E394" s="27" t="n"/>
      <c r="F394" s="27" t="inlineStr">
        <is>
          <t>浙江精准学科技有限公司</t>
        </is>
      </c>
      <c r="G394" s="27" t="inlineStr">
        <is>
          <t>记-116</t>
        </is>
      </c>
      <c r="H394" s="27" t="n"/>
      <c r="I394" s="100" t="n"/>
      <c r="J394" s="100" t="n">
        <v>5</v>
      </c>
    </row>
    <row r="395" s="83">
      <c r="A395" s="26" t="inlineStr">
        <is>
          <t>101203</t>
        </is>
      </c>
      <c r="B395" s="26" t="n"/>
      <c r="C395" s="26" t="inlineStr">
        <is>
          <t>2025-05-17</t>
        </is>
      </c>
      <c r="D395" s="26" t="inlineStr">
        <is>
          <t>Else01</t>
        </is>
      </c>
      <c r="E395" s="26" t="n"/>
      <c r="F395" s="26" t="inlineStr">
        <is>
          <t>浙江精准学科技有限公司</t>
        </is>
      </c>
      <c r="G395" s="26" t="inlineStr">
        <is>
          <t>记-117</t>
        </is>
      </c>
      <c r="H395" s="26" t="n"/>
      <c r="I395" s="99" t="n">
        <v>5</v>
      </c>
      <c r="J395" s="99" t="n">
        <v>5</v>
      </c>
    </row>
    <row r="396" s="83">
      <c r="A396" s="27" t="inlineStr">
        <is>
          <t>101203</t>
        </is>
      </c>
      <c r="B396" s="27" t="n"/>
      <c r="C396" s="27" t="inlineStr">
        <is>
          <t>2025-05-17</t>
        </is>
      </c>
      <c r="D396" s="27" t="inlineStr">
        <is>
          <t>Else01</t>
        </is>
      </c>
      <c r="E396" s="27" t="n"/>
      <c r="F396" s="27" t="inlineStr">
        <is>
          <t>浙江精准学科技有限公司</t>
        </is>
      </c>
      <c r="G396" s="27" t="inlineStr">
        <is>
          <t>记-117</t>
        </is>
      </c>
      <c r="H396" s="27" t="n"/>
      <c r="I396" s="99" t="n">
        <v>5</v>
      </c>
      <c r="J396" s="100" t="n">
        <v>5</v>
      </c>
    </row>
    <row r="397" s="83">
      <c r="A397" s="26" t="inlineStr">
        <is>
          <t>101203</t>
        </is>
      </c>
      <c r="B397" s="26" t="n"/>
      <c r="C397" s="26" t="inlineStr">
        <is>
          <t>2025-05-17</t>
        </is>
      </c>
      <c r="D397" s="26" t="inlineStr">
        <is>
          <t>Else01</t>
        </is>
      </c>
      <c r="E397" s="26" t="n"/>
      <c r="F397" s="26" t="inlineStr">
        <is>
          <t>浙江精准学科技有限公司</t>
        </is>
      </c>
      <c r="G397" s="26" t="inlineStr">
        <is>
          <t>记-118</t>
        </is>
      </c>
      <c r="H397" s="26" t="n"/>
      <c r="I397" s="99" t="n"/>
      <c r="J397" s="99" t="n">
        <v>5</v>
      </c>
    </row>
    <row r="398" s="83">
      <c r="A398" s="27" t="inlineStr">
        <is>
          <t>101203</t>
        </is>
      </c>
      <c r="B398" s="27" t="n"/>
      <c r="C398" s="27" t="inlineStr">
        <is>
          <t>2025-05-18</t>
        </is>
      </c>
      <c r="D398" s="27" t="inlineStr">
        <is>
          <t>Else01</t>
        </is>
      </c>
      <c r="E398" s="27" t="n"/>
      <c r="F398" s="27" t="inlineStr">
        <is>
          <t>浙江精准学科技有限公司</t>
        </is>
      </c>
      <c r="G398" s="27" t="inlineStr">
        <is>
          <t>记-120</t>
        </is>
      </c>
      <c r="H398" s="27" t="n"/>
      <c r="I398" s="99" t="n">
        <v>5</v>
      </c>
      <c r="J398" s="100" t="n">
        <v>5</v>
      </c>
    </row>
    <row r="399" s="83">
      <c r="A399" s="26" t="inlineStr">
        <is>
          <t>101203</t>
        </is>
      </c>
      <c r="B399" s="26" t="n"/>
      <c r="C399" s="26" t="inlineStr">
        <is>
          <t>2025-05-18</t>
        </is>
      </c>
      <c r="D399" s="26" t="inlineStr">
        <is>
          <t>Else01</t>
        </is>
      </c>
      <c r="E399" s="26" t="n"/>
      <c r="F399" s="26" t="inlineStr">
        <is>
          <t>浙江精准学科技有限公司</t>
        </is>
      </c>
      <c r="G399" s="26" t="inlineStr">
        <is>
          <t>记-120</t>
        </is>
      </c>
      <c r="H399" s="26" t="n"/>
      <c r="I399" s="99" t="n">
        <v>5</v>
      </c>
      <c r="J399" s="99" t="n">
        <v>5</v>
      </c>
    </row>
    <row r="400" s="83">
      <c r="A400" s="27" t="inlineStr">
        <is>
          <t>101203</t>
        </is>
      </c>
      <c r="B400" s="27" t="n"/>
      <c r="C400" s="27" t="inlineStr">
        <is>
          <t>2025-05-18</t>
        </is>
      </c>
      <c r="D400" s="27" t="inlineStr">
        <is>
          <t>Else01</t>
        </is>
      </c>
      <c r="E400" s="27" t="n"/>
      <c r="F400" s="27" t="inlineStr">
        <is>
          <t>浙江精准学科技有限公司</t>
        </is>
      </c>
      <c r="G400" s="27" t="inlineStr">
        <is>
          <t>记-121</t>
        </is>
      </c>
      <c r="H400" s="27" t="n"/>
      <c r="I400" s="100" t="n"/>
      <c r="J400" s="100" t="n">
        <v>5</v>
      </c>
    </row>
    <row r="401" s="83">
      <c r="A401" s="26" t="inlineStr">
        <is>
          <t>101203</t>
        </is>
      </c>
      <c r="B401" s="26" t="n"/>
      <c r="C401" s="26" t="inlineStr">
        <is>
          <t>2025-05-18</t>
        </is>
      </c>
      <c r="D401" s="26" t="inlineStr">
        <is>
          <t>Else01</t>
        </is>
      </c>
      <c r="E401" s="26" t="n"/>
      <c r="F401" s="26" t="inlineStr">
        <is>
          <t>浙江精准学科技有限公司</t>
        </is>
      </c>
      <c r="G401" s="26" t="inlineStr">
        <is>
          <t>记-121</t>
        </is>
      </c>
      <c r="H401" s="26" t="n"/>
      <c r="I401" s="99" t="n"/>
      <c r="J401" s="99" t="n">
        <v>5</v>
      </c>
    </row>
    <row r="402" s="83">
      <c r="A402" s="27" t="inlineStr">
        <is>
          <t>101203</t>
        </is>
      </c>
      <c r="B402" s="27" t="n"/>
      <c r="C402" s="27" t="inlineStr">
        <is>
          <t>2025-05-19</t>
        </is>
      </c>
      <c r="D402" s="27" t="inlineStr">
        <is>
          <t>Else01</t>
        </is>
      </c>
      <c r="E402" s="27" t="n"/>
      <c r="F402" s="27" t="inlineStr">
        <is>
          <t>浙江精准学科技有限公司</t>
        </is>
      </c>
      <c r="G402" s="27" t="inlineStr">
        <is>
          <t>记-131</t>
        </is>
      </c>
      <c r="H402" s="27" t="n"/>
      <c r="I402" s="99" t="n">
        <v>5</v>
      </c>
      <c r="J402" s="100" t="n">
        <v>5</v>
      </c>
    </row>
    <row r="403" s="83">
      <c r="A403" s="26" t="inlineStr">
        <is>
          <t>101203</t>
        </is>
      </c>
      <c r="B403" s="26" t="n"/>
      <c r="C403" s="26" t="inlineStr">
        <is>
          <t>2025-05-19</t>
        </is>
      </c>
      <c r="D403" s="26" t="inlineStr">
        <is>
          <t>Else01</t>
        </is>
      </c>
      <c r="E403" s="26" t="n"/>
      <c r="F403" s="26" t="inlineStr">
        <is>
          <t>浙江精准学科技有限公司</t>
        </is>
      </c>
      <c r="G403" s="26" t="inlineStr">
        <is>
          <t>记-131</t>
        </is>
      </c>
      <c r="H403" s="26" t="n"/>
      <c r="I403" s="99" t="n">
        <v>5</v>
      </c>
      <c r="J403" s="99" t="n">
        <v>5</v>
      </c>
    </row>
    <row r="404" s="83">
      <c r="A404" s="27" t="inlineStr">
        <is>
          <t>101203</t>
        </is>
      </c>
      <c r="B404" s="27" t="n"/>
      <c r="C404" s="27" t="inlineStr">
        <is>
          <t>2025-05-19</t>
        </is>
      </c>
      <c r="D404" s="27" t="inlineStr">
        <is>
          <t>Else01</t>
        </is>
      </c>
      <c r="E404" s="27" t="n"/>
      <c r="F404" s="27" t="inlineStr">
        <is>
          <t>浙江精准学科技有限公司</t>
        </is>
      </c>
      <c r="G404" s="27" t="inlineStr">
        <is>
          <t>记-132</t>
        </is>
      </c>
      <c r="H404" s="27" t="n"/>
      <c r="I404" s="100" t="n"/>
      <c r="J404" s="100" t="n">
        <v>5</v>
      </c>
    </row>
    <row r="405" s="83">
      <c r="A405" s="26" t="inlineStr">
        <is>
          <t>101203</t>
        </is>
      </c>
      <c r="B405" s="26" t="n"/>
      <c r="C405" s="26" t="inlineStr">
        <is>
          <t>2025-05-19</t>
        </is>
      </c>
      <c r="D405" s="26" t="inlineStr">
        <is>
          <t>Else01</t>
        </is>
      </c>
      <c r="E405" s="26" t="n"/>
      <c r="F405" s="26" t="inlineStr">
        <is>
          <t>浙江精准学科技有限公司</t>
        </is>
      </c>
      <c r="G405" s="26" t="inlineStr">
        <is>
          <t>记-132</t>
        </is>
      </c>
      <c r="H405" s="26" t="n"/>
      <c r="I405" s="99" t="n"/>
      <c r="J405" s="99" t="n">
        <v>5</v>
      </c>
    </row>
    <row r="406" s="83">
      <c r="A406" s="27" t="inlineStr">
        <is>
          <t>101203</t>
        </is>
      </c>
      <c r="B406" s="27" t="n"/>
      <c r="C406" s="27" t="inlineStr">
        <is>
          <t>2025-05-20</t>
        </is>
      </c>
      <c r="D406" s="27" t="inlineStr">
        <is>
          <t>Else01</t>
        </is>
      </c>
      <c r="E406" s="27" t="n"/>
      <c r="F406" s="27" t="inlineStr">
        <is>
          <t>浙江精准学科技有限公司</t>
        </is>
      </c>
      <c r="G406" s="27" t="inlineStr">
        <is>
          <t>记-145</t>
        </is>
      </c>
      <c r="H406" s="27" t="n"/>
      <c r="I406" s="99" t="n">
        <v>5</v>
      </c>
      <c r="J406" s="100" t="n">
        <v>5</v>
      </c>
    </row>
    <row r="407" s="83">
      <c r="A407" s="26" t="inlineStr">
        <is>
          <t>101203</t>
        </is>
      </c>
      <c r="B407" s="26" t="n"/>
      <c r="C407" s="26" t="inlineStr">
        <is>
          <t>2025-05-20</t>
        </is>
      </c>
      <c r="D407" s="26" t="inlineStr">
        <is>
          <t>Else01</t>
        </is>
      </c>
      <c r="E407" s="26" t="n"/>
      <c r="F407" s="26" t="inlineStr">
        <is>
          <t>浙江精准学科技有限公司</t>
        </is>
      </c>
      <c r="G407" s="26" t="inlineStr">
        <is>
          <t>记-145</t>
        </is>
      </c>
      <c r="H407" s="26" t="n"/>
      <c r="I407" s="99" t="n">
        <v>5</v>
      </c>
      <c r="J407" s="99" t="n">
        <v>5</v>
      </c>
    </row>
    <row r="408" s="83">
      <c r="A408" s="27" t="inlineStr">
        <is>
          <t>101203</t>
        </is>
      </c>
      <c r="B408" s="27" t="n"/>
      <c r="C408" s="27" t="inlineStr">
        <is>
          <t>2025-05-20</t>
        </is>
      </c>
      <c r="D408" s="27" t="inlineStr">
        <is>
          <t>Else01</t>
        </is>
      </c>
      <c r="E408" s="27" t="n"/>
      <c r="F408" s="27" t="inlineStr">
        <is>
          <t>浙江精准学科技有限公司</t>
        </is>
      </c>
      <c r="G408" s="27" t="inlineStr">
        <is>
          <t>记-146</t>
        </is>
      </c>
      <c r="H408" s="27" t="n"/>
      <c r="I408" s="100" t="n"/>
      <c r="J408" s="100" t="n">
        <v>5</v>
      </c>
    </row>
    <row r="409" s="83">
      <c r="A409" s="26" t="inlineStr">
        <is>
          <t>101203</t>
        </is>
      </c>
      <c r="B409" s="26" t="n"/>
      <c r="C409" s="26" t="inlineStr">
        <is>
          <t>2025-05-20</t>
        </is>
      </c>
      <c r="D409" s="26" t="inlineStr">
        <is>
          <t>Else01</t>
        </is>
      </c>
      <c r="E409" s="26" t="n"/>
      <c r="F409" s="26" t="inlineStr">
        <is>
          <t>浙江精准学科技有限公司</t>
        </is>
      </c>
      <c r="G409" s="26" t="inlineStr">
        <is>
          <t>记-146</t>
        </is>
      </c>
      <c r="H409" s="26" t="n"/>
      <c r="I409" s="99" t="n"/>
      <c r="J409" s="99" t="n">
        <v>5</v>
      </c>
    </row>
    <row r="410" s="83">
      <c r="A410" s="27" t="inlineStr">
        <is>
          <t>101203</t>
        </is>
      </c>
      <c r="B410" s="27" t="n"/>
      <c r="C410" s="27" t="inlineStr">
        <is>
          <t>2025-05-21</t>
        </is>
      </c>
      <c r="D410" s="27" t="inlineStr">
        <is>
          <t>Else01</t>
        </is>
      </c>
      <c r="E410" s="27" t="n"/>
      <c r="F410" s="27" t="inlineStr">
        <is>
          <t>浙江精准学科技有限公司</t>
        </is>
      </c>
      <c r="G410" s="27" t="inlineStr">
        <is>
          <t>记-156</t>
        </is>
      </c>
      <c r="H410" s="27" t="n"/>
      <c r="I410" s="99" t="n">
        <v>5</v>
      </c>
      <c r="J410" s="100" t="n">
        <v>5</v>
      </c>
    </row>
    <row r="411" s="83">
      <c r="A411" s="26" t="inlineStr">
        <is>
          <t>101203</t>
        </is>
      </c>
      <c r="B411" s="26" t="n"/>
      <c r="C411" s="26" t="inlineStr">
        <is>
          <t>2025-05-21</t>
        </is>
      </c>
      <c r="D411" s="26" t="inlineStr">
        <is>
          <t>Else01</t>
        </is>
      </c>
      <c r="E411" s="26" t="n"/>
      <c r="F411" s="26" t="inlineStr">
        <is>
          <t>浙江精准学科技有限公司</t>
        </is>
      </c>
      <c r="G411" s="26" t="inlineStr">
        <is>
          <t>记-156</t>
        </is>
      </c>
      <c r="H411" s="26" t="n"/>
      <c r="I411" s="99" t="n">
        <v>5</v>
      </c>
      <c r="J411" s="99" t="n">
        <v>5</v>
      </c>
    </row>
    <row r="412" s="83">
      <c r="A412" s="27" t="inlineStr">
        <is>
          <t>101203</t>
        </is>
      </c>
      <c r="B412" s="27" t="n"/>
      <c r="C412" s="27" t="inlineStr">
        <is>
          <t>2025-05-21</t>
        </is>
      </c>
      <c r="D412" s="27" t="inlineStr">
        <is>
          <t>Else01</t>
        </is>
      </c>
      <c r="E412" s="27" t="n"/>
      <c r="F412" s="27" t="inlineStr">
        <is>
          <t>浙江精准学科技有限公司</t>
        </is>
      </c>
      <c r="G412" s="27" t="inlineStr">
        <is>
          <t>记-157</t>
        </is>
      </c>
      <c r="H412" s="27" t="n"/>
      <c r="I412" s="100" t="n"/>
      <c r="J412" s="100" t="n">
        <v>5</v>
      </c>
    </row>
    <row r="413" s="83">
      <c r="A413" s="26" t="inlineStr">
        <is>
          <t>101203</t>
        </is>
      </c>
      <c r="B413" s="26" t="n"/>
      <c r="C413" s="26" t="inlineStr">
        <is>
          <t>2025-05-21</t>
        </is>
      </c>
      <c r="D413" s="26" t="inlineStr">
        <is>
          <t>Else01</t>
        </is>
      </c>
      <c r="E413" s="26" t="n"/>
      <c r="F413" s="26" t="inlineStr">
        <is>
          <t>浙江精准学科技有限公司</t>
        </is>
      </c>
      <c r="G413" s="26" t="inlineStr">
        <is>
          <t>记-157</t>
        </is>
      </c>
      <c r="H413" s="26" t="n"/>
      <c r="I413" s="99" t="n"/>
      <c r="J413" s="99" t="n">
        <v>5</v>
      </c>
    </row>
    <row r="414" s="83">
      <c r="A414" s="27" t="inlineStr">
        <is>
          <t>101203</t>
        </is>
      </c>
      <c r="B414" s="27" t="n"/>
      <c r="C414" s="27" t="inlineStr">
        <is>
          <t>2025-05-22</t>
        </is>
      </c>
      <c r="D414" s="27" t="inlineStr">
        <is>
          <t>Else01</t>
        </is>
      </c>
      <c r="E414" s="27" t="n"/>
      <c r="F414" s="27" t="inlineStr">
        <is>
          <t>浙江精准学科技有限公司</t>
        </is>
      </c>
      <c r="G414" s="27" t="inlineStr">
        <is>
          <t>记-164</t>
        </is>
      </c>
      <c r="H414" s="27" t="n"/>
      <c r="I414" s="100" t="n"/>
      <c r="J414" s="100" t="n">
        <v>5</v>
      </c>
    </row>
    <row r="415" s="83">
      <c r="A415" s="26" t="inlineStr">
        <is>
          <t>101203</t>
        </is>
      </c>
      <c r="B415" s="26" t="n"/>
      <c r="C415" s="26" t="inlineStr">
        <is>
          <t>2025-05-22</t>
        </is>
      </c>
      <c r="D415" s="26" t="inlineStr">
        <is>
          <t>Else01</t>
        </is>
      </c>
      <c r="E415" s="26" t="n"/>
      <c r="F415" s="26" t="inlineStr">
        <is>
          <t>浙江精准学科技有限公司</t>
        </is>
      </c>
      <c r="G415" s="26" t="inlineStr">
        <is>
          <t>记-164</t>
        </is>
      </c>
      <c r="H415" s="26" t="n"/>
      <c r="I415" s="99" t="n"/>
      <c r="J415" s="99" t="n">
        <v>5</v>
      </c>
    </row>
    <row r="416" s="83">
      <c r="A416" s="27" t="inlineStr">
        <is>
          <t>101203</t>
        </is>
      </c>
      <c r="B416" s="27" t="n"/>
      <c r="C416" s="27" t="inlineStr">
        <is>
          <t>2025-05-22</t>
        </is>
      </c>
      <c r="D416" s="27" t="inlineStr">
        <is>
          <t>Else01</t>
        </is>
      </c>
      <c r="E416" s="27" t="n"/>
      <c r="F416" s="27" t="inlineStr">
        <is>
          <t>浙江精准学科技有限公司</t>
        </is>
      </c>
      <c r="G416" s="27" t="inlineStr">
        <is>
          <t>记-165</t>
        </is>
      </c>
      <c r="H416" s="27" t="n"/>
      <c r="I416" s="99" t="n">
        <v>5</v>
      </c>
      <c r="J416" s="100" t="n">
        <v>5</v>
      </c>
    </row>
    <row r="417" s="83">
      <c r="A417" s="26" t="inlineStr">
        <is>
          <t>101203</t>
        </is>
      </c>
      <c r="B417" s="26" t="n"/>
      <c r="C417" s="26" t="inlineStr">
        <is>
          <t>2025-05-23</t>
        </is>
      </c>
      <c r="D417" s="26" t="inlineStr">
        <is>
          <t>Else01</t>
        </is>
      </c>
      <c r="E417" s="26" t="n"/>
      <c r="F417" s="26" t="inlineStr">
        <is>
          <t>浙江精准学科技有限公司</t>
        </is>
      </c>
      <c r="G417" s="26" t="inlineStr">
        <is>
          <t>记-174</t>
        </is>
      </c>
      <c r="H417" s="26" t="n"/>
      <c r="I417" s="99" t="n">
        <v>5</v>
      </c>
      <c r="J417" s="99" t="n">
        <v>5</v>
      </c>
    </row>
    <row r="418" s="83">
      <c r="A418" s="27" t="inlineStr">
        <is>
          <t>101203</t>
        </is>
      </c>
      <c r="B418" s="27" t="n"/>
      <c r="C418" s="27" t="inlineStr">
        <is>
          <t>2025-05-23</t>
        </is>
      </c>
      <c r="D418" s="27" t="inlineStr">
        <is>
          <t>Else01</t>
        </is>
      </c>
      <c r="E418" s="27" t="n"/>
      <c r="F418" s="27" t="inlineStr">
        <is>
          <t>浙江精准学科技有限公司</t>
        </is>
      </c>
      <c r="G418" s="27" t="inlineStr">
        <is>
          <t>记-174</t>
        </is>
      </c>
      <c r="H418" s="27" t="n"/>
      <c r="I418" s="99" t="n">
        <v>5</v>
      </c>
      <c r="J418" s="100" t="n">
        <v>5</v>
      </c>
    </row>
    <row r="419" s="83">
      <c r="A419" s="26" t="inlineStr">
        <is>
          <t>101203</t>
        </is>
      </c>
      <c r="B419" s="26" t="n"/>
      <c r="C419" s="26" t="inlineStr">
        <is>
          <t>2025-05-23</t>
        </is>
      </c>
      <c r="D419" s="26" t="inlineStr">
        <is>
          <t>Else01</t>
        </is>
      </c>
      <c r="E419" s="26" t="n"/>
      <c r="F419" s="26" t="inlineStr">
        <is>
          <t>浙江精准学科技有限公司</t>
        </is>
      </c>
      <c r="G419" s="26" t="inlineStr">
        <is>
          <t>记-175</t>
        </is>
      </c>
      <c r="H419" s="26" t="n"/>
      <c r="I419" s="99" t="n"/>
      <c r="J419" s="99" t="n">
        <v>5</v>
      </c>
    </row>
    <row r="420" s="83">
      <c r="A420" s="27" t="inlineStr">
        <is>
          <t>101203</t>
        </is>
      </c>
      <c r="B420" s="27" t="n"/>
      <c r="C420" s="27" t="inlineStr">
        <is>
          <t>2025-05-23</t>
        </is>
      </c>
      <c r="D420" s="27" t="inlineStr">
        <is>
          <t>Else01</t>
        </is>
      </c>
      <c r="E420" s="27" t="n"/>
      <c r="F420" s="27" t="inlineStr">
        <is>
          <t>浙江精准学科技有限公司</t>
        </is>
      </c>
      <c r="G420" s="27" t="inlineStr">
        <is>
          <t>记-175</t>
        </is>
      </c>
      <c r="H420" s="27" t="n"/>
      <c r="I420" s="100" t="n"/>
      <c r="J420" s="100" t="n">
        <v>5</v>
      </c>
    </row>
    <row r="421" s="83">
      <c r="A421" s="26" t="inlineStr">
        <is>
          <t>101203</t>
        </is>
      </c>
      <c r="B421" s="26" t="n"/>
      <c r="C421" s="26" t="inlineStr">
        <is>
          <t>2025-05-24</t>
        </is>
      </c>
      <c r="D421" s="26" t="inlineStr">
        <is>
          <t>Else01</t>
        </is>
      </c>
      <c r="E421" s="26" t="n"/>
      <c r="F421" s="26" t="inlineStr">
        <is>
          <t>浙江精准学科技有限公司</t>
        </is>
      </c>
      <c r="G421" s="26" t="inlineStr">
        <is>
          <t>记-176</t>
        </is>
      </c>
      <c r="H421" s="26" t="n"/>
      <c r="I421" s="99" t="n">
        <v>5</v>
      </c>
      <c r="J421" s="99" t="n">
        <v>5</v>
      </c>
    </row>
    <row r="422" s="83">
      <c r="A422" s="27" t="inlineStr">
        <is>
          <t>101203</t>
        </is>
      </c>
      <c r="B422" s="27" t="n"/>
      <c r="C422" s="27" t="inlineStr">
        <is>
          <t>2025-05-24</t>
        </is>
      </c>
      <c r="D422" s="27" t="inlineStr">
        <is>
          <t>Else01</t>
        </is>
      </c>
      <c r="E422" s="27" t="n"/>
      <c r="F422" s="27" t="inlineStr">
        <is>
          <t>浙江精准学科技有限公司</t>
        </is>
      </c>
      <c r="G422" s="27" t="inlineStr">
        <is>
          <t>记-177</t>
        </is>
      </c>
      <c r="H422" s="27" t="n"/>
      <c r="I422" s="100" t="n"/>
      <c r="J422" s="100" t="n">
        <v>5</v>
      </c>
    </row>
    <row r="423" s="83">
      <c r="A423" s="26" t="inlineStr">
        <is>
          <t>101203</t>
        </is>
      </c>
      <c r="B423" s="26" t="n"/>
      <c r="C423" s="26" t="inlineStr">
        <is>
          <t>2025-05-24</t>
        </is>
      </c>
      <c r="D423" s="26" t="inlineStr">
        <is>
          <t>Else01</t>
        </is>
      </c>
      <c r="E423" s="26" t="n"/>
      <c r="F423" s="26" t="inlineStr">
        <is>
          <t>浙江精准学科技有限公司</t>
        </is>
      </c>
      <c r="G423" s="26" t="inlineStr">
        <is>
          <t>记-177</t>
        </is>
      </c>
      <c r="H423" s="26" t="n"/>
      <c r="I423" s="99" t="n"/>
      <c r="J423" s="99" t="n">
        <v>5</v>
      </c>
    </row>
    <row r="424" s="83">
      <c r="A424" s="27" t="inlineStr">
        <is>
          <t>101203</t>
        </is>
      </c>
      <c r="B424" s="27" t="n"/>
      <c r="C424" s="27" t="inlineStr">
        <is>
          <t>2025-05-25</t>
        </is>
      </c>
      <c r="D424" s="27" t="inlineStr">
        <is>
          <t>Else01</t>
        </is>
      </c>
      <c r="E424" s="27" t="n"/>
      <c r="F424" s="27" t="inlineStr">
        <is>
          <t>浙江精准学科技有限公司</t>
        </is>
      </c>
      <c r="G424" s="27" t="inlineStr">
        <is>
          <t>记-178</t>
        </is>
      </c>
      <c r="H424" s="27" t="n"/>
      <c r="I424" s="99" t="n">
        <v>5</v>
      </c>
      <c r="J424" s="100" t="n">
        <v>5</v>
      </c>
    </row>
    <row r="425" s="83">
      <c r="A425" s="26" t="inlineStr">
        <is>
          <t>101203</t>
        </is>
      </c>
      <c r="B425" s="26" t="n"/>
      <c r="C425" s="26" t="inlineStr">
        <is>
          <t>2025-05-25</t>
        </is>
      </c>
      <c r="D425" s="26" t="inlineStr">
        <is>
          <t>Else01</t>
        </is>
      </c>
      <c r="E425" s="26" t="n"/>
      <c r="F425" s="26" t="inlineStr">
        <is>
          <t>浙江精准学科技有限公司</t>
        </is>
      </c>
      <c r="G425" s="26" t="inlineStr">
        <is>
          <t>记-178</t>
        </is>
      </c>
      <c r="H425" s="26" t="n"/>
      <c r="I425" s="99" t="n">
        <v>5</v>
      </c>
      <c r="J425" s="99" t="n">
        <v>5</v>
      </c>
    </row>
    <row r="426" s="83">
      <c r="A426" s="27" t="inlineStr">
        <is>
          <t>101203</t>
        </is>
      </c>
      <c r="B426" s="27" t="n"/>
      <c r="C426" s="27" t="inlineStr">
        <is>
          <t>2025-05-25</t>
        </is>
      </c>
      <c r="D426" s="27" t="inlineStr">
        <is>
          <t>Else01</t>
        </is>
      </c>
      <c r="E426" s="27" t="n"/>
      <c r="F426" s="27" t="inlineStr">
        <is>
          <t>浙江精准学科技有限公司</t>
        </is>
      </c>
      <c r="G426" s="27" t="inlineStr">
        <is>
          <t>记-179</t>
        </is>
      </c>
      <c r="H426" s="27" t="n"/>
      <c r="I426" s="100" t="n"/>
      <c r="J426" s="100" t="n">
        <v>5</v>
      </c>
    </row>
    <row r="427" s="83">
      <c r="A427" s="26" t="inlineStr">
        <is>
          <t>101203</t>
        </is>
      </c>
      <c r="B427" s="26" t="n"/>
      <c r="C427" s="26" t="inlineStr">
        <is>
          <t>2025-05-25</t>
        </is>
      </c>
      <c r="D427" s="26" t="inlineStr">
        <is>
          <t>Else01</t>
        </is>
      </c>
      <c r="E427" s="26" t="n"/>
      <c r="F427" s="26" t="inlineStr">
        <is>
          <t>浙江精准学科技有限公司</t>
        </is>
      </c>
      <c r="G427" s="26" t="inlineStr">
        <is>
          <t>记-179</t>
        </is>
      </c>
      <c r="H427" s="26" t="n"/>
      <c r="I427" s="99" t="n"/>
      <c r="J427" s="99" t="n">
        <v>5</v>
      </c>
    </row>
    <row r="428" s="83">
      <c r="A428" s="27" t="inlineStr">
        <is>
          <t>101203</t>
        </is>
      </c>
      <c r="B428" s="27" t="n"/>
      <c r="C428" s="27" t="inlineStr">
        <is>
          <t>2025-05-26</t>
        </is>
      </c>
      <c r="D428" s="27" t="inlineStr">
        <is>
          <t>Else01</t>
        </is>
      </c>
      <c r="E428" s="27" t="n"/>
      <c r="F428" s="27" t="inlineStr">
        <is>
          <t>浙江精准学科技有限公司</t>
        </is>
      </c>
      <c r="G428" s="27" t="inlineStr">
        <is>
          <t>记-193</t>
        </is>
      </c>
      <c r="H428" s="27" t="n"/>
      <c r="I428" s="99" t="n">
        <v>5</v>
      </c>
      <c r="J428" s="100" t="n">
        <v>5</v>
      </c>
    </row>
    <row r="429" s="83">
      <c r="A429" s="26" t="inlineStr">
        <is>
          <t>101203</t>
        </is>
      </c>
      <c r="B429" s="26" t="n"/>
      <c r="C429" s="26" t="inlineStr">
        <is>
          <t>2025-05-26</t>
        </is>
      </c>
      <c r="D429" s="26" t="inlineStr">
        <is>
          <t>Else01</t>
        </is>
      </c>
      <c r="E429" s="26" t="n"/>
      <c r="F429" s="26" t="inlineStr">
        <is>
          <t>浙江精准学科技有限公司</t>
        </is>
      </c>
      <c r="G429" s="26" t="inlineStr">
        <is>
          <t>记-194</t>
        </is>
      </c>
      <c r="H429" s="26" t="n"/>
      <c r="I429" s="99" t="n"/>
      <c r="J429" s="99" t="n">
        <v>5</v>
      </c>
    </row>
    <row r="430" s="83">
      <c r="A430" s="27" t="inlineStr">
        <is>
          <t>101203</t>
        </is>
      </c>
      <c r="B430" s="27" t="n"/>
      <c r="C430" s="27" t="inlineStr">
        <is>
          <t>2025-05-26</t>
        </is>
      </c>
      <c r="D430" s="27" t="inlineStr">
        <is>
          <t>Else01</t>
        </is>
      </c>
      <c r="E430" s="27" t="n"/>
      <c r="F430" s="27" t="inlineStr">
        <is>
          <t>浙江精准学科技有限公司</t>
        </is>
      </c>
      <c r="G430" s="27" t="inlineStr">
        <is>
          <t>记-194</t>
        </is>
      </c>
      <c r="H430" s="27" t="n"/>
      <c r="I430" s="100" t="n"/>
      <c r="J430" s="100" t="n">
        <v>5</v>
      </c>
    </row>
    <row r="431" s="83">
      <c r="A431" s="26" t="inlineStr">
        <is>
          <t>101203</t>
        </is>
      </c>
      <c r="B431" s="26" t="n"/>
      <c r="C431" s="26" t="inlineStr">
        <is>
          <t>2025-05-27</t>
        </is>
      </c>
      <c r="D431" s="26" t="inlineStr">
        <is>
          <t>Else01</t>
        </is>
      </c>
      <c r="E431" s="26" t="n"/>
      <c r="F431" s="26" t="inlineStr">
        <is>
          <t>浙江精准学科技有限公司</t>
        </is>
      </c>
      <c r="G431" s="26" t="inlineStr">
        <is>
          <t>记-200</t>
        </is>
      </c>
      <c r="H431" s="26" t="n"/>
      <c r="I431" s="99" t="n">
        <v>5</v>
      </c>
      <c r="J431" s="99" t="n">
        <v>5</v>
      </c>
    </row>
    <row r="432" s="83">
      <c r="A432" s="27" t="inlineStr">
        <is>
          <t>101203</t>
        </is>
      </c>
      <c r="B432" s="27" t="n"/>
      <c r="C432" s="27" t="inlineStr">
        <is>
          <t>2025-05-27</t>
        </is>
      </c>
      <c r="D432" s="27" t="inlineStr">
        <is>
          <t>Else01</t>
        </is>
      </c>
      <c r="E432" s="27" t="n"/>
      <c r="F432" s="27" t="inlineStr">
        <is>
          <t>浙江精准学科技有限公司</t>
        </is>
      </c>
      <c r="G432" s="27" t="inlineStr">
        <is>
          <t>记-201</t>
        </is>
      </c>
      <c r="H432" s="27" t="n"/>
      <c r="I432" s="100" t="n"/>
      <c r="J432" s="100" t="n">
        <v>5</v>
      </c>
    </row>
    <row r="433" s="83">
      <c r="A433" s="26" t="inlineStr">
        <is>
          <t>101203</t>
        </is>
      </c>
      <c r="B433" s="26" t="n"/>
      <c r="C433" s="26" t="inlineStr">
        <is>
          <t>2025-05-27</t>
        </is>
      </c>
      <c r="D433" s="26" t="inlineStr">
        <is>
          <t>Else01</t>
        </is>
      </c>
      <c r="E433" s="26" t="n"/>
      <c r="F433" s="26" t="inlineStr">
        <is>
          <t>浙江精准学科技有限公司</t>
        </is>
      </c>
      <c r="G433" s="26" t="inlineStr">
        <is>
          <t>记-201</t>
        </is>
      </c>
      <c r="H433" s="26" t="n"/>
      <c r="I433" s="99" t="n"/>
      <c r="J433" s="99" t="n">
        <v>5</v>
      </c>
    </row>
    <row r="434" s="83">
      <c r="A434" s="27" t="inlineStr">
        <is>
          <t>101203</t>
        </is>
      </c>
      <c r="B434" s="27" t="n"/>
      <c r="C434" s="27" t="inlineStr">
        <is>
          <t>2025-05-28</t>
        </is>
      </c>
      <c r="D434" s="27" t="inlineStr">
        <is>
          <t>Else01</t>
        </is>
      </c>
      <c r="E434" s="27" t="n"/>
      <c r="F434" s="27" t="inlineStr">
        <is>
          <t>浙江精准学科技有限公司</t>
        </is>
      </c>
      <c r="G434" s="27" t="inlineStr">
        <is>
          <t>记-206</t>
        </is>
      </c>
      <c r="H434" s="27" t="n"/>
      <c r="I434" s="99" t="n">
        <v>5</v>
      </c>
      <c r="J434" s="100" t="n">
        <v>5</v>
      </c>
    </row>
    <row r="435" s="83">
      <c r="A435" s="26" t="inlineStr">
        <is>
          <t>101203</t>
        </is>
      </c>
      <c r="B435" s="26" t="n"/>
      <c r="C435" s="26" t="inlineStr">
        <is>
          <t>2025-05-28</t>
        </is>
      </c>
      <c r="D435" s="26" t="inlineStr">
        <is>
          <t>Else01</t>
        </is>
      </c>
      <c r="E435" s="26" t="n"/>
      <c r="F435" s="26" t="inlineStr">
        <is>
          <t>浙江精准学科技有限公司</t>
        </is>
      </c>
      <c r="G435" s="26" t="inlineStr">
        <is>
          <t>记-206</t>
        </is>
      </c>
      <c r="H435" s="26" t="n"/>
      <c r="I435" s="99" t="n">
        <v>5</v>
      </c>
      <c r="J435" s="99" t="n">
        <v>5</v>
      </c>
    </row>
    <row r="436" s="83">
      <c r="A436" s="27" t="inlineStr">
        <is>
          <t>101203</t>
        </is>
      </c>
      <c r="B436" s="27" t="n"/>
      <c r="C436" s="27" t="inlineStr">
        <is>
          <t>2025-05-28</t>
        </is>
      </c>
      <c r="D436" s="27" t="inlineStr">
        <is>
          <t>Else01</t>
        </is>
      </c>
      <c r="E436" s="27" t="n"/>
      <c r="F436" s="27" t="inlineStr">
        <is>
          <t>浙江精准学科技有限公司</t>
        </is>
      </c>
      <c r="G436" s="27" t="inlineStr">
        <is>
          <t>记-207</t>
        </is>
      </c>
      <c r="H436" s="27" t="n"/>
      <c r="I436" s="100" t="n"/>
      <c r="J436" s="100" t="n">
        <v>5</v>
      </c>
    </row>
    <row r="437" s="83">
      <c r="A437" s="26" t="inlineStr">
        <is>
          <t>101203</t>
        </is>
      </c>
      <c r="B437" s="26" t="n"/>
      <c r="C437" s="26" t="inlineStr">
        <is>
          <t>2025-05-28</t>
        </is>
      </c>
      <c r="D437" s="26" t="inlineStr">
        <is>
          <t>Else01</t>
        </is>
      </c>
      <c r="E437" s="26" t="n"/>
      <c r="F437" s="26" t="inlineStr">
        <is>
          <t>浙江精准学科技有限公司</t>
        </is>
      </c>
      <c r="G437" s="26" t="inlineStr">
        <is>
          <t>记-207</t>
        </is>
      </c>
      <c r="H437" s="26" t="n"/>
      <c r="I437" s="99" t="n"/>
      <c r="J437" s="99" t="n">
        <v>5</v>
      </c>
    </row>
    <row r="438" s="83">
      <c r="A438" s="27" t="inlineStr">
        <is>
          <t>101203</t>
        </is>
      </c>
      <c r="B438" s="27" t="n"/>
      <c r="C438" s="27" t="inlineStr">
        <is>
          <t>2025-05-29</t>
        </is>
      </c>
      <c r="D438" s="27" t="inlineStr">
        <is>
          <t>Else01</t>
        </is>
      </c>
      <c r="E438" s="27" t="n"/>
      <c r="F438" s="27" t="inlineStr">
        <is>
          <t>浙江精准学科技有限公司</t>
        </is>
      </c>
      <c r="G438" s="27" t="inlineStr">
        <is>
          <t>记-212</t>
        </is>
      </c>
      <c r="H438" s="27" t="n"/>
      <c r="I438" s="99" t="n">
        <v>5</v>
      </c>
      <c r="J438" s="100" t="n">
        <v>5</v>
      </c>
    </row>
    <row r="439" s="83">
      <c r="A439" s="26" t="inlineStr">
        <is>
          <t>101203</t>
        </is>
      </c>
      <c r="B439" s="26" t="n"/>
      <c r="C439" s="26" t="inlineStr">
        <is>
          <t>2025-05-29</t>
        </is>
      </c>
      <c r="D439" s="26" t="inlineStr">
        <is>
          <t>Else01</t>
        </is>
      </c>
      <c r="E439" s="26" t="n"/>
      <c r="F439" s="26" t="inlineStr">
        <is>
          <t>浙江精准学科技有限公司</t>
        </is>
      </c>
      <c r="G439" s="26" t="inlineStr">
        <is>
          <t>记-212</t>
        </is>
      </c>
      <c r="H439" s="26" t="n"/>
      <c r="I439" s="99" t="n">
        <v>5</v>
      </c>
      <c r="J439" s="99" t="n">
        <v>5</v>
      </c>
    </row>
    <row r="440" s="83">
      <c r="A440" s="27" t="inlineStr">
        <is>
          <t>101203</t>
        </is>
      </c>
      <c r="B440" s="27" t="n"/>
      <c r="C440" s="27" t="inlineStr">
        <is>
          <t>2025-05-29</t>
        </is>
      </c>
      <c r="D440" s="27" t="inlineStr">
        <is>
          <t>Else01</t>
        </is>
      </c>
      <c r="E440" s="27" t="n"/>
      <c r="F440" s="27" t="inlineStr">
        <is>
          <t>浙江精准学科技有限公司</t>
        </is>
      </c>
      <c r="G440" s="27" t="inlineStr">
        <is>
          <t>记-213</t>
        </is>
      </c>
      <c r="H440" s="27" t="n"/>
      <c r="I440" s="100" t="n"/>
      <c r="J440" s="100" t="n">
        <v>5</v>
      </c>
    </row>
    <row r="441" s="83">
      <c r="A441" s="26" t="inlineStr">
        <is>
          <t>101203</t>
        </is>
      </c>
      <c r="B441" s="26" t="n"/>
      <c r="C441" s="26" t="inlineStr">
        <is>
          <t>2025-05-29</t>
        </is>
      </c>
      <c r="D441" s="26" t="inlineStr">
        <is>
          <t>Else01</t>
        </is>
      </c>
      <c r="E441" s="26" t="n"/>
      <c r="F441" s="26" t="inlineStr">
        <is>
          <t>浙江精准学科技有限公司</t>
        </is>
      </c>
      <c r="G441" s="26" t="inlineStr">
        <is>
          <t>记-213</t>
        </is>
      </c>
      <c r="H441" s="26" t="n"/>
      <c r="I441" s="99" t="n"/>
      <c r="J441" s="99" t="n">
        <v>5</v>
      </c>
    </row>
    <row r="442" s="83">
      <c r="A442" s="27" t="inlineStr">
        <is>
          <t>101203</t>
        </is>
      </c>
      <c r="B442" s="27" t="n"/>
      <c r="C442" s="27" t="inlineStr">
        <is>
          <t>2025-05-30</t>
        </is>
      </c>
      <c r="D442" s="27" t="inlineStr">
        <is>
          <t>Else01</t>
        </is>
      </c>
      <c r="E442" s="27" t="n"/>
      <c r="F442" s="27" t="inlineStr">
        <is>
          <t>浙江精准学科技有限公司</t>
        </is>
      </c>
      <c r="G442" s="27" t="inlineStr">
        <is>
          <t>记-236</t>
        </is>
      </c>
      <c r="H442" s="27" t="n"/>
      <c r="I442" s="99" t="n">
        <v>5</v>
      </c>
      <c r="J442" s="100" t="n">
        <v>5</v>
      </c>
    </row>
    <row r="443" s="83">
      <c r="A443" s="26" t="inlineStr">
        <is>
          <t>101203</t>
        </is>
      </c>
      <c r="B443" s="26" t="n"/>
      <c r="C443" s="26" t="inlineStr">
        <is>
          <t>2025-05-30</t>
        </is>
      </c>
      <c r="D443" s="26" t="inlineStr">
        <is>
          <t>Else01</t>
        </is>
      </c>
      <c r="E443" s="26" t="n"/>
      <c r="F443" s="26" t="inlineStr">
        <is>
          <t>浙江精准学科技有限公司</t>
        </is>
      </c>
      <c r="G443" s="26" t="inlineStr">
        <is>
          <t>记-237</t>
        </is>
      </c>
      <c r="H443" s="26" t="n"/>
      <c r="I443" s="99" t="n"/>
      <c r="J443" s="99" t="n">
        <v>5</v>
      </c>
    </row>
    <row r="444" s="83">
      <c r="A444" s="27" t="inlineStr">
        <is>
          <t>101203</t>
        </is>
      </c>
      <c r="B444" s="27" t="n"/>
      <c r="C444" s="27" t="inlineStr">
        <is>
          <t>2025-05-30</t>
        </is>
      </c>
      <c r="D444" s="27" t="inlineStr">
        <is>
          <t>Else01</t>
        </is>
      </c>
      <c r="E444" s="27" t="n"/>
      <c r="F444" s="27" t="inlineStr">
        <is>
          <t>浙江精准学科技有限公司</t>
        </is>
      </c>
      <c r="G444" s="27" t="inlineStr">
        <is>
          <t>记-237</t>
        </is>
      </c>
      <c r="H444" s="27" t="n"/>
      <c r="I444" s="100" t="n"/>
      <c r="J444" s="100" t="n">
        <v>5</v>
      </c>
    </row>
    <row r="445" s="83">
      <c r="A445" s="26" t="inlineStr">
        <is>
          <t>101203</t>
        </is>
      </c>
      <c r="B445" s="26" t="n"/>
      <c r="C445" s="26" t="inlineStr">
        <is>
          <t>2025-05-31</t>
        </is>
      </c>
      <c r="D445" s="26" t="inlineStr">
        <is>
          <t>Else01</t>
        </is>
      </c>
      <c r="E445" s="26" t="n"/>
      <c r="F445" s="26" t="inlineStr">
        <is>
          <t>浙江精准学科技有限公司</t>
        </is>
      </c>
      <c r="G445" s="26" t="inlineStr">
        <is>
          <t>记-238</t>
        </is>
      </c>
      <c r="H445" s="26" t="n"/>
      <c r="I445" s="99" t="n">
        <v>5</v>
      </c>
      <c r="J445" s="99" t="n">
        <v>5</v>
      </c>
    </row>
    <row r="446" s="83">
      <c r="A446" s="27" t="inlineStr">
        <is>
          <t>101203</t>
        </is>
      </c>
      <c r="B446" s="27" t="n"/>
      <c r="C446" s="27" t="inlineStr">
        <is>
          <t>2025-05-31</t>
        </is>
      </c>
      <c r="D446" s="27" t="inlineStr">
        <is>
          <t>Else01</t>
        </is>
      </c>
      <c r="E446" s="27" t="n"/>
      <c r="F446" s="27" t="inlineStr">
        <is>
          <t>浙江精准学科技有限公司</t>
        </is>
      </c>
      <c r="G446" s="27" t="inlineStr">
        <is>
          <t>记-239</t>
        </is>
      </c>
      <c r="H446" s="27" t="n"/>
      <c r="I446" s="100" t="n"/>
      <c r="J446" s="100" t="n">
        <v>5</v>
      </c>
    </row>
    <row r="447" s="83">
      <c r="A447" s="26" t="inlineStr">
        <is>
          <t>101203</t>
        </is>
      </c>
      <c r="B447" s="26" t="n"/>
      <c r="C447" s="26" t="inlineStr">
        <is>
          <t>2025-05-31</t>
        </is>
      </c>
      <c r="D447" s="26" t="inlineStr">
        <is>
          <t>Else01</t>
        </is>
      </c>
      <c r="E447" s="26" t="n"/>
      <c r="F447" s="26" t="inlineStr">
        <is>
          <t>浙江精准学科技有限公司</t>
        </is>
      </c>
      <c r="G447" s="26" t="inlineStr">
        <is>
          <t>记-239</t>
        </is>
      </c>
      <c r="H447" s="26" t="n"/>
      <c r="I447" s="99" t="n"/>
      <c r="J447" s="99" t="n">
        <v>5</v>
      </c>
    </row>
    <row r="448" s="83">
      <c r="A448" s="27" t="inlineStr">
        <is>
          <t>101203</t>
        </is>
      </c>
      <c r="B448" s="27" t="n"/>
      <c r="C448" s="27" t="inlineStr">
        <is>
          <t>2025-05-31</t>
        </is>
      </c>
      <c r="D448" s="27" t="inlineStr">
        <is>
          <t>Else01</t>
        </is>
      </c>
      <c r="E448" s="27" t="n"/>
      <c r="F448" s="27" t="inlineStr">
        <is>
          <t>浙江精准学科技有限公司</t>
        </is>
      </c>
      <c r="G448" s="27" t="inlineStr">
        <is>
          <t>记-240</t>
        </is>
      </c>
      <c r="H448" s="27" t="n"/>
      <c r="I448" s="99" t="n">
        <v>5</v>
      </c>
      <c r="J448" s="100" t="n">
        <v>5</v>
      </c>
    </row>
    <row r="449" s="83">
      <c r="A449" s="26" t="inlineStr">
        <is>
          <t>101203</t>
        </is>
      </c>
      <c r="B449" s="26" t="n"/>
      <c r="C449" s="26" t="inlineStr">
        <is>
          <t>2025-05-31</t>
        </is>
      </c>
      <c r="D449" s="26" t="inlineStr">
        <is>
          <t>Else01</t>
        </is>
      </c>
      <c r="E449" s="26" t="n"/>
      <c r="F449" s="26" t="inlineStr">
        <is>
          <t>浙江精准学科技有限公司</t>
        </is>
      </c>
      <c r="G449" s="26" t="inlineStr">
        <is>
          <t>记-240</t>
        </is>
      </c>
      <c r="H449" s="26" t="n"/>
      <c r="I449" s="99" t="n">
        <v>5</v>
      </c>
      <c r="J449" s="99" t="n">
        <v>5</v>
      </c>
    </row>
    <row r="450" s="83">
      <c r="A450" s="27" t="inlineStr">
        <is>
          <t>101203</t>
        </is>
      </c>
      <c r="B450" s="27" t="n"/>
      <c r="C450" s="27" t="inlineStr">
        <is>
          <t>2025-05-31</t>
        </is>
      </c>
      <c r="D450" s="27" t="inlineStr">
        <is>
          <t>Else01</t>
        </is>
      </c>
      <c r="E450" s="27" t="n"/>
      <c r="F450" s="27" t="inlineStr">
        <is>
          <t>浙江精准学科技有限公司</t>
        </is>
      </c>
      <c r="G450" s="27" t="inlineStr">
        <is>
          <t>记-241</t>
        </is>
      </c>
      <c r="H450" s="27" t="n"/>
      <c r="I450" s="100" t="n"/>
      <c r="J450" s="100" t="n">
        <v>5</v>
      </c>
    </row>
    <row r="451" s="83">
      <c r="A451" s="26" t="inlineStr">
        <is>
          <t>101203</t>
        </is>
      </c>
      <c r="B451" s="26" t="n"/>
      <c r="C451" s="26" t="inlineStr">
        <is>
          <t>2025-05-31</t>
        </is>
      </c>
      <c r="D451" s="26" t="inlineStr">
        <is>
          <t>Else01</t>
        </is>
      </c>
      <c r="E451" s="26" t="n"/>
      <c r="F451" s="26" t="inlineStr">
        <is>
          <t>浙江精准学科技有限公司</t>
        </is>
      </c>
      <c r="G451" s="26" t="inlineStr">
        <is>
          <t>记-241</t>
        </is>
      </c>
      <c r="H451" s="26" t="n"/>
      <c r="I451" s="99" t="n"/>
      <c r="J451" s="99" t="n">
        <v>5</v>
      </c>
    </row>
    <row r="452" s="83">
      <c r="A452" s="26" t="inlineStr">
        <is>
          <t>101203</t>
        </is>
      </c>
      <c r="B452" s="26" t="n"/>
      <c r="C452" s="26" t="inlineStr">
        <is>
          <t>2025-05-31</t>
        </is>
      </c>
      <c r="D452" s="26" t="inlineStr">
        <is>
          <t>Q0101</t>
        </is>
      </c>
      <c r="E452" s="26" t="n"/>
      <c r="F452" s="26" t="inlineStr">
        <is>
          <t>浙江精准学科技有限公司</t>
        </is>
      </c>
      <c r="G452" s="26" t="inlineStr">
        <is>
          <t>记-244</t>
        </is>
      </c>
      <c r="H452" s="26" t="n"/>
      <c r="I452" s="99" t="n"/>
      <c r="J452" s="99" t="n">
        <v>5</v>
      </c>
    </row>
    <row r="453" s="83">
      <c r="A453" s="27" t="inlineStr">
        <is>
          <t>101203</t>
        </is>
      </c>
      <c r="B453" s="27" t="n"/>
      <c r="C453" s="27" t="inlineStr">
        <is>
          <t>2025-05-31</t>
        </is>
      </c>
      <c r="D453" s="27" t="inlineStr">
        <is>
          <t>Q0101</t>
        </is>
      </c>
      <c r="E453" s="27" t="n"/>
      <c r="F453" s="27" t="inlineStr">
        <is>
          <t>浙江精准学科技有限公司</t>
        </is>
      </c>
      <c r="G453" s="27" t="inlineStr">
        <is>
          <t>记-245</t>
        </is>
      </c>
      <c r="H453" s="27" t="n"/>
      <c r="I453" s="99" t="n">
        <v>5</v>
      </c>
      <c r="J453" s="100" t="n">
        <v>5</v>
      </c>
    </row>
    <row r="454" s="83">
      <c r="A454" s="27" t="inlineStr">
        <is>
          <t>101203</t>
        </is>
      </c>
      <c r="B454" s="27" t="n"/>
      <c r="C454" s="27" t="inlineStr">
        <is>
          <t>2025-05-31</t>
        </is>
      </c>
      <c r="D454" s="27" t="inlineStr">
        <is>
          <t>Q0103</t>
        </is>
      </c>
      <c r="E454" s="27" t="n"/>
      <c r="F454" s="27" t="inlineStr">
        <is>
          <t>浙江精准学科技有限公司</t>
        </is>
      </c>
      <c r="G454" s="27" t="inlineStr">
        <is>
          <t>记-245</t>
        </is>
      </c>
      <c r="H454" s="27" t="n"/>
      <c r="I454" s="99" t="n">
        <v>5</v>
      </c>
      <c r="J454" s="100" t="n">
        <v>5</v>
      </c>
    </row>
    <row r="455" s="83">
      <c r="A455" s="26" t="inlineStr">
        <is>
          <t>101203</t>
        </is>
      </c>
      <c r="B455" s="26" t="n"/>
      <c r="C455" s="26" t="inlineStr">
        <is>
          <t>2025-05-07</t>
        </is>
      </c>
      <c r="D455" s="26" t="inlineStr">
        <is>
          <t>Q0401</t>
        </is>
      </c>
      <c r="E455" s="26" t="n"/>
      <c r="F455" s="26" t="inlineStr">
        <is>
          <t>浙江精准学科技有限公司</t>
        </is>
      </c>
      <c r="G455" s="26" t="inlineStr">
        <is>
          <t>记-24</t>
        </is>
      </c>
      <c r="H455" s="26" t="n"/>
      <c r="I455" s="99" t="n"/>
      <c r="J455" s="99" t="n">
        <v>5</v>
      </c>
    </row>
    <row r="456" s="83">
      <c r="A456" s="27" t="inlineStr">
        <is>
          <t>101203</t>
        </is>
      </c>
      <c r="B456" s="27" t="n"/>
      <c r="C456" s="27" t="inlineStr">
        <is>
          <t>2025-05-14</t>
        </is>
      </c>
      <c r="D456" s="27" t="inlineStr">
        <is>
          <t>Q0401</t>
        </is>
      </c>
      <c r="E456" s="27" t="n"/>
      <c r="F456" s="27" t="inlineStr">
        <is>
          <t>浙江精准学科技有限公司</t>
        </is>
      </c>
      <c r="G456" s="27" t="inlineStr">
        <is>
          <t>记-70</t>
        </is>
      </c>
      <c r="H456" s="27" t="n"/>
      <c r="I456" s="100" t="n"/>
      <c r="J456" s="100" t="n">
        <v>5</v>
      </c>
    </row>
    <row r="457" s="83">
      <c r="A457" s="26" t="inlineStr">
        <is>
          <t>101203</t>
        </is>
      </c>
      <c r="B457" s="26" t="n"/>
      <c r="C457" s="26" t="inlineStr">
        <is>
          <t>2025-05-16</t>
        </is>
      </c>
      <c r="D457" s="26" t="inlineStr">
        <is>
          <t>Q0401</t>
        </is>
      </c>
      <c r="E457" s="26" t="n"/>
      <c r="F457" s="26" t="inlineStr">
        <is>
          <t>浙江精准学科技有限公司</t>
        </is>
      </c>
      <c r="G457" s="26" t="inlineStr">
        <is>
          <t>记-105</t>
        </is>
      </c>
      <c r="H457" s="26" t="n"/>
      <c r="I457" s="99" t="n"/>
      <c r="J457" s="99" t="n">
        <v>5</v>
      </c>
    </row>
    <row r="458" s="83">
      <c r="A458" s="27" t="inlineStr">
        <is>
          <t>101203</t>
        </is>
      </c>
      <c r="B458" s="27" t="n"/>
      <c r="C458" s="27" t="inlineStr">
        <is>
          <t>2025-05-19</t>
        </is>
      </c>
      <c r="D458" s="27" t="inlineStr">
        <is>
          <t>Q0401</t>
        </is>
      </c>
      <c r="E458" s="27" t="n"/>
      <c r="F458" s="27" t="inlineStr">
        <is>
          <t>浙江精准学科技有限公司</t>
        </is>
      </c>
      <c r="G458" s="27" t="inlineStr">
        <is>
          <t>记-122</t>
        </is>
      </c>
      <c r="H458" s="27" t="n"/>
      <c r="I458" s="100" t="n"/>
      <c r="J458" s="100" t="n">
        <v>5</v>
      </c>
    </row>
    <row r="459" s="83">
      <c r="A459" s="26" t="inlineStr">
        <is>
          <t>101203</t>
        </is>
      </c>
      <c r="B459" s="26" t="n"/>
      <c r="C459" s="26" t="inlineStr">
        <is>
          <t>2025-05-20</t>
        </is>
      </c>
      <c r="D459" s="26" t="inlineStr">
        <is>
          <t>Q0401</t>
        </is>
      </c>
      <c r="E459" s="26" t="n"/>
      <c r="F459" s="26" t="inlineStr">
        <is>
          <t>浙江精准学科技有限公司</t>
        </is>
      </c>
      <c r="G459" s="26" t="inlineStr">
        <is>
          <t>记-246</t>
        </is>
      </c>
      <c r="H459" s="26" t="n"/>
      <c r="I459" s="99" t="n"/>
      <c r="J459" s="99" t="n">
        <v>5</v>
      </c>
    </row>
    <row r="460" s="83">
      <c r="A460" s="27" t="inlineStr">
        <is>
          <t>101203</t>
        </is>
      </c>
      <c r="B460" s="27" t="n"/>
      <c r="C460" s="27" t="inlineStr">
        <is>
          <t>2025-05-21</t>
        </is>
      </c>
      <c r="D460" s="27" t="inlineStr">
        <is>
          <t>Q0401</t>
        </is>
      </c>
      <c r="E460" s="27" t="n"/>
      <c r="F460" s="27" t="inlineStr">
        <is>
          <t>浙江精准学科技有限公司</t>
        </is>
      </c>
      <c r="G460" s="27" t="inlineStr">
        <is>
          <t>记-158</t>
        </is>
      </c>
      <c r="H460" s="27" t="n"/>
      <c r="I460" s="100" t="n"/>
      <c r="J460" s="100" t="n">
        <v>5</v>
      </c>
    </row>
    <row r="461" s="83">
      <c r="A461" s="26" t="inlineStr">
        <is>
          <t>101203</t>
        </is>
      </c>
      <c r="B461" s="26" t="n"/>
      <c r="C461" s="26" t="inlineStr">
        <is>
          <t>2025-05-22</t>
        </is>
      </c>
      <c r="D461" s="26" t="inlineStr">
        <is>
          <t>Q0401</t>
        </is>
      </c>
      <c r="E461" s="26" t="n"/>
      <c r="F461" s="26" t="inlineStr">
        <is>
          <t>浙江精准学科技有限公司</t>
        </is>
      </c>
      <c r="G461" s="26" t="inlineStr">
        <is>
          <t>记-162</t>
        </is>
      </c>
      <c r="H461" s="26" t="n"/>
      <c r="I461" s="99" t="n"/>
      <c r="J461" s="99" t="n">
        <v>5</v>
      </c>
    </row>
    <row r="462" s="83">
      <c r="A462" s="27" t="inlineStr">
        <is>
          <t>101203</t>
        </is>
      </c>
      <c r="B462" s="27" t="n"/>
      <c r="C462" s="27" t="inlineStr">
        <is>
          <t>2025-05-23</t>
        </is>
      </c>
      <c r="D462" s="27" t="inlineStr">
        <is>
          <t>Q0401</t>
        </is>
      </c>
      <c r="E462" s="27" t="n"/>
      <c r="F462" s="27" t="inlineStr">
        <is>
          <t>浙江精准学科技有限公司</t>
        </is>
      </c>
      <c r="G462" s="27" t="inlineStr">
        <is>
          <t>记-167</t>
        </is>
      </c>
      <c r="H462" s="27" t="n"/>
      <c r="I462" s="100" t="n"/>
      <c r="J462" s="100" t="n">
        <v>5</v>
      </c>
    </row>
    <row r="463" s="83">
      <c r="A463" s="26" t="inlineStr">
        <is>
          <t>101203</t>
        </is>
      </c>
      <c r="B463" s="26" t="n"/>
      <c r="C463" s="26" t="inlineStr">
        <is>
          <t>2025-05-26</t>
        </is>
      </c>
      <c r="D463" s="26" t="inlineStr">
        <is>
          <t>Q0401</t>
        </is>
      </c>
      <c r="E463" s="26" t="n"/>
      <c r="F463" s="26" t="inlineStr">
        <is>
          <t>浙江精准学科技有限公司</t>
        </is>
      </c>
      <c r="G463" s="26" t="inlineStr">
        <is>
          <t>记-183</t>
        </is>
      </c>
      <c r="H463" s="26" t="n"/>
      <c r="I463" s="99" t="n"/>
      <c r="J463" s="99" t="n">
        <v>5</v>
      </c>
    </row>
    <row r="464" s="83">
      <c r="A464" s="27" t="inlineStr">
        <is>
          <t>101203</t>
        </is>
      </c>
      <c r="B464" s="27" t="n"/>
      <c r="C464" s="27" t="inlineStr">
        <is>
          <t>2025-05-28</t>
        </is>
      </c>
      <c r="D464" s="27" t="inlineStr">
        <is>
          <t>Q0401</t>
        </is>
      </c>
      <c r="E464" s="27" t="n"/>
      <c r="F464" s="27" t="inlineStr">
        <is>
          <t>浙江精准学科技有限公司</t>
        </is>
      </c>
      <c r="G464" s="27" t="inlineStr">
        <is>
          <t>记-203</t>
        </is>
      </c>
      <c r="H464" s="27" t="n"/>
      <c r="I464" s="100" t="n"/>
      <c r="J464" s="100" t="n">
        <v>5</v>
      </c>
    </row>
    <row r="465" s="83">
      <c r="A465" s="26" t="inlineStr">
        <is>
          <t>101203</t>
        </is>
      </c>
      <c r="B465" s="26" t="n"/>
      <c r="C465" s="26" t="inlineStr">
        <is>
          <t>2025-05-31</t>
        </is>
      </c>
      <c r="D465" s="26" t="inlineStr">
        <is>
          <t>Q0401</t>
        </is>
      </c>
      <c r="E465" s="26" t="n"/>
      <c r="F465" s="26" t="inlineStr">
        <is>
          <t>浙江精准学科技有限公司</t>
        </is>
      </c>
      <c r="G465" s="26" t="inlineStr">
        <is>
          <t>记-244</t>
        </is>
      </c>
      <c r="H465" s="26" t="n"/>
      <c r="I465" s="99" t="n">
        <v>5</v>
      </c>
      <c r="J465" s="99" t="n">
        <v>5</v>
      </c>
    </row>
    <row r="466" s="83">
      <c r="A466" s="26" t="inlineStr">
        <is>
          <t>101203</t>
        </is>
      </c>
      <c r="B466" s="26" t="n"/>
      <c r="C466" s="26" t="inlineStr">
        <is>
          <t>2025-05-31</t>
        </is>
      </c>
      <c r="D466" s="26" t="inlineStr">
        <is>
          <t>Q2201</t>
        </is>
      </c>
      <c r="E466" s="26" t="n"/>
      <c r="F466" s="26" t="inlineStr">
        <is>
          <t>浙江精准学科技有限公司</t>
        </is>
      </c>
      <c r="G466" s="26" t="inlineStr">
        <is>
          <t>记-245</t>
        </is>
      </c>
      <c r="H466" s="26" t="n"/>
      <c r="I466" s="99" t="n"/>
      <c r="J466" s="99" t="n">
        <v>5</v>
      </c>
    </row>
    <row r="467" s="83">
      <c r="A467" s="26" t="inlineStr">
        <is>
          <t>101203</t>
        </is>
      </c>
      <c r="B467" s="26" t="n"/>
      <c r="C467" s="26" t="inlineStr">
        <is>
          <t>2025-05-31</t>
        </is>
      </c>
      <c r="D467" s="26" t="inlineStr">
        <is>
          <t>Q2204</t>
        </is>
      </c>
      <c r="E467" s="26" t="n"/>
      <c r="F467" s="26" t="inlineStr">
        <is>
          <t>浙江精准学科技有限公司</t>
        </is>
      </c>
      <c r="G467" s="26" t="inlineStr">
        <is>
          <t>记-244</t>
        </is>
      </c>
      <c r="H467" s="26" t="n"/>
      <c r="I467" s="99" t="n"/>
      <c r="J467" s="99" t="n">
        <v>5</v>
      </c>
    </row>
    <row r="468" s="83">
      <c r="A468" s="27" t="inlineStr">
        <is>
          <t>101203</t>
        </is>
      </c>
      <c r="B468" s="27" t="n"/>
      <c r="C468" s="27" t="inlineStr">
        <is>
          <t>2025-05-31</t>
        </is>
      </c>
      <c r="D468" s="27" t="inlineStr">
        <is>
          <t>Q2204</t>
        </is>
      </c>
      <c r="E468" s="27" t="n"/>
      <c r="F468" s="27" t="inlineStr">
        <is>
          <t>浙江精准学科技有限公司</t>
        </is>
      </c>
      <c r="G468" s="27" t="inlineStr">
        <is>
          <t>记-245</t>
        </is>
      </c>
      <c r="H468" s="27" t="n"/>
      <c r="I468" s="100" t="n"/>
      <c r="J468" s="100" t="n">
        <v>5</v>
      </c>
    </row>
    <row r="469" s="83">
      <c r="A469" s="27" t="inlineStr">
        <is>
          <t>101203</t>
        </is>
      </c>
      <c r="B469" s="27" t="n"/>
      <c r="C469" s="27" t="inlineStr">
        <is>
          <t>2025-05-31</t>
        </is>
      </c>
      <c r="D469" s="27" t="inlineStr">
        <is>
          <t>Q2205</t>
        </is>
      </c>
      <c r="E469" s="27" t="n"/>
      <c r="F469" s="27" t="inlineStr">
        <is>
          <t>浙江精准学科技有限公司</t>
        </is>
      </c>
      <c r="G469" s="27" t="inlineStr">
        <is>
          <t>记-244</t>
        </is>
      </c>
      <c r="H469" s="27" t="n"/>
      <c r="I469" s="100" t="n"/>
      <c r="J469" s="100" t="n">
        <v>5</v>
      </c>
    </row>
    <row r="470" s="83">
      <c r="A470" s="26" t="inlineStr">
        <is>
          <t>101203</t>
        </is>
      </c>
      <c r="B470" s="26" t="n"/>
      <c r="C470" s="26" t="inlineStr">
        <is>
          <t>2025-05-31</t>
        </is>
      </c>
      <c r="D470" s="26" t="inlineStr">
        <is>
          <t>Q2205</t>
        </is>
      </c>
      <c r="E470" s="26" t="n"/>
      <c r="F470" s="26" t="inlineStr">
        <is>
          <t>浙江精准学科技有限公司</t>
        </is>
      </c>
      <c r="G470" s="26" t="inlineStr">
        <is>
          <t>记-245</t>
        </is>
      </c>
      <c r="H470" s="26" t="n"/>
      <c r="I470" s="99" t="n"/>
      <c r="J470" s="99" t="n">
        <v>5</v>
      </c>
    </row>
    <row r="471" s="83">
      <c r="A471" s="26" t="inlineStr">
        <is>
          <t>101207</t>
        </is>
      </c>
      <c r="B471" s="26" t="n"/>
      <c r="C471" s="26" t="inlineStr">
        <is>
          <t>2025-05-01</t>
        </is>
      </c>
      <c r="D471" s="26" t="inlineStr">
        <is>
          <t>Else01</t>
        </is>
      </c>
      <c r="E471" s="26" t="n"/>
      <c r="F471" s="26" t="inlineStr">
        <is>
          <t>浙江精准学科技有限公司</t>
        </is>
      </c>
      <c r="G471" s="26" t="inlineStr">
        <is>
          <t>记-3</t>
        </is>
      </c>
      <c r="H471" s="26" t="n"/>
      <c r="I471" s="99" t="n">
        <v>5</v>
      </c>
      <c r="J471" s="99" t="n">
        <v>5</v>
      </c>
    </row>
    <row r="472" s="83">
      <c r="A472" s="27" t="inlineStr">
        <is>
          <t>101207</t>
        </is>
      </c>
      <c r="B472" s="27" t="n"/>
      <c r="C472" s="27" t="inlineStr">
        <is>
          <t>2025-05-01</t>
        </is>
      </c>
      <c r="D472" s="27" t="inlineStr">
        <is>
          <t>Else01</t>
        </is>
      </c>
      <c r="E472" s="27" t="n"/>
      <c r="F472" s="27" t="inlineStr">
        <is>
          <t>浙江精准学科技有限公司</t>
        </is>
      </c>
      <c r="G472" s="27" t="inlineStr">
        <is>
          <t>记-4</t>
        </is>
      </c>
      <c r="H472" s="27" t="n"/>
      <c r="I472" s="100" t="n"/>
      <c r="J472" s="100" t="n">
        <v>5</v>
      </c>
    </row>
    <row r="473" s="83">
      <c r="A473" s="26" t="inlineStr">
        <is>
          <t>101207</t>
        </is>
      </c>
      <c r="B473" s="26" t="n"/>
      <c r="C473" s="26" t="inlineStr">
        <is>
          <t>2025-05-02</t>
        </is>
      </c>
      <c r="D473" s="26" t="inlineStr">
        <is>
          <t>Else01</t>
        </is>
      </c>
      <c r="E473" s="26" t="n"/>
      <c r="F473" s="26" t="inlineStr">
        <is>
          <t>浙江精准学科技有限公司</t>
        </is>
      </c>
      <c r="G473" s="26" t="inlineStr">
        <is>
          <t>记-6</t>
        </is>
      </c>
      <c r="H473" s="26" t="n"/>
      <c r="I473" s="99" t="n">
        <v>5</v>
      </c>
      <c r="J473" s="99" t="n">
        <v>5</v>
      </c>
    </row>
    <row r="474" s="83">
      <c r="A474" s="27" t="inlineStr">
        <is>
          <t>101207</t>
        </is>
      </c>
      <c r="B474" s="27" t="n"/>
      <c r="C474" s="27" t="inlineStr">
        <is>
          <t>2025-05-02</t>
        </is>
      </c>
      <c r="D474" s="27" t="inlineStr">
        <is>
          <t>Else01</t>
        </is>
      </c>
      <c r="E474" s="27" t="n"/>
      <c r="F474" s="27" t="inlineStr">
        <is>
          <t>浙江精准学科技有限公司</t>
        </is>
      </c>
      <c r="G474" s="27" t="inlineStr">
        <is>
          <t>记-7</t>
        </is>
      </c>
      <c r="H474" s="27" t="n"/>
      <c r="I474" s="100" t="n"/>
      <c r="J474" s="100" t="n">
        <v>5</v>
      </c>
    </row>
    <row r="475" s="83">
      <c r="A475" s="26" t="inlineStr">
        <is>
          <t>101207</t>
        </is>
      </c>
      <c r="B475" s="26" t="n"/>
      <c r="C475" s="26" t="inlineStr">
        <is>
          <t>2025-05-03</t>
        </is>
      </c>
      <c r="D475" s="26" t="inlineStr">
        <is>
          <t>Else01</t>
        </is>
      </c>
      <c r="E475" s="26" t="n"/>
      <c r="F475" s="26" t="inlineStr">
        <is>
          <t>浙江精准学科技有限公司</t>
        </is>
      </c>
      <c r="G475" s="26" t="inlineStr">
        <is>
          <t>记-9</t>
        </is>
      </c>
      <c r="H475" s="26" t="n"/>
      <c r="I475" s="99" t="n">
        <v>5</v>
      </c>
      <c r="J475" s="99" t="n">
        <v>5</v>
      </c>
    </row>
    <row r="476" s="83">
      <c r="A476" s="27" t="inlineStr">
        <is>
          <t>101207</t>
        </is>
      </c>
      <c r="B476" s="27" t="n"/>
      <c r="C476" s="27" t="inlineStr">
        <is>
          <t>2025-05-03</t>
        </is>
      </c>
      <c r="D476" s="27" t="inlineStr">
        <is>
          <t>Else01</t>
        </is>
      </c>
      <c r="E476" s="27" t="n"/>
      <c r="F476" s="27" t="inlineStr">
        <is>
          <t>浙江精准学科技有限公司</t>
        </is>
      </c>
      <c r="G476" s="27" t="inlineStr">
        <is>
          <t>记-10</t>
        </is>
      </c>
      <c r="H476" s="27" t="n"/>
      <c r="I476" s="100" t="n"/>
      <c r="J476" s="100" t="n">
        <v>5</v>
      </c>
    </row>
    <row r="477" s="83">
      <c r="A477" s="26" t="inlineStr">
        <is>
          <t>101207</t>
        </is>
      </c>
      <c r="B477" s="26" t="n"/>
      <c r="C477" s="26" t="inlineStr">
        <is>
          <t>2025-05-04</t>
        </is>
      </c>
      <c r="D477" s="26" t="inlineStr">
        <is>
          <t>Else01</t>
        </is>
      </c>
      <c r="E477" s="26" t="n"/>
      <c r="F477" s="26" t="inlineStr">
        <is>
          <t>浙江精准学科技有限公司</t>
        </is>
      </c>
      <c r="G477" s="26" t="inlineStr">
        <is>
          <t>记-12</t>
        </is>
      </c>
      <c r="H477" s="26" t="n"/>
      <c r="I477" s="99" t="n">
        <v>5</v>
      </c>
      <c r="J477" s="99" t="n">
        <v>5</v>
      </c>
    </row>
    <row r="478" s="83">
      <c r="A478" s="27" t="inlineStr">
        <is>
          <t>101207</t>
        </is>
      </c>
      <c r="B478" s="27" t="n"/>
      <c r="C478" s="27" t="inlineStr">
        <is>
          <t>2025-05-04</t>
        </is>
      </c>
      <c r="D478" s="27" t="inlineStr">
        <is>
          <t>Else01</t>
        </is>
      </c>
      <c r="E478" s="27" t="n"/>
      <c r="F478" s="27" t="inlineStr">
        <is>
          <t>浙江精准学科技有限公司</t>
        </is>
      </c>
      <c r="G478" s="27" t="inlineStr">
        <is>
          <t>记-13</t>
        </is>
      </c>
      <c r="H478" s="27" t="n"/>
      <c r="I478" s="100" t="n"/>
      <c r="J478" s="100" t="n">
        <v>5</v>
      </c>
    </row>
    <row r="479" s="83">
      <c r="A479" s="26" t="inlineStr">
        <is>
          <t>101207</t>
        </is>
      </c>
      <c r="B479" s="26" t="n"/>
      <c r="C479" s="26" t="inlineStr">
        <is>
          <t>2025-05-05</t>
        </is>
      </c>
      <c r="D479" s="26" t="inlineStr">
        <is>
          <t>Else01</t>
        </is>
      </c>
      <c r="E479" s="26" t="n"/>
      <c r="F479" s="26" t="inlineStr">
        <is>
          <t>浙江精准学科技有限公司</t>
        </is>
      </c>
      <c r="G479" s="26" t="inlineStr">
        <is>
          <t>记-16</t>
        </is>
      </c>
      <c r="H479" s="26" t="n"/>
      <c r="I479" s="99" t="n"/>
      <c r="J479" s="99" t="n">
        <v>5</v>
      </c>
    </row>
    <row r="480" s="83">
      <c r="A480" s="27" t="inlineStr">
        <is>
          <t>101207</t>
        </is>
      </c>
      <c r="B480" s="27" t="n"/>
      <c r="C480" s="27" t="inlineStr">
        <is>
          <t>2025-05-06</t>
        </is>
      </c>
      <c r="D480" s="27" t="inlineStr">
        <is>
          <t>Else01</t>
        </is>
      </c>
      <c r="E480" s="27" t="n"/>
      <c r="F480" s="27" t="inlineStr">
        <is>
          <t>浙江精准学科技有限公司</t>
        </is>
      </c>
      <c r="G480" s="27" t="inlineStr">
        <is>
          <t>记-19</t>
        </is>
      </c>
      <c r="H480" s="27" t="n"/>
      <c r="I480" s="99" t="n">
        <v>5</v>
      </c>
      <c r="J480" s="100" t="n">
        <v>5</v>
      </c>
    </row>
    <row r="481" s="83">
      <c r="A481" s="26" t="inlineStr">
        <is>
          <t>101207</t>
        </is>
      </c>
      <c r="B481" s="26" t="n"/>
      <c r="C481" s="26" t="inlineStr">
        <is>
          <t>2025-05-06</t>
        </is>
      </c>
      <c r="D481" s="26" t="inlineStr">
        <is>
          <t>Else01</t>
        </is>
      </c>
      <c r="E481" s="26" t="n"/>
      <c r="F481" s="26" t="inlineStr">
        <is>
          <t>浙江精准学科技有限公司</t>
        </is>
      </c>
      <c r="G481" s="26" t="inlineStr">
        <is>
          <t>记-20</t>
        </is>
      </c>
      <c r="H481" s="26" t="n"/>
      <c r="I481" s="99" t="n"/>
      <c r="J481" s="99" t="n">
        <v>5</v>
      </c>
    </row>
    <row r="482" s="83">
      <c r="A482" s="27" t="inlineStr">
        <is>
          <t>101207</t>
        </is>
      </c>
      <c r="B482" s="27" t="n"/>
      <c r="C482" s="27" t="inlineStr">
        <is>
          <t>2025-05-07</t>
        </is>
      </c>
      <c r="D482" s="27" t="inlineStr">
        <is>
          <t>Else01</t>
        </is>
      </c>
      <c r="E482" s="27" t="n"/>
      <c r="F482" s="27" t="inlineStr">
        <is>
          <t>浙江精准学科技有限公司</t>
        </is>
      </c>
      <c r="G482" s="27" t="inlineStr">
        <is>
          <t>记-25</t>
        </is>
      </c>
      <c r="H482" s="27" t="n"/>
      <c r="I482" s="99" t="n">
        <v>5</v>
      </c>
      <c r="J482" s="100" t="n">
        <v>5</v>
      </c>
    </row>
    <row r="483" s="83">
      <c r="A483" s="26" t="inlineStr">
        <is>
          <t>101207</t>
        </is>
      </c>
      <c r="B483" s="26" t="n"/>
      <c r="C483" s="26" t="inlineStr">
        <is>
          <t>2025-05-07</t>
        </is>
      </c>
      <c r="D483" s="26" t="inlineStr">
        <is>
          <t>Else01</t>
        </is>
      </c>
      <c r="E483" s="26" t="n"/>
      <c r="F483" s="26" t="inlineStr">
        <is>
          <t>浙江精准学科技有限公司</t>
        </is>
      </c>
      <c r="G483" s="26" t="inlineStr">
        <is>
          <t>记-26</t>
        </is>
      </c>
      <c r="H483" s="26" t="n"/>
      <c r="I483" s="99" t="n"/>
      <c r="J483" s="99" t="n">
        <v>5</v>
      </c>
    </row>
    <row r="484" s="83">
      <c r="A484" s="27" t="inlineStr">
        <is>
          <t>101207</t>
        </is>
      </c>
      <c r="B484" s="27" t="n"/>
      <c r="C484" s="27" t="inlineStr">
        <is>
          <t>2025-05-08</t>
        </is>
      </c>
      <c r="D484" s="27" t="inlineStr">
        <is>
          <t>Else01</t>
        </is>
      </c>
      <c r="E484" s="27" t="n"/>
      <c r="F484" s="27" t="inlineStr">
        <is>
          <t>浙江精准学科技有限公司</t>
        </is>
      </c>
      <c r="G484" s="27" t="inlineStr">
        <is>
          <t>记-139</t>
        </is>
      </c>
      <c r="H484" s="27" t="n"/>
      <c r="I484" s="99" t="n">
        <v>5</v>
      </c>
      <c r="J484" s="100" t="n">
        <v>5</v>
      </c>
    </row>
    <row r="485" s="83">
      <c r="A485" s="26" t="inlineStr">
        <is>
          <t>101207</t>
        </is>
      </c>
      <c r="B485" s="26" t="n"/>
      <c r="C485" s="26" t="inlineStr">
        <is>
          <t>2025-05-08</t>
        </is>
      </c>
      <c r="D485" s="26" t="inlineStr">
        <is>
          <t>Else01</t>
        </is>
      </c>
      <c r="E485" s="26" t="n"/>
      <c r="F485" s="26" t="inlineStr">
        <is>
          <t>浙江精准学科技有限公司</t>
        </is>
      </c>
      <c r="G485" s="26" t="inlineStr">
        <is>
          <t>记-139</t>
        </is>
      </c>
      <c r="H485" s="26" t="n"/>
      <c r="I485" s="99" t="n"/>
      <c r="J485" s="99" t="n">
        <v>5</v>
      </c>
    </row>
    <row r="486" s="83">
      <c r="A486" s="27" t="inlineStr">
        <is>
          <t>101207</t>
        </is>
      </c>
      <c r="B486" s="27" t="n"/>
      <c r="C486" s="27" t="inlineStr">
        <is>
          <t>2025-05-09</t>
        </is>
      </c>
      <c r="D486" s="27" t="inlineStr">
        <is>
          <t>Else01</t>
        </is>
      </c>
      <c r="E486" s="27" t="n"/>
      <c r="F486" s="27" t="inlineStr">
        <is>
          <t>浙江精准学科技有限公司</t>
        </is>
      </c>
      <c r="G486" s="27" t="inlineStr">
        <is>
          <t>记-43</t>
        </is>
      </c>
      <c r="H486" s="27" t="n"/>
      <c r="I486" s="99" t="n">
        <v>5</v>
      </c>
      <c r="J486" s="100" t="n">
        <v>5</v>
      </c>
    </row>
    <row r="487" s="83">
      <c r="A487" s="26" t="inlineStr">
        <is>
          <t>101207</t>
        </is>
      </c>
      <c r="B487" s="26" t="n"/>
      <c r="C487" s="26" t="inlineStr">
        <is>
          <t>2025-05-09</t>
        </is>
      </c>
      <c r="D487" s="26" t="inlineStr">
        <is>
          <t>Else01</t>
        </is>
      </c>
      <c r="E487" s="26" t="n"/>
      <c r="F487" s="26" t="inlineStr">
        <is>
          <t>浙江精准学科技有限公司</t>
        </is>
      </c>
      <c r="G487" s="26" t="inlineStr">
        <is>
          <t>记-44</t>
        </is>
      </c>
      <c r="H487" s="26" t="n"/>
      <c r="I487" s="99" t="n"/>
      <c r="J487" s="99" t="n">
        <v>5</v>
      </c>
    </row>
    <row r="488" s="83">
      <c r="A488" s="27" t="inlineStr">
        <is>
          <t>101207</t>
        </is>
      </c>
      <c r="B488" s="27" t="n"/>
      <c r="C488" s="27" t="inlineStr">
        <is>
          <t>2025-05-10</t>
        </is>
      </c>
      <c r="D488" s="27" t="inlineStr">
        <is>
          <t>Else01</t>
        </is>
      </c>
      <c r="E488" s="27" t="n"/>
      <c r="F488" s="27" t="inlineStr">
        <is>
          <t>浙江精准学科技有限公司</t>
        </is>
      </c>
      <c r="G488" s="27" t="inlineStr">
        <is>
          <t>记-45</t>
        </is>
      </c>
      <c r="H488" s="27" t="n"/>
      <c r="I488" s="99" t="n">
        <v>5</v>
      </c>
      <c r="J488" s="100" t="n">
        <v>5</v>
      </c>
    </row>
    <row r="489" s="83">
      <c r="A489" s="26" t="inlineStr">
        <is>
          <t>101207</t>
        </is>
      </c>
      <c r="B489" s="26" t="n"/>
      <c r="C489" s="26" t="inlineStr">
        <is>
          <t>2025-05-10</t>
        </is>
      </c>
      <c r="D489" s="26" t="inlineStr">
        <is>
          <t>Else01</t>
        </is>
      </c>
      <c r="E489" s="26" t="n"/>
      <c r="F489" s="26" t="inlineStr">
        <is>
          <t>浙江精准学科技有限公司</t>
        </is>
      </c>
      <c r="G489" s="26" t="inlineStr">
        <is>
          <t>记-46</t>
        </is>
      </c>
      <c r="H489" s="26" t="n"/>
      <c r="I489" s="99" t="n"/>
      <c r="J489" s="99" t="n">
        <v>5</v>
      </c>
    </row>
    <row r="490" s="83">
      <c r="A490" s="27" t="inlineStr">
        <is>
          <t>101207</t>
        </is>
      </c>
      <c r="B490" s="27" t="n"/>
      <c r="C490" s="27" t="inlineStr">
        <is>
          <t>2025-05-11</t>
        </is>
      </c>
      <c r="D490" s="27" t="inlineStr">
        <is>
          <t>Else01</t>
        </is>
      </c>
      <c r="E490" s="27" t="n"/>
      <c r="F490" s="27" t="inlineStr">
        <is>
          <t>浙江精准学科技有限公司</t>
        </is>
      </c>
      <c r="G490" s="27" t="inlineStr">
        <is>
          <t>记-47</t>
        </is>
      </c>
      <c r="H490" s="27" t="n"/>
      <c r="I490" s="99" t="n">
        <v>5</v>
      </c>
      <c r="J490" s="100" t="n">
        <v>5</v>
      </c>
    </row>
    <row r="491" s="83">
      <c r="A491" s="26" t="inlineStr">
        <is>
          <t>101207</t>
        </is>
      </c>
      <c r="B491" s="26" t="n"/>
      <c r="C491" s="26" t="inlineStr">
        <is>
          <t>2025-05-11</t>
        </is>
      </c>
      <c r="D491" s="26" t="inlineStr">
        <is>
          <t>Else01</t>
        </is>
      </c>
      <c r="E491" s="26" t="n"/>
      <c r="F491" s="26" t="inlineStr">
        <is>
          <t>浙江精准学科技有限公司</t>
        </is>
      </c>
      <c r="G491" s="26" t="inlineStr">
        <is>
          <t>记-48</t>
        </is>
      </c>
      <c r="H491" s="26" t="n"/>
      <c r="I491" s="99" t="n"/>
      <c r="J491" s="99" t="n">
        <v>5</v>
      </c>
    </row>
    <row r="492" s="83">
      <c r="A492" s="27" t="inlineStr">
        <is>
          <t>101207</t>
        </is>
      </c>
      <c r="B492" s="27" t="n"/>
      <c r="C492" s="27" t="inlineStr">
        <is>
          <t>2025-05-12</t>
        </is>
      </c>
      <c r="D492" s="27" t="inlineStr">
        <is>
          <t>Else01</t>
        </is>
      </c>
      <c r="E492" s="27" t="n"/>
      <c r="F492" s="27" t="inlineStr">
        <is>
          <t>浙江精准学科技有限公司</t>
        </is>
      </c>
      <c r="G492" s="27" t="inlineStr">
        <is>
          <t>记-50</t>
        </is>
      </c>
      <c r="H492" s="27" t="n"/>
      <c r="I492" s="99" t="n">
        <v>5</v>
      </c>
      <c r="J492" s="100" t="n">
        <v>5</v>
      </c>
    </row>
    <row r="493" s="83">
      <c r="A493" s="26" t="inlineStr">
        <is>
          <t>101207</t>
        </is>
      </c>
      <c r="B493" s="26" t="n"/>
      <c r="C493" s="26" t="inlineStr">
        <is>
          <t>2025-05-12</t>
        </is>
      </c>
      <c r="D493" s="26" t="inlineStr">
        <is>
          <t>Else01</t>
        </is>
      </c>
      <c r="E493" s="26" t="n"/>
      <c r="F493" s="26" t="inlineStr">
        <is>
          <t>浙江精准学科技有限公司</t>
        </is>
      </c>
      <c r="G493" s="26" t="inlineStr">
        <is>
          <t>记-51</t>
        </is>
      </c>
      <c r="H493" s="26" t="n"/>
      <c r="I493" s="99" t="n"/>
      <c r="J493" s="99" t="n">
        <v>5</v>
      </c>
    </row>
    <row r="494" s="83">
      <c r="A494" s="27" t="inlineStr">
        <is>
          <t>101207</t>
        </is>
      </c>
      <c r="B494" s="27" t="n"/>
      <c r="C494" s="27" t="inlineStr">
        <is>
          <t>2025-05-13</t>
        </is>
      </c>
      <c r="D494" s="27" t="inlineStr">
        <is>
          <t>Else01</t>
        </is>
      </c>
      <c r="E494" s="27" t="n"/>
      <c r="F494" s="27" t="inlineStr">
        <is>
          <t>浙江精准学科技有限公司</t>
        </is>
      </c>
      <c r="G494" s="27" t="inlineStr">
        <is>
          <t>记-65</t>
        </is>
      </c>
      <c r="H494" s="27" t="n"/>
      <c r="I494" s="99" t="n">
        <v>5</v>
      </c>
      <c r="J494" s="100" t="n">
        <v>5</v>
      </c>
    </row>
    <row r="495" s="83">
      <c r="A495" s="26" t="inlineStr">
        <is>
          <t>101207</t>
        </is>
      </c>
      <c r="B495" s="26" t="n"/>
      <c r="C495" s="26" t="inlineStr">
        <is>
          <t>2025-05-13</t>
        </is>
      </c>
      <c r="D495" s="26" t="inlineStr">
        <is>
          <t>Else01</t>
        </is>
      </c>
      <c r="E495" s="26" t="n"/>
      <c r="F495" s="26" t="inlineStr">
        <is>
          <t>浙江精准学科技有限公司</t>
        </is>
      </c>
      <c r="G495" s="26" t="inlineStr">
        <is>
          <t>记-66</t>
        </is>
      </c>
      <c r="H495" s="26" t="n"/>
      <c r="I495" s="99" t="n"/>
      <c r="J495" s="99" t="n">
        <v>5</v>
      </c>
    </row>
    <row r="496" s="83">
      <c r="A496" s="27" t="inlineStr">
        <is>
          <t>101207</t>
        </is>
      </c>
      <c r="B496" s="27" t="n"/>
      <c r="C496" s="27" t="inlineStr">
        <is>
          <t>2025-05-14</t>
        </is>
      </c>
      <c r="D496" s="27" t="inlineStr">
        <is>
          <t>Else01</t>
        </is>
      </c>
      <c r="E496" s="27" t="n"/>
      <c r="F496" s="27" t="inlineStr">
        <is>
          <t>浙江精准学科技有限公司</t>
        </is>
      </c>
      <c r="G496" s="27" t="inlineStr">
        <is>
          <t>记-68</t>
        </is>
      </c>
      <c r="H496" s="27" t="n"/>
      <c r="I496" s="99" t="n">
        <v>5</v>
      </c>
      <c r="J496" s="100" t="n">
        <v>5</v>
      </c>
    </row>
    <row r="497" s="83">
      <c r="A497" s="26" t="inlineStr">
        <is>
          <t>101207</t>
        </is>
      </c>
      <c r="B497" s="26" t="n"/>
      <c r="C497" s="26" t="inlineStr">
        <is>
          <t>2025-05-14</t>
        </is>
      </c>
      <c r="D497" s="26" t="inlineStr">
        <is>
          <t>Else01</t>
        </is>
      </c>
      <c r="E497" s="26" t="n"/>
      <c r="F497" s="26" t="inlineStr">
        <is>
          <t>浙江精准学科技有限公司</t>
        </is>
      </c>
      <c r="G497" s="26" t="inlineStr">
        <is>
          <t>记-69</t>
        </is>
      </c>
      <c r="H497" s="26" t="n"/>
      <c r="I497" s="99" t="n"/>
      <c r="J497" s="99" t="n">
        <v>5</v>
      </c>
    </row>
    <row r="498" s="83">
      <c r="A498" s="27" t="inlineStr">
        <is>
          <t>101207</t>
        </is>
      </c>
      <c r="B498" s="27" t="n"/>
      <c r="C498" s="27" t="inlineStr">
        <is>
          <t>2025-05-15</t>
        </is>
      </c>
      <c r="D498" s="27" t="inlineStr">
        <is>
          <t>Else01</t>
        </is>
      </c>
      <c r="E498" s="27" t="n"/>
      <c r="F498" s="27" t="inlineStr">
        <is>
          <t>浙江精准学科技有限公司</t>
        </is>
      </c>
      <c r="G498" s="27" t="inlineStr">
        <is>
          <t>记-102</t>
        </is>
      </c>
      <c r="H498" s="27" t="n"/>
      <c r="I498" s="99" t="n">
        <v>5</v>
      </c>
      <c r="J498" s="100" t="n">
        <v>5</v>
      </c>
    </row>
    <row r="499" s="83">
      <c r="A499" s="26" t="inlineStr">
        <is>
          <t>101207</t>
        </is>
      </c>
      <c r="B499" s="26" t="n"/>
      <c r="C499" s="26" t="inlineStr">
        <is>
          <t>2025-05-15</t>
        </is>
      </c>
      <c r="D499" s="26" t="inlineStr">
        <is>
          <t>Else01</t>
        </is>
      </c>
      <c r="E499" s="26" t="n"/>
      <c r="F499" s="26" t="inlineStr">
        <is>
          <t>浙江精准学科技有限公司</t>
        </is>
      </c>
      <c r="G499" s="26" t="inlineStr">
        <is>
          <t>记-103</t>
        </is>
      </c>
      <c r="H499" s="26" t="n"/>
      <c r="I499" s="99" t="n"/>
      <c r="J499" s="99" t="n">
        <v>5</v>
      </c>
    </row>
    <row r="500" s="83">
      <c r="A500" s="27" t="inlineStr">
        <is>
          <t>101207</t>
        </is>
      </c>
      <c r="B500" s="27" t="n"/>
      <c r="C500" s="27" t="inlineStr">
        <is>
          <t>2025-05-16</t>
        </is>
      </c>
      <c r="D500" s="27" t="inlineStr">
        <is>
          <t>Else01</t>
        </is>
      </c>
      <c r="E500" s="27" t="n"/>
      <c r="F500" s="27" t="inlineStr">
        <is>
          <t>浙江精准学科技有限公司</t>
        </is>
      </c>
      <c r="G500" s="27" t="inlineStr">
        <is>
          <t>记-115</t>
        </is>
      </c>
      <c r="H500" s="27" t="n"/>
      <c r="I500" s="99" t="n">
        <v>5</v>
      </c>
      <c r="J500" s="100" t="n">
        <v>5</v>
      </c>
    </row>
    <row r="501" s="83">
      <c r="A501" s="26" t="inlineStr">
        <is>
          <t>101207</t>
        </is>
      </c>
      <c r="B501" s="26" t="n"/>
      <c r="C501" s="26" t="inlineStr">
        <is>
          <t>2025-05-16</t>
        </is>
      </c>
      <c r="D501" s="26" t="inlineStr">
        <is>
          <t>Else01</t>
        </is>
      </c>
      <c r="E501" s="26" t="n"/>
      <c r="F501" s="26" t="inlineStr">
        <is>
          <t>浙江精准学科技有限公司</t>
        </is>
      </c>
      <c r="G501" s="26" t="inlineStr">
        <is>
          <t>记-116</t>
        </is>
      </c>
      <c r="H501" s="26" t="n"/>
      <c r="I501" s="99" t="n"/>
      <c r="J501" s="99" t="n">
        <v>5</v>
      </c>
    </row>
    <row r="502" s="83">
      <c r="A502" s="27" t="inlineStr">
        <is>
          <t>101207</t>
        </is>
      </c>
      <c r="B502" s="27" t="n"/>
      <c r="C502" s="27" t="inlineStr">
        <is>
          <t>2025-05-17</t>
        </is>
      </c>
      <c r="D502" s="27" t="inlineStr">
        <is>
          <t>Else01</t>
        </is>
      </c>
      <c r="E502" s="27" t="n"/>
      <c r="F502" s="27" t="inlineStr">
        <is>
          <t>浙江精准学科技有限公司</t>
        </is>
      </c>
      <c r="G502" s="27" t="inlineStr">
        <is>
          <t>记-117</t>
        </is>
      </c>
      <c r="H502" s="27" t="n"/>
      <c r="I502" s="99" t="n">
        <v>5</v>
      </c>
      <c r="J502" s="100" t="n">
        <v>5</v>
      </c>
    </row>
    <row r="503" s="83">
      <c r="A503" s="26" t="inlineStr">
        <is>
          <t>101207</t>
        </is>
      </c>
      <c r="B503" s="26" t="n"/>
      <c r="C503" s="26" t="inlineStr">
        <is>
          <t>2025-05-17</t>
        </is>
      </c>
      <c r="D503" s="26" t="inlineStr">
        <is>
          <t>Else01</t>
        </is>
      </c>
      <c r="E503" s="26" t="n"/>
      <c r="F503" s="26" t="inlineStr">
        <is>
          <t>浙江精准学科技有限公司</t>
        </is>
      </c>
      <c r="G503" s="26" t="inlineStr">
        <is>
          <t>记-118</t>
        </is>
      </c>
      <c r="H503" s="26" t="n"/>
      <c r="I503" s="99" t="n"/>
      <c r="J503" s="99" t="n">
        <v>5</v>
      </c>
    </row>
    <row r="504" s="83">
      <c r="A504" s="27" t="inlineStr">
        <is>
          <t>101207</t>
        </is>
      </c>
      <c r="B504" s="27" t="n"/>
      <c r="C504" s="27" t="inlineStr">
        <is>
          <t>2025-05-18</t>
        </is>
      </c>
      <c r="D504" s="27" t="inlineStr">
        <is>
          <t>Else01</t>
        </is>
      </c>
      <c r="E504" s="27" t="n"/>
      <c r="F504" s="27" t="inlineStr">
        <is>
          <t>浙江精准学科技有限公司</t>
        </is>
      </c>
      <c r="G504" s="27" t="inlineStr">
        <is>
          <t>记-120</t>
        </is>
      </c>
      <c r="H504" s="27" t="n"/>
      <c r="I504" s="99" t="n">
        <v>5</v>
      </c>
      <c r="J504" s="100" t="n">
        <v>5</v>
      </c>
    </row>
    <row r="505" s="83">
      <c r="A505" s="26" t="inlineStr">
        <is>
          <t>101207</t>
        </is>
      </c>
      <c r="B505" s="26" t="n"/>
      <c r="C505" s="26" t="inlineStr">
        <is>
          <t>2025-05-18</t>
        </is>
      </c>
      <c r="D505" s="26" t="inlineStr">
        <is>
          <t>Else01</t>
        </is>
      </c>
      <c r="E505" s="26" t="n"/>
      <c r="F505" s="26" t="inlineStr">
        <is>
          <t>浙江精准学科技有限公司</t>
        </is>
      </c>
      <c r="G505" s="26" t="inlineStr">
        <is>
          <t>记-121</t>
        </is>
      </c>
      <c r="H505" s="26" t="n"/>
      <c r="I505" s="99" t="n"/>
      <c r="J505" s="99" t="n">
        <v>5</v>
      </c>
    </row>
    <row r="506" s="83">
      <c r="A506" s="27" t="inlineStr">
        <is>
          <t>101207</t>
        </is>
      </c>
      <c r="B506" s="27" t="n"/>
      <c r="C506" s="27" t="inlineStr">
        <is>
          <t>2025-05-19</t>
        </is>
      </c>
      <c r="D506" s="27" t="inlineStr">
        <is>
          <t>Else01</t>
        </is>
      </c>
      <c r="E506" s="27" t="n"/>
      <c r="F506" s="27" t="inlineStr">
        <is>
          <t>浙江精准学科技有限公司</t>
        </is>
      </c>
      <c r="G506" s="27" t="inlineStr">
        <is>
          <t>记-131</t>
        </is>
      </c>
      <c r="H506" s="27" t="n"/>
      <c r="I506" s="99" t="n">
        <v>5</v>
      </c>
      <c r="J506" s="100" t="n">
        <v>5</v>
      </c>
    </row>
    <row r="507" s="83">
      <c r="A507" s="26" t="inlineStr">
        <is>
          <t>101207</t>
        </is>
      </c>
      <c r="B507" s="26" t="n"/>
      <c r="C507" s="26" t="inlineStr">
        <is>
          <t>2025-05-19</t>
        </is>
      </c>
      <c r="D507" s="26" t="inlineStr">
        <is>
          <t>Else01</t>
        </is>
      </c>
      <c r="E507" s="26" t="n"/>
      <c r="F507" s="26" t="inlineStr">
        <is>
          <t>浙江精准学科技有限公司</t>
        </is>
      </c>
      <c r="G507" s="26" t="inlineStr">
        <is>
          <t>记-132</t>
        </is>
      </c>
      <c r="H507" s="26" t="n"/>
      <c r="I507" s="99" t="n"/>
      <c r="J507" s="99" t="n">
        <v>5</v>
      </c>
    </row>
    <row r="508" s="83">
      <c r="A508" s="27" t="inlineStr">
        <is>
          <t>101207</t>
        </is>
      </c>
      <c r="B508" s="27" t="n"/>
      <c r="C508" s="27" t="inlineStr">
        <is>
          <t>2025-05-20</t>
        </is>
      </c>
      <c r="D508" s="27" t="inlineStr">
        <is>
          <t>Else01</t>
        </is>
      </c>
      <c r="E508" s="27" t="n"/>
      <c r="F508" s="27" t="inlineStr">
        <is>
          <t>浙江精准学科技有限公司</t>
        </is>
      </c>
      <c r="G508" s="27" t="inlineStr">
        <is>
          <t>记-145</t>
        </is>
      </c>
      <c r="H508" s="27" t="n"/>
      <c r="I508" s="99" t="n">
        <v>5</v>
      </c>
      <c r="J508" s="100" t="n">
        <v>5</v>
      </c>
    </row>
    <row r="509" s="83">
      <c r="A509" s="26" t="inlineStr">
        <is>
          <t>101207</t>
        </is>
      </c>
      <c r="B509" s="26" t="n"/>
      <c r="C509" s="26" t="inlineStr">
        <is>
          <t>2025-05-20</t>
        </is>
      </c>
      <c r="D509" s="26" t="inlineStr">
        <is>
          <t>Else01</t>
        </is>
      </c>
      <c r="E509" s="26" t="n"/>
      <c r="F509" s="26" t="inlineStr">
        <is>
          <t>浙江精准学科技有限公司</t>
        </is>
      </c>
      <c r="G509" s="26" t="inlineStr">
        <is>
          <t>记-146</t>
        </is>
      </c>
      <c r="H509" s="26" t="n"/>
      <c r="I509" s="99" t="n"/>
      <c r="J509" s="99" t="n">
        <v>5</v>
      </c>
    </row>
    <row r="510" s="83">
      <c r="A510" s="27" t="inlineStr">
        <is>
          <t>101207</t>
        </is>
      </c>
      <c r="B510" s="27" t="n"/>
      <c r="C510" s="27" t="inlineStr">
        <is>
          <t>2025-05-21</t>
        </is>
      </c>
      <c r="D510" s="27" t="inlineStr">
        <is>
          <t>Else01</t>
        </is>
      </c>
      <c r="E510" s="27" t="n"/>
      <c r="F510" s="27" t="inlineStr">
        <is>
          <t>浙江精准学科技有限公司</t>
        </is>
      </c>
      <c r="G510" s="27" t="inlineStr">
        <is>
          <t>记-156</t>
        </is>
      </c>
      <c r="H510" s="27" t="n"/>
      <c r="I510" s="99" t="n">
        <v>5</v>
      </c>
      <c r="J510" s="100" t="n">
        <v>5</v>
      </c>
    </row>
    <row r="511" s="83">
      <c r="A511" s="26" t="inlineStr">
        <is>
          <t>101207</t>
        </is>
      </c>
      <c r="B511" s="26" t="n"/>
      <c r="C511" s="26" t="inlineStr">
        <is>
          <t>2025-05-21</t>
        </is>
      </c>
      <c r="D511" s="26" t="inlineStr">
        <is>
          <t>Else01</t>
        </is>
      </c>
      <c r="E511" s="26" t="n"/>
      <c r="F511" s="26" t="inlineStr">
        <is>
          <t>浙江精准学科技有限公司</t>
        </is>
      </c>
      <c r="G511" s="26" t="inlineStr">
        <is>
          <t>记-157</t>
        </is>
      </c>
      <c r="H511" s="26" t="n"/>
      <c r="I511" s="99" t="n"/>
      <c r="J511" s="99" t="n">
        <v>5</v>
      </c>
    </row>
    <row r="512" s="83">
      <c r="A512" s="27" t="inlineStr">
        <is>
          <t>101207</t>
        </is>
      </c>
      <c r="B512" s="27" t="n"/>
      <c r="C512" s="27" t="inlineStr">
        <is>
          <t>2025-05-22</t>
        </is>
      </c>
      <c r="D512" s="27" t="inlineStr">
        <is>
          <t>Else01</t>
        </is>
      </c>
      <c r="E512" s="27" t="n"/>
      <c r="F512" s="27" t="inlineStr">
        <is>
          <t>浙江精准学科技有限公司</t>
        </is>
      </c>
      <c r="G512" s="27" t="inlineStr">
        <is>
          <t>记-164</t>
        </is>
      </c>
      <c r="H512" s="27" t="n"/>
      <c r="I512" s="100" t="n"/>
      <c r="J512" s="100" t="n">
        <v>5</v>
      </c>
    </row>
    <row r="513" s="83">
      <c r="A513" s="26" t="inlineStr">
        <is>
          <t>101207</t>
        </is>
      </c>
      <c r="B513" s="26" t="n"/>
      <c r="C513" s="26" t="inlineStr">
        <is>
          <t>2025-05-22</t>
        </is>
      </c>
      <c r="D513" s="26" t="inlineStr">
        <is>
          <t>Else01</t>
        </is>
      </c>
      <c r="E513" s="26" t="n"/>
      <c r="F513" s="26" t="inlineStr">
        <is>
          <t>浙江精准学科技有限公司</t>
        </is>
      </c>
      <c r="G513" s="26" t="inlineStr">
        <is>
          <t>记-165</t>
        </is>
      </c>
      <c r="H513" s="26" t="n"/>
      <c r="I513" s="99" t="n">
        <v>5</v>
      </c>
      <c r="J513" s="99" t="n">
        <v>5</v>
      </c>
    </row>
    <row r="514" s="83">
      <c r="A514" s="27" t="inlineStr">
        <is>
          <t>101207</t>
        </is>
      </c>
      <c r="B514" s="27" t="n"/>
      <c r="C514" s="27" t="inlineStr">
        <is>
          <t>2025-05-23</t>
        </is>
      </c>
      <c r="D514" s="27" t="inlineStr">
        <is>
          <t>Else01</t>
        </is>
      </c>
      <c r="E514" s="27" t="n"/>
      <c r="F514" s="27" t="inlineStr">
        <is>
          <t>浙江精准学科技有限公司</t>
        </is>
      </c>
      <c r="G514" s="27" t="inlineStr">
        <is>
          <t>记-174</t>
        </is>
      </c>
      <c r="H514" s="27" t="n"/>
      <c r="I514" s="99" t="n">
        <v>5</v>
      </c>
      <c r="J514" s="100" t="n">
        <v>5</v>
      </c>
    </row>
    <row r="515" s="83">
      <c r="A515" s="26" t="inlineStr">
        <is>
          <t>101207</t>
        </is>
      </c>
      <c r="B515" s="26" t="n"/>
      <c r="C515" s="26" t="inlineStr">
        <is>
          <t>2025-05-23</t>
        </is>
      </c>
      <c r="D515" s="26" t="inlineStr">
        <is>
          <t>Else01</t>
        </is>
      </c>
      <c r="E515" s="26" t="n"/>
      <c r="F515" s="26" t="inlineStr">
        <is>
          <t>浙江精准学科技有限公司</t>
        </is>
      </c>
      <c r="G515" s="26" t="inlineStr">
        <is>
          <t>记-175</t>
        </is>
      </c>
      <c r="H515" s="26" t="n"/>
      <c r="I515" s="99" t="n"/>
      <c r="J515" s="99" t="n">
        <v>5</v>
      </c>
    </row>
    <row r="516" s="83">
      <c r="A516" s="27" t="inlineStr">
        <is>
          <t>101207</t>
        </is>
      </c>
      <c r="B516" s="27" t="n"/>
      <c r="C516" s="27" t="inlineStr">
        <is>
          <t>2025-05-24</t>
        </is>
      </c>
      <c r="D516" s="27" t="inlineStr">
        <is>
          <t>Else01</t>
        </is>
      </c>
      <c r="E516" s="27" t="n"/>
      <c r="F516" s="27" t="inlineStr">
        <is>
          <t>浙江精准学科技有限公司</t>
        </is>
      </c>
      <c r="G516" s="27" t="inlineStr">
        <is>
          <t>记-176</t>
        </is>
      </c>
      <c r="H516" s="27" t="n"/>
      <c r="I516" s="99" t="n">
        <v>5</v>
      </c>
      <c r="J516" s="100" t="n">
        <v>5</v>
      </c>
    </row>
    <row r="517" s="83">
      <c r="A517" s="26" t="inlineStr">
        <is>
          <t>101207</t>
        </is>
      </c>
      <c r="B517" s="26" t="n"/>
      <c r="C517" s="26" t="inlineStr">
        <is>
          <t>2025-05-24</t>
        </is>
      </c>
      <c r="D517" s="26" t="inlineStr">
        <is>
          <t>Else01</t>
        </is>
      </c>
      <c r="E517" s="26" t="n"/>
      <c r="F517" s="26" t="inlineStr">
        <is>
          <t>浙江精准学科技有限公司</t>
        </is>
      </c>
      <c r="G517" s="26" t="inlineStr">
        <is>
          <t>记-177</t>
        </is>
      </c>
      <c r="H517" s="26" t="n"/>
      <c r="I517" s="99" t="n"/>
      <c r="J517" s="99" t="n">
        <v>5</v>
      </c>
    </row>
    <row r="518" s="83">
      <c r="A518" s="27" t="inlineStr">
        <is>
          <t>101207</t>
        </is>
      </c>
      <c r="B518" s="27" t="n"/>
      <c r="C518" s="27" t="inlineStr">
        <is>
          <t>2025-05-25</t>
        </is>
      </c>
      <c r="D518" s="27" t="inlineStr">
        <is>
          <t>Else01</t>
        </is>
      </c>
      <c r="E518" s="27" t="n"/>
      <c r="F518" s="27" t="inlineStr">
        <is>
          <t>浙江精准学科技有限公司</t>
        </is>
      </c>
      <c r="G518" s="27" t="inlineStr">
        <is>
          <t>记-178</t>
        </is>
      </c>
      <c r="H518" s="27" t="n"/>
      <c r="I518" s="99" t="n">
        <v>5</v>
      </c>
      <c r="J518" s="100" t="n">
        <v>5</v>
      </c>
    </row>
    <row r="519" s="83">
      <c r="A519" s="26" t="inlineStr">
        <is>
          <t>101207</t>
        </is>
      </c>
      <c r="B519" s="26" t="n"/>
      <c r="C519" s="26" t="inlineStr">
        <is>
          <t>2025-05-25</t>
        </is>
      </c>
      <c r="D519" s="26" t="inlineStr">
        <is>
          <t>Else01</t>
        </is>
      </c>
      <c r="E519" s="26" t="n"/>
      <c r="F519" s="26" t="inlineStr">
        <is>
          <t>浙江精准学科技有限公司</t>
        </is>
      </c>
      <c r="G519" s="26" t="inlineStr">
        <is>
          <t>记-179</t>
        </is>
      </c>
      <c r="H519" s="26" t="n"/>
      <c r="I519" s="99" t="n"/>
      <c r="J519" s="99" t="n">
        <v>5</v>
      </c>
    </row>
    <row r="520" s="83">
      <c r="A520" s="27" t="inlineStr">
        <is>
          <t>101207</t>
        </is>
      </c>
      <c r="B520" s="27" t="n"/>
      <c r="C520" s="27" t="inlineStr">
        <is>
          <t>2025-05-26</t>
        </is>
      </c>
      <c r="D520" s="27" t="inlineStr">
        <is>
          <t>Else01</t>
        </is>
      </c>
      <c r="E520" s="27" t="n"/>
      <c r="F520" s="27" t="inlineStr">
        <is>
          <t>浙江精准学科技有限公司</t>
        </is>
      </c>
      <c r="G520" s="27" t="inlineStr">
        <is>
          <t>记-193</t>
        </is>
      </c>
      <c r="H520" s="27" t="n"/>
      <c r="I520" s="99" t="n">
        <v>5</v>
      </c>
      <c r="J520" s="100" t="n">
        <v>5</v>
      </c>
    </row>
    <row r="521" s="83">
      <c r="A521" s="26" t="inlineStr">
        <is>
          <t>101207</t>
        </is>
      </c>
      <c r="B521" s="26" t="n"/>
      <c r="C521" s="26" t="inlineStr">
        <is>
          <t>2025-05-26</t>
        </is>
      </c>
      <c r="D521" s="26" t="inlineStr">
        <is>
          <t>Else01</t>
        </is>
      </c>
      <c r="E521" s="26" t="n"/>
      <c r="F521" s="26" t="inlineStr">
        <is>
          <t>浙江精准学科技有限公司</t>
        </is>
      </c>
      <c r="G521" s="26" t="inlineStr">
        <is>
          <t>记-194</t>
        </is>
      </c>
      <c r="H521" s="26" t="n"/>
      <c r="I521" s="99" t="n"/>
      <c r="J521" s="99" t="n">
        <v>5</v>
      </c>
    </row>
    <row r="522" s="83">
      <c r="A522" s="27" t="inlineStr">
        <is>
          <t>101207</t>
        </is>
      </c>
      <c r="B522" s="27" t="n"/>
      <c r="C522" s="27" t="inlineStr">
        <is>
          <t>2025-05-27</t>
        </is>
      </c>
      <c r="D522" s="27" t="inlineStr">
        <is>
          <t>Else01</t>
        </is>
      </c>
      <c r="E522" s="27" t="n"/>
      <c r="F522" s="27" t="inlineStr">
        <is>
          <t>浙江精准学科技有限公司</t>
        </is>
      </c>
      <c r="G522" s="27" t="inlineStr">
        <is>
          <t>记-200</t>
        </is>
      </c>
      <c r="H522" s="27" t="n"/>
      <c r="I522" s="99" t="n">
        <v>5</v>
      </c>
      <c r="J522" s="100" t="n">
        <v>5</v>
      </c>
    </row>
    <row r="523" s="83">
      <c r="A523" s="26" t="inlineStr">
        <is>
          <t>101207</t>
        </is>
      </c>
      <c r="B523" s="26" t="n"/>
      <c r="C523" s="26" t="inlineStr">
        <is>
          <t>2025-05-27</t>
        </is>
      </c>
      <c r="D523" s="26" t="inlineStr">
        <is>
          <t>Else01</t>
        </is>
      </c>
      <c r="E523" s="26" t="n"/>
      <c r="F523" s="26" t="inlineStr">
        <is>
          <t>浙江精准学科技有限公司</t>
        </is>
      </c>
      <c r="G523" s="26" t="inlineStr">
        <is>
          <t>记-201</t>
        </is>
      </c>
      <c r="H523" s="26" t="n"/>
      <c r="I523" s="99" t="n"/>
      <c r="J523" s="99" t="n">
        <v>5</v>
      </c>
    </row>
    <row r="524" s="83">
      <c r="A524" s="27" t="inlineStr">
        <is>
          <t>101207</t>
        </is>
      </c>
      <c r="B524" s="27" t="n"/>
      <c r="C524" s="27" t="inlineStr">
        <is>
          <t>2025-05-28</t>
        </is>
      </c>
      <c r="D524" s="27" t="inlineStr">
        <is>
          <t>Else01</t>
        </is>
      </c>
      <c r="E524" s="27" t="n"/>
      <c r="F524" s="27" t="inlineStr">
        <is>
          <t>浙江精准学科技有限公司</t>
        </is>
      </c>
      <c r="G524" s="27" t="inlineStr">
        <is>
          <t>记-206</t>
        </is>
      </c>
      <c r="H524" s="27" t="n"/>
      <c r="I524" s="99" t="n">
        <v>5</v>
      </c>
      <c r="J524" s="100" t="n">
        <v>5</v>
      </c>
    </row>
    <row r="525" s="83">
      <c r="A525" s="26" t="inlineStr">
        <is>
          <t>101207</t>
        </is>
      </c>
      <c r="B525" s="26" t="n"/>
      <c r="C525" s="26" t="inlineStr">
        <is>
          <t>2025-05-28</t>
        </is>
      </c>
      <c r="D525" s="26" t="inlineStr">
        <is>
          <t>Else01</t>
        </is>
      </c>
      <c r="E525" s="26" t="n"/>
      <c r="F525" s="26" t="inlineStr">
        <is>
          <t>浙江精准学科技有限公司</t>
        </is>
      </c>
      <c r="G525" s="26" t="inlineStr">
        <is>
          <t>记-207</t>
        </is>
      </c>
      <c r="H525" s="26" t="n"/>
      <c r="I525" s="99" t="n"/>
      <c r="J525" s="99" t="n">
        <v>5</v>
      </c>
    </row>
    <row r="526" s="83">
      <c r="A526" s="27" t="inlineStr">
        <is>
          <t>101207</t>
        </is>
      </c>
      <c r="B526" s="27" t="n"/>
      <c r="C526" s="27" t="inlineStr">
        <is>
          <t>2025-05-29</t>
        </is>
      </c>
      <c r="D526" s="27" t="inlineStr">
        <is>
          <t>Else01</t>
        </is>
      </c>
      <c r="E526" s="27" t="n"/>
      <c r="F526" s="27" t="inlineStr">
        <is>
          <t>浙江精准学科技有限公司</t>
        </is>
      </c>
      <c r="G526" s="27" t="inlineStr">
        <is>
          <t>记-212</t>
        </is>
      </c>
      <c r="H526" s="27" t="n"/>
      <c r="I526" s="99" t="n">
        <v>5</v>
      </c>
      <c r="J526" s="100" t="n">
        <v>5</v>
      </c>
    </row>
    <row r="527" s="83">
      <c r="A527" s="26" t="inlineStr">
        <is>
          <t>101207</t>
        </is>
      </c>
      <c r="B527" s="26" t="n"/>
      <c r="C527" s="26" t="inlineStr">
        <is>
          <t>2025-05-29</t>
        </is>
      </c>
      <c r="D527" s="26" t="inlineStr">
        <is>
          <t>Else01</t>
        </is>
      </c>
      <c r="E527" s="26" t="n"/>
      <c r="F527" s="26" t="inlineStr">
        <is>
          <t>浙江精准学科技有限公司</t>
        </is>
      </c>
      <c r="G527" s="26" t="inlineStr">
        <is>
          <t>记-213</t>
        </is>
      </c>
      <c r="H527" s="26" t="n"/>
      <c r="I527" s="99" t="n"/>
      <c r="J527" s="99" t="n">
        <v>5</v>
      </c>
    </row>
    <row r="528" s="83">
      <c r="A528" s="27" t="inlineStr">
        <is>
          <t>101207</t>
        </is>
      </c>
      <c r="B528" s="27" t="n"/>
      <c r="C528" s="27" t="inlineStr">
        <is>
          <t>2025-05-30</t>
        </is>
      </c>
      <c r="D528" s="27" t="inlineStr">
        <is>
          <t>Else01</t>
        </is>
      </c>
      <c r="E528" s="27" t="n"/>
      <c r="F528" s="27" t="inlineStr">
        <is>
          <t>浙江精准学科技有限公司</t>
        </is>
      </c>
      <c r="G528" s="27" t="inlineStr">
        <is>
          <t>记-236</t>
        </is>
      </c>
      <c r="H528" s="27" t="n"/>
      <c r="I528" s="99" t="n">
        <v>5</v>
      </c>
      <c r="J528" s="100" t="n">
        <v>5</v>
      </c>
    </row>
    <row r="529" s="83">
      <c r="A529" s="26" t="inlineStr">
        <is>
          <t>101207</t>
        </is>
      </c>
      <c r="B529" s="26" t="n"/>
      <c r="C529" s="26" t="inlineStr">
        <is>
          <t>2025-05-30</t>
        </is>
      </c>
      <c r="D529" s="26" t="inlineStr">
        <is>
          <t>Else01</t>
        </is>
      </c>
      <c r="E529" s="26" t="n"/>
      <c r="F529" s="26" t="inlineStr">
        <is>
          <t>浙江精准学科技有限公司</t>
        </is>
      </c>
      <c r="G529" s="26" t="inlineStr">
        <is>
          <t>记-237</t>
        </is>
      </c>
      <c r="H529" s="26" t="n"/>
      <c r="I529" s="99" t="n"/>
      <c r="J529" s="99" t="n">
        <v>5</v>
      </c>
    </row>
    <row r="530" s="83">
      <c r="A530" s="27" t="inlineStr">
        <is>
          <t>101207</t>
        </is>
      </c>
      <c r="B530" s="27" t="n"/>
      <c r="C530" s="27" t="inlineStr">
        <is>
          <t>2025-05-31</t>
        </is>
      </c>
      <c r="D530" s="27" t="inlineStr">
        <is>
          <t>Else01</t>
        </is>
      </c>
      <c r="E530" s="27" t="n"/>
      <c r="F530" s="27" t="inlineStr">
        <is>
          <t>浙江精准学科技有限公司</t>
        </is>
      </c>
      <c r="G530" s="27" t="inlineStr">
        <is>
          <t>记-238</t>
        </is>
      </c>
      <c r="H530" s="27" t="n"/>
      <c r="I530" s="99" t="n">
        <v>5</v>
      </c>
      <c r="J530" s="100" t="n">
        <v>5</v>
      </c>
    </row>
    <row r="531" s="83">
      <c r="A531" s="26" t="inlineStr">
        <is>
          <t>101207</t>
        </is>
      </c>
      <c r="B531" s="26" t="n"/>
      <c r="C531" s="26" t="inlineStr">
        <is>
          <t>2025-05-31</t>
        </is>
      </c>
      <c r="D531" s="26" t="inlineStr">
        <is>
          <t>Else01</t>
        </is>
      </c>
      <c r="E531" s="26" t="n"/>
      <c r="F531" s="26" t="inlineStr">
        <is>
          <t>浙江精准学科技有限公司</t>
        </is>
      </c>
      <c r="G531" s="26" t="inlineStr">
        <is>
          <t>记-239</t>
        </is>
      </c>
      <c r="H531" s="26" t="n"/>
      <c r="I531" s="99" t="n"/>
      <c r="J531" s="99" t="n">
        <v>5</v>
      </c>
    </row>
    <row r="532" s="83">
      <c r="A532" s="27" t="inlineStr">
        <is>
          <t>101207</t>
        </is>
      </c>
      <c r="B532" s="27" t="n"/>
      <c r="C532" s="27" t="inlineStr">
        <is>
          <t>2025-05-31</t>
        </is>
      </c>
      <c r="D532" s="27" t="inlineStr">
        <is>
          <t>Else01</t>
        </is>
      </c>
      <c r="E532" s="27" t="n"/>
      <c r="F532" s="27" t="inlineStr">
        <is>
          <t>浙江精准学科技有限公司</t>
        </is>
      </c>
      <c r="G532" s="27" t="inlineStr">
        <is>
          <t>记-240</t>
        </is>
      </c>
      <c r="H532" s="27" t="n"/>
      <c r="I532" s="99" t="n">
        <v>5</v>
      </c>
      <c r="J532" s="100" t="n">
        <v>5</v>
      </c>
    </row>
    <row r="533" s="83">
      <c r="A533" s="26" t="inlineStr">
        <is>
          <t>101207</t>
        </is>
      </c>
      <c r="B533" s="26" t="n"/>
      <c r="C533" s="26" t="inlineStr">
        <is>
          <t>2025-05-31</t>
        </is>
      </c>
      <c r="D533" s="26" t="inlineStr">
        <is>
          <t>Else01</t>
        </is>
      </c>
      <c r="E533" s="26" t="n"/>
      <c r="F533" s="26" t="inlineStr">
        <is>
          <t>浙江精准学科技有限公司</t>
        </is>
      </c>
      <c r="G533" s="26" t="inlineStr">
        <is>
          <t>记-241</t>
        </is>
      </c>
      <c r="H533" s="26" t="n"/>
      <c r="I533" s="99" t="n"/>
      <c r="J533" s="99" t="n">
        <v>5</v>
      </c>
    </row>
    <row r="534" s="83">
      <c r="A534" s="26" t="inlineStr">
        <is>
          <t>101207</t>
        </is>
      </c>
      <c r="B534" s="26" t="n"/>
      <c r="C534" s="26" t="inlineStr">
        <is>
          <t>2025-05-31</t>
        </is>
      </c>
      <c r="D534" s="26" t="inlineStr">
        <is>
          <t>Q0101</t>
        </is>
      </c>
      <c r="E534" s="26" t="n"/>
      <c r="F534" s="26" t="inlineStr">
        <is>
          <t>浙江精准学科技有限公司</t>
        </is>
      </c>
      <c r="G534" s="26" t="inlineStr">
        <is>
          <t>记-242</t>
        </is>
      </c>
      <c r="H534" s="26" t="n"/>
      <c r="I534" s="99" t="n">
        <v>5</v>
      </c>
      <c r="J534" s="99" t="n">
        <v>5</v>
      </c>
    </row>
    <row r="535" s="83">
      <c r="A535" s="27" t="inlineStr">
        <is>
          <t>101207</t>
        </is>
      </c>
      <c r="B535" s="27" t="n"/>
      <c r="C535" s="27" t="inlineStr">
        <is>
          <t>2025-05-31</t>
        </is>
      </c>
      <c r="D535" s="27" t="inlineStr">
        <is>
          <t>Q0101</t>
        </is>
      </c>
      <c r="E535" s="27" t="n"/>
      <c r="F535" s="27" t="inlineStr">
        <is>
          <t>浙江精准学科技有限公司</t>
        </is>
      </c>
      <c r="G535" s="27" t="inlineStr">
        <is>
          <t>记-242</t>
        </is>
      </c>
      <c r="H535" s="27" t="n"/>
      <c r="I535" s="100" t="n"/>
      <c r="J535" s="100" t="n">
        <v>5</v>
      </c>
    </row>
    <row r="536" s="83">
      <c r="A536" s="27" t="inlineStr">
        <is>
          <t>101207</t>
        </is>
      </c>
      <c r="B536" s="27" t="n"/>
      <c r="C536" s="27" t="inlineStr">
        <is>
          <t>2025-05-31</t>
        </is>
      </c>
      <c r="D536" s="27" t="inlineStr">
        <is>
          <t>Q0103</t>
        </is>
      </c>
      <c r="E536" s="27" t="n"/>
      <c r="F536" s="27" t="inlineStr">
        <is>
          <t>浙江精准学科技有限公司</t>
        </is>
      </c>
      <c r="G536" s="27" t="inlineStr">
        <is>
          <t>记-242</t>
        </is>
      </c>
      <c r="H536" s="27" t="n"/>
      <c r="I536" s="99" t="n">
        <v>5</v>
      </c>
      <c r="J536" s="100" t="n">
        <v>5</v>
      </c>
    </row>
    <row r="537" s="83">
      <c r="A537" s="27" t="inlineStr">
        <is>
          <t>101207</t>
        </is>
      </c>
      <c r="B537" s="27" t="n"/>
      <c r="C537" s="27" t="inlineStr">
        <is>
          <t>2025-05-16</t>
        </is>
      </c>
      <c r="D537" s="27" t="inlineStr">
        <is>
          <t>Q0401</t>
        </is>
      </c>
      <c r="E537" s="27" t="n"/>
      <c r="F537" s="27" t="inlineStr">
        <is>
          <t>浙江精准学科技有限公司</t>
        </is>
      </c>
      <c r="G537" s="27" t="inlineStr">
        <is>
          <t>记-104</t>
        </is>
      </c>
      <c r="H537" s="27" t="n"/>
      <c r="I537" s="100" t="n"/>
      <c r="J537" s="100" t="n">
        <v>5</v>
      </c>
    </row>
    <row r="538" s="83">
      <c r="A538" s="26" t="inlineStr">
        <is>
          <t>101207</t>
        </is>
      </c>
      <c r="B538" s="26" t="n"/>
      <c r="C538" s="26" t="inlineStr">
        <is>
          <t>2025-05-20</t>
        </is>
      </c>
      <c r="D538" s="26" t="inlineStr">
        <is>
          <t>Q0401</t>
        </is>
      </c>
      <c r="E538" s="26" t="n"/>
      <c r="F538" s="26" t="inlineStr">
        <is>
          <t>浙江精准学科技有限公司</t>
        </is>
      </c>
      <c r="G538" s="26" t="inlineStr">
        <is>
          <t>记-133</t>
        </is>
      </c>
      <c r="H538" s="26" t="n"/>
      <c r="I538" s="99" t="n"/>
      <c r="J538" s="99" t="n">
        <v>5</v>
      </c>
    </row>
    <row r="539" s="83">
      <c r="A539" s="26" t="inlineStr">
        <is>
          <t>101207</t>
        </is>
      </c>
      <c r="B539" s="26" t="n"/>
      <c r="C539" s="26" t="inlineStr">
        <is>
          <t>2025-05-31</t>
        </is>
      </c>
      <c r="D539" s="26" t="inlineStr">
        <is>
          <t>Q2201</t>
        </is>
      </c>
      <c r="E539" s="26" t="n"/>
      <c r="F539" s="26" t="inlineStr">
        <is>
          <t>浙江精准学科技有限公司</t>
        </is>
      </c>
      <c r="G539" s="26" t="inlineStr">
        <is>
          <t>记-242</t>
        </is>
      </c>
      <c r="H539" s="26" t="n"/>
      <c r="I539" s="99" t="n"/>
      <c r="J539" s="99" t="n">
        <v>5</v>
      </c>
    </row>
    <row r="540" s="83">
      <c r="A540" s="27" t="inlineStr">
        <is>
          <t>101207</t>
        </is>
      </c>
      <c r="B540" s="27" t="n"/>
      <c r="C540" s="27" t="inlineStr">
        <is>
          <t>2025-05-31</t>
        </is>
      </c>
      <c r="D540" s="27" t="inlineStr">
        <is>
          <t>Q2201</t>
        </is>
      </c>
      <c r="E540" s="27" t="n"/>
      <c r="F540" s="27" t="inlineStr">
        <is>
          <t>浙江精准学科技有限公司</t>
        </is>
      </c>
      <c r="G540" s="27" t="inlineStr">
        <is>
          <t>记-242</t>
        </is>
      </c>
      <c r="H540" s="27" t="n"/>
      <c r="I540" s="100" t="n"/>
      <c r="J540" s="100" t="n">
        <v>5</v>
      </c>
    </row>
    <row r="541" s="83">
      <c r="A541" s="27" t="inlineStr">
        <is>
          <t>101207</t>
        </is>
      </c>
      <c r="B541" s="27" t="n"/>
      <c r="C541" s="27" t="inlineStr">
        <is>
          <t>2025-05-31</t>
        </is>
      </c>
      <c r="D541" s="27" t="inlineStr">
        <is>
          <t>Q2204</t>
        </is>
      </c>
      <c r="E541" s="27" t="n"/>
      <c r="F541" s="27" t="inlineStr">
        <is>
          <t>浙江精准学科技有限公司</t>
        </is>
      </c>
      <c r="G541" s="27" t="inlineStr">
        <is>
          <t>记-242</t>
        </is>
      </c>
      <c r="H541" s="27" t="n"/>
      <c r="I541" s="100" t="n"/>
      <c r="J541" s="100" t="n">
        <v>5</v>
      </c>
    </row>
    <row r="542" s="83">
      <c r="A542" s="27" t="inlineStr">
        <is>
          <t>101207</t>
        </is>
      </c>
      <c r="B542" s="27" t="n"/>
      <c r="C542" s="27" t="inlineStr">
        <is>
          <t>2025-05-31</t>
        </is>
      </c>
      <c r="D542" s="27" t="inlineStr">
        <is>
          <t>Q2205</t>
        </is>
      </c>
      <c r="E542" s="27" t="n"/>
      <c r="F542" s="27" t="inlineStr">
        <is>
          <t>浙江精准学科技有限公司</t>
        </is>
      </c>
      <c r="G542" s="27" t="inlineStr">
        <is>
          <t>记-242</t>
        </is>
      </c>
      <c r="H542" s="27" t="n"/>
      <c r="I542" s="100" t="n"/>
      <c r="J542" s="100" t="n">
        <v>5</v>
      </c>
    </row>
    <row r="543" s="83">
      <c r="A543" s="27" t="inlineStr">
        <is>
          <t>101207</t>
        </is>
      </c>
      <c r="B543" s="27" t="n"/>
      <c r="C543" s="27" t="inlineStr">
        <is>
          <t>2025-05-31</t>
        </is>
      </c>
      <c r="D543" s="27" t="inlineStr">
        <is>
          <t>Q2207</t>
        </is>
      </c>
      <c r="E543" s="27" t="n"/>
      <c r="F543" s="27" t="inlineStr">
        <is>
          <t>浙江精准学科技有限公司</t>
        </is>
      </c>
      <c r="G543" s="27" t="inlineStr">
        <is>
          <t>记-242</t>
        </is>
      </c>
      <c r="H543" s="27" t="n"/>
      <c r="I543" s="100" t="n"/>
      <c r="J543" s="100" t="n">
        <v>5</v>
      </c>
    </row>
    <row r="544" s="83">
      <c r="A544" s="27" t="inlineStr">
        <is>
          <t>101207</t>
        </is>
      </c>
      <c r="B544" s="27" t="n"/>
      <c r="C544" s="27" t="inlineStr">
        <is>
          <t>2025-05-31</t>
        </is>
      </c>
      <c r="D544" s="27" t="inlineStr">
        <is>
          <t>Q2208</t>
        </is>
      </c>
      <c r="E544" s="27" t="n"/>
      <c r="F544" s="27" t="inlineStr">
        <is>
          <t>浙江精准学科技有限公司</t>
        </is>
      </c>
      <c r="G544" s="27" t="inlineStr">
        <is>
          <t>记-242</t>
        </is>
      </c>
      <c r="H544" s="27" t="n"/>
      <c r="I544" s="100" t="n"/>
      <c r="J544" s="100" t="n">
        <v>5</v>
      </c>
    </row>
    <row r="545" s="83">
      <c r="A545" s="26" t="inlineStr">
        <is>
          <t>100202</t>
        </is>
      </c>
      <c r="B545" s="26" t="n"/>
      <c r="C545" s="26" t="inlineStr">
        <is>
          <t>2025-05-30</t>
        </is>
      </c>
      <c r="D545" s="26" t="inlineStr">
        <is>
          <t>Q0302</t>
        </is>
      </c>
      <c r="E545" s="26" t="n"/>
      <c r="F545" s="26" t="inlineStr">
        <is>
          <t>HK01</t>
        </is>
      </c>
      <c r="G545" s="26" t="inlineStr">
        <is>
          <t>记-1</t>
        </is>
      </c>
      <c r="H545" s="26" t="n"/>
      <c r="I545" s="99" t="n">
        <v>5</v>
      </c>
      <c r="J545" s="99" t="n">
        <v>5</v>
      </c>
    </row>
    <row r="546" s="83">
      <c r="A546" s="27" t="inlineStr">
        <is>
          <t>100202</t>
        </is>
      </c>
      <c r="B546" s="27" t="n"/>
      <c r="C546" s="27" t="inlineStr">
        <is>
          <t>2025-05-09</t>
        </is>
      </c>
      <c r="D546" s="27" t="inlineStr">
        <is>
          <t>Q0401</t>
        </is>
      </c>
      <c r="E546" s="27" t="n"/>
      <c r="F546" s="27" t="inlineStr">
        <is>
          <t>HK01</t>
        </is>
      </c>
      <c r="G546" s="27" t="inlineStr">
        <is>
          <t>记-3</t>
        </is>
      </c>
      <c r="H546" s="27" t="n"/>
      <c r="I546" s="99" t="n">
        <v>5</v>
      </c>
      <c r="J546" s="100" t="n">
        <v>5</v>
      </c>
    </row>
    <row r="547" s="83">
      <c r="A547" s="26" t="inlineStr">
        <is>
          <t>100202</t>
        </is>
      </c>
      <c r="B547" s="26" t="n"/>
      <c r="C547" s="26" t="inlineStr">
        <is>
          <t>2025-05-13</t>
        </is>
      </c>
      <c r="D547" s="26" t="inlineStr">
        <is>
          <t>Q0401</t>
        </is>
      </c>
      <c r="E547" s="26" t="n"/>
      <c r="F547" s="26" t="inlineStr">
        <is>
          <t>HK01</t>
        </is>
      </c>
      <c r="G547" s="26" t="inlineStr">
        <is>
          <t>记-6</t>
        </is>
      </c>
      <c r="H547" s="26" t="n"/>
      <c r="I547" s="99" t="n">
        <v>5</v>
      </c>
      <c r="J547" s="99" t="n">
        <v>5</v>
      </c>
    </row>
    <row r="548" s="83">
      <c r="A548" s="26" t="inlineStr">
        <is>
          <t>100202</t>
        </is>
      </c>
      <c r="B548" s="26" t="n"/>
      <c r="C548" s="26" t="inlineStr">
        <is>
          <t>2025-05-13</t>
        </is>
      </c>
      <c r="D548" s="26" t="inlineStr">
        <is>
          <t>Q0501</t>
        </is>
      </c>
      <c r="E548" s="26" t="n"/>
      <c r="F548" s="26" t="inlineStr">
        <is>
          <t>HK01</t>
        </is>
      </c>
      <c r="G548" s="26" t="inlineStr">
        <is>
          <t>记-4</t>
        </is>
      </c>
      <c r="H548" s="26" t="n"/>
      <c r="I548" s="99" t="n">
        <v>5</v>
      </c>
      <c r="J548" s="99" t="n">
        <v>5</v>
      </c>
    </row>
    <row r="549" s="83">
      <c r="A549" s="27" t="inlineStr">
        <is>
          <t>100202</t>
        </is>
      </c>
      <c r="B549" s="27" t="n"/>
      <c r="C549" s="27" t="inlineStr">
        <is>
          <t>2025-05-26</t>
        </is>
      </c>
      <c r="D549" s="27" t="inlineStr">
        <is>
          <t>Q0501</t>
        </is>
      </c>
      <c r="E549" s="27" t="n"/>
      <c r="F549" s="27" t="inlineStr">
        <is>
          <t>HK01</t>
        </is>
      </c>
      <c r="G549" s="27" t="inlineStr">
        <is>
          <t>记-8</t>
        </is>
      </c>
      <c r="H549" s="27" t="n"/>
      <c r="I549" s="99" t="n">
        <v>5</v>
      </c>
      <c r="J549" s="100" t="n">
        <v>5</v>
      </c>
    </row>
    <row r="550" s="83">
      <c r="A550" s="26" t="inlineStr">
        <is>
          <t>100202</t>
        </is>
      </c>
      <c r="B550" s="26" t="n"/>
      <c r="C550" s="26" t="inlineStr">
        <is>
          <t>2025-05-09</t>
        </is>
      </c>
      <c r="D550" s="26" t="inlineStr">
        <is>
          <t>Q0601</t>
        </is>
      </c>
      <c r="E550" s="26" t="n"/>
      <c r="F550" s="26" t="inlineStr">
        <is>
          <t>HK01</t>
        </is>
      </c>
      <c r="G550" s="26" t="inlineStr">
        <is>
          <t>记-3</t>
        </is>
      </c>
      <c r="H550" s="33" t="n"/>
      <c r="I550" s="99" t="n"/>
      <c r="J550" s="99" t="n">
        <v>5</v>
      </c>
    </row>
    <row r="551" s="83">
      <c r="A551" s="26" t="inlineStr">
        <is>
          <t>100202</t>
        </is>
      </c>
      <c r="B551" s="26" t="n"/>
      <c r="C551" s="26" t="inlineStr">
        <is>
          <t>2025-05-13</t>
        </is>
      </c>
      <c r="D551" s="26" t="inlineStr">
        <is>
          <t>Q0701</t>
        </is>
      </c>
      <c r="E551" s="26" t="n"/>
      <c r="F551" s="26" t="inlineStr">
        <is>
          <t>HK01</t>
        </is>
      </c>
      <c r="G551" s="26" t="inlineStr">
        <is>
          <t>记-5</t>
        </is>
      </c>
      <c r="H551" s="26" t="n"/>
      <c r="I551" s="99" t="n"/>
      <c r="J551" s="99" t="n">
        <v>5</v>
      </c>
    </row>
    <row r="552" s="83">
      <c r="A552" s="27" t="inlineStr">
        <is>
          <t>100202</t>
        </is>
      </c>
      <c r="B552" s="27" t="n"/>
      <c r="C552" s="27" t="inlineStr">
        <is>
          <t>2025-05-26</t>
        </is>
      </c>
      <c r="D552" s="27" t="inlineStr">
        <is>
          <t>Q0701</t>
        </is>
      </c>
      <c r="E552" s="27" t="n"/>
      <c r="F552" s="27" t="inlineStr">
        <is>
          <t>HK01</t>
        </is>
      </c>
      <c r="G552" s="27" t="inlineStr">
        <is>
          <t>记-10</t>
        </is>
      </c>
      <c r="H552" s="27" t="n"/>
      <c r="I552" s="100" t="n"/>
      <c r="J552" s="100" t="n">
        <v>5</v>
      </c>
    </row>
    <row r="553" s="83">
      <c r="A553" s="27" t="inlineStr">
        <is>
          <t>100202</t>
        </is>
      </c>
      <c r="B553" s="27" t="n"/>
      <c r="C553" s="27" t="inlineStr">
        <is>
          <t>2025-05-13</t>
        </is>
      </c>
      <c r="D553" s="27" t="inlineStr">
        <is>
          <t>Q3101</t>
        </is>
      </c>
      <c r="E553" s="27" t="n"/>
      <c r="F553" s="27" t="inlineStr">
        <is>
          <t>HK01</t>
        </is>
      </c>
      <c r="G553" s="27" t="inlineStr">
        <is>
          <t>记-7</t>
        </is>
      </c>
      <c r="H553" s="27" t="n"/>
      <c r="I553" s="100" t="n"/>
      <c r="J553" s="100" t="n">
        <v>5</v>
      </c>
    </row>
    <row r="554" s="83">
      <c r="A554" s="26" t="inlineStr">
        <is>
          <t>100202</t>
        </is>
      </c>
      <c r="B554" s="26" t="n"/>
      <c r="C554" s="26" t="inlineStr">
        <is>
          <t>2025-05-26</t>
        </is>
      </c>
      <c r="D554" s="26" t="inlineStr">
        <is>
          <t>Q3101</t>
        </is>
      </c>
      <c r="E554" s="26" t="n"/>
      <c r="F554" s="26" t="inlineStr">
        <is>
          <t>HK01</t>
        </is>
      </c>
      <c r="G554" s="26" t="inlineStr">
        <is>
          <t>记-9</t>
        </is>
      </c>
      <c r="H554" s="26" t="n"/>
      <c r="I554" s="99" t="n"/>
      <c r="J554" s="99" t="n">
        <v>5</v>
      </c>
    </row>
    <row r="555" s="83">
      <c r="A555" s="26" t="inlineStr">
        <is>
          <t>100203</t>
        </is>
      </c>
      <c r="B555" s="26" t="n"/>
      <c r="C555" s="26" t="inlineStr">
        <is>
          <t>2025-05-13</t>
        </is>
      </c>
      <c r="D555" s="26" t="inlineStr">
        <is>
          <t>Q3101</t>
        </is>
      </c>
      <c r="E555" s="26" t="n"/>
      <c r="F555" s="26" t="inlineStr">
        <is>
          <t>HK01</t>
        </is>
      </c>
      <c r="G555" s="26" t="inlineStr">
        <is>
          <t>记-2</t>
        </is>
      </c>
      <c r="H555" s="33" t="n"/>
      <c r="I555" s="99" t="n"/>
      <c r="J555" s="99" t="n">
        <v>5</v>
      </c>
    </row>
    <row r="556" s="83">
      <c r="A556" s="26" t="inlineStr">
        <is>
          <t>100203</t>
        </is>
      </c>
      <c r="B556" s="26" t="n"/>
      <c r="C556" s="26" t="inlineStr">
        <is>
          <t>2025-05-30</t>
        </is>
      </c>
      <c r="D556" s="26" t="inlineStr">
        <is>
          <t>Q3105</t>
        </is>
      </c>
      <c r="E556" s="26" t="n"/>
      <c r="F556" s="26" t="inlineStr">
        <is>
          <t>HK01</t>
        </is>
      </c>
      <c r="G556" s="26" t="inlineStr">
        <is>
          <t>记-11</t>
        </is>
      </c>
      <c r="H556" s="26" t="n"/>
      <c r="I556" s="99" t="n">
        <v>5</v>
      </c>
      <c r="J556" s="99" t="n">
        <v>5</v>
      </c>
    </row>
    <row r="557" s="83">
      <c r="A557" s="26" t="inlineStr">
        <is>
          <t>100202</t>
        </is>
      </c>
      <c r="B557" s="26" t="n"/>
      <c r="C557" s="26" t="inlineStr">
        <is>
          <t>2025-05-30</t>
        </is>
      </c>
      <c r="D557" s="26" t="inlineStr">
        <is>
          <t>Q0302</t>
        </is>
      </c>
      <c r="E557" s="26" t="n"/>
      <c r="F557" s="26" t="inlineStr">
        <is>
          <t>SMART AI LIMITED</t>
        </is>
      </c>
      <c r="G557" s="26" t="inlineStr">
        <is>
          <t>记-1</t>
        </is>
      </c>
      <c r="H557" s="26" t="n"/>
      <c r="I557" s="99" t="n">
        <v>5</v>
      </c>
      <c r="J557" s="99" t="n">
        <v>5</v>
      </c>
    </row>
    <row r="558" s="83">
      <c r="A558" s="26" t="inlineStr">
        <is>
          <t>100202</t>
        </is>
      </c>
      <c r="B558" s="26" t="n"/>
      <c r="C558" s="26" t="inlineStr">
        <is>
          <t>2025-05-13</t>
        </is>
      </c>
      <c r="D558" s="26" t="inlineStr">
        <is>
          <t>Q0501</t>
        </is>
      </c>
      <c r="E558" s="26" t="n"/>
      <c r="F558" s="26" t="inlineStr">
        <is>
          <t>SMART AI LIMITED</t>
        </is>
      </c>
      <c r="G558" s="26" t="inlineStr">
        <is>
          <t>记-2</t>
        </is>
      </c>
      <c r="H558" s="26" t="n"/>
      <c r="I558" s="99" t="n">
        <v>5</v>
      </c>
      <c r="J558" s="99" t="n">
        <v>5</v>
      </c>
    </row>
    <row r="559" s="83">
      <c r="A559" s="27" t="inlineStr">
        <is>
          <t>100202</t>
        </is>
      </c>
      <c r="B559" s="27" t="n"/>
      <c r="C559" s="27" t="inlineStr">
        <is>
          <t>2025-05-26</t>
        </is>
      </c>
      <c r="D559" s="27" t="inlineStr">
        <is>
          <t>Q0501</t>
        </is>
      </c>
      <c r="E559" s="27" t="n"/>
      <c r="F559" s="27" t="inlineStr">
        <is>
          <t>SMART AI LIMITED</t>
        </is>
      </c>
      <c r="G559" s="27" t="inlineStr">
        <is>
          <t>记-3</t>
        </is>
      </c>
      <c r="H559" s="27" t="n"/>
      <c r="I559" s="99" t="n">
        <v>5</v>
      </c>
      <c r="J559" s="100" t="n">
        <v>5</v>
      </c>
    </row>
    <row r="560" s="83">
      <c r="A560" s="27" t="inlineStr">
        <is>
          <t>100202</t>
        </is>
      </c>
      <c r="B560" s="27" t="n"/>
      <c r="C560" s="27" t="inlineStr">
        <is>
          <t>2025-05-13</t>
        </is>
      </c>
      <c r="D560" s="27" t="inlineStr">
        <is>
          <t>Q0701</t>
        </is>
      </c>
      <c r="E560" s="27" t="n"/>
      <c r="F560" s="27" t="inlineStr">
        <is>
          <t>SMART AI LIMITED</t>
        </is>
      </c>
      <c r="G560" s="27" t="inlineStr">
        <is>
          <t>记-4</t>
        </is>
      </c>
      <c r="H560" s="27" t="n"/>
      <c r="I560" s="100" t="n"/>
      <c r="J560" s="100" t="n">
        <v>5</v>
      </c>
    </row>
    <row r="561" s="83">
      <c r="A561" s="26" t="inlineStr">
        <is>
          <t>100202</t>
        </is>
      </c>
      <c r="B561" s="26" t="n"/>
      <c r="C561" s="26" t="inlineStr">
        <is>
          <t>2025-05-26</t>
        </is>
      </c>
      <c r="D561" s="26" t="inlineStr">
        <is>
          <t>Q0701</t>
        </is>
      </c>
      <c r="E561" s="26" t="n"/>
      <c r="F561" s="26" t="inlineStr">
        <is>
          <t>SMART AI LIMITED</t>
        </is>
      </c>
      <c r="G561" s="26" t="inlineStr">
        <is>
          <t>记-5</t>
        </is>
      </c>
      <c r="H561" s="26" t="n"/>
      <c r="I561" s="99" t="n"/>
      <c r="J561" s="99" t="n">
        <v>5</v>
      </c>
    </row>
    <row r="562" s="83">
      <c r="A562" s="26" t="inlineStr">
        <is>
          <t>100203</t>
        </is>
      </c>
      <c r="B562" s="26" t="n"/>
      <c r="C562" s="26" t="inlineStr">
        <is>
          <t>2025-05-30</t>
        </is>
      </c>
      <c r="D562" s="26" t="inlineStr">
        <is>
          <t>Q3105</t>
        </is>
      </c>
      <c r="E562" s="26" t="n"/>
      <c r="F562" s="26" t="inlineStr">
        <is>
          <t>SMART AI LIMITED</t>
        </is>
      </c>
      <c r="G562" s="26" t="inlineStr">
        <is>
          <t>记-6</t>
        </is>
      </c>
      <c r="H562" s="26" t="n"/>
      <c r="I562" s="99" t="n">
        <v>5</v>
      </c>
      <c r="J562" s="99" t="n">
        <v>5</v>
      </c>
    </row>
    <row r="563" s="83">
      <c r="A563" s="26" t="inlineStr">
        <is>
          <t>100201</t>
        </is>
      </c>
      <c r="B563" s="26" t="n"/>
      <c r="C563" s="26" t="inlineStr">
        <is>
          <t>2025-05-30</t>
        </is>
      </c>
      <c r="D563" s="26" t="inlineStr">
        <is>
          <t>Q0302</t>
        </is>
      </c>
      <c r="E563" s="26" t="n"/>
      <c r="F563" s="26" t="inlineStr">
        <is>
          <t>SMART LEARNING HOLDING</t>
        </is>
      </c>
      <c r="G563" s="26" t="inlineStr">
        <is>
          <t>记-2</t>
        </is>
      </c>
      <c r="H563" s="26" t="n"/>
      <c r="I563" s="99" t="n">
        <v>5</v>
      </c>
      <c r="J563" s="99" t="n">
        <v>5</v>
      </c>
    </row>
    <row r="564" s="83">
      <c r="A564" s="26" t="inlineStr">
        <is>
          <t>100201</t>
        </is>
      </c>
      <c r="B564" s="26" t="n"/>
      <c r="C564" s="26" t="inlineStr">
        <is>
          <t>2025-05-13</t>
        </is>
      </c>
      <c r="D564" s="26" t="inlineStr">
        <is>
          <t>Q0401</t>
        </is>
      </c>
      <c r="E564" s="26" t="n"/>
      <c r="F564" s="26" t="inlineStr">
        <is>
          <t>SMART LEARNING HOLDING</t>
        </is>
      </c>
      <c r="G564" s="26" t="inlineStr">
        <is>
          <t>记-3</t>
        </is>
      </c>
      <c r="H564" s="26" t="n"/>
      <c r="I564" s="99" t="n"/>
      <c r="J564" s="99" t="n">
        <v>5</v>
      </c>
    </row>
    <row r="565" customFormat="1" s="21">
      <c r="A565" s="32" t="n"/>
      <c r="B565" s="32" t="n"/>
      <c r="C565" s="32" t="n"/>
      <c r="D565" s="32" t="inlineStr">
        <is>
          <t>Q3105</t>
        </is>
      </c>
      <c r="E565" s="32" t="n"/>
      <c r="F565" s="32" t="inlineStr">
        <is>
          <t>SMART LEARNING HOLDING</t>
        </is>
      </c>
      <c r="G565" s="32" t="inlineStr">
        <is>
          <t>记-3</t>
        </is>
      </c>
      <c r="H565" s="32" t="n"/>
      <c r="I565" s="101" t="n"/>
      <c r="J565" s="101" t="n">
        <v>5</v>
      </c>
    </row>
    <row r="566" s="83">
      <c r="A566" s="27" t="inlineStr">
        <is>
          <t>100201</t>
        </is>
      </c>
      <c r="B566" s="27" t="n"/>
      <c r="C566" s="27" t="inlineStr">
        <is>
          <t>2025-05-16</t>
        </is>
      </c>
      <c r="D566" s="27" t="inlineStr">
        <is>
          <t>Q0401</t>
        </is>
      </c>
      <c r="E566" s="27" t="n"/>
      <c r="F566" s="27" t="inlineStr">
        <is>
          <t>SMART LEARNING HOLDING</t>
        </is>
      </c>
      <c r="G566" s="27" t="inlineStr">
        <is>
          <t>记-4</t>
        </is>
      </c>
      <c r="H566" s="27" t="n"/>
      <c r="I566" s="100" t="n"/>
      <c r="J566" s="100" t="n">
        <v>5</v>
      </c>
    </row>
    <row r="567" customFormat="1" s="21">
      <c r="A567" s="32" t="n"/>
      <c r="B567" s="32" t="n"/>
      <c r="C567" s="32" t="n"/>
      <c r="D567" s="32" t="inlineStr">
        <is>
          <t>Q3105</t>
        </is>
      </c>
      <c r="E567" s="32" t="n"/>
      <c r="F567" s="32" t="inlineStr">
        <is>
          <t>SMART LEARNING HOLDING</t>
        </is>
      </c>
      <c r="G567" s="32" t="inlineStr">
        <is>
          <t>记-4</t>
        </is>
      </c>
      <c r="H567" s="32" t="n"/>
      <c r="I567" s="101" t="n"/>
      <c r="J567" s="101" t="n">
        <v>5</v>
      </c>
    </row>
    <row r="568" s="83">
      <c r="A568" s="27" t="inlineStr">
        <is>
          <t>100201</t>
        </is>
      </c>
      <c r="B568" s="27" t="n"/>
      <c r="C568" s="27" t="inlineStr">
        <is>
          <t>2025-05-30</t>
        </is>
      </c>
      <c r="D568" s="27" t="inlineStr">
        <is>
          <t>Q3105</t>
        </is>
      </c>
      <c r="E568" s="27" t="n"/>
      <c r="F568" s="27" t="inlineStr">
        <is>
          <t>SMART LEARNING HOLDING</t>
        </is>
      </c>
      <c r="G568" s="27" t="inlineStr">
        <is>
          <t>记-9</t>
        </is>
      </c>
      <c r="H568" s="27" t="n"/>
      <c r="I568" s="99" t="n">
        <v>5</v>
      </c>
      <c r="J568" s="100" t="n">
        <v>5</v>
      </c>
    </row>
    <row r="569" s="83">
      <c r="A569" s="26" t="inlineStr">
        <is>
          <t>100202</t>
        </is>
      </c>
      <c r="B569" s="26" t="n"/>
      <c r="C569" s="26" t="inlineStr">
        <is>
          <t>2025-05-30</t>
        </is>
      </c>
      <c r="D569" s="26" t="inlineStr">
        <is>
          <t>Q0302</t>
        </is>
      </c>
      <c r="E569" s="26" t="n"/>
      <c r="F569" s="26" t="inlineStr">
        <is>
          <t>SMART LEARNING HOLDING</t>
        </is>
      </c>
      <c r="G569" s="26" t="inlineStr">
        <is>
          <t>记-1</t>
        </is>
      </c>
      <c r="H569" s="26" t="n"/>
      <c r="I569" s="99" t="n">
        <v>5</v>
      </c>
      <c r="J569" s="99" t="n">
        <v>5</v>
      </c>
    </row>
    <row r="570" s="83">
      <c r="A570" s="26" t="inlineStr">
        <is>
          <t>100202</t>
        </is>
      </c>
      <c r="B570" s="26" t="n"/>
      <c r="C570" s="26" t="inlineStr">
        <is>
          <t>2025-05-09</t>
        </is>
      </c>
      <c r="D570" s="26" t="inlineStr">
        <is>
          <t>Q0401</t>
        </is>
      </c>
      <c r="E570" s="26" t="n"/>
      <c r="F570" s="26" t="inlineStr">
        <is>
          <t>SMART LEARNING HOLDING</t>
        </is>
      </c>
      <c r="G570" s="26" t="inlineStr">
        <is>
          <t>记-5</t>
        </is>
      </c>
      <c r="H570" s="26" t="n"/>
      <c r="I570" s="99" t="n">
        <v>5</v>
      </c>
      <c r="J570" s="99" t="n">
        <v>5</v>
      </c>
    </row>
    <row r="571" s="83">
      <c r="A571" s="27" t="inlineStr">
        <is>
          <t>100202</t>
        </is>
      </c>
      <c r="B571" s="27" t="n"/>
      <c r="C571" s="27" t="inlineStr">
        <is>
          <t>2025-05-13</t>
        </is>
      </c>
      <c r="D571" s="27" t="inlineStr">
        <is>
          <t>Q0401</t>
        </is>
      </c>
      <c r="E571" s="27" t="n"/>
      <c r="F571" s="27" t="inlineStr">
        <is>
          <t>SMART LEARNING HOLDING</t>
        </is>
      </c>
      <c r="G571" s="27" t="inlineStr">
        <is>
          <t>记-3</t>
        </is>
      </c>
      <c r="H571" s="27" t="n"/>
      <c r="I571" s="99" t="n">
        <v>5</v>
      </c>
      <c r="J571" s="100" t="n">
        <v>5</v>
      </c>
    </row>
    <row r="572" s="83">
      <c r="A572" s="26" t="inlineStr">
        <is>
          <t>100202</t>
        </is>
      </c>
      <c r="B572" s="26" t="n"/>
      <c r="C572" s="26" t="inlineStr">
        <is>
          <t>2025-05-13</t>
        </is>
      </c>
      <c r="D572" s="32" t="inlineStr">
        <is>
          <t>Q0601</t>
        </is>
      </c>
      <c r="E572" s="32" t="n"/>
      <c r="F572" s="26" t="inlineStr">
        <is>
          <t>SMART LEARNING HOLDING</t>
        </is>
      </c>
      <c r="G572" s="26" t="inlineStr">
        <is>
          <t>记-8</t>
        </is>
      </c>
      <c r="H572" s="26" t="n"/>
      <c r="I572" s="99" t="n"/>
      <c r="J572" s="99" t="n">
        <v>5</v>
      </c>
    </row>
    <row r="573" s="83">
      <c r="A573" s="27" t="inlineStr">
        <is>
          <t>100202</t>
        </is>
      </c>
      <c r="B573" s="27" t="n"/>
      <c r="C573" s="27" t="inlineStr">
        <is>
          <t>2025-05-16</t>
        </is>
      </c>
      <c r="D573" s="27" t="inlineStr">
        <is>
          <t>Q0401</t>
        </is>
      </c>
      <c r="E573" s="27" t="n"/>
      <c r="F573" s="27" t="inlineStr">
        <is>
          <t>SMART LEARNING HOLDING</t>
        </is>
      </c>
      <c r="G573" s="27" t="inlineStr">
        <is>
          <t>记-4</t>
        </is>
      </c>
      <c r="H573" s="27" t="n"/>
      <c r="I573" s="99" t="n">
        <v>5</v>
      </c>
      <c r="J573" s="100" t="n">
        <v>5</v>
      </c>
    </row>
    <row r="574" s="83">
      <c r="A574" s="26" t="inlineStr">
        <is>
          <t>100202</t>
        </is>
      </c>
      <c r="B574" s="26" t="n"/>
      <c r="C574" s="26" t="inlineStr">
        <is>
          <t>2025-05-09</t>
        </is>
      </c>
      <c r="D574" s="26" t="inlineStr">
        <is>
          <t>Q0601</t>
        </is>
      </c>
      <c r="E574" s="26" t="n"/>
      <c r="F574" s="26" t="inlineStr">
        <is>
          <t>SMART LEARNING HOLDING</t>
        </is>
      </c>
      <c r="G574" s="26" t="inlineStr">
        <is>
          <t>记-5</t>
        </is>
      </c>
      <c r="H574" s="33" t="n"/>
      <c r="I574" s="99" t="n"/>
      <c r="J574" s="99" t="n">
        <v>5</v>
      </c>
    </row>
    <row r="575" s="83">
      <c r="A575" s="26" t="inlineStr">
        <is>
          <t>100202</t>
        </is>
      </c>
      <c r="B575" s="26" t="n"/>
      <c r="C575" s="26" t="inlineStr">
        <is>
          <t>2025-05-13</t>
        </is>
      </c>
      <c r="D575" s="26" t="inlineStr">
        <is>
          <t>Q0701</t>
        </is>
      </c>
      <c r="E575" s="26" t="n"/>
      <c r="F575" s="26" t="inlineStr">
        <is>
          <t>SMART LEARNING HOLDING</t>
        </is>
      </c>
      <c r="G575" s="26" t="inlineStr">
        <is>
          <t>记-6</t>
        </is>
      </c>
      <c r="H575" s="26" t="n"/>
      <c r="I575" s="99" t="n"/>
      <c r="J575" s="99" t="n">
        <v>5</v>
      </c>
    </row>
    <row r="576" s="83">
      <c r="A576" s="27" t="inlineStr">
        <is>
          <t>100202</t>
        </is>
      </c>
      <c r="B576" s="27" t="n"/>
      <c r="C576" s="27" t="inlineStr">
        <is>
          <t>2025-05-26</t>
        </is>
      </c>
      <c r="D576" s="27" t="inlineStr">
        <is>
          <t>Q0701</t>
        </is>
      </c>
      <c r="E576" s="27" t="n"/>
      <c r="F576" s="27" t="inlineStr">
        <is>
          <t>SMART LEARNING HOLDING</t>
        </is>
      </c>
      <c r="G576" s="27" t="inlineStr">
        <is>
          <t>记-7</t>
        </is>
      </c>
      <c r="H576" s="27" t="n"/>
      <c r="I576" s="100" t="n"/>
      <c r="J576" s="100" t="n">
        <v>5</v>
      </c>
    </row>
    <row r="577" s="83">
      <c r="A577" s="27" t="inlineStr">
        <is>
          <t>100203</t>
        </is>
      </c>
      <c r="B577" s="27" t="n"/>
      <c r="C577" s="27" t="inlineStr">
        <is>
          <t>2025-05-30</t>
        </is>
      </c>
      <c r="D577" s="27" t="inlineStr">
        <is>
          <t>Q3105</t>
        </is>
      </c>
      <c r="E577" s="27" t="n"/>
      <c r="F577" s="27" t="inlineStr">
        <is>
          <t>SMART LEARNING HOLDING</t>
        </is>
      </c>
      <c r="G577" s="27" t="inlineStr">
        <is>
          <t>记-9</t>
        </is>
      </c>
      <c r="H577" s="27" t="n"/>
      <c r="I577" s="99" t="n">
        <v>5</v>
      </c>
      <c r="J577" s="100" t="n">
        <v>5</v>
      </c>
    </row>
    <row r="578" s="83">
      <c r="A578" s="26" t="n"/>
      <c r="B578" s="26" t="n"/>
      <c r="C578" s="26" t="n"/>
      <c r="D578" s="26" t="inlineStr">
        <is>
          <t>Q3105</t>
        </is>
      </c>
      <c r="E578" s="26" t="n"/>
      <c r="F578" s="26" t="inlineStr">
        <is>
          <t>浙江精准学科技有限公司</t>
        </is>
      </c>
      <c r="G578" s="26" t="inlineStr">
        <is>
          <t>记-247</t>
        </is>
      </c>
      <c r="H578" s="26" t="n"/>
      <c r="I578" s="99" t="n">
        <v>5</v>
      </c>
      <c r="J578" s="99" t="n">
        <v>5</v>
      </c>
    </row>
    <row r="579" s="83">
      <c r="A579" s="26" t="n"/>
      <c r="B579" s="26" t="n"/>
      <c r="C579" s="26" t="n"/>
      <c r="D579" s="26" t="inlineStr">
        <is>
          <t>Q0101</t>
        </is>
      </c>
      <c r="E579" s="26" t="n"/>
      <c r="F579" s="26" t="inlineStr">
        <is>
          <t>浙江精准学科技有限公司</t>
        </is>
      </c>
      <c r="G579" s="26" t="inlineStr">
        <is>
          <t>记-248</t>
        </is>
      </c>
      <c r="H579" s="26" t="n"/>
      <c r="I579" s="99" t="n"/>
      <c r="J579" s="99" t="n">
        <v>5</v>
      </c>
    </row>
    <row r="580" s="83">
      <c r="A580" s="26" t="n"/>
      <c r="B580" s="26" t="n"/>
      <c r="C580" s="26" t="n"/>
      <c r="D580" s="26" t="inlineStr">
        <is>
          <t>Q3101</t>
        </is>
      </c>
      <c r="E580" s="26" t="n"/>
      <c r="F580" s="26" t="inlineStr">
        <is>
          <t>SMART LEARNING HOLDING</t>
        </is>
      </c>
      <c r="G580" s="26" t="inlineStr">
        <is>
          <t>记-10</t>
        </is>
      </c>
      <c r="H580" s="26" t="n"/>
      <c r="I580" s="99" t="n"/>
      <c r="J580" s="99" t="n">
        <v>5</v>
      </c>
    </row>
  </sheetData>
  <autoFilter ref="A1:XEY1048576"/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M593"/>
  <sheetViews>
    <sheetView workbookViewId="0">
      <pane ySplit="1" topLeftCell="A21" activePane="bottomLeft" state="frozen"/>
      <selection activeCell="A1" sqref="A1"/>
      <selection pane="bottomLeft" activeCell="L28" sqref="L28"/>
    </sheetView>
  </sheetViews>
  <sheetFormatPr baseColWidth="8" defaultColWidth="8.838461538461541" defaultRowHeight="15" customHeight="1"/>
  <cols>
    <col width="8.838461538461541" customWidth="1" style="5" min="1" max="1"/>
    <col width="12.1538461538462" customWidth="1" style="5" min="2" max="2"/>
    <col width="11.5" customWidth="1" style="5" min="3" max="3"/>
    <col width="12.3307692307692" customWidth="1" style="5" min="4" max="4"/>
    <col width="16.8307692307692" customWidth="1" style="5" min="5" max="5"/>
    <col width="21.1615384615385" customWidth="1" style="5" min="6" max="6"/>
    <col width="9" customWidth="1" style="5" min="7" max="7"/>
    <col width="18" customWidth="1" style="6" min="8" max="8"/>
    <col width="13.6615384615385" customWidth="1" style="89" min="9" max="9"/>
    <col width="15.1615384615385" customWidth="1" style="89" min="10" max="10"/>
    <col width="10.1615384615385" customWidth="1" style="5" min="11" max="11"/>
    <col width="15.1615384615385" customWidth="1" style="89" min="12" max="12"/>
    <col width="10.6615384615385" customWidth="1" style="5" min="13" max="13"/>
    <col width="8.838461538461541" customWidth="1" style="5" min="14" max="40"/>
  </cols>
  <sheetData>
    <row r="1" s="83">
      <c r="A1" s="10" t="inlineStr">
        <is>
          <t>科目编码</t>
        </is>
      </c>
      <c r="B1" s="10" t="inlineStr">
        <is>
          <t>科目名称</t>
        </is>
      </c>
      <c r="C1" s="10" t="inlineStr">
        <is>
          <t>日期</t>
        </is>
      </c>
      <c r="D1" s="10" t="inlineStr">
        <is>
          <t>费用项目编码</t>
        </is>
      </c>
      <c r="E1" s="10" t="inlineStr">
        <is>
          <t>费用项目名称</t>
        </is>
      </c>
      <c r="F1" s="10" t="inlineStr">
        <is>
          <t>核算账簿</t>
        </is>
      </c>
      <c r="G1" s="10" t="inlineStr">
        <is>
          <t>凭证号</t>
        </is>
      </c>
      <c r="H1" s="10" t="inlineStr">
        <is>
          <t>摘要</t>
        </is>
      </c>
      <c r="I1" s="86" t="inlineStr">
        <is>
          <t>借方本币</t>
        </is>
      </c>
      <c r="J1" s="86" t="inlineStr">
        <is>
          <t>贷方本币</t>
        </is>
      </c>
      <c r="K1" s="10" t="n"/>
      <c r="L1" s="86" t="n"/>
      <c r="M1" s="10" t="n"/>
    </row>
    <row r="2" s="83">
      <c r="A2" s="11" t="inlineStr">
        <is>
          <t>100201</t>
        </is>
      </c>
      <c r="B2" s="11" t="n"/>
      <c r="C2" s="11" t="inlineStr">
        <is>
          <t>2025-06-21</t>
        </is>
      </c>
      <c r="D2" s="11" t="inlineStr">
        <is>
          <t>Q0302</t>
        </is>
      </c>
      <c r="E2" s="11" t="n"/>
      <c r="F2" s="11" t="inlineStr">
        <is>
          <t>杭州目标准科技有限公司</t>
        </is>
      </c>
      <c r="G2" s="11" t="inlineStr">
        <is>
          <t>记-1</t>
        </is>
      </c>
      <c r="H2" s="11" t="n"/>
      <c r="I2" s="88" t="n">
        <v>6</v>
      </c>
      <c r="J2" s="88" t="n"/>
      <c r="K2" s="16" t="n"/>
      <c r="L2" s="88" t="n"/>
      <c r="M2" s="11" t="n"/>
    </row>
    <row r="3" s="83">
      <c r="A3" s="11" t="inlineStr">
        <is>
          <t>100201</t>
        </is>
      </c>
      <c r="B3" s="11" t="n"/>
      <c r="C3" s="11" t="inlineStr">
        <is>
          <t>2025-06-21</t>
        </is>
      </c>
      <c r="D3" s="11" t="inlineStr">
        <is>
          <t>Q0302</t>
        </is>
      </c>
      <c r="E3" s="11" t="n"/>
      <c r="F3" s="11" t="inlineStr">
        <is>
          <t>杭州实时查科技有限公司</t>
        </is>
      </c>
      <c r="G3" s="11" t="inlineStr">
        <is>
          <t>记-7</t>
        </is>
      </c>
      <c r="H3" s="11" t="n"/>
      <c r="I3" s="88" t="n">
        <v>6</v>
      </c>
      <c r="J3" s="88" t="n"/>
      <c r="K3" s="16" t="n"/>
      <c r="L3" s="88" t="n"/>
      <c r="M3" s="11" t="n"/>
    </row>
    <row r="4" s="83">
      <c r="A4" s="11" t="inlineStr">
        <is>
          <t>100201</t>
        </is>
      </c>
      <c r="B4" s="11" t="n"/>
      <c r="C4" s="11" t="inlineStr">
        <is>
          <t>2025-06-30</t>
        </is>
      </c>
      <c r="D4" s="11" t="inlineStr">
        <is>
          <t>Q0901</t>
        </is>
      </c>
      <c r="E4" s="11" t="n"/>
      <c r="F4" s="11" t="inlineStr">
        <is>
          <t>杭州实时查科技有限公司</t>
        </is>
      </c>
      <c r="G4" s="11" t="inlineStr">
        <is>
          <t>记-12</t>
        </is>
      </c>
      <c r="H4" s="12" t="n"/>
      <c r="I4" s="102" t="n"/>
      <c r="J4" s="102" t="n">
        <v>6</v>
      </c>
      <c r="K4" s="16" t="n"/>
      <c r="L4" s="88" t="n"/>
      <c r="M4" s="11" t="n"/>
    </row>
    <row r="5" s="83">
      <c r="A5" s="13" t="inlineStr">
        <is>
          <t>100201</t>
        </is>
      </c>
      <c r="B5" s="13" t="n"/>
      <c r="C5" s="13" t="inlineStr">
        <is>
          <t>2025-06-30</t>
        </is>
      </c>
      <c r="D5" s="13" t="inlineStr">
        <is>
          <t>Q1001</t>
        </is>
      </c>
      <c r="E5" s="13" t="n"/>
      <c r="F5" s="13" t="inlineStr">
        <is>
          <t>杭州实时查科技有限公司</t>
        </is>
      </c>
      <c r="G5" s="13" t="inlineStr">
        <is>
          <t>记-13</t>
        </is>
      </c>
      <c r="H5" s="13" t="n"/>
      <c r="I5" s="87" t="n"/>
      <c r="J5" s="87" t="n">
        <v>6</v>
      </c>
      <c r="K5" s="19" t="n"/>
      <c r="L5" s="87" t="n"/>
      <c r="M5" s="13" t="n"/>
    </row>
    <row r="6" s="83">
      <c r="A6" s="13" t="inlineStr">
        <is>
          <t>100201</t>
        </is>
      </c>
      <c r="B6" s="13" t="n"/>
      <c r="C6" s="13" t="inlineStr">
        <is>
          <t>2025-06-30</t>
        </is>
      </c>
      <c r="D6" s="13" t="inlineStr">
        <is>
          <t>Q2806</t>
        </is>
      </c>
      <c r="E6" s="13" t="n"/>
      <c r="F6" s="13" t="inlineStr">
        <is>
          <t>杭州实时查科技有限公司</t>
        </is>
      </c>
      <c r="G6" s="13" t="inlineStr">
        <is>
          <t>记-14</t>
        </is>
      </c>
      <c r="H6" s="13" t="n"/>
      <c r="I6" s="87" t="n"/>
      <c r="J6" s="87" t="n">
        <v>6</v>
      </c>
      <c r="K6" s="19" t="n"/>
      <c r="L6" s="87" t="n"/>
      <c r="M6" s="13" t="n"/>
    </row>
    <row r="7" s="83">
      <c r="A7" s="11" t="inlineStr">
        <is>
          <t>101201</t>
        </is>
      </c>
      <c r="B7" s="11" t="n"/>
      <c r="C7" s="11" t="inlineStr">
        <is>
          <t>2025-06-01</t>
        </is>
      </c>
      <c r="D7" s="11" t="inlineStr">
        <is>
          <t>Else01</t>
        </is>
      </c>
      <c r="E7" s="11" t="n"/>
      <c r="F7" s="11" t="inlineStr">
        <is>
          <t>杭州实时查科技有限公司</t>
        </is>
      </c>
      <c r="G7" s="11" t="inlineStr">
        <is>
          <t>记-2</t>
        </is>
      </c>
      <c r="H7" s="11" t="n"/>
      <c r="I7" s="88" t="n">
        <v>6</v>
      </c>
      <c r="J7" s="88" t="n"/>
      <c r="K7" s="16" t="n"/>
      <c r="L7" s="88" t="n"/>
      <c r="M7" s="11" t="n"/>
    </row>
    <row r="8" s="83">
      <c r="A8" s="13" t="inlineStr">
        <is>
          <t>101201</t>
        </is>
      </c>
      <c r="B8" s="13" t="n"/>
      <c r="C8" s="13" t="inlineStr">
        <is>
          <t>2025-06-01</t>
        </is>
      </c>
      <c r="D8" s="13" t="inlineStr">
        <is>
          <t>Else01</t>
        </is>
      </c>
      <c r="E8" s="13" t="n"/>
      <c r="F8" s="13" t="inlineStr">
        <is>
          <t>杭州实时查科技有限公司</t>
        </is>
      </c>
      <c r="G8" s="13" t="inlineStr">
        <is>
          <t>记-2</t>
        </is>
      </c>
      <c r="H8" s="13" t="n"/>
      <c r="I8" s="87" t="n"/>
      <c r="J8" s="87" t="n">
        <v>6</v>
      </c>
      <c r="K8" s="19" t="n"/>
      <c r="L8" s="87" t="n"/>
      <c r="M8" s="13" t="n"/>
    </row>
    <row r="9" s="83">
      <c r="A9" s="11" t="inlineStr">
        <is>
          <t>101201</t>
        </is>
      </c>
      <c r="B9" s="11" t="n"/>
      <c r="C9" s="11" t="inlineStr">
        <is>
          <t>2025-06-03</t>
        </is>
      </c>
      <c r="D9" s="11" t="inlineStr">
        <is>
          <t>Else01</t>
        </is>
      </c>
      <c r="E9" s="11" t="n"/>
      <c r="F9" s="11" t="inlineStr">
        <is>
          <t>杭州实时查科技有限公司</t>
        </is>
      </c>
      <c r="G9" s="11" t="inlineStr">
        <is>
          <t>记-3</t>
        </is>
      </c>
      <c r="H9" s="11" t="n"/>
      <c r="I9" s="88" t="n">
        <v>6</v>
      </c>
      <c r="J9" s="88" t="n"/>
      <c r="K9" s="16" t="n"/>
      <c r="L9" s="88" t="n"/>
      <c r="M9" s="11" t="n"/>
    </row>
    <row r="10" s="83">
      <c r="A10" s="13" t="inlineStr">
        <is>
          <t>101201</t>
        </is>
      </c>
      <c r="B10" s="13" t="n"/>
      <c r="C10" s="13" t="inlineStr">
        <is>
          <t>2025-06-03</t>
        </is>
      </c>
      <c r="D10" s="13" t="inlineStr">
        <is>
          <t>Else01</t>
        </is>
      </c>
      <c r="E10" s="13" t="n"/>
      <c r="F10" s="13" t="inlineStr">
        <is>
          <t>杭州实时查科技有限公司</t>
        </is>
      </c>
      <c r="G10" s="13" t="inlineStr">
        <is>
          <t>记-3</t>
        </is>
      </c>
      <c r="H10" s="13" t="n"/>
      <c r="I10" s="87" t="n"/>
      <c r="J10" s="87" t="n">
        <v>6</v>
      </c>
      <c r="K10" s="19" t="n"/>
      <c r="L10" s="87" t="n"/>
      <c r="M10" s="13" t="n"/>
    </row>
    <row r="11" s="83">
      <c r="A11" s="11" t="inlineStr">
        <is>
          <t>101201</t>
        </is>
      </c>
      <c r="B11" s="11" t="n"/>
      <c r="C11" s="11" t="inlineStr">
        <is>
          <t>2025-06-11</t>
        </is>
      </c>
      <c r="D11" s="11" t="inlineStr">
        <is>
          <t>Else01</t>
        </is>
      </c>
      <c r="E11" s="11" t="n"/>
      <c r="F11" s="11" t="inlineStr">
        <is>
          <t>杭州实时查科技有限公司</t>
        </is>
      </c>
      <c r="G11" s="11" t="inlineStr">
        <is>
          <t>记-4</t>
        </is>
      </c>
      <c r="H11" s="11" t="n"/>
      <c r="I11" s="88" t="n">
        <v>6</v>
      </c>
      <c r="J11" s="88" t="n"/>
      <c r="K11" s="16" t="n"/>
      <c r="L11" s="88" t="n"/>
      <c r="M11" s="11" t="n"/>
    </row>
    <row r="12" s="83">
      <c r="A12" s="13" t="inlineStr">
        <is>
          <t>101201</t>
        </is>
      </c>
      <c r="B12" s="13" t="n"/>
      <c r="C12" s="13" t="inlineStr">
        <is>
          <t>2025-06-11</t>
        </is>
      </c>
      <c r="D12" s="13" t="inlineStr">
        <is>
          <t>Else01</t>
        </is>
      </c>
      <c r="E12" s="13" t="n"/>
      <c r="F12" s="13" t="inlineStr">
        <is>
          <t>杭州实时查科技有限公司</t>
        </is>
      </c>
      <c r="G12" s="13" t="inlineStr">
        <is>
          <t>记-4</t>
        </is>
      </c>
      <c r="H12" s="13" t="n"/>
      <c r="I12" s="87" t="n"/>
      <c r="J12" s="87" t="n">
        <v>6</v>
      </c>
      <c r="K12" s="19" t="n"/>
      <c r="L12" s="87" t="n"/>
      <c r="M12" s="13" t="n"/>
    </row>
    <row r="13" s="83">
      <c r="A13" s="11" t="inlineStr">
        <is>
          <t>101201</t>
        </is>
      </c>
      <c r="B13" s="11" t="n"/>
      <c r="C13" s="11" t="inlineStr">
        <is>
          <t>2025-06-18</t>
        </is>
      </c>
      <c r="D13" s="11" t="inlineStr">
        <is>
          <t>Else01</t>
        </is>
      </c>
      <c r="E13" s="11" t="n"/>
      <c r="F13" s="11" t="inlineStr">
        <is>
          <t>杭州实时查科技有限公司</t>
        </is>
      </c>
      <c r="G13" s="11" t="inlineStr">
        <is>
          <t>记-5</t>
        </is>
      </c>
      <c r="H13" s="11" t="n"/>
      <c r="I13" s="88" t="n"/>
      <c r="J13" s="87" t="n">
        <v>6</v>
      </c>
      <c r="K13" s="16" t="n"/>
      <c r="L13" s="88" t="n"/>
      <c r="M13" s="11" t="n"/>
    </row>
    <row r="14" s="83">
      <c r="A14" s="13" t="inlineStr">
        <is>
          <t>101201</t>
        </is>
      </c>
      <c r="B14" s="13" t="n"/>
      <c r="C14" s="13" t="inlineStr">
        <is>
          <t>2025-06-21</t>
        </is>
      </c>
      <c r="D14" s="13" t="inlineStr">
        <is>
          <t>Else01</t>
        </is>
      </c>
      <c r="E14" s="13" t="n"/>
      <c r="F14" s="13" t="inlineStr">
        <is>
          <t>杭州实时查科技有限公司</t>
        </is>
      </c>
      <c r="G14" s="13" t="inlineStr">
        <is>
          <t>记-6</t>
        </is>
      </c>
      <c r="H14" s="13" t="n"/>
      <c r="I14" s="88" t="n">
        <v>6</v>
      </c>
      <c r="J14" s="87" t="n"/>
      <c r="K14" s="19" t="n"/>
      <c r="L14" s="87" t="n"/>
      <c r="M14" s="13" t="n"/>
    </row>
    <row r="15" s="83">
      <c r="A15" s="11" t="inlineStr">
        <is>
          <t>101201</t>
        </is>
      </c>
      <c r="B15" s="11" t="n"/>
      <c r="C15" s="11" t="inlineStr">
        <is>
          <t>2025-06-21</t>
        </is>
      </c>
      <c r="D15" s="11" t="inlineStr">
        <is>
          <t>Else01</t>
        </is>
      </c>
      <c r="E15" s="11" t="n"/>
      <c r="F15" s="11" t="inlineStr">
        <is>
          <t>杭州实时查科技有限公司</t>
        </is>
      </c>
      <c r="G15" s="11" t="inlineStr">
        <is>
          <t>记-6</t>
        </is>
      </c>
      <c r="H15" s="11" t="n"/>
      <c r="I15" s="88" t="n"/>
      <c r="J15" s="87" t="n">
        <v>6</v>
      </c>
      <c r="K15" s="16" t="n"/>
      <c r="L15" s="88" t="n"/>
      <c r="M15" s="11" t="n"/>
    </row>
    <row r="16" s="83">
      <c r="A16" s="13" t="inlineStr">
        <is>
          <t>101201</t>
        </is>
      </c>
      <c r="B16" s="13" t="n"/>
      <c r="C16" s="13" t="inlineStr">
        <is>
          <t>2025-06-22</t>
        </is>
      </c>
      <c r="D16" s="13" t="inlineStr">
        <is>
          <t>Else01</t>
        </is>
      </c>
      <c r="E16" s="13" t="n"/>
      <c r="F16" s="13" t="inlineStr">
        <is>
          <t>杭州实时查科技有限公司</t>
        </is>
      </c>
      <c r="G16" s="13" t="inlineStr">
        <is>
          <t>记-8</t>
        </is>
      </c>
      <c r="H16" s="13" t="n"/>
      <c r="I16" s="88" t="n">
        <v>6</v>
      </c>
      <c r="J16" s="87" t="n"/>
      <c r="K16" s="19" t="n"/>
      <c r="L16" s="87" t="n"/>
      <c r="M16" s="13" t="n"/>
    </row>
    <row r="17" s="83">
      <c r="A17" s="11" t="inlineStr">
        <is>
          <t>101201</t>
        </is>
      </c>
      <c r="B17" s="11" t="n"/>
      <c r="C17" s="11" t="inlineStr">
        <is>
          <t>2025-06-22</t>
        </is>
      </c>
      <c r="D17" s="11" t="inlineStr">
        <is>
          <t>Else01</t>
        </is>
      </c>
      <c r="E17" s="11" t="n"/>
      <c r="F17" s="11" t="inlineStr">
        <is>
          <t>杭州实时查科技有限公司</t>
        </is>
      </c>
      <c r="G17" s="11" t="inlineStr">
        <is>
          <t>记-8</t>
        </is>
      </c>
      <c r="H17" s="11" t="n"/>
      <c r="I17" s="88" t="n"/>
      <c r="J17" s="87" t="n">
        <v>6</v>
      </c>
      <c r="K17" s="16" t="n"/>
      <c r="L17" s="88" t="n"/>
      <c r="M17" s="11" t="n"/>
    </row>
    <row r="18" s="83">
      <c r="A18" s="13" t="inlineStr">
        <is>
          <t>101201</t>
        </is>
      </c>
      <c r="B18" s="13" t="n"/>
      <c r="C18" s="13" t="inlineStr">
        <is>
          <t>2025-06-23</t>
        </is>
      </c>
      <c r="D18" s="13" t="inlineStr">
        <is>
          <t>Else01</t>
        </is>
      </c>
      <c r="E18" s="13" t="n"/>
      <c r="F18" s="13" t="inlineStr">
        <is>
          <t>杭州实时查科技有限公司</t>
        </is>
      </c>
      <c r="G18" s="13" t="inlineStr">
        <is>
          <t>记-9</t>
        </is>
      </c>
      <c r="H18" s="13" t="n"/>
      <c r="I18" s="88" t="n">
        <v>6</v>
      </c>
      <c r="J18" s="87" t="n"/>
      <c r="K18" s="19" t="n"/>
      <c r="L18" s="87" t="n"/>
      <c r="M18" s="13" t="n"/>
    </row>
    <row r="19" s="83">
      <c r="A19" s="11" t="inlineStr">
        <is>
          <t>101201</t>
        </is>
      </c>
      <c r="B19" s="11" t="n"/>
      <c r="C19" s="11" t="inlineStr">
        <is>
          <t>2025-06-23</t>
        </is>
      </c>
      <c r="D19" s="11" t="inlineStr">
        <is>
          <t>Else01</t>
        </is>
      </c>
      <c r="E19" s="11" t="n"/>
      <c r="F19" s="11" t="inlineStr">
        <is>
          <t>杭州实时查科技有限公司</t>
        </is>
      </c>
      <c r="G19" s="11" t="inlineStr">
        <is>
          <t>记-9</t>
        </is>
      </c>
      <c r="H19" s="11" t="n"/>
      <c r="I19" s="88" t="n"/>
      <c r="J19" s="87" t="n">
        <v>6</v>
      </c>
      <c r="K19" s="16" t="n"/>
      <c r="L19" s="88" t="n"/>
      <c r="M19" s="11" t="n"/>
    </row>
    <row r="20" s="83">
      <c r="A20" s="13" t="inlineStr">
        <is>
          <t>101201</t>
        </is>
      </c>
      <c r="B20" s="13" t="n"/>
      <c r="C20" s="13" t="inlineStr">
        <is>
          <t>2025-06-28</t>
        </is>
      </c>
      <c r="D20" s="13" t="inlineStr">
        <is>
          <t>Else01</t>
        </is>
      </c>
      <c r="E20" s="13" t="n"/>
      <c r="F20" s="13" t="inlineStr">
        <is>
          <t>杭州实时查科技有限公司</t>
        </is>
      </c>
      <c r="G20" s="13" t="inlineStr">
        <is>
          <t>记-10</t>
        </is>
      </c>
      <c r="H20" s="13" t="n"/>
      <c r="I20" s="88" t="n">
        <v>6</v>
      </c>
      <c r="J20" s="87" t="n"/>
      <c r="K20" s="19" t="n"/>
      <c r="L20" s="87" t="n"/>
      <c r="M20" s="13" t="n"/>
    </row>
    <row r="21" s="83">
      <c r="A21" s="11" t="inlineStr">
        <is>
          <t>101201</t>
        </is>
      </c>
      <c r="B21" s="11" t="n"/>
      <c r="C21" s="11" t="inlineStr">
        <is>
          <t>2025-06-28</t>
        </is>
      </c>
      <c r="D21" s="11" t="inlineStr">
        <is>
          <t>Else01</t>
        </is>
      </c>
      <c r="E21" s="11" t="n"/>
      <c r="F21" s="11" t="inlineStr">
        <is>
          <t>杭州实时查科技有限公司</t>
        </is>
      </c>
      <c r="G21" s="11" t="inlineStr">
        <is>
          <t>记-10</t>
        </is>
      </c>
      <c r="H21" s="11" t="n"/>
      <c r="I21" s="88" t="n"/>
      <c r="J21" s="87" t="n">
        <v>6</v>
      </c>
      <c r="K21" s="16" t="n"/>
      <c r="L21" s="88" t="n"/>
      <c r="M21" s="11" t="n"/>
    </row>
    <row r="22" s="83">
      <c r="A22" s="13" t="inlineStr">
        <is>
          <t>101201</t>
        </is>
      </c>
      <c r="B22" s="13" t="n"/>
      <c r="C22" s="13" t="inlineStr">
        <is>
          <t>2025-06-29</t>
        </is>
      </c>
      <c r="D22" s="13" t="inlineStr">
        <is>
          <t>Else01</t>
        </is>
      </c>
      <c r="E22" s="13" t="n"/>
      <c r="F22" s="13" t="inlineStr">
        <is>
          <t>杭州实时查科技有限公司</t>
        </is>
      </c>
      <c r="G22" s="13" t="inlineStr">
        <is>
          <t>记-11</t>
        </is>
      </c>
      <c r="H22" s="13" t="n"/>
      <c r="I22" s="88" t="n">
        <v>6</v>
      </c>
      <c r="J22" s="87" t="n"/>
      <c r="K22" s="19" t="n"/>
      <c r="L22" s="87" t="n"/>
      <c r="M22" s="13" t="n"/>
    </row>
    <row r="23" s="83">
      <c r="A23" s="11" t="inlineStr">
        <is>
          <t>101201</t>
        </is>
      </c>
      <c r="B23" s="11" t="n"/>
      <c r="C23" s="11" t="inlineStr">
        <is>
          <t>2025-06-29</t>
        </is>
      </c>
      <c r="D23" s="11" t="inlineStr">
        <is>
          <t>Else01</t>
        </is>
      </c>
      <c r="E23" s="11" t="n"/>
      <c r="F23" s="11" t="inlineStr">
        <is>
          <t>杭州实时查科技有限公司</t>
        </is>
      </c>
      <c r="G23" s="11" t="inlineStr">
        <is>
          <t>记-11</t>
        </is>
      </c>
      <c r="H23" s="11" t="n"/>
      <c r="I23" s="88" t="n"/>
      <c r="J23" s="87" t="n">
        <v>6</v>
      </c>
      <c r="K23" s="16" t="n"/>
      <c r="L23" s="88" t="n"/>
      <c r="M23" s="11" t="n"/>
    </row>
    <row r="24" s="83">
      <c r="A24" s="13" t="inlineStr">
        <is>
          <t>101201</t>
        </is>
      </c>
      <c r="B24" s="13" t="n"/>
      <c r="C24" s="13" t="inlineStr">
        <is>
          <t>2025-06-30</t>
        </is>
      </c>
      <c r="D24" s="13" t="inlineStr">
        <is>
          <t>Else01</t>
        </is>
      </c>
      <c r="E24" s="13" t="n"/>
      <c r="F24" s="13" t="inlineStr">
        <is>
          <t>杭州实时查科技有限公司</t>
        </is>
      </c>
      <c r="G24" s="13" t="inlineStr">
        <is>
          <t>记-15</t>
        </is>
      </c>
      <c r="H24" s="13" t="n"/>
      <c r="I24" s="88" t="n">
        <v>6</v>
      </c>
      <c r="J24" s="87" t="n"/>
      <c r="K24" s="19" t="n"/>
      <c r="L24" s="87" t="n"/>
      <c r="M24" s="13" t="n"/>
    </row>
    <row r="25" s="83">
      <c r="A25" s="11" t="inlineStr">
        <is>
          <t>101201</t>
        </is>
      </c>
      <c r="B25" s="11" t="n"/>
      <c r="C25" s="11" t="inlineStr">
        <is>
          <t>2025-06-30</t>
        </is>
      </c>
      <c r="D25" s="11" t="inlineStr">
        <is>
          <t>Else01</t>
        </is>
      </c>
      <c r="E25" s="11" t="n"/>
      <c r="F25" s="11" t="inlineStr">
        <is>
          <t>杭州实时查科技有限公司</t>
        </is>
      </c>
      <c r="G25" s="11" t="inlineStr">
        <is>
          <t>记-15</t>
        </is>
      </c>
      <c r="H25" s="11" t="n"/>
      <c r="I25" s="88" t="n"/>
      <c r="J25" s="87" t="n">
        <v>6</v>
      </c>
      <c r="K25" s="16" t="n"/>
      <c r="L25" s="88" t="n"/>
      <c r="M25" s="11" t="n"/>
    </row>
    <row r="26" s="83">
      <c r="A26" s="11" t="inlineStr">
        <is>
          <t>101201</t>
        </is>
      </c>
      <c r="B26" s="11" t="n"/>
      <c r="C26" s="11" t="inlineStr">
        <is>
          <t>2025-06-30</t>
        </is>
      </c>
      <c r="D26" s="11" t="inlineStr">
        <is>
          <t>Q0101</t>
        </is>
      </c>
      <c r="E26" s="11" t="n"/>
      <c r="F26" s="11" t="inlineStr">
        <is>
          <t>杭州实时查科技有限公司</t>
        </is>
      </c>
      <c r="G26" s="11" t="inlineStr">
        <is>
          <t>记-16</t>
        </is>
      </c>
      <c r="H26" s="11" t="n"/>
      <c r="I26" s="88" t="n">
        <v>6</v>
      </c>
      <c r="J26" s="88" t="n"/>
      <c r="K26" s="16" t="n"/>
      <c r="L26" s="88" t="n"/>
      <c r="M26" s="11" t="n"/>
    </row>
    <row r="27" s="83">
      <c r="A27" s="11" t="inlineStr">
        <is>
          <t>101201</t>
        </is>
      </c>
      <c r="B27" s="11" t="n"/>
      <c r="C27" s="11" t="inlineStr">
        <is>
          <t>2025-06-30</t>
        </is>
      </c>
      <c r="D27" s="11" t="inlineStr">
        <is>
          <t>Q2201</t>
        </is>
      </c>
      <c r="E27" s="11" t="n"/>
      <c r="F27" s="11" t="inlineStr">
        <is>
          <t>杭州实时查科技有限公司</t>
        </is>
      </c>
      <c r="G27" s="11" t="inlineStr">
        <is>
          <t>记-16</t>
        </is>
      </c>
      <c r="H27" s="11" t="n"/>
      <c r="I27" s="88" t="n"/>
      <c r="J27" s="87" t="n">
        <v>6</v>
      </c>
      <c r="K27" s="16" t="n"/>
      <c r="L27" s="88" t="n"/>
      <c r="M27" s="11" t="n"/>
    </row>
    <row r="28" s="83">
      <c r="A28" s="13" t="inlineStr">
        <is>
          <t>101201</t>
        </is>
      </c>
      <c r="B28" s="13" t="n"/>
      <c r="C28" s="13" t="inlineStr">
        <is>
          <t>2025-06-30</t>
        </is>
      </c>
      <c r="D28" s="13" t="inlineStr">
        <is>
          <t>Q2204</t>
        </is>
      </c>
      <c r="E28" s="13" t="n"/>
      <c r="F28" s="13" t="inlineStr">
        <is>
          <t>杭州实时查科技有限公司</t>
        </is>
      </c>
      <c r="G28" s="13" t="inlineStr">
        <is>
          <t>记-16</t>
        </is>
      </c>
      <c r="H28" s="13" t="n"/>
      <c r="I28" s="87" t="n"/>
      <c r="J28" s="87" t="n">
        <v>6</v>
      </c>
      <c r="K28" s="19" t="n"/>
      <c r="L28" s="87" t="n"/>
      <c r="M28" s="13" t="n"/>
    </row>
    <row r="29" s="83">
      <c r="A29" s="13" t="inlineStr">
        <is>
          <t>101201</t>
        </is>
      </c>
      <c r="B29" s="13" t="n"/>
      <c r="C29" s="13" t="inlineStr">
        <is>
          <t>2025-06-30</t>
        </is>
      </c>
      <c r="D29" s="13" t="inlineStr">
        <is>
          <t>Q2207</t>
        </is>
      </c>
      <c r="E29" s="13" t="n"/>
      <c r="F29" s="13" t="inlineStr">
        <is>
          <t>杭州实时查科技有限公司</t>
        </is>
      </c>
      <c r="G29" s="13" t="inlineStr">
        <is>
          <t>记-16</t>
        </is>
      </c>
      <c r="H29" s="13" t="n"/>
      <c r="I29" s="87" t="n"/>
      <c r="J29" s="87" t="n">
        <v>6</v>
      </c>
      <c r="K29" s="19" t="n"/>
      <c r="L29" s="87" t="n"/>
      <c r="M29" s="13" t="n"/>
    </row>
    <row r="30" s="83">
      <c r="A30" s="11" t="inlineStr">
        <is>
          <t>100201</t>
        </is>
      </c>
      <c r="B30" s="11" t="n"/>
      <c r="C30" s="11" t="inlineStr">
        <is>
          <t>2025-06-20</t>
        </is>
      </c>
      <c r="D30" s="11" t="inlineStr">
        <is>
          <t>Q0302</t>
        </is>
      </c>
      <c r="E30" s="11" t="n"/>
      <c r="F30" s="11" t="inlineStr">
        <is>
          <t>海南精准学科技有限公司</t>
        </is>
      </c>
      <c r="G30" s="11" t="inlineStr">
        <is>
          <t>记-11</t>
        </is>
      </c>
      <c r="H30" s="11" t="n"/>
      <c r="I30" s="88" t="n">
        <v>6</v>
      </c>
      <c r="J30" s="88" t="n"/>
      <c r="K30" s="16" t="n"/>
      <c r="L30" s="88" t="n"/>
      <c r="M30" s="11" t="n"/>
    </row>
    <row r="31" s="83">
      <c r="A31" s="13" t="inlineStr">
        <is>
          <t>100201</t>
        </is>
      </c>
      <c r="B31" s="13" t="n"/>
      <c r="C31" s="13" t="inlineStr">
        <is>
          <t>2025-06-21</t>
        </is>
      </c>
      <c r="D31" s="13" t="inlineStr">
        <is>
          <t>Q0302</t>
        </is>
      </c>
      <c r="E31" s="13" t="n"/>
      <c r="F31" s="13" t="inlineStr">
        <is>
          <t>海南精准学科技有限公司</t>
        </is>
      </c>
      <c r="G31" s="13" t="inlineStr">
        <is>
          <t>记-12</t>
        </is>
      </c>
      <c r="H31" s="13" t="n"/>
      <c r="I31" s="88" t="n">
        <v>6</v>
      </c>
      <c r="J31" s="87" t="n"/>
      <c r="K31" s="19" t="n"/>
      <c r="L31" s="87" t="n"/>
      <c r="M31" s="13" t="n"/>
    </row>
    <row r="32" s="83">
      <c r="A32" s="11" t="inlineStr">
        <is>
          <t>100201</t>
        </is>
      </c>
      <c r="B32" s="11" t="n"/>
      <c r="C32" s="11" t="inlineStr">
        <is>
          <t>2025-06-05</t>
        </is>
      </c>
      <c r="D32" s="11" t="inlineStr">
        <is>
          <t>Q0401</t>
        </is>
      </c>
      <c r="E32" s="11" t="n"/>
      <c r="F32" s="11" t="inlineStr">
        <is>
          <t>海南精准学科技有限公司</t>
        </is>
      </c>
      <c r="G32" s="11" t="inlineStr">
        <is>
          <t>记-2</t>
        </is>
      </c>
      <c r="H32" s="11" t="n"/>
      <c r="I32" s="88" t="n">
        <v>6</v>
      </c>
      <c r="J32" s="88" t="n"/>
      <c r="K32" s="16" t="n"/>
      <c r="L32" s="88" t="n"/>
      <c r="M32" s="11" t="n"/>
    </row>
    <row r="33" s="83">
      <c r="A33" s="13" t="inlineStr">
        <is>
          <t>100201</t>
        </is>
      </c>
      <c r="B33" s="13" t="n"/>
      <c r="C33" s="13" t="inlineStr">
        <is>
          <t>2025-06-05</t>
        </is>
      </c>
      <c r="D33" s="13" t="inlineStr">
        <is>
          <t>Q0401</t>
        </is>
      </c>
      <c r="E33" s="13" t="n"/>
      <c r="F33" s="13" t="inlineStr">
        <is>
          <t>海南精准学科技有限公司</t>
        </is>
      </c>
      <c r="G33" s="13" t="inlineStr">
        <is>
          <t>记-2</t>
        </is>
      </c>
      <c r="H33" s="13" t="n"/>
      <c r="I33" s="87" t="n"/>
      <c r="J33" s="87" t="n">
        <v>6</v>
      </c>
      <c r="K33" s="19" t="n"/>
      <c r="L33" s="87" t="n"/>
      <c r="M33" s="13" t="n"/>
    </row>
    <row r="34" s="83">
      <c r="A34" s="11" t="inlineStr">
        <is>
          <t>100201</t>
        </is>
      </c>
      <c r="B34" s="11" t="n"/>
      <c r="C34" s="11" t="inlineStr">
        <is>
          <t>2025-06-30</t>
        </is>
      </c>
      <c r="D34" s="11" t="inlineStr">
        <is>
          <t>Q0401</t>
        </is>
      </c>
      <c r="E34" s="11" t="n"/>
      <c r="F34" s="11" t="inlineStr">
        <is>
          <t>海南精准学科技有限公司</t>
        </is>
      </c>
      <c r="G34" s="11" t="inlineStr">
        <is>
          <t>记-14</t>
        </is>
      </c>
      <c r="H34" s="11" t="n"/>
      <c r="I34" s="88" t="n">
        <v>6</v>
      </c>
      <c r="J34" s="88" t="n"/>
      <c r="K34" s="16" t="n"/>
      <c r="L34" s="88" t="n"/>
      <c r="M34" s="11" t="n"/>
    </row>
    <row r="35" s="83">
      <c r="A35" s="13" t="inlineStr">
        <is>
          <t>100201</t>
        </is>
      </c>
      <c r="B35" s="13" t="n"/>
      <c r="C35" s="13" t="inlineStr">
        <is>
          <t>2025-06-30</t>
        </is>
      </c>
      <c r="D35" s="13" t="inlineStr">
        <is>
          <t>Q0401</t>
        </is>
      </c>
      <c r="E35" s="13" t="n"/>
      <c r="F35" s="13" t="inlineStr">
        <is>
          <t>海南精准学科技有限公司</t>
        </is>
      </c>
      <c r="G35" s="13" t="inlineStr">
        <is>
          <t>记-14</t>
        </is>
      </c>
      <c r="H35" s="13" t="n"/>
      <c r="I35" s="87" t="n"/>
      <c r="J35" s="87" t="n">
        <v>6</v>
      </c>
      <c r="K35" s="19" t="n"/>
      <c r="L35" s="87" t="n"/>
      <c r="M35" s="13" t="n"/>
    </row>
    <row r="36" s="83">
      <c r="A36" s="11" t="inlineStr">
        <is>
          <t>100201</t>
        </is>
      </c>
      <c r="B36" s="11" t="n"/>
      <c r="C36" s="11" t="inlineStr">
        <is>
          <t>2025-06-30</t>
        </is>
      </c>
      <c r="D36" s="11" t="inlineStr">
        <is>
          <t>Q0401</t>
        </is>
      </c>
      <c r="E36" s="11" t="n"/>
      <c r="F36" s="11" t="inlineStr">
        <is>
          <t>海南精准学科技有限公司</t>
        </is>
      </c>
      <c r="G36" s="11" t="inlineStr">
        <is>
          <t>记-16</t>
        </is>
      </c>
      <c r="H36" s="11" t="n"/>
      <c r="I36" s="88" t="n">
        <v>6</v>
      </c>
      <c r="J36" s="88" t="n"/>
      <c r="K36" s="16" t="n"/>
      <c r="L36" s="88" t="n"/>
      <c r="M36" s="11" t="n"/>
    </row>
    <row r="37" s="83">
      <c r="A37" s="11" t="inlineStr">
        <is>
          <t>100201</t>
        </is>
      </c>
      <c r="B37" s="11" t="n"/>
      <c r="C37" s="11" t="inlineStr">
        <is>
          <t>2025-06-13</t>
        </is>
      </c>
      <c r="D37" s="11" t="inlineStr">
        <is>
          <t>Q0801</t>
        </is>
      </c>
      <c r="E37" s="11" t="n"/>
      <c r="F37" s="11" t="inlineStr">
        <is>
          <t>海南精准学科技有限公司</t>
        </is>
      </c>
      <c r="G37" s="11" t="inlineStr">
        <is>
          <t>记-7</t>
        </is>
      </c>
      <c r="H37" s="11" t="n"/>
      <c r="I37" s="88" t="n"/>
      <c r="J37" s="87" t="n">
        <v>6</v>
      </c>
      <c r="K37" s="16" t="n"/>
      <c r="L37" s="88" t="n"/>
      <c r="M37" s="11" t="n"/>
    </row>
    <row r="38" s="83">
      <c r="A38" s="11" t="inlineStr">
        <is>
          <t>100201</t>
        </is>
      </c>
      <c r="B38" s="11" t="n"/>
      <c r="C38" s="11" t="inlineStr">
        <is>
          <t>2025-06-05</t>
        </is>
      </c>
      <c r="D38" s="11" t="inlineStr">
        <is>
          <t>Q0803</t>
        </is>
      </c>
      <c r="E38" s="11" t="n"/>
      <c r="F38" s="11" t="inlineStr">
        <is>
          <t>海南精准学科技有限公司</t>
        </is>
      </c>
      <c r="G38" s="11" t="inlineStr">
        <is>
          <t>记-4</t>
        </is>
      </c>
      <c r="H38" s="11" t="n"/>
      <c r="I38" s="88" t="n"/>
      <c r="J38" s="87" t="n">
        <v>6</v>
      </c>
      <c r="K38" s="16" t="n"/>
      <c r="L38" s="88" t="n"/>
      <c r="M38" s="11" t="n"/>
    </row>
    <row r="39" s="83">
      <c r="A39" s="11" t="inlineStr">
        <is>
          <t>100201</t>
        </is>
      </c>
      <c r="B39" s="11" t="n"/>
      <c r="C39" s="11" t="inlineStr">
        <is>
          <t>2025-06-06</t>
        </is>
      </c>
      <c r="D39" s="11" t="inlineStr">
        <is>
          <t>Q0804</t>
        </is>
      </c>
      <c r="E39" s="11" t="n"/>
      <c r="F39" s="11" t="inlineStr">
        <is>
          <t>海南精准学科技有限公司</t>
        </is>
      </c>
      <c r="G39" s="11" t="inlineStr">
        <is>
          <t>记-5</t>
        </is>
      </c>
      <c r="H39" s="11" t="n"/>
      <c r="I39" s="88" t="n"/>
      <c r="J39" s="87" t="n">
        <v>6</v>
      </c>
      <c r="K39" s="16" t="n"/>
      <c r="L39" s="88" t="n"/>
      <c r="M39" s="11" t="n"/>
    </row>
    <row r="40" s="83">
      <c r="A40" s="11" t="inlineStr">
        <is>
          <t>100201</t>
        </is>
      </c>
      <c r="B40" s="11" t="n"/>
      <c r="C40" s="11" t="inlineStr">
        <is>
          <t>2025-06-24</t>
        </is>
      </c>
      <c r="D40" s="11" t="inlineStr">
        <is>
          <t>Q0805</t>
        </is>
      </c>
      <c r="E40" s="11" t="n"/>
      <c r="F40" s="11" t="inlineStr">
        <is>
          <t>海南精准学科技有限公司</t>
        </is>
      </c>
      <c r="G40" s="11" t="inlineStr">
        <is>
          <t>记-13</t>
        </is>
      </c>
      <c r="H40" s="11" t="n"/>
      <c r="I40" s="88" t="n"/>
      <c r="J40" s="87" t="n">
        <v>6</v>
      </c>
      <c r="K40" s="16" t="n"/>
      <c r="L40" s="88" t="n"/>
      <c r="M40" s="11" t="n"/>
    </row>
    <row r="41" s="83">
      <c r="A41" s="11" t="inlineStr">
        <is>
          <t>100201</t>
        </is>
      </c>
      <c r="B41" s="11" t="n"/>
      <c r="C41" s="11" t="inlineStr">
        <is>
          <t>2025-06-19</t>
        </is>
      </c>
      <c r="D41" s="11" t="inlineStr">
        <is>
          <t>Q2802</t>
        </is>
      </c>
      <c r="E41" s="11" t="n"/>
      <c r="F41" s="11" t="inlineStr">
        <is>
          <t>海南精准学科技有限公司</t>
        </is>
      </c>
      <c r="G41" s="11" t="inlineStr">
        <is>
          <t>记-9</t>
        </is>
      </c>
      <c r="H41" s="11" t="n"/>
      <c r="I41" s="88" t="n"/>
      <c r="J41" s="87" t="n">
        <v>6</v>
      </c>
      <c r="K41" s="16" t="n"/>
      <c r="L41" s="88" t="n"/>
      <c r="M41" s="11" t="n"/>
    </row>
    <row r="42" s="83">
      <c r="A42" s="13" t="inlineStr">
        <is>
          <t>100201</t>
        </is>
      </c>
      <c r="B42" s="13" t="n"/>
      <c r="C42" s="13" t="inlineStr">
        <is>
          <t>2025-06-30</t>
        </is>
      </c>
      <c r="D42" s="13" t="inlineStr">
        <is>
          <t>Q2806</t>
        </is>
      </c>
      <c r="E42" s="13" t="n"/>
      <c r="F42" s="13" t="inlineStr">
        <is>
          <t>海南精准学科技有限公司</t>
        </is>
      </c>
      <c r="G42" s="13" t="inlineStr">
        <is>
          <t>记-17</t>
        </is>
      </c>
      <c r="H42" s="13" t="n"/>
      <c r="I42" s="87" t="n"/>
      <c r="J42" s="87" t="n">
        <v>6</v>
      </c>
      <c r="K42" s="19" t="n"/>
      <c r="L42" s="87" t="n"/>
      <c r="M42" s="13" t="n"/>
    </row>
    <row r="43" s="83">
      <c r="A43" s="11" t="inlineStr">
        <is>
          <t>100201</t>
        </is>
      </c>
      <c r="B43" s="11" t="n"/>
      <c r="C43" s="11" t="inlineStr">
        <is>
          <t>2025-06-30</t>
        </is>
      </c>
      <c r="D43" s="11" t="inlineStr">
        <is>
          <t>Q2806</t>
        </is>
      </c>
      <c r="E43" s="11" t="n"/>
      <c r="F43" s="11" t="inlineStr">
        <is>
          <t>海南精准学科技有限公司</t>
        </is>
      </c>
      <c r="G43" s="11" t="inlineStr">
        <is>
          <t>记-18</t>
        </is>
      </c>
      <c r="H43" s="11" t="n"/>
      <c r="I43" s="88" t="n"/>
      <c r="J43" s="87" t="n">
        <v>6</v>
      </c>
      <c r="K43" s="16" t="n"/>
      <c r="L43" s="88" t="n"/>
      <c r="M43" s="11" t="n"/>
    </row>
    <row r="44" s="83">
      <c r="A44" s="13" t="inlineStr">
        <is>
          <t>100201</t>
        </is>
      </c>
      <c r="B44" s="13" t="n"/>
      <c r="C44" s="13" t="inlineStr">
        <is>
          <t>2025-06-03</t>
        </is>
      </c>
      <c r="D44" s="13" t="inlineStr">
        <is>
          <t>Q3101</t>
        </is>
      </c>
      <c r="E44" s="13" t="n"/>
      <c r="F44" s="13" t="inlineStr">
        <is>
          <t>海南精准学科技有限公司</t>
        </is>
      </c>
      <c r="G44" s="13" t="inlineStr">
        <is>
          <t>记-1</t>
        </is>
      </c>
      <c r="H44" s="13" t="n"/>
      <c r="I44" s="87" t="n"/>
      <c r="J44" s="87" t="n">
        <v>6</v>
      </c>
      <c r="K44" s="19" t="n"/>
      <c r="L44" s="87" t="n"/>
      <c r="M44" s="13" t="n"/>
    </row>
    <row r="45" s="83">
      <c r="A45" s="11" t="inlineStr">
        <is>
          <t>100201</t>
        </is>
      </c>
      <c r="B45" s="11" t="n"/>
      <c r="C45" s="11" t="inlineStr">
        <is>
          <t>2025-06-05</t>
        </is>
      </c>
      <c r="D45" s="11" t="inlineStr">
        <is>
          <t>Q3101</t>
        </is>
      </c>
      <c r="E45" s="11" t="n"/>
      <c r="F45" s="11" t="inlineStr">
        <is>
          <t>海南精准学科技有限公司</t>
        </is>
      </c>
      <c r="G45" s="11" t="inlineStr">
        <is>
          <t>记-3</t>
        </is>
      </c>
      <c r="H45" s="11" t="n"/>
      <c r="I45" s="88" t="n"/>
      <c r="J45" s="87" t="n">
        <v>6</v>
      </c>
      <c r="K45" s="16" t="n"/>
      <c r="L45" s="88" t="n"/>
      <c r="M45" s="11" t="n"/>
    </row>
    <row r="46" s="83">
      <c r="A46" s="13" t="inlineStr">
        <is>
          <t>100201</t>
        </is>
      </c>
      <c r="B46" s="13" t="n"/>
      <c r="C46" s="13" t="inlineStr">
        <is>
          <t>2025-06-06</t>
        </is>
      </c>
      <c r="D46" s="13" t="inlineStr">
        <is>
          <t>Q3101</t>
        </is>
      </c>
      <c r="E46" s="13" t="n"/>
      <c r="F46" s="13" t="inlineStr">
        <is>
          <t>海南精准学科技有限公司</t>
        </is>
      </c>
      <c r="G46" s="13" t="inlineStr">
        <is>
          <t>记-6</t>
        </is>
      </c>
      <c r="H46" s="13" t="n"/>
      <c r="I46" s="87" t="n"/>
      <c r="J46" s="87" t="n">
        <v>6</v>
      </c>
      <c r="K46" s="19" t="n"/>
      <c r="L46" s="87" t="n"/>
      <c r="M46" s="13" t="n"/>
    </row>
    <row r="47" s="83">
      <c r="A47" s="11" t="inlineStr">
        <is>
          <t>100201</t>
        </is>
      </c>
      <c r="B47" s="11" t="n"/>
      <c r="C47" s="11" t="inlineStr">
        <is>
          <t>2025-06-13</t>
        </is>
      </c>
      <c r="D47" s="11" t="inlineStr">
        <is>
          <t>Q3101</t>
        </is>
      </c>
      <c r="E47" s="11" t="n"/>
      <c r="F47" s="11" t="inlineStr">
        <is>
          <t>海南精准学科技有限公司</t>
        </is>
      </c>
      <c r="G47" s="11" t="inlineStr">
        <is>
          <t>记-8</t>
        </is>
      </c>
      <c r="H47" s="11" t="n"/>
      <c r="I47" s="88" t="n"/>
      <c r="J47" s="87" t="n">
        <v>6</v>
      </c>
      <c r="K47" s="16" t="n"/>
      <c r="L47" s="88" t="n"/>
      <c r="M47" s="11" t="n"/>
    </row>
    <row r="48" s="83">
      <c r="A48" s="13" t="inlineStr">
        <is>
          <t>100201</t>
        </is>
      </c>
      <c r="B48" s="13" t="n"/>
      <c r="C48" s="13" t="inlineStr">
        <is>
          <t>2025-06-19</t>
        </is>
      </c>
      <c r="D48" s="13" t="inlineStr">
        <is>
          <t>Q3101</t>
        </is>
      </c>
      <c r="E48" s="13" t="n"/>
      <c r="F48" s="13" t="inlineStr">
        <is>
          <t>海南精准学科技有限公司</t>
        </is>
      </c>
      <c r="G48" s="13" t="inlineStr">
        <is>
          <t>记-10</t>
        </is>
      </c>
      <c r="H48" s="13" t="n"/>
      <c r="I48" s="87" t="n"/>
      <c r="J48" s="87" t="n">
        <v>6</v>
      </c>
      <c r="K48" s="19" t="n"/>
      <c r="L48" s="87" t="n"/>
      <c r="M48" s="13" t="n"/>
    </row>
    <row r="49" s="83">
      <c r="A49" s="11" t="inlineStr">
        <is>
          <t>100201</t>
        </is>
      </c>
      <c r="B49" s="11" t="n"/>
      <c r="C49" s="11" t="inlineStr">
        <is>
          <t>2025-06-19</t>
        </is>
      </c>
      <c r="D49" s="11" t="inlineStr">
        <is>
          <t>Q3101</t>
        </is>
      </c>
      <c r="E49" s="11" t="n"/>
      <c r="F49" s="11" t="inlineStr">
        <is>
          <t>海南精准学科技有限公司</t>
        </is>
      </c>
      <c r="G49" s="11" t="inlineStr">
        <is>
          <t>记-10</t>
        </is>
      </c>
      <c r="H49" s="11" t="n"/>
      <c r="I49" s="88" t="n">
        <v>6</v>
      </c>
      <c r="J49" s="88" t="n"/>
      <c r="K49" s="16" t="n"/>
      <c r="L49" s="88" t="n"/>
      <c r="M49" s="11" t="n"/>
    </row>
    <row r="50" s="83">
      <c r="A50" s="13" t="inlineStr">
        <is>
          <t>100201</t>
        </is>
      </c>
      <c r="B50" s="13" t="n"/>
      <c r="C50" s="13" t="inlineStr">
        <is>
          <t>2025-06-19</t>
        </is>
      </c>
      <c r="D50" s="13" t="inlineStr">
        <is>
          <t>Q3101</t>
        </is>
      </c>
      <c r="E50" s="13" t="n"/>
      <c r="F50" s="13" t="inlineStr">
        <is>
          <t>海南精准学科技有限公司</t>
        </is>
      </c>
      <c r="G50" s="13" t="inlineStr">
        <is>
          <t>记-10</t>
        </is>
      </c>
      <c r="H50" s="13" t="n"/>
      <c r="I50" s="87" t="n"/>
      <c r="J50" s="87" t="n">
        <v>6</v>
      </c>
      <c r="K50" s="19" t="n"/>
      <c r="L50" s="87" t="n"/>
      <c r="M50" s="13" t="n"/>
    </row>
    <row r="51" s="83">
      <c r="A51" s="11" t="inlineStr">
        <is>
          <t>100201</t>
        </is>
      </c>
      <c r="B51" s="11" t="n"/>
      <c r="C51" s="11" t="inlineStr">
        <is>
          <t>2025-06-30</t>
        </is>
      </c>
      <c r="D51" s="11" t="inlineStr">
        <is>
          <t>Q3101</t>
        </is>
      </c>
      <c r="E51" s="11" t="n"/>
      <c r="F51" s="11" t="inlineStr">
        <is>
          <t>海南精准学科技有限公司</t>
        </is>
      </c>
      <c r="G51" s="11" t="inlineStr">
        <is>
          <t>记-15</t>
        </is>
      </c>
      <c r="H51" s="11" t="n"/>
      <c r="I51" s="88" t="n"/>
      <c r="J51" s="87" t="n">
        <v>6</v>
      </c>
      <c r="K51" s="16" t="n"/>
      <c r="L51" s="88" t="n"/>
      <c r="M51" s="11" t="n"/>
    </row>
    <row r="52" s="83">
      <c r="A52" s="13" t="inlineStr">
        <is>
          <t>100201</t>
        </is>
      </c>
      <c r="B52" s="13" t="n"/>
      <c r="C52" s="13" t="inlineStr">
        <is>
          <t>2025-06-24</t>
        </is>
      </c>
      <c r="D52" s="13" t="inlineStr">
        <is>
          <t>Q3103</t>
        </is>
      </c>
      <c r="E52" s="13" t="n"/>
      <c r="F52" s="13" t="inlineStr">
        <is>
          <t>海南精准学科技有限公司</t>
        </is>
      </c>
      <c r="G52" s="13" t="inlineStr">
        <is>
          <t>记-13</t>
        </is>
      </c>
      <c r="H52" s="13" t="n"/>
      <c r="I52" s="87" t="n"/>
      <c r="J52" s="87" t="n">
        <v>6</v>
      </c>
      <c r="K52" s="19" t="n"/>
      <c r="L52" s="87" t="n"/>
      <c r="M52" s="13" t="n"/>
    </row>
    <row r="53" s="83">
      <c r="A53" s="13" t="inlineStr">
        <is>
          <t>100201</t>
        </is>
      </c>
      <c r="B53" s="13" t="n"/>
      <c r="C53" s="13" t="inlineStr">
        <is>
          <t>2025-06-30</t>
        </is>
      </c>
      <c r="D53" s="13" t="inlineStr">
        <is>
          <t>Q0101</t>
        </is>
      </c>
      <c r="E53" s="13" t="n"/>
      <c r="F53" s="13" t="inlineStr">
        <is>
          <t>杭州知识跳跳科技有限公司</t>
        </is>
      </c>
      <c r="G53" s="13" t="inlineStr">
        <is>
          <t>记-27</t>
        </is>
      </c>
      <c r="H53" s="12" t="n"/>
      <c r="I53" s="88" t="n">
        <v>6</v>
      </c>
      <c r="J53" s="87" t="n"/>
      <c r="K53" s="19" t="n"/>
      <c r="L53" s="87" t="n"/>
      <c r="M53" s="13" t="n"/>
    </row>
    <row r="54" s="83">
      <c r="A54" s="11" t="inlineStr">
        <is>
          <t>100201</t>
        </is>
      </c>
      <c r="B54" s="11" t="n"/>
      <c r="C54" s="11" t="inlineStr">
        <is>
          <t>2025-06-30</t>
        </is>
      </c>
      <c r="D54" s="11" t="inlineStr">
        <is>
          <t>Q0101</t>
        </is>
      </c>
      <c r="E54" s="11" t="n"/>
      <c r="F54" s="11" t="inlineStr">
        <is>
          <t>杭州知识跳跳科技有限公司</t>
        </is>
      </c>
      <c r="G54" s="11" t="inlineStr">
        <is>
          <t>记-28</t>
        </is>
      </c>
      <c r="H54" s="12" t="n"/>
      <c r="I54" s="88" t="n">
        <v>6</v>
      </c>
      <c r="J54" s="88" t="n"/>
      <c r="K54" s="16" t="n"/>
      <c r="L54" s="88" t="n"/>
      <c r="M54" s="11" t="n"/>
    </row>
    <row r="55" s="83">
      <c r="A55" s="13" t="inlineStr">
        <is>
          <t>100201</t>
        </is>
      </c>
      <c r="B55" s="13" t="n"/>
      <c r="C55" s="13" t="inlineStr">
        <is>
          <t>2025-06-30</t>
        </is>
      </c>
      <c r="D55" s="13" t="inlineStr">
        <is>
          <t>Q0102</t>
        </is>
      </c>
      <c r="E55" s="13" t="n"/>
      <c r="F55" s="13" t="inlineStr">
        <is>
          <t>杭州知识跳跳科技有限公司</t>
        </is>
      </c>
      <c r="G55" s="13" t="inlineStr">
        <is>
          <t>记-30</t>
        </is>
      </c>
      <c r="H55" s="13" t="n"/>
      <c r="I55" s="88" t="n">
        <v>6</v>
      </c>
      <c r="J55" s="87" t="n"/>
      <c r="K55" s="19" t="n"/>
      <c r="L55" s="87" t="n"/>
      <c r="M55" s="13" t="n"/>
    </row>
    <row r="56" s="83">
      <c r="A56" s="13" t="inlineStr">
        <is>
          <t>100201</t>
        </is>
      </c>
      <c r="B56" s="13" t="n"/>
      <c r="C56" s="13" t="inlineStr">
        <is>
          <t>2025-06-20</t>
        </is>
      </c>
      <c r="D56" s="13" t="inlineStr">
        <is>
          <t>Q0302</t>
        </is>
      </c>
      <c r="E56" s="13" t="n"/>
      <c r="F56" s="13" t="inlineStr">
        <is>
          <t>杭州知识跳跳科技有限公司</t>
        </is>
      </c>
      <c r="G56" s="13" t="inlineStr">
        <is>
          <t>记-33</t>
        </is>
      </c>
      <c r="H56" s="13" t="n"/>
      <c r="I56" s="88" t="n">
        <v>6</v>
      </c>
      <c r="J56" s="87" t="n"/>
      <c r="K56" s="19" t="n"/>
      <c r="L56" s="87" t="n"/>
      <c r="M56" s="13" t="n"/>
    </row>
    <row r="57" s="83">
      <c r="A57" s="11" t="inlineStr">
        <is>
          <t>100201</t>
        </is>
      </c>
      <c r="B57" s="11" t="n"/>
      <c r="C57" s="11" t="inlineStr">
        <is>
          <t>2025-06-21</t>
        </is>
      </c>
      <c r="D57" s="11" t="inlineStr">
        <is>
          <t>Q0302</t>
        </is>
      </c>
      <c r="E57" s="11" t="n"/>
      <c r="F57" s="11" t="inlineStr">
        <is>
          <t>杭州知识跳跳科技有限公司</t>
        </is>
      </c>
      <c r="G57" s="11" t="inlineStr">
        <is>
          <t>记-19</t>
        </is>
      </c>
      <c r="H57" s="11" t="n"/>
      <c r="I57" s="88" t="n">
        <v>6</v>
      </c>
      <c r="J57" s="88" t="n"/>
      <c r="K57" s="16" t="n"/>
      <c r="L57" s="88" t="n"/>
      <c r="M57" s="11" t="n"/>
    </row>
    <row r="58" s="83">
      <c r="A58" s="13" t="inlineStr">
        <is>
          <t>100201</t>
        </is>
      </c>
      <c r="B58" s="13" t="n"/>
      <c r="C58" s="13" t="inlineStr">
        <is>
          <t>2025-06-21</t>
        </is>
      </c>
      <c r="D58" s="13" t="inlineStr">
        <is>
          <t>Q0302</t>
        </is>
      </c>
      <c r="E58" s="13" t="n"/>
      <c r="F58" s="13" t="inlineStr">
        <is>
          <t>杭州知识跳跳科技有限公司</t>
        </is>
      </c>
      <c r="G58" s="13" t="inlineStr">
        <is>
          <t>记-26</t>
        </is>
      </c>
      <c r="H58" s="13" t="n"/>
      <c r="I58" s="88" t="n">
        <v>6</v>
      </c>
      <c r="J58" s="87" t="n"/>
      <c r="K58" s="19" t="n"/>
      <c r="L58" s="87" t="n"/>
      <c r="M58" s="13" t="n"/>
    </row>
    <row r="59" s="83">
      <c r="A59" s="11" t="inlineStr">
        <is>
          <t>100201</t>
        </is>
      </c>
      <c r="B59" s="11" t="n"/>
      <c r="C59" s="11" t="inlineStr">
        <is>
          <t>2025-06-21</t>
        </is>
      </c>
      <c r="D59" s="11" t="inlineStr">
        <is>
          <t>Q0302</t>
        </is>
      </c>
      <c r="E59" s="11" t="n"/>
      <c r="F59" s="11" t="inlineStr">
        <is>
          <t>杭州知识跳跳科技有限公司</t>
        </is>
      </c>
      <c r="G59" s="11" t="inlineStr">
        <is>
          <t>记-32</t>
        </is>
      </c>
      <c r="H59" s="11" t="n"/>
      <c r="I59" s="88" t="n">
        <v>6</v>
      </c>
      <c r="J59" s="88" t="n"/>
      <c r="K59" s="16" t="n"/>
      <c r="L59" s="88" t="n"/>
      <c r="M59" s="11" t="n"/>
    </row>
    <row r="60" s="83">
      <c r="A60" s="13" t="inlineStr">
        <is>
          <t>100201</t>
        </is>
      </c>
      <c r="B60" s="13" t="n"/>
      <c r="C60" s="13" t="inlineStr">
        <is>
          <t>2025-06-10</t>
        </is>
      </c>
      <c r="D60" s="13" t="inlineStr">
        <is>
          <t>Q0401</t>
        </is>
      </c>
      <c r="E60" s="13" t="n"/>
      <c r="F60" s="13" t="inlineStr">
        <is>
          <t>杭州知识跳跳科技有限公司</t>
        </is>
      </c>
      <c r="G60" s="13" t="inlineStr">
        <is>
          <t>记-6</t>
        </is>
      </c>
      <c r="H60" s="13" t="n"/>
      <c r="I60" s="88" t="n">
        <v>6</v>
      </c>
      <c r="J60" s="87" t="n"/>
      <c r="K60" s="19" t="n"/>
      <c r="L60" s="87" t="n"/>
      <c r="M60" s="13" t="n"/>
    </row>
    <row r="61" s="83">
      <c r="A61" s="11" t="inlineStr">
        <is>
          <t>100201</t>
        </is>
      </c>
      <c r="B61" s="11" t="n"/>
      <c r="C61" s="11" t="inlineStr">
        <is>
          <t>2025-06-12</t>
        </is>
      </c>
      <c r="D61" s="11" t="inlineStr">
        <is>
          <t>Q0401</t>
        </is>
      </c>
      <c r="E61" s="11" t="n"/>
      <c r="F61" s="11" t="inlineStr">
        <is>
          <t>杭州知识跳跳科技有限公司</t>
        </is>
      </c>
      <c r="G61" s="11" t="inlineStr">
        <is>
          <t>记-9</t>
        </is>
      </c>
      <c r="H61" s="11" t="n"/>
      <c r="I61" s="88" t="n">
        <v>6</v>
      </c>
      <c r="J61" s="88" t="n"/>
      <c r="K61" s="16" t="n"/>
      <c r="L61" s="88" t="n"/>
      <c r="M61" s="11" t="n"/>
    </row>
    <row r="62" s="83">
      <c r="A62" s="13" t="inlineStr">
        <is>
          <t>100201</t>
        </is>
      </c>
      <c r="B62" s="13" t="n"/>
      <c r="C62" s="13" t="inlineStr">
        <is>
          <t>2025-06-18</t>
        </is>
      </c>
      <c r="D62" s="13" t="inlineStr">
        <is>
          <t>Q0401</t>
        </is>
      </c>
      <c r="E62" s="13" t="n"/>
      <c r="F62" s="13" t="inlineStr">
        <is>
          <t>杭州知识跳跳科技有限公司</t>
        </is>
      </c>
      <c r="G62" s="13" t="inlineStr">
        <is>
          <t>记-18</t>
        </is>
      </c>
      <c r="H62" s="13" t="n"/>
      <c r="I62" s="88" t="n">
        <v>6</v>
      </c>
      <c r="J62" s="87" t="n"/>
      <c r="K62" s="19" t="n"/>
      <c r="L62" s="87" t="n"/>
      <c r="M62" s="13" t="n"/>
    </row>
    <row r="63" s="83">
      <c r="A63" s="11" t="inlineStr">
        <is>
          <t>100201</t>
        </is>
      </c>
      <c r="B63" s="11" t="n"/>
      <c r="C63" s="11" t="inlineStr">
        <is>
          <t>2025-06-18</t>
        </is>
      </c>
      <c r="D63" s="11" t="inlineStr">
        <is>
          <t>Q0401</t>
        </is>
      </c>
      <c r="E63" s="11" t="n"/>
      <c r="F63" s="11" t="inlineStr">
        <is>
          <t>杭州知识跳跳科技有限公司</t>
        </is>
      </c>
      <c r="G63" s="11" t="inlineStr">
        <is>
          <t>记-18</t>
        </is>
      </c>
      <c r="H63" s="11" t="n"/>
      <c r="I63" s="88" t="n"/>
      <c r="J63" s="87" t="n">
        <v>6</v>
      </c>
      <c r="K63" s="16" t="n"/>
      <c r="L63" s="88" t="n"/>
      <c r="M63" s="11" t="n"/>
    </row>
    <row r="64" s="83">
      <c r="A64" s="13" t="inlineStr">
        <is>
          <t>100201</t>
        </is>
      </c>
      <c r="B64" s="13" t="n"/>
      <c r="C64" s="13" t="inlineStr">
        <is>
          <t>2025-06-23</t>
        </is>
      </c>
      <c r="D64" s="13" t="inlineStr">
        <is>
          <t>Q0401</t>
        </is>
      </c>
      <c r="E64" s="13" t="n"/>
      <c r="F64" s="13" t="inlineStr">
        <is>
          <t>杭州知识跳跳科技有限公司</t>
        </is>
      </c>
      <c r="G64" s="13" t="inlineStr">
        <is>
          <t>记-20</t>
        </is>
      </c>
      <c r="H64" s="13" t="n"/>
      <c r="I64" s="88" t="n">
        <v>6</v>
      </c>
      <c r="J64" s="87" t="n"/>
      <c r="K64" s="19" t="n"/>
      <c r="L64" s="87" t="n"/>
      <c r="M64" s="13" t="n"/>
    </row>
    <row r="65" s="83">
      <c r="A65" s="11" t="inlineStr">
        <is>
          <t>100201</t>
        </is>
      </c>
      <c r="B65" s="11" t="n"/>
      <c r="C65" s="11" t="inlineStr">
        <is>
          <t>2025-06-30</t>
        </is>
      </c>
      <c r="D65" s="11" t="inlineStr">
        <is>
          <t>Q0401</t>
        </is>
      </c>
      <c r="E65" s="11" t="n"/>
      <c r="F65" s="11" t="inlineStr">
        <is>
          <t>杭州知识跳跳科技有限公司</t>
        </is>
      </c>
      <c r="G65" s="11" t="inlineStr">
        <is>
          <t>记-31</t>
        </is>
      </c>
      <c r="H65" s="11" t="n"/>
      <c r="I65" s="88" t="n">
        <v>6</v>
      </c>
      <c r="J65" s="88" t="n"/>
      <c r="K65" s="16" t="n"/>
      <c r="L65" s="88" t="n"/>
      <c r="M65" s="11" t="n"/>
    </row>
    <row r="66" s="83">
      <c r="A66" s="11" t="inlineStr">
        <is>
          <t>100201</t>
        </is>
      </c>
      <c r="B66" s="11" t="n"/>
      <c r="C66" s="11" t="inlineStr">
        <is>
          <t>2025-06-30</t>
        </is>
      </c>
      <c r="D66" s="11" t="inlineStr">
        <is>
          <t>Q0601</t>
        </is>
      </c>
      <c r="E66" s="11" t="n"/>
      <c r="F66" s="11" t="inlineStr">
        <is>
          <t>杭州知识跳跳科技有限公司</t>
        </is>
      </c>
      <c r="G66" s="11" t="inlineStr">
        <is>
          <t>记-29</t>
        </is>
      </c>
      <c r="H66" s="11" t="n"/>
      <c r="I66" s="88" t="n"/>
      <c r="J66" s="87" t="n">
        <v>6</v>
      </c>
      <c r="K66" s="16" t="n"/>
      <c r="L66" s="88" t="n"/>
      <c r="M66" s="11" t="n"/>
    </row>
    <row r="67" s="83">
      <c r="A67" s="11" t="inlineStr">
        <is>
          <t>100201</t>
        </is>
      </c>
      <c r="B67" s="11" t="n"/>
      <c r="C67" s="11" t="inlineStr">
        <is>
          <t>2025-06-13</t>
        </is>
      </c>
      <c r="D67" s="11" t="inlineStr">
        <is>
          <t>Q0801</t>
        </is>
      </c>
      <c r="E67" s="11" t="n"/>
      <c r="F67" s="11" t="inlineStr">
        <is>
          <t>杭州知识跳跳科技有限公司</t>
        </is>
      </c>
      <c r="G67" s="11" t="inlineStr">
        <is>
          <t>记-11</t>
        </is>
      </c>
      <c r="H67" s="11" t="n"/>
      <c r="I67" s="88" t="n"/>
      <c r="J67" s="87" t="n">
        <v>6</v>
      </c>
      <c r="K67" s="16" t="n"/>
      <c r="L67" s="88" t="n"/>
      <c r="M67" s="11" t="n"/>
    </row>
    <row r="68" s="83">
      <c r="A68" s="11" t="inlineStr">
        <is>
          <t>100201</t>
        </is>
      </c>
      <c r="B68" s="11" t="n"/>
      <c r="C68" s="11" t="inlineStr">
        <is>
          <t>2025-06-04</t>
        </is>
      </c>
      <c r="D68" s="11" t="inlineStr">
        <is>
          <t>Q0803</t>
        </is>
      </c>
      <c r="E68" s="11" t="n"/>
      <c r="F68" s="11" t="inlineStr">
        <is>
          <t>杭州知识跳跳科技有限公司</t>
        </is>
      </c>
      <c r="G68" s="11" t="inlineStr">
        <is>
          <t>记-3</t>
        </is>
      </c>
      <c r="H68" s="11" t="n"/>
      <c r="I68" s="88" t="n"/>
      <c r="J68" s="87" t="n">
        <v>6</v>
      </c>
      <c r="K68" s="16" t="n"/>
      <c r="L68" s="88" t="n"/>
      <c r="M68" s="11" t="n"/>
    </row>
    <row r="69" s="83">
      <c r="A69" s="11" t="inlineStr">
        <is>
          <t>100201</t>
        </is>
      </c>
      <c r="B69" s="11" t="n"/>
      <c r="C69" s="11" t="inlineStr">
        <is>
          <t>2025-06-23</t>
        </is>
      </c>
      <c r="D69" s="11" t="inlineStr">
        <is>
          <t>Q0804</t>
        </is>
      </c>
      <c r="E69" s="11" t="n"/>
      <c r="F69" s="11" t="inlineStr">
        <is>
          <t>杭州知识跳跳科技有限公司</t>
        </is>
      </c>
      <c r="G69" s="11" t="inlineStr">
        <is>
          <t>记-22</t>
        </is>
      </c>
      <c r="H69" s="11" t="n"/>
      <c r="I69" s="88" t="n"/>
      <c r="J69" s="87" t="n">
        <v>6</v>
      </c>
      <c r="K69" s="16" t="n"/>
      <c r="L69" s="88" t="n"/>
      <c r="M69" s="11" t="n"/>
    </row>
    <row r="70" s="83">
      <c r="A70" s="11" t="inlineStr">
        <is>
          <t>100201</t>
        </is>
      </c>
      <c r="B70" s="11" t="n"/>
      <c r="C70" s="11" t="inlineStr">
        <is>
          <t>2025-06-24</t>
        </is>
      </c>
      <c r="D70" s="11" t="inlineStr">
        <is>
          <t>Q0805</t>
        </is>
      </c>
      <c r="E70" s="11" t="n"/>
      <c r="F70" s="11" t="inlineStr">
        <is>
          <t>杭州知识跳跳科技有限公司</t>
        </is>
      </c>
      <c r="G70" s="11" t="inlineStr">
        <is>
          <t>记-23</t>
        </is>
      </c>
      <c r="H70" s="11" t="n"/>
      <c r="I70" s="88" t="n"/>
      <c r="J70" s="87" t="n">
        <v>6</v>
      </c>
      <c r="K70" s="16" t="n"/>
      <c r="L70" s="88" t="n"/>
      <c r="M70" s="11" t="n"/>
    </row>
    <row r="71" s="83">
      <c r="A71" s="13" t="inlineStr">
        <is>
          <t>100201</t>
        </is>
      </c>
      <c r="B71" s="13" t="n"/>
      <c r="C71" s="13" t="inlineStr">
        <is>
          <t>2025-06-13</t>
        </is>
      </c>
      <c r="D71" s="13" t="inlineStr">
        <is>
          <t>Q0808</t>
        </is>
      </c>
      <c r="E71" s="13" t="n"/>
      <c r="F71" s="13" t="inlineStr">
        <is>
          <t>杭州知识跳跳科技有限公司</t>
        </is>
      </c>
      <c r="G71" s="13" t="inlineStr">
        <is>
          <t>记-12</t>
        </is>
      </c>
      <c r="H71" s="13" t="n"/>
      <c r="I71" s="87" t="n"/>
      <c r="J71" s="87" t="n">
        <v>6</v>
      </c>
      <c r="K71" s="19" t="n"/>
      <c r="L71" s="87" t="n"/>
      <c r="M71" s="13" t="n"/>
    </row>
    <row r="72" s="83">
      <c r="A72" s="13" t="inlineStr">
        <is>
          <t>100201</t>
        </is>
      </c>
      <c r="B72" s="13" t="n"/>
      <c r="C72" s="13" t="inlineStr">
        <is>
          <t>2025-06-16</t>
        </is>
      </c>
      <c r="D72" s="13" t="inlineStr">
        <is>
          <t>Q0809</t>
        </is>
      </c>
      <c r="E72" s="13" t="n"/>
      <c r="F72" s="13" t="inlineStr">
        <is>
          <t>杭州知识跳跳科技有限公司</t>
        </is>
      </c>
      <c r="G72" s="13" t="inlineStr">
        <is>
          <t>记-14</t>
        </is>
      </c>
      <c r="H72" s="13" t="n"/>
      <c r="I72" s="87" t="n"/>
      <c r="J72" s="87" t="n">
        <v>6</v>
      </c>
      <c r="K72" s="19" t="n"/>
      <c r="L72" s="87" t="n"/>
      <c r="M72" s="13" t="n"/>
    </row>
    <row r="73" s="83">
      <c r="A73" s="11" t="inlineStr">
        <is>
          <t>100201</t>
        </is>
      </c>
      <c r="B73" s="11" t="n"/>
      <c r="C73" s="11" t="inlineStr">
        <is>
          <t>2025-06-18</t>
        </is>
      </c>
      <c r="D73" s="11" t="inlineStr">
        <is>
          <t>Q1206</t>
        </is>
      </c>
      <c r="E73" s="11" t="n"/>
      <c r="F73" s="11" t="inlineStr">
        <is>
          <t>杭州知识跳跳科技有限公司</t>
        </is>
      </c>
      <c r="G73" s="11" t="inlineStr">
        <is>
          <t>记-16</t>
        </is>
      </c>
      <c r="H73" s="11" t="n"/>
      <c r="I73" s="88" t="n"/>
      <c r="J73" s="87" t="n">
        <v>6</v>
      </c>
      <c r="K73" s="16" t="n"/>
      <c r="L73" s="88" t="n"/>
      <c r="M73" s="11" t="n"/>
    </row>
    <row r="74" s="83">
      <c r="A74" s="11" t="inlineStr">
        <is>
          <t>100201</t>
        </is>
      </c>
      <c r="B74" s="11" t="n"/>
      <c r="C74" s="11" t="inlineStr">
        <is>
          <t>2025-06-30</t>
        </is>
      </c>
      <c r="D74" s="11" t="inlineStr">
        <is>
          <t>Q1401</t>
        </is>
      </c>
      <c r="E74" s="11" t="n"/>
      <c r="F74" s="11" t="inlineStr">
        <is>
          <t>杭州知识跳跳科技有限公司</t>
        </is>
      </c>
      <c r="G74" s="11" t="inlineStr">
        <is>
          <t>记-34</t>
        </is>
      </c>
      <c r="H74" s="11" t="n"/>
      <c r="I74" s="88" t="n"/>
      <c r="J74" s="87" t="n">
        <v>6</v>
      </c>
      <c r="K74" s="16" t="n"/>
      <c r="L74" s="88" t="n"/>
      <c r="M74" s="11" t="n"/>
    </row>
    <row r="75" s="83">
      <c r="A75" s="11" t="inlineStr">
        <is>
          <t>100201</t>
        </is>
      </c>
      <c r="B75" s="11" t="n"/>
      <c r="C75" s="11" t="inlineStr">
        <is>
          <t>2025-06-10</t>
        </is>
      </c>
      <c r="D75" s="11" t="inlineStr">
        <is>
          <t>Q1501</t>
        </is>
      </c>
      <c r="E75" s="11" t="n"/>
      <c r="F75" s="11" t="inlineStr">
        <is>
          <t>杭州知识跳跳科技有限公司</t>
        </is>
      </c>
      <c r="G75" s="11" t="inlineStr">
        <is>
          <t>记-7</t>
        </is>
      </c>
      <c r="H75" s="11" t="n"/>
      <c r="I75" s="88" t="n"/>
      <c r="J75" s="87" t="n">
        <v>6</v>
      </c>
      <c r="K75" s="16" t="n"/>
      <c r="L75" s="88" t="n"/>
      <c r="M75" s="11" t="n"/>
    </row>
    <row r="76" s="83">
      <c r="A76" s="13" t="inlineStr">
        <is>
          <t>100201</t>
        </is>
      </c>
      <c r="B76" s="13" t="n"/>
      <c r="C76" s="13" t="inlineStr">
        <is>
          <t>2025-06-12</t>
        </is>
      </c>
      <c r="D76" s="13" t="inlineStr">
        <is>
          <t>Q1501</t>
        </is>
      </c>
      <c r="E76" s="13" t="n"/>
      <c r="F76" s="13" t="inlineStr">
        <is>
          <t>杭州知识跳跳科技有限公司</t>
        </is>
      </c>
      <c r="G76" s="13" t="inlineStr">
        <is>
          <t>记-10</t>
        </is>
      </c>
      <c r="H76" s="13" t="n"/>
      <c r="I76" s="87" t="n"/>
      <c r="J76" s="87" t="n">
        <v>6</v>
      </c>
      <c r="K76" s="19" t="n"/>
      <c r="L76" s="87" t="n"/>
      <c r="M76" s="13" t="n"/>
    </row>
    <row r="77" s="83">
      <c r="A77" s="13" t="inlineStr">
        <is>
          <t>100201</t>
        </is>
      </c>
      <c r="B77" s="13" t="n"/>
      <c r="C77" s="13" t="inlineStr">
        <is>
          <t>2025-06-06</t>
        </is>
      </c>
      <c r="D77" s="13" t="inlineStr">
        <is>
          <t>Q1505</t>
        </is>
      </c>
      <c r="E77" s="13" t="n"/>
      <c r="F77" s="13" t="inlineStr">
        <is>
          <t>杭州知识跳跳科技有限公司</t>
        </is>
      </c>
      <c r="G77" s="13" t="inlineStr">
        <is>
          <t>记-4</t>
        </is>
      </c>
      <c r="H77" s="13" t="n"/>
      <c r="I77" s="87" t="n"/>
      <c r="J77" s="87" t="n">
        <v>6</v>
      </c>
      <c r="K77" s="19" t="n"/>
      <c r="L77" s="87" t="n"/>
      <c r="M77" s="13" t="n"/>
    </row>
    <row r="78" s="83">
      <c r="A78" s="11" t="inlineStr">
        <is>
          <t>100201</t>
        </is>
      </c>
      <c r="B78" s="11" t="n"/>
      <c r="C78" s="11" t="inlineStr">
        <is>
          <t>2025-06-06</t>
        </is>
      </c>
      <c r="D78" s="11" t="inlineStr">
        <is>
          <t>Q1505</t>
        </is>
      </c>
      <c r="E78" s="11" t="n"/>
      <c r="F78" s="11" t="inlineStr">
        <is>
          <t>杭州知识跳跳科技有限公司</t>
        </is>
      </c>
      <c r="G78" s="11" t="inlineStr">
        <is>
          <t>记-5</t>
        </is>
      </c>
      <c r="H78" s="11" t="n"/>
      <c r="I78" s="88" t="n"/>
      <c r="J78" s="87" t="n">
        <v>6</v>
      </c>
      <c r="K78" s="16" t="n"/>
      <c r="L78" s="88" t="n"/>
      <c r="M78" s="11" t="n"/>
    </row>
    <row r="79" s="83">
      <c r="A79" s="13" t="inlineStr">
        <is>
          <t>100201</t>
        </is>
      </c>
      <c r="B79" s="13" t="n"/>
      <c r="C79" s="13" t="inlineStr">
        <is>
          <t>2025-06-13</t>
        </is>
      </c>
      <c r="D79" s="13" t="inlineStr">
        <is>
          <t>Q1505</t>
        </is>
      </c>
      <c r="E79" s="13" t="n"/>
      <c r="F79" s="13" t="inlineStr">
        <is>
          <t>杭州知识跳跳科技有限公司</t>
        </is>
      </c>
      <c r="G79" s="13" t="inlineStr">
        <is>
          <t>记-13</t>
        </is>
      </c>
      <c r="H79" s="13" t="n"/>
      <c r="I79" s="87" t="n"/>
      <c r="J79" s="87" t="n">
        <v>6</v>
      </c>
      <c r="K79" s="19" t="n"/>
      <c r="L79" s="87" t="n"/>
      <c r="M79" s="13" t="n"/>
    </row>
    <row r="80" s="83">
      <c r="A80" s="13" t="inlineStr">
        <is>
          <t>100201</t>
        </is>
      </c>
      <c r="B80" s="13" t="n"/>
      <c r="C80" s="13" t="inlineStr">
        <is>
          <t>2025-06-18</t>
        </is>
      </c>
      <c r="D80" s="13" t="inlineStr">
        <is>
          <t>Q1603</t>
        </is>
      </c>
      <c r="E80" s="13" t="n"/>
      <c r="F80" s="13" t="inlineStr">
        <is>
          <t>杭州知识跳跳科技有限公司</t>
        </is>
      </c>
      <c r="G80" s="13" t="inlineStr">
        <is>
          <t>记-17</t>
        </is>
      </c>
      <c r="H80" s="13" t="n"/>
      <c r="I80" s="87" t="n"/>
      <c r="J80" s="87" t="n">
        <v>6</v>
      </c>
      <c r="K80" s="19" t="n"/>
      <c r="L80" s="87" t="n"/>
      <c r="M80" s="13" t="n"/>
    </row>
    <row r="81" s="83">
      <c r="A81" s="11" t="inlineStr">
        <is>
          <t>100201</t>
        </is>
      </c>
      <c r="B81" s="11" t="n"/>
      <c r="C81" s="11" t="inlineStr">
        <is>
          <t>2025-06-24</t>
        </is>
      </c>
      <c r="D81" s="11" t="inlineStr">
        <is>
          <t>Q2802</t>
        </is>
      </c>
      <c r="E81" s="11" t="n"/>
      <c r="F81" s="11" t="inlineStr">
        <is>
          <t>杭州知识跳跳科技有限公司</t>
        </is>
      </c>
      <c r="G81" s="11" t="inlineStr">
        <is>
          <t>记-24</t>
        </is>
      </c>
      <c r="H81" s="11" t="n"/>
      <c r="I81" s="88" t="n"/>
      <c r="J81" s="87" t="n">
        <v>6</v>
      </c>
      <c r="K81" s="16" t="n"/>
      <c r="L81" s="88" t="n"/>
      <c r="M81" s="11" t="n"/>
    </row>
    <row r="82" s="83">
      <c r="A82" s="13" t="inlineStr">
        <is>
          <t>100201</t>
        </is>
      </c>
      <c r="B82" s="13" t="n"/>
      <c r="C82" s="13" t="inlineStr">
        <is>
          <t>2025-06-12</t>
        </is>
      </c>
      <c r="D82" s="13" t="inlineStr">
        <is>
          <t>Q29010</t>
        </is>
      </c>
      <c r="E82" s="13" t="n"/>
      <c r="F82" s="13" t="inlineStr">
        <is>
          <t>杭州知识跳跳科技有限公司</t>
        </is>
      </c>
      <c r="G82" s="13" t="inlineStr">
        <is>
          <t>记-8</t>
        </is>
      </c>
      <c r="H82" s="13" t="n"/>
      <c r="I82" s="87" t="n"/>
      <c r="J82" s="87" t="n">
        <v>6</v>
      </c>
      <c r="K82" s="19" t="n"/>
      <c r="L82" s="87" t="n"/>
      <c r="M82" s="13" t="n"/>
    </row>
    <row r="83" s="83">
      <c r="A83" s="11" t="inlineStr">
        <is>
          <t>100201</t>
        </is>
      </c>
      <c r="B83" s="11" t="n"/>
      <c r="C83" s="11" t="inlineStr">
        <is>
          <t>2025-06-16</t>
        </is>
      </c>
      <c r="D83" s="11" t="inlineStr">
        <is>
          <t>Q29010</t>
        </is>
      </c>
      <c r="E83" s="11" t="n"/>
      <c r="F83" s="11" t="inlineStr">
        <is>
          <t>杭州知识跳跳科技有限公司</t>
        </is>
      </c>
      <c r="G83" s="11" t="inlineStr">
        <is>
          <t>记-15</t>
        </is>
      </c>
      <c r="H83" s="11" t="n"/>
      <c r="I83" s="88" t="n"/>
      <c r="J83" s="87" t="n">
        <v>6</v>
      </c>
      <c r="K83" s="16" t="n"/>
      <c r="L83" s="88" t="n"/>
      <c r="M83" s="11" t="n"/>
    </row>
    <row r="84" s="83">
      <c r="A84" s="11" t="inlineStr">
        <is>
          <t>100201</t>
        </is>
      </c>
      <c r="B84" s="11" t="n"/>
      <c r="C84" s="11" t="inlineStr">
        <is>
          <t>2025-06-04</t>
        </is>
      </c>
      <c r="D84" s="11" t="inlineStr">
        <is>
          <t>Q2904</t>
        </is>
      </c>
      <c r="E84" s="11" t="n"/>
      <c r="F84" s="11" t="inlineStr">
        <is>
          <t>杭州知识跳跳科技有限公司</t>
        </is>
      </c>
      <c r="G84" s="11" t="inlineStr">
        <is>
          <t>记-2</t>
        </is>
      </c>
      <c r="H84" s="11" t="n"/>
      <c r="I84" s="88" t="n"/>
      <c r="J84" s="87" t="n">
        <v>6</v>
      </c>
      <c r="K84" s="16" t="n"/>
      <c r="L84" s="88" t="n"/>
      <c r="M84" s="11" t="n"/>
    </row>
    <row r="85" s="83">
      <c r="A85" s="11" t="inlineStr">
        <is>
          <t>100201</t>
        </is>
      </c>
      <c r="B85" s="11" t="n"/>
      <c r="C85" s="11" t="inlineStr">
        <is>
          <t>2025-06-23</t>
        </is>
      </c>
      <c r="D85" s="11" t="inlineStr">
        <is>
          <t>Q2908</t>
        </is>
      </c>
      <c r="E85" s="11" t="n"/>
      <c r="F85" s="11" t="inlineStr">
        <is>
          <t>杭州知识跳跳科技有限公司</t>
        </is>
      </c>
      <c r="G85" s="11" t="inlineStr">
        <is>
          <t>记-21</t>
        </is>
      </c>
      <c r="H85" s="11" t="n"/>
      <c r="I85" s="88" t="n"/>
      <c r="J85" s="87" t="n">
        <v>6</v>
      </c>
      <c r="K85" s="16" t="n"/>
      <c r="L85" s="88" t="n"/>
      <c r="M85" s="11" t="n"/>
    </row>
    <row r="86" s="83">
      <c r="A86" s="13" t="inlineStr">
        <is>
          <t>100201</t>
        </is>
      </c>
      <c r="B86" s="13" t="n"/>
      <c r="C86" s="13" t="inlineStr">
        <is>
          <t>2025-06-25</t>
        </is>
      </c>
      <c r="D86" s="13" t="inlineStr">
        <is>
          <t>Q2908</t>
        </is>
      </c>
      <c r="E86" s="13" t="n"/>
      <c r="F86" s="13" t="inlineStr">
        <is>
          <t>杭州知识跳跳科技有限公司</t>
        </is>
      </c>
      <c r="G86" s="13" t="inlineStr">
        <is>
          <t>记-25</t>
        </is>
      </c>
      <c r="H86" s="13" t="n"/>
      <c r="I86" s="87" t="n"/>
      <c r="J86" s="87" t="n">
        <v>6</v>
      </c>
      <c r="K86" s="19" t="n"/>
      <c r="L86" s="87" t="n"/>
      <c r="M86" s="13" t="n"/>
    </row>
    <row r="87" s="83">
      <c r="A87" s="13" t="inlineStr">
        <is>
          <t>100201</t>
        </is>
      </c>
      <c r="B87" s="13" t="n"/>
      <c r="C87" s="13" t="inlineStr">
        <is>
          <t>2025-06-30</t>
        </is>
      </c>
      <c r="D87" s="13" t="inlineStr">
        <is>
          <t>Q3101</t>
        </is>
      </c>
      <c r="E87" s="13" t="n"/>
      <c r="F87" s="13" t="inlineStr">
        <is>
          <t>杭州知识跳跳科技有限公司</t>
        </is>
      </c>
      <c r="G87" s="13" t="inlineStr">
        <is>
          <t>记-35</t>
        </is>
      </c>
      <c r="H87" s="13" t="n"/>
      <c r="I87" s="87" t="n"/>
      <c r="J87" s="87" t="n">
        <v>6</v>
      </c>
      <c r="K87" s="19" t="n"/>
      <c r="L87" s="87" t="n"/>
      <c r="M87" s="13" t="n"/>
    </row>
    <row r="88" s="83">
      <c r="A88" s="13" t="inlineStr">
        <is>
          <t>100201</t>
        </is>
      </c>
      <c r="B88" s="13" t="n"/>
      <c r="C88" s="13" t="inlineStr">
        <is>
          <t>2025-06-24</t>
        </is>
      </c>
      <c r="D88" s="13" t="inlineStr">
        <is>
          <t>Q3103</t>
        </is>
      </c>
      <c r="E88" s="13" t="n"/>
      <c r="F88" s="13" t="inlineStr">
        <is>
          <t>杭州知识跳跳科技有限公司</t>
        </is>
      </c>
      <c r="G88" s="13" t="inlineStr">
        <is>
          <t>记-23</t>
        </is>
      </c>
      <c r="H88" s="13" t="n"/>
      <c r="I88" s="87" t="n"/>
      <c r="J88" s="87" t="n">
        <v>6</v>
      </c>
      <c r="K88" s="19" t="n"/>
      <c r="L88" s="87" t="n"/>
      <c r="M88" s="13" t="n"/>
    </row>
    <row r="89" s="83">
      <c r="A89" s="11" t="inlineStr">
        <is>
          <t>101203</t>
        </is>
      </c>
      <c r="B89" s="11" t="n"/>
      <c r="C89" s="11" t="inlineStr">
        <is>
          <t>2025-06-23</t>
        </is>
      </c>
      <c r="D89" s="11" t="inlineStr">
        <is>
          <t>Q0401</t>
        </is>
      </c>
      <c r="E89" s="11" t="n"/>
      <c r="F89" s="11" t="inlineStr">
        <is>
          <t>杭州知识跳跳科技有限公司</t>
        </is>
      </c>
      <c r="G89" s="11" t="inlineStr">
        <is>
          <t>记-20</t>
        </is>
      </c>
      <c r="H89" s="11" t="n"/>
      <c r="I89" s="88" t="n"/>
      <c r="J89" s="87" t="n">
        <v>6</v>
      </c>
      <c r="K89" s="16" t="n"/>
      <c r="L89" s="88" t="n"/>
      <c r="M89" s="11" t="n"/>
    </row>
    <row r="90" s="83">
      <c r="A90" s="13" t="inlineStr">
        <is>
          <t>100201</t>
        </is>
      </c>
      <c r="B90" s="13" t="n"/>
      <c r="C90" s="13" t="inlineStr">
        <is>
          <t>2025-06-16</t>
        </is>
      </c>
      <c r="D90" s="13" t="inlineStr">
        <is>
          <t>Q0101</t>
        </is>
      </c>
      <c r="E90" s="13" t="n"/>
      <c r="F90" s="13" t="inlineStr">
        <is>
          <t>浙江精准学科技有限公司</t>
        </is>
      </c>
      <c r="G90" s="13" t="inlineStr">
        <is>
          <t>记-123</t>
        </is>
      </c>
      <c r="H90" s="13" t="n"/>
      <c r="I90" s="87" t="n"/>
      <c r="J90" s="87" t="n">
        <v>6</v>
      </c>
      <c r="K90" s="19" t="n"/>
      <c r="L90" s="87" t="n"/>
      <c r="M90" s="13" t="n"/>
    </row>
    <row r="91" s="83">
      <c r="A91" s="11" t="inlineStr">
        <is>
          <t>100201</t>
        </is>
      </c>
      <c r="B91" s="11" t="n"/>
      <c r="C91" s="11" t="inlineStr">
        <is>
          <t>2025-06-27</t>
        </is>
      </c>
      <c r="D91" s="11" t="inlineStr">
        <is>
          <t>Q0101</t>
        </is>
      </c>
      <c r="E91" s="11" t="n"/>
      <c r="F91" s="11" t="inlineStr">
        <is>
          <t>浙江精准学科技有限公司</t>
        </is>
      </c>
      <c r="G91" s="11" t="inlineStr">
        <is>
          <t>记-210</t>
        </is>
      </c>
      <c r="H91" s="11" t="n"/>
      <c r="I91" s="88" t="n">
        <v>6</v>
      </c>
      <c r="J91" s="88" t="n"/>
      <c r="K91" s="16" t="n"/>
      <c r="L91" s="88" t="n"/>
      <c r="M91" s="11" t="n"/>
    </row>
    <row r="92" s="83">
      <c r="A92" s="13" t="inlineStr">
        <is>
          <t>100201</t>
        </is>
      </c>
      <c r="B92" s="13" t="n"/>
      <c r="C92" s="13" t="inlineStr">
        <is>
          <t>2025-06-30</t>
        </is>
      </c>
      <c r="D92" s="13" t="inlineStr">
        <is>
          <t>Q0101</t>
        </is>
      </c>
      <c r="E92" s="13" t="n"/>
      <c r="F92" s="13" t="inlineStr">
        <is>
          <t>浙江精准学科技有限公司</t>
        </is>
      </c>
      <c r="G92" s="13" t="inlineStr">
        <is>
          <t>记-153</t>
        </is>
      </c>
      <c r="H92" s="13" t="n"/>
      <c r="I92" s="88" t="n">
        <v>6</v>
      </c>
      <c r="J92" s="87" t="n"/>
      <c r="K92" s="19" t="n"/>
      <c r="L92" s="87" t="n"/>
      <c r="M92" s="13" t="n"/>
    </row>
    <row r="93" s="83">
      <c r="A93" s="11" t="inlineStr">
        <is>
          <t>100201</t>
        </is>
      </c>
      <c r="B93" s="11" t="n"/>
      <c r="C93" s="11" t="inlineStr">
        <is>
          <t>2025-06-30</t>
        </is>
      </c>
      <c r="D93" s="11" t="inlineStr">
        <is>
          <t>Q0102</t>
        </is>
      </c>
      <c r="E93" s="11" t="n"/>
      <c r="F93" s="11" t="inlineStr">
        <is>
          <t>浙江精准学科技有限公司</t>
        </is>
      </c>
      <c r="G93" s="11" t="inlineStr">
        <is>
          <t>记-227</t>
        </is>
      </c>
      <c r="H93" s="11" t="n"/>
      <c r="I93" s="88" t="n">
        <v>6</v>
      </c>
      <c r="J93" s="88" t="n"/>
      <c r="K93" s="16" t="n"/>
      <c r="L93" s="88" t="n"/>
      <c r="M93" s="11" t="n"/>
    </row>
    <row r="94" s="83">
      <c r="A94" s="13" t="inlineStr">
        <is>
          <t>100201</t>
        </is>
      </c>
      <c r="B94" s="13" t="n"/>
      <c r="C94" s="13" t="inlineStr">
        <is>
          <t>2025-06-30</t>
        </is>
      </c>
      <c r="D94" s="13" t="inlineStr">
        <is>
          <t>Q0102</t>
        </is>
      </c>
      <c r="E94" s="13" t="n"/>
      <c r="F94" s="13" t="inlineStr">
        <is>
          <t>浙江精准学科技有限公司</t>
        </is>
      </c>
      <c r="G94" s="13" t="inlineStr">
        <is>
          <t>记-228</t>
        </is>
      </c>
      <c r="H94" s="13" t="n"/>
      <c r="I94" s="88" t="n">
        <v>6</v>
      </c>
      <c r="J94" s="87" t="n"/>
      <c r="K94" s="19" t="n"/>
      <c r="L94" s="87" t="n"/>
      <c r="M94" s="13" t="n"/>
    </row>
    <row r="95" s="83">
      <c r="A95" s="13" t="inlineStr">
        <is>
          <t>100201</t>
        </is>
      </c>
      <c r="B95" s="13" t="n"/>
      <c r="C95" s="13" t="inlineStr">
        <is>
          <t>2025-06-24</t>
        </is>
      </c>
      <c r="D95" s="13" t="inlineStr">
        <is>
          <t>Q0301</t>
        </is>
      </c>
      <c r="E95" s="13" t="n"/>
      <c r="F95" s="13" t="inlineStr">
        <is>
          <t>浙江精准学科技有限公司</t>
        </is>
      </c>
      <c r="G95" s="13" t="inlineStr">
        <is>
          <t>记-181</t>
        </is>
      </c>
      <c r="H95" s="13" t="n"/>
      <c r="I95" s="88" t="n">
        <v>6</v>
      </c>
      <c r="J95" s="87" t="n"/>
      <c r="K95" s="19" t="n"/>
      <c r="L95" s="87" t="n"/>
      <c r="M95" s="13" t="n"/>
    </row>
    <row r="96" s="83">
      <c r="A96" s="13" t="inlineStr">
        <is>
          <t>100201</t>
        </is>
      </c>
      <c r="B96" s="13" t="n"/>
      <c r="C96" s="13" t="inlineStr">
        <is>
          <t>2025-06-20</t>
        </is>
      </c>
      <c r="D96" s="13" t="inlineStr">
        <is>
          <t>Q0302</t>
        </is>
      </c>
      <c r="E96" s="13" t="n"/>
      <c r="F96" s="13" t="inlineStr">
        <is>
          <t>浙江精准学科技有限公司</t>
        </is>
      </c>
      <c r="G96" s="13" t="inlineStr">
        <is>
          <t>记-234</t>
        </is>
      </c>
      <c r="H96" s="13" t="n"/>
      <c r="I96" s="88" t="n">
        <v>6</v>
      </c>
      <c r="J96" s="87" t="n"/>
      <c r="K96" s="19" t="n"/>
      <c r="L96" s="87" t="n"/>
      <c r="M96" s="13" t="n"/>
    </row>
    <row r="97" s="83">
      <c r="A97" s="11" t="inlineStr">
        <is>
          <t>100201</t>
        </is>
      </c>
      <c r="B97" s="11" t="n"/>
      <c r="C97" s="11" t="inlineStr">
        <is>
          <t>2025-06-21</t>
        </is>
      </c>
      <c r="D97" s="11" t="inlineStr">
        <is>
          <t>Q0302</t>
        </is>
      </c>
      <c r="E97" s="11" t="n"/>
      <c r="F97" s="11" t="inlineStr">
        <is>
          <t>浙江精准学科技有限公司</t>
        </is>
      </c>
      <c r="G97" s="11" t="inlineStr">
        <is>
          <t>记-165</t>
        </is>
      </c>
      <c r="H97" s="11" t="n"/>
      <c r="I97" s="88" t="n">
        <v>6</v>
      </c>
      <c r="J97" s="88" t="n"/>
      <c r="K97" s="16" t="n"/>
      <c r="L97" s="88" t="n"/>
      <c r="M97" s="11" t="n"/>
    </row>
    <row r="98" s="83">
      <c r="A98" s="13" t="inlineStr">
        <is>
          <t>100201</t>
        </is>
      </c>
      <c r="B98" s="13" t="n"/>
      <c r="C98" s="13" t="inlineStr">
        <is>
          <t>2025-06-21</t>
        </is>
      </c>
      <c r="D98" s="13" t="inlineStr">
        <is>
          <t>Q0302</t>
        </is>
      </c>
      <c r="E98" s="13" t="n"/>
      <c r="F98" s="13" t="inlineStr">
        <is>
          <t>浙江精准学科技有限公司</t>
        </is>
      </c>
      <c r="G98" s="13" t="inlineStr">
        <is>
          <t>记-166</t>
        </is>
      </c>
      <c r="H98" s="13" t="n"/>
      <c r="I98" s="88" t="n">
        <v>6</v>
      </c>
      <c r="J98" s="87" t="n"/>
      <c r="K98" s="19" t="n"/>
      <c r="L98" s="87" t="n"/>
      <c r="M98" s="13" t="n"/>
    </row>
    <row r="99" s="83">
      <c r="A99" s="13" t="inlineStr">
        <is>
          <t>100201</t>
        </is>
      </c>
      <c r="B99" s="13" t="n"/>
      <c r="C99" s="13" t="inlineStr">
        <is>
          <t>2025-06-05</t>
        </is>
      </c>
      <c r="D99" s="13" t="inlineStr">
        <is>
          <t>Q0303</t>
        </is>
      </c>
      <c r="E99" s="13" t="n"/>
      <c r="F99" s="13" t="inlineStr">
        <is>
          <t>浙江精准学科技有限公司</t>
        </is>
      </c>
      <c r="G99" s="13" t="inlineStr">
        <is>
          <t>记-34</t>
        </is>
      </c>
      <c r="H99" s="13" t="n"/>
      <c r="I99" s="88" t="n">
        <v>6</v>
      </c>
      <c r="J99" s="87" t="n"/>
      <c r="K99" s="19" t="n"/>
      <c r="L99" s="87" t="n"/>
      <c r="M99" s="13" t="n"/>
    </row>
    <row r="100" s="83">
      <c r="A100" s="13" t="inlineStr">
        <is>
          <t>100201</t>
        </is>
      </c>
      <c r="B100" s="13" t="n"/>
      <c r="C100" s="13" t="inlineStr">
        <is>
          <t>2025-06-01</t>
        </is>
      </c>
      <c r="D100" s="13" t="inlineStr">
        <is>
          <t>Q0401</t>
        </is>
      </c>
      <c r="E100" s="13" t="n"/>
      <c r="F100" s="13" t="inlineStr">
        <is>
          <t>浙江精准学科技有限公司</t>
        </is>
      </c>
      <c r="G100" s="13" t="inlineStr">
        <is>
          <t>记-1</t>
        </is>
      </c>
      <c r="H100" s="13" t="n"/>
      <c r="I100" s="88" t="n">
        <v>6</v>
      </c>
      <c r="J100" s="87" t="n"/>
      <c r="K100" s="19" t="n"/>
      <c r="L100" s="87" t="n"/>
      <c r="M100" s="13" t="n"/>
    </row>
    <row r="101" s="83">
      <c r="A101" s="11" t="inlineStr">
        <is>
          <t>100201</t>
        </is>
      </c>
      <c r="B101" s="11" t="n"/>
      <c r="C101" s="11" t="inlineStr">
        <is>
          <t>2025-06-04</t>
        </is>
      </c>
      <c r="D101" s="11" t="inlineStr">
        <is>
          <t>Q0401</t>
        </is>
      </c>
      <c r="E101" s="11" t="n"/>
      <c r="F101" s="11" t="inlineStr">
        <is>
          <t>浙江精准学科技有限公司</t>
        </is>
      </c>
      <c r="G101" s="11" t="inlineStr">
        <is>
          <t>记-16</t>
        </is>
      </c>
      <c r="H101" s="11" t="n"/>
      <c r="I101" s="88" t="n">
        <v>6</v>
      </c>
      <c r="J101" s="88" t="n"/>
      <c r="K101" s="16" t="n"/>
      <c r="L101" s="88" t="n"/>
      <c r="M101" s="11" t="n"/>
    </row>
    <row r="102" s="83">
      <c r="A102" s="13" t="inlineStr">
        <is>
          <t>100201</t>
        </is>
      </c>
      <c r="B102" s="13" t="n"/>
      <c r="C102" s="13" t="inlineStr">
        <is>
          <t>2025-06-04</t>
        </is>
      </c>
      <c r="D102" s="13" t="inlineStr">
        <is>
          <t>Q0401</t>
        </is>
      </c>
      <c r="E102" s="13" t="n"/>
      <c r="F102" s="13" t="inlineStr">
        <is>
          <t>浙江精准学科技有限公司</t>
        </is>
      </c>
      <c r="G102" s="13" t="inlineStr">
        <is>
          <t>记-17</t>
        </is>
      </c>
      <c r="H102" s="13" t="n"/>
      <c r="I102" s="88" t="n">
        <v>6</v>
      </c>
      <c r="J102" s="87" t="n"/>
      <c r="K102" s="19" t="n"/>
      <c r="L102" s="87" t="n"/>
      <c r="M102" s="13" t="n"/>
    </row>
    <row r="103" s="83">
      <c r="A103" s="11" t="inlineStr">
        <is>
          <t>100201</t>
        </is>
      </c>
      <c r="B103" s="11" t="n"/>
      <c r="C103" s="11" t="inlineStr">
        <is>
          <t>2025-06-08</t>
        </is>
      </c>
      <c r="D103" s="11" t="inlineStr">
        <is>
          <t>Q0401</t>
        </is>
      </c>
      <c r="E103" s="11" t="n"/>
      <c r="F103" s="11" t="inlineStr">
        <is>
          <t>浙江精准学科技有限公司</t>
        </is>
      </c>
      <c r="G103" s="11" t="inlineStr">
        <is>
          <t>记-44</t>
        </is>
      </c>
      <c r="H103" s="11" t="n"/>
      <c r="I103" s="88" t="n">
        <v>6</v>
      </c>
      <c r="J103" s="88" t="n"/>
      <c r="K103" s="16" t="n"/>
      <c r="L103" s="88" t="n"/>
      <c r="M103" s="11" t="n"/>
    </row>
    <row r="104" s="83">
      <c r="A104" s="13" t="inlineStr">
        <is>
          <t>100201</t>
        </is>
      </c>
      <c r="B104" s="13" t="n"/>
      <c r="C104" s="13" t="inlineStr">
        <is>
          <t>2025-06-11</t>
        </is>
      </c>
      <c r="D104" s="13" t="inlineStr">
        <is>
          <t>Q0401</t>
        </is>
      </c>
      <c r="E104" s="13" t="n"/>
      <c r="F104" s="13" t="inlineStr">
        <is>
          <t>浙江精准学科技有限公司</t>
        </is>
      </c>
      <c r="G104" s="13" t="inlineStr">
        <is>
          <t>记-59</t>
        </is>
      </c>
      <c r="H104" s="13" t="n"/>
      <c r="I104" s="88" t="n">
        <v>6</v>
      </c>
      <c r="J104" s="87" t="n"/>
      <c r="K104" s="19" t="n"/>
      <c r="L104" s="87" t="n"/>
      <c r="M104" s="13" t="n"/>
    </row>
    <row r="105" s="83">
      <c r="A105" s="11" t="inlineStr">
        <is>
          <t>100201</t>
        </is>
      </c>
      <c r="B105" s="11" t="n"/>
      <c r="C105" s="11" t="inlineStr">
        <is>
          <t>2025-06-11</t>
        </is>
      </c>
      <c r="D105" s="11" t="inlineStr">
        <is>
          <t>Q0401</t>
        </is>
      </c>
      <c r="E105" s="11" t="n"/>
      <c r="F105" s="11" t="inlineStr">
        <is>
          <t>浙江精准学科技有限公司</t>
        </is>
      </c>
      <c r="G105" s="11" t="inlineStr">
        <is>
          <t>记-60</t>
        </is>
      </c>
      <c r="H105" s="11" t="n"/>
      <c r="I105" s="88" t="n">
        <v>6</v>
      </c>
      <c r="J105" s="88" t="n"/>
      <c r="K105" s="16" t="n"/>
      <c r="L105" s="88" t="n"/>
      <c r="M105" s="11" t="n"/>
    </row>
    <row r="106" s="83">
      <c r="A106" s="13" t="inlineStr">
        <is>
          <t>100201</t>
        </is>
      </c>
      <c r="B106" s="13" t="n"/>
      <c r="C106" s="13" t="inlineStr">
        <is>
          <t>2025-06-13</t>
        </is>
      </c>
      <c r="D106" s="13" t="inlineStr">
        <is>
          <t>Q0401</t>
        </is>
      </c>
      <c r="E106" s="13" t="n"/>
      <c r="F106" s="13" t="inlineStr">
        <is>
          <t>浙江精准学科技有限公司</t>
        </is>
      </c>
      <c r="G106" s="13" t="inlineStr">
        <is>
          <t>记-87</t>
        </is>
      </c>
      <c r="H106" s="13" t="n"/>
      <c r="I106" s="88" t="n">
        <v>6</v>
      </c>
      <c r="J106" s="87" t="n"/>
      <c r="K106" s="19" t="n"/>
      <c r="L106" s="87" t="n"/>
      <c r="M106" s="13" t="n"/>
    </row>
    <row r="107" s="83">
      <c r="A107" s="11" t="inlineStr">
        <is>
          <t>100201</t>
        </is>
      </c>
      <c r="B107" s="11" t="n"/>
      <c r="C107" s="11" t="inlineStr">
        <is>
          <t>2025-06-13</t>
        </is>
      </c>
      <c r="D107" s="11" t="inlineStr">
        <is>
          <t>Q0401</t>
        </is>
      </c>
      <c r="E107" s="11" t="n"/>
      <c r="F107" s="11" t="inlineStr">
        <is>
          <t>浙江精准学科技有限公司</t>
        </is>
      </c>
      <c r="G107" s="11" t="inlineStr">
        <is>
          <t>记-88</t>
        </is>
      </c>
      <c r="H107" s="11" t="n"/>
      <c r="I107" s="88" t="n">
        <v>6</v>
      </c>
      <c r="J107" s="88" t="n"/>
      <c r="K107" s="16" t="n"/>
      <c r="L107" s="88" t="n"/>
      <c r="M107" s="11" t="n"/>
    </row>
    <row r="108" s="83">
      <c r="A108" s="13" t="inlineStr">
        <is>
          <t>100201</t>
        </is>
      </c>
      <c r="B108" s="13" t="n"/>
      <c r="C108" s="13" t="inlineStr">
        <is>
          <t>2025-06-13</t>
        </is>
      </c>
      <c r="D108" s="13" t="inlineStr">
        <is>
          <t>Q0401</t>
        </is>
      </c>
      <c r="E108" s="13" t="n"/>
      <c r="F108" s="13" t="inlineStr">
        <is>
          <t>浙江精准学科技有限公司</t>
        </is>
      </c>
      <c r="G108" s="13" t="inlineStr">
        <is>
          <t>记-90</t>
        </is>
      </c>
      <c r="H108" s="13" t="n"/>
      <c r="I108" s="88" t="n">
        <v>6</v>
      </c>
      <c r="J108" s="87" t="n"/>
      <c r="K108" s="19" t="n"/>
      <c r="L108" s="87" t="n"/>
      <c r="M108" s="13" t="n"/>
    </row>
    <row r="109" s="83">
      <c r="A109" s="11" t="inlineStr">
        <is>
          <t>100201</t>
        </is>
      </c>
      <c r="B109" s="11" t="n"/>
      <c r="C109" s="11" t="inlineStr">
        <is>
          <t>2025-06-13</t>
        </is>
      </c>
      <c r="D109" s="11" t="inlineStr">
        <is>
          <t>Q0401</t>
        </is>
      </c>
      <c r="E109" s="11" t="n"/>
      <c r="F109" s="11" t="inlineStr">
        <is>
          <t>浙江精准学科技有限公司</t>
        </is>
      </c>
      <c r="G109" s="11" t="inlineStr">
        <is>
          <t>记-90</t>
        </is>
      </c>
      <c r="H109" s="11" t="n"/>
      <c r="I109" s="88" t="n"/>
      <c r="J109" s="87" t="n">
        <v>6</v>
      </c>
      <c r="K109" s="16" t="n"/>
      <c r="L109" s="88" t="n"/>
      <c r="M109" s="11" t="n"/>
    </row>
    <row r="110" s="83">
      <c r="A110" s="13" t="inlineStr">
        <is>
          <t>100201</t>
        </is>
      </c>
      <c r="B110" s="13" t="n"/>
      <c r="C110" s="13" t="inlineStr">
        <is>
          <t>2025-06-15</t>
        </is>
      </c>
      <c r="D110" s="13" t="inlineStr">
        <is>
          <t>Q0401</t>
        </is>
      </c>
      <c r="E110" s="13" t="n"/>
      <c r="F110" s="13" t="inlineStr">
        <is>
          <t>浙江精准学科技有限公司</t>
        </is>
      </c>
      <c r="G110" s="13" t="inlineStr">
        <is>
          <t>记-108</t>
        </is>
      </c>
      <c r="H110" s="13" t="n"/>
      <c r="I110" s="88" t="n">
        <v>6</v>
      </c>
      <c r="J110" s="87" t="n"/>
      <c r="K110" s="19" t="n"/>
      <c r="L110" s="87" t="n"/>
      <c r="M110" s="13" t="n"/>
    </row>
    <row r="111" s="83">
      <c r="A111" s="11" t="inlineStr">
        <is>
          <t>100201</t>
        </is>
      </c>
      <c r="B111" s="11" t="n"/>
      <c r="C111" s="11" t="inlineStr">
        <is>
          <t>2025-06-16</t>
        </is>
      </c>
      <c r="D111" s="11" t="inlineStr">
        <is>
          <t>Q0401</t>
        </is>
      </c>
      <c r="E111" s="11" t="n"/>
      <c r="F111" s="11" t="inlineStr">
        <is>
          <t>浙江精准学科技有限公司</t>
        </is>
      </c>
      <c r="G111" s="11" t="inlineStr">
        <is>
          <t>记-109</t>
        </is>
      </c>
      <c r="H111" s="11" t="n"/>
      <c r="I111" s="88" t="n">
        <v>6</v>
      </c>
      <c r="J111" s="88" t="n"/>
      <c r="K111" s="16" t="n"/>
      <c r="L111" s="88" t="n"/>
      <c r="M111" s="11" t="n"/>
    </row>
    <row r="112" s="83">
      <c r="A112" s="13" t="inlineStr">
        <is>
          <t>100201</t>
        </is>
      </c>
      <c r="B112" s="13" t="n"/>
      <c r="C112" s="13" t="inlineStr">
        <is>
          <t>2025-06-17</t>
        </is>
      </c>
      <c r="D112" s="13" t="inlineStr">
        <is>
          <t>Q0401</t>
        </is>
      </c>
      <c r="E112" s="13" t="n"/>
      <c r="F112" s="13" t="inlineStr">
        <is>
          <t>浙江精准学科技有限公司</t>
        </is>
      </c>
      <c r="G112" s="13" t="inlineStr">
        <is>
          <t>记-128</t>
        </is>
      </c>
      <c r="H112" s="13" t="n"/>
      <c r="I112" s="88" t="n">
        <v>6</v>
      </c>
      <c r="J112" s="87" t="n"/>
      <c r="K112" s="19" t="n"/>
      <c r="L112" s="87" t="n"/>
      <c r="M112" s="13" t="n"/>
    </row>
    <row r="113" s="83">
      <c r="A113" s="11" t="inlineStr">
        <is>
          <t>100201</t>
        </is>
      </c>
      <c r="B113" s="11" t="n"/>
      <c r="C113" s="11" t="inlineStr">
        <is>
          <t>2025-06-17</t>
        </is>
      </c>
      <c r="D113" s="11" t="inlineStr">
        <is>
          <t>Q0401</t>
        </is>
      </c>
      <c r="E113" s="11" t="n"/>
      <c r="F113" s="11" t="inlineStr">
        <is>
          <t>浙江精准学科技有限公司</t>
        </is>
      </c>
      <c r="G113" s="11" t="inlineStr">
        <is>
          <t>记-128</t>
        </is>
      </c>
      <c r="H113" s="11" t="n"/>
      <c r="I113" s="88" t="n">
        <v>6</v>
      </c>
      <c r="J113" s="88" t="n"/>
      <c r="K113" s="16" t="n"/>
      <c r="L113" s="88" t="n"/>
      <c r="M113" s="11" t="n"/>
    </row>
    <row r="114" s="83">
      <c r="A114" s="13" t="inlineStr">
        <is>
          <t>100201</t>
        </is>
      </c>
      <c r="B114" s="13" t="n"/>
      <c r="C114" s="13" t="inlineStr">
        <is>
          <t>2025-06-18</t>
        </is>
      </c>
      <c r="D114" s="13" t="inlineStr">
        <is>
          <t>Q0401</t>
        </is>
      </c>
      <c r="E114" s="13" t="n"/>
      <c r="F114" s="13" t="inlineStr">
        <is>
          <t>浙江精准学科技有限公司</t>
        </is>
      </c>
      <c r="G114" s="13" t="inlineStr">
        <is>
          <t>记-138</t>
        </is>
      </c>
      <c r="H114" s="13" t="n"/>
      <c r="I114" s="88" t="n">
        <v>6</v>
      </c>
      <c r="J114" s="87" t="n"/>
      <c r="K114" s="19" t="n"/>
      <c r="L114" s="87" t="n"/>
      <c r="M114" s="13" t="n"/>
    </row>
    <row r="115" s="83">
      <c r="A115" s="11" t="inlineStr">
        <is>
          <t>100201</t>
        </is>
      </c>
      <c r="B115" s="11" t="n"/>
      <c r="C115" s="11" t="inlineStr">
        <is>
          <t>2025-06-18</t>
        </is>
      </c>
      <c r="D115" s="11" t="inlineStr">
        <is>
          <t>Q0401</t>
        </is>
      </c>
      <c r="E115" s="11" t="n"/>
      <c r="F115" s="11" t="inlineStr">
        <is>
          <t>浙江精准学科技有限公司</t>
        </is>
      </c>
      <c r="G115" s="11" t="inlineStr">
        <is>
          <t>记-139</t>
        </is>
      </c>
      <c r="H115" s="11" t="n"/>
      <c r="I115" s="88" t="n">
        <v>6</v>
      </c>
      <c r="J115" s="88" t="n"/>
      <c r="K115" s="16" t="n"/>
      <c r="L115" s="88" t="n"/>
      <c r="M115" s="11" t="n"/>
    </row>
    <row r="116" s="83">
      <c r="A116" s="13" t="inlineStr">
        <is>
          <t>100201</t>
        </is>
      </c>
      <c r="B116" s="13" t="n"/>
      <c r="C116" s="13" t="inlineStr">
        <is>
          <t>2025-06-22</t>
        </is>
      </c>
      <c r="D116" s="13" t="inlineStr">
        <is>
          <t>Q0401</t>
        </is>
      </c>
      <c r="E116" s="13" t="n"/>
      <c r="F116" s="13" t="inlineStr">
        <is>
          <t>浙江精准学科技有限公司</t>
        </is>
      </c>
      <c r="G116" s="13" t="inlineStr">
        <is>
          <t>记-171</t>
        </is>
      </c>
      <c r="H116" s="13" t="n"/>
      <c r="I116" s="88" t="n">
        <v>6</v>
      </c>
      <c r="J116" s="87" t="n"/>
      <c r="K116" s="19" t="n"/>
      <c r="L116" s="87" t="n"/>
      <c r="M116" s="13" t="n"/>
    </row>
    <row r="117" s="83">
      <c r="A117" s="11" t="inlineStr">
        <is>
          <t>100201</t>
        </is>
      </c>
      <c r="B117" s="11" t="n"/>
      <c r="C117" s="11" t="inlineStr">
        <is>
          <t>2025-06-23</t>
        </is>
      </c>
      <c r="D117" s="11" t="inlineStr">
        <is>
          <t>Q0401</t>
        </is>
      </c>
      <c r="E117" s="11" t="n"/>
      <c r="F117" s="11" t="inlineStr">
        <is>
          <t>浙江精准学科技有限公司</t>
        </is>
      </c>
      <c r="G117" s="11" t="inlineStr">
        <is>
          <t>记-173</t>
        </is>
      </c>
      <c r="H117" s="11" t="n"/>
      <c r="I117" s="88" t="n">
        <v>6</v>
      </c>
      <c r="J117" s="88" t="n"/>
      <c r="K117" s="16" t="n"/>
      <c r="L117" s="88" t="n"/>
      <c r="M117" s="11" t="n"/>
    </row>
    <row r="118" s="83">
      <c r="A118" s="13" t="inlineStr">
        <is>
          <t>100201</t>
        </is>
      </c>
      <c r="B118" s="13" t="n"/>
      <c r="C118" s="13" t="inlineStr">
        <is>
          <t>2025-06-24</t>
        </is>
      </c>
      <c r="D118" s="13" t="inlineStr">
        <is>
          <t>Q0401</t>
        </is>
      </c>
      <c r="E118" s="13" t="n"/>
      <c r="F118" s="13" t="inlineStr">
        <is>
          <t>浙江精准学科技有限公司</t>
        </is>
      </c>
      <c r="G118" s="13" t="inlineStr">
        <is>
          <t>记-191</t>
        </is>
      </c>
      <c r="H118" s="13" t="n"/>
      <c r="I118" s="88" t="n">
        <v>6</v>
      </c>
      <c r="J118" s="87" t="n"/>
      <c r="K118" s="19" t="n"/>
      <c r="L118" s="87" t="n"/>
      <c r="M118" s="13" t="n"/>
    </row>
    <row r="119" s="83">
      <c r="A119" s="11" t="inlineStr">
        <is>
          <t>100201</t>
        </is>
      </c>
      <c r="B119" s="11" t="n"/>
      <c r="C119" s="11" t="inlineStr">
        <is>
          <t>2025-06-25</t>
        </is>
      </c>
      <c r="D119" s="11" t="inlineStr">
        <is>
          <t>Q0401</t>
        </is>
      </c>
      <c r="E119" s="11" t="n"/>
      <c r="F119" s="11" t="inlineStr">
        <is>
          <t>浙江精准学科技有限公司</t>
        </is>
      </c>
      <c r="G119" s="11" t="inlineStr">
        <is>
          <t>记-194</t>
        </is>
      </c>
      <c r="H119" s="11" t="n"/>
      <c r="I119" s="88" t="n">
        <v>6</v>
      </c>
      <c r="J119" s="88" t="n"/>
      <c r="K119" s="16" t="n"/>
      <c r="L119" s="88" t="n"/>
      <c r="M119" s="11" t="n"/>
    </row>
    <row r="120" s="83">
      <c r="A120" s="13" t="inlineStr">
        <is>
          <t>100201</t>
        </is>
      </c>
      <c r="B120" s="13" t="n"/>
      <c r="C120" s="13" t="inlineStr">
        <is>
          <t>2025-06-25</t>
        </is>
      </c>
      <c r="D120" s="13" t="inlineStr">
        <is>
          <t>Q0401</t>
        </is>
      </c>
      <c r="E120" s="13" t="n"/>
      <c r="F120" s="13" t="inlineStr">
        <is>
          <t>浙江精准学科技有限公司</t>
        </is>
      </c>
      <c r="G120" s="13" t="inlineStr">
        <is>
          <t>记-195</t>
        </is>
      </c>
      <c r="H120" s="13" t="n"/>
      <c r="I120" s="88" t="n">
        <v>6</v>
      </c>
      <c r="J120" s="87" t="n"/>
      <c r="K120" s="19" t="n"/>
      <c r="L120" s="87" t="n"/>
      <c r="M120" s="13" t="n"/>
    </row>
    <row r="121" s="83">
      <c r="A121" s="11" t="inlineStr">
        <is>
          <t>100201</t>
        </is>
      </c>
      <c r="B121" s="11" t="n"/>
      <c r="C121" s="11" t="inlineStr">
        <is>
          <t>2025-06-27</t>
        </is>
      </c>
      <c r="D121" s="11" t="inlineStr">
        <is>
          <t>Q0401</t>
        </is>
      </c>
      <c r="E121" s="11" t="n"/>
      <c r="F121" s="11" t="inlineStr">
        <is>
          <t>浙江精准学科技有限公司</t>
        </is>
      </c>
      <c r="G121" s="11" t="inlineStr">
        <is>
          <t>记-211</t>
        </is>
      </c>
      <c r="H121" s="11" t="n"/>
      <c r="I121" s="88" t="n">
        <v>6</v>
      </c>
      <c r="J121" s="88" t="n"/>
      <c r="K121" s="16" t="n"/>
      <c r="L121" s="88" t="n"/>
      <c r="M121" s="11" t="n"/>
    </row>
    <row r="122" s="83">
      <c r="A122" s="13" t="inlineStr">
        <is>
          <t>100201</t>
        </is>
      </c>
      <c r="B122" s="13" t="n"/>
      <c r="C122" s="13" t="inlineStr">
        <is>
          <t>2025-06-29</t>
        </is>
      </c>
      <c r="D122" s="13" t="inlineStr">
        <is>
          <t>Q0401</t>
        </is>
      </c>
      <c r="E122" s="13" t="n"/>
      <c r="F122" s="13" t="inlineStr">
        <is>
          <t>浙江精准学科技有限公司</t>
        </is>
      </c>
      <c r="G122" s="13" t="inlineStr">
        <is>
          <t>记-224</t>
        </is>
      </c>
      <c r="H122" s="13" t="n"/>
      <c r="I122" s="88" t="n">
        <v>6</v>
      </c>
      <c r="J122" s="87" t="n"/>
      <c r="K122" s="19" t="n"/>
      <c r="L122" s="87" t="n"/>
      <c r="M122" s="13" t="n"/>
    </row>
    <row r="123" s="83">
      <c r="A123" s="11" t="inlineStr">
        <is>
          <t>100201</t>
        </is>
      </c>
      <c r="B123" s="11" t="n"/>
      <c r="C123" s="11" t="inlineStr">
        <is>
          <t>2025-06-30</t>
        </is>
      </c>
      <c r="D123" s="11" t="inlineStr">
        <is>
          <t>Q0401</t>
        </is>
      </c>
      <c r="E123" s="11" t="n"/>
      <c r="F123" s="11" t="inlineStr">
        <is>
          <t>浙江精准学科技有限公司</t>
        </is>
      </c>
      <c r="G123" s="11" t="inlineStr">
        <is>
          <t>记-225</t>
        </is>
      </c>
      <c r="H123" s="11" t="n"/>
      <c r="I123" s="88" t="n">
        <v>6</v>
      </c>
      <c r="J123" s="88" t="n"/>
      <c r="K123" s="16" t="n"/>
      <c r="L123" s="88" t="n"/>
      <c r="M123" s="11" t="n"/>
    </row>
    <row r="124" s="83">
      <c r="A124" s="11" t="inlineStr">
        <is>
          <t>100201</t>
        </is>
      </c>
      <c r="B124" s="11" t="n"/>
      <c r="C124" s="11" t="inlineStr">
        <is>
          <t>2025-06-13</t>
        </is>
      </c>
      <c r="D124" s="11" t="inlineStr">
        <is>
          <t>Q0402</t>
        </is>
      </c>
      <c r="E124" s="11" t="n"/>
      <c r="F124" s="11" t="inlineStr">
        <is>
          <t>浙江精准学科技有限公司</t>
        </is>
      </c>
      <c r="G124" s="11" t="inlineStr">
        <is>
          <t>记-84</t>
        </is>
      </c>
      <c r="H124" s="11" t="n"/>
      <c r="I124" s="88" t="n">
        <v>6</v>
      </c>
      <c r="J124" s="88" t="n"/>
      <c r="K124" s="16" t="n"/>
      <c r="L124" s="88" t="n"/>
      <c r="M124" s="11" t="n"/>
    </row>
    <row r="125" s="83">
      <c r="A125" s="13" t="inlineStr">
        <is>
          <t>100201</t>
        </is>
      </c>
      <c r="B125" s="13" t="n"/>
      <c r="C125" s="13" t="inlineStr">
        <is>
          <t>2025-06-19</t>
        </is>
      </c>
      <c r="D125" s="13" t="inlineStr">
        <is>
          <t>Q0402</t>
        </is>
      </c>
      <c r="E125" s="13" t="n"/>
      <c r="F125" s="13" t="inlineStr">
        <is>
          <t>浙江精准学科技有限公司</t>
        </is>
      </c>
      <c r="G125" s="13" t="inlineStr">
        <is>
          <t>记-152</t>
        </is>
      </c>
      <c r="H125" s="13" t="n"/>
      <c r="I125" s="88" t="n">
        <v>6</v>
      </c>
      <c r="J125" s="87" t="n"/>
      <c r="K125" s="19" t="n"/>
      <c r="L125" s="87" t="n"/>
      <c r="M125" s="13" t="n"/>
    </row>
    <row r="126" s="83">
      <c r="A126" s="11" t="inlineStr">
        <is>
          <t>100201</t>
        </is>
      </c>
      <c r="B126" s="11" t="n"/>
      <c r="C126" s="11" t="inlineStr">
        <is>
          <t>2025-06-26</t>
        </is>
      </c>
      <c r="D126" s="11" t="inlineStr">
        <is>
          <t>Q0402</t>
        </is>
      </c>
      <c r="E126" s="11" t="n"/>
      <c r="F126" s="11" t="inlineStr">
        <is>
          <t>浙江精准学科技有限公司</t>
        </is>
      </c>
      <c r="G126" s="11" t="inlineStr">
        <is>
          <t>记-204</t>
        </is>
      </c>
      <c r="H126" s="11" t="n"/>
      <c r="I126" s="88" t="n">
        <v>6</v>
      </c>
      <c r="J126" s="88" t="n"/>
      <c r="K126" s="16" t="n"/>
      <c r="L126" s="88" t="n"/>
      <c r="M126" s="11" t="n"/>
    </row>
    <row r="127" s="83">
      <c r="A127" s="11" t="inlineStr">
        <is>
          <t>100201</t>
        </is>
      </c>
      <c r="B127" s="11" t="n"/>
      <c r="C127" s="11" t="inlineStr">
        <is>
          <t>2025-06-10</t>
        </is>
      </c>
      <c r="D127" s="11" t="inlineStr">
        <is>
          <t>Q0601</t>
        </is>
      </c>
      <c r="E127" s="11" t="n"/>
      <c r="F127" s="11" t="inlineStr">
        <is>
          <t>浙江精准学科技有限公司</t>
        </is>
      </c>
      <c r="G127" s="11" t="inlineStr">
        <is>
          <t>记-52</t>
        </is>
      </c>
      <c r="H127" s="11" t="n"/>
      <c r="I127" s="88" t="n"/>
      <c r="J127" s="87" t="n">
        <v>6</v>
      </c>
      <c r="K127" s="16" t="n"/>
      <c r="L127" s="88" t="n"/>
      <c r="M127" s="11" t="n"/>
    </row>
    <row r="128" s="83">
      <c r="A128" s="13" t="inlineStr">
        <is>
          <t>100201</t>
        </is>
      </c>
      <c r="B128" s="13" t="n"/>
      <c r="C128" s="13" t="inlineStr">
        <is>
          <t>2025-06-12</t>
        </is>
      </c>
      <c r="D128" s="13" t="inlineStr">
        <is>
          <t>Q0601</t>
        </is>
      </c>
      <c r="E128" s="13" t="n"/>
      <c r="F128" s="13" t="inlineStr">
        <is>
          <t>浙江精准学科技有限公司</t>
        </is>
      </c>
      <c r="G128" s="13" t="inlineStr">
        <is>
          <t>记-74</t>
        </is>
      </c>
      <c r="H128" s="13" t="n"/>
      <c r="I128" s="87" t="n"/>
      <c r="J128" s="87" t="n">
        <v>6</v>
      </c>
      <c r="K128" s="19" t="n"/>
      <c r="L128" s="87" t="n"/>
      <c r="M128" s="13" t="n"/>
    </row>
    <row r="129" s="83">
      <c r="A129" s="11" t="inlineStr">
        <is>
          <t>100201</t>
        </is>
      </c>
      <c r="B129" s="11" t="n"/>
      <c r="C129" s="11" t="inlineStr">
        <is>
          <t>2025-06-30</t>
        </is>
      </c>
      <c r="D129" s="11" t="inlineStr">
        <is>
          <t>Q0601</t>
        </is>
      </c>
      <c r="E129" s="11" t="n"/>
      <c r="F129" s="11" t="inlineStr">
        <is>
          <t>浙江精准学科技有限公司</t>
        </is>
      </c>
      <c r="G129" s="11" t="inlineStr">
        <is>
          <t>记-229</t>
        </is>
      </c>
      <c r="H129" s="11" t="n"/>
      <c r="I129" s="88" t="n"/>
      <c r="J129" s="87" t="n">
        <v>6</v>
      </c>
      <c r="K129" s="16" t="n"/>
      <c r="L129" s="88" t="n"/>
      <c r="M129" s="11" t="n"/>
    </row>
    <row r="130" s="83">
      <c r="A130" s="11" t="inlineStr">
        <is>
          <t>100201</t>
        </is>
      </c>
      <c r="B130" s="11" t="n"/>
      <c r="C130" s="11" t="inlineStr">
        <is>
          <t>2025-06-13</t>
        </is>
      </c>
      <c r="D130" s="11" t="inlineStr">
        <is>
          <t>Q0801</t>
        </is>
      </c>
      <c r="E130" s="11" t="n"/>
      <c r="F130" s="11" t="inlineStr">
        <is>
          <t>浙江精准学科技有限公司</t>
        </is>
      </c>
      <c r="G130" s="11" t="inlineStr">
        <is>
          <t>记-91</t>
        </is>
      </c>
      <c r="H130" s="11" t="n"/>
      <c r="I130" s="88" t="n"/>
      <c r="J130" s="87" t="n">
        <v>6</v>
      </c>
      <c r="K130" s="16" t="n"/>
      <c r="L130" s="88" t="n"/>
      <c r="M130" s="11" t="n"/>
    </row>
    <row r="131" s="83">
      <c r="A131" s="11" t="inlineStr">
        <is>
          <t>100201</t>
        </is>
      </c>
      <c r="B131" s="11" t="n"/>
      <c r="C131" s="11" t="inlineStr">
        <is>
          <t>2025-06-04</t>
        </is>
      </c>
      <c r="D131" s="11" t="inlineStr">
        <is>
          <t>Q0803</t>
        </is>
      </c>
      <c r="E131" s="11" t="n"/>
      <c r="F131" s="11" t="inlineStr">
        <is>
          <t>浙江精准学科技有限公司</t>
        </is>
      </c>
      <c r="G131" s="11" t="inlineStr">
        <is>
          <t>记-20</t>
        </is>
      </c>
      <c r="H131" s="11" t="n"/>
      <c r="I131" s="88" t="n"/>
      <c r="J131" s="87" t="n">
        <v>6</v>
      </c>
      <c r="K131" s="16" t="n"/>
      <c r="L131" s="88" t="n"/>
      <c r="M131" s="11" t="n"/>
    </row>
    <row r="132" s="83">
      <c r="A132" s="11" t="inlineStr">
        <is>
          <t>100201</t>
        </is>
      </c>
      <c r="B132" s="11" t="n"/>
      <c r="C132" s="11" t="inlineStr">
        <is>
          <t>2025-06-23</t>
        </is>
      </c>
      <c r="D132" s="11" t="inlineStr">
        <is>
          <t>Q0804</t>
        </is>
      </c>
      <c r="E132" s="11" t="n"/>
      <c r="F132" s="11" t="inlineStr">
        <is>
          <t>浙江精准学科技有限公司</t>
        </is>
      </c>
      <c r="G132" s="11" t="inlineStr">
        <is>
          <t>记-178</t>
        </is>
      </c>
      <c r="H132" s="11" t="n"/>
      <c r="I132" s="88" t="n"/>
      <c r="J132" s="87" t="n">
        <v>6</v>
      </c>
      <c r="K132" s="16" t="n"/>
      <c r="L132" s="88" t="n"/>
      <c r="M132" s="11" t="n"/>
    </row>
    <row r="133" s="83">
      <c r="A133" s="11" t="inlineStr">
        <is>
          <t>100201</t>
        </is>
      </c>
      <c r="B133" s="11" t="n"/>
      <c r="C133" s="11" t="inlineStr">
        <is>
          <t>2025-06-24</t>
        </is>
      </c>
      <c r="D133" s="11" t="inlineStr">
        <is>
          <t>Q0805</t>
        </is>
      </c>
      <c r="E133" s="11" t="n"/>
      <c r="F133" s="11" t="inlineStr">
        <is>
          <t>浙江精准学科技有限公司</t>
        </is>
      </c>
      <c r="G133" s="11" t="inlineStr">
        <is>
          <t>记-183</t>
        </is>
      </c>
      <c r="H133" s="11" t="n"/>
      <c r="I133" s="88" t="n"/>
      <c r="J133" s="87" t="n">
        <v>6</v>
      </c>
      <c r="K133" s="16" t="n"/>
      <c r="L133" s="88" t="n"/>
      <c r="M133" s="11" t="n"/>
    </row>
    <row r="134" s="83">
      <c r="A134" s="11" t="inlineStr">
        <is>
          <t>100201</t>
        </is>
      </c>
      <c r="B134" s="11" t="n"/>
      <c r="C134" s="11" t="inlineStr">
        <is>
          <t>2025-06-03</t>
        </is>
      </c>
      <c r="D134" s="11" t="inlineStr">
        <is>
          <t>Q0806</t>
        </is>
      </c>
      <c r="E134" s="11" t="n"/>
      <c r="F134" s="11" t="inlineStr">
        <is>
          <t>浙江精准学科技有限公司</t>
        </is>
      </c>
      <c r="G134" s="11" t="inlineStr">
        <is>
          <t>记-9</t>
        </is>
      </c>
      <c r="H134" s="11" t="n"/>
      <c r="I134" s="88" t="n"/>
      <c r="J134" s="87" t="n">
        <v>6</v>
      </c>
      <c r="K134" s="16" t="n"/>
      <c r="L134" s="88" t="n"/>
      <c r="M134" s="11" t="n"/>
    </row>
    <row r="135" s="83">
      <c r="A135" s="13" t="inlineStr">
        <is>
          <t>100201</t>
        </is>
      </c>
      <c r="B135" s="13" t="n"/>
      <c r="C135" s="13" t="inlineStr">
        <is>
          <t>2025-06-03</t>
        </is>
      </c>
      <c r="D135" s="13" t="inlineStr">
        <is>
          <t>Q0806</t>
        </is>
      </c>
      <c r="E135" s="13" t="n"/>
      <c r="F135" s="13" t="inlineStr">
        <is>
          <t>浙江精准学科技有限公司</t>
        </is>
      </c>
      <c r="G135" s="13" t="inlineStr">
        <is>
          <t>记-13</t>
        </is>
      </c>
      <c r="H135" s="13" t="n"/>
      <c r="I135" s="87" t="n"/>
      <c r="J135" s="87" t="n">
        <v>6</v>
      </c>
      <c r="K135" s="19" t="n"/>
      <c r="L135" s="87" t="n"/>
      <c r="M135" s="13" t="n"/>
    </row>
    <row r="136" s="83">
      <c r="A136" s="11" t="inlineStr">
        <is>
          <t>100201</t>
        </is>
      </c>
      <c r="B136" s="11" t="n"/>
      <c r="C136" s="11" t="inlineStr">
        <is>
          <t>2025-06-10</t>
        </is>
      </c>
      <c r="D136" s="11" t="inlineStr">
        <is>
          <t>Q0806</t>
        </is>
      </c>
      <c r="E136" s="11" t="n"/>
      <c r="F136" s="11" t="inlineStr">
        <is>
          <t>浙江精准学科技有限公司</t>
        </is>
      </c>
      <c r="G136" s="11" t="inlineStr">
        <is>
          <t>记-57</t>
        </is>
      </c>
      <c r="H136" s="11" t="n"/>
      <c r="I136" s="88" t="n"/>
      <c r="J136" s="87" t="n">
        <v>6</v>
      </c>
      <c r="K136" s="16" t="n"/>
      <c r="L136" s="88" t="n"/>
      <c r="M136" s="11" t="n"/>
    </row>
    <row r="137" s="83">
      <c r="A137" s="13" t="inlineStr">
        <is>
          <t>100201</t>
        </is>
      </c>
      <c r="B137" s="13" t="n"/>
      <c r="C137" s="13" t="inlineStr">
        <is>
          <t>2025-06-10</t>
        </is>
      </c>
      <c r="D137" s="13" t="inlineStr">
        <is>
          <t>Q0806</t>
        </is>
      </c>
      <c r="E137" s="13" t="n"/>
      <c r="F137" s="13" t="inlineStr">
        <is>
          <t>浙江精准学科技有限公司</t>
        </is>
      </c>
      <c r="G137" s="13" t="inlineStr">
        <is>
          <t>记-58</t>
        </is>
      </c>
      <c r="H137" s="13" t="n"/>
      <c r="I137" s="87" t="n"/>
      <c r="J137" s="87" t="n">
        <v>6</v>
      </c>
      <c r="K137" s="19" t="n"/>
      <c r="L137" s="87" t="n"/>
      <c r="M137" s="13" t="n"/>
    </row>
    <row r="138" s="83">
      <c r="A138" s="11" t="inlineStr">
        <is>
          <t>100201</t>
        </is>
      </c>
      <c r="B138" s="11" t="n"/>
      <c r="C138" s="11" t="inlineStr">
        <is>
          <t>2025-06-13</t>
        </is>
      </c>
      <c r="D138" s="11" t="inlineStr">
        <is>
          <t>Q0806</t>
        </is>
      </c>
      <c r="E138" s="11" t="n"/>
      <c r="F138" s="11" t="inlineStr">
        <is>
          <t>浙江精准学科技有限公司</t>
        </is>
      </c>
      <c r="G138" s="11" t="inlineStr">
        <is>
          <t>记-93</t>
        </is>
      </c>
      <c r="H138" s="11" t="n"/>
      <c r="I138" s="88" t="n"/>
      <c r="J138" s="87" t="n">
        <v>6</v>
      </c>
      <c r="K138" s="16" t="n"/>
      <c r="L138" s="88" t="n"/>
      <c r="M138" s="11" t="n"/>
    </row>
    <row r="139" s="83">
      <c r="A139" s="13" t="inlineStr">
        <is>
          <t>100201</t>
        </is>
      </c>
      <c r="B139" s="13" t="n"/>
      <c r="C139" s="13" t="inlineStr">
        <is>
          <t>2025-06-13</t>
        </is>
      </c>
      <c r="D139" s="13" t="inlineStr">
        <is>
          <t>Q0806</t>
        </is>
      </c>
      <c r="E139" s="13" t="n"/>
      <c r="F139" s="13" t="inlineStr">
        <is>
          <t>浙江精准学科技有限公司</t>
        </is>
      </c>
      <c r="G139" s="13" t="inlineStr">
        <is>
          <t>记-100</t>
        </is>
      </c>
      <c r="H139" s="13" t="n"/>
      <c r="I139" s="87" t="n"/>
      <c r="J139" s="87" t="n">
        <v>6</v>
      </c>
      <c r="K139" s="19" t="n"/>
      <c r="L139" s="87" t="n"/>
      <c r="M139" s="13" t="n"/>
    </row>
    <row r="140" s="83">
      <c r="A140" s="11" t="inlineStr">
        <is>
          <t>100201</t>
        </is>
      </c>
      <c r="B140" s="11" t="n"/>
      <c r="C140" s="11" t="inlineStr">
        <is>
          <t>2025-06-17</t>
        </is>
      </c>
      <c r="D140" s="11" t="inlineStr">
        <is>
          <t>Q0806</t>
        </is>
      </c>
      <c r="E140" s="11" t="n"/>
      <c r="F140" s="11" t="inlineStr">
        <is>
          <t>浙江精准学科技有限公司</t>
        </is>
      </c>
      <c r="G140" s="11" t="inlineStr">
        <is>
          <t>记-131</t>
        </is>
      </c>
      <c r="H140" s="11" t="n"/>
      <c r="I140" s="88" t="n"/>
      <c r="J140" s="87" t="n">
        <v>6</v>
      </c>
      <c r="K140" s="16" t="n"/>
      <c r="L140" s="88" t="n"/>
      <c r="M140" s="11" t="n"/>
    </row>
    <row r="141" s="83">
      <c r="A141" s="13" t="inlineStr">
        <is>
          <t>100201</t>
        </is>
      </c>
      <c r="B141" s="13" t="n"/>
      <c r="C141" s="13" t="inlineStr">
        <is>
          <t>2025-06-17</t>
        </is>
      </c>
      <c r="D141" s="13" t="inlineStr">
        <is>
          <t>Q0806</t>
        </is>
      </c>
      <c r="E141" s="13" t="n"/>
      <c r="F141" s="13" t="inlineStr">
        <is>
          <t>浙江精准学科技有限公司</t>
        </is>
      </c>
      <c r="G141" s="13" t="inlineStr">
        <is>
          <t>记-135</t>
        </is>
      </c>
      <c r="H141" s="13" t="n"/>
      <c r="I141" s="87" t="n"/>
      <c r="J141" s="87" t="n">
        <v>6</v>
      </c>
      <c r="K141" s="19" t="n"/>
      <c r="L141" s="87" t="n"/>
      <c r="M141" s="13" t="n"/>
    </row>
    <row r="142" s="83">
      <c r="A142" s="11" t="inlineStr">
        <is>
          <t>100201</t>
        </is>
      </c>
      <c r="B142" s="11" t="n"/>
      <c r="C142" s="11" t="inlineStr">
        <is>
          <t>2025-06-20</t>
        </is>
      </c>
      <c r="D142" s="11" t="inlineStr">
        <is>
          <t>Q0806</t>
        </is>
      </c>
      <c r="E142" s="11" t="n"/>
      <c r="F142" s="11" t="inlineStr">
        <is>
          <t>浙江精准学科技有限公司</t>
        </is>
      </c>
      <c r="G142" s="11" t="inlineStr">
        <is>
          <t>记-162</t>
        </is>
      </c>
      <c r="H142" s="11" t="n"/>
      <c r="I142" s="88" t="n"/>
      <c r="J142" s="87" t="n">
        <v>6</v>
      </c>
      <c r="K142" s="16" t="n"/>
      <c r="L142" s="88" t="n"/>
      <c r="M142" s="11" t="n"/>
    </row>
    <row r="143" s="83">
      <c r="A143" s="13" t="inlineStr">
        <is>
          <t>100201</t>
        </is>
      </c>
      <c r="B143" s="13" t="n"/>
      <c r="C143" s="13" t="inlineStr">
        <is>
          <t>2025-06-25</t>
        </is>
      </c>
      <c r="D143" s="13" t="inlineStr">
        <is>
          <t>Q0806</t>
        </is>
      </c>
      <c r="E143" s="13" t="n"/>
      <c r="F143" s="13" t="inlineStr">
        <is>
          <t>浙江精准学科技有限公司</t>
        </is>
      </c>
      <c r="G143" s="13" t="inlineStr">
        <is>
          <t>记-196</t>
        </is>
      </c>
      <c r="H143" s="13" t="n"/>
      <c r="I143" s="87" t="n"/>
      <c r="J143" s="87" t="n">
        <v>6</v>
      </c>
      <c r="K143" s="19" t="n"/>
      <c r="L143" s="87" t="n"/>
      <c r="M143" s="13" t="n"/>
    </row>
    <row r="144" s="83">
      <c r="A144" s="13" t="inlineStr">
        <is>
          <t>100201</t>
        </is>
      </c>
      <c r="B144" s="13" t="n"/>
      <c r="C144" s="13" t="inlineStr">
        <is>
          <t>2025-06-13</t>
        </is>
      </c>
      <c r="D144" s="13" t="inlineStr">
        <is>
          <t>Q0807</t>
        </is>
      </c>
      <c r="E144" s="13" t="n"/>
      <c r="F144" s="13" t="inlineStr">
        <is>
          <t>浙江精准学科技有限公司</t>
        </is>
      </c>
      <c r="G144" s="13" t="inlineStr">
        <is>
          <t>记-92</t>
        </is>
      </c>
      <c r="H144" s="13" t="n"/>
      <c r="I144" s="87" t="n"/>
      <c r="J144" s="87" t="n">
        <v>6</v>
      </c>
      <c r="K144" s="19" t="n"/>
      <c r="L144" s="87" t="n"/>
      <c r="M144" s="13" t="n"/>
    </row>
    <row r="145" s="83">
      <c r="A145" s="13" t="inlineStr">
        <is>
          <t>100201</t>
        </is>
      </c>
      <c r="B145" s="13" t="n"/>
      <c r="C145" s="13" t="inlineStr">
        <is>
          <t>2025-06-03</t>
        </is>
      </c>
      <c r="D145" s="13" t="inlineStr">
        <is>
          <t>Q0809</t>
        </is>
      </c>
      <c r="E145" s="13" t="n"/>
      <c r="F145" s="13" t="inlineStr">
        <is>
          <t>浙江精准学科技有限公司</t>
        </is>
      </c>
      <c r="G145" s="13" t="inlineStr">
        <is>
          <t>记-10</t>
        </is>
      </c>
      <c r="H145" s="13" t="n"/>
      <c r="I145" s="87" t="n"/>
      <c r="J145" s="87" t="n">
        <v>6</v>
      </c>
      <c r="K145" s="19" t="n"/>
      <c r="L145" s="87" t="n"/>
      <c r="M145" s="13" t="n"/>
    </row>
    <row r="146" s="83">
      <c r="A146" s="11" t="inlineStr">
        <is>
          <t>100201</t>
        </is>
      </c>
      <c r="B146" s="11" t="n"/>
      <c r="C146" s="11" t="inlineStr">
        <is>
          <t>2025-06-16</t>
        </is>
      </c>
      <c r="D146" s="11" t="inlineStr">
        <is>
          <t>Q0809</t>
        </is>
      </c>
      <c r="E146" s="11" t="n"/>
      <c r="F146" s="11" t="inlineStr">
        <is>
          <t>浙江精准学科技有限公司</t>
        </is>
      </c>
      <c r="G146" s="11" t="inlineStr">
        <is>
          <t>记-120</t>
        </is>
      </c>
      <c r="H146" s="11" t="n"/>
      <c r="I146" s="88" t="n"/>
      <c r="J146" s="87" t="n">
        <v>6</v>
      </c>
      <c r="K146" s="16" t="n"/>
      <c r="L146" s="88" t="n"/>
      <c r="M146" s="11" t="n"/>
    </row>
    <row r="147" s="83">
      <c r="A147" s="13" t="inlineStr">
        <is>
          <t>100201</t>
        </is>
      </c>
      <c r="B147" s="13" t="n"/>
      <c r="C147" s="13" t="inlineStr">
        <is>
          <t>2025-06-16</t>
        </is>
      </c>
      <c r="D147" s="13" t="inlineStr">
        <is>
          <t>Q0809</t>
        </is>
      </c>
      <c r="E147" s="13" t="n"/>
      <c r="F147" s="13" t="inlineStr">
        <is>
          <t>浙江精准学科技有限公司</t>
        </is>
      </c>
      <c r="G147" s="13" t="inlineStr">
        <is>
          <t>记-121</t>
        </is>
      </c>
      <c r="H147" s="13" t="n"/>
      <c r="I147" s="87" t="n"/>
      <c r="J147" s="87" t="n">
        <v>6</v>
      </c>
      <c r="K147" s="19" t="n"/>
      <c r="L147" s="87" t="n"/>
      <c r="M147" s="13" t="n"/>
    </row>
    <row r="148" s="83">
      <c r="A148" s="11" t="inlineStr">
        <is>
          <t>100201</t>
        </is>
      </c>
      <c r="B148" s="11" t="n"/>
      <c r="C148" s="11" t="inlineStr">
        <is>
          <t>2025-06-16</t>
        </is>
      </c>
      <c r="D148" s="11" t="inlineStr">
        <is>
          <t>Q0809</t>
        </is>
      </c>
      <c r="E148" s="11" t="n"/>
      <c r="F148" s="11" t="inlineStr">
        <is>
          <t>浙江精准学科技有限公司</t>
        </is>
      </c>
      <c r="G148" s="11" t="inlineStr">
        <is>
          <t>记-122</t>
        </is>
      </c>
      <c r="H148" s="11" t="n"/>
      <c r="I148" s="88" t="n"/>
      <c r="J148" s="87" t="n">
        <v>6</v>
      </c>
      <c r="K148" s="16" t="n"/>
      <c r="L148" s="88" t="n"/>
      <c r="M148" s="11" t="n"/>
    </row>
    <row r="149" s="83">
      <c r="A149" s="13" t="inlineStr">
        <is>
          <t>100201</t>
        </is>
      </c>
      <c r="B149" s="13" t="n"/>
      <c r="C149" s="13" t="inlineStr">
        <is>
          <t>2025-06-30</t>
        </is>
      </c>
      <c r="D149" s="13" t="inlineStr">
        <is>
          <t>Q0901</t>
        </is>
      </c>
      <c r="E149" s="13" t="n"/>
      <c r="F149" s="13" t="inlineStr">
        <is>
          <t>浙江精准学科技有限公司</t>
        </is>
      </c>
      <c r="G149" s="13" t="inlineStr">
        <is>
          <t>记-232</t>
        </is>
      </c>
      <c r="H149" s="12" t="n"/>
      <c r="I149" s="102" t="n"/>
      <c r="J149" s="87" t="n">
        <v>6</v>
      </c>
      <c r="K149" s="19" t="n"/>
      <c r="L149" s="87" t="n"/>
      <c r="M149" s="13" t="n"/>
    </row>
    <row r="150" s="83">
      <c r="A150" s="11" t="inlineStr">
        <is>
          <t>100201</t>
        </is>
      </c>
      <c r="B150" s="11" t="n"/>
      <c r="C150" s="11" t="inlineStr">
        <is>
          <t>2025-06-12</t>
        </is>
      </c>
      <c r="D150" s="11" t="inlineStr">
        <is>
          <t>Q1001</t>
        </is>
      </c>
      <c r="E150" s="11" t="n"/>
      <c r="F150" s="11" t="inlineStr">
        <is>
          <t>浙江精准学科技有限公司</t>
        </is>
      </c>
      <c r="G150" s="11" t="inlineStr">
        <is>
          <t>记-70</t>
        </is>
      </c>
      <c r="H150" s="11" t="n"/>
      <c r="I150" s="88" t="n"/>
      <c r="J150" s="87" t="n">
        <v>6</v>
      </c>
      <c r="K150" s="16" t="n"/>
      <c r="L150" s="88" t="n"/>
      <c r="M150" s="11" t="n"/>
    </row>
    <row r="151" s="83">
      <c r="A151" s="13" t="inlineStr">
        <is>
          <t>100201</t>
        </is>
      </c>
      <c r="B151" s="13" t="n"/>
      <c r="C151" s="13" t="inlineStr">
        <is>
          <t>2025-06-26</t>
        </is>
      </c>
      <c r="D151" s="13" t="inlineStr">
        <is>
          <t>Q1001</t>
        </is>
      </c>
      <c r="E151" s="13" t="n"/>
      <c r="F151" s="13" t="inlineStr">
        <is>
          <t>浙江精准学科技有限公司</t>
        </is>
      </c>
      <c r="G151" s="13" t="inlineStr">
        <is>
          <t>记-226</t>
        </is>
      </c>
      <c r="H151" s="13" t="n"/>
      <c r="I151" s="87" t="n"/>
      <c r="J151" s="87" t="n">
        <v>6</v>
      </c>
      <c r="K151" s="19" t="n"/>
      <c r="L151" s="87" t="n"/>
      <c r="M151" s="13" t="n"/>
    </row>
    <row r="152" s="83">
      <c r="A152" s="11" t="inlineStr">
        <is>
          <t>100201</t>
        </is>
      </c>
      <c r="B152" s="11" t="n"/>
      <c r="C152" s="11" t="inlineStr">
        <is>
          <t>2025-06-11</t>
        </is>
      </c>
      <c r="D152" s="11" t="inlineStr">
        <is>
          <t>Q1006</t>
        </is>
      </c>
      <c r="E152" s="11" t="n"/>
      <c r="F152" s="11" t="inlineStr">
        <is>
          <t>浙江精准学科技有限公司</t>
        </is>
      </c>
      <c r="G152" s="11" t="inlineStr">
        <is>
          <t>记-65</t>
        </is>
      </c>
      <c r="H152" s="11" t="n"/>
      <c r="I152" s="88" t="n"/>
      <c r="J152" s="87" t="n">
        <v>6</v>
      </c>
      <c r="K152" s="16" t="n"/>
      <c r="L152" s="88" t="n"/>
      <c r="M152" s="11" t="n"/>
    </row>
    <row r="153" s="83">
      <c r="A153" s="13" t="inlineStr">
        <is>
          <t>100201</t>
        </is>
      </c>
      <c r="B153" s="13" t="n"/>
      <c r="C153" s="13" t="inlineStr">
        <is>
          <t>2025-06-30</t>
        </is>
      </c>
      <c r="D153" s="13" t="inlineStr">
        <is>
          <t>Q1102</t>
        </is>
      </c>
      <c r="E153" s="13" t="n"/>
      <c r="F153" s="13" t="inlineStr">
        <is>
          <t>浙江精准学科技有限公司</t>
        </is>
      </c>
      <c r="G153" s="13" t="inlineStr">
        <is>
          <t>记-232</t>
        </is>
      </c>
      <c r="H153" s="12" t="n"/>
      <c r="I153" s="102" t="n"/>
      <c r="J153" s="87" t="n">
        <v>6</v>
      </c>
      <c r="K153" s="19" t="n"/>
      <c r="L153" s="87" t="n"/>
      <c r="M153" s="13" t="n"/>
    </row>
    <row r="154" s="83">
      <c r="A154" s="11" t="inlineStr">
        <is>
          <t>100201</t>
        </is>
      </c>
      <c r="B154" s="11" t="n"/>
      <c r="C154" s="11" t="inlineStr">
        <is>
          <t>2025-06-20</t>
        </is>
      </c>
      <c r="D154" s="11" t="inlineStr">
        <is>
          <t>Q2807</t>
        </is>
      </c>
      <c r="E154" s="11" t="n"/>
      <c r="F154" s="11" t="inlineStr">
        <is>
          <t>浙江精准学科技有限公司</t>
        </is>
      </c>
      <c r="G154" s="11" t="inlineStr">
        <is>
          <t>记-160</t>
        </is>
      </c>
      <c r="H154" s="11" t="n"/>
      <c r="I154" s="88" t="n"/>
      <c r="J154" s="87" t="n">
        <v>6</v>
      </c>
      <c r="K154" s="16" t="n"/>
      <c r="L154" s="88" t="n"/>
      <c r="M154" s="11" t="n"/>
    </row>
    <row r="155" s="83">
      <c r="A155" s="11" t="inlineStr">
        <is>
          <t>100201</t>
        </is>
      </c>
      <c r="B155" s="11" t="n"/>
      <c r="C155" s="11" t="inlineStr">
        <is>
          <t>2025-06-13</t>
        </is>
      </c>
      <c r="D155" s="11" t="inlineStr">
        <is>
          <t>Q1501</t>
        </is>
      </c>
      <c r="E155" s="11" t="n"/>
      <c r="F155" s="11" t="inlineStr">
        <is>
          <t>浙江精准学科技有限公司</t>
        </is>
      </c>
      <c r="G155" s="11" t="inlineStr">
        <is>
          <t>记-94</t>
        </is>
      </c>
      <c r="H155" s="11" t="n"/>
      <c r="I155" s="88" t="n"/>
      <c r="J155" s="87" t="n">
        <v>6</v>
      </c>
      <c r="K155" s="16" t="n"/>
      <c r="L155" s="88" t="n"/>
      <c r="M155" s="11" t="n"/>
    </row>
    <row r="156" s="83">
      <c r="A156" s="13" t="inlineStr">
        <is>
          <t>100201</t>
        </is>
      </c>
      <c r="B156" s="13" t="n"/>
      <c r="C156" s="13" t="inlineStr">
        <is>
          <t>2025-06-06</t>
        </is>
      </c>
      <c r="D156" s="13" t="inlineStr">
        <is>
          <t>Q1505</t>
        </is>
      </c>
      <c r="E156" s="13" t="n"/>
      <c r="F156" s="13" t="inlineStr">
        <is>
          <t>浙江精准学科技有限公司</t>
        </is>
      </c>
      <c r="G156" s="13" t="inlineStr">
        <is>
          <t>记-37</t>
        </is>
      </c>
      <c r="H156" s="13" t="n"/>
      <c r="I156" s="87" t="n"/>
      <c r="J156" s="87" t="n">
        <v>6</v>
      </c>
      <c r="K156" s="19" t="n"/>
      <c r="L156" s="87" t="n"/>
      <c r="M156" s="13" t="n"/>
    </row>
    <row r="157" s="83">
      <c r="A157" s="11" t="inlineStr">
        <is>
          <t>100201</t>
        </is>
      </c>
      <c r="B157" s="11" t="n"/>
      <c r="C157" s="11" t="inlineStr">
        <is>
          <t>2025-06-09</t>
        </is>
      </c>
      <c r="D157" s="11" t="inlineStr">
        <is>
          <t>Q1505</t>
        </is>
      </c>
      <c r="E157" s="11" t="n"/>
      <c r="F157" s="11" t="inlineStr">
        <is>
          <t>浙江精准学科技有限公司</t>
        </is>
      </c>
      <c r="G157" s="11" t="inlineStr">
        <is>
          <t>记-49</t>
        </is>
      </c>
      <c r="H157" s="11" t="n"/>
      <c r="I157" s="88" t="n"/>
      <c r="J157" s="87" t="n">
        <v>6</v>
      </c>
      <c r="K157" s="16" t="n"/>
      <c r="L157" s="88" t="n"/>
      <c r="M157" s="11" t="n"/>
    </row>
    <row r="158" s="83">
      <c r="A158" s="13" t="inlineStr">
        <is>
          <t>100201</t>
        </is>
      </c>
      <c r="B158" s="13" t="n"/>
      <c r="C158" s="13" t="inlineStr">
        <is>
          <t>2025-06-11</t>
        </is>
      </c>
      <c r="D158" s="13" t="inlineStr">
        <is>
          <t>Q1505</t>
        </is>
      </c>
      <c r="E158" s="13" t="n"/>
      <c r="F158" s="13" t="inlineStr">
        <is>
          <t>浙江精准学科技有限公司</t>
        </is>
      </c>
      <c r="G158" s="13" t="inlineStr">
        <is>
          <t>记-67</t>
        </is>
      </c>
      <c r="H158" s="13" t="n"/>
      <c r="I158" s="87" t="n"/>
      <c r="J158" s="87" t="n">
        <v>6</v>
      </c>
      <c r="K158" s="19" t="n"/>
      <c r="L158" s="87" t="n"/>
      <c r="M158" s="13" t="n"/>
    </row>
    <row r="159" s="83">
      <c r="A159" s="11" t="inlineStr">
        <is>
          <t>100201</t>
        </is>
      </c>
      <c r="B159" s="11" t="n"/>
      <c r="C159" s="11" t="inlineStr">
        <is>
          <t>2025-06-13</t>
        </is>
      </c>
      <c r="D159" s="11" t="inlineStr">
        <is>
          <t>Q1505</t>
        </is>
      </c>
      <c r="E159" s="11" t="n"/>
      <c r="F159" s="11" t="inlineStr">
        <is>
          <t>浙江精准学科技有限公司</t>
        </is>
      </c>
      <c r="G159" s="11" t="inlineStr">
        <is>
          <t>记-95</t>
        </is>
      </c>
      <c r="H159" s="11" t="n"/>
      <c r="I159" s="88" t="n"/>
      <c r="J159" s="87" t="n">
        <v>6</v>
      </c>
      <c r="K159" s="16" t="n"/>
      <c r="L159" s="88" t="n"/>
      <c r="M159" s="11" t="n"/>
    </row>
    <row r="160" s="83">
      <c r="A160" s="13" t="inlineStr">
        <is>
          <t>100201</t>
        </is>
      </c>
      <c r="B160" s="13" t="n"/>
      <c r="C160" s="13" t="inlineStr">
        <is>
          <t>2025-06-25</t>
        </is>
      </c>
      <c r="D160" s="13" t="inlineStr">
        <is>
          <t>Q1505</t>
        </is>
      </c>
      <c r="E160" s="13" t="n"/>
      <c r="F160" s="13" t="inlineStr">
        <is>
          <t>浙江精准学科技有限公司</t>
        </is>
      </c>
      <c r="G160" s="13" t="inlineStr">
        <is>
          <t>记-201</t>
        </is>
      </c>
      <c r="H160" s="13" t="n"/>
      <c r="I160" s="87" t="n"/>
      <c r="J160" s="87" t="n">
        <v>6</v>
      </c>
      <c r="K160" s="19" t="n"/>
      <c r="L160" s="87" t="n"/>
      <c r="M160" s="13" t="n"/>
    </row>
    <row r="161" s="83">
      <c r="A161" s="11" t="inlineStr">
        <is>
          <t>100201</t>
        </is>
      </c>
      <c r="B161" s="11" t="n"/>
      <c r="C161" s="11" t="inlineStr">
        <is>
          <t>2025-06-27</t>
        </is>
      </c>
      <c r="D161" s="11" t="inlineStr">
        <is>
          <t>Q1505</t>
        </is>
      </c>
      <c r="E161" s="11" t="n"/>
      <c r="F161" s="11" t="inlineStr">
        <is>
          <t>浙江精准学科技有限公司</t>
        </is>
      </c>
      <c r="G161" s="11" t="inlineStr">
        <is>
          <t>记-215</t>
        </is>
      </c>
      <c r="H161" s="11" t="n"/>
      <c r="I161" s="88" t="n"/>
      <c r="J161" s="87" t="n">
        <v>6</v>
      </c>
      <c r="K161" s="16" t="n"/>
      <c r="L161" s="88" t="n"/>
      <c r="M161" s="11" t="n"/>
    </row>
    <row r="162" s="83">
      <c r="A162" s="13" t="inlineStr">
        <is>
          <t>100201</t>
        </is>
      </c>
      <c r="B162" s="13" t="n"/>
      <c r="C162" s="13" t="inlineStr">
        <is>
          <t>2025-06-16</t>
        </is>
      </c>
      <c r="D162" s="13" t="inlineStr">
        <is>
          <t>Q1603</t>
        </is>
      </c>
      <c r="E162" s="13" t="n"/>
      <c r="F162" s="13" t="inlineStr">
        <is>
          <t>浙江精准学科技有限公司</t>
        </is>
      </c>
      <c r="G162" s="13" t="inlineStr">
        <is>
          <t>记-119</t>
        </is>
      </c>
      <c r="H162" s="13" t="n"/>
      <c r="I162" s="87" t="n"/>
      <c r="J162" s="87" t="n">
        <v>6</v>
      </c>
      <c r="K162" s="19" t="n"/>
      <c r="L162" s="87" t="n"/>
      <c r="M162" s="13" t="n"/>
    </row>
    <row r="163" s="83">
      <c r="A163" s="11" t="inlineStr">
        <is>
          <t>100201</t>
        </is>
      </c>
      <c r="B163" s="11" t="n"/>
      <c r="C163" s="11" t="inlineStr">
        <is>
          <t>2025-06-18</t>
        </is>
      </c>
      <c r="D163" s="11" t="inlineStr">
        <is>
          <t>Q1603</t>
        </is>
      </c>
      <c r="E163" s="11" t="n"/>
      <c r="F163" s="11" t="inlineStr">
        <is>
          <t>浙江精准学科技有限公司</t>
        </is>
      </c>
      <c r="G163" s="11" t="inlineStr">
        <is>
          <t>记-141</t>
        </is>
      </c>
      <c r="H163" s="11" t="n"/>
      <c r="I163" s="88" t="n"/>
      <c r="J163" s="87" t="n">
        <v>6</v>
      </c>
      <c r="K163" s="16" t="n"/>
      <c r="L163" s="88" t="n"/>
      <c r="M163" s="11" t="n"/>
    </row>
    <row r="164" s="83">
      <c r="A164" s="13" t="inlineStr">
        <is>
          <t>100201</t>
        </is>
      </c>
      <c r="B164" s="13" t="n"/>
      <c r="C164" s="13" t="inlineStr">
        <is>
          <t>2025-06-23</t>
        </is>
      </c>
      <c r="D164" s="13" t="inlineStr">
        <is>
          <t>Q1603</t>
        </is>
      </c>
      <c r="E164" s="13" t="n"/>
      <c r="F164" s="13" t="inlineStr">
        <is>
          <t>浙江精准学科技有限公司</t>
        </is>
      </c>
      <c r="G164" s="13" t="inlineStr">
        <is>
          <t>记-175</t>
        </is>
      </c>
      <c r="H164" s="13" t="n"/>
      <c r="I164" s="87" t="n"/>
      <c r="J164" s="87" t="n">
        <v>6</v>
      </c>
      <c r="K164" s="19" t="n"/>
      <c r="L164" s="87" t="n"/>
      <c r="M164" s="13" t="n"/>
    </row>
    <row r="165" s="83">
      <c r="A165" s="13" t="inlineStr">
        <is>
          <t>100201</t>
        </is>
      </c>
      <c r="B165" s="13" t="n"/>
      <c r="C165" s="13" t="inlineStr">
        <is>
          <t>2025-06-03</t>
        </is>
      </c>
      <c r="D165" s="13" t="inlineStr">
        <is>
          <t>Q1701</t>
        </is>
      </c>
      <c r="E165" s="13" t="n"/>
      <c r="F165" s="13" t="inlineStr">
        <is>
          <t>浙江精准学科技有限公司</t>
        </is>
      </c>
      <c r="G165" s="13" t="inlineStr">
        <is>
          <t>记-8</t>
        </is>
      </c>
      <c r="H165" s="13" t="n"/>
      <c r="I165" s="87" t="n"/>
      <c r="J165" s="87" t="n">
        <v>6</v>
      </c>
      <c r="K165" s="19" t="n"/>
      <c r="L165" s="87" t="n"/>
      <c r="M165" s="13" t="n"/>
    </row>
    <row r="166" s="83">
      <c r="A166" s="11" t="inlineStr">
        <is>
          <t>100201</t>
        </is>
      </c>
      <c r="B166" s="11" t="n"/>
      <c r="C166" s="11" t="inlineStr">
        <is>
          <t>2025-06-05</t>
        </is>
      </c>
      <c r="D166" s="11" t="inlineStr">
        <is>
          <t>Q1701</t>
        </is>
      </c>
      <c r="E166" s="11" t="n"/>
      <c r="F166" s="11" t="inlineStr">
        <is>
          <t>浙江精准学科技有限公司</t>
        </is>
      </c>
      <c r="G166" s="11" t="inlineStr">
        <is>
          <t>记-30</t>
        </is>
      </c>
      <c r="H166" s="11" t="n"/>
      <c r="I166" s="88" t="n"/>
      <c r="J166" s="87" t="n">
        <v>6</v>
      </c>
      <c r="K166" s="16" t="n"/>
      <c r="L166" s="88" t="n"/>
      <c r="M166" s="11" t="n"/>
    </row>
    <row r="167" s="83">
      <c r="A167" s="13" t="inlineStr">
        <is>
          <t>100201</t>
        </is>
      </c>
      <c r="B167" s="13" t="n"/>
      <c r="C167" s="13" t="inlineStr">
        <is>
          <t>2025-06-09</t>
        </is>
      </c>
      <c r="D167" s="13" t="inlineStr">
        <is>
          <t>Q1701</t>
        </is>
      </c>
      <c r="E167" s="13" t="n"/>
      <c r="F167" s="13" t="inlineStr">
        <is>
          <t>浙江精准学科技有限公司</t>
        </is>
      </c>
      <c r="G167" s="13" t="inlineStr">
        <is>
          <t>记-48</t>
        </is>
      </c>
      <c r="H167" s="13" t="n"/>
      <c r="I167" s="87" t="n"/>
      <c r="J167" s="87" t="n">
        <v>6</v>
      </c>
      <c r="K167" s="19" t="n"/>
      <c r="L167" s="87" t="n"/>
      <c r="M167" s="13" t="n"/>
    </row>
    <row r="168" s="83">
      <c r="A168" s="11" t="inlineStr">
        <is>
          <t>100201</t>
        </is>
      </c>
      <c r="B168" s="11" t="n"/>
      <c r="C168" s="11" t="inlineStr">
        <is>
          <t>2025-06-16</t>
        </is>
      </c>
      <c r="D168" s="11" t="inlineStr">
        <is>
          <t>Q1701</t>
        </is>
      </c>
      <c r="E168" s="11" t="n"/>
      <c r="F168" s="11" t="inlineStr">
        <is>
          <t>浙江精准学科技有限公司</t>
        </is>
      </c>
      <c r="G168" s="11" t="inlineStr">
        <is>
          <t>记-112</t>
        </is>
      </c>
      <c r="H168" s="11" t="n"/>
      <c r="I168" s="88" t="n"/>
      <c r="J168" s="87" t="n">
        <v>6</v>
      </c>
      <c r="K168" s="16" t="n"/>
      <c r="L168" s="88" t="n"/>
      <c r="M168" s="11" t="n"/>
    </row>
    <row r="169" s="83">
      <c r="A169" s="13" t="inlineStr">
        <is>
          <t>100201</t>
        </is>
      </c>
      <c r="B169" s="13" t="n"/>
      <c r="C169" s="13" t="inlineStr">
        <is>
          <t>2025-06-25</t>
        </is>
      </c>
      <c r="D169" s="13" t="inlineStr">
        <is>
          <t>Q1701</t>
        </is>
      </c>
      <c r="E169" s="13" t="n"/>
      <c r="F169" s="13" t="inlineStr">
        <is>
          <t>浙江精准学科技有限公司</t>
        </is>
      </c>
      <c r="G169" s="13" t="inlineStr">
        <is>
          <t>记-198</t>
        </is>
      </c>
      <c r="H169" s="13" t="n"/>
      <c r="I169" s="87" t="n"/>
      <c r="J169" s="87" t="n">
        <v>6</v>
      </c>
      <c r="K169" s="19" t="n"/>
      <c r="L169" s="87" t="n"/>
      <c r="M169" s="13" t="n"/>
    </row>
    <row r="170" s="83">
      <c r="A170" s="11" t="inlineStr">
        <is>
          <t>100201</t>
        </is>
      </c>
      <c r="B170" s="11" t="n"/>
      <c r="C170" s="11" t="inlineStr">
        <is>
          <t>2025-06-16</t>
        </is>
      </c>
      <c r="D170" s="11" t="inlineStr">
        <is>
          <t>Q1805</t>
        </is>
      </c>
      <c r="E170" s="11" t="n"/>
      <c r="F170" s="11" t="inlineStr">
        <is>
          <t>浙江精准学科技有限公司</t>
        </is>
      </c>
      <c r="G170" s="11" t="inlineStr">
        <is>
          <t>记-114</t>
        </is>
      </c>
      <c r="H170" s="11" t="n"/>
      <c r="I170" s="88" t="n"/>
      <c r="J170" s="87" t="n">
        <v>6</v>
      </c>
      <c r="K170" s="16" t="n"/>
      <c r="L170" s="88" t="n"/>
      <c r="M170" s="11" t="n"/>
    </row>
    <row r="171" s="83">
      <c r="A171" s="13" t="inlineStr">
        <is>
          <t>100201</t>
        </is>
      </c>
      <c r="B171" s="13" t="n"/>
      <c r="C171" s="13" t="inlineStr">
        <is>
          <t>2025-06-20</t>
        </is>
      </c>
      <c r="D171" s="13" t="inlineStr">
        <is>
          <t>Q1805</t>
        </is>
      </c>
      <c r="E171" s="13" t="n"/>
      <c r="F171" s="13" t="inlineStr">
        <is>
          <t>浙江精准学科技有限公司</t>
        </is>
      </c>
      <c r="G171" s="13" t="inlineStr">
        <is>
          <t>记-161</t>
        </is>
      </c>
      <c r="H171" s="13" t="n"/>
      <c r="I171" s="87" t="n"/>
      <c r="J171" s="87" t="n">
        <v>6</v>
      </c>
      <c r="K171" s="19" t="n"/>
      <c r="L171" s="87" t="n"/>
      <c r="M171" s="13" t="n"/>
    </row>
    <row r="172" s="83">
      <c r="A172" s="11" t="inlineStr">
        <is>
          <t>100201</t>
        </is>
      </c>
      <c r="B172" s="11" t="n"/>
      <c r="C172" s="11" t="inlineStr">
        <is>
          <t>2025-06-05</t>
        </is>
      </c>
      <c r="D172" s="11" t="inlineStr">
        <is>
          <t>Q1806</t>
        </is>
      </c>
      <c r="E172" s="11" t="n"/>
      <c r="F172" s="11" t="inlineStr">
        <is>
          <t>浙江精准学科技有限公司</t>
        </is>
      </c>
      <c r="G172" s="11" t="inlineStr">
        <is>
          <t>记-32</t>
        </is>
      </c>
      <c r="H172" s="11" t="n"/>
      <c r="I172" s="88" t="n"/>
      <c r="J172" s="87" t="n">
        <v>6</v>
      </c>
      <c r="K172" s="16" t="n"/>
      <c r="L172" s="88" t="n"/>
      <c r="M172" s="11" t="n"/>
    </row>
    <row r="173" s="83">
      <c r="A173" s="13" t="inlineStr">
        <is>
          <t>100201</t>
        </is>
      </c>
      <c r="B173" s="13" t="n"/>
      <c r="C173" s="13" t="inlineStr">
        <is>
          <t>2025-06-24</t>
        </is>
      </c>
      <c r="D173" s="13" t="inlineStr">
        <is>
          <t>Q1806</t>
        </is>
      </c>
      <c r="E173" s="13" t="n"/>
      <c r="F173" s="13" t="inlineStr">
        <is>
          <t>浙江精准学科技有限公司</t>
        </is>
      </c>
      <c r="G173" s="13" t="inlineStr">
        <is>
          <t>记-182</t>
        </is>
      </c>
      <c r="H173" s="13" t="n"/>
      <c r="I173" s="87" t="n"/>
      <c r="J173" s="87" t="n">
        <v>6</v>
      </c>
      <c r="K173" s="19" t="n"/>
      <c r="L173" s="87" t="n"/>
      <c r="M173" s="13" t="n"/>
    </row>
    <row r="174" s="83">
      <c r="A174" s="13" t="inlineStr">
        <is>
          <t>100201</t>
        </is>
      </c>
      <c r="B174" s="13" t="n"/>
      <c r="C174" s="13" t="inlineStr">
        <is>
          <t>2025-06-03</t>
        </is>
      </c>
      <c r="D174" s="13" t="inlineStr">
        <is>
          <t>Q2002</t>
        </is>
      </c>
      <c r="E174" s="13" t="n"/>
      <c r="F174" s="13" t="inlineStr">
        <is>
          <t>浙江精准学科技有限公司</t>
        </is>
      </c>
      <c r="G174" s="13" t="inlineStr">
        <is>
          <t>记-7</t>
        </is>
      </c>
      <c r="H174" s="13" t="n"/>
      <c r="I174" s="87" t="n"/>
      <c r="J174" s="87" t="n">
        <v>6</v>
      </c>
      <c r="K174" s="19" t="n"/>
      <c r="L174" s="87" t="n"/>
      <c r="M174" s="13" t="n"/>
    </row>
    <row r="175" s="83">
      <c r="A175" s="11" t="inlineStr">
        <is>
          <t>100201</t>
        </is>
      </c>
      <c r="B175" s="11" t="n"/>
      <c r="C175" s="11" t="inlineStr">
        <is>
          <t>2025-06-05</t>
        </is>
      </c>
      <c r="D175" s="11" t="inlineStr">
        <is>
          <t>Q2002</t>
        </is>
      </c>
      <c r="E175" s="11" t="n"/>
      <c r="F175" s="11" t="inlineStr">
        <is>
          <t>浙江精准学科技有限公司</t>
        </is>
      </c>
      <c r="G175" s="11" t="inlineStr">
        <is>
          <t>记-31</t>
        </is>
      </c>
      <c r="H175" s="11" t="n"/>
      <c r="I175" s="88" t="n"/>
      <c r="J175" s="87" t="n">
        <v>6</v>
      </c>
      <c r="K175" s="16" t="n"/>
      <c r="L175" s="88" t="n"/>
      <c r="M175" s="11" t="n"/>
    </row>
    <row r="176" s="83">
      <c r="A176" s="13" t="inlineStr">
        <is>
          <t>100201</t>
        </is>
      </c>
      <c r="B176" s="13" t="n"/>
      <c r="C176" s="13" t="inlineStr">
        <is>
          <t>2025-06-06</t>
        </is>
      </c>
      <c r="D176" s="13" t="inlineStr">
        <is>
          <t>Q2002</t>
        </is>
      </c>
      <c r="E176" s="13" t="n"/>
      <c r="F176" s="13" t="inlineStr">
        <is>
          <t>浙江精准学科技有限公司</t>
        </is>
      </c>
      <c r="G176" s="13" t="inlineStr">
        <is>
          <t>记-38</t>
        </is>
      </c>
      <c r="H176" s="13" t="n"/>
      <c r="I176" s="87" t="n"/>
      <c r="J176" s="87" t="n">
        <v>6</v>
      </c>
      <c r="K176" s="19" t="n"/>
      <c r="L176" s="87" t="n"/>
      <c r="M176" s="13" t="n"/>
    </row>
    <row r="177" s="83">
      <c r="A177" s="11" t="inlineStr">
        <is>
          <t>100201</t>
        </is>
      </c>
      <c r="B177" s="11" t="n"/>
      <c r="C177" s="11" t="inlineStr">
        <is>
          <t>2025-06-11</t>
        </is>
      </c>
      <c r="D177" s="11" t="inlineStr">
        <is>
          <t>Q2002</t>
        </is>
      </c>
      <c r="E177" s="11" t="n"/>
      <c r="F177" s="11" t="inlineStr">
        <is>
          <t>浙江精准学科技有限公司</t>
        </is>
      </c>
      <c r="G177" s="11" t="inlineStr">
        <is>
          <t>记-63</t>
        </is>
      </c>
      <c r="H177" s="11" t="n"/>
      <c r="I177" s="88" t="n"/>
      <c r="J177" s="87" t="n">
        <v>6</v>
      </c>
      <c r="K177" s="16" t="n"/>
      <c r="L177" s="88" t="n"/>
      <c r="M177" s="11" t="n"/>
    </row>
    <row r="178" s="83">
      <c r="A178" s="13" t="inlineStr">
        <is>
          <t>100201</t>
        </is>
      </c>
      <c r="B178" s="13" t="n"/>
      <c r="C178" s="13" t="inlineStr">
        <is>
          <t>2025-06-12</t>
        </is>
      </c>
      <c r="D178" s="13" t="inlineStr">
        <is>
          <t>Q2002</t>
        </is>
      </c>
      <c r="E178" s="13" t="n"/>
      <c r="F178" s="13" t="inlineStr">
        <is>
          <t>浙江精准学科技有限公司</t>
        </is>
      </c>
      <c r="G178" s="13" t="inlineStr">
        <is>
          <t>记-71</t>
        </is>
      </c>
      <c r="H178" s="13" t="n"/>
      <c r="I178" s="87" t="n"/>
      <c r="J178" s="87" t="n">
        <v>6</v>
      </c>
      <c r="K178" s="19" t="n"/>
      <c r="L178" s="87" t="n"/>
      <c r="M178" s="13" t="n"/>
    </row>
    <row r="179" s="83">
      <c r="A179" s="11" t="inlineStr">
        <is>
          <t>100201</t>
        </is>
      </c>
      <c r="B179" s="11" t="n"/>
      <c r="C179" s="11" t="inlineStr">
        <is>
          <t>2025-06-13</t>
        </is>
      </c>
      <c r="D179" s="11" t="inlineStr">
        <is>
          <t>Q2002</t>
        </is>
      </c>
      <c r="E179" s="11" t="n"/>
      <c r="F179" s="11" t="inlineStr">
        <is>
          <t>浙江精准学科技有限公司</t>
        </is>
      </c>
      <c r="G179" s="11" t="inlineStr">
        <is>
          <t>记-96</t>
        </is>
      </c>
      <c r="H179" s="11" t="n"/>
      <c r="I179" s="88" t="n"/>
      <c r="J179" s="87" t="n">
        <v>6</v>
      </c>
      <c r="K179" s="16" t="n"/>
      <c r="L179" s="88" t="n"/>
      <c r="M179" s="11" t="n"/>
    </row>
    <row r="180" s="83">
      <c r="A180" s="13" t="inlineStr">
        <is>
          <t>100201</t>
        </is>
      </c>
      <c r="B180" s="13" t="n"/>
      <c r="C180" s="13" t="inlineStr">
        <is>
          <t>2025-06-13</t>
        </is>
      </c>
      <c r="D180" s="13" t="inlineStr">
        <is>
          <t>Q2002</t>
        </is>
      </c>
      <c r="E180" s="13" t="n"/>
      <c r="F180" s="13" t="inlineStr">
        <is>
          <t>浙江精准学科技有限公司</t>
        </is>
      </c>
      <c r="G180" s="13" t="inlineStr">
        <is>
          <t>记-97</t>
        </is>
      </c>
      <c r="H180" s="13" t="n"/>
      <c r="I180" s="87" t="n"/>
      <c r="J180" s="87" t="n">
        <v>6</v>
      </c>
      <c r="K180" s="19" t="n"/>
      <c r="L180" s="87" t="n"/>
      <c r="M180" s="13" t="n"/>
    </row>
    <row r="181" s="83">
      <c r="A181" s="11" t="inlineStr">
        <is>
          <t>100201</t>
        </is>
      </c>
      <c r="B181" s="11" t="n"/>
      <c r="C181" s="11" t="inlineStr">
        <is>
          <t>2025-06-13</t>
        </is>
      </c>
      <c r="D181" s="11" t="inlineStr">
        <is>
          <t>Q2002</t>
        </is>
      </c>
      <c r="E181" s="11" t="n"/>
      <c r="F181" s="11" t="inlineStr">
        <is>
          <t>浙江精准学科技有限公司</t>
        </is>
      </c>
      <c r="G181" s="11" t="inlineStr">
        <is>
          <t>记-103</t>
        </is>
      </c>
      <c r="H181" s="11" t="n"/>
      <c r="I181" s="88" t="n"/>
      <c r="J181" s="87" t="n">
        <v>6</v>
      </c>
      <c r="K181" s="16" t="n"/>
      <c r="L181" s="88" t="n"/>
      <c r="M181" s="11" t="n"/>
    </row>
    <row r="182" s="83">
      <c r="A182" s="13" t="inlineStr">
        <is>
          <t>100201</t>
        </is>
      </c>
      <c r="B182" s="13" t="n"/>
      <c r="C182" s="13" t="inlineStr">
        <is>
          <t>2025-06-16</t>
        </is>
      </c>
      <c r="D182" s="13" t="inlineStr">
        <is>
          <t>Q2002</t>
        </is>
      </c>
      <c r="E182" s="13" t="n"/>
      <c r="F182" s="13" t="inlineStr">
        <is>
          <t>浙江精准学科技有限公司</t>
        </is>
      </c>
      <c r="G182" s="13" t="inlineStr">
        <is>
          <t>记-113</t>
        </is>
      </c>
      <c r="H182" s="13" t="n"/>
      <c r="I182" s="87" t="n"/>
      <c r="J182" s="87" t="n">
        <v>6</v>
      </c>
      <c r="K182" s="19" t="n"/>
      <c r="L182" s="87" t="n"/>
      <c r="M182" s="13" t="n"/>
    </row>
    <row r="183" s="83">
      <c r="A183" s="11" t="inlineStr">
        <is>
          <t>100201</t>
        </is>
      </c>
      <c r="B183" s="11" t="n"/>
      <c r="C183" s="11" t="inlineStr">
        <is>
          <t>2025-06-19</t>
        </is>
      </c>
      <c r="D183" s="11" t="inlineStr">
        <is>
          <t>Q2002</t>
        </is>
      </c>
      <c r="E183" s="11" t="n"/>
      <c r="F183" s="11" t="inlineStr">
        <is>
          <t>浙江精准学科技有限公司</t>
        </is>
      </c>
      <c r="G183" s="11" t="inlineStr">
        <is>
          <t>记-147</t>
        </is>
      </c>
      <c r="H183" s="11" t="n"/>
      <c r="I183" s="88" t="n"/>
      <c r="J183" s="87" t="n">
        <v>6</v>
      </c>
      <c r="K183" s="16" t="n"/>
      <c r="L183" s="88" t="n"/>
      <c r="M183" s="11" t="n"/>
    </row>
    <row r="184" s="83">
      <c r="A184" s="13" t="inlineStr">
        <is>
          <t>100201</t>
        </is>
      </c>
      <c r="B184" s="13" t="n"/>
      <c r="C184" s="13" t="inlineStr">
        <is>
          <t>2025-06-19</t>
        </is>
      </c>
      <c r="D184" s="13" t="inlineStr">
        <is>
          <t>Q2002</t>
        </is>
      </c>
      <c r="E184" s="13" t="n"/>
      <c r="F184" s="13" t="inlineStr">
        <is>
          <t>浙江精准学科技有限公司</t>
        </is>
      </c>
      <c r="G184" s="13" t="inlineStr">
        <is>
          <t>记-148</t>
        </is>
      </c>
      <c r="H184" s="13" t="n"/>
      <c r="I184" s="87" t="n"/>
      <c r="J184" s="87" t="n">
        <v>6</v>
      </c>
      <c r="K184" s="19" t="n"/>
      <c r="L184" s="87" t="n"/>
      <c r="M184" s="13" t="n"/>
    </row>
    <row r="185" s="83">
      <c r="A185" s="11" t="inlineStr">
        <is>
          <t>100201</t>
        </is>
      </c>
      <c r="B185" s="11" t="n"/>
      <c r="C185" s="11" t="inlineStr">
        <is>
          <t>2025-06-19</t>
        </is>
      </c>
      <c r="D185" s="11" t="inlineStr">
        <is>
          <t>Q2002</t>
        </is>
      </c>
      <c r="E185" s="11" t="n"/>
      <c r="F185" s="11" t="inlineStr">
        <is>
          <t>浙江精准学科技有限公司</t>
        </is>
      </c>
      <c r="G185" s="11" t="inlineStr">
        <is>
          <t>记-149</t>
        </is>
      </c>
      <c r="H185" s="11" t="n"/>
      <c r="I185" s="88" t="n"/>
      <c r="J185" s="87" t="n">
        <v>6</v>
      </c>
      <c r="K185" s="16" t="n"/>
      <c r="L185" s="88" t="n"/>
      <c r="M185" s="11" t="n"/>
    </row>
    <row r="186" s="83">
      <c r="A186" s="13" t="inlineStr">
        <is>
          <t>100201</t>
        </is>
      </c>
      <c r="B186" s="13" t="n"/>
      <c r="C186" s="13" t="inlineStr">
        <is>
          <t>2025-06-20</t>
        </is>
      </c>
      <c r="D186" s="13" t="inlineStr">
        <is>
          <t>Q2002</t>
        </is>
      </c>
      <c r="E186" s="13" t="n"/>
      <c r="F186" s="13" t="inlineStr">
        <is>
          <t>浙江精准学科技有限公司</t>
        </is>
      </c>
      <c r="G186" s="13" t="inlineStr">
        <is>
          <t>记-156</t>
        </is>
      </c>
      <c r="H186" s="13" t="n"/>
      <c r="I186" s="87" t="n"/>
      <c r="J186" s="87" t="n">
        <v>6</v>
      </c>
      <c r="K186" s="19" t="n"/>
      <c r="L186" s="87" t="n"/>
      <c r="M186" s="13" t="n"/>
    </row>
    <row r="187" s="83">
      <c r="A187" s="11" t="inlineStr">
        <is>
          <t>100201</t>
        </is>
      </c>
      <c r="B187" s="11" t="n"/>
      <c r="C187" s="11" t="inlineStr">
        <is>
          <t>2025-06-20</t>
        </is>
      </c>
      <c r="D187" s="11" t="inlineStr">
        <is>
          <t>Q2002</t>
        </is>
      </c>
      <c r="E187" s="11" t="n"/>
      <c r="F187" s="11" t="inlineStr">
        <is>
          <t>浙江精准学科技有限公司</t>
        </is>
      </c>
      <c r="G187" s="11" t="inlineStr">
        <is>
          <t>记-158</t>
        </is>
      </c>
      <c r="H187" s="11" t="n"/>
      <c r="I187" s="88" t="n"/>
      <c r="J187" s="87" t="n">
        <v>6</v>
      </c>
      <c r="K187" s="16" t="n"/>
      <c r="L187" s="88" t="n"/>
      <c r="M187" s="11" t="n"/>
    </row>
    <row r="188" s="83">
      <c r="A188" s="13" t="inlineStr">
        <is>
          <t>100201</t>
        </is>
      </c>
      <c r="B188" s="13" t="n"/>
      <c r="C188" s="13" t="inlineStr">
        <is>
          <t>2025-06-20</t>
        </is>
      </c>
      <c r="D188" s="13" t="inlineStr">
        <is>
          <t>Q2002</t>
        </is>
      </c>
      <c r="E188" s="13" t="n"/>
      <c r="F188" s="13" t="inlineStr">
        <is>
          <t>浙江精准学科技有限公司</t>
        </is>
      </c>
      <c r="G188" s="13" t="inlineStr">
        <is>
          <t>记-159</t>
        </is>
      </c>
      <c r="H188" s="13" t="n"/>
      <c r="I188" s="87" t="n"/>
      <c r="J188" s="87" t="n">
        <v>6</v>
      </c>
      <c r="K188" s="19" t="n"/>
      <c r="L188" s="87" t="n"/>
      <c r="M188" s="13" t="n"/>
    </row>
    <row r="189" s="83">
      <c r="A189" s="11" t="inlineStr">
        <is>
          <t>100201</t>
        </is>
      </c>
      <c r="B189" s="11" t="n"/>
      <c r="C189" s="11" t="inlineStr">
        <is>
          <t>2025-06-23</t>
        </is>
      </c>
      <c r="D189" s="11" t="inlineStr">
        <is>
          <t>Q2002</t>
        </is>
      </c>
      <c r="E189" s="11" t="n"/>
      <c r="F189" s="11" t="inlineStr">
        <is>
          <t>浙江精准学科技有限公司</t>
        </is>
      </c>
      <c r="G189" s="11" t="inlineStr">
        <is>
          <t>记-172</t>
        </is>
      </c>
      <c r="H189" s="11" t="n"/>
      <c r="I189" s="88" t="n"/>
      <c r="J189" s="87" t="n">
        <v>6</v>
      </c>
      <c r="K189" s="16" t="n"/>
      <c r="L189" s="88" t="n"/>
      <c r="M189" s="11" t="n"/>
    </row>
    <row r="190" s="83">
      <c r="A190" s="13" t="inlineStr">
        <is>
          <t>100201</t>
        </is>
      </c>
      <c r="B190" s="13" t="n"/>
      <c r="C190" s="13" t="inlineStr">
        <is>
          <t>2025-06-24</t>
        </is>
      </c>
      <c r="D190" s="13" t="inlineStr">
        <is>
          <t>Q2002</t>
        </is>
      </c>
      <c r="E190" s="13" t="n"/>
      <c r="F190" s="13" t="inlineStr">
        <is>
          <t>浙江精准学科技有限公司</t>
        </is>
      </c>
      <c r="G190" s="13" t="inlineStr">
        <is>
          <t>记-185</t>
        </is>
      </c>
      <c r="H190" s="13" t="n"/>
      <c r="I190" s="87" t="n"/>
      <c r="J190" s="87" t="n">
        <v>6</v>
      </c>
      <c r="K190" s="19" t="n"/>
      <c r="L190" s="87" t="n"/>
      <c r="M190" s="13" t="n"/>
    </row>
    <row r="191" s="83">
      <c r="A191" s="11" t="inlineStr">
        <is>
          <t>100201</t>
        </is>
      </c>
      <c r="B191" s="11" t="n"/>
      <c r="C191" s="11" t="inlineStr">
        <is>
          <t>2025-06-24</t>
        </is>
      </c>
      <c r="D191" s="11" t="inlineStr">
        <is>
          <t>Q2002</t>
        </is>
      </c>
      <c r="E191" s="11" t="n"/>
      <c r="F191" s="11" t="inlineStr">
        <is>
          <t>浙江精准学科技有限公司</t>
        </is>
      </c>
      <c r="G191" s="11" t="inlineStr">
        <is>
          <t>记-187</t>
        </is>
      </c>
      <c r="H191" s="11" t="n"/>
      <c r="I191" s="88" t="n"/>
      <c r="J191" s="87" t="n">
        <v>6</v>
      </c>
      <c r="K191" s="16" t="n"/>
      <c r="L191" s="88" t="n"/>
      <c r="M191" s="11" t="n"/>
    </row>
    <row r="192" s="83">
      <c r="A192" s="13" t="inlineStr">
        <is>
          <t>100201</t>
        </is>
      </c>
      <c r="B192" s="13" t="n"/>
      <c r="C192" s="13" t="inlineStr">
        <is>
          <t>2025-06-26</t>
        </is>
      </c>
      <c r="D192" s="13" t="inlineStr">
        <is>
          <t>Q2002</t>
        </is>
      </c>
      <c r="E192" s="13" t="n"/>
      <c r="F192" s="13" t="inlineStr">
        <is>
          <t>浙江精准学科技有限公司</t>
        </is>
      </c>
      <c r="G192" s="13" t="inlineStr">
        <is>
          <t>记-206</t>
        </is>
      </c>
      <c r="H192" s="13" t="n"/>
      <c r="I192" s="87" t="n"/>
      <c r="J192" s="87" t="n">
        <v>6</v>
      </c>
      <c r="K192" s="19" t="n"/>
      <c r="L192" s="87" t="n"/>
      <c r="M192" s="13" t="n"/>
    </row>
    <row r="193" s="83">
      <c r="A193" s="11" t="inlineStr">
        <is>
          <t>100201</t>
        </is>
      </c>
      <c r="B193" s="11" t="n"/>
      <c r="C193" s="11" t="inlineStr">
        <is>
          <t>2025-06-26</t>
        </is>
      </c>
      <c r="D193" s="11" t="inlineStr">
        <is>
          <t>Q2002</t>
        </is>
      </c>
      <c r="E193" s="11" t="n"/>
      <c r="F193" s="11" t="inlineStr">
        <is>
          <t>浙江精准学科技有限公司</t>
        </is>
      </c>
      <c r="G193" s="11" t="inlineStr">
        <is>
          <t>记-207</t>
        </is>
      </c>
      <c r="H193" s="11" t="n"/>
      <c r="I193" s="88" t="n"/>
      <c r="J193" s="87" t="n">
        <v>6</v>
      </c>
      <c r="K193" s="16" t="n"/>
      <c r="L193" s="88" t="n"/>
      <c r="M193" s="11" t="n"/>
    </row>
    <row r="194" s="83">
      <c r="A194" s="13" t="inlineStr">
        <is>
          <t>100201</t>
        </is>
      </c>
      <c r="B194" s="13" t="n"/>
      <c r="C194" s="13" t="inlineStr">
        <is>
          <t>2025-06-27</t>
        </is>
      </c>
      <c r="D194" s="13" t="inlineStr">
        <is>
          <t>Q2002</t>
        </is>
      </c>
      <c r="E194" s="13" t="n"/>
      <c r="F194" s="13" t="inlineStr">
        <is>
          <t>浙江精准学科技有限公司</t>
        </is>
      </c>
      <c r="G194" s="13" t="inlineStr">
        <is>
          <t>记-212</t>
        </is>
      </c>
      <c r="H194" s="13" t="n"/>
      <c r="I194" s="87" t="n"/>
      <c r="J194" s="87" t="n">
        <v>6</v>
      </c>
      <c r="K194" s="19" t="n"/>
      <c r="L194" s="87" t="n"/>
      <c r="M194" s="13" t="n"/>
    </row>
    <row r="195" s="83">
      <c r="A195" s="11" t="inlineStr">
        <is>
          <t>100201</t>
        </is>
      </c>
      <c r="B195" s="11" t="n"/>
      <c r="C195" s="11" t="inlineStr">
        <is>
          <t>2025-06-27</t>
        </is>
      </c>
      <c r="D195" s="11" t="inlineStr">
        <is>
          <t>Q2002</t>
        </is>
      </c>
      <c r="E195" s="11" t="n"/>
      <c r="F195" s="11" t="inlineStr">
        <is>
          <t>浙江精准学科技有限公司</t>
        </is>
      </c>
      <c r="G195" s="11" t="inlineStr">
        <is>
          <t>记-216</t>
        </is>
      </c>
      <c r="H195" s="11" t="n"/>
      <c r="I195" s="88" t="n"/>
      <c r="J195" s="87" t="n">
        <v>6</v>
      </c>
      <c r="K195" s="16" t="n"/>
      <c r="L195" s="88" t="n"/>
      <c r="M195" s="11" t="n"/>
    </row>
    <row r="196" s="83">
      <c r="A196" s="11" t="inlineStr">
        <is>
          <t>100201</t>
        </is>
      </c>
      <c r="B196" s="11" t="n"/>
      <c r="C196" s="11" t="inlineStr">
        <is>
          <t>2025-06-04</t>
        </is>
      </c>
      <c r="D196" s="11" t="inlineStr">
        <is>
          <t>Q2003</t>
        </is>
      </c>
      <c r="E196" s="11" t="n"/>
      <c r="F196" s="11" t="inlineStr">
        <is>
          <t>浙江精准学科技有限公司</t>
        </is>
      </c>
      <c r="G196" s="11" t="inlineStr">
        <is>
          <t>记-25</t>
        </is>
      </c>
      <c r="H196" s="11" t="n"/>
      <c r="I196" s="88" t="n"/>
      <c r="J196" s="87" t="n">
        <v>6</v>
      </c>
      <c r="K196" s="16" t="n"/>
      <c r="L196" s="88" t="n"/>
      <c r="M196" s="11" t="n"/>
    </row>
    <row r="197" s="83">
      <c r="A197" s="11" t="inlineStr">
        <is>
          <t>100201</t>
        </is>
      </c>
      <c r="B197" s="11" t="n"/>
      <c r="C197" s="11" t="inlineStr">
        <is>
          <t>2025-06-04</t>
        </is>
      </c>
      <c r="D197" s="11" t="inlineStr">
        <is>
          <t>Q2005</t>
        </is>
      </c>
      <c r="E197" s="11" t="n"/>
      <c r="F197" s="11" t="inlineStr">
        <is>
          <t>浙江精准学科技有限公司</t>
        </is>
      </c>
      <c r="G197" s="11" t="inlineStr">
        <is>
          <t>记-27</t>
        </is>
      </c>
      <c r="H197" s="11" t="n"/>
      <c r="I197" s="88" t="n"/>
      <c r="J197" s="87" t="n">
        <v>6</v>
      </c>
      <c r="K197" s="16" t="n"/>
      <c r="L197" s="88" t="n"/>
      <c r="M197" s="11" t="n"/>
    </row>
    <row r="198" s="83">
      <c r="A198" s="13" t="inlineStr">
        <is>
          <t>100201</t>
        </is>
      </c>
      <c r="B198" s="13" t="n"/>
      <c r="C198" s="13" t="inlineStr">
        <is>
          <t>2025-06-23</t>
        </is>
      </c>
      <c r="D198" s="13" t="inlineStr">
        <is>
          <t>Q2005</t>
        </is>
      </c>
      <c r="E198" s="13" t="n"/>
      <c r="F198" s="13" t="inlineStr">
        <is>
          <t>浙江精准学科技有限公司</t>
        </is>
      </c>
      <c r="G198" s="13" t="inlineStr">
        <is>
          <t>记-177</t>
        </is>
      </c>
      <c r="H198" s="13" t="n"/>
      <c r="I198" s="87" t="n"/>
      <c r="J198" s="87" t="n">
        <v>6</v>
      </c>
      <c r="K198" s="19" t="n"/>
      <c r="L198" s="87" t="n"/>
      <c r="M198" s="13" t="n"/>
    </row>
    <row r="199" s="83">
      <c r="A199" s="11" t="inlineStr">
        <is>
          <t>100201</t>
        </is>
      </c>
      <c r="B199" s="11" t="n"/>
      <c r="C199" s="11" t="inlineStr">
        <is>
          <t>2025-06-09</t>
        </is>
      </c>
      <c r="D199" s="11" t="inlineStr">
        <is>
          <t>Q2102</t>
        </is>
      </c>
      <c r="E199" s="11" t="n"/>
      <c r="F199" s="11" t="inlineStr">
        <is>
          <t>浙江精准学科技有限公司</t>
        </is>
      </c>
      <c r="G199" s="11" t="inlineStr">
        <is>
          <t>记-47</t>
        </is>
      </c>
      <c r="H199" s="11" t="n"/>
      <c r="I199" s="88" t="n"/>
      <c r="J199" s="87" t="n">
        <v>6</v>
      </c>
      <c r="K199" s="16" t="n"/>
      <c r="L199" s="88" t="n"/>
      <c r="M199" s="11" t="n"/>
    </row>
    <row r="200" s="83">
      <c r="A200" s="13" t="inlineStr">
        <is>
          <t>100201</t>
        </is>
      </c>
      <c r="B200" s="13" t="n"/>
      <c r="C200" s="13" t="inlineStr">
        <is>
          <t>2025-06-17</t>
        </is>
      </c>
      <c r="D200" s="13" t="inlineStr">
        <is>
          <t>Q2102</t>
        </is>
      </c>
      <c r="E200" s="13" t="n"/>
      <c r="F200" s="13" t="inlineStr">
        <is>
          <t>浙江精准学科技有限公司</t>
        </is>
      </c>
      <c r="G200" s="13" t="inlineStr">
        <is>
          <t>记-134</t>
        </is>
      </c>
      <c r="H200" s="13" t="n"/>
      <c r="I200" s="87" t="n"/>
      <c r="J200" s="87" t="n">
        <v>6</v>
      </c>
      <c r="K200" s="19" t="n"/>
      <c r="L200" s="87" t="n"/>
      <c r="M200" s="13" t="n"/>
    </row>
    <row r="201" s="83">
      <c r="A201" s="11" t="inlineStr">
        <is>
          <t>100201</t>
        </is>
      </c>
      <c r="B201" s="11" t="n"/>
      <c r="C201" s="11" t="inlineStr">
        <is>
          <t>2025-06-24</t>
        </is>
      </c>
      <c r="D201" s="11" t="inlineStr">
        <is>
          <t>Q2102</t>
        </is>
      </c>
      <c r="E201" s="11" t="n"/>
      <c r="F201" s="11" t="inlineStr">
        <is>
          <t>浙江精准学科技有限公司</t>
        </is>
      </c>
      <c r="G201" s="11" t="inlineStr">
        <is>
          <t>记-184</t>
        </is>
      </c>
      <c r="H201" s="11" t="n"/>
      <c r="I201" s="88" t="n"/>
      <c r="J201" s="87" t="n">
        <v>6</v>
      </c>
      <c r="K201" s="16" t="n"/>
      <c r="L201" s="88" t="n"/>
      <c r="M201" s="11" t="n"/>
    </row>
    <row r="202" s="83">
      <c r="A202" s="11" t="inlineStr">
        <is>
          <t>100201</t>
        </is>
      </c>
      <c r="B202" s="11" t="n"/>
      <c r="C202" s="11" t="inlineStr">
        <is>
          <t>2025-06-24</t>
        </is>
      </c>
      <c r="D202" s="11" t="inlineStr">
        <is>
          <t>Q2501</t>
        </is>
      </c>
      <c r="E202" s="11" t="n"/>
      <c r="F202" s="11" t="inlineStr">
        <is>
          <t>浙江精准学科技有限公司</t>
        </is>
      </c>
      <c r="G202" s="11" t="inlineStr">
        <is>
          <t>记-189</t>
        </is>
      </c>
      <c r="H202" s="11" t="n"/>
      <c r="I202" s="88" t="n"/>
      <c r="J202" s="87" t="n">
        <v>6</v>
      </c>
      <c r="K202" s="16" t="n"/>
      <c r="L202" s="88" t="n"/>
      <c r="M202" s="11" t="n"/>
    </row>
    <row r="203" s="83">
      <c r="A203" s="11" t="inlineStr">
        <is>
          <t>100201</t>
        </is>
      </c>
      <c r="B203" s="11" t="n"/>
      <c r="C203" s="11" t="inlineStr">
        <is>
          <t>2025-06-03</t>
        </is>
      </c>
      <c r="D203" s="11" t="inlineStr">
        <is>
          <t>Q2601</t>
        </is>
      </c>
      <c r="E203" s="11" t="n"/>
      <c r="F203" s="11" t="inlineStr">
        <is>
          <t>浙江精准学科技有限公司</t>
        </is>
      </c>
      <c r="G203" s="11" t="inlineStr">
        <is>
          <t>记-6</t>
        </is>
      </c>
      <c r="H203" s="11" t="n"/>
      <c r="I203" s="88" t="n">
        <v>6</v>
      </c>
      <c r="J203" s="88" t="n"/>
      <c r="K203" s="16" t="n"/>
      <c r="L203" s="88" t="n"/>
      <c r="M203" s="11" t="n"/>
    </row>
    <row r="204" s="83">
      <c r="A204" s="13" t="inlineStr">
        <is>
          <t>100201</t>
        </is>
      </c>
      <c r="B204" s="13" t="n"/>
      <c r="C204" s="13" t="inlineStr">
        <is>
          <t>2025-06-04</t>
        </is>
      </c>
      <c r="D204" s="13" t="inlineStr">
        <is>
          <t>Q2601</t>
        </is>
      </c>
      <c r="E204" s="13" t="n"/>
      <c r="F204" s="13" t="inlineStr">
        <is>
          <t>浙江精准学科技有限公司</t>
        </is>
      </c>
      <c r="G204" s="13" t="inlineStr">
        <is>
          <t>记-26</t>
        </is>
      </c>
      <c r="H204" s="13" t="n"/>
      <c r="I204" s="87" t="n"/>
      <c r="J204" s="87" t="n">
        <v>6</v>
      </c>
      <c r="K204" s="19" t="n"/>
      <c r="L204" s="87" t="n"/>
      <c r="M204" s="13" t="n"/>
    </row>
    <row r="205" s="83">
      <c r="A205" s="11" t="inlineStr">
        <is>
          <t>100201</t>
        </is>
      </c>
      <c r="B205" s="11" t="n"/>
      <c r="C205" s="11" t="inlineStr">
        <is>
          <t>2025-06-10</t>
        </is>
      </c>
      <c r="D205" s="11" t="inlineStr">
        <is>
          <t>Q2601</t>
        </is>
      </c>
      <c r="E205" s="11" t="n"/>
      <c r="F205" s="11" t="inlineStr">
        <is>
          <t>浙江精准学科技有限公司</t>
        </is>
      </c>
      <c r="G205" s="11" t="inlineStr">
        <is>
          <t>记-53</t>
        </is>
      </c>
      <c r="H205" s="11" t="n"/>
      <c r="I205" s="88" t="n"/>
      <c r="J205" s="87" t="n">
        <v>6</v>
      </c>
      <c r="K205" s="16" t="n"/>
      <c r="L205" s="88" t="n"/>
      <c r="M205" s="11" t="n"/>
    </row>
    <row r="206" s="83">
      <c r="A206" s="13" t="inlineStr">
        <is>
          <t>100201</t>
        </is>
      </c>
      <c r="B206" s="13" t="n"/>
      <c r="C206" s="13" t="inlineStr">
        <is>
          <t>2025-06-11</t>
        </is>
      </c>
      <c r="D206" s="13" t="inlineStr">
        <is>
          <t>Q2601</t>
        </is>
      </c>
      <c r="E206" s="13" t="n"/>
      <c r="F206" s="13" t="inlineStr">
        <is>
          <t>浙江精准学科技有限公司</t>
        </is>
      </c>
      <c r="G206" s="13" t="inlineStr">
        <is>
          <t>记-66</t>
        </is>
      </c>
      <c r="H206" s="13" t="n"/>
      <c r="I206" s="87" t="n"/>
      <c r="J206" s="87" t="n">
        <v>6</v>
      </c>
      <c r="K206" s="19" t="n"/>
      <c r="L206" s="87" t="n"/>
      <c r="M206" s="13" t="n"/>
    </row>
    <row r="207" s="83">
      <c r="A207" s="11" t="inlineStr">
        <is>
          <t>100201</t>
        </is>
      </c>
      <c r="B207" s="11" t="n"/>
      <c r="C207" s="11" t="inlineStr">
        <is>
          <t>2025-06-16</t>
        </is>
      </c>
      <c r="D207" s="11" t="inlineStr">
        <is>
          <t>Q2601</t>
        </is>
      </c>
      <c r="E207" s="11" t="n"/>
      <c r="F207" s="11" t="inlineStr">
        <is>
          <t>浙江精准学科技有限公司</t>
        </is>
      </c>
      <c r="G207" s="11" t="inlineStr">
        <is>
          <t>记-116</t>
        </is>
      </c>
      <c r="H207" s="11" t="n"/>
      <c r="I207" s="88" t="n"/>
      <c r="J207" s="87" t="n">
        <v>6</v>
      </c>
      <c r="K207" s="16" t="n"/>
      <c r="L207" s="88" t="n"/>
      <c r="M207" s="11" t="n"/>
    </row>
    <row r="208" s="83">
      <c r="A208" s="13" t="inlineStr">
        <is>
          <t>100201</t>
        </is>
      </c>
      <c r="B208" s="13" t="n"/>
      <c r="C208" s="13" t="inlineStr">
        <is>
          <t>2025-06-17</t>
        </is>
      </c>
      <c r="D208" s="13" t="inlineStr">
        <is>
          <t>Q2601</t>
        </is>
      </c>
      <c r="E208" s="13" t="n"/>
      <c r="F208" s="13" t="inlineStr">
        <is>
          <t>浙江精准学科技有限公司</t>
        </is>
      </c>
      <c r="G208" s="13" t="inlineStr">
        <is>
          <t>记-136</t>
        </is>
      </c>
      <c r="H208" s="13" t="n"/>
      <c r="I208" s="87" t="n"/>
      <c r="J208" s="87" t="n">
        <v>6</v>
      </c>
      <c r="K208" s="19" t="n"/>
      <c r="L208" s="87" t="n"/>
      <c r="M208" s="13" t="n"/>
    </row>
    <row r="209" s="83">
      <c r="A209" s="11" t="inlineStr">
        <is>
          <t>100201</t>
        </is>
      </c>
      <c r="B209" s="11" t="n"/>
      <c r="C209" s="11" t="inlineStr">
        <is>
          <t>2025-06-18</t>
        </is>
      </c>
      <c r="D209" s="11" t="inlineStr">
        <is>
          <t>Q2601</t>
        </is>
      </c>
      <c r="E209" s="11" t="n"/>
      <c r="F209" s="11" t="inlineStr">
        <is>
          <t>浙江精准学科技有限公司</t>
        </is>
      </c>
      <c r="G209" s="11" t="inlineStr">
        <is>
          <t>记-142</t>
        </is>
      </c>
      <c r="H209" s="11" t="n"/>
      <c r="I209" s="88" t="n"/>
      <c r="J209" s="87" t="n">
        <v>6</v>
      </c>
      <c r="K209" s="16" t="n"/>
      <c r="L209" s="88" t="n"/>
      <c r="M209" s="11" t="n"/>
    </row>
    <row r="210" s="83">
      <c r="A210" s="13" t="inlineStr">
        <is>
          <t>100201</t>
        </is>
      </c>
      <c r="B210" s="13" t="n"/>
      <c r="C210" s="13" t="inlineStr">
        <is>
          <t>2025-06-19</t>
        </is>
      </c>
      <c r="D210" s="13" t="inlineStr">
        <is>
          <t>Q2601</t>
        </is>
      </c>
      <c r="E210" s="13" t="n"/>
      <c r="F210" s="13" t="inlineStr">
        <is>
          <t>浙江精准学科技有限公司</t>
        </is>
      </c>
      <c r="G210" s="13" t="inlineStr">
        <is>
          <t>记-150</t>
        </is>
      </c>
      <c r="H210" s="13" t="n"/>
      <c r="I210" s="87" t="n"/>
      <c r="J210" s="87" t="n">
        <v>6</v>
      </c>
      <c r="K210" s="19" t="n"/>
      <c r="L210" s="87" t="n"/>
      <c r="M210" s="13" t="n"/>
    </row>
    <row r="211" s="83">
      <c r="A211" s="11" t="inlineStr">
        <is>
          <t>100201</t>
        </is>
      </c>
      <c r="B211" s="11" t="n"/>
      <c r="C211" s="11" t="inlineStr">
        <is>
          <t>2025-06-20</t>
        </is>
      </c>
      <c r="D211" s="11" t="inlineStr">
        <is>
          <t>Q2601</t>
        </is>
      </c>
      <c r="E211" s="11" t="n"/>
      <c r="F211" s="11" t="inlineStr">
        <is>
          <t>浙江精准学科技有限公司</t>
        </is>
      </c>
      <c r="G211" s="11" t="inlineStr">
        <is>
          <t>记-157</t>
        </is>
      </c>
      <c r="H211" s="11" t="n"/>
      <c r="I211" s="88" t="n"/>
      <c r="J211" s="87" t="n">
        <v>6</v>
      </c>
      <c r="K211" s="16" t="n"/>
      <c r="L211" s="88" t="n"/>
      <c r="M211" s="11" t="n"/>
    </row>
    <row r="212" s="83">
      <c r="A212" s="11" t="inlineStr">
        <is>
          <t>100201</t>
        </is>
      </c>
      <c r="B212" s="11" t="n"/>
      <c r="C212" s="11" t="inlineStr">
        <is>
          <t>2025-06-25</t>
        </is>
      </c>
      <c r="D212" s="11" t="inlineStr">
        <is>
          <t>Q2701</t>
        </is>
      </c>
      <c r="E212" s="11" t="n"/>
      <c r="F212" s="11" t="inlineStr">
        <is>
          <t>浙江精准学科技有限公司</t>
        </is>
      </c>
      <c r="G212" s="11" t="inlineStr">
        <is>
          <t>记-200</t>
        </is>
      </c>
      <c r="H212" s="11" t="n"/>
      <c r="I212" s="88" t="n"/>
      <c r="J212" s="87" t="n">
        <v>6</v>
      </c>
      <c r="K212" s="16" t="n"/>
      <c r="L212" s="88" t="n"/>
      <c r="M212" s="11" t="n"/>
    </row>
    <row r="213" s="83">
      <c r="A213" s="13" t="inlineStr">
        <is>
          <t>100201</t>
        </is>
      </c>
      <c r="B213" s="13" t="n"/>
      <c r="C213" s="13" t="inlineStr">
        <is>
          <t>2025-06-04</t>
        </is>
      </c>
      <c r="D213" s="13" t="inlineStr">
        <is>
          <t>Q2802</t>
        </is>
      </c>
      <c r="E213" s="13" t="n"/>
      <c r="F213" s="13" t="inlineStr">
        <is>
          <t>浙江精准学科技有限公司</t>
        </is>
      </c>
      <c r="G213" s="13" t="inlineStr">
        <is>
          <t>记-23</t>
        </is>
      </c>
      <c r="H213" s="13" t="n"/>
      <c r="I213" s="87" t="n"/>
      <c r="J213" s="87" t="n">
        <v>6</v>
      </c>
      <c r="K213" s="19" t="n"/>
      <c r="L213" s="87" t="n"/>
      <c r="M213" s="13" t="n"/>
    </row>
    <row r="214" s="83">
      <c r="A214" s="11" t="inlineStr">
        <is>
          <t>100201</t>
        </is>
      </c>
      <c r="B214" s="11" t="n"/>
      <c r="C214" s="11" t="inlineStr">
        <is>
          <t>2025-06-11</t>
        </is>
      </c>
      <c r="D214" s="11" t="inlineStr">
        <is>
          <t>Q2802</t>
        </is>
      </c>
      <c r="E214" s="11" t="n"/>
      <c r="F214" s="11" t="inlineStr">
        <is>
          <t>浙江精准学科技有限公司</t>
        </is>
      </c>
      <c r="G214" s="11" t="inlineStr">
        <is>
          <t>记-62</t>
        </is>
      </c>
      <c r="H214" s="11" t="n"/>
      <c r="I214" s="88" t="n"/>
      <c r="J214" s="87" t="n">
        <v>6</v>
      </c>
      <c r="K214" s="16" t="n"/>
      <c r="L214" s="88" t="n"/>
      <c r="M214" s="11" t="n"/>
    </row>
    <row r="215" s="83">
      <c r="A215" s="13" t="inlineStr">
        <is>
          <t>100201</t>
        </is>
      </c>
      <c r="B215" s="13" t="n"/>
      <c r="C215" s="13" t="inlineStr">
        <is>
          <t>2025-06-13</t>
        </is>
      </c>
      <c r="D215" s="13" t="inlineStr">
        <is>
          <t>Q2802</t>
        </is>
      </c>
      <c r="E215" s="13" t="n"/>
      <c r="F215" s="13" t="inlineStr">
        <is>
          <t>浙江精准学科技有限公司</t>
        </is>
      </c>
      <c r="G215" s="13" t="inlineStr">
        <is>
          <t>记-99</t>
        </is>
      </c>
      <c r="H215" s="13" t="n"/>
      <c r="I215" s="87" t="n"/>
      <c r="J215" s="87" t="n">
        <v>6</v>
      </c>
      <c r="K215" s="19" t="n"/>
      <c r="L215" s="87" t="n"/>
      <c r="M215" s="13" t="n"/>
    </row>
    <row r="216" s="83">
      <c r="A216" s="11" t="inlineStr">
        <is>
          <t>100201</t>
        </is>
      </c>
      <c r="B216" s="11" t="n"/>
      <c r="C216" s="11" t="inlineStr">
        <is>
          <t>2025-06-13</t>
        </is>
      </c>
      <c r="D216" s="11" t="inlineStr">
        <is>
          <t>Q2802</t>
        </is>
      </c>
      <c r="E216" s="11" t="n"/>
      <c r="F216" s="11" t="inlineStr">
        <is>
          <t>浙江精准学科技有限公司</t>
        </is>
      </c>
      <c r="G216" s="11" t="inlineStr">
        <is>
          <t>记-101</t>
        </is>
      </c>
      <c r="H216" s="11" t="n"/>
      <c r="I216" s="88" t="n"/>
      <c r="J216" s="87" t="n">
        <v>6</v>
      </c>
      <c r="K216" s="16" t="n"/>
      <c r="L216" s="88" t="n"/>
      <c r="M216" s="11" t="n"/>
    </row>
    <row r="217" s="83">
      <c r="A217" s="13" t="inlineStr">
        <is>
          <t>100201</t>
        </is>
      </c>
      <c r="B217" s="13" t="n"/>
      <c r="C217" s="13" t="inlineStr">
        <is>
          <t>2025-06-27</t>
        </is>
      </c>
      <c r="D217" s="13" t="inlineStr">
        <is>
          <t>Q2802</t>
        </is>
      </c>
      <c r="E217" s="13" t="n"/>
      <c r="F217" s="13" t="inlineStr">
        <is>
          <t>浙江精准学科技有限公司</t>
        </is>
      </c>
      <c r="G217" s="13" t="inlineStr">
        <is>
          <t>记-214</t>
        </is>
      </c>
      <c r="H217" s="13" t="n"/>
      <c r="I217" s="87" t="n"/>
      <c r="J217" s="87" t="n">
        <v>6</v>
      </c>
      <c r="K217" s="19" t="n"/>
      <c r="L217" s="87" t="n"/>
      <c r="M217" s="13" t="n"/>
    </row>
    <row r="218" s="83">
      <c r="A218" s="13" t="inlineStr">
        <is>
          <t>100201</t>
        </is>
      </c>
      <c r="B218" s="13" t="n"/>
      <c r="C218" s="13" t="inlineStr">
        <is>
          <t>2025-06-04</t>
        </is>
      </c>
      <c r="D218" s="13" t="inlineStr">
        <is>
          <t>Q29010</t>
        </is>
      </c>
      <c r="E218" s="13" t="n"/>
      <c r="F218" s="13" t="inlineStr">
        <is>
          <t>浙江精准学科技有限公司</t>
        </is>
      </c>
      <c r="G218" s="13" t="inlineStr">
        <is>
          <t>记-24</t>
        </is>
      </c>
      <c r="H218" s="13" t="n"/>
      <c r="I218" s="87" t="n"/>
      <c r="J218" s="87" t="n">
        <v>6</v>
      </c>
      <c r="K218" s="19" t="n"/>
      <c r="L218" s="87" t="n"/>
      <c r="M218" s="13" t="n"/>
    </row>
    <row r="219" s="83">
      <c r="A219" s="11" t="inlineStr">
        <is>
          <t>100201</t>
        </is>
      </c>
      <c r="B219" s="11" t="n"/>
      <c r="C219" s="11" t="inlineStr">
        <is>
          <t>2025-06-11</t>
        </is>
      </c>
      <c r="D219" s="11" t="inlineStr">
        <is>
          <t>Q29010</t>
        </is>
      </c>
      <c r="E219" s="11" t="n"/>
      <c r="F219" s="11" t="inlineStr">
        <is>
          <t>浙江精准学科技有限公司</t>
        </is>
      </c>
      <c r="G219" s="11" t="inlineStr">
        <is>
          <t>记-61</t>
        </is>
      </c>
      <c r="H219" s="11" t="n"/>
      <c r="I219" s="88" t="n"/>
      <c r="J219" s="87" t="n">
        <v>6</v>
      </c>
      <c r="K219" s="16" t="n"/>
      <c r="L219" s="88" t="n"/>
      <c r="M219" s="11" t="n"/>
    </row>
    <row r="220" s="83">
      <c r="A220" s="13" t="inlineStr">
        <is>
          <t>100201</t>
        </is>
      </c>
      <c r="B220" s="13" t="n"/>
      <c r="C220" s="13" t="inlineStr">
        <is>
          <t>2025-06-12</t>
        </is>
      </c>
      <c r="D220" s="13" t="inlineStr">
        <is>
          <t>Q29010</t>
        </is>
      </c>
      <c r="E220" s="13" t="n"/>
      <c r="F220" s="13" t="inlineStr">
        <is>
          <t>浙江精准学科技有限公司</t>
        </is>
      </c>
      <c r="G220" s="13" t="inlineStr">
        <is>
          <t>记-72</t>
        </is>
      </c>
      <c r="H220" s="13" t="n"/>
      <c r="I220" s="87" t="n"/>
      <c r="J220" s="87" t="n">
        <v>6</v>
      </c>
      <c r="K220" s="19" t="n"/>
      <c r="L220" s="87" t="n"/>
      <c r="M220" s="13" t="n"/>
    </row>
    <row r="221" s="83">
      <c r="A221" s="11" t="inlineStr">
        <is>
          <t>100201</t>
        </is>
      </c>
      <c r="B221" s="11" t="n"/>
      <c r="C221" s="11" t="inlineStr">
        <is>
          <t>2025-06-17</t>
        </is>
      </c>
      <c r="D221" s="11" t="inlineStr">
        <is>
          <t>Q29010</t>
        </is>
      </c>
      <c r="E221" s="11" t="n"/>
      <c r="F221" s="11" t="inlineStr">
        <is>
          <t>浙江精准学科技有限公司</t>
        </is>
      </c>
      <c r="G221" s="11" t="inlineStr">
        <is>
          <t>记-131</t>
        </is>
      </c>
      <c r="H221" s="11" t="n"/>
      <c r="I221" s="88" t="n"/>
      <c r="J221" s="87" t="n">
        <v>6</v>
      </c>
      <c r="K221" s="16" t="n"/>
      <c r="L221" s="88" t="n"/>
      <c r="M221" s="11" t="n"/>
    </row>
    <row r="222" s="83">
      <c r="A222" s="11" t="inlineStr">
        <is>
          <t>100201</t>
        </is>
      </c>
      <c r="B222" s="11" t="n"/>
      <c r="C222" s="11" t="inlineStr">
        <is>
          <t>2025-06-11</t>
        </is>
      </c>
      <c r="D222" s="11" t="inlineStr">
        <is>
          <t>Q2902</t>
        </is>
      </c>
      <c r="E222" s="11" t="n"/>
      <c r="F222" s="11" t="inlineStr">
        <is>
          <t>浙江精准学科技有限公司</t>
        </is>
      </c>
      <c r="G222" s="11" t="inlineStr">
        <is>
          <t>记-64</t>
        </is>
      </c>
      <c r="H222" s="11" t="n"/>
      <c r="I222" s="88" t="n"/>
      <c r="J222" s="87" t="n">
        <v>6</v>
      </c>
      <c r="K222" s="16" t="n"/>
      <c r="L222" s="88" t="n"/>
      <c r="M222" s="11" t="n"/>
    </row>
    <row r="223" s="83">
      <c r="A223" s="13" t="inlineStr">
        <is>
          <t>100201</t>
        </is>
      </c>
      <c r="B223" s="13" t="n"/>
      <c r="C223" s="13" t="inlineStr">
        <is>
          <t>2025-06-20</t>
        </is>
      </c>
      <c r="D223" s="13" t="inlineStr">
        <is>
          <t>Q2902</t>
        </is>
      </c>
      <c r="E223" s="13" t="n"/>
      <c r="F223" s="13" t="inlineStr">
        <is>
          <t>浙江精准学科技有限公司</t>
        </is>
      </c>
      <c r="G223" s="13" t="inlineStr">
        <is>
          <t>记-162</t>
        </is>
      </c>
      <c r="H223" s="13" t="n"/>
      <c r="I223" s="87" t="n"/>
      <c r="J223" s="87" t="n">
        <v>6</v>
      </c>
      <c r="K223" s="19" t="n"/>
      <c r="L223" s="87" t="n"/>
      <c r="M223" s="13" t="n"/>
    </row>
    <row r="224" s="83">
      <c r="A224" s="13" t="inlineStr">
        <is>
          <t>100201</t>
        </is>
      </c>
      <c r="B224" s="13" t="n"/>
      <c r="C224" s="13" t="inlineStr">
        <is>
          <t>2025-06-16</t>
        </is>
      </c>
      <c r="D224" s="13" t="inlineStr">
        <is>
          <t>Q2903</t>
        </is>
      </c>
      <c r="E224" s="13" t="n"/>
      <c r="F224" s="13" t="inlineStr">
        <is>
          <t>浙江精准学科技有限公司</t>
        </is>
      </c>
      <c r="G224" s="13" t="inlineStr">
        <is>
          <t>记-115</t>
        </is>
      </c>
      <c r="H224" s="13" t="n"/>
      <c r="I224" s="87" t="n"/>
      <c r="J224" s="87" t="n">
        <v>6</v>
      </c>
      <c r="K224" s="19" t="n"/>
      <c r="L224" s="87" t="n"/>
      <c r="M224" s="13" t="n"/>
    </row>
    <row r="225" s="83">
      <c r="A225" s="11" t="inlineStr">
        <is>
          <t>100201</t>
        </is>
      </c>
      <c r="B225" s="11" t="n"/>
      <c r="C225" s="11" t="inlineStr">
        <is>
          <t>2025-06-17</t>
        </is>
      </c>
      <c r="D225" s="11" t="inlineStr">
        <is>
          <t>Q3212</t>
        </is>
      </c>
      <c r="E225" s="11" t="n"/>
      <c r="F225" s="11" t="inlineStr">
        <is>
          <t>浙江精准学科技有限公司</t>
        </is>
      </c>
      <c r="G225" s="11" t="inlineStr">
        <is>
          <t>记-133</t>
        </is>
      </c>
      <c r="H225" s="11" t="n"/>
      <c r="I225" s="88" t="n"/>
      <c r="J225" s="87" t="n">
        <v>6</v>
      </c>
      <c r="K225" s="16" t="n"/>
      <c r="L225" s="88" t="n"/>
      <c r="M225" s="11" t="n"/>
    </row>
    <row r="226" s="83">
      <c r="A226" s="11" t="inlineStr">
        <is>
          <t>100201</t>
        </is>
      </c>
      <c r="B226" s="11" t="n"/>
      <c r="C226" s="11" t="inlineStr">
        <is>
          <t>2025-06-04</t>
        </is>
      </c>
      <c r="D226" s="11" t="inlineStr">
        <is>
          <t>Q2904</t>
        </is>
      </c>
      <c r="E226" s="11" t="n"/>
      <c r="F226" s="11" t="inlineStr">
        <is>
          <t>浙江精准学科技有限公司</t>
        </is>
      </c>
      <c r="G226" s="11" t="inlineStr">
        <is>
          <t>记-18</t>
        </is>
      </c>
      <c r="H226" s="11" t="n"/>
      <c r="I226" s="88" t="n"/>
      <c r="J226" s="87" t="n">
        <v>6</v>
      </c>
      <c r="K226" s="16" t="n"/>
      <c r="L226" s="88" t="n"/>
      <c r="M226" s="11" t="n"/>
    </row>
    <row r="227" s="83">
      <c r="A227" s="11" t="inlineStr">
        <is>
          <t>100201</t>
        </is>
      </c>
      <c r="B227" s="11" t="n"/>
      <c r="C227" s="11" t="inlineStr">
        <is>
          <t>2025-06-16</t>
        </is>
      </c>
      <c r="D227" s="11" t="inlineStr">
        <is>
          <t>Q2905</t>
        </is>
      </c>
      <c r="E227" s="11" t="n"/>
      <c r="F227" s="11" t="inlineStr">
        <is>
          <t>浙江精准学科技有限公司</t>
        </is>
      </c>
      <c r="G227" s="11" t="inlineStr">
        <is>
          <t>记-118</t>
        </is>
      </c>
      <c r="H227" s="11" t="n"/>
      <c r="I227" s="88" t="n"/>
      <c r="J227" s="87" t="n">
        <v>6</v>
      </c>
      <c r="K227" s="16" t="n"/>
      <c r="L227" s="88" t="n"/>
      <c r="M227" s="11" t="n"/>
    </row>
    <row r="228" s="83">
      <c r="A228" s="11" t="inlineStr">
        <is>
          <t>100201</t>
        </is>
      </c>
      <c r="B228" s="11" t="n"/>
      <c r="C228" s="11" t="inlineStr">
        <is>
          <t>2025-06-03</t>
        </is>
      </c>
      <c r="D228" s="11" t="inlineStr">
        <is>
          <t>Q2907</t>
        </is>
      </c>
      <c r="E228" s="11" t="n"/>
      <c r="F228" s="11" t="inlineStr">
        <is>
          <t>浙江精准学科技有限公司</t>
        </is>
      </c>
      <c r="G228" s="11" t="inlineStr">
        <is>
          <t>记-9</t>
        </is>
      </c>
      <c r="H228" s="11" t="n"/>
      <c r="I228" s="88" t="n"/>
      <c r="J228" s="87" t="n">
        <v>6</v>
      </c>
      <c r="K228" s="16" t="n"/>
      <c r="L228" s="88" t="n"/>
      <c r="M228" s="11" t="n"/>
    </row>
    <row r="229" s="83">
      <c r="A229" s="13" t="inlineStr">
        <is>
          <t>100201</t>
        </is>
      </c>
      <c r="B229" s="13" t="n"/>
      <c r="C229" s="13" t="inlineStr">
        <is>
          <t>2025-06-03</t>
        </is>
      </c>
      <c r="D229" s="13" t="inlineStr">
        <is>
          <t>Q2907</t>
        </is>
      </c>
      <c r="E229" s="13" t="n"/>
      <c r="F229" s="13" t="inlineStr">
        <is>
          <t>浙江精准学科技有限公司</t>
        </is>
      </c>
      <c r="G229" s="13" t="inlineStr">
        <is>
          <t>记-11</t>
        </is>
      </c>
      <c r="H229" s="13" t="n"/>
      <c r="I229" s="87" t="n"/>
      <c r="J229" s="87" t="n">
        <v>6</v>
      </c>
      <c r="K229" s="19" t="n"/>
      <c r="L229" s="87" t="n"/>
      <c r="M229" s="13" t="n"/>
    </row>
    <row r="230" s="83">
      <c r="A230" s="11" t="inlineStr">
        <is>
          <t>100201</t>
        </is>
      </c>
      <c r="B230" s="11" t="n"/>
      <c r="C230" s="11" t="inlineStr">
        <is>
          <t>2025-06-03</t>
        </is>
      </c>
      <c r="D230" s="11" t="inlineStr">
        <is>
          <t>Q2907</t>
        </is>
      </c>
      <c r="E230" s="11" t="n"/>
      <c r="F230" s="11" t="inlineStr">
        <is>
          <t>浙江精准学科技有限公司</t>
        </is>
      </c>
      <c r="G230" s="11" t="inlineStr">
        <is>
          <t>记-12</t>
        </is>
      </c>
      <c r="H230" s="11" t="n"/>
      <c r="I230" s="88" t="n"/>
      <c r="J230" s="87" t="n">
        <v>6</v>
      </c>
      <c r="K230" s="16" t="n"/>
      <c r="L230" s="88" t="n"/>
      <c r="M230" s="11" t="n"/>
    </row>
    <row r="231" s="83">
      <c r="A231" s="13" t="inlineStr">
        <is>
          <t>100201</t>
        </is>
      </c>
      <c r="B231" s="13" t="n"/>
      <c r="C231" s="13" t="inlineStr">
        <is>
          <t>2025-06-04</t>
        </is>
      </c>
      <c r="D231" s="13" t="inlineStr">
        <is>
          <t>Q2907</t>
        </is>
      </c>
      <c r="E231" s="13" t="n"/>
      <c r="F231" s="13" t="inlineStr">
        <is>
          <t>浙江精准学科技有限公司</t>
        </is>
      </c>
      <c r="G231" s="13" t="inlineStr">
        <is>
          <t>记-19</t>
        </is>
      </c>
      <c r="H231" s="13" t="n"/>
      <c r="I231" s="88" t="n">
        <v>6</v>
      </c>
      <c r="J231" s="87" t="n"/>
      <c r="K231" s="19" t="n"/>
      <c r="L231" s="87" t="n"/>
      <c r="M231" s="13" t="n"/>
    </row>
    <row r="232" s="83">
      <c r="A232" s="11" t="inlineStr">
        <is>
          <t>100201</t>
        </is>
      </c>
      <c r="B232" s="11" t="n"/>
      <c r="C232" s="11" t="inlineStr">
        <is>
          <t>2025-06-04</t>
        </is>
      </c>
      <c r="D232" s="11" t="inlineStr">
        <is>
          <t>Q2907</t>
        </is>
      </c>
      <c r="E232" s="11" t="n"/>
      <c r="F232" s="11" t="inlineStr">
        <is>
          <t>浙江精准学科技有限公司</t>
        </is>
      </c>
      <c r="G232" s="11" t="inlineStr">
        <is>
          <t>记-21</t>
        </is>
      </c>
      <c r="H232" s="11" t="n"/>
      <c r="I232" s="88" t="n"/>
      <c r="J232" s="87" t="n">
        <v>6</v>
      </c>
      <c r="K232" s="16" t="n"/>
      <c r="L232" s="88" t="n"/>
      <c r="M232" s="11" t="n"/>
    </row>
    <row r="233" s="83">
      <c r="A233" s="13" t="inlineStr">
        <is>
          <t>100201</t>
        </is>
      </c>
      <c r="B233" s="13" t="n"/>
      <c r="C233" s="13" t="inlineStr">
        <is>
          <t>2025-06-04</t>
        </is>
      </c>
      <c r="D233" s="13" t="inlineStr">
        <is>
          <t>Q2907</t>
        </is>
      </c>
      <c r="E233" s="13" t="n"/>
      <c r="F233" s="13" t="inlineStr">
        <is>
          <t>浙江精准学科技有限公司</t>
        </is>
      </c>
      <c r="G233" s="13" t="inlineStr">
        <is>
          <t>记-26</t>
        </is>
      </c>
      <c r="H233" s="13" t="n"/>
      <c r="I233" s="87" t="n"/>
      <c r="J233" s="87" t="n">
        <v>6</v>
      </c>
      <c r="K233" s="19" t="n"/>
      <c r="L233" s="87" t="n"/>
      <c r="M233" s="13" t="n"/>
    </row>
    <row r="234" s="83">
      <c r="A234" s="11" t="inlineStr">
        <is>
          <t>100201</t>
        </is>
      </c>
      <c r="B234" s="11" t="n"/>
      <c r="C234" s="11" t="inlineStr">
        <is>
          <t>2025-06-13</t>
        </is>
      </c>
      <c r="D234" s="11" t="inlineStr">
        <is>
          <t>Q2907</t>
        </is>
      </c>
      <c r="E234" s="11" t="n"/>
      <c r="F234" s="11" t="inlineStr">
        <is>
          <t>浙江精准学科技有限公司</t>
        </is>
      </c>
      <c r="G234" s="11" t="inlineStr">
        <is>
          <t>记-102</t>
        </is>
      </c>
      <c r="H234" s="11" t="n"/>
      <c r="I234" s="88" t="n"/>
      <c r="J234" s="87" t="n">
        <v>6</v>
      </c>
      <c r="K234" s="16" t="n"/>
      <c r="L234" s="88" t="n"/>
      <c r="M234" s="11" t="n"/>
    </row>
    <row r="235" s="83">
      <c r="A235" s="13" t="inlineStr">
        <is>
          <t>100201</t>
        </is>
      </c>
      <c r="B235" s="13" t="n"/>
      <c r="C235" s="13" t="inlineStr">
        <is>
          <t>2025-06-16</t>
        </is>
      </c>
      <c r="D235" s="13" t="inlineStr">
        <is>
          <t>Q2907</t>
        </is>
      </c>
      <c r="E235" s="13" t="n"/>
      <c r="F235" s="13" t="inlineStr">
        <is>
          <t>浙江精准学科技有限公司</t>
        </is>
      </c>
      <c r="G235" s="13" t="inlineStr">
        <is>
          <t>记-117</t>
        </is>
      </c>
      <c r="H235" s="13" t="n"/>
      <c r="I235" s="87" t="n"/>
      <c r="J235" s="87" t="n">
        <v>6</v>
      </c>
      <c r="K235" s="19" t="n"/>
      <c r="L235" s="87" t="n"/>
      <c r="M235" s="13" t="n"/>
    </row>
    <row r="236" s="83">
      <c r="A236" s="11" t="inlineStr">
        <is>
          <t>100201</t>
        </is>
      </c>
      <c r="B236" s="11" t="n"/>
      <c r="C236" s="11" t="inlineStr">
        <is>
          <t>2025-06-17</t>
        </is>
      </c>
      <c r="D236" s="11" t="inlineStr">
        <is>
          <t>Q2907</t>
        </is>
      </c>
      <c r="E236" s="11" t="n"/>
      <c r="F236" s="11" t="inlineStr">
        <is>
          <t>浙江精准学科技有限公司</t>
        </is>
      </c>
      <c r="G236" s="11" t="inlineStr">
        <is>
          <t>记-132</t>
        </is>
      </c>
      <c r="H236" s="11" t="n"/>
      <c r="I236" s="88" t="n"/>
      <c r="J236" s="87" t="n">
        <v>6</v>
      </c>
      <c r="K236" s="16" t="n"/>
      <c r="L236" s="88" t="n"/>
      <c r="M236" s="11" t="n"/>
    </row>
    <row r="237" s="83">
      <c r="A237" s="13" t="inlineStr">
        <is>
          <t>100201</t>
        </is>
      </c>
      <c r="B237" s="13" t="n"/>
      <c r="C237" s="13" t="inlineStr">
        <is>
          <t>2025-06-17</t>
        </is>
      </c>
      <c r="D237" s="13" t="inlineStr">
        <is>
          <t>Q2907</t>
        </is>
      </c>
      <c r="E237" s="13" t="n"/>
      <c r="F237" s="13" t="inlineStr">
        <is>
          <t>浙江精准学科技有限公司</t>
        </is>
      </c>
      <c r="G237" s="13" t="inlineStr">
        <is>
          <t>记-137</t>
        </is>
      </c>
      <c r="H237" s="13" t="n"/>
      <c r="I237" s="87" t="n"/>
      <c r="J237" s="87" t="n">
        <v>6</v>
      </c>
      <c r="K237" s="19" t="n"/>
      <c r="L237" s="87" t="n"/>
      <c r="M237" s="13" t="n"/>
    </row>
    <row r="238" s="83">
      <c r="A238" s="11" t="inlineStr">
        <is>
          <t>100201</t>
        </is>
      </c>
      <c r="B238" s="11" t="n"/>
      <c r="C238" s="11" t="inlineStr">
        <is>
          <t>2025-06-18</t>
        </is>
      </c>
      <c r="D238" s="11" t="inlineStr">
        <is>
          <t>Q2907</t>
        </is>
      </c>
      <c r="E238" s="11" t="n"/>
      <c r="F238" s="11" t="inlineStr">
        <is>
          <t>浙江精准学科技有限公司</t>
        </is>
      </c>
      <c r="G238" s="11" t="inlineStr">
        <is>
          <t>记-140</t>
        </is>
      </c>
      <c r="H238" s="11" t="n"/>
      <c r="I238" s="88" t="n"/>
      <c r="J238" s="87" t="n">
        <v>6</v>
      </c>
      <c r="K238" s="16" t="n"/>
      <c r="L238" s="88" t="n"/>
      <c r="M238" s="11" t="n"/>
    </row>
    <row r="239" s="83">
      <c r="A239" s="13" t="inlineStr">
        <is>
          <t>100201</t>
        </is>
      </c>
      <c r="B239" s="13" t="n"/>
      <c r="C239" s="13" t="inlineStr">
        <is>
          <t>2025-06-19</t>
        </is>
      </c>
      <c r="D239" s="13" t="inlineStr">
        <is>
          <t>Q2907</t>
        </is>
      </c>
      <c r="E239" s="13" t="n"/>
      <c r="F239" s="13" t="inlineStr">
        <is>
          <t>浙江精准学科技有限公司</t>
        </is>
      </c>
      <c r="G239" s="13" t="inlineStr">
        <is>
          <t>记-151</t>
        </is>
      </c>
      <c r="H239" s="13" t="n"/>
      <c r="I239" s="87" t="n"/>
      <c r="J239" s="87" t="n">
        <v>6</v>
      </c>
      <c r="K239" s="19" t="n"/>
      <c r="L239" s="87" t="n"/>
      <c r="M239" s="13" t="n"/>
    </row>
    <row r="240" s="83">
      <c r="A240" s="11" t="inlineStr">
        <is>
          <t>100201</t>
        </is>
      </c>
      <c r="B240" s="11" t="n"/>
      <c r="C240" s="11" t="inlineStr">
        <is>
          <t>2025-06-23</t>
        </is>
      </c>
      <c r="D240" s="11" t="inlineStr">
        <is>
          <t>Q2907</t>
        </is>
      </c>
      <c r="E240" s="11" t="n"/>
      <c r="F240" s="11" t="inlineStr">
        <is>
          <t>浙江精准学科技有限公司</t>
        </is>
      </c>
      <c r="G240" s="11" t="inlineStr">
        <is>
          <t>记-176</t>
        </is>
      </c>
      <c r="H240" s="11" t="n"/>
      <c r="I240" s="88" t="n"/>
      <c r="J240" s="87" t="n">
        <v>6</v>
      </c>
      <c r="K240" s="16" t="n"/>
      <c r="L240" s="88" t="n"/>
      <c r="M240" s="11" t="n"/>
    </row>
    <row r="241" s="83">
      <c r="A241" s="13" t="inlineStr">
        <is>
          <t>100201</t>
        </is>
      </c>
      <c r="B241" s="13" t="n"/>
      <c r="C241" s="13" t="inlineStr">
        <is>
          <t>2025-06-27</t>
        </is>
      </c>
      <c r="D241" s="13" t="inlineStr">
        <is>
          <t>Q2907</t>
        </is>
      </c>
      <c r="E241" s="13" t="n"/>
      <c r="F241" s="13" t="inlineStr">
        <is>
          <t>浙江精准学科技有限公司</t>
        </is>
      </c>
      <c r="G241" s="13" t="inlineStr">
        <is>
          <t>记-213</t>
        </is>
      </c>
      <c r="H241" s="13" t="n"/>
      <c r="I241" s="87" t="n"/>
      <c r="J241" s="87" t="n">
        <v>6</v>
      </c>
      <c r="K241" s="19" t="n"/>
      <c r="L241" s="87" t="n"/>
      <c r="M241" s="13" t="n"/>
    </row>
    <row r="242" s="83">
      <c r="A242" s="11" t="inlineStr">
        <is>
          <t>100201</t>
        </is>
      </c>
      <c r="B242" s="11" t="n"/>
      <c r="C242" s="11" t="inlineStr">
        <is>
          <t>2025-06-27</t>
        </is>
      </c>
      <c r="D242" s="11" t="inlineStr">
        <is>
          <t>Q2907</t>
        </is>
      </c>
      <c r="E242" s="11" t="n"/>
      <c r="F242" s="11" t="inlineStr">
        <is>
          <t>浙江精准学科技有限公司</t>
        </is>
      </c>
      <c r="G242" s="11" t="inlineStr">
        <is>
          <t>记-217</t>
        </is>
      </c>
      <c r="H242" s="11" t="n"/>
      <c r="I242" s="88" t="n"/>
      <c r="J242" s="87" t="n">
        <v>6</v>
      </c>
      <c r="K242" s="16" t="n"/>
      <c r="L242" s="88" t="n"/>
      <c r="M242" s="11" t="n"/>
    </row>
    <row r="243" s="83">
      <c r="A243" s="11" t="inlineStr">
        <is>
          <t>100201</t>
        </is>
      </c>
      <c r="B243" s="11" t="n"/>
      <c r="C243" s="11" t="inlineStr">
        <is>
          <t>2025-06-24</t>
        </is>
      </c>
      <c r="D243" s="11" t="inlineStr">
        <is>
          <t>Q2908</t>
        </is>
      </c>
      <c r="E243" s="11" t="n"/>
      <c r="F243" s="11" t="inlineStr">
        <is>
          <t>浙江精准学科技有限公司</t>
        </is>
      </c>
      <c r="G243" s="11" t="inlineStr">
        <is>
          <t>记-186</t>
        </is>
      </c>
      <c r="H243" s="11" t="n"/>
      <c r="I243" s="88" t="n"/>
      <c r="J243" s="87" t="n">
        <v>6</v>
      </c>
      <c r="K243" s="16" t="n"/>
      <c r="L243" s="88" t="n"/>
      <c r="M243" s="11" t="n"/>
    </row>
    <row r="244" s="83">
      <c r="A244" s="13" t="inlineStr">
        <is>
          <t>100201</t>
        </is>
      </c>
      <c r="B244" s="13" t="n"/>
      <c r="C244" s="13" t="inlineStr">
        <is>
          <t>2025-06-26</t>
        </is>
      </c>
      <c r="D244" s="13" t="inlineStr">
        <is>
          <t>Q2908</t>
        </is>
      </c>
      <c r="E244" s="13" t="n"/>
      <c r="F244" s="13" t="inlineStr">
        <is>
          <t>浙江精准学科技有限公司</t>
        </is>
      </c>
      <c r="G244" s="13" t="inlineStr">
        <is>
          <t>记-205</t>
        </is>
      </c>
      <c r="H244" s="13" t="n"/>
      <c r="I244" s="87" t="n"/>
      <c r="J244" s="87" t="n">
        <v>6</v>
      </c>
      <c r="K244" s="19" t="n"/>
      <c r="L244" s="87" t="n"/>
      <c r="M244" s="13" t="n"/>
    </row>
    <row r="245" s="83">
      <c r="A245" s="13" t="inlineStr">
        <is>
          <t>100201</t>
        </is>
      </c>
      <c r="B245" s="13" t="n"/>
      <c r="C245" s="13" t="inlineStr">
        <is>
          <t>2025-06-13</t>
        </is>
      </c>
      <c r="D245" s="13" t="inlineStr">
        <is>
          <t>Q3101</t>
        </is>
      </c>
      <c r="E245" s="13" t="n"/>
      <c r="F245" s="13" t="inlineStr">
        <is>
          <t>浙江精准学科技有限公司</t>
        </is>
      </c>
      <c r="G245" s="13" t="inlineStr">
        <is>
          <t>记-84</t>
        </is>
      </c>
      <c r="H245" s="13" t="n"/>
      <c r="I245" s="87" t="n"/>
      <c r="J245" s="87" t="n">
        <v>6</v>
      </c>
      <c r="K245" s="19" t="n"/>
      <c r="L245" s="87" t="n"/>
      <c r="M245" s="13" t="n"/>
    </row>
    <row r="246" s="83">
      <c r="A246" s="11" t="inlineStr">
        <is>
          <t>100201</t>
        </is>
      </c>
      <c r="B246" s="11" t="n"/>
      <c r="C246" s="11" t="inlineStr">
        <is>
          <t>2025-06-19</t>
        </is>
      </c>
      <c r="D246" s="11" t="inlineStr">
        <is>
          <t>Q3101</t>
        </is>
      </c>
      <c r="E246" s="11" t="n"/>
      <c r="F246" s="11" t="inlineStr">
        <is>
          <t>浙江精准学科技有限公司</t>
        </is>
      </c>
      <c r="G246" s="11" t="inlineStr">
        <is>
          <t>记-152</t>
        </is>
      </c>
      <c r="H246" s="11" t="n"/>
      <c r="I246" s="88" t="n"/>
      <c r="J246" s="87" t="n">
        <v>6</v>
      </c>
      <c r="K246" s="16" t="n"/>
      <c r="L246" s="88" t="n"/>
      <c r="M246" s="11" t="n"/>
    </row>
    <row r="247" s="83">
      <c r="A247" s="13" t="inlineStr">
        <is>
          <t>100201</t>
        </is>
      </c>
      <c r="B247" s="13" t="n"/>
      <c r="C247" s="13" t="inlineStr">
        <is>
          <t>2025-06-26</t>
        </is>
      </c>
      <c r="D247" s="13" t="inlineStr">
        <is>
          <t>Q3101</t>
        </is>
      </c>
      <c r="E247" s="13" t="n"/>
      <c r="F247" s="13" t="inlineStr">
        <is>
          <t>浙江精准学科技有限公司</t>
        </is>
      </c>
      <c r="G247" s="13" t="inlineStr">
        <is>
          <t>记-204</t>
        </is>
      </c>
      <c r="H247" s="13" t="n"/>
      <c r="I247" s="87" t="n"/>
      <c r="J247" s="87" t="n">
        <v>6</v>
      </c>
      <c r="K247" s="19" t="n"/>
      <c r="L247" s="87" t="n"/>
      <c r="M247" s="13" t="n"/>
    </row>
    <row r="248" s="83">
      <c r="A248" s="13" t="inlineStr">
        <is>
          <t>100201</t>
        </is>
      </c>
      <c r="B248" s="13" t="n"/>
      <c r="C248" s="13" t="inlineStr">
        <is>
          <t>2025-06-24</t>
        </is>
      </c>
      <c r="D248" s="13" t="inlineStr">
        <is>
          <t>Q3103</t>
        </is>
      </c>
      <c r="E248" s="13" t="n"/>
      <c r="F248" s="13" t="inlineStr">
        <is>
          <t>浙江精准学科技有限公司</t>
        </is>
      </c>
      <c r="G248" s="13" t="inlineStr">
        <is>
          <t>记-183</t>
        </is>
      </c>
      <c r="H248" s="13" t="n"/>
      <c r="I248" s="87" t="n"/>
      <c r="J248" s="87" t="n">
        <v>6</v>
      </c>
      <c r="K248" s="19" t="n"/>
      <c r="L248" s="87" t="n"/>
      <c r="M248" s="13" t="n"/>
    </row>
    <row r="249" s="83">
      <c r="A249" s="13" t="inlineStr">
        <is>
          <t>100201</t>
        </is>
      </c>
      <c r="B249" s="13" t="n"/>
      <c r="C249" s="13" t="inlineStr">
        <is>
          <t>2025-06-17</t>
        </is>
      </c>
      <c r="D249" s="13" t="inlineStr">
        <is>
          <t>Q3105</t>
        </is>
      </c>
      <c r="E249" s="13" t="n"/>
      <c r="F249" s="13" t="inlineStr">
        <is>
          <t>浙江精准学科技有限公司</t>
        </is>
      </c>
      <c r="G249" s="13" t="inlineStr">
        <is>
          <t>记-128</t>
        </is>
      </c>
      <c r="H249" s="13" t="n"/>
      <c r="I249" s="88" t="n">
        <v>6</v>
      </c>
      <c r="J249" s="87" t="n"/>
      <c r="K249" s="19" t="n"/>
      <c r="L249" s="87" t="n"/>
      <c r="M249" s="13" t="n"/>
    </row>
    <row r="250" s="83">
      <c r="A250" s="11" t="inlineStr">
        <is>
          <t>100201</t>
        </is>
      </c>
      <c r="B250" s="11" t="n"/>
      <c r="C250" s="11" t="inlineStr">
        <is>
          <t>2025-06-13</t>
        </is>
      </c>
      <c r="D250" s="11" t="inlineStr">
        <is>
          <t>Q3204</t>
        </is>
      </c>
      <c r="E250" s="11" t="n"/>
      <c r="F250" s="11" t="inlineStr">
        <is>
          <t>浙江精准学科技有限公司</t>
        </is>
      </c>
      <c r="G250" s="11" t="inlineStr">
        <is>
          <t>记-98</t>
        </is>
      </c>
      <c r="H250" s="11" t="n"/>
      <c r="I250" s="88" t="n"/>
      <c r="J250" s="87" t="n">
        <v>6</v>
      </c>
      <c r="K250" s="16" t="n"/>
      <c r="L250" s="88" t="n"/>
      <c r="M250" s="11" t="n"/>
    </row>
    <row r="251" s="83">
      <c r="A251" s="11" t="inlineStr">
        <is>
          <t>100201</t>
        </is>
      </c>
      <c r="B251" s="11" t="n"/>
      <c r="C251" s="11" t="inlineStr">
        <is>
          <t>2025-06-24</t>
        </is>
      </c>
      <c r="D251" s="11" t="inlineStr">
        <is>
          <t>Q3205</t>
        </is>
      </c>
      <c r="E251" s="11" t="n"/>
      <c r="F251" s="11" t="inlineStr">
        <is>
          <t>浙江精准学科技有限公司</t>
        </is>
      </c>
      <c r="G251" s="11" t="inlineStr">
        <is>
          <t>记-188</t>
        </is>
      </c>
      <c r="H251" s="11" t="n"/>
      <c r="I251" s="88" t="n"/>
      <c r="J251" s="87" t="n">
        <v>6</v>
      </c>
      <c r="K251" s="16" t="n"/>
      <c r="L251" s="88" t="n"/>
      <c r="M251" s="11" t="n"/>
    </row>
    <row r="252" s="83">
      <c r="A252" s="13" t="inlineStr">
        <is>
          <t>100201</t>
        </is>
      </c>
      <c r="B252" s="13" t="n"/>
      <c r="C252" s="13" t="inlineStr">
        <is>
          <t>2025-06-24</t>
        </is>
      </c>
      <c r="D252" s="13" t="inlineStr">
        <is>
          <t>Q3205</t>
        </is>
      </c>
      <c r="E252" s="13" t="n"/>
      <c r="F252" s="13" t="inlineStr">
        <is>
          <t>浙江精准学科技有限公司</t>
        </is>
      </c>
      <c r="G252" s="13" t="inlineStr">
        <is>
          <t>记-190</t>
        </is>
      </c>
      <c r="H252" s="13" t="n"/>
      <c r="I252" s="87" t="n"/>
      <c r="J252" s="87" t="n">
        <v>6</v>
      </c>
      <c r="K252" s="19" t="n"/>
      <c r="L252" s="87" t="n"/>
      <c r="M252" s="13" t="n"/>
    </row>
    <row r="253" s="83">
      <c r="A253" s="11" t="inlineStr">
        <is>
          <t>100201</t>
        </is>
      </c>
      <c r="B253" s="11" t="n"/>
      <c r="C253" s="11" t="inlineStr">
        <is>
          <t>2025-06-27</t>
        </is>
      </c>
      <c r="D253" s="11" t="inlineStr">
        <is>
          <t>Q3205</t>
        </is>
      </c>
      <c r="E253" s="11" t="n"/>
      <c r="F253" s="11" t="inlineStr">
        <is>
          <t>浙江精准学科技有限公司</t>
        </is>
      </c>
      <c r="G253" s="11" t="inlineStr">
        <is>
          <t>记-199</t>
        </is>
      </c>
      <c r="H253" s="11" t="n"/>
      <c r="I253" s="88" t="n"/>
      <c r="J253" s="87" t="n">
        <v>6</v>
      </c>
      <c r="K253" s="16" t="n"/>
      <c r="L253" s="88" t="n"/>
      <c r="M253" s="11" t="n"/>
    </row>
    <row r="254" s="83">
      <c r="A254" s="11" t="inlineStr">
        <is>
          <t>100201</t>
        </is>
      </c>
      <c r="B254" s="11" t="n"/>
      <c r="C254" s="11" t="inlineStr">
        <is>
          <t>2025-06-05</t>
        </is>
      </c>
      <c r="D254" s="11" t="inlineStr">
        <is>
          <t>Q3206</t>
        </is>
      </c>
      <c r="E254" s="11" t="n"/>
      <c r="F254" s="11" t="inlineStr">
        <is>
          <t>浙江精准学科技有限公司</t>
        </is>
      </c>
      <c r="G254" s="11" t="inlineStr">
        <is>
          <t>记-33</t>
        </is>
      </c>
      <c r="H254" s="11" t="n"/>
      <c r="I254" s="88" t="n"/>
      <c r="J254" s="87" t="n">
        <v>6</v>
      </c>
      <c r="K254" s="16" t="n"/>
      <c r="L254" s="88" t="n"/>
      <c r="M254" s="11" t="n"/>
    </row>
    <row r="255" s="83">
      <c r="A255" s="13" t="inlineStr">
        <is>
          <t>100201</t>
        </is>
      </c>
      <c r="B255" s="13" t="n"/>
      <c r="C255" s="13" t="inlineStr">
        <is>
          <t>2025-06-10</t>
        </is>
      </c>
      <c r="D255" s="13" t="inlineStr">
        <is>
          <t>Q3206</t>
        </is>
      </c>
      <c r="E255" s="13" t="n"/>
      <c r="F255" s="13" t="inlineStr">
        <is>
          <t>浙江精准学科技有限公司</t>
        </is>
      </c>
      <c r="G255" s="13" t="inlineStr">
        <is>
          <t>记-54</t>
        </is>
      </c>
      <c r="H255" s="13" t="n"/>
      <c r="I255" s="87" t="n"/>
      <c r="J255" s="87" t="n">
        <v>6</v>
      </c>
      <c r="K255" s="19" t="n"/>
      <c r="L255" s="87" t="n"/>
      <c r="M255" s="13" t="n"/>
    </row>
    <row r="256" s="83">
      <c r="A256" s="11" t="inlineStr">
        <is>
          <t>100201</t>
        </is>
      </c>
      <c r="B256" s="11" t="n"/>
      <c r="C256" s="11" t="inlineStr">
        <is>
          <t>2025-06-12</t>
        </is>
      </c>
      <c r="D256" s="11" t="inlineStr">
        <is>
          <t>Q3206</t>
        </is>
      </c>
      <c r="E256" s="11" t="n"/>
      <c r="F256" s="11" t="inlineStr">
        <is>
          <t>浙江精准学科技有限公司</t>
        </is>
      </c>
      <c r="G256" s="11" t="inlineStr">
        <is>
          <t>记-73</t>
        </is>
      </c>
      <c r="H256" s="11" t="n"/>
      <c r="I256" s="88" t="n"/>
      <c r="J256" s="87" t="n">
        <v>6</v>
      </c>
      <c r="K256" s="16" t="n"/>
      <c r="L256" s="88" t="n"/>
      <c r="M256" s="11" t="n"/>
    </row>
    <row r="257" s="83">
      <c r="A257" s="13" t="inlineStr">
        <is>
          <t>100201</t>
        </is>
      </c>
      <c r="B257" s="13" t="n"/>
      <c r="C257" s="13" t="inlineStr">
        <is>
          <t>2025-06-17</t>
        </is>
      </c>
      <c r="D257" s="13" t="inlineStr">
        <is>
          <t>Q3206</t>
        </is>
      </c>
      <c r="E257" s="13" t="n"/>
      <c r="F257" s="13" t="inlineStr">
        <is>
          <t>浙江精准学科技有限公司</t>
        </is>
      </c>
      <c r="G257" s="13" t="inlineStr">
        <is>
          <t>记-137</t>
        </is>
      </c>
      <c r="H257" s="13" t="n"/>
      <c r="I257" s="87" t="n"/>
      <c r="J257" s="87" t="n">
        <v>6</v>
      </c>
      <c r="K257" s="19" t="n"/>
      <c r="L257" s="87" t="n"/>
      <c r="M257" s="13" t="n"/>
    </row>
    <row r="258" s="83">
      <c r="A258" s="11" t="inlineStr">
        <is>
          <t>100201</t>
        </is>
      </c>
      <c r="B258" s="11" t="n"/>
      <c r="C258" s="11" t="inlineStr">
        <is>
          <t>2025-06-23</t>
        </is>
      </c>
      <c r="D258" s="11" t="inlineStr">
        <is>
          <t>Q3206</t>
        </is>
      </c>
      <c r="E258" s="11" t="n"/>
      <c r="F258" s="11" t="inlineStr">
        <is>
          <t>浙江精准学科技有限公司</t>
        </is>
      </c>
      <c r="G258" s="11" t="inlineStr">
        <is>
          <t>记-174</t>
        </is>
      </c>
      <c r="H258" s="11" t="n"/>
      <c r="I258" s="88" t="n"/>
      <c r="J258" s="87" t="n">
        <v>6</v>
      </c>
      <c r="K258" s="16" t="n"/>
      <c r="L258" s="88" t="n"/>
      <c r="M258" s="11" t="n"/>
    </row>
    <row r="259" s="83">
      <c r="A259" s="13" t="inlineStr">
        <is>
          <t>100201</t>
        </is>
      </c>
      <c r="B259" s="13" t="n"/>
      <c r="C259" s="13" t="inlineStr">
        <is>
          <t>2025-06-25</t>
        </is>
      </c>
      <c r="D259" s="13" t="inlineStr">
        <is>
          <t>Q3206</t>
        </is>
      </c>
      <c r="E259" s="13" t="n"/>
      <c r="F259" s="13" t="inlineStr">
        <is>
          <t>浙江精准学科技有限公司</t>
        </is>
      </c>
      <c r="G259" s="13" t="inlineStr">
        <is>
          <t>记-197</t>
        </is>
      </c>
      <c r="H259" s="13" t="n"/>
      <c r="I259" s="87" t="n"/>
      <c r="J259" s="87" t="n">
        <v>6</v>
      </c>
      <c r="K259" s="19" t="n"/>
      <c r="L259" s="87" t="n"/>
      <c r="M259" s="13" t="n"/>
    </row>
    <row r="260" s="83">
      <c r="A260" s="13" t="inlineStr">
        <is>
          <t>100201</t>
        </is>
      </c>
      <c r="B260" s="13" t="n"/>
      <c r="C260" s="13" t="inlineStr">
        <is>
          <t>2025-06-04</t>
        </is>
      </c>
      <c r="D260" s="13" t="inlineStr">
        <is>
          <t>Q3212</t>
        </is>
      </c>
      <c r="E260" s="13" t="n"/>
      <c r="F260" s="13" t="inlineStr">
        <is>
          <t>浙江精准学科技有限公司</t>
        </is>
      </c>
      <c r="G260" s="13" t="inlineStr">
        <is>
          <t>记-22</t>
        </is>
      </c>
      <c r="H260" s="13" t="n"/>
      <c r="I260" s="87" t="n"/>
      <c r="J260" s="87" t="n">
        <v>6</v>
      </c>
      <c r="K260" s="19" t="n"/>
      <c r="L260" s="87" t="n"/>
      <c r="M260" s="13" t="n"/>
    </row>
    <row r="261" s="83">
      <c r="A261" s="13" t="inlineStr">
        <is>
          <t>100202</t>
        </is>
      </c>
      <c r="B261" s="13" t="n"/>
      <c r="C261" s="13" t="inlineStr">
        <is>
          <t>2025-06-21</t>
        </is>
      </c>
      <c r="D261" s="13" t="inlineStr">
        <is>
          <t>Q0302</t>
        </is>
      </c>
      <c r="E261" s="13" t="n"/>
      <c r="F261" s="13" t="inlineStr">
        <is>
          <t>浙江精准学科技有限公司</t>
        </is>
      </c>
      <c r="G261" s="13" t="inlineStr">
        <is>
          <t>记-167</t>
        </is>
      </c>
      <c r="H261" s="13" t="n"/>
      <c r="I261" s="88" t="n">
        <v>6</v>
      </c>
      <c r="J261" s="87" t="n"/>
      <c r="K261" s="19" t="n"/>
      <c r="L261" s="87" t="n"/>
      <c r="M261" s="13" t="n"/>
    </row>
    <row r="262" s="83">
      <c r="A262" s="13" t="inlineStr">
        <is>
          <t>100202</t>
        </is>
      </c>
      <c r="B262" s="13" t="n"/>
      <c r="C262" s="13" t="inlineStr">
        <is>
          <t>2025-06-17</t>
        </is>
      </c>
      <c r="D262" s="13" t="inlineStr">
        <is>
          <t>Q0401</t>
        </is>
      </c>
      <c r="E262" s="13" t="n"/>
      <c r="F262" s="13" t="inlineStr">
        <is>
          <t>浙江精准学科技有限公司</t>
        </is>
      </c>
      <c r="G262" s="13" t="inlineStr">
        <is>
          <t>记-128</t>
        </is>
      </c>
      <c r="H262" s="13" t="n"/>
      <c r="I262" s="87" t="n"/>
      <c r="J262" s="87" t="n">
        <v>6</v>
      </c>
      <c r="K262" s="19" t="n"/>
      <c r="L262" s="87" t="n"/>
      <c r="M262" s="13" t="n"/>
    </row>
    <row r="263" s="83">
      <c r="A263" s="13" t="inlineStr">
        <is>
          <t>100202</t>
        </is>
      </c>
      <c r="B263" s="13" t="n"/>
      <c r="C263" s="13" t="inlineStr">
        <is>
          <t>2025-06-12</t>
        </is>
      </c>
      <c r="D263" s="13" t="inlineStr">
        <is>
          <t>Q0501</t>
        </is>
      </c>
      <c r="E263" s="13" t="n"/>
      <c r="F263" s="13" t="inlineStr">
        <is>
          <t>浙江精准学科技有限公司</t>
        </is>
      </c>
      <c r="G263" s="13" t="inlineStr">
        <is>
          <t>记-85</t>
        </is>
      </c>
      <c r="H263" s="13" t="n"/>
      <c r="I263" s="88" t="n">
        <v>6</v>
      </c>
      <c r="J263" s="87" t="n"/>
      <c r="K263" s="19" t="n"/>
      <c r="L263" s="87" t="n"/>
      <c r="M263" s="13" t="n"/>
    </row>
    <row r="264" s="83">
      <c r="A264" s="13" t="inlineStr">
        <is>
          <t>100202</t>
        </is>
      </c>
      <c r="B264" s="13" t="n"/>
      <c r="C264" s="13" t="inlineStr">
        <is>
          <t>2025-06-30</t>
        </is>
      </c>
      <c r="D264" s="13" t="inlineStr">
        <is>
          <t>Q3105</t>
        </is>
      </c>
      <c r="E264" s="13" t="n"/>
      <c r="F264" s="13" t="inlineStr">
        <is>
          <t>浙江精准学科技有限公司</t>
        </is>
      </c>
      <c r="G264" s="13" t="inlineStr">
        <is>
          <t>记-242</t>
        </is>
      </c>
      <c r="H264" s="13" t="n"/>
      <c r="I264" s="87" t="n"/>
      <c r="J264" s="87" t="n">
        <v>6</v>
      </c>
      <c r="K264" s="19" t="n"/>
      <c r="L264" s="87" t="n"/>
      <c r="M264" s="13" t="n"/>
    </row>
    <row r="265" s="83">
      <c r="A265" s="13" t="inlineStr">
        <is>
          <t>101201</t>
        </is>
      </c>
      <c r="B265" s="13" t="n"/>
      <c r="C265" s="13" t="inlineStr">
        <is>
          <t>2025-06-01</t>
        </is>
      </c>
      <c r="D265" s="13" t="inlineStr">
        <is>
          <t>Else01</t>
        </is>
      </c>
      <c r="E265" s="13" t="n"/>
      <c r="F265" s="13" t="inlineStr">
        <is>
          <t>浙江精准学科技有限公司</t>
        </is>
      </c>
      <c r="G265" s="13" t="inlineStr">
        <is>
          <t>记-2</t>
        </is>
      </c>
      <c r="H265" s="13" t="n"/>
      <c r="I265" s="88" t="n">
        <v>6</v>
      </c>
      <c r="J265" s="87" t="n"/>
      <c r="K265" s="19" t="n"/>
      <c r="L265" s="87" t="n"/>
      <c r="M265" s="13" t="n"/>
    </row>
    <row r="266" s="83">
      <c r="A266" s="11" t="inlineStr">
        <is>
          <t>101201</t>
        </is>
      </c>
      <c r="B266" s="11" t="n"/>
      <c r="C266" s="11" t="inlineStr">
        <is>
          <t>2025-06-01</t>
        </is>
      </c>
      <c r="D266" s="11" t="inlineStr">
        <is>
          <t>Else01</t>
        </is>
      </c>
      <c r="E266" s="11" t="n"/>
      <c r="F266" s="11" t="inlineStr">
        <is>
          <t>浙江精准学科技有限公司</t>
        </is>
      </c>
      <c r="G266" s="11" t="inlineStr">
        <is>
          <t>记-3</t>
        </is>
      </c>
      <c r="H266" s="11" t="n"/>
      <c r="I266" s="88" t="n"/>
      <c r="J266" s="87" t="n">
        <v>6</v>
      </c>
      <c r="K266" s="16" t="n"/>
      <c r="L266" s="88" t="n"/>
      <c r="M266" s="11" t="n"/>
    </row>
    <row r="267" s="83">
      <c r="A267" s="13" t="inlineStr">
        <is>
          <t>101201</t>
        </is>
      </c>
      <c r="B267" s="13" t="n"/>
      <c r="C267" s="13" t="inlineStr">
        <is>
          <t>2025-06-02</t>
        </is>
      </c>
      <c r="D267" s="13" t="inlineStr">
        <is>
          <t>Else01</t>
        </is>
      </c>
      <c r="E267" s="13" t="n"/>
      <c r="F267" s="13" t="inlineStr">
        <is>
          <t>浙江精准学科技有限公司</t>
        </is>
      </c>
      <c r="G267" s="13" t="inlineStr">
        <is>
          <t>记-4</t>
        </is>
      </c>
      <c r="H267" s="13" t="n"/>
      <c r="I267" s="88" t="n">
        <v>6</v>
      </c>
      <c r="J267" s="87" t="n"/>
      <c r="K267" s="19" t="n"/>
      <c r="L267" s="87" t="n"/>
      <c r="M267" s="13" t="n"/>
    </row>
    <row r="268" s="83">
      <c r="A268" s="11" t="inlineStr">
        <is>
          <t>101201</t>
        </is>
      </c>
      <c r="B268" s="11" t="n"/>
      <c r="C268" s="11" t="inlineStr">
        <is>
          <t>2025-06-02</t>
        </is>
      </c>
      <c r="D268" s="11" t="inlineStr">
        <is>
          <t>Else01</t>
        </is>
      </c>
      <c r="E268" s="11" t="n"/>
      <c r="F268" s="11" t="inlineStr">
        <is>
          <t>浙江精准学科技有限公司</t>
        </is>
      </c>
      <c r="G268" s="11" t="inlineStr">
        <is>
          <t>记-5</t>
        </is>
      </c>
      <c r="H268" s="11" t="n"/>
      <c r="I268" s="88" t="n"/>
      <c r="J268" s="87" t="n">
        <v>6</v>
      </c>
      <c r="K268" s="16" t="n"/>
      <c r="L268" s="88" t="n"/>
      <c r="M268" s="11" t="n"/>
    </row>
    <row r="269" s="83">
      <c r="A269" s="13" t="inlineStr">
        <is>
          <t>101201</t>
        </is>
      </c>
      <c r="B269" s="13" t="n"/>
      <c r="C269" s="13" t="inlineStr">
        <is>
          <t>2025-06-03</t>
        </is>
      </c>
      <c r="D269" s="13" t="inlineStr">
        <is>
          <t>Else01</t>
        </is>
      </c>
      <c r="E269" s="13" t="n"/>
      <c r="F269" s="13" t="inlineStr">
        <is>
          <t>浙江精准学科技有限公司</t>
        </is>
      </c>
      <c r="G269" s="13" t="inlineStr">
        <is>
          <t>记-14</t>
        </is>
      </c>
      <c r="H269" s="13" t="n"/>
      <c r="I269" s="88" t="n">
        <v>6</v>
      </c>
      <c r="J269" s="87" t="n"/>
      <c r="K269" s="19" t="n"/>
      <c r="L269" s="87" t="n"/>
      <c r="M269" s="13" t="n"/>
    </row>
    <row r="270" s="83">
      <c r="A270" s="11" t="inlineStr">
        <is>
          <t>101201</t>
        </is>
      </c>
      <c r="B270" s="11" t="n"/>
      <c r="C270" s="11" t="inlineStr">
        <is>
          <t>2025-06-03</t>
        </is>
      </c>
      <c r="D270" s="11" t="inlineStr">
        <is>
          <t>Else01</t>
        </is>
      </c>
      <c r="E270" s="11" t="n"/>
      <c r="F270" s="11" t="inlineStr">
        <is>
          <t>浙江精准学科技有限公司</t>
        </is>
      </c>
      <c r="G270" s="11" t="inlineStr">
        <is>
          <t>记-15</t>
        </is>
      </c>
      <c r="H270" s="11" t="n"/>
      <c r="I270" s="88" t="n"/>
      <c r="J270" s="87" t="n">
        <v>6</v>
      </c>
      <c r="K270" s="16" t="n"/>
      <c r="L270" s="88" t="n"/>
      <c r="M270" s="11" t="n"/>
    </row>
    <row r="271" s="83">
      <c r="A271" s="13" t="inlineStr">
        <is>
          <t>101201</t>
        </is>
      </c>
      <c r="B271" s="13" t="n"/>
      <c r="C271" s="13" t="inlineStr">
        <is>
          <t>2025-06-04</t>
        </is>
      </c>
      <c r="D271" s="13" t="inlineStr">
        <is>
          <t>Else01</t>
        </is>
      </c>
      <c r="E271" s="13" t="n"/>
      <c r="F271" s="13" t="inlineStr">
        <is>
          <t>浙江精准学科技有限公司</t>
        </is>
      </c>
      <c r="G271" s="13" t="inlineStr">
        <is>
          <t>记-28</t>
        </is>
      </c>
      <c r="H271" s="13" t="n"/>
      <c r="I271" s="88" t="n">
        <v>6</v>
      </c>
      <c r="J271" s="87" t="n"/>
      <c r="K271" s="19" t="n"/>
      <c r="L271" s="87" t="n"/>
      <c r="M271" s="13" t="n"/>
    </row>
    <row r="272" s="83">
      <c r="A272" s="11" t="inlineStr">
        <is>
          <t>101201</t>
        </is>
      </c>
      <c r="B272" s="11" t="n"/>
      <c r="C272" s="11" t="inlineStr">
        <is>
          <t>2025-06-04</t>
        </is>
      </c>
      <c r="D272" s="11" t="inlineStr">
        <is>
          <t>Else01</t>
        </is>
      </c>
      <c r="E272" s="11" t="n"/>
      <c r="F272" s="11" t="inlineStr">
        <is>
          <t>浙江精准学科技有限公司</t>
        </is>
      </c>
      <c r="G272" s="11" t="inlineStr">
        <is>
          <t>记-29</t>
        </is>
      </c>
      <c r="H272" s="11" t="n"/>
      <c r="I272" s="88" t="n"/>
      <c r="J272" s="87" t="n">
        <v>6</v>
      </c>
      <c r="K272" s="16" t="n"/>
      <c r="L272" s="88" t="n"/>
      <c r="M272" s="11" t="n"/>
    </row>
    <row r="273" s="83">
      <c r="A273" s="13" t="inlineStr">
        <is>
          <t>101201</t>
        </is>
      </c>
      <c r="B273" s="13" t="n"/>
      <c r="C273" s="13" t="inlineStr">
        <is>
          <t>2025-06-05</t>
        </is>
      </c>
      <c r="D273" s="13" t="inlineStr">
        <is>
          <t>Else01</t>
        </is>
      </c>
      <c r="E273" s="13" t="n"/>
      <c r="F273" s="13" t="inlineStr">
        <is>
          <t>浙江精准学科技有限公司</t>
        </is>
      </c>
      <c r="G273" s="13" t="inlineStr">
        <is>
          <t>记-35</t>
        </is>
      </c>
      <c r="H273" s="13" t="n"/>
      <c r="I273" s="88" t="n">
        <v>6</v>
      </c>
      <c r="J273" s="87" t="n"/>
      <c r="K273" s="19" t="n"/>
      <c r="L273" s="87" t="n"/>
      <c r="M273" s="13" t="n"/>
    </row>
    <row r="274" s="83">
      <c r="A274" s="11" t="inlineStr">
        <is>
          <t>101201</t>
        </is>
      </c>
      <c r="B274" s="11" t="n"/>
      <c r="C274" s="11" t="inlineStr">
        <is>
          <t>2025-06-05</t>
        </is>
      </c>
      <c r="D274" s="11" t="inlineStr">
        <is>
          <t>Else01</t>
        </is>
      </c>
      <c r="E274" s="11" t="n"/>
      <c r="F274" s="11" t="inlineStr">
        <is>
          <t>浙江精准学科技有限公司</t>
        </is>
      </c>
      <c r="G274" s="11" t="inlineStr">
        <is>
          <t>记-36</t>
        </is>
      </c>
      <c r="H274" s="11" t="n"/>
      <c r="I274" s="88" t="n"/>
      <c r="J274" s="87" t="n">
        <v>6</v>
      </c>
      <c r="K274" s="16" t="n"/>
      <c r="L274" s="88" t="n"/>
      <c r="M274" s="11" t="n"/>
    </row>
    <row r="275" s="83">
      <c r="A275" s="13" t="inlineStr">
        <is>
          <t>101201</t>
        </is>
      </c>
      <c r="B275" s="13" t="n"/>
      <c r="C275" s="13" t="inlineStr">
        <is>
          <t>2025-06-06</t>
        </is>
      </c>
      <c r="D275" s="13" t="inlineStr">
        <is>
          <t>Else01</t>
        </is>
      </c>
      <c r="E275" s="13" t="n"/>
      <c r="F275" s="13" t="inlineStr">
        <is>
          <t>浙江精准学科技有限公司</t>
        </is>
      </c>
      <c r="G275" s="13" t="inlineStr">
        <is>
          <t>记-40</t>
        </is>
      </c>
      <c r="H275" s="13" t="n"/>
      <c r="I275" s="88" t="n">
        <v>6</v>
      </c>
      <c r="J275" s="87" t="n"/>
      <c r="K275" s="19" t="n"/>
      <c r="L275" s="87" t="n"/>
      <c r="M275" s="13" t="n"/>
    </row>
    <row r="276" s="83">
      <c r="A276" s="11" t="inlineStr">
        <is>
          <t>101201</t>
        </is>
      </c>
      <c r="B276" s="11" t="n"/>
      <c r="C276" s="11" t="inlineStr">
        <is>
          <t>2025-06-06</t>
        </is>
      </c>
      <c r="D276" s="11" t="inlineStr">
        <is>
          <t>Else01</t>
        </is>
      </c>
      <c r="E276" s="11" t="n"/>
      <c r="F276" s="11" t="inlineStr">
        <is>
          <t>浙江精准学科技有限公司</t>
        </is>
      </c>
      <c r="G276" s="11" t="inlineStr">
        <is>
          <t>记-41</t>
        </is>
      </c>
      <c r="H276" s="11" t="n"/>
      <c r="I276" s="88" t="n"/>
      <c r="J276" s="87" t="n">
        <v>6</v>
      </c>
      <c r="K276" s="16" t="n"/>
      <c r="L276" s="88" t="n"/>
      <c r="M276" s="11" t="n"/>
    </row>
    <row r="277" s="83">
      <c r="A277" s="13" t="inlineStr">
        <is>
          <t>101201</t>
        </is>
      </c>
      <c r="B277" s="13" t="n"/>
      <c r="C277" s="13" t="inlineStr">
        <is>
          <t>2025-06-07</t>
        </is>
      </c>
      <c r="D277" s="13" t="inlineStr">
        <is>
          <t>Else01</t>
        </is>
      </c>
      <c r="E277" s="13" t="n"/>
      <c r="F277" s="13" t="inlineStr">
        <is>
          <t>浙江精准学科技有限公司</t>
        </is>
      </c>
      <c r="G277" s="13" t="inlineStr">
        <is>
          <t>记-42</t>
        </is>
      </c>
      <c r="H277" s="13" t="n"/>
      <c r="I277" s="88" t="n">
        <v>6</v>
      </c>
      <c r="J277" s="87" t="n"/>
      <c r="K277" s="19" t="n"/>
      <c r="L277" s="87" t="n"/>
      <c r="M277" s="13" t="n"/>
    </row>
    <row r="278" s="83">
      <c r="A278" s="11" t="inlineStr">
        <is>
          <t>101201</t>
        </is>
      </c>
      <c r="B278" s="11" t="n"/>
      <c r="C278" s="11" t="inlineStr">
        <is>
          <t>2025-06-07</t>
        </is>
      </c>
      <c r="D278" s="11" t="inlineStr">
        <is>
          <t>Else01</t>
        </is>
      </c>
      <c r="E278" s="11" t="n"/>
      <c r="F278" s="11" t="inlineStr">
        <is>
          <t>浙江精准学科技有限公司</t>
        </is>
      </c>
      <c r="G278" s="11" t="inlineStr">
        <is>
          <t>记-43</t>
        </is>
      </c>
      <c r="H278" s="11" t="n"/>
      <c r="I278" s="88" t="n"/>
      <c r="J278" s="87" t="n">
        <v>6</v>
      </c>
      <c r="K278" s="16" t="n"/>
      <c r="L278" s="88" t="n"/>
      <c r="M278" s="11" t="n"/>
    </row>
    <row r="279" s="83">
      <c r="A279" s="13" t="inlineStr">
        <is>
          <t>101201</t>
        </is>
      </c>
      <c r="B279" s="13" t="n"/>
      <c r="C279" s="13" t="inlineStr">
        <is>
          <t>2025-06-08</t>
        </is>
      </c>
      <c r="D279" s="13" t="inlineStr">
        <is>
          <t>Else01</t>
        </is>
      </c>
      <c r="E279" s="13" t="n"/>
      <c r="F279" s="13" t="inlineStr">
        <is>
          <t>浙江精准学科技有限公司</t>
        </is>
      </c>
      <c r="G279" s="13" t="inlineStr">
        <is>
          <t>记-45</t>
        </is>
      </c>
      <c r="H279" s="13" t="n"/>
      <c r="I279" s="88" t="n">
        <v>6</v>
      </c>
      <c r="J279" s="87" t="n"/>
      <c r="K279" s="19" t="n"/>
      <c r="L279" s="87" t="n"/>
      <c r="M279" s="13" t="n"/>
    </row>
    <row r="280" s="83">
      <c r="A280" s="11" t="inlineStr">
        <is>
          <t>101201</t>
        </is>
      </c>
      <c r="B280" s="11" t="n"/>
      <c r="C280" s="11" t="inlineStr">
        <is>
          <t>2025-06-08</t>
        </is>
      </c>
      <c r="D280" s="11" t="inlineStr">
        <is>
          <t>Else01</t>
        </is>
      </c>
      <c r="E280" s="11" t="n"/>
      <c r="F280" s="11" t="inlineStr">
        <is>
          <t>浙江精准学科技有限公司</t>
        </is>
      </c>
      <c r="G280" s="11" t="inlineStr">
        <is>
          <t>记-46</t>
        </is>
      </c>
      <c r="H280" s="11" t="n"/>
      <c r="I280" s="88" t="n"/>
      <c r="J280" s="87" t="n">
        <v>6</v>
      </c>
      <c r="K280" s="16" t="n"/>
      <c r="L280" s="88" t="n"/>
      <c r="M280" s="11" t="n"/>
    </row>
    <row r="281" s="83">
      <c r="A281" s="13" t="inlineStr">
        <is>
          <t>101201</t>
        </is>
      </c>
      <c r="B281" s="13" t="n"/>
      <c r="C281" s="13" t="inlineStr">
        <is>
          <t>2025-06-09</t>
        </is>
      </c>
      <c r="D281" s="13" t="inlineStr">
        <is>
          <t>Else01</t>
        </is>
      </c>
      <c r="E281" s="13" t="n"/>
      <c r="F281" s="13" t="inlineStr">
        <is>
          <t>浙江精准学科技有限公司</t>
        </is>
      </c>
      <c r="G281" s="13" t="inlineStr">
        <is>
          <t>记-50</t>
        </is>
      </c>
      <c r="H281" s="13" t="n"/>
      <c r="I281" s="88" t="n">
        <v>6</v>
      </c>
      <c r="J281" s="87" t="n"/>
      <c r="K281" s="19" t="n"/>
      <c r="L281" s="87" t="n"/>
      <c r="M281" s="13" t="n"/>
    </row>
    <row r="282" s="83">
      <c r="A282" s="11" t="inlineStr">
        <is>
          <t>101201</t>
        </is>
      </c>
      <c r="B282" s="11" t="n"/>
      <c r="C282" s="11" t="inlineStr">
        <is>
          <t>2025-06-09</t>
        </is>
      </c>
      <c r="D282" s="11" t="inlineStr">
        <is>
          <t>Else01</t>
        </is>
      </c>
      <c r="E282" s="11" t="n"/>
      <c r="F282" s="11" t="inlineStr">
        <is>
          <t>浙江精准学科技有限公司</t>
        </is>
      </c>
      <c r="G282" s="11" t="inlineStr">
        <is>
          <t>记-51</t>
        </is>
      </c>
      <c r="H282" s="11" t="n"/>
      <c r="I282" s="88" t="n"/>
      <c r="J282" s="87" t="n">
        <v>6</v>
      </c>
      <c r="K282" s="16" t="n"/>
      <c r="L282" s="88" t="n"/>
      <c r="M282" s="11" t="n"/>
    </row>
    <row r="283" s="83">
      <c r="A283" s="13" t="inlineStr">
        <is>
          <t>101201</t>
        </is>
      </c>
      <c r="B283" s="13" t="n"/>
      <c r="C283" s="13" t="inlineStr">
        <is>
          <t>2025-06-10</t>
        </is>
      </c>
      <c r="D283" s="13" t="inlineStr">
        <is>
          <t>Else01</t>
        </is>
      </c>
      <c r="E283" s="13" t="n"/>
      <c r="F283" s="13" t="inlineStr">
        <is>
          <t>浙江精准学科技有限公司</t>
        </is>
      </c>
      <c r="G283" s="13" t="inlineStr">
        <is>
          <t>记-55</t>
        </is>
      </c>
      <c r="H283" s="13" t="n"/>
      <c r="I283" s="88" t="n">
        <v>6</v>
      </c>
      <c r="J283" s="87" t="n"/>
      <c r="K283" s="19" t="n"/>
      <c r="L283" s="87" t="n"/>
      <c r="M283" s="13" t="n"/>
    </row>
    <row r="284" s="83">
      <c r="A284" s="11" t="inlineStr">
        <is>
          <t>101201</t>
        </is>
      </c>
      <c r="B284" s="11" t="n"/>
      <c r="C284" s="11" t="inlineStr">
        <is>
          <t>2025-06-10</t>
        </is>
      </c>
      <c r="D284" s="11" t="inlineStr">
        <is>
          <t>Else01</t>
        </is>
      </c>
      <c r="E284" s="11" t="n"/>
      <c r="F284" s="11" t="inlineStr">
        <is>
          <t>浙江精准学科技有限公司</t>
        </is>
      </c>
      <c r="G284" s="11" t="inlineStr">
        <is>
          <t>记-56</t>
        </is>
      </c>
      <c r="H284" s="11" t="n"/>
      <c r="I284" s="88" t="n"/>
      <c r="J284" s="87" t="n">
        <v>6</v>
      </c>
      <c r="K284" s="16" t="n"/>
      <c r="L284" s="88" t="n"/>
      <c r="M284" s="11" t="n"/>
    </row>
    <row r="285" s="83">
      <c r="A285" s="13" t="inlineStr">
        <is>
          <t>101201</t>
        </is>
      </c>
      <c r="B285" s="13" t="n"/>
      <c r="C285" s="13" t="inlineStr">
        <is>
          <t>2025-06-11</t>
        </is>
      </c>
      <c r="D285" s="13" t="inlineStr">
        <is>
          <t>Else01</t>
        </is>
      </c>
      <c r="E285" s="13" t="n"/>
      <c r="F285" s="13" t="inlineStr">
        <is>
          <t>浙江精准学科技有限公司</t>
        </is>
      </c>
      <c r="G285" s="13" t="inlineStr">
        <is>
          <t>记-68</t>
        </is>
      </c>
      <c r="H285" s="13" t="n"/>
      <c r="I285" s="88" t="n">
        <v>6</v>
      </c>
      <c r="J285" s="87" t="n"/>
      <c r="K285" s="19" t="n"/>
      <c r="L285" s="87" t="n"/>
      <c r="M285" s="13" t="n"/>
    </row>
    <row r="286" s="83">
      <c r="A286" s="11" t="inlineStr">
        <is>
          <t>101201</t>
        </is>
      </c>
      <c r="B286" s="11" t="n"/>
      <c r="C286" s="11" t="inlineStr">
        <is>
          <t>2025-06-11</t>
        </is>
      </c>
      <c r="D286" s="11" t="inlineStr">
        <is>
          <t>Else01</t>
        </is>
      </c>
      <c r="E286" s="11" t="n"/>
      <c r="F286" s="11" t="inlineStr">
        <is>
          <t>浙江精准学科技有限公司</t>
        </is>
      </c>
      <c r="G286" s="11" t="inlineStr">
        <is>
          <t>记-69</t>
        </is>
      </c>
      <c r="H286" s="11" t="n"/>
      <c r="I286" s="88" t="n"/>
      <c r="J286" s="87" t="n">
        <v>6</v>
      </c>
      <c r="K286" s="16" t="n"/>
      <c r="L286" s="88" t="n"/>
      <c r="M286" s="11" t="n"/>
    </row>
    <row r="287" s="83">
      <c r="A287" s="13" t="inlineStr">
        <is>
          <t>101201</t>
        </is>
      </c>
      <c r="B287" s="13" t="n"/>
      <c r="C287" s="13" t="inlineStr">
        <is>
          <t>2025-06-12</t>
        </is>
      </c>
      <c r="D287" s="13" t="inlineStr">
        <is>
          <t>Else01</t>
        </is>
      </c>
      <c r="E287" s="13" t="n"/>
      <c r="F287" s="13" t="inlineStr">
        <is>
          <t>浙江精准学科技有限公司</t>
        </is>
      </c>
      <c r="G287" s="13" t="inlineStr">
        <is>
          <t>记-82</t>
        </is>
      </c>
      <c r="H287" s="13" t="n"/>
      <c r="I287" s="88" t="n">
        <v>6</v>
      </c>
      <c r="J287" s="87" t="n"/>
      <c r="K287" s="19" t="n"/>
      <c r="L287" s="87" t="n"/>
      <c r="M287" s="13" t="n"/>
    </row>
    <row r="288" s="83">
      <c r="A288" s="11" t="inlineStr">
        <is>
          <t>101201</t>
        </is>
      </c>
      <c r="B288" s="11" t="n"/>
      <c r="C288" s="11" t="inlineStr">
        <is>
          <t>2025-06-12</t>
        </is>
      </c>
      <c r="D288" s="11" t="inlineStr">
        <is>
          <t>Else01</t>
        </is>
      </c>
      <c r="E288" s="11" t="n"/>
      <c r="F288" s="11" t="inlineStr">
        <is>
          <t>浙江精准学科技有限公司</t>
        </is>
      </c>
      <c r="G288" s="11" t="inlineStr">
        <is>
          <t>记-83</t>
        </is>
      </c>
      <c r="H288" s="11" t="n"/>
      <c r="I288" s="88" t="n"/>
      <c r="J288" s="87" t="n">
        <v>6</v>
      </c>
      <c r="K288" s="16" t="n"/>
      <c r="L288" s="88" t="n"/>
      <c r="M288" s="11" t="n"/>
    </row>
    <row r="289" s="83">
      <c r="A289" s="13" t="inlineStr">
        <is>
          <t>101201</t>
        </is>
      </c>
      <c r="B289" s="13" t="n"/>
      <c r="C289" s="13" t="inlineStr">
        <is>
          <t>2025-06-13</t>
        </is>
      </c>
      <c r="D289" s="13" t="inlineStr">
        <is>
          <t>Else01</t>
        </is>
      </c>
      <c r="E289" s="13" t="n"/>
      <c r="F289" s="13" t="inlineStr">
        <is>
          <t>浙江精准学科技有限公司</t>
        </is>
      </c>
      <c r="G289" s="13" t="inlineStr">
        <is>
          <t>记-86</t>
        </is>
      </c>
      <c r="H289" s="13" t="n"/>
      <c r="I289" s="87" t="n"/>
      <c r="J289" s="87" t="n">
        <v>6</v>
      </c>
      <c r="K289" s="19" t="n"/>
      <c r="L289" s="87" t="n"/>
      <c r="M289" s="13" t="n"/>
    </row>
    <row r="290" s="83">
      <c r="A290" s="11" t="inlineStr">
        <is>
          <t>101201</t>
        </is>
      </c>
      <c r="B290" s="11" t="n"/>
      <c r="C290" s="11" t="inlineStr">
        <is>
          <t>2025-06-13</t>
        </is>
      </c>
      <c r="D290" s="11" t="inlineStr">
        <is>
          <t>Else01</t>
        </is>
      </c>
      <c r="E290" s="11" t="n"/>
      <c r="F290" s="11" t="inlineStr">
        <is>
          <t>浙江精准学科技有限公司</t>
        </is>
      </c>
      <c r="G290" s="11" t="inlineStr">
        <is>
          <t>记-89</t>
        </is>
      </c>
      <c r="H290" s="11" t="n"/>
      <c r="I290" s="88" t="n">
        <v>6</v>
      </c>
      <c r="J290" s="88" t="n"/>
      <c r="K290" s="16" t="n"/>
      <c r="L290" s="88" t="n"/>
      <c r="M290" s="11" t="n"/>
    </row>
    <row r="291" s="83">
      <c r="A291" s="13" t="inlineStr">
        <is>
          <t>101201</t>
        </is>
      </c>
      <c r="B291" s="13" t="n"/>
      <c r="C291" s="13" t="inlineStr">
        <is>
          <t>2025-06-14</t>
        </is>
      </c>
      <c r="D291" s="13" t="inlineStr">
        <is>
          <t>Else01</t>
        </is>
      </c>
      <c r="E291" s="13" t="n"/>
      <c r="F291" s="13" t="inlineStr">
        <is>
          <t>浙江精准学科技有限公司</t>
        </is>
      </c>
      <c r="G291" s="13" t="inlineStr">
        <is>
          <t>记-104</t>
        </is>
      </c>
      <c r="H291" s="13" t="n"/>
      <c r="I291" s="88" t="n">
        <v>6</v>
      </c>
      <c r="J291" s="87" t="n"/>
      <c r="K291" s="19" t="n"/>
      <c r="L291" s="87" t="n"/>
      <c r="M291" s="13" t="n"/>
    </row>
    <row r="292" s="83">
      <c r="A292" s="11" t="inlineStr">
        <is>
          <t>101201</t>
        </is>
      </c>
      <c r="B292" s="11" t="n"/>
      <c r="C292" s="11" t="inlineStr">
        <is>
          <t>2025-06-14</t>
        </is>
      </c>
      <c r="D292" s="11" t="inlineStr">
        <is>
          <t>Else01</t>
        </is>
      </c>
      <c r="E292" s="11" t="n"/>
      <c r="F292" s="11" t="inlineStr">
        <is>
          <t>浙江精准学科技有限公司</t>
        </is>
      </c>
      <c r="G292" s="11" t="inlineStr">
        <is>
          <t>记-105</t>
        </is>
      </c>
      <c r="H292" s="11" t="n"/>
      <c r="I292" s="88" t="n"/>
      <c r="J292" s="87" t="n">
        <v>6</v>
      </c>
      <c r="K292" s="16" t="n"/>
      <c r="L292" s="88" t="n"/>
      <c r="M292" s="11" t="n"/>
    </row>
    <row r="293" s="83">
      <c r="A293" s="13" t="inlineStr">
        <is>
          <t>101201</t>
        </is>
      </c>
      <c r="B293" s="13" t="n"/>
      <c r="C293" s="13" t="inlineStr">
        <is>
          <t>2025-06-15</t>
        </is>
      </c>
      <c r="D293" s="13" t="inlineStr">
        <is>
          <t>Else01</t>
        </is>
      </c>
      <c r="E293" s="13" t="n"/>
      <c r="F293" s="13" t="inlineStr">
        <is>
          <t>浙江精准学科技有限公司</t>
        </is>
      </c>
      <c r="G293" s="13" t="inlineStr">
        <is>
          <t>记-106</t>
        </is>
      </c>
      <c r="H293" s="13" t="n"/>
      <c r="I293" s="88" t="n">
        <v>6</v>
      </c>
      <c r="J293" s="87" t="n"/>
      <c r="K293" s="19" t="n"/>
      <c r="L293" s="87" t="n"/>
      <c r="M293" s="13" t="n"/>
    </row>
    <row r="294" s="83">
      <c r="A294" s="11" t="inlineStr">
        <is>
          <t>101201</t>
        </is>
      </c>
      <c r="B294" s="11" t="n"/>
      <c r="C294" s="11" t="inlineStr">
        <is>
          <t>2025-06-15</t>
        </is>
      </c>
      <c r="D294" s="11" t="inlineStr">
        <is>
          <t>Else01</t>
        </is>
      </c>
      <c r="E294" s="11" t="n"/>
      <c r="F294" s="11" t="inlineStr">
        <is>
          <t>浙江精准学科技有限公司</t>
        </is>
      </c>
      <c r="G294" s="11" t="inlineStr">
        <is>
          <t>记-107</t>
        </is>
      </c>
      <c r="H294" s="11" t="n"/>
      <c r="I294" s="88" t="n"/>
      <c r="J294" s="87" t="n">
        <v>6</v>
      </c>
      <c r="K294" s="16" t="n"/>
      <c r="L294" s="88" t="n"/>
      <c r="M294" s="11" t="n"/>
    </row>
    <row r="295" s="83">
      <c r="A295" s="13" t="inlineStr">
        <is>
          <t>101201</t>
        </is>
      </c>
      <c r="B295" s="13" t="n"/>
      <c r="C295" s="13" t="inlineStr">
        <is>
          <t>2025-06-16</t>
        </is>
      </c>
      <c r="D295" s="13" t="inlineStr">
        <is>
          <t>Else01</t>
        </is>
      </c>
      <c r="E295" s="13" t="n"/>
      <c r="F295" s="13" t="inlineStr">
        <is>
          <t>浙江精准学科技有限公司</t>
        </is>
      </c>
      <c r="G295" s="13" t="inlineStr">
        <is>
          <t>记-110</t>
        </is>
      </c>
      <c r="H295" s="13" t="n"/>
      <c r="I295" s="88" t="n">
        <v>6</v>
      </c>
      <c r="J295" s="87" t="n"/>
      <c r="K295" s="19" t="n"/>
      <c r="L295" s="87" t="n"/>
      <c r="M295" s="13" t="n"/>
    </row>
    <row r="296" s="83">
      <c r="A296" s="11" t="inlineStr">
        <is>
          <t>101201</t>
        </is>
      </c>
      <c r="B296" s="11" t="n"/>
      <c r="C296" s="11" t="inlineStr">
        <is>
          <t>2025-06-16</t>
        </is>
      </c>
      <c r="D296" s="11" t="inlineStr">
        <is>
          <t>Else01</t>
        </is>
      </c>
      <c r="E296" s="11" t="n"/>
      <c r="F296" s="11" t="inlineStr">
        <is>
          <t>浙江精准学科技有限公司</t>
        </is>
      </c>
      <c r="G296" s="11" t="inlineStr">
        <is>
          <t>记-111</t>
        </is>
      </c>
      <c r="H296" s="11" t="n"/>
      <c r="I296" s="88" t="n"/>
      <c r="J296" s="87" t="n">
        <v>6</v>
      </c>
      <c r="K296" s="16" t="n"/>
      <c r="L296" s="88" t="n"/>
      <c r="M296" s="11" t="n"/>
    </row>
    <row r="297" s="83">
      <c r="A297" s="13" t="inlineStr">
        <is>
          <t>101201</t>
        </is>
      </c>
      <c r="B297" s="13" t="n"/>
      <c r="C297" s="13" t="inlineStr">
        <is>
          <t>2025-06-17</t>
        </is>
      </c>
      <c r="D297" s="13" t="inlineStr">
        <is>
          <t>Else01</t>
        </is>
      </c>
      <c r="E297" s="13" t="n"/>
      <c r="F297" s="13" t="inlineStr">
        <is>
          <t>浙江精准学科技有限公司</t>
        </is>
      </c>
      <c r="G297" s="13" t="inlineStr">
        <is>
          <t>记-129</t>
        </is>
      </c>
      <c r="H297" s="13" t="n"/>
      <c r="I297" s="88" t="n">
        <v>6</v>
      </c>
      <c r="J297" s="87" t="n"/>
      <c r="K297" s="19" t="n"/>
      <c r="L297" s="87" t="n"/>
      <c r="M297" s="13" t="n"/>
    </row>
    <row r="298" s="83">
      <c r="A298" s="11" t="inlineStr">
        <is>
          <t>101201</t>
        </is>
      </c>
      <c r="B298" s="11" t="n"/>
      <c r="C298" s="11" t="inlineStr">
        <is>
          <t>2025-06-17</t>
        </is>
      </c>
      <c r="D298" s="11" t="inlineStr">
        <is>
          <t>Else01</t>
        </is>
      </c>
      <c r="E298" s="11" t="n"/>
      <c r="F298" s="11" t="inlineStr">
        <is>
          <t>浙江精准学科技有限公司</t>
        </is>
      </c>
      <c r="G298" s="11" t="inlineStr">
        <is>
          <t>记-130</t>
        </is>
      </c>
      <c r="H298" s="11" t="n"/>
      <c r="I298" s="88" t="n"/>
      <c r="J298" s="87" t="n">
        <v>6</v>
      </c>
      <c r="K298" s="16" t="n"/>
      <c r="L298" s="88" t="n"/>
      <c r="M298" s="11" t="n"/>
    </row>
    <row r="299" s="83">
      <c r="A299" s="13" t="inlineStr">
        <is>
          <t>101201</t>
        </is>
      </c>
      <c r="B299" s="13" t="n"/>
      <c r="C299" s="13" t="inlineStr">
        <is>
          <t>2025-06-18</t>
        </is>
      </c>
      <c r="D299" s="13" t="inlineStr">
        <is>
          <t>Else01</t>
        </is>
      </c>
      <c r="E299" s="13" t="n"/>
      <c r="F299" s="13" t="inlineStr">
        <is>
          <t>浙江精准学科技有限公司</t>
        </is>
      </c>
      <c r="G299" s="13" t="inlineStr">
        <is>
          <t>记-143</t>
        </is>
      </c>
      <c r="H299" s="13" t="n"/>
      <c r="I299" s="88" t="n">
        <v>6</v>
      </c>
      <c r="J299" s="87" t="n"/>
      <c r="K299" s="19" t="n"/>
      <c r="L299" s="87" t="n"/>
      <c r="M299" s="13" t="n"/>
    </row>
    <row r="300" s="83">
      <c r="A300" s="11" t="inlineStr">
        <is>
          <t>101201</t>
        </is>
      </c>
      <c r="B300" s="11" t="n"/>
      <c r="C300" s="11" t="inlineStr">
        <is>
          <t>2025-06-18</t>
        </is>
      </c>
      <c r="D300" s="11" t="inlineStr">
        <is>
          <t>Else01</t>
        </is>
      </c>
      <c r="E300" s="11" t="n"/>
      <c r="F300" s="11" t="inlineStr">
        <is>
          <t>浙江精准学科技有限公司</t>
        </is>
      </c>
      <c r="G300" s="11" t="inlineStr">
        <is>
          <t>记-144</t>
        </is>
      </c>
      <c r="H300" s="11" t="n"/>
      <c r="I300" s="88" t="n"/>
      <c r="J300" s="87" t="n">
        <v>6</v>
      </c>
      <c r="K300" s="16" t="n"/>
      <c r="L300" s="88" t="n"/>
      <c r="M300" s="11" t="n"/>
    </row>
    <row r="301" s="83">
      <c r="A301" s="13" t="inlineStr">
        <is>
          <t>101201</t>
        </is>
      </c>
      <c r="B301" s="13" t="n"/>
      <c r="C301" s="13" t="inlineStr">
        <is>
          <t>2025-06-19</t>
        </is>
      </c>
      <c r="D301" s="13" t="inlineStr">
        <is>
          <t>Else01</t>
        </is>
      </c>
      <c r="E301" s="13" t="n"/>
      <c r="F301" s="13" t="inlineStr">
        <is>
          <t>浙江精准学科技有限公司</t>
        </is>
      </c>
      <c r="G301" s="13" t="inlineStr">
        <is>
          <t>记-145</t>
        </is>
      </c>
      <c r="H301" s="13" t="n"/>
      <c r="I301" s="88" t="n">
        <v>6</v>
      </c>
      <c r="J301" s="87" t="n"/>
      <c r="K301" s="19" t="n"/>
      <c r="L301" s="87" t="n"/>
      <c r="M301" s="13" t="n"/>
    </row>
    <row r="302" s="83">
      <c r="A302" s="11" t="inlineStr">
        <is>
          <t>101201</t>
        </is>
      </c>
      <c r="B302" s="11" t="n"/>
      <c r="C302" s="11" t="inlineStr">
        <is>
          <t>2025-06-19</t>
        </is>
      </c>
      <c r="D302" s="11" t="inlineStr">
        <is>
          <t>Else01</t>
        </is>
      </c>
      <c r="E302" s="11" t="n"/>
      <c r="F302" s="11" t="inlineStr">
        <is>
          <t>浙江精准学科技有限公司</t>
        </is>
      </c>
      <c r="G302" s="11" t="inlineStr">
        <is>
          <t>记-146</t>
        </is>
      </c>
      <c r="H302" s="11" t="n"/>
      <c r="I302" s="88" t="n"/>
      <c r="J302" s="87" t="n">
        <v>6</v>
      </c>
      <c r="K302" s="16" t="n"/>
      <c r="L302" s="88" t="n"/>
      <c r="M302" s="11" t="n"/>
    </row>
    <row r="303" s="83">
      <c r="A303" s="13" t="inlineStr">
        <is>
          <t>101201</t>
        </is>
      </c>
      <c r="B303" s="13" t="n"/>
      <c r="C303" s="13" t="inlineStr">
        <is>
          <t>2025-06-20</t>
        </is>
      </c>
      <c r="D303" s="13" t="inlineStr">
        <is>
          <t>Else01</t>
        </is>
      </c>
      <c r="E303" s="13" t="n"/>
      <c r="F303" s="13" t="inlineStr">
        <is>
          <t>浙江精准学科技有限公司</t>
        </is>
      </c>
      <c r="G303" s="13" t="inlineStr">
        <is>
          <t>记-154</t>
        </is>
      </c>
      <c r="H303" s="13" t="n"/>
      <c r="I303" s="88" t="n">
        <v>6</v>
      </c>
      <c r="J303" s="87" t="n"/>
      <c r="K303" s="19" t="n"/>
      <c r="L303" s="87" t="n"/>
      <c r="M303" s="13" t="n"/>
    </row>
    <row r="304" s="83">
      <c r="A304" s="11" t="inlineStr">
        <is>
          <t>101201</t>
        </is>
      </c>
      <c r="B304" s="11" t="n"/>
      <c r="C304" s="11" t="inlineStr">
        <is>
          <t>2025-06-20</t>
        </is>
      </c>
      <c r="D304" s="11" t="inlineStr">
        <is>
          <t>Else01</t>
        </is>
      </c>
      <c r="E304" s="11" t="n"/>
      <c r="F304" s="11" t="inlineStr">
        <is>
          <t>浙江精准学科技有限公司</t>
        </is>
      </c>
      <c r="G304" s="11" t="inlineStr">
        <is>
          <t>记-155</t>
        </is>
      </c>
      <c r="H304" s="11" t="n"/>
      <c r="I304" s="88" t="n"/>
      <c r="J304" s="87" t="n">
        <v>6</v>
      </c>
      <c r="K304" s="16" t="n"/>
      <c r="L304" s="88" t="n"/>
      <c r="M304" s="11" t="n"/>
    </row>
    <row r="305" s="83">
      <c r="A305" s="13" t="inlineStr">
        <is>
          <t>101201</t>
        </is>
      </c>
      <c r="B305" s="13" t="n"/>
      <c r="C305" s="13" t="inlineStr">
        <is>
          <t>2025-06-21</t>
        </is>
      </c>
      <c r="D305" s="13" t="inlineStr">
        <is>
          <t>Else01</t>
        </is>
      </c>
      <c r="E305" s="13" t="n"/>
      <c r="F305" s="13" t="inlineStr">
        <is>
          <t>浙江精准学科技有限公司</t>
        </is>
      </c>
      <c r="G305" s="13" t="inlineStr">
        <is>
          <t>记-163</t>
        </is>
      </c>
      <c r="H305" s="13" t="n"/>
      <c r="I305" s="88" t="n">
        <v>6</v>
      </c>
      <c r="J305" s="87" t="n"/>
      <c r="K305" s="19" t="n"/>
      <c r="L305" s="87" t="n"/>
      <c r="M305" s="13" t="n"/>
    </row>
    <row r="306" s="83">
      <c r="A306" s="11" t="inlineStr">
        <is>
          <t>101201</t>
        </is>
      </c>
      <c r="B306" s="11" t="n"/>
      <c r="C306" s="11" t="inlineStr">
        <is>
          <t>2025-06-21</t>
        </is>
      </c>
      <c r="D306" s="11" t="inlineStr">
        <is>
          <t>Else01</t>
        </is>
      </c>
      <c r="E306" s="11" t="n"/>
      <c r="F306" s="11" t="inlineStr">
        <is>
          <t>浙江精准学科技有限公司</t>
        </is>
      </c>
      <c r="G306" s="11" t="inlineStr">
        <is>
          <t>记-164</t>
        </is>
      </c>
      <c r="H306" s="11" t="n"/>
      <c r="I306" s="88" t="n"/>
      <c r="J306" s="87" t="n">
        <v>6</v>
      </c>
      <c r="K306" s="16" t="n"/>
      <c r="L306" s="88" t="n"/>
      <c r="M306" s="11" t="n"/>
    </row>
    <row r="307" s="83">
      <c r="A307" s="13" t="inlineStr">
        <is>
          <t>101201</t>
        </is>
      </c>
      <c r="B307" s="13" t="n"/>
      <c r="C307" s="13" t="inlineStr">
        <is>
          <t>2025-06-22</t>
        </is>
      </c>
      <c r="D307" s="13" t="inlineStr">
        <is>
          <t>Else01</t>
        </is>
      </c>
      <c r="E307" s="13" t="n"/>
      <c r="F307" s="13" t="inlineStr">
        <is>
          <t>浙江精准学科技有限公司</t>
        </is>
      </c>
      <c r="G307" s="13" t="inlineStr">
        <is>
          <t>记-168</t>
        </is>
      </c>
      <c r="H307" s="13" t="n"/>
      <c r="I307" s="88" t="n">
        <v>6</v>
      </c>
      <c r="J307" s="87" t="n"/>
      <c r="K307" s="19" t="n"/>
      <c r="L307" s="87" t="n"/>
      <c r="M307" s="13" t="n"/>
    </row>
    <row r="308" s="83">
      <c r="A308" s="11" t="inlineStr">
        <is>
          <t>101201</t>
        </is>
      </c>
      <c r="B308" s="11" t="n"/>
      <c r="C308" s="11" t="inlineStr">
        <is>
          <t>2025-06-22</t>
        </is>
      </c>
      <c r="D308" s="11" t="inlineStr">
        <is>
          <t>Else01</t>
        </is>
      </c>
      <c r="E308" s="11" t="n"/>
      <c r="F308" s="11" t="inlineStr">
        <is>
          <t>浙江精准学科技有限公司</t>
        </is>
      </c>
      <c r="G308" s="11" t="inlineStr">
        <is>
          <t>记-169</t>
        </is>
      </c>
      <c r="H308" s="11" t="n"/>
      <c r="I308" s="88" t="n"/>
      <c r="J308" s="87" t="n">
        <v>6</v>
      </c>
      <c r="K308" s="16" t="n"/>
      <c r="L308" s="88" t="n"/>
      <c r="M308" s="11" t="n"/>
    </row>
    <row r="309" s="83">
      <c r="A309" s="13" t="inlineStr">
        <is>
          <t>101201</t>
        </is>
      </c>
      <c r="B309" s="13" t="n"/>
      <c r="C309" s="13" t="inlineStr">
        <is>
          <t>2025-06-23</t>
        </is>
      </c>
      <c r="D309" s="13" t="inlineStr">
        <is>
          <t>Else01</t>
        </is>
      </c>
      <c r="E309" s="13" t="n"/>
      <c r="F309" s="13" t="inlineStr">
        <is>
          <t>浙江精准学科技有限公司</t>
        </is>
      </c>
      <c r="G309" s="13" t="inlineStr">
        <is>
          <t>记-179</t>
        </is>
      </c>
      <c r="H309" s="13" t="n"/>
      <c r="I309" s="88" t="n">
        <v>6</v>
      </c>
      <c r="J309" s="87" t="n"/>
      <c r="K309" s="19" t="n"/>
      <c r="L309" s="87" t="n"/>
      <c r="M309" s="13" t="n"/>
    </row>
    <row r="310" s="83">
      <c r="A310" s="11" t="inlineStr">
        <is>
          <t>101201</t>
        </is>
      </c>
      <c r="B310" s="11" t="n"/>
      <c r="C310" s="11" t="inlineStr">
        <is>
          <t>2025-06-23</t>
        </is>
      </c>
      <c r="D310" s="11" t="inlineStr">
        <is>
          <t>Else01</t>
        </is>
      </c>
      <c r="E310" s="11" t="n"/>
      <c r="F310" s="11" t="inlineStr">
        <is>
          <t>浙江精准学科技有限公司</t>
        </is>
      </c>
      <c r="G310" s="11" t="inlineStr">
        <is>
          <t>记-180</t>
        </is>
      </c>
      <c r="H310" s="11" t="n"/>
      <c r="I310" s="88" t="n"/>
      <c r="J310" s="87" t="n">
        <v>6</v>
      </c>
      <c r="K310" s="16" t="n"/>
      <c r="L310" s="88" t="n"/>
      <c r="M310" s="11" t="n"/>
    </row>
    <row r="311" s="83">
      <c r="A311" s="13" t="inlineStr">
        <is>
          <t>101201</t>
        </is>
      </c>
      <c r="B311" s="13" t="n"/>
      <c r="C311" s="13" t="inlineStr">
        <is>
          <t>2025-06-24</t>
        </is>
      </c>
      <c r="D311" s="13" t="inlineStr">
        <is>
          <t>Else01</t>
        </is>
      </c>
      <c r="E311" s="13" t="n"/>
      <c r="F311" s="13" t="inlineStr">
        <is>
          <t>浙江精准学科技有限公司</t>
        </is>
      </c>
      <c r="G311" s="13" t="inlineStr">
        <is>
          <t>记-192</t>
        </is>
      </c>
      <c r="H311" s="13" t="n"/>
      <c r="I311" s="88" t="n">
        <v>6</v>
      </c>
      <c r="J311" s="87" t="n"/>
      <c r="K311" s="19" t="n"/>
      <c r="L311" s="87" t="n"/>
      <c r="M311" s="13" t="n"/>
    </row>
    <row r="312" s="83">
      <c r="A312" s="11" t="inlineStr">
        <is>
          <t>101201</t>
        </is>
      </c>
      <c r="B312" s="11" t="n"/>
      <c r="C312" s="11" t="inlineStr">
        <is>
          <t>2025-06-24</t>
        </is>
      </c>
      <c r="D312" s="11" t="inlineStr">
        <is>
          <t>Else01</t>
        </is>
      </c>
      <c r="E312" s="11" t="n"/>
      <c r="F312" s="11" t="inlineStr">
        <is>
          <t>浙江精准学科技有限公司</t>
        </is>
      </c>
      <c r="G312" s="11" t="inlineStr">
        <is>
          <t>记-193</t>
        </is>
      </c>
      <c r="H312" s="11" t="n"/>
      <c r="I312" s="88" t="n"/>
      <c r="J312" s="87" t="n">
        <v>6</v>
      </c>
      <c r="K312" s="16" t="n"/>
      <c r="L312" s="88" t="n"/>
      <c r="M312" s="11" t="n"/>
    </row>
    <row r="313" s="83">
      <c r="A313" s="13" t="inlineStr">
        <is>
          <t>101201</t>
        </is>
      </c>
      <c r="B313" s="13" t="n"/>
      <c r="C313" s="13" t="inlineStr">
        <is>
          <t>2025-06-25</t>
        </is>
      </c>
      <c r="D313" s="13" t="inlineStr">
        <is>
          <t>Else01</t>
        </is>
      </c>
      <c r="E313" s="13" t="n"/>
      <c r="F313" s="13" t="inlineStr">
        <is>
          <t>浙江精准学科技有限公司</t>
        </is>
      </c>
      <c r="G313" s="13" t="inlineStr">
        <is>
          <t>记-202</t>
        </is>
      </c>
      <c r="H313" s="13" t="n"/>
      <c r="I313" s="88" t="n">
        <v>6</v>
      </c>
      <c r="J313" s="87" t="n"/>
      <c r="K313" s="19" t="n"/>
      <c r="L313" s="87" t="n"/>
      <c r="M313" s="13" t="n"/>
    </row>
    <row r="314" s="83">
      <c r="A314" s="11" t="inlineStr">
        <is>
          <t>101201</t>
        </is>
      </c>
      <c r="B314" s="11" t="n"/>
      <c r="C314" s="11" t="inlineStr">
        <is>
          <t>2025-06-25</t>
        </is>
      </c>
      <c r="D314" s="11" t="inlineStr">
        <is>
          <t>Else01</t>
        </is>
      </c>
      <c r="E314" s="11" t="n"/>
      <c r="F314" s="11" t="inlineStr">
        <is>
          <t>浙江精准学科技有限公司</t>
        </is>
      </c>
      <c r="G314" s="11" t="inlineStr">
        <is>
          <t>记-203</t>
        </is>
      </c>
      <c r="H314" s="11" t="n"/>
      <c r="I314" s="88" t="n"/>
      <c r="J314" s="87" t="n">
        <v>6</v>
      </c>
      <c r="K314" s="16" t="n"/>
      <c r="L314" s="88" t="n"/>
      <c r="M314" s="11" t="n"/>
    </row>
    <row r="315" s="83">
      <c r="A315" s="13" t="inlineStr">
        <is>
          <t>101201</t>
        </is>
      </c>
      <c r="B315" s="13" t="n"/>
      <c r="C315" s="13" t="inlineStr">
        <is>
          <t>2025-06-26</t>
        </is>
      </c>
      <c r="D315" s="13" t="inlineStr">
        <is>
          <t>Else01</t>
        </is>
      </c>
      <c r="E315" s="13" t="n"/>
      <c r="F315" s="13" t="inlineStr">
        <is>
          <t>浙江精准学科技有限公司</t>
        </is>
      </c>
      <c r="G315" s="13" t="inlineStr">
        <is>
          <t>记-208</t>
        </is>
      </c>
      <c r="H315" s="13" t="n"/>
      <c r="I315" s="88" t="n">
        <v>6</v>
      </c>
      <c r="J315" s="87" t="n"/>
      <c r="K315" s="19" t="n"/>
      <c r="L315" s="87" t="n"/>
      <c r="M315" s="13" t="n"/>
    </row>
    <row r="316" s="83">
      <c r="A316" s="11" t="inlineStr">
        <is>
          <t>101201</t>
        </is>
      </c>
      <c r="B316" s="11" t="n"/>
      <c r="C316" s="11" t="inlineStr">
        <is>
          <t>2025-06-26</t>
        </is>
      </c>
      <c r="D316" s="11" t="inlineStr">
        <is>
          <t>Else01</t>
        </is>
      </c>
      <c r="E316" s="11" t="n"/>
      <c r="F316" s="11" t="inlineStr">
        <is>
          <t>浙江精准学科技有限公司</t>
        </is>
      </c>
      <c r="G316" s="11" t="inlineStr">
        <is>
          <t>记-209</t>
        </is>
      </c>
      <c r="H316" s="11" t="n"/>
      <c r="I316" s="88" t="n"/>
      <c r="J316" s="87" t="n">
        <v>6</v>
      </c>
      <c r="K316" s="16" t="n"/>
      <c r="L316" s="88" t="n"/>
      <c r="M316" s="11" t="n"/>
    </row>
    <row r="317" s="83">
      <c r="A317" s="13" t="inlineStr">
        <is>
          <t>101201</t>
        </is>
      </c>
      <c r="B317" s="13" t="n"/>
      <c r="C317" s="13" t="inlineStr">
        <is>
          <t>2025-06-27</t>
        </is>
      </c>
      <c r="D317" s="13" t="inlineStr">
        <is>
          <t>Else01</t>
        </is>
      </c>
      <c r="E317" s="13" t="n"/>
      <c r="F317" s="13" t="inlineStr">
        <is>
          <t>浙江精准学科技有限公司</t>
        </is>
      </c>
      <c r="G317" s="13" t="inlineStr">
        <is>
          <t>记-218</t>
        </is>
      </c>
      <c r="H317" s="13" t="n"/>
      <c r="I317" s="88" t="n">
        <v>6</v>
      </c>
      <c r="J317" s="87" t="n"/>
      <c r="K317" s="19" t="n"/>
      <c r="L317" s="87" t="n"/>
      <c r="M317" s="13" t="n"/>
    </row>
    <row r="318" s="83">
      <c r="A318" s="11" t="inlineStr">
        <is>
          <t>101201</t>
        </is>
      </c>
      <c r="B318" s="11" t="n"/>
      <c r="C318" s="11" t="inlineStr">
        <is>
          <t>2025-06-27</t>
        </is>
      </c>
      <c r="D318" s="11" t="inlineStr">
        <is>
          <t>Else01</t>
        </is>
      </c>
      <c r="E318" s="11" t="n"/>
      <c r="F318" s="11" t="inlineStr">
        <is>
          <t>浙江精准学科技有限公司</t>
        </is>
      </c>
      <c r="G318" s="11" t="inlineStr">
        <is>
          <t>记-219</t>
        </is>
      </c>
      <c r="H318" s="11" t="n"/>
      <c r="I318" s="88" t="n"/>
      <c r="J318" s="87" t="n">
        <v>6</v>
      </c>
      <c r="K318" s="16" t="n"/>
      <c r="L318" s="88" t="n"/>
      <c r="M318" s="11" t="n"/>
    </row>
    <row r="319" s="83">
      <c r="A319" s="13" t="inlineStr">
        <is>
          <t>101201</t>
        </is>
      </c>
      <c r="B319" s="13" t="n"/>
      <c r="C319" s="13" t="inlineStr">
        <is>
          <t>2025-06-28</t>
        </is>
      </c>
      <c r="D319" s="13" t="inlineStr">
        <is>
          <t>Else01</t>
        </is>
      </c>
      <c r="E319" s="13" t="n"/>
      <c r="F319" s="13" t="inlineStr">
        <is>
          <t>浙江精准学科技有限公司</t>
        </is>
      </c>
      <c r="G319" s="13" t="inlineStr">
        <is>
          <t>记-220</t>
        </is>
      </c>
      <c r="H319" s="13" t="n"/>
      <c r="I319" s="88" t="n">
        <v>6</v>
      </c>
      <c r="J319" s="87" t="n"/>
      <c r="K319" s="19" t="n"/>
      <c r="L319" s="87" t="n"/>
      <c r="M319" s="13" t="n"/>
    </row>
    <row r="320" s="83">
      <c r="A320" s="11" t="inlineStr">
        <is>
          <t>101201</t>
        </is>
      </c>
      <c r="B320" s="11" t="n"/>
      <c r="C320" s="11" t="inlineStr">
        <is>
          <t>2025-06-28</t>
        </is>
      </c>
      <c r="D320" s="11" t="inlineStr">
        <is>
          <t>Else01</t>
        </is>
      </c>
      <c r="E320" s="11" t="n"/>
      <c r="F320" s="11" t="inlineStr">
        <is>
          <t>浙江精准学科技有限公司</t>
        </is>
      </c>
      <c r="G320" s="11" t="inlineStr">
        <is>
          <t>记-221</t>
        </is>
      </c>
      <c r="H320" s="11" t="n"/>
      <c r="I320" s="88" t="n"/>
      <c r="J320" s="87" t="n">
        <v>6</v>
      </c>
      <c r="K320" s="16" t="n"/>
      <c r="L320" s="88" t="n"/>
      <c r="M320" s="11" t="n"/>
    </row>
    <row r="321" s="83">
      <c r="A321" s="13" t="inlineStr">
        <is>
          <t>101201</t>
        </is>
      </c>
      <c r="B321" s="13" t="n"/>
      <c r="C321" s="13" t="inlineStr">
        <is>
          <t>2025-06-29</t>
        </is>
      </c>
      <c r="D321" s="13" t="inlineStr">
        <is>
          <t>Else01</t>
        </is>
      </c>
      <c r="E321" s="13" t="n"/>
      <c r="F321" s="13" t="inlineStr">
        <is>
          <t>浙江精准学科技有限公司</t>
        </is>
      </c>
      <c r="G321" s="13" t="inlineStr">
        <is>
          <t>记-222</t>
        </is>
      </c>
      <c r="H321" s="13" t="n"/>
      <c r="I321" s="88" t="n">
        <v>6</v>
      </c>
      <c r="J321" s="87" t="n"/>
      <c r="K321" s="19" t="n"/>
      <c r="L321" s="87" t="n"/>
      <c r="M321" s="13" t="n"/>
    </row>
    <row r="322" s="83">
      <c r="A322" s="11" t="inlineStr">
        <is>
          <t>101201</t>
        </is>
      </c>
      <c r="B322" s="11" t="n"/>
      <c r="C322" s="11" t="inlineStr">
        <is>
          <t>2025-06-29</t>
        </is>
      </c>
      <c r="D322" s="11" t="inlineStr">
        <is>
          <t>Else01</t>
        </is>
      </c>
      <c r="E322" s="11" t="n"/>
      <c r="F322" s="11" t="inlineStr">
        <is>
          <t>浙江精准学科技有限公司</t>
        </is>
      </c>
      <c r="G322" s="11" t="inlineStr">
        <is>
          <t>记-223</t>
        </is>
      </c>
      <c r="H322" s="11" t="n"/>
      <c r="I322" s="88" t="n"/>
      <c r="J322" s="87" t="n">
        <v>6</v>
      </c>
      <c r="K322" s="16" t="n"/>
      <c r="L322" s="88" t="n"/>
      <c r="M322" s="11" t="n"/>
    </row>
    <row r="323" s="83">
      <c r="A323" s="13" t="inlineStr">
        <is>
          <t>101201</t>
        </is>
      </c>
      <c r="B323" s="13" t="n"/>
      <c r="C323" s="13" t="inlineStr">
        <is>
          <t>2025-06-30</t>
        </is>
      </c>
      <c r="D323" s="13" t="inlineStr">
        <is>
          <t>Else01</t>
        </is>
      </c>
      <c r="E323" s="13" t="n"/>
      <c r="F323" s="13" t="inlineStr">
        <is>
          <t>浙江精准学科技有限公司</t>
        </is>
      </c>
      <c r="G323" s="13" t="inlineStr">
        <is>
          <t>记-230</t>
        </is>
      </c>
      <c r="H323" s="13" t="n"/>
      <c r="I323" s="88" t="n">
        <v>6</v>
      </c>
      <c r="J323" s="87" t="n"/>
      <c r="K323" s="19" t="n"/>
      <c r="L323" s="87" t="n"/>
      <c r="M323" s="13" t="n"/>
    </row>
    <row r="324" s="83">
      <c r="A324" s="11" t="inlineStr">
        <is>
          <t>101201</t>
        </is>
      </c>
      <c r="B324" s="11" t="n"/>
      <c r="C324" s="11" t="inlineStr">
        <is>
          <t>2025-06-30</t>
        </is>
      </c>
      <c r="D324" s="11" t="inlineStr">
        <is>
          <t>Else01</t>
        </is>
      </c>
      <c r="E324" s="11" t="n"/>
      <c r="F324" s="11" t="inlineStr">
        <is>
          <t>浙江精准学科技有限公司</t>
        </is>
      </c>
      <c r="G324" s="11" t="inlineStr">
        <is>
          <t>记-231</t>
        </is>
      </c>
      <c r="H324" s="11" t="n"/>
      <c r="I324" s="88" t="n"/>
      <c r="J324" s="87" t="n">
        <v>6</v>
      </c>
      <c r="K324" s="16" t="n"/>
      <c r="L324" s="88" t="n"/>
      <c r="M324" s="11" t="n"/>
    </row>
    <row r="325" s="83">
      <c r="A325" s="13" t="inlineStr">
        <is>
          <t>101201</t>
        </is>
      </c>
      <c r="B325" s="13" t="n"/>
      <c r="C325" s="13" t="inlineStr">
        <is>
          <t>2025-06-30</t>
        </is>
      </c>
      <c r="D325" s="13" t="inlineStr">
        <is>
          <t>Else01</t>
        </is>
      </c>
      <c r="E325" s="13" t="n"/>
      <c r="F325" s="13" t="inlineStr">
        <is>
          <t>浙江精准学科技有限公司</t>
        </is>
      </c>
      <c r="G325" s="13" t="inlineStr">
        <is>
          <t>记-236</t>
        </is>
      </c>
      <c r="H325" s="13" t="n"/>
      <c r="I325" s="88" t="n">
        <v>6</v>
      </c>
      <c r="J325" s="87" t="n"/>
      <c r="K325" s="19" t="n"/>
      <c r="L325" s="87" t="n"/>
      <c r="M325" s="13" t="n"/>
    </row>
    <row r="326" s="83">
      <c r="A326" s="11" t="inlineStr">
        <is>
          <t>101201</t>
        </is>
      </c>
      <c r="B326" s="11" t="n"/>
      <c r="C326" s="11" t="inlineStr">
        <is>
          <t>2025-06-30</t>
        </is>
      </c>
      <c r="D326" s="11" t="inlineStr">
        <is>
          <t>Else01</t>
        </is>
      </c>
      <c r="E326" s="11" t="n"/>
      <c r="F326" s="11" t="inlineStr">
        <is>
          <t>浙江精准学科技有限公司</t>
        </is>
      </c>
      <c r="G326" s="11" t="inlineStr">
        <is>
          <t>记-237</t>
        </is>
      </c>
      <c r="H326" s="11" t="n"/>
      <c r="I326" s="88" t="n"/>
      <c r="J326" s="87" t="n">
        <v>6</v>
      </c>
      <c r="K326" s="16" t="n"/>
      <c r="L326" s="88" t="n"/>
      <c r="M326" s="11" t="n"/>
    </row>
    <row r="327" s="83">
      <c r="A327" s="11" t="inlineStr">
        <is>
          <t>101201</t>
        </is>
      </c>
      <c r="B327" s="11" t="n"/>
      <c r="C327" s="11" t="inlineStr">
        <is>
          <t>2025-06-30</t>
        </is>
      </c>
      <c r="D327" s="11" t="inlineStr">
        <is>
          <t>Q0101</t>
        </is>
      </c>
      <c r="E327" s="11" t="n"/>
      <c r="F327" s="11" t="inlineStr">
        <is>
          <t>浙江精准学科技有限公司</t>
        </is>
      </c>
      <c r="G327" s="11" t="inlineStr">
        <is>
          <t>记-238</t>
        </is>
      </c>
      <c r="H327" s="11" t="n"/>
      <c r="I327" s="88" t="n">
        <v>6</v>
      </c>
      <c r="J327" s="88" t="n"/>
      <c r="K327" s="16" t="n"/>
      <c r="L327" s="88" t="n"/>
      <c r="M327" s="11" t="n"/>
    </row>
    <row r="328" s="83">
      <c r="A328" s="11" t="inlineStr">
        <is>
          <t>101201</t>
        </is>
      </c>
      <c r="B328" s="11" t="n"/>
      <c r="C328" s="11" t="inlineStr">
        <is>
          <t>2025-06-30</t>
        </is>
      </c>
      <c r="D328" s="11" t="inlineStr">
        <is>
          <t>Q0103</t>
        </is>
      </c>
      <c r="E328" s="11" t="n"/>
      <c r="F328" s="11" t="inlineStr">
        <is>
          <t>浙江精准学科技有限公司</t>
        </is>
      </c>
      <c r="G328" s="11" t="inlineStr">
        <is>
          <t>记-238</t>
        </is>
      </c>
      <c r="H328" s="11" t="n"/>
      <c r="I328" s="88" t="n">
        <v>6</v>
      </c>
      <c r="J328" s="88" t="n"/>
      <c r="K328" s="16" t="n"/>
      <c r="L328" s="88" t="n"/>
      <c r="M328" s="11" t="n"/>
    </row>
    <row r="329" s="83">
      <c r="A329" s="11" t="inlineStr">
        <is>
          <t>101201</t>
        </is>
      </c>
      <c r="B329" s="11" t="n"/>
      <c r="C329" s="11" t="inlineStr">
        <is>
          <t>2025-06-30</t>
        </is>
      </c>
      <c r="D329" s="11" t="inlineStr">
        <is>
          <t>Q0201</t>
        </is>
      </c>
      <c r="E329" s="11" t="n"/>
      <c r="F329" s="11" t="inlineStr">
        <is>
          <t>浙江精准学科技有限公司</t>
        </is>
      </c>
      <c r="G329" s="11" t="inlineStr">
        <is>
          <t>记-238</t>
        </is>
      </c>
      <c r="H329" s="11" t="n"/>
      <c r="I329" s="88" t="n">
        <v>6</v>
      </c>
      <c r="J329" s="88" t="n"/>
      <c r="K329" s="16" t="n"/>
      <c r="L329" s="88" t="n"/>
      <c r="M329" s="11" t="n"/>
    </row>
    <row r="330" s="83">
      <c r="A330" s="11" t="inlineStr">
        <is>
          <t>101201</t>
        </is>
      </c>
      <c r="B330" s="11" t="n"/>
      <c r="C330" s="11" t="inlineStr">
        <is>
          <t>2025-06-30</t>
        </is>
      </c>
      <c r="D330" s="11" t="inlineStr">
        <is>
          <t>Q0302</t>
        </is>
      </c>
      <c r="E330" s="11" t="n"/>
      <c r="F330" s="11" t="inlineStr">
        <is>
          <t>浙江精准学科技有限公司</t>
        </is>
      </c>
      <c r="G330" s="11" t="inlineStr">
        <is>
          <t>记-238</t>
        </is>
      </c>
      <c r="H330" s="11" t="n"/>
      <c r="I330" s="88" t="n">
        <v>6</v>
      </c>
      <c r="J330" s="88" t="n"/>
      <c r="K330" s="16" t="n"/>
      <c r="L330" s="88" t="n"/>
      <c r="M330" s="11" t="n"/>
    </row>
    <row r="331" s="83">
      <c r="A331" s="13" t="inlineStr">
        <is>
          <t>101201</t>
        </is>
      </c>
      <c r="B331" s="13" t="n"/>
      <c r="C331" s="13" t="inlineStr">
        <is>
          <t>2025-06-01</t>
        </is>
      </c>
      <c r="D331" s="13" t="inlineStr">
        <is>
          <t>Q0401</t>
        </is>
      </c>
      <c r="E331" s="13" t="n"/>
      <c r="F331" s="13" t="inlineStr">
        <is>
          <t>浙江精准学科技有限公司</t>
        </is>
      </c>
      <c r="G331" s="13" t="inlineStr">
        <is>
          <t>记-1</t>
        </is>
      </c>
      <c r="H331" s="13" t="n"/>
      <c r="I331" s="87" t="n"/>
      <c r="J331" s="87" t="n">
        <v>6</v>
      </c>
      <c r="K331" s="19" t="n"/>
      <c r="L331" s="87" t="n"/>
      <c r="M331" s="13" t="n"/>
    </row>
    <row r="332" s="83">
      <c r="A332" s="11" t="inlineStr">
        <is>
          <t>101201</t>
        </is>
      </c>
      <c r="B332" s="11" t="n"/>
      <c r="C332" s="11" t="inlineStr">
        <is>
          <t>2025-06-04</t>
        </is>
      </c>
      <c r="D332" s="11" t="inlineStr">
        <is>
          <t>Q0401</t>
        </is>
      </c>
      <c r="E332" s="11" t="n"/>
      <c r="F332" s="11" t="inlineStr">
        <is>
          <t>浙江精准学科技有限公司</t>
        </is>
      </c>
      <c r="G332" s="11" t="inlineStr">
        <is>
          <t>记-16</t>
        </is>
      </c>
      <c r="H332" s="11" t="n"/>
      <c r="I332" s="88" t="n"/>
      <c r="J332" s="87" t="n">
        <v>6</v>
      </c>
      <c r="K332" s="16" t="n"/>
      <c r="L332" s="88" t="n"/>
      <c r="M332" s="11" t="n"/>
    </row>
    <row r="333" s="83">
      <c r="A333" s="13" t="inlineStr">
        <is>
          <t>101201</t>
        </is>
      </c>
      <c r="B333" s="13" t="n"/>
      <c r="C333" s="13" t="inlineStr">
        <is>
          <t>2025-06-08</t>
        </is>
      </c>
      <c r="D333" s="13" t="inlineStr">
        <is>
          <t>Q0401</t>
        </is>
      </c>
      <c r="E333" s="13" t="n"/>
      <c r="F333" s="13" t="inlineStr">
        <is>
          <t>浙江精准学科技有限公司</t>
        </is>
      </c>
      <c r="G333" s="13" t="inlineStr">
        <is>
          <t>记-44</t>
        </is>
      </c>
      <c r="H333" s="13" t="n"/>
      <c r="I333" s="87" t="n"/>
      <c r="J333" s="87" t="n">
        <v>6</v>
      </c>
      <c r="K333" s="19" t="n"/>
      <c r="L333" s="87" t="n"/>
      <c r="M333" s="13" t="n"/>
    </row>
    <row r="334" s="83">
      <c r="A334" s="11" t="inlineStr">
        <is>
          <t>101201</t>
        </is>
      </c>
      <c r="B334" s="11" t="n"/>
      <c r="C334" s="11" t="inlineStr">
        <is>
          <t>2025-06-11</t>
        </is>
      </c>
      <c r="D334" s="11" t="inlineStr">
        <is>
          <t>Q0401</t>
        </is>
      </c>
      <c r="E334" s="11" t="n"/>
      <c r="F334" s="11" t="inlineStr">
        <is>
          <t>浙江精准学科技有限公司</t>
        </is>
      </c>
      <c r="G334" s="11" t="inlineStr">
        <is>
          <t>记-59</t>
        </is>
      </c>
      <c r="H334" s="11" t="n"/>
      <c r="I334" s="88" t="n"/>
      <c r="J334" s="87" t="n">
        <v>6</v>
      </c>
      <c r="K334" s="16" t="n"/>
      <c r="L334" s="88" t="n"/>
      <c r="M334" s="11" t="n"/>
    </row>
    <row r="335" s="83">
      <c r="A335" s="13" t="inlineStr">
        <is>
          <t>101201</t>
        </is>
      </c>
      <c r="B335" s="13" t="n"/>
      <c r="C335" s="13" t="inlineStr">
        <is>
          <t>2025-06-15</t>
        </is>
      </c>
      <c r="D335" s="13" t="inlineStr">
        <is>
          <t>Q0401</t>
        </is>
      </c>
      <c r="E335" s="13" t="n"/>
      <c r="F335" s="13" t="inlineStr">
        <is>
          <t>浙江精准学科技有限公司</t>
        </is>
      </c>
      <c r="G335" s="13" t="inlineStr">
        <is>
          <t>记-108</t>
        </is>
      </c>
      <c r="H335" s="13" t="n"/>
      <c r="I335" s="87" t="n"/>
      <c r="J335" s="87" t="n">
        <v>6</v>
      </c>
      <c r="K335" s="19" t="n"/>
      <c r="L335" s="87" t="n"/>
      <c r="M335" s="13" t="n"/>
    </row>
    <row r="336" s="83">
      <c r="A336" s="11" t="inlineStr">
        <is>
          <t>101201</t>
        </is>
      </c>
      <c r="B336" s="11" t="n"/>
      <c r="C336" s="11" t="inlineStr">
        <is>
          <t>2025-06-18</t>
        </is>
      </c>
      <c r="D336" s="11" t="inlineStr">
        <is>
          <t>Q0401</t>
        </is>
      </c>
      <c r="E336" s="11" t="n"/>
      <c r="F336" s="11" t="inlineStr">
        <is>
          <t>浙江精准学科技有限公司</t>
        </is>
      </c>
      <c r="G336" s="11" t="inlineStr">
        <is>
          <t>记-138</t>
        </is>
      </c>
      <c r="H336" s="11" t="n"/>
      <c r="I336" s="88" t="n"/>
      <c r="J336" s="87" t="n">
        <v>6</v>
      </c>
      <c r="K336" s="16" t="n"/>
      <c r="L336" s="88" t="n"/>
      <c r="M336" s="11" t="n"/>
    </row>
    <row r="337" s="83">
      <c r="A337" s="13" t="inlineStr">
        <is>
          <t>101201</t>
        </is>
      </c>
      <c r="B337" s="13" t="n"/>
      <c r="C337" s="13" t="inlineStr">
        <is>
          <t>2025-06-22</t>
        </is>
      </c>
      <c r="D337" s="13" t="inlineStr">
        <is>
          <t>Q0401</t>
        </is>
      </c>
      <c r="E337" s="13" t="n"/>
      <c r="F337" s="13" t="inlineStr">
        <is>
          <t>浙江精准学科技有限公司</t>
        </is>
      </c>
      <c r="G337" s="13" t="inlineStr">
        <is>
          <t>记-171</t>
        </is>
      </c>
      <c r="H337" s="13" t="n"/>
      <c r="I337" s="87" t="n"/>
      <c r="J337" s="87" t="n">
        <v>6</v>
      </c>
      <c r="K337" s="19" t="n"/>
      <c r="L337" s="87" t="n"/>
      <c r="M337" s="13" t="n"/>
    </row>
    <row r="338" s="83">
      <c r="A338" s="11" t="inlineStr">
        <is>
          <t>101201</t>
        </is>
      </c>
      <c r="B338" s="11" t="n"/>
      <c r="C338" s="11" t="inlineStr">
        <is>
          <t>2025-06-25</t>
        </is>
      </c>
      <c r="D338" s="11" t="inlineStr">
        <is>
          <t>Q0401</t>
        </is>
      </c>
      <c r="E338" s="11" t="n"/>
      <c r="F338" s="11" t="inlineStr">
        <is>
          <t>浙江精准学科技有限公司</t>
        </is>
      </c>
      <c r="G338" s="11" t="inlineStr">
        <is>
          <t>记-194</t>
        </is>
      </c>
      <c r="H338" s="11" t="n"/>
      <c r="I338" s="88" t="n"/>
      <c r="J338" s="87" t="n">
        <v>6</v>
      </c>
      <c r="K338" s="16" t="n"/>
      <c r="L338" s="88" t="n"/>
      <c r="M338" s="11" t="n"/>
    </row>
    <row r="339" s="83">
      <c r="A339" s="13" t="inlineStr">
        <is>
          <t>101201</t>
        </is>
      </c>
      <c r="B339" s="13" t="n"/>
      <c r="C339" s="13" t="inlineStr">
        <is>
          <t>2025-06-29</t>
        </is>
      </c>
      <c r="D339" s="13" t="inlineStr">
        <is>
          <t>Q0401</t>
        </is>
      </c>
      <c r="E339" s="13" t="n"/>
      <c r="F339" s="13" t="inlineStr">
        <is>
          <t>浙江精准学科技有限公司</t>
        </is>
      </c>
      <c r="G339" s="13" t="inlineStr">
        <is>
          <t>记-224</t>
        </is>
      </c>
      <c r="H339" s="13" t="n"/>
      <c r="I339" s="87" t="n"/>
      <c r="J339" s="87" t="n">
        <v>6</v>
      </c>
      <c r="K339" s="19" t="n"/>
      <c r="L339" s="87" t="n"/>
      <c r="M339" s="13" t="n"/>
    </row>
    <row r="340" s="83">
      <c r="A340" s="13" t="inlineStr">
        <is>
          <t>101201</t>
        </is>
      </c>
      <c r="B340" s="13" t="n"/>
      <c r="C340" s="13" t="inlineStr">
        <is>
          <t>2025-06-30</t>
        </is>
      </c>
      <c r="D340" s="13" t="inlineStr">
        <is>
          <t>Q0402</t>
        </is>
      </c>
      <c r="E340" s="13" t="n"/>
      <c r="F340" s="13" t="inlineStr">
        <is>
          <t>浙江精准学科技有限公司</t>
        </is>
      </c>
      <c r="G340" s="13" t="inlineStr">
        <is>
          <t>记-233</t>
        </is>
      </c>
      <c r="H340" s="13" t="n"/>
      <c r="I340" s="88" t="n">
        <v>6</v>
      </c>
      <c r="J340" s="87" t="n"/>
      <c r="K340" s="19" t="n"/>
      <c r="L340" s="87" t="n"/>
      <c r="M340" s="13" t="n"/>
    </row>
    <row r="341" s="83">
      <c r="A341" s="11" t="inlineStr">
        <is>
          <t>101201</t>
        </is>
      </c>
      <c r="B341" s="11" t="n"/>
      <c r="C341" s="11" t="inlineStr">
        <is>
          <t>2025-06-30</t>
        </is>
      </c>
      <c r="D341" s="11" t="inlineStr">
        <is>
          <t>Q2201</t>
        </is>
      </c>
      <c r="E341" s="11" t="n"/>
      <c r="F341" s="11" t="inlineStr">
        <is>
          <t>浙江精准学科技有限公司</t>
        </is>
      </c>
      <c r="G341" s="11" t="inlineStr">
        <is>
          <t>记-238</t>
        </is>
      </c>
      <c r="H341" s="11" t="n"/>
      <c r="I341" s="88" t="n"/>
      <c r="J341" s="87" t="n">
        <v>6</v>
      </c>
      <c r="K341" s="16" t="n"/>
      <c r="L341" s="88" t="n"/>
      <c r="M341" s="11" t="n"/>
    </row>
    <row r="342" s="83">
      <c r="A342" s="13" t="inlineStr">
        <is>
          <t>101201</t>
        </is>
      </c>
      <c r="B342" s="13" t="n"/>
      <c r="C342" s="13" t="inlineStr">
        <is>
          <t>2025-06-30</t>
        </is>
      </c>
      <c r="D342" s="13" t="inlineStr">
        <is>
          <t>Q2204</t>
        </is>
      </c>
      <c r="E342" s="13" t="n"/>
      <c r="F342" s="13" t="inlineStr">
        <is>
          <t>浙江精准学科技有限公司</t>
        </is>
      </c>
      <c r="G342" s="13" t="inlineStr">
        <is>
          <t>记-238</t>
        </is>
      </c>
      <c r="H342" s="13" t="n"/>
      <c r="I342" s="87" t="n"/>
      <c r="J342" s="87" t="n">
        <v>6</v>
      </c>
      <c r="K342" s="19" t="n"/>
      <c r="L342" s="87" t="n"/>
      <c r="M342" s="13" t="n"/>
    </row>
    <row r="343" s="83">
      <c r="A343" s="13" t="inlineStr">
        <is>
          <t>101201</t>
        </is>
      </c>
      <c r="B343" s="13" t="n"/>
      <c r="C343" s="13" t="inlineStr">
        <is>
          <t>2025-06-30</t>
        </is>
      </c>
      <c r="D343" s="13" t="inlineStr">
        <is>
          <t>Q2207</t>
        </is>
      </c>
      <c r="E343" s="13" t="n"/>
      <c r="F343" s="13" t="inlineStr">
        <is>
          <t>浙江精准学科技有限公司</t>
        </is>
      </c>
      <c r="G343" s="13" t="inlineStr">
        <is>
          <t>记-238</t>
        </is>
      </c>
      <c r="H343" s="13" t="n"/>
      <c r="I343" s="87" t="n"/>
      <c r="J343" s="87" t="n">
        <v>6</v>
      </c>
      <c r="K343" s="19" t="n"/>
      <c r="L343" s="87" t="n"/>
      <c r="M343" s="13" t="n"/>
    </row>
    <row r="344" s="83">
      <c r="A344" s="13" t="inlineStr">
        <is>
          <t>101201</t>
        </is>
      </c>
      <c r="B344" s="13" t="n"/>
      <c r="C344" s="13" t="inlineStr">
        <is>
          <t>2025-06-30</t>
        </is>
      </c>
      <c r="D344" s="13" t="inlineStr">
        <is>
          <t>Q2208</t>
        </is>
      </c>
      <c r="E344" s="13" t="n"/>
      <c r="F344" s="13" t="inlineStr">
        <is>
          <t>浙江精准学科技有限公司</t>
        </is>
      </c>
      <c r="G344" s="13" t="inlineStr">
        <is>
          <t>记-238</t>
        </is>
      </c>
      <c r="H344" s="13" t="n"/>
      <c r="I344" s="87" t="n"/>
      <c r="J344" s="87" t="n">
        <v>6</v>
      </c>
      <c r="K344" s="19" t="n"/>
      <c r="L344" s="87" t="n"/>
      <c r="M344" s="13" t="n"/>
    </row>
    <row r="345" s="83">
      <c r="A345" s="13" t="inlineStr">
        <is>
          <t>101201</t>
        </is>
      </c>
      <c r="B345" s="13" t="n"/>
      <c r="C345" s="13" t="inlineStr">
        <is>
          <t>2025-06-30</t>
        </is>
      </c>
      <c r="D345" s="13" t="inlineStr">
        <is>
          <t>Q2209</t>
        </is>
      </c>
      <c r="E345" s="13" t="n"/>
      <c r="F345" s="13" t="inlineStr">
        <is>
          <t>浙江精准学科技有限公司</t>
        </is>
      </c>
      <c r="G345" s="13" t="inlineStr">
        <is>
          <t>记-238</t>
        </is>
      </c>
      <c r="H345" s="13" t="n"/>
      <c r="I345" s="87" t="n"/>
      <c r="J345" s="87" t="n">
        <v>6</v>
      </c>
      <c r="K345" s="19" t="n"/>
      <c r="L345" s="87" t="n"/>
      <c r="M345" s="13" t="n"/>
    </row>
    <row r="346" s="83">
      <c r="A346" s="11" t="inlineStr">
        <is>
          <t>101203</t>
        </is>
      </c>
      <c r="B346" s="11" t="n"/>
      <c r="C346" s="11" t="inlineStr">
        <is>
          <t>2025-06-01</t>
        </is>
      </c>
      <c r="D346" s="11" t="inlineStr">
        <is>
          <t>Else01</t>
        </is>
      </c>
      <c r="E346" s="11" t="n"/>
      <c r="F346" s="11" t="inlineStr">
        <is>
          <t>浙江精准学科技有限公司</t>
        </is>
      </c>
      <c r="G346" s="11" t="inlineStr">
        <is>
          <t>记-2</t>
        </is>
      </c>
      <c r="H346" s="11" t="n"/>
      <c r="I346" s="88" t="n">
        <v>6</v>
      </c>
      <c r="J346" s="88" t="n"/>
      <c r="K346" s="16" t="n"/>
      <c r="L346" s="88" t="n"/>
      <c r="M346" s="11" t="n"/>
    </row>
    <row r="347" s="83">
      <c r="A347" s="13" t="inlineStr">
        <is>
          <t>101203</t>
        </is>
      </c>
      <c r="B347" s="13" t="n"/>
      <c r="C347" s="13" t="inlineStr">
        <is>
          <t>2025-06-01</t>
        </is>
      </c>
      <c r="D347" s="13" t="inlineStr">
        <is>
          <t>Else01</t>
        </is>
      </c>
      <c r="E347" s="13" t="n"/>
      <c r="F347" s="13" t="inlineStr">
        <is>
          <t>浙江精准学科技有限公司</t>
        </is>
      </c>
      <c r="G347" s="13" t="inlineStr">
        <is>
          <t>记-2</t>
        </is>
      </c>
      <c r="H347" s="13" t="n"/>
      <c r="I347" s="88" t="n">
        <v>6</v>
      </c>
      <c r="J347" s="87" t="n"/>
      <c r="K347" s="19" t="n"/>
      <c r="L347" s="87" t="n"/>
      <c r="M347" s="13" t="n"/>
    </row>
    <row r="348" s="83">
      <c r="A348" s="11" t="inlineStr">
        <is>
          <t>101203</t>
        </is>
      </c>
      <c r="B348" s="11" t="n"/>
      <c r="C348" s="11" t="inlineStr">
        <is>
          <t>2025-06-01</t>
        </is>
      </c>
      <c r="D348" s="11" t="inlineStr">
        <is>
          <t>Else01</t>
        </is>
      </c>
      <c r="E348" s="11" t="n"/>
      <c r="F348" s="11" t="inlineStr">
        <is>
          <t>浙江精准学科技有限公司</t>
        </is>
      </c>
      <c r="G348" s="11" t="inlineStr">
        <is>
          <t>记-3</t>
        </is>
      </c>
      <c r="H348" s="11" t="n"/>
      <c r="I348" s="88" t="n"/>
      <c r="J348" s="87" t="n">
        <v>6</v>
      </c>
      <c r="K348" s="16" t="n"/>
      <c r="L348" s="88" t="n"/>
      <c r="M348" s="11" t="n"/>
    </row>
    <row r="349" s="83">
      <c r="A349" s="13" t="inlineStr">
        <is>
          <t>101203</t>
        </is>
      </c>
      <c r="B349" s="13" t="n"/>
      <c r="C349" s="13" t="inlineStr">
        <is>
          <t>2025-06-01</t>
        </is>
      </c>
      <c r="D349" s="13" t="inlineStr">
        <is>
          <t>Else01</t>
        </is>
      </c>
      <c r="E349" s="13" t="n"/>
      <c r="F349" s="13" t="inlineStr">
        <is>
          <t>浙江精准学科技有限公司</t>
        </is>
      </c>
      <c r="G349" s="13" t="inlineStr">
        <is>
          <t>记-3</t>
        </is>
      </c>
      <c r="H349" s="13" t="n"/>
      <c r="I349" s="87" t="n"/>
      <c r="J349" s="87" t="n">
        <v>6</v>
      </c>
      <c r="K349" s="19" t="n"/>
      <c r="L349" s="87" t="n"/>
      <c r="M349" s="13" t="n"/>
    </row>
    <row r="350" s="83">
      <c r="A350" s="11" t="inlineStr">
        <is>
          <t>101203</t>
        </is>
      </c>
      <c r="B350" s="11" t="n"/>
      <c r="C350" s="11" t="inlineStr">
        <is>
          <t>2025-06-02</t>
        </is>
      </c>
      <c r="D350" s="11" t="inlineStr">
        <is>
          <t>Else01</t>
        </is>
      </c>
      <c r="E350" s="11" t="n"/>
      <c r="F350" s="11" t="inlineStr">
        <is>
          <t>浙江精准学科技有限公司</t>
        </is>
      </c>
      <c r="G350" s="11" t="inlineStr">
        <is>
          <t>记-4</t>
        </is>
      </c>
      <c r="H350" s="11" t="n"/>
      <c r="I350" s="88" t="n">
        <v>6</v>
      </c>
      <c r="J350" s="88" t="n"/>
      <c r="K350" s="16" t="n"/>
      <c r="L350" s="88" t="n"/>
      <c r="M350" s="11" t="n"/>
    </row>
    <row r="351" s="83">
      <c r="A351" s="13" t="inlineStr">
        <is>
          <t>101203</t>
        </is>
      </c>
      <c r="B351" s="13" t="n"/>
      <c r="C351" s="13" t="inlineStr">
        <is>
          <t>2025-06-02</t>
        </is>
      </c>
      <c r="D351" s="13" t="inlineStr">
        <is>
          <t>Else01</t>
        </is>
      </c>
      <c r="E351" s="13" t="n"/>
      <c r="F351" s="13" t="inlineStr">
        <is>
          <t>浙江精准学科技有限公司</t>
        </is>
      </c>
      <c r="G351" s="13" t="inlineStr">
        <is>
          <t>记-4</t>
        </is>
      </c>
      <c r="H351" s="13" t="n"/>
      <c r="I351" s="88" t="n">
        <v>6</v>
      </c>
      <c r="J351" s="87" t="n"/>
      <c r="K351" s="19" t="n"/>
      <c r="L351" s="87" t="n"/>
      <c r="M351" s="13" t="n"/>
    </row>
    <row r="352" s="83">
      <c r="A352" s="11" t="inlineStr">
        <is>
          <t>101203</t>
        </is>
      </c>
      <c r="B352" s="11" t="n"/>
      <c r="C352" s="11" t="inlineStr">
        <is>
          <t>2025-06-02</t>
        </is>
      </c>
      <c r="D352" s="11" t="inlineStr">
        <is>
          <t>Else01</t>
        </is>
      </c>
      <c r="E352" s="11" t="n"/>
      <c r="F352" s="11" t="inlineStr">
        <is>
          <t>浙江精准学科技有限公司</t>
        </is>
      </c>
      <c r="G352" s="11" t="inlineStr">
        <is>
          <t>记-5</t>
        </is>
      </c>
      <c r="H352" s="11" t="n"/>
      <c r="I352" s="88" t="n"/>
      <c r="J352" s="87" t="n">
        <v>6</v>
      </c>
      <c r="K352" s="16" t="n"/>
      <c r="L352" s="88" t="n"/>
      <c r="M352" s="11" t="n"/>
    </row>
    <row r="353" s="83">
      <c r="A353" s="13" t="inlineStr">
        <is>
          <t>101203</t>
        </is>
      </c>
      <c r="B353" s="13" t="n"/>
      <c r="C353" s="13" t="inlineStr">
        <is>
          <t>2025-06-02</t>
        </is>
      </c>
      <c r="D353" s="13" t="inlineStr">
        <is>
          <t>Else01</t>
        </is>
      </c>
      <c r="E353" s="13" t="n"/>
      <c r="F353" s="13" t="inlineStr">
        <is>
          <t>浙江精准学科技有限公司</t>
        </is>
      </c>
      <c r="G353" s="13" t="inlineStr">
        <is>
          <t>记-5</t>
        </is>
      </c>
      <c r="H353" s="13" t="n"/>
      <c r="I353" s="87" t="n"/>
      <c r="J353" s="87" t="n">
        <v>6</v>
      </c>
      <c r="K353" s="19" t="n"/>
      <c r="L353" s="87" t="n"/>
      <c r="M353" s="13" t="n"/>
    </row>
    <row r="354" s="83">
      <c r="A354" s="11" t="inlineStr">
        <is>
          <t>101203</t>
        </is>
      </c>
      <c r="B354" s="11" t="n"/>
      <c r="C354" s="11" t="inlineStr">
        <is>
          <t>2025-06-03</t>
        </is>
      </c>
      <c r="D354" s="11" t="inlineStr">
        <is>
          <t>Else01</t>
        </is>
      </c>
      <c r="E354" s="11" t="n"/>
      <c r="F354" s="11" t="inlineStr">
        <is>
          <t>浙江精准学科技有限公司</t>
        </is>
      </c>
      <c r="G354" s="11" t="inlineStr">
        <is>
          <t>记-14</t>
        </is>
      </c>
      <c r="H354" s="11" t="n"/>
      <c r="I354" s="88" t="n">
        <v>6</v>
      </c>
      <c r="J354" s="88" t="n"/>
      <c r="K354" s="16" t="n"/>
      <c r="L354" s="88" t="n"/>
      <c r="M354" s="11" t="n"/>
    </row>
    <row r="355" s="83">
      <c r="A355" s="13" t="inlineStr">
        <is>
          <t>101203</t>
        </is>
      </c>
      <c r="B355" s="13" t="n"/>
      <c r="C355" s="13" t="inlineStr">
        <is>
          <t>2025-06-03</t>
        </is>
      </c>
      <c r="D355" s="13" t="inlineStr">
        <is>
          <t>Else01</t>
        </is>
      </c>
      <c r="E355" s="13" t="n"/>
      <c r="F355" s="13" t="inlineStr">
        <is>
          <t>浙江精准学科技有限公司</t>
        </is>
      </c>
      <c r="G355" s="13" t="inlineStr">
        <is>
          <t>记-14</t>
        </is>
      </c>
      <c r="H355" s="13" t="n"/>
      <c r="I355" s="88" t="n">
        <v>6</v>
      </c>
      <c r="J355" s="87" t="n"/>
      <c r="K355" s="19" t="n"/>
      <c r="L355" s="87" t="n"/>
      <c r="M355" s="13" t="n"/>
    </row>
    <row r="356" s="83">
      <c r="A356" s="11" t="inlineStr">
        <is>
          <t>101203</t>
        </is>
      </c>
      <c r="B356" s="11" t="n"/>
      <c r="C356" s="11" t="inlineStr">
        <is>
          <t>2025-06-03</t>
        </is>
      </c>
      <c r="D356" s="11" t="inlineStr">
        <is>
          <t>Else01</t>
        </is>
      </c>
      <c r="E356" s="11" t="n"/>
      <c r="F356" s="11" t="inlineStr">
        <is>
          <t>浙江精准学科技有限公司</t>
        </is>
      </c>
      <c r="G356" s="11" t="inlineStr">
        <is>
          <t>记-15</t>
        </is>
      </c>
      <c r="H356" s="11" t="n"/>
      <c r="I356" s="88" t="n"/>
      <c r="J356" s="87" t="n">
        <v>6</v>
      </c>
      <c r="K356" s="16" t="n"/>
      <c r="L356" s="88" t="n"/>
      <c r="M356" s="11" t="n"/>
    </row>
    <row r="357" s="83">
      <c r="A357" s="13" t="inlineStr">
        <is>
          <t>101203</t>
        </is>
      </c>
      <c r="B357" s="13" t="n"/>
      <c r="C357" s="13" t="inlineStr">
        <is>
          <t>2025-06-03</t>
        </is>
      </c>
      <c r="D357" s="13" t="inlineStr">
        <is>
          <t>Else01</t>
        </is>
      </c>
      <c r="E357" s="13" t="n"/>
      <c r="F357" s="13" t="inlineStr">
        <is>
          <t>浙江精准学科技有限公司</t>
        </is>
      </c>
      <c r="G357" s="13" t="inlineStr">
        <is>
          <t>记-15</t>
        </is>
      </c>
      <c r="H357" s="13" t="n"/>
      <c r="I357" s="87" t="n"/>
      <c r="J357" s="87" t="n">
        <v>6</v>
      </c>
      <c r="K357" s="19" t="n"/>
      <c r="L357" s="87" t="n"/>
      <c r="M357" s="13" t="n"/>
    </row>
    <row r="358" s="83">
      <c r="A358" s="11" t="inlineStr">
        <is>
          <t>101203</t>
        </is>
      </c>
      <c r="B358" s="11" t="n"/>
      <c r="C358" s="11" t="inlineStr">
        <is>
          <t>2025-06-04</t>
        </is>
      </c>
      <c r="D358" s="11" t="inlineStr">
        <is>
          <t>Else01</t>
        </is>
      </c>
      <c r="E358" s="11" t="n"/>
      <c r="F358" s="11" t="inlineStr">
        <is>
          <t>浙江精准学科技有限公司</t>
        </is>
      </c>
      <c r="G358" s="11" t="inlineStr">
        <is>
          <t>记-28</t>
        </is>
      </c>
      <c r="H358" s="11" t="n"/>
      <c r="I358" s="88" t="n">
        <v>6</v>
      </c>
      <c r="J358" s="88" t="n"/>
      <c r="K358" s="16" t="n"/>
      <c r="L358" s="88" t="n"/>
      <c r="M358" s="11" t="n"/>
    </row>
    <row r="359" s="83">
      <c r="A359" s="13" t="inlineStr">
        <is>
          <t>101203</t>
        </is>
      </c>
      <c r="B359" s="13" t="n"/>
      <c r="C359" s="13" t="inlineStr">
        <is>
          <t>2025-06-04</t>
        </is>
      </c>
      <c r="D359" s="13" t="inlineStr">
        <is>
          <t>Else01</t>
        </is>
      </c>
      <c r="E359" s="13" t="n"/>
      <c r="F359" s="13" t="inlineStr">
        <is>
          <t>浙江精准学科技有限公司</t>
        </is>
      </c>
      <c r="G359" s="13" t="inlineStr">
        <is>
          <t>记-28</t>
        </is>
      </c>
      <c r="H359" s="13" t="n"/>
      <c r="I359" s="88" t="n">
        <v>6</v>
      </c>
      <c r="J359" s="87" t="n"/>
      <c r="K359" s="19" t="n"/>
      <c r="L359" s="87" t="n"/>
      <c r="M359" s="13" t="n"/>
    </row>
    <row r="360" s="83">
      <c r="A360" s="11" t="inlineStr">
        <is>
          <t>101203</t>
        </is>
      </c>
      <c r="B360" s="11" t="n"/>
      <c r="C360" s="11" t="inlineStr">
        <is>
          <t>2025-06-04</t>
        </is>
      </c>
      <c r="D360" s="11" t="inlineStr">
        <is>
          <t>Else01</t>
        </is>
      </c>
      <c r="E360" s="11" t="n"/>
      <c r="F360" s="11" t="inlineStr">
        <is>
          <t>浙江精准学科技有限公司</t>
        </is>
      </c>
      <c r="G360" s="11" t="inlineStr">
        <is>
          <t>记-29</t>
        </is>
      </c>
      <c r="H360" s="11" t="n"/>
      <c r="I360" s="88" t="n"/>
      <c r="J360" s="87" t="n">
        <v>6</v>
      </c>
      <c r="K360" s="16" t="n"/>
      <c r="L360" s="88" t="n"/>
      <c r="M360" s="11" t="n"/>
    </row>
    <row r="361" s="83">
      <c r="A361" s="13" t="inlineStr">
        <is>
          <t>101203</t>
        </is>
      </c>
      <c r="B361" s="13" t="n"/>
      <c r="C361" s="13" t="inlineStr">
        <is>
          <t>2025-06-04</t>
        </is>
      </c>
      <c r="D361" s="13" t="inlineStr">
        <is>
          <t>Else01</t>
        </is>
      </c>
      <c r="E361" s="13" t="n"/>
      <c r="F361" s="13" t="inlineStr">
        <is>
          <t>浙江精准学科技有限公司</t>
        </is>
      </c>
      <c r="G361" s="13" t="inlineStr">
        <is>
          <t>记-29</t>
        </is>
      </c>
      <c r="H361" s="13" t="n"/>
      <c r="I361" s="87" t="n"/>
      <c r="J361" s="87" t="n">
        <v>6</v>
      </c>
      <c r="K361" s="19" t="n"/>
      <c r="L361" s="87" t="n"/>
      <c r="M361" s="13" t="n"/>
    </row>
    <row r="362" s="83">
      <c r="A362" s="11" t="inlineStr">
        <is>
          <t>101203</t>
        </is>
      </c>
      <c r="B362" s="11" t="n"/>
      <c r="C362" s="11" t="inlineStr">
        <is>
          <t>2025-06-05</t>
        </is>
      </c>
      <c r="D362" s="11" t="inlineStr">
        <is>
          <t>Else01</t>
        </is>
      </c>
      <c r="E362" s="11" t="n"/>
      <c r="F362" s="11" t="inlineStr">
        <is>
          <t>浙江精准学科技有限公司</t>
        </is>
      </c>
      <c r="G362" s="11" t="inlineStr">
        <is>
          <t>记-35</t>
        </is>
      </c>
      <c r="H362" s="11" t="n"/>
      <c r="I362" s="88" t="n">
        <v>6</v>
      </c>
      <c r="J362" s="88" t="n"/>
      <c r="K362" s="16" t="n"/>
      <c r="L362" s="88" t="n"/>
      <c r="M362" s="11" t="n"/>
    </row>
    <row r="363" s="83">
      <c r="A363" s="13" t="inlineStr">
        <is>
          <t>101203</t>
        </is>
      </c>
      <c r="B363" s="13" t="n"/>
      <c r="C363" s="13" t="inlineStr">
        <is>
          <t>2025-06-05</t>
        </is>
      </c>
      <c r="D363" s="13" t="inlineStr">
        <is>
          <t>Else01</t>
        </is>
      </c>
      <c r="E363" s="13" t="n"/>
      <c r="F363" s="13" t="inlineStr">
        <is>
          <t>浙江精准学科技有限公司</t>
        </is>
      </c>
      <c r="G363" s="13" t="inlineStr">
        <is>
          <t>记-36</t>
        </is>
      </c>
      <c r="H363" s="13" t="n"/>
      <c r="I363" s="87" t="n"/>
      <c r="J363" s="87" t="n">
        <v>6</v>
      </c>
      <c r="K363" s="19" t="n"/>
      <c r="L363" s="87" t="n"/>
      <c r="M363" s="13" t="n"/>
    </row>
    <row r="364" s="83">
      <c r="A364" s="11" t="inlineStr">
        <is>
          <t>101203</t>
        </is>
      </c>
      <c r="B364" s="11" t="n"/>
      <c r="C364" s="11" t="inlineStr">
        <is>
          <t>2025-06-05</t>
        </is>
      </c>
      <c r="D364" s="11" t="inlineStr">
        <is>
          <t>Else01</t>
        </is>
      </c>
      <c r="E364" s="11" t="n"/>
      <c r="F364" s="11" t="inlineStr">
        <is>
          <t>浙江精准学科技有限公司</t>
        </is>
      </c>
      <c r="G364" s="11" t="inlineStr">
        <is>
          <t>记-36</t>
        </is>
      </c>
      <c r="H364" s="11" t="n"/>
      <c r="I364" s="88" t="n"/>
      <c r="J364" s="87" t="n">
        <v>6</v>
      </c>
      <c r="K364" s="16" t="n"/>
      <c r="L364" s="88" t="n"/>
      <c r="M364" s="11" t="n"/>
    </row>
    <row r="365" s="83">
      <c r="A365" s="13" t="inlineStr">
        <is>
          <t>101203</t>
        </is>
      </c>
      <c r="B365" s="13" t="n"/>
      <c r="C365" s="13" t="inlineStr">
        <is>
          <t>2025-06-06</t>
        </is>
      </c>
      <c r="D365" s="13" t="inlineStr">
        <is>
          <t>Else01</t>
        </is>
      </c>
      <c r="E365" s="13" t="n"/>
      <c r="F365" s="13" t="inlineStr">
        <is>
          <t>浙江精准学科技有限公司</t>
        </is>
      </c>
      <c r="G365" s="13" t="inlineStr">
        <is>
          <t>记-40</t>
        </is>
      </c>
      <c r="H365" s="13" t="n"/>
      <c r="I365" s="88" t="n">
        <v>6</v>
      </c>
      <c r="J365" s="87" t="n"/>
      <c r="K365" s="19" t="n"/>
      <c r="L365" s="87" t="n"/>
      <c r="M365" s="13" t="n"/>
    </row>
    <row r="366" s="83">
      <c r="A366" s="11" t="inlineStr">
        <is>
          <t>101203</t>
        </is>
      </c>
      <c r="B366" s="11" t="n"/>
      <c r="C366" s="11" t="inlineStr">
        <is>
          <t>2025-06-06</t>
        </is>
      </c>
      <c r="D366" s="11" t="inlineStr">
        <is>
          <t>Else01</t>
        </is>
      </c>
      <c r="E366" s="11" t="n"/>
      <c r="F366" s="11" t="inlineStr">
        <is>
          <t>浙江精准学科技有限公司</t>
        </is>
      </c>
      <c r="G366" s="11" t="inlineStr">
        <is>
          <t>记-40</t>
        </is>
      </c>
      <c r="H366" s="11" t="n"/>
      <c r="I366" s="88" t="n">
        <v>6</v>
      </c>
      <c r="J366" s="88" t="n"/>
      <c r="K366" s="16" t="n"/>
      <c r="L366" s="88" t="n"/>
      <c r="M366" s="11" t="n"/>
    </row>
    <row r="367" s="83">
      <c r="A367" s="13" t="inlineStr">
        <is>
          <t>101203</t>
        </is>
      </c>
      <c r="B367" s="13" t="n"/>
      <c r="C367" s="13" t="inlineStr">
        <is>
          <t>2025-06-06</t>
        </is>
      </c>
      <c r="D367" s="13" t="inlineStr">
        <is>
          <t>Else01</t>
        </is>
      </c>
      <c r="E367" s="13" t="n"/>
      <c r="F367" s="13" t="inlineStr">
        <is>
          <t>浙江精准学科技有限公司</t>
        </is>
      </c>
      <c r="G367" s="13" t="inlineStr">
        <is>
          <t>记-41</t>
        </is>
      </c>
      <c r="H367" s="13" t="n"/>
      <c r="I367" s="87" t="n"/>
      <c r="J367" s="87" t="n">
        <v>6</v>
      </c>
      <c r="K367" s="19" t="n"/>
      <c r="L367" s="87" t="n"/>
      <c r="M367" s="13" t="n"/>
    </row>
    <row r="368" s="83">
      <c r="A368" s="11" t="inlineStr">
        <is>
          <t>101203</t>
        </is>
      </c>
      <c r="B368" s="11" t="n"/>
      <c r="C368" s="11" t="inlineStr">
        <is>
          <t>2025-06-06</t>
        </is>
      </c>
      <c r="D368" s="11" t="inlineStr">
        <is>
          <t>Else01</t>
        </is>
      </c>
      <c r="E368" s="11" t="n"/>
      <c r="F368" s="11" t="inlineStr">
        <is>
          <t>浙江精准学科技有限公司</t>
        </is>
      </c>
      <c r="G368" s="11" t="inlineStr">
        <is>
          <t>记-41</t>
        </is>
      </c>
      <c r="H368" s="11" t="n"/>
      <c r="I368" s="88" t="n"/>
      <c r="J368" s="87" t="n">
        <v>6</v>
      </c>
      <c r="K368" s="16" t="n"/>
      <c r="L368" s="88" t="n"/>
      <c r="M368" s="11" t="n"/>
    </row>
    <row r="369" s="83">
      <c r="A369" s="13" t="inlineStr">
        <is>
          <t>101203</t>
        </is>
      </c>
      <c r="B369" s="13" t="n"/>
      <c r="C369" s="13" t="inlineStr">
        <is>
          <t>2025-06-07</t>
        </is>
      </c>
      <c r="D369" s="13" t="inlineStr">
        <is>
          <t>Else01</t>
        </is>
      </c>
      <c r="E369" s="13" t="n"/>
      <c r="F369" s="13" t="inlineStr">
        <is>
          <t>浙江精准学科技有限公司</t>
        </is>
      </c>
      <c r="G369" s="13" t="inlineStr">
        <is>
          <t>记-42</t>
        </is>
      </c>
      <c r="H369" s="13" t="n"/>
      <c r="I369" s="88" t="n">
        <v>6</v>
      </c>
      <c r="J369" s="87" t="n"/>
      <c r="K369" s="19" t="n"/>
      <c r="L369" s="87" t="n"/>
      <c r="M369" s="13" t="n"/>
    </row>
    <row r="370" s="83">
      <c r="A370" s="11" t="inlineStr">
        <is>
          <t>101203</t>
        </is>
      </c>
      <c r="B370" s="11" t="n"/>
      <c r="C370" s="11" t="inlineStr">
        <is>
          <t>2025-06-07</t>
        </is>
      </c>
      <c r="D370" s="11" t="inlineStr">
        <is>
          <t>Else01</t>
        </is>
      </c>
      <c r="E370" s="11" t="n"/>
      <c r="F370" s="11" t="inlineStr">
        <is>
          <t>浙江精准学科技有限公司</t>
        </is>
      </c>
      <c r="G370" s="11" t="inlineStr">
        <is>
          <t>记-42</t>
        </is>
      </c>
      <c r="H370" s="11" t="n"/>
      <c r="I370" s="88" t="n">
        <v>6</v>
      </c>
      <c r="J370" s="88" t="n"/>
      <c r="K370" s="16" t="n"/>
      <c r="L370" s="88" t="n"/>
      <c r="M370" s="11" t="n"/>
    </row>
    <row r="371" s="83">
      <c r="A371" s="13" t="inlineStr">
        <is>
          <t>101203</t>
        </is>
      </c>
      <c r="B371" s="13" t="n"/>
      <c r="C371" s="13" t="inlineStr">
        <is>
          <t>2025-06-07</t>
        </is>
      </c>
      <c r="D371" s="13" t="inlineStr">
        <is>
          <t>Else01</t>
        </is>
      </c>
      <c r="E371" s="13" t="n"/>
      <c r="F371" s="13" t="inlineStr">
        <is>
          <t>浙江精准学科技有限公司</t>
        </is>
      </c>
      <c r="G371" s="13" t="inlineStr">
        <is>
          <t>记-43</t>
        </is>
      </c>
      <c r="H371" s="13" t="n"/>
      <c r="I371" s="87" t="n"/>
      <c r="J371" s="87" t="n">
        <v>6</v>
      </c>
      <c r="K371" s="19" t="n"/>
      <c r="L371" s="87" t="n"/>
      <c r="M371" s="13" t="n"/>
    </row>
    <row r="372" s="83">
      <c r="A372" s="11" t="inlineStr">
        <is>
          <t>101203</t>
        </is>
      </c>
      <c r="B372" s="11" t="n"/>
      <c r="C372" s="11" t="inlineStr">
        <is>
          <t>2025-06-07</t>
        </is>
      </c>
      <c r="D372" s="11" t="inlineStr">
        <is>
          <t>Else01</t>
        </is>
      </c>
      <c r="E372" s="11" t="n"/>
      <c r="F372" s="11" t="inlineStr">
        <is>
          <t>浙江精准学科技有限公司</t>
        </is>
      </c>
      <c r="G372" s="11" t="inlineStr">
        <is>
          <t>记-43</t>
        </is>
      </c>
      <c r="H372" s="11" t="n"/>
      <c r="I372" s="88" t="n"/>
      <c r="J372" s="87" t="n">
        <v>6</v>
      </c>
      <c r="K372" s="16" t="n"/>
      <c r="L372" s="88" t="n"/>
      <c r="M372" s="11" t="n"/>
    </row>
    <row r="373" s="83">
      <c r="A373" s="13" t="inlineStr">
        <is>
          <t>101203</t>
        </is>
      </c>
      <c r="B373" s="13" t="n"/>
      <c r="C373" s="13" t="inlineStr">
        <is>
          <t>2025-06-08</t>
        </is>
      </c>
      <c r="D373" s="13" t="inlineStr">
        <is>
          <t>Else01</t>
        </is>
      </c>
      <c r="E373" s="13" t="n"/>
      <c r="F373" s="13" t="inlineStr">
        <is>
          <t>浙江精准学科技有限公司</t>
        </is>
      </c>
      <c r="G373" s="13" t="inlineStr">
        <is>
          <t>记-45</t>
        </is>
      </c>
      <c r="H373" s="13" t="n"/>
      <c r="I373" s="88" t="n">
        <v>6</v>
      </c>
      <c r="J373" s="87" t="n"/>
      <c r="K373" s="19" t="n"/>
      <c r="L373" s="87" t="n"/>
      <c r="M373" s="13" t="n"/>
    </row>
    <row r="374" s="83">
      <c r="A374" s="11" t="inlineStr">
        <is>
          <t>101203</t>
        </is>
      </c>
      <c r="B374" s="11" t="n"/>
      <c r="C374" s="11" t="inlineStr">
        <is>
          <t>2025-06-08</t>
        </is>
      </c>
      <c r="D374" s="11" t="inlineStr">
        <is>
          <t>Else01</t>
        </is>
      </c>
      <c r="E374" s="11" t="n"/>
      <c r="F374" s="11" t="inlineStr">
        <is>
          <t>浙江精准学科技有限公司</t>
        </is>
      </c>
      <c r="G374" s="11" t="inlineStr">
        <is>
          <t>记-46</t>
        </is>
      </c>
      <c r="H374" s="11" t="n"/>
      <c r="I374" s="88" t="n"/>
      <c r="J374" s="87" t="n">
        <v>6</v>
      </c>
      <c r="K374" s="16" t="n"/>
      <c r="L374" s="88" t="n"/>
      <c r="M374" s="11" t="n"/>
    </row>
    <row r="375" s="83">
      <c r="A375" s="13" t="inlineStr">
        <is>
          <t>101203</t>
        </is>
      </c>
      <c r="B375" s="13" t="n"/>
      <c r="C375" s="13" t="inlineStr">
        <is>
          <t>2025-06-08</t>
        </is>
      </c>
      <c r="D375" s="13" t="inlineStr">
        <is>
          <t>Else01</t>
        </is>
      </c>
      <c r="E375" s="13" t="n"/>
      <c r="F375" s="13" t="inlineStr">
        <is>
          <t>浙江精准学科技有限公司</t>
        </is>
      </c>
      <c r="G375" s="13" t="inlineStr">
        <is>
          <t>记-46</t>
        </is>
      </c>
      <c r="H375" s="13" t="n"/>
      <c r="I375" s="87" t="n"/>
      <c r="J375" s="87" t="n">
        <v>6</v>
      </c>
      <c r="K375" s="19" t="n"/>
      <c r="L375" s="87" t="n"/>
      <c r="M375" s="13" t="n"/>
    </row>
    <row r="376" s="83">
      <c r="A376" s="11" t="inlineStr">
        <is>
          <t>101203</t>
        </is>
      </c>
      <c r="B376" s="11" t="n"/>
      <c r="C376" s="11" t="inlineStr">
        <is>
          <t>2025-06-09</t>
        </is>
      </c>
      <c r="D376" s="11" t="inlineStr">
        <is>
          <t>Else01</t>
        </is>
      </c>
      <c r="E376" s="11" t="n"/>
      <c r="F376" s="11" t="inlineStr">
        <is>
          <t>浙江精准学科技有限公司</t>
        </is>
      </c>
      <c r="G376" s="11" t="inlineStr">
        <is>
          <t>记-50</t>
        </is>
      </c>
      <c r="H376" s="11" t="n"/>
      <c r="I376" s="88" t="n">
        <v>6</v>
      </c>
      <c r="J376" s="88" t="n"/>
      <c r="K376" s="16" t="n"/>
      <c r="L376" s="88" t="n"/>
      <c r="M376" s="11" t="n"/>
    </row>
    <row r="377" s="83">
      <c r="A377" s="13" t="inlineStr">
        <is>
          <t>101203</t>
        </is>
      </c>
      <c r="B377" s="13" t="n"/>
      <c r="C377" s="13" t="inlineStr">
        <is>
          <t>2025-06-09</t>
        </is>
      </c>
      <c r="D377" s="13" t="inlineStr">
        <is>
          <t>Else01</t>
        </is>
      </c>
      <c r="E377" s="13" t="n"/>
      <c r="F377" s="13" t="inlineStr">
        <is>
          <t>浙江精准学科技有限公司</t>
        </is>
      </c>
      <c r="G377" s="13" t="inlineStr">
        <is>
          <t>记-50</t>
        </is>
      </c>
      <c r="H377" s="13" t="n"/>
      <c r="I377" s="88" t="n">
        <v>6</v>
      </c>
      <c r="J377" s="87" t="n"/>
      <c r="K377" s="19" t="n"/>
      <c r="L377" s="87" t="n"/>
      <c r="M377" s="13" t="n"/>
    </row>
    <row r="378" s="83">
      <c r="A378" s="11" t="inlineStr">
        <is>
          <t>101203</t>
        </is>
      </c>
      <c r="B378" s="11" t="n"/>
      <c r="C378" s="11" t="inlineStr">
        <is>
          <t>2025-06-09</t>
        </is>
      </c>
      <c r="D378" s="11" t="inlineStr">
        <is>
          <t>Else01</t>
        </is>
      </c>
      <c r="E378" s="11" t="n"/>
      <c r="F378" s="11" t="inlineStr">
        <is>
          <t>浙江精准学科技有限公司</t>
        </is>
      </c>
      <c r="G378" s="11" t="inlineStr">
        <is>
          <t>记-51</t>
        </is>
      </c>
      <c r="H378" s="11" t="n"/>
      <c r="I378" s="88" t="n"/>
      <c r="J378" s="87" t="n">
        <v>6</v>
      </c>
      <c r="K378" s="16" t="n"/>
      <c r="L378" s="88" t="n"/>
      <c r="M378" s="11" t="n"/>
    </row>
    <row r="379" s="83">
      <c r="A379" s="13" t="inlineStr">
        <is>
          <t>101203</t>
        </is>
      </c>
      <c r="B379" s="13" t="n"/>
      <c r="C379" s="13" t="inlineStr">
        <is>
          <t>2025-06-09</t>
        </is>
      </c>
      <c r="D379" s="13" t="inlineStr">
        <is>
          <t>Else01</t>
        </is>
      </c>
      <c r="E379" s="13" t="n"/>
      <c r="F379" s="13" t="inlineStr">
        <is>
          <t>浙江精准学科技有限公司</t>
        </is>
      </c>
      <c r="G379" s="13" t="inlineStr">
        <is>
          <t>记-51</t>
        </is>
      </c>
      <c r="H379" s="13" t="n"/>
      <c r="I379" s="87" t="n"/>
      <c r="J379" s="87" t="n">
        <v>6</v>
      </c>
      <c r="K379" s="19" t="n"/>
      <c r="L379" s="87" t="n"/>
      <c r="M379" s="13" t="n"/>
    </row>
    <row r="380" s="83">
      <c r="A380" s="11" t="inlineStr">
        <is>
          <t>101203</t>
        </is>
      </c>
      <c r="B380" s="11" t="n"/>
      <c r="C380" s="11" t="inlineStr">
        <is>
          <t>2025-06-10</t>
        </is>
      </c>
      <c r="D380" s="11" t="inlineStr">
        <is>
          <t>Else01</t>
        </is>
      </c>
      <c r="E380" s="11" t="n"/>
      <c r="F380" s="11" t="inlineStr">
        <is>
          <t>浙江精准学科技有限公司</t>
        </is>
      </c>
      <c r="G380" s="11" t="inlineStr">
        <is>
          <t>记-55</t>
        </is>
      </c>
      <c r="H380" s="11" t="n"/>
      <c r="I380" s="88" t="n">
        <v>6</v>
      </c>
      <c r="J380" s="88" t="n"/>
      <c r="K380" s="16" t="n"/>
      <c r="L380" s="88" t="n"/>
      <c r="M380" s="11" t="n"/>
    </row>
    <row r="381" s="83">
      <c r="A381" s="13" t="inlineStr">
        <is>
          <t>101203</t>
        </is>
      </c>
      <c r="B381" s="13" t="n"/>
      <c r="C381" s="13" t="inlineStr">
        <is>
          <t>2025-06-10</t>
        </is>
      </c>
      <c r="D381" s="13" t="inlineStr">
        <is>
          <t>Else01</t>
        </is>
      </c>
      <c r="E381" s="13" t="n"/>
      <c r="F381" s="13" t="inlineStr">
        <is>
          <t>浙江精准学科技有限公司</t>
        </is>
      </c>
      <c r="G381" s="13" t="inlineStr">
        <is>
          <t>记-55</t>
        </is>
      </c>
      <c r="H381" s="13" t="n"/>
      <c r="I381" s="88" t="n">
        <v>6</v>
      </c>
      <c r="J381" s="87" t="n"/>
      <c r="K381" s="19" t="n"/>
      <c r="L381" s="87" t="n"/>
      <c r="M381" s="13" t="n"/>
    </row>
    <row r="382" s="83">
      <c r="A382" s="11" t="inlineStr">
        <is>
          <t>101203</t>
        </is>
      </c>
      <c r="B382" s="11" t="n"/>
      <c r="C382" s="11" t="inlineStr">
        <is>
          <t>2025-06-10</t>
        </is>
      </c>
      <c r="D382" s="11" t="inlineStr">
        <is>
          <t>Else01</t>
        </is>
      </c>
      <c r="E382" s="11" t="n"/>
      <c r="F382" s="11" t="inlineStr">
        <is>
          <t>浙江精准学科技有限公司</t>
        </is>
      </c>
      <c r="G382" s="11" t="inlineStr">
        <is>
          <t>记-56</t>
        </is>
      </c>
      <c r="H382" s="11" t="n"/>
      <c r="I382" s="88" t="n"/>
      <c r="J382" s="87" t="n">
        <v>6</v>
      </c>
      <c r="K382" s="16" t="n"/>
      <c r="L382" s="88" t="n"/>
      <c r="M382" s="11" t="n"/>
    </row>
    <row r="383" s="83">
      <c r="A383" s="13" t="inlineStr">
        <is>
          <t>101203</t>
        </is>
      </c>
      <c r="B383" s="13" t="n"/>
      <c r="C383" s="13" t="inlineStr">
        <is>
          <t>2025-06-10</t>
        </is>
      </c>
      <c r="D383" s="13" t="inlineStr">
        <is>
          <t>Else01</t>
        </is>
      </c>
      <c r="E383" s="13" t="n"/>
      <c r="F383" s="13" t="inlineStr">
        <is>
          <t>浙江精准学科技有限公司</t>
        </is>
      </c>
      <c r="G383" s="13" t="inlineStr">
        <is>
          <t>记-56</t>
        </is>
      </c>
      <c r="H383" s="13" t="n"/>
      <c r="I383" s="87" t="n"/>
      <c r="J383" s="87" t="n">
        <v>6</v>
      </c>
      <c r="K383" s="19" t="n"/>
      <c r="L383" s="87" t="n"/>
      <c r="M383" s="13" t="n"/>
    </row>
    <row r="384" s="83">
      <c r="A384" s="11" t="inlineStr">
        <is>
          <t>101203</t>
        </is>
      </c>
      <c r="B384" s="11" t="n"/>
      <c r="C384" s="11" t="inlineStr">
        <is>
          <t>2025-06-11</t>
        </is>
      </c>
      <c r="D384" s="11" t="inlineStr">
        <is>
          <t>Else01</t>
        </is>
      </c>
      <c r="E384" s="11" t="n"/>
      <c r="F384" s="11" t="inlineStr">
        <is>
          <t>浙江精准学科技有限公司</t>
        </is>
      </c>
      <c r="G384" s="11" t="inlineStr">
        <is>
          <t>记-68</t>
        </is>
      </c>
      <c r="H384" s="11" t="n"/>
      <c r="I384" s="88" t="n">
        <v>6</v>
      </c>
      <c r="J384" s="88" t="n"/>
      <c r="K384" s="16" t="n"/>
      <c r="L384" s="88" t="n"/>
      <c r="M384" s="11" t="n"/>
    </row>
    <row r="385" s="83">
      <c r="A385" s="13" t="inlineStr">
        <is>
          <t>101203</t>
        </is>
      </c>
      <c r="B385" s="13" t="n"/>
      <c r="C385" s="13" t="inlineStr">
        <is>
          <t>2025-06-11</t>
        </is>
      </c>
      <c r="D385" s="13" t="inlineStr">
        <is>
          <t>Else01</t>
        </is>
      </c>
      <c r="E385" s="13" t="n"/>
      <c r="F385" s="13" t="inlineStr">
        <is>
          <t>浙江精准学科技有限公司</t>
        </is>
      </c>
      <c r="G385" s="13" t="inlineStr">
        <is>
          <t>记-68</t>
        </is>
      </c>
      <c r="H385" s="13" t="n"/>
      <c r="I385" s="88" t="n">
        <v>6</v>
      </c>
      <c r="J385" s="87" t="n"/>
      <c r="K385" s="19" t="n"/>
      <c r="L385" s="87" t="n"/>
      <c r="M385" s="13" t="n"/>
    </row>
    <row r="386" s="83">
      <c r="A386" s="11" t="inlineStr">
        <is>
          <t>101203</t>
        </is>
      </c>
      <c r="B386" s="11" t="n"/>
      <c r="C386" s="11" t="inlineStr">
        <is>
          <t>2025-06-11</t>
        </is>
      </c>
      <c r="D386" s="11" t="inlineStr">
        <is>
          <t>Else01</t>
        </is>
      </c>
      <c r="E386" s="11" t="n"/>
      <c r="F386" s="11" t="inlineStr">
        <is>
          <t>浙江精准学科技有限公司</t>
        </is>
      </c>
      <c r="G386" s="11" t="inlineStr">
        <is>
          <t>记-69</t>
        </is>
      </c>
      <c r="H386" s="11" t="n"/>
      <c r="I386" s="88" t="n"/>
      <c r="J386" s="87" t="n">
        <v>6</v>
      </c>
      <c r="K386" s="16" t="n"/>
      <c r="L386" s="88" t="n"/>
      <c r="M386" s="11" t="n"/>
    </row>
    <row r="387" s="83">
      <c r="A387" s="13" t="inlineStr">
        <is>
          <t>101203</t>
        </is>
      </c>
      <c r="B387" s="13" t="n"/>
      <c r="C387" s="13" t="inlineStr">
        <is>
          <t>2025-06-11</t>
        </is>
      </c>
      <c r="D387" s="13" t="inlineStr">
        <is>
          <t>Else01</t>
        </is>
      </c>
      <c r="E387" s="13" t="n"/>
      <c r="F387" s="13" t="inlineStr">
        <is>
          <t>浙江精准学科技有限公司</t>
        </is>
      </c>
      <c r="G387" s="13" t="inlineStr">
        <is>
          <t>记-69</t>
        </is>
      </c>
      <c r="H387" s="13" t="n"/>
      <c r="I387" s="87" t="n"/>
      <c r="J387" s="87" t="n">
        <v>6</v>
      </c>
      <c r="K387" s="19" t="n"/>
      <c r="L387" s="87" t="n"/>
      <c r="M387" s="13" t="n"/>
    </row>
    <row r="388" s="83">
      <c r="A388" s="11" t="inlineStr">
        <is>
          <t>101203</t>
        </is>
      </c>
      <c r="B388" s="11" t="n"/>
      <c r="C388" s="11" t="inlineStr">
        <is>
          <t>2025-06-12</t>
        </is>
      </c>
      <c r="D388" s="11" t="inlineStr">
        <is>
          <t>Else01</t>
        </is>
      </c>
      <c r="E388" s="11" t="n"/>
      <c r="F388" s="11" t="inlineStr">
        <is>
          <t>浙江精准学科技有限公司</t>
        </is>
      </c>
      <c r="G388" s="11" t="inlineStr">
        <is>
          <t>记-82</t>
        </is>
      </c>
      <c r="H388" s="11" t="n"/>
      <c r="I388" s="88" t="n">
        <v>6</v>
      </c>
      <c r="J388" s="88" t="n"/>
      <c r="K388" s="16" t="n"/>
      <c r="L388" s="88" t="n"/>
      <c r="M388" s="11" t="n"/>
    </row>
    <row r="389" s="83">
      <c r="A389" s="13" t="inlineStr">
        <is>
          <t>101203</t>
        </is>
      </c>
      <c r="B389" s="13" t="n"/>
      <c r="C389" s="13" t="inlineStr">
        <is>
          <t>2025-06-12</t>
        </is>
      </c>
      <c r="D389" s="13" t="inlineStr">
        <is>
          <t>Else01</t>
        </is>
      </c>
      <c r="E389" s="13" t="n"/>
      <c r="F389" s="13" t="inlineStr">
        <is>
          <t>浙江精准学科技有限公司</t>
        </is>
      </c>
      <c r="G389" s="13" t="inlineStr">
        <is>
          <t>记-82</t>
        </is>
      </c>
      <c r="H389" s="13" t="n"/>
      <c r="I389" s="88" t="n">
        <v>6</v>
      </c>
      <c r="J389" s="87" t="n"/>
      <c r="K389" s="19" t="n"/>
      <c r="L389" s="87" t="n"/>
      <c r="M389" s="13" t="n"/>
    </row>
    <row r="390" s="83">
      <c r="A390" s="11" t="inlineStr">
        <is>
          <t>101203</t>
        </is>
      </c>
      <c r="B390" s="11" t="n"/>
      <c r="C390" s="11" t="inlineStr">
        <is>
          <t>2025-06-12</t>
        </is>
      </c>
      <c r="D390" s="11" t="inlineStr">
        <is>
          <t>Else01</t>
        </is>
      </c>
      <c r="E390" s="11" t="n"/>
      <c r="F390" s="11" t="inlineStr">
        <is>
          <t>浙江精准学科技有限公司</t>
        </is>
      </c>
      <c r="G390" s="11" t="inlineStr">
        <is>
          <t>记-83</t>
        </is>
      </c>
      <c r="H390" s="11" t="n"/>
      <c r="I390" s="88" t="n"/>
      <c r="J390" s="87" t="n">
        <v>6</v>
      </c>
      <c r="K390" s="16" t="n"/>
      <c r="L390" s="88" t="n"/>
      <c r="M390" s="11" t="n"/>
    </row>
    <row r="391" s="83">
      <c r="A391" s="13" t="inlineStr">
        <is>
          <t>101203</t>
        </is>
      </c>
      <c r="B391" s="13" t="n"/>
      <c r="C391" s="13" t="inlineStr">
        <is>
          <t>2025-06-12</t>
        </is>
      </c>
      <c r="D391" s="13" t="inlineStr">
        <is>
          <t>Else01</t>
        </is>
      </c>
      <c r="E391" s="13" t="n"/>
      <c r="F391" s="13" t="inlineStr">
        <is>
          <t>浙江精准学科技有限公司</t>
        </is>
      </c>
      <c r="G391" s="13" t="inlineStr">
        <is>
          <t>记-83</t>
        </is>
      </c>
      <c r="H391" s="13" t="n"/>
      <c r="I391" s="87" t="n"/>
      <c r="J391" s="87" t="n">
        <v>6</v>
      </c>
      <c r="K391" s="19" t="n"/>
      <c r="L391" s="87" t="n"/>
      <c r="M391" s="13" t="n"/>
    </row>
    <row r="392" s="83">
      <c r="A392" s="11" t="inlineStr">
        <is>
          <t>101203</t>
        </is>
      </c>
      <c r="B392" s="11" t="n"/>
      <c r="C392" s="11" t="inlineStr">
        <is>
          <t>2025-06-13</t>
        </is>
      </c>
      <c r="D392" s="11" t="inlineStr">
        <is>
          <t>Else01</t>
        </is>
      </c>
      <c r="E392" s="11" t="n"/>
      <c r="F392" s="11" t="inlineStr">
        <is>
          <t>浙江精准学科技有限公司</t>
        </is>
      </c>
      <c r="G392" s="11" t="inlineStr">
        <is>
          <t>记-86</t>
        </is>
      </c>
      <c r="H392" s="11" t="n"/>
      <c r="I392" s="88" t="n"/>
      <c r="J392" s="87" t="n">
        <v>6</v>
      </c>
      <c r="K392" s="16" t="n"/>
      <c r="L392" s="88" t="n"/>
      <c r="M392" s="11" t="n"/>
    </row>
    <row r="393" s="83">
      <c r="A393" s="13" t="inlineStr">
        <is>
          <t>101203</t>
        </is>
      </c>
      <c r="B393" s="13" t="n"/>
      <c r="C393" s="13" t="inlineStr">
        <is>
          <t>2025-06-13</t>
        </is>
      </c>
      <c r="D393" s="13" t="inlineStr">
        <is>
          <t>Else01</t>
        </is>
      </c>
      <c r="E393" s="13" t="n"/>
      <c r="F393" s="13" t="inlineStr">
        <is>
          <t>浙江精准学科技有限公司</t>
        </is>
      </c>
      <c r="G393" s="13" t="inlineStr">
        <is>
          <t>记-86</t>
        </is>
      </c>
      <c r="H393" s="13" t="n"/>
      <c r="I393" s="87" t="n"/>
      <c r="J393" s="87" t="n">
        <v>6</v>
      </c>
      <c r="K393" s="19" t="n"/>
      <c r="L393" s="87" t="n"/>
      <c r="M393" s="13" t="n"/>
    </row>
    <row r="394" s="83">
      <c r="A394" s="11" t="inlineStr">
        <is>
          <t>101203</t>
        </is>
      </c>
      <c r="B394" s="11" t="n"/>
      <c r="C394" s="11" t="inlineStr">
        <is>
          <t>2025-06-13</t>
        </is>
      </c>
      <c r="D394" s="11" t="inlineStr">
        <is>
          <t>Else01</t>
        </is>
      </c>
      <c r="E394" s="11" t="n"/>
      <c r="F394" s="11" t="inlineStr">
        <is>
          <t>浙江精准学科技有限公司</t>
        </is>
      </c>
      <c r="G394" s="11" t="inlineStr">
        <is>
          <t>记-89</t>
        </is>
      </c>
      <c r="H394" s="11" t="n"/>
      <c r="I394" s="88" t="n">
        <v>6</v>
      </c>
      <c r="J394" s="88" t="n"/>
      <c r="K394" s="16" t="n"/>
      <c r="L394" s="88" t="n"/>
      <c r="M394" s="11" t="n"/>
    </row>
    <row r="395" s="83">
      <c r="A395" s="13" t="inlineStr">
        <is>
          <t>101203</t>
        </is>
      </c>
      <c r="B395" s="13" t="n"/>
      <c r="C395" s="13" t="inlineStr">
        <is>
          <t>2025-06-13</t>
        </is>
      </c>
      <c r="D395" s="13" t="inlineStr">
        <is>
          <t>Else01</t>
        </is>
      </c>
      <c r="E395" s="13" t="n"/>
      <c r="F395" s="13" t="inlineStr">
        <is>
          <t>浙江精准学科技有限公司</t>
        </is>
      </c>
      <c r="G395" s="13" t="inlineStr">
        <is>
          <t>记-89</t>
        </is>
      </c>
      <c r="H395" s="13" t="n"/>
      <c r="I395" s="88" t="n">
        <v>6</v>
      </c>
      <c r="J395" s="87" t="n"/>
      <c r="K395" s="19" t="n"/>
      <c r="L395" s="87" t="n"/>
      <c r="M395" s="13" t="n"/>
    </row>
    <row r="396" s="83">
      <c r="A396" s="11" t="inlineStr">
        <is>
          <t>101203</t>
        </is>
      </c>
      <c r="B396" s="11" t="n"/>
      <c r="C396" s="11" t="inlineStr">
        <is>
          <t>2025-06-14</t>
        </is>
      </c>
      <c r="D396" s="11" t="inlineStr">
        <is>
          <t>Else01</t>
        </is>
      </c>
      <c r="E396" s="11" t="n"/>
      <c r="F396" s="11" t="inlineStr">
        <is>
          <t>浙江精准学科技有限公司</t>
        </is>
      </c>
      <c r="G396" s="11" t="inlineStr">
        <is>
          <t>记-104</t>
        </is>
      </c>
      <c r="H396" s="11" t="n"/>
      <c r="I396" s="88" t="n">
        <v>6</v>
      </c>
      <c r="J396" s="88" t="n"/>
      <c r="K396" s="16" t="n"/>
      <c r="L396" s="88" t="n"/>
      <c r="M396" s="11" t="n"/>
    </row>
    <row r="397" s="83">
      <c r="A397" s="13" t="inlineStr">
        <is>
          <t>101203</t>
        </is>
      </c>
      <c r="B397" s="13" t="n"/>
      <c r="C397" s="13" t="inlineStr">
        <is>
          <t>2025-06-14</t>
        </is>
      </c>
      <c r="D397" s="13" t="inlineStr">
        <is>
          <t>Else01</t>
        </is>
      </c>
      <c r="E397" s="13" t="n"/>
      <c r="F397" s="13" t="inlineStr">
        <is>
          <t>浙江精准学科技有限公司</t>
        </is>
      </c>
      <c r="G397" s="13" t="inlineStr">
        <is>
          <t>记-104</t>
        </is>
      </c>
      <c r="H397" s="13" t="n"/>
      <c r="I397" s="88" t="n">
        <v>6</v>
      </c>
      <c r="J397" s="87" t="n"/>
      <c r="K397" s="19" t="n"/>
      <c r="L397" s="87" t="n"/>
      <c r="M397" s="13" t="n"/>
    </row>
    <row r="398" s="83">
      <c r="A398" s="11" t="inlineStr">
        <is>
          <t>101203</t>
        </is>
      </c>
      <c r="B398" s="11" t="n"/>
      <c r="C398" s="11" t="inlineStr">
        <is>
          <t>2025-06-14</t>
        </is>
      </c>
      <c r="D398" s="11" t="inlineStr">
        <is>
          <t>Else01</t>
        </is>
      </c>
      <c r="E398" s="11" t="n"/>
      <c r="F398" s="11" t="inlineStr">
        <is>
          <t>浙江精准学科技有限公司</t>
        </is>
      </c>
      <c r="G398" s="11" t="inlineStr">
        <is>
          <t>记-105</t>
        </is>
      </c>
      <c r="H398" s="11" t="n"/>
      <c r="I398" s="88" t="n"/>
      <c r="J398" s="87" t="n">
        <v>6</v>
      </c>
      <c r="K398" s="16" t="n"/>
      <c r="L398" s="88" t="n"/>
      <c r="M398" s="11" t="n"/>
    </row>
    <row r="399" s="83">
      <c r="A399" s="13" t="inlineStr">
        <is>
          <t>101203</t>
        </is>
      </c>
      <c r="B399" s="13" t="n"/>
      <c r="C399" s="13" t="inlineStr">
        <is>
          <t>2025-06-14</t>
        </is>
      </c>
      <c r="D399" s="13" t="inlineStr">
        <is>
          <t>Else01</t>
        </is>
      </c>
      <c r="E399" s="13" t="n"/>
      <c r="F399" s="13" t="inlineStr">
        <is>
          <t>浙江精准学科技有限公司</t>
        </is>
      </c>
      <c r="G399" s="13" t="inlineStr">
        <is>
          <t>记-105</t>
        </is>
      </c>
      <c r="H399" s="13" t="n"/>
      <c r="I399" s="87" t="n"/>
      <c r="J399" s="87" t="n">
        <v>6</v>
      </c>
      <c r="K399" s="19" t="n"/>
      <c r="L399" s="87" t="n"/>
      <c r="M399" s="13" t="n"/>
    </row>
    <row r="400" s="83">
      <c r="A400" s="11" t="inlineStr">
        <is>
          <t>101203</t>
        </is>
      </c>
      <c r="B400" s="11" t="n"/>
      <c r="C400" s="11" t="inlineStr">
        <is>
          <t>2025-06-15</t>
        </is>
      </c>
      <c r="D400" s="11" t="inlineStr">
        <is>
          <t>Else01</t>
        </is>
      </c>
      <c r="E400" s="11" t="n"/>
      <c r="F400" s="11" t="inlineStr">
        <is>
          <t>浙江精准学科技有限公司</t>
        </is>
      </c>
      <c r="G400" s="11" t="inlineStr">
        <is>
          <t>记-106</t>
        </is>
      </c>
      <c r="H400" s="11" t="n"/>
      <c r="I400" s="88" t="n">
        <v>6</v>
      </c>
      <c r="J400" s="88" t="n"/>
      <c r="K400" s="16" t="n"/>
      <c r="L400" s="88" t="n"/>
      <c r="M400" s="11" t="n"/>
    </row>
    <row r="401" s="83">
      <c r="A401" s="13" t="inlineStr">
        <is>
          <t>101203</t>
        </is>
      </c>
      <c r="B401" s="13" t="n"/>
      <c r="C401" s="13" t="inlineStr">
        <is>
          <t>2025-06-15</t>
        </is>
      </c>
      <c r="D401" s="13" t="inlineStr">
        <is>
          <t>Else01</t>
        </is>
      </c>
      <c r="E401" s="13" t="n"/>
      <c r="F401" s="13" t="inlineStr">
        <is>
          <t>浙江精准学科技有限公司</t>
        </is>
      </c>
      <c r="G401" s="13" t="inlineStr">
        <is>
          <t>记-106</t>
        </is>
      </c>
      <c r="H401" s="13" t="n"/>
      <c r="I401" s="88" t="n">
        <v>6</v>
      </c>
      <c r="J401" s="87" t="n"/>
      <c r="K401" s="19" t="n"/>
      <c r="L401" s="87" t="n"/>
      <c r="M401" s="13" t="n"/>
    </row>
    <row r="402" s="83">
      <c r="A402" s="11" t="inlineStr">
        <is>
          <t>101203</t>
        </is>
      </c>
      <c r="B402" s="11" t="n"/>
      <c r="C402" s="11" t="inlineStr">
        <is>
          <t>2025-06-15</t>
        </is>
      </c>
      <c r="D402" s="11" t="inlineStr">
        <is>
          <t>Else01</t>
        </is>
      </c>
      <c r="E402" s="11" t="n"/>
      <c r="F402" s="11" t="inlineStr">
        <is>
          <t>浙江精准学科技有限公司</t>
        </is>
      </c>
      <c r="G402" s="11" t="inlineStr">
        <is>
          <t>记-107</t>
        </is>
      </c>
      <c r="H402" s="11" t="n"/>
      <c r="I402" s="88" t="n"/>
      <c r="J402" s="87" t="n">
        <v>6</v>
      </c>
      <c r="K402" s="16" t="n"/>
      <c r="L402" s="88" t="n"/>
      <c r="M402" s="11" t="n"/>
    </row>
    <row r="403" s="83">
      <c r="A403" s="13" t="inlineStr">
        <is>
          <t>101203</t>
        </is>
      </c>
      <c r="B403" s="13" t="n"/>
      <c r="C403" s="13" t="inlineStr">
        <is>
          <t>2025-06-15</t>
        </is>
      </c>
      <c r="D403" s="13" t="inlineStr">
        <is>
          <t>Else01</t>
        </is>
      </c>
      <c r="E403" s="13" t="n"/>
      <c r="F403" s="13" t="inlineStr">
        <is>
          <t>浙江精准学科技有限公司</t>
        </is>
      </c>
      <c r="G403" s="13" t="inlineStr">
        <is>
          <t>记-107</t>
        </is>
      </c>
      <c r="H403" s="13" t="n"/>
      <c r="I403" s="87" t="n"/>
      <c r="J403" s="87" t="n">
        <v>6</v>
      </c>
      <c r="K403" s="19" t="n"/>
      <c r="L403" s="87" t="n"/>
      <c r="M403" s="13" t="n"/>
    </row>
    <row r="404" s="83">
      <c r="A404" s="11" t="inlineStr">
        <is>
          <t>101203</t>
        </is>
      </c>
      <c r="B404" s="11" t="n"/>
      <c r="C404" s="11" t="inlineStr">
        <is>
          <t>2025-06-16</t>
        </is>
      </c>
      <c r="D404" s="11" t="inlineStr">
        <is>
          <t>Else01</t>
        </is>
      </c>
      <c r="E404" s="11" t="n"/>
      <c r="F404" s="11" t="inlineStr">
        <is>
          <t>浙江精准学科技有限公司</t>
        </is>
      </c>
      <c r="G404" s="11" t="inlineStr">
        <is>
          <t>记-110</t>
        </is>
      </c>
      <c r="H404" s="11" t="n"/>
      <c r="I404" s="88" t="n">
        <v>6</v>
      </c>
      <c r="J404" s="88" t="n"/>
      <c r="K404" s="16" t="n"/>
      <c r="L404" s="88" t="n"/>
      <c r="M404" s="11" t="n"/>
    </row>
    <row r="405" s="83">
      <c r="A405" s="13" t="inlineStr">
        <is>
          <t>101203</t>
        </is>
      </c>
      <c r="B405" s="13" t="n"/>
      <c r="C405" s="13" t="inlineStr">
        <is>
          <t>2025-06-16</t>
        </is>
      </c>
      <c r="D405" s="13" t="inlineStr">
        <is>
          <t>Else01</t>
        </is>
      </c>
      <c r="E405" s="13" t="n"/>
      <c r="F405" s="13" t="inlineStr">
        <is>
          <t>浙江精准学科技有限公司</t>
        </is>
      </c>
      <c r="G405" s="13" t="inlineStr">
        <is>
          <t>记-110</t>
        </is>
      </c>
      <c r="H405" s="13" t="n"/>
      <c r="I405" s="88" t="n">
        <v>6</v>
      </c>
      <c r="J405" s="87" t="n"/>
      <c r="K405" s="19" t="n"/>
      <c r="L405" s="87" t="n"/>
      <c r="M405" s="13" t="n"/>
    </row>
    <row r="406" s="83">
      <c r="A406" s="11" t="inlineStr">
        <is>
          <t>101203</t>
        </is>
      </c>
      <c r="B406" s="11" t="n"/>
      <c r="C406" s="11" t="inlineStr">
        <is>
          <t>2025-06-16</t>
        </is>
      </c>
      <c r="D406" s="11" t="inlineStr">
        <is>
          <t>Else01</t>
        </is>
      </c>
      <c r="E406" s="11" t="n"/>
      <c r="F406" s="11" t="inlineStr">
        <is>
          <t>浙江精准学科技有限公司</t>
        </is>
      </c>
      <c r="G406" s="11" t="inlineStr">
        <is>
          <t>记-111</t>
        </is>
      </c>
      <c r="H406" s="11" t="n"/>
      <c r="I406" s="88" t="n"/>
      <c r="J406" s="87" t="n">
        <v>6</v>
      </c>
      <c r="K406" s="16" t="n"/>
      <c r="L406" s="88" t="n"/>
      <c r="M406" s="11" t="n"/>
    </row>
    <row r="407" s="83">
      <c r="A407" s="13" t="inlineStr">
        <is>
          <t>101203</t>
        </is>
      </c>
      <c r="B407" s="13" t="n"/>
      <c r="C407" s="13" t="inlineStr">
        <is>
          <t>2025-06-16</t>
        </is>
      </c>
      <c r="D407" s="13" t="inlineStr">
        <is>
          <t>Else01</t>
        </is>
      </c>
      <c r="E407" s="13" t="n"/>
      <c r="F407" s="13" t="inlineStr">
        <is>
          <t>浙江精准学科技有限公司</t>
        </is>
      </c>
      <c r="G407" s="13" t="inlineStr">
        <is>
          <t>记-111</t>
        </is>
      </c>
      <c r="H407" s="13" t="n"/>
      <c r="I407" s="87" t="n"/>
      <c r="J407" s="87" t="n">
        <v>6</v>
      </c>
      <c r="K407" s="19" t="n"/>
      <c r="L407" s="87" t="n"/>
      <c r="M407" s="13" t="n"/>
    </row>
    <row r="408" s="83">
      <c r="A408" s="11" t="inlineStr">
        <is>
          <t>101203</t>
        </is>
      </c>
      <c r="B408" s="11" t="n"/>
      <c r="C408" s="11" t="inlineStr">
        <is>
          <t>2025-06-17</t>
        </is>
      </c>
      <c r="D408" s="11" t="inlineStr">
        <is>
          <t>Else01</t>
        </is>
      </c>
      <c r="E408" s="11" t="n"/>
      <c r="F408" s="11" t="inlineStr">
        <is>
          <t>浙江精准学科技有限公司</t>
        </is>
      </c>
      <c r="G408" s="11" t="inlineStr">
        <is>
          <t>记-129</t>
        </is>
      </c>
      <c r="H408" s="11" t="n"/>
      <c r="I408" s="88" t="n">
        <v>6</v>
      </c>
      <c r="J408" s="88" t="n"/>
      <c r="K408" s="16" t="n"/>
      <c r="L408" s="88" t="n"/>
      <c r="M408" s="11" t="n"/>
    </row>
    <row r="409" s="83">
      <c r="A409" s="13" t="inlineStr">
        <is>
          <t>101203</t>
        </is>
      </c>
      <c r="B409" s="13" t="n"/>
      <c r="C409" s="13" t="inlineStr">
        <is>
          <t>2025-06-17</t>
        </is>
      </c>
      <c r="D409" s="13" t="inlineStr">
        <is>
          <t>Else01</t>
        </is>
      </c>
      <c r="E409" s="13" t="n"/>
      <c r="F409" s="13" t="inlineStr">
        <is>
          <t>浙江精准学科技有限公司</t>
        </is>
      </c>
      <c r="G409" s="13" t="inlineStr">
        <is>
          <t>记-129</t>
        </is>
      </c>
      <c r="H409" s="13" t="n"/>
      <c r="I409" s="88" t="n">
        <v>6</v>
      </c>
      <c r="J409" s="87" t="n"/>
      <c r="K409" s="19" t="n"/>
      <c r="L409" s="87" t="n"/>
      <c r="M409" s="13" t="n"/>
    </row>
    <row r="410" s="83">
      <c r="A410" s="11" t="inlineStr">
        <is>
          <t>101203</t>
        </is>
      </c>
      <c r="B410" s="11" t="n"/>
      <c r="C410" s="11" t="inlineStr">
        <is>
          <t>2025-06-17</t>
        </is>
      </c>
      <c r="D410" s="11" t="inlineStr">
        <is>
          <t>Else01</t>
        </is>
      </c>
      <c r="E410" s="11" t="n"/>
      <c r="F410" s="11" t="inlineStr">
        <is>
          <t>浙江精准学科技有限公司</t>
        </is>
      </c>
      <c r="G410" s="11" t="inlineStr">
        <is>
          <t>记-130</t>
        </is>
      </c>
      <c r="H410" s="11" t="n"/>
      <c r="I410" s="88" t="n"/>
      <c r="J410" s="87" t="n">
        <v>6</v>
      </c>
      <c r="K410" s="16" t="n"/>
      <c r="L410" s="88" t="n"/>
      <c r="M410" s="11" t="n"/>
    </row>
    <row r="411" s="83">
      <c r="A411" s="13" t="inlineStr">
        <is>
          <t>101203</t>
        </is>
      </c>
      <c r="B411" s="13" t="n"/>
      <c r="C411" s="13" t="inlineStr">
        <is>
          <t>2025-06-17</t>
        </is>
      </c>
      <c r="D411" s="13" t="inlineStr">
        <is>
          <t>Else01</t>
        </is>
      </c>
      <c r="E411" s="13" t="n"/>
      <c r="F411" s="13" t="inlineStr">
        <is>
          <t>浙江精准学科技有限公司</t>
        </is>
      </c>
      <c r="G411" s="13" t="inlineStr">
        <is>
          <t>记-130</t>
        </is>
      </c>
      <c r="H411" s="13" t="n"/>
      <c r="I411" s="87" t="n"/>
      <c r="J411" s="87" t="n">
        <v>6</v>
      </c>
      <c r="K411" s="19" t="n"/>
      <c r="L411" s="87" t="n"/>
      <c r="M411" s="13" t="n"/>
    </row>
    <row r="412" s="83">
      <c r="A412" s="11" t="inlineStr">
        <is>
          <t>101203</t>
        </is>
      </c>
      <c r="B412" s="11" t="n"/>
      <c r="C412" s="11" t="inlineStr">
        <is>
          <t>2025-06-18</t>
        </is>
      </c>
      <c r="D412" s="11" t="inlineStr">
        <is>
          <t>Else01</t>
        </is>
      </c>
      <c r="E412" s="11" t="n"/>
      <c r="F412" s="11" t="inlineStr">
        <is>
          <t>浙江精准学科技有限公司</t>
        </is>
      </c>
      <c r="G412" s="11" t="inlineStr">
        <is>
          <t>记-143</t>
        </is>
      </c>
      <c r="H412" s="11" t="n"/>
      <c r="I412" s="88" t="n">
        <v>6</v>
      </c>
      <c r="J412" s="88" t="n"/>
      <c r="K412" s="16" t="n"/>
      <c r="L412" s="88" t="n"/>
      <c r="M412" s="11" t="n"/>
    </row>
    <row r="413" s="83">
      <c r="A413" s="13" t="inlineStr">
        <is>
          <t>101203</t>
        </is>
      </c>
      <c r="B413" s="13" t="n"/>
      <c r="C413" s="13" t="inlineStr">
        <is>
          <t>2025-06-18</t>
        </is>
      </c>
      <c r="D413" s="13" t="inlineStr">
        <is>
          <t>Else01</t>
        </is>
      </c>
      <c r="E413" s="13" t="n"/>
      <c r="F413" s="13" t="inlineStr">
        <is>
          <t>浙江精准学科技有限公司</t>
        </is>
      </c>
      <c r="G413" s="13" t="inlineStr">
        <is>
          <t>记-144</t>
        </is>
      </c>
      <c r="H413" s="13" t="n"/>
      <c r="I413" s="87" t="n"/>
      <c r="J413" s="87" t="n">
        <v>6</v>
      </c>
      <c r="K413" s="19" t="n"/>
      <c r="L413" s="87" t="n"/>
      <c r="M413" s="13" t="n"/>
    </row>
    <row r="414" s="83">
      <c r="A414" s="11" t="inlineStr">
        <is>
          <t>101203</t>
        </is>
      </c>
      <c r="B414" s="11" t="n"/>
      <c r="C414" s="11" t="inlineStr">
        <is>
          <t>2025-06-18</t>
        </is>
      </c>
      <c r="D414" s="11" t="inlineStr">
        <is>
          <t>Else01</t>
        </is>
      </c>
      <c r="E414" s="11" t="n"/>
      <c r="F414" s="11" t="inlineStr">
        <is>
          <t>浙江精准学科技有限公司</t>
        </is>
      </c>
      <c r="G414" s="11" t="inlineStr">
        <is>
          <t>记-144</t>
        </is>
      </c>
      <c r="H414" s="11" t="n"/>
      <c r="I414" s="88" t="n"/>
      <c r="J414" s="87" t="n">
        <v>6</v>
      </c>
      <c r="K414" s="16" t="n"/>
      <c r="L414" s="88" t="n"/>
      <c r="M414" s="11" t="n"/>
    </row>
    <row r="415" s="83">
      <c r="A415" s="13" t="inlineStr">
        <is>
          <t>101203</t>
        </is>
      </c>
      <c r="B415" s="13" t="n"/>
      <c r="C415" s="13" t="inlineStr">
        <is>
          <t>2025-06-19</t>
        </is>
      </c>
      <c r="D415" s="13" t="inlineStr">
        <is>
          <t>Else01</t>
        </is>
      </c>
      <c r="E415" s="13" t="n"/>
      <c r="F415" s="13" t="inlineStr">
        <is>
          <t>浙江精准学科技有限公司</t>
        </is>
      </c>
      <c r="G415" s="13" t="inlineStr">
        <is>
          <t>记-145</t>
        </is>
      </c>
      <c r="H415" s="13" t="n"/>
      <c r="I415" s="88" t="n">
        <v>6</v>
      </c>
      <c r="J415" s="87" t="n"/>
      <c r="K415" s="19" t="n"/>
      <c r="L415" s="87" t="n"/>
      <c r="M415" s="13" t="n"/>
    </row>
    <row r="416" s="83">
      <c r="A416" s="11" t="inlineStr">
        <is>
          <t>101203</t>
        </is>
      </c>
      <c r="B416" s="11" t="n"/>
      <c r="C416" s="11" t="inlineStr">
        <is>
          <t>2025-06-19</t>
        </is>
      </c>
      <c r="D416" s="11" t="inlineStr">
        <is>
          <t>Else01</t>
        </is>
      </c>
      <c r="E416" s="11" t="n"/>
      <c r="F416" s="11" t="inlineStr">
        <is>
          <t>浙江精准学科技有限公司</t>
        </is>
      </c>
      <c r="G416" s="11" t="inlineStr">
        <is>
          <t>记-145</t>
        </is>
      </c>
      <c r="H416" s="11" t="n"/>
      <c r="I416" s="88" t="n">
        <v>6</v>
      </c>
      <c r="J416" s="88" t="n"/>
      <c r="K416" s="16" t="n"/>
      <c r="L416" s="88" t="n"/>
      <c r="M416" s="11" t="n"/>
    </row>
    <row r="417" s="83">
      <c r="A417" s="13" t="inlineStr">
        <is>
          <t>101203</t>
        </is>
      </c>
      <c r="B417" s="13" t="n"/>
      <c r="C417" s="13" t="inlineStr">
        <is>
          <t>2025-06-19</t>
        </is>
      </c>
      <c r="D417" s="13" t="inlineStr">
        <is>
          <t>Else01</t>
        </is>
      </c>
      <c r="E417" s="13" t="n"/>
      <c r="F417" s="13" t="inlineStr">
        <is>
          <t>浙江精准学科技有限公司</t>
        </is>
      </c>
      <c r="G417" s="13" t="inlineStr">
        <is>
          <t>记-146</t>
        </is>
      </c>
      <c r="H417" s="13" t="n"/>
      <c r="I417" s="87" t="n"/>
      <c r="J417" s="87" t="n">
        <v>6</v>
      </c>
      <c r="K417" s="19" t="n"/>
      <c r="L417" s="87" t="n"/>
      <c r="M417" s="13" t="n"/>
    </row>
    <row r="418" s="83">
      <c r="A418" s="11" t="inlineStr">
        <is>
          <t>101203</t>
        </is>
      </c>
      <c r="B418" s="11" t="n"/>
      <c r="C418" s="11" t="inlineStr">
        <is>
          <t>2025-06-19</t>
        </is>
      </c>
      <c r="D418" s="11" t="inlineStr">
        <is>
          <t>Else01</t>
        </is>
      </c>
      <c r="E418" s="11" t="n"/>
      <c r="F418" s="11" t="inlineStr">
        <is>
          <t>浙江精准学科技有限公司</t>
        </is>
      </c>
      <c r="G418" s="11" t="inlineStr">
        <is>
          <t>记-146</t>
        </is>
      </c>
      <c r="H418" s="11" t="n"/>
      <c r="I418" s="88" t="n"/>
      <c r="J418" s="87" t="n">
        <v>6</v>
      </c>
      <c r="K418" s="16" t="n"/>
      <c r="L418" s="88" t="n"/>
      <c r="M418" s="11" t="n"/>
    </row>
    <row r="419" s="83">
      <c r="A419" s="13" t="inlineStr">
        <is>
          <t>101203</t>
        </is>
      </c>
      <c r="B419" s="13" t="n"/>
      <c r="C419" s="13" t="inlineStr">
        <is>
          <t>2025-06-20</t>
        </is>
      </c>
      <c r="D419" s="13" t="inlineStr">
        <is>
          <t>Else01</t>
        </is>
      </c>
      <c r="E419" s="13" t="n"/>
      <c r="F419" s="13" t="inlineStr">
        <is>
          <t>浙江精准学科技有限公司</t>
        </is>
      </c>
      <c r="G419" s="13" t="inlineStr">
        <is>
          <t>记-154</t>
        </is>
      </c>
      <c r="H419" s="13" t="n"/>
      <c r="I419" s="88" t="n">
        <v>6</v>
      </c>
      <c r="J419" s="87" t="n"/>
      <c r="K419" s="19" t="n"/>
      <c r="L419" s="87" t="n"/>
      <c r="M419" s="13" t="n"/>
    </row>
    <row r="420" s="83">
      <c r="A420" s="11" t="inlineStr">
        <is>
          <t>101203</t>
        </is>
      </c>
      <c r="B420" s="11" t="n"/>
      <c r="C420" s="11" t="inlineStr">
        <is>
          <t>2025-06-20</t>
        </is>
      </c>
      <c r="D420" s="11" t="inlineStr">
        <is>
          <t>Else01</t>
        </is>
      </c>
      <c r="E420" s="11" t="n"/>
      <c r="F420" s="11" t="inlineStr">
        <is>
          <t>浙江精准学科技有限公司</t>
        </is>
      </c>
      <c r="G420" s="11" t="inlineStr">
        <is>
          <t>记-154</t>
        </is>
      </c>
      <c r="H420" s="11" t="n"/>
      <c r="I420" s="88" t="n">
        <v>6</v>
      </c>
      <c r="J420" s="88" t="n"/>
      <c r="K420" s="16" t="n"/>
      <c r="L420" s="88" t="n"/>
      <c r="M420" s="11" t="n"/>
    </row>
    <row r="421" s="83">
      <c r="A421" s="13" t="inlineStr">
        <is>
          <t>101203</t>
        </is>
      </c>
      <c r="B421" s="13" t="n"/>
      <c r="C421" s="13" t="inlineStr">
        <is>
          <t>2025-06-20</t>
        </is>
      </c>
      <c r="D421" s="13" t="inlineStr">
        <is>
          <t>Else01</t>
        </is>
      </c>
      <c r="E421" s="13" t="n"/>
      <c r="F421" s="13" t="inlineStr">
        <is>
          <t>浙江精准学科技有限公司</t>
        </is>
      </c>
      <c r="G421" s="13" t="inlineStr">
        <is>
          <t>记-155</t>
        </is>
      </c>
      <c r="H421" s="13" t="n"/>
      <c r="I421" s="87" t="n"/>
      <c r="J421" s="87" t="n">
        <v>6</v>
      </c>
      <c r="K421" s="19" t="n"/>
      <c r="L421" s="87" t="n"/>
      <c r="M421" s="13" t="n"/>
    </row>
    <row r="422" s="83">
      <c r="A422" s="11" t="inlineStr">
        <is>
          <t>101203</t>
        </is>
      </c>
      <c r="B422" s="11" t="n"/>
      <c r="C422" s="11" t="inlineStr">
        <is>
          <t>2025-06-20</t>
        </is>
      </c>
      <c r="D422" s="11" t="inlineStr">
        <is>
          <t>Else01</t>
        </is>
      </c>
      <c r="E422" s="11" t="n"/>
      <c r="F422" s="11" t="inlineStr">
        <is>
          <t>浙江精准学科技有限公司</t>
        </is>
      </c>
      <c r="G422" s="11" t="inlineStr">
        <is>
          <t>记-155</t>
        </is>
      </c>
      <c r="H422" s="11" t="n"/>
      <c r="I422" s="88" t="n"/>
      <c r="J422" s="87" t="n">
        <v>6</v>
      </c>
      <c r="K422" s="16" t="n"/>
      <c r="L422" s="88" t="n"/>
      <c r="M422" s="11" t="n"/>
    </row>
    <row r="423" s="83">
      <c r="A423" s="13" t="inlineStr">
        <is>
          <t>101203</t>
        </is>
      </c>
      <c r="B423" s="13" t="n"/>
      <c r="C423" s="13" t="inlineStr">
        <is>
          <t>2025-06-21</t>
        </is>
      </c>
      <c r="D423" s="13" t="inlineStr">
        <is>
          <t>Else01</t>
        </is>
      </c>
      <c r="E423" s="13" t="n"/>
      <c r="F423" s="13" t="inlineStr">
        <is>
          <t>浙江精准学科技有限公司</t>
        </is>
      </c>
      <c r="G423" s="13" t="inlineStr">
        <is>
          <t>记-163</t>
        </is>
      </c>
      <c r="H423" s="13" t="n"/>
      <c r="I423" s="88" t="n">
        <v>6</v>
      </c>
      <c r="J423" s="87" t="n"/>
      <c r="K423" s="19" t="n"/>
      <c r="L423" s="87" t="n"/>
      <c r="M423" s="13" t="n"/>
    </row>
    <row r="424" s="83">
      <c r="A424" s="11" t="inlineStr">
        <is>
          <t>101203</t>
        </is>
      </c>
      <c r="B424" s="11" t="n"/>
      <c r="C424" s="11" t="inlineStr">
        <is>
          <t>2025-06-21</t>
        </is>
      </c>
      <c r="D424" s="11" t="inlineStr">
        <is>
          <t>Else01</t>
        </is>
      </c>
      <c r="E424" s="11" t="n"/>
      <c r="F424" s="11" t="inlineStr">
        <is>
          <t>浙江精准学科技有限公司</t>
        </is>
      </c>
      <c r="G424" s="11" t="inlineStr">
        <is>
          <t>记-163</t>
        </is>
      </c>
      <c r="H424" s="11" t="n"/>
      <c r="I424" s="88" t="n">
        <v>6</v>
      </c>
      <c r="J424" s="88" t="n"/>
      <c r="K424" s="16" t="n"/>
      <c r="L424" s="88" t="n"/>
      <c r="M424" s="11" t="n"/>
    </row>
    <row r="425" s="83">
      <c r="A425" s="13" t="inlineStr">
        <is>
          <t>101203</t>
        </is>
      </c>
      <c r="B425" s="13" t="n"/>
      <c r="C425" s="13" t="inlineStr">
        <is>
          <t>2025-06-21</t>
        </is>
      </c>
      <c r="D425" s="13" t="inlineStr">
        <is>
          <t>Else01</t>
        </is>
      </c>
      <c r="E425" s="13" t="n"/>
      <c r="F425" s="13" t="inlineStr">
        <is>
          <t>浙江精准学科技有限公司</t>
        </is>
      </c>
      <c r="G425" s="13" t="inlineStr">
        <is>
          <t>记-164</t>
        </is>
      </c>
      <c r="H425" s="13" t="n"/>
      <c r="I425" s="87" t="n"/>
      <c r="J425" s="87" t="n">
        <v>6</v>
      </c>
      <c r="K425" s="19" t="n"/>
      <c r="L425" s="87" t="n"/>
      <c r="M425" s="13" t="n"/>
    </row>
    <row r="426" s="83">
      <c r="A426" s="11" t="inlineStr">
        <is>
          <t>101203</t>
        </is>
      </c>
      <c r="B426" s="11" t="n"/>
      <c r="C426" s="11" t="inlineStr">
        <is>
          <t>2025-06-21</t>
        </is>
      </c>
      <c r="D426" s="11" t="inlineStr">
        <is>
          <t>Else01</t>
        </is>
      </c>
      <c r="E426" s="11" t="n"/>
      <c r="F426" s="11" t="inlineStr">
        <is>
          <t>浙江精准学科技有限公司</t>
        </is>
      </c>
      <c r="G426" s="11" t="inlineStr">
        <is>
          <t>记-164</t>
        </is>
      </c>
      <c r="H426" s="11" t="n"/>
      <c r="I426" s="88" t="n"/>
      <c r="J426" s="87" t="n">
        <v>6</v>
      </c>
      <c r="K426" s="16" t="n"/>
      <c r="L426" s="88" t="n"/>
      <c r="M426" s="11" t="n"/>
    </row>
    <row r="427" s="83">
      <c r="A427" s="13" t="inlineStr">
        <is>
          <t>101203</t>
        </is>
      </c>
      <c r="B427" s="13" t="n"/>
      <c r="C427" s="13" t="inlineStr">
        <is>
          <t>2025-06-22</t>
        </is>
      </c>
      <c r="D427" s="13" t="inlineStr">
        <is>
          <t>Else01</t>
        </is>
      </c>
      <c r="E427" s="13" t="n"/>
      <c r="F427" s="13" t="inlineStr">
        <is>
          <t>浙江精准学科技有限公司</t>
        </is>
      </c>
      <c r="G427" s="13" t="inlineStr">
        <is>
          <t>记-168</t>
        </is>
      </c>
      <c r="H427" s="13" t="n"/>
      <c r="I427" s="88" t="n">
        <v>6</v>
      </c>
      <c r="J427" s="87" t="n"/>
      <c r="K427" s="19" t="n"/>
      <c r="L427" s="87" t="n"/>
      <c r="M427" s="13" t="n"/>
    </row>
    <row r="428" s="83">
      <c r="A428" s="11" t="inlineStr">
        <is>
          <t>101203</t>
        </is>
      </c>
      <c r="B428" s="11" t="n"/>
      <c r="C428" s="11" t="inlineStr">
        <is>
          <t>2025-06-22</t>
        </is>
      </c>
      <c r="D428" s="11" t="inlineStr">
        <is>
          <t>Else01</t>
        </is>
      </c>
      <c r="E428" s="11" t="n"/>
      <c r="F428" s="11" t="inlineStr">
        <is>
          <t>浙江精准学科技有限公司</t>
        </is>
      </c>
      <c r="G428" s="11" t="inlineStr">
        <is>
          <t>记-168</t>
        </is>
      </c>
      <c r="H428" s="11" t="n"/>
      <c r="I428" s="88" t="n">
        <v>6</v>
      </c>
      <c r="J428" s="88" t="n"/>
      <c r="K428" s="16" t="n"/>
      <c r="L428" s="88" t="n"/>
      <c r="M428" s="11" t="n"/>
    </row>
    <row r="429" s="83">
      <c r="A429" s="13" t="inlineStr">
        <is>
          <t>101203</t>
        </is>
      </c>
      <c r="B429" s="13" t="n"/>
      <c r="C429" s="13" t="inlineStr">
        <is>
          <t>2025-06-22</t>
        </is>
      </c>
      <c r="D429" s="13" t="inlineStr">
        <is>
          <t>Else01</t>
        </is>
      </c>
      <c r="E429" s="13" t="n"/>
      <c r="F429" s="13" t="inlineStr">
        <is>
          <t>浙江精准学科技有限公司</t>
        </is>
      </c>
      <c r="G429" s="13" t="inlineStr">
        <is>
          <t>记-169</t>
        </is>
      </c>
      <c r="H429" s="13" t="n"/>
      <c r="I429" s="87" t="n"/>
      <c r="J429" s="87" t="n">
        <v>6</v>
      </c>
      <c r="K429" s="19" t="n"/>
      <c r="L429" s="87" t="n"/>
      <c r="M429" s="13" t="n"/>
    </row>
    <row r="430" s="83">
      <c r="A430" s="11" t="inlineStr">
        <is>
          <t>101203</t>
        </is>
      </c>
      <c r="B430" s="11" t="n"/>
      <c r="C430" s="11" t="inlineStr">
        <is>
          <t>2025-06-23</t>
        </is>
      </c>
      <c r="D430" s="11" t="inlineStr">
        <is>
          <t>Else01</t>
        </is>
      </c>
      <c r="E430" s="11" t="n"/>
      <c r="F430" s="11" t="inlineStr">
        <is>
          <t>浙江精准学科技有限公司</t>
        </is>
      </c>
      <c r="G430" s="11" t="inlineStr">
        <is>
          <t>记-179</t>
        </is>
      </c>
      <c r="H430" s="11" t="n"/>
      <c r="I430" s="88" t="n">
        <v>6</v>
      </c>
      <c r="J430" s="88" t="n"/>
      <c r="K430" s="16" t="n"/>
      <c r="L430" s="88" t="n"/>
      <c r="M430" s="11" t="n"/>
    </row>
    <row r="431" s="83">
      <c r="A431" s="13" t="inlineStr">
        <is>
          <t>101203</t>
        </is>
      </c>
      <c r="B431" s="13" t="n"/>
      <c r="C431" s="13" t="inlineStr">
        <is>
          <t>2025-06-23</t>
        </is>
      </c>
      <c r="D431" s="13" t="inlineStr">
        <is>
          <t>Else01</t>
        </is>
      </c>
      <c r="E431" s="13" t="n"/>
      <c r="F431" s="13" t="inlineStr">
        <is>
          <t>浙江精准学科技有限公司</t>
        </is>
      </c>
      <c r="G431" s="13" t="inlineStr">
        <is>
          <t>记-179</t>
        </is>
      </c>
      <c r="H431" s="13" t="n"/>
      <c r="I431" s="88" t="n">
        <v>6</v>
      </c>
      <c r="J431" s="87" t="n"/>
      <c r="K431" s="19" t="n"/>
      <c r="L431" s="87" t="n"/>
      <c r="M431" s="13" t="n"/>
    </row>
    <row r="432" s="83">
      <c r="A432" s="11" t="inlineStr">
        <is>
          <t>101203</t>
        </is>
      </c>
      <c r="B432" s="11" t="n"/>
      <c r="C432" s="11" t="inlineStr">
        <is>
          <t>2025-06-23</t>
        </is>
      </c>
      <c r="D432" s="11" t="inlineStr">
        <is>
          <t>Else01</t>
        </is>
      </c>
      <c r="E432" s="11" t="n"/>
      <c r="F432" s="11" t="inlineStr">
        <is>
          <t>浙江精准学科技有限公司</t>
        </is>
      </c>
      <c r="G432" s="11" t="inlineStr">
        <is>
          <t>记-180</t>
        </is>
      </c>
      <c r="H432" s="11" t="n"/>
      <c r="I432" s="88" t="n"/>
      <c r="J432" s="87" t="n">
        <v>6</v>
      </c>
      <c r="K432" s="16" t="n"/>
      <c r="L432" s="88" t="n"/>
      <c r="M432" s="11" t="n"/>
    </row>
    <row r="433" s="83">
      <c r="A433" s="13" t="inlineStr">
        <is>
          <t>101203</t>
        </is>
      </c>
      <c r="B433" s="13" t="n"/>
      <c r="C433" s="13" t="inlineStr">
        <is>
          <t>2025-06-24</t>
        </is>
      </c>
      <c r="D433" s="13" t="inlineStr">
        <is>
          <t>Else01</t>
        </is>
      </c>
      <c r="E433" s="13" t="n"/>
      <c r="F433" s="13" t="inlineStr">
        <is>
          <t>浙江精准学科技有限公司</t>
        </is>
      </c>
      <c r="G433" s="13" t="inlineStr">
        <is>
          <t>记-192</t>
        </is>
      </c>
      <c r="H433" s="13" t="n"/>
      <c r="I433" s="88" t="n">
        <v>6</v>
      </c>
      <c r="J433" s="87" t="n"/>
      <c r="K433" s="19" t="n"/>
      <c r="L433" s="87" t="n"/>
      <c r="M433" s="13" t="n"/>
    </row>
    <row r="434" s="83">
      <c r="A434" s="11" t="inlineStr">
        <is>
          <t>101203</t>
        </is>
      </c>
      <c r="B434" s="11" t="n"/>
      <c r="C434" s="11" t="inlineStr">
        <is>
          <t>2025-06-24</t>
        </is>
      </c>
      <c r="D434" s="11" t="inlineStr">
        <is>
          <t>Else01</t>
        </is>
      </c>
      <c r="E434" s="11" t="n"/>
      <c r="F434" s="11" t="inlineStr">
        <is>
          <t>浙江精准学科技有限公司</t>
        </is>
      </c>
      <c r="G434" s="11" t="inlineStr">
        <is>
          <t>记-192</t>
        </is>
      </c>
      <c r="H434" s="11" t="n"/>
      <c r="I434" s="88" t="n">
        <v>6</v>
      </c>
      <c r="J434" s="88" t="n"/>
      <c r="K434" s="16" t="n"/>
      <c r="L434" s="88" t="n"/>
      <c r="M434" s="11" t="n"/>
    </row>
    <row r="435" s="83">
      <c r="A435" s="13" t="inlineStr">
        <is>
          <t>101203</t>
        </is>
      </c>
      <c r="B435" s="13" t="n"/>
      <c r="C435" s="13" t="inlineStr">
        <is>
          <t>2025-06-24</t>
        </is>
      </c>
      <c r="D435" s="13" t="inlineStr">
        <is>
          <t>Else01</t>
        </is>
      </c>
      <c r="E435" s="13" t="n"/>
      <c r="F435" s="13" t="inlineStr">
        <is>
          <t>浙江精准学科技有限公司</t>
        </is>
      </c>
      <c r="G435" s="13" t="inlineStr">
        <is>
          <t>记-193</t>
        </is>
      </c>
      <c r="H435" s="13" t="n"/>
      <c r="I435" s="87" t="n"/>
      <c r="J435" s="87" t="n">
        <v>6</v>
      </c>
      <c r="K435" s="19" t="n"/>
      <c r="L435" s="87" t="n"/>
      <c r="M435" s="13" t="n"/>
    </row>
    <row r="436" s="83">
      <c r="A436" s="11" t="inlineStr">
        <is>
          <t>101203</t>
        </is>
      </c>
      <c r="B436" s="11" t="n"/>
      <c r="C436" s="11" t="inlineStr">
        <is>
          <t>2025-06-24</t>
        </is>
      </c>
      <c r="D436" s="11" t="inlineStr">
        <is>
          <t>Else01</t>
        </is>
      </c>
      <c r="E436" s="11" t="n"/>
      <c r="F436" s="11" t="inlineStr">
        <is>
          <t>浙江精准学科技有限公司</t>
        </is>
      </c>
      <c r="G436" s="11" t="inlineStr">
        <is>
          <t>记-193</t>
        </is>
      </c>
      <c r="H436" s="11" t="n"/>
      <c r="I436" s="88" t="n"/>
      <c r="J436" s="87" t="n">
        <v>6</v>
      </c>
      <c r="K436" s="16" t="n"/>
      <c r="L436" s="88" t="n"/>
      <c r="M436" s="11" t="n"/>
    </row>
    <row r="437" s="83">
      <c r="A437" s="13" t="inlineStr">
        <is>
          <t>101203</t>
        </is>
      </c>
      <c r="B437" s="13" t="n"/>
      <c r="C437" s="13" t="inlineStr">
        <is>
          <t>2025-06-25</t>
        </is>
      </c>
      <c r="D437" s="13" t="inlineStr">
        <is>
          <t>Else01</t>
        </is>
      </c>
      <c r="E437" s="13" t="n"/>
      <c r="F437" s="13" t="inlineStr">
        <is>
          <t>浙江精准学科技有限公司</t>
        </is>
      </c>
      <c r="G437" s="13" t="inlineStr">
        <is>
          <t>记-202</t>
        </is>
      </c>
      <c r="H437" s="13" t="n"/>
      <c r="I437" s="88" t="n">
        <v>6</v>
      </c>
      <c r="J437" s="87" t="n"/>
      <c r="K437" s="19" t="n"/>
      <c r="L437" s="87" t="n"/>
      <c r="M437" s="13" t="n"/>
    </row>
    <row r="438" s="83">
      <c r="A438" s="11" t="inlineStr">
        <is>
          <t>101203</t>
        </is>
      </c>
      <c r="B438" s="11" t="n"/>
      <c r="C438" s="11" t="inlineStr">
        <is>
          <t>2025-06-25</t>
        </is>
      </c>
      <c r="D438" s="11" t="inlineStr">
        <is>
          <t>Else01</t>
        </is>
      </c>
      <c r="E438" s="11" t="n"/>
      <c r="F438" s="11" t="inlineStr">
        <is>
          <t>浙江精准学科技有限公司</t>
        </is>
      </c>
      <c r="G438" s="11" t="inlineStr">
        <is>
          <t>记-202</t>
        </is>
      </c>
      <c r="H438" s="11" t="n"/>
      <c r="I438" s="88" t="n">
        <v>6</v>
      </c>
      <c r="J438" s="88" t="n"/>
      <c r="K438" s="16" t="n"/>
      <c r="L438" s="88" t="n"/>
      <c r="M438" s="11" t="n"/>
    </row>
    <row r="439" s="83">
      <c r="A439" s="13" t="inlineStr">
        <is>
          <t>101203</t>
        </is>
      </c>
      <c r="B439" s="13" t="n"/>
      <c r="C439" s="13" t="inlineStr">
        <is>
          <t>2025-06-25</t>
        </is>
      </c>
      <c r="D439" s="13" t="inlineStr">
        <is>
          <t>Else01</t>
        </is>
      </c>
      <c r="E439" s="13" t="n"/>
      <c r="F439" s="13" t="inlineStr">
        <is>
          <t>浙江精准学科技有限公司</t>
        </is>
      </c>
      <c r="G439" s="13" t="inlineStr">
        <is>
          <t>记-203</t>
        </is>
      </c>
      <c r="H439" s="13" t="n"/>
      <c r="I439" s="87" t="n"/>
      <c r="J439" s="87" t="n">
        <v>6</v>
      </c>
      <c r="K439" s="19" t="n"/>
      <c r="L439" s="87" t="n"/>
      <c r="M439" s="13" t="n"/>
    </row>
    <row r="440" s="83">
      <c r="A440" s="11" t="inlineStr">
        <is>
          <t>101203</t>
        </is>
      </c>
      <c r="B440" s="11" t="n"/>
      <c r="C440" s="11" t="inlineStr">
        <is>
          <t>2025-06-25</t>
        </is>
      </c>
      <c r="D440" s="11" t="inlineStr">
        <is>
          <t>Else01</t>
        </is>
      </c>
      <c r="E440" s="11" t="n"/>
      <c r="F440" s="11" t="inlineStr">
        <is>
          <t>浙江精准学科技有限公司</t>
        </is>
      </c>
      <c r="G440" s="11" t="inlineStr">
        <is>
          <t>记-203</t>
        </is>
      </c>
      <c r="H440" s="11" t="n"/>
      <c r="I440" s="88" t="n"/>
      <c r="J440" s="87" t="n">
        <v>6</v>
      </c>
      <c r="K440" s="16" t="n"/>
      <c r="L440" s="88" t="n"/>
      <c r="M440" s="11" t="n"/>
    </row>
    <row r="441" s="83">
      <c r="A441" s="13" t="inlineStr">
        <is>
          <t>101203</t>
        </is>
      </c>
      <c r="B441" s="13" t="n"/>
      <c r="C441" s="13" t="inlineStr">
        <is>
          <t>2025-06-26</t>
        </is>
      </c>
      <c r="D441" s="13" t="inlineStr">
        <is>
          <t>Else01</t>
        </is>
      </c>
      <c r="E441" s="13" t="n"/>
      <c r="F441" s="13" t="inlineStr">
        <is>
          <t>浙江精准学科技有限公司</t>
        </is>
      </c>
      <c r="G441" s="13" t="inlineStr">
        <is>
          <t>记-208</t>
        </is>
      </c>
      <c r="H441" s="13" t="n"/>
      <c r="I441" s="88" t="n">
        <v>6</v>
      </c>
      <c r="J441" s="87" t="n"/>
      <c r="K441" s="19" t="n"/>
      <c r="L441" s="87" t="n"/>
      <c r="M441" s="13" t="n"/>
    </row>
    <row r="442" s="83">
      <c r="A442" s="11" t="inlineStr">
        <is>
          <t>101203</t>
        </is>
      </c>
      <c r="B442" s="11" t="n"/>
      <c r="C442" s="11" t="inlineStr">
        <is>
          <t>2025-06-26</t>
        </is>
      </c>
      <c r="D442" s="11" t="inlineStr">
        <is>
          <t>Else01</t>
        </is>
      </c>
      <c r="E442" s="11" t="n"/>
      <c r="F442" s="11" t="inlineStr">
        <is>
          <t>浙江精准学科技有限公司</t>
        </is>
      </c>
      <c r="G442" s="11" t="inlineStr">
        <is>
          <t>记-208</t>
        </is>
      </c>
      <c r="H442" s="11" t="n"/>
      <c r="I442" s="88" t="n">
        <v>6</v>
      </c>
      <c r="J442" s="88" t="n"/>
      <c r="K442" s="16" t="n"/>
      <c r="L442" s="88" t="n"/>
      <c r="M442" s="11" t="n"/>
    </row>
    <row r="443" s="83">
      <c r="A443" s="13" t="inlineStr">
        <is>
          <t>101203</t>
        </is>
      </c>
      <c r="B443" s="13" t="n"/>
      <c r="C443" s="13" t="inlineStr">
        <is>
          <t>2025-06-26</t>
        </is>
      </c>
      <c r="D443" s="13" t="inlineStr">
        <is>
          <t>Else01</t>
        </is>
      </c>
      <c r="E443" s="13" t="n"/>
      <c r="F443" s="13" t="inlineStr">
        <is>
          <t>浙江精准学科技有限公司</t>
        </is>
      </c>
      <c r="G443" s="13" t="inlineStr">
        <is>
          <t>记-209</t>
        </is>
      </c>
      <c r="H443" s="13" t="n"/>
      <c r="I443" s="87" t="n"/>
      <c r="J443" s="87" t="n">
        <v>6</v>
      </c>
      <c r="K443" s="19" t="n"/>
      <c r="L443" s="87" t="n"/>
      <c r="M443" s="13" t="n"/>
    </row>
    <row r="444" s="83">
      <c r="A444" s="11" t="inlineStr">
        <is>
          <t>101203</t>
        </is>
      </c>
      <c r="B444" s="11" t="n"/>
      <c r="C444" s="11" t="inlineStr">
        <is>
          <t>2025-06-26</t>
        </is>
      </c>
      <c r="D444" s="11" t="inlineStr">
        <is>
          <t>Else01</t>
        </is>
      </c>
      <c r="E444" s="11" t="n"/>
      <c r="F444" s="11" t="inlineStr">
        <is>
          <t>浙江精准学科技有限公司</t>
        </is>
      </c>
      <c r="G444" s="11" t="inlineStr">
        <is>
          <t>记-209</t>
        </is>
      </c>
      <c r="H444" s="11" t="n"/>
      <c r="I444" s="88" t="n"/>
      <c r="J444" s="87" t="n">
        <v>6</v>
      </c>
      <c r="K444" s="16" t="n"/>
      <c r="L444" s="88" t="n"/>
      <c r="M444" s="11" t="n"/>
    </row>
    <row r="445" s="83">
      <c r="A445" s="13" t="inlineStr">
        <is>
          <t>101203</t>
        </is>
      </c>
      <c r="B445" s="13" t="n"/>
      <c r="C445" s="13" t="inlineStr">
        <is>
          <t>2025-06-27</t>
        </is>
      </c>
      <c r="D445" s="13" t="inlineStr">
        <is>
          <t>Else01</t>
        </is>
      </c>
      <c r="E445" s="13" t="n"/>
      <c r="F445" s="13" t="inlineStr">
        <is>
          <t>浙江精准学科技有限公司</t>
        </is>
      </c>
      <c r="G445" s="13" t="inlineStr">
        <is>
          <t>记-218</t>
        </is>
      </c>
      <c r="H445" s="13" t="n"/>
      <c r="I445" s="88" t="n">
        <v>6</v>
      </c>
      <c r="J445" s="87" t="n"/>
      <c r="K445" s="19" t="n"/>
      <c r="L445" s="87" t="n"/>
      <c r="M445" s="13" t="n"/>
    </row>
    <row r="446" s="83">
      <c r="A446" s="11" t="inlineStr">
        <is>
          <t>101203</t>
        </is>
      </c>
      <c r="B446" s="11" t="n"/>
      <c r="C446" s="11" t="inlineStr">
        <is>
          <t>2025-06-27</t>
        </is>
      </c>
      <c r="D446" s="11" t="inlineStr">
        <is>
          <t>Else01</t>
        </is>
      </c>
      <c r="E446" s="11" t="n"/>
      <c r="F446" s="11" t="inlineStr">
        <is>
          <t>浙江精准学科技有限公司</t>
        </is>
      </c>
      <c r="G446" s="11" t="inlineStr">
        <is>
          <t>记-218</t>
        </is>
      </c>
      <c r="H446" s="11" t="n"/>
      <c r="I446" s="88" t="n">
        <v>6</v>
      </c>
      <c r="J446" s="88" t="n"/>
      <c r="K446" s="16" t="n"/>
      <c r="L446" s="88" t="n"/>
      <c r="M446" s="11" t="n"/>
    </row>
    <row r="447" s="83">
      <c r="A447" s="13" t="inlineStr">
        <is>
          <t>101203</t>
        </is>
      </c>
      <c r="B447" s="13" t="n"/>
      <c r="C447" s="13" t="inlineStr">
        <is>
          <t>2025-06-27</t>
        </is>
      </c>
      <c r="D447" s="13" t="inlineStr">
        <is>
          <t>Else01</t>
        </is>
      </c>
      <c r="E447" s="13" t="n"/>
      <c r="F447" s="13" t="inlineStr">
        <is>
          <t>浙江精准学科技有限公司</t>
        </is>
      </c>
      <c r="G447" s="13" t="inlineStr">
        <is>
          <t>记-219</t>
        </is>
      </c>
      <c r="H447" s="13" t="n"/>
      <c r="I447" s="87" t="n"/>
      <c r="J447" s="87" t="n">
        <v>6</v>
      </c>
      <c r="K447" s="19" t="n"/>
      <c r="L447" s="87" t="n"/>
      <c r="M447" s="13" t="n"/>
    </row>
    <row r="448" s="83">
      <c r="A448" s="11" t="inlineStr">
        <is>
          <t>101203</t>
        </is>
      </c>
      <c r="B448" s="11" t="n"/>
      <c r="C448" s="11" t="inlineStr">
        <is>
          <t>2025-06-27</t>
        </is>
      </c>
      <c r="D448" s="11" t="inlineStr">
        <is>
          <t>Else01</t>
        </is>
      </c>
      <c r="E448" s="11" t="n"/>
      <c r="F448" s="11" t="inlineStr">
        <is>
          <t>浙江精准学科技有限公司</t>
        </is>
      </c>
      <c r="G448" s="11" t="inlineStr">
        <is>
          <t>记-219</t>
        </is>
      </c>
      <c r="H448" s="11" t="n"/>
      <c r="I448" s="88" t="n"/>
      <c r="J448" s="87" t="n">
        <v>6</v>
      </c>
      <c r="K448" s="16" t="n"/>
      <c r="L448" s="88" t="n"/>
      <c r="M448" s="11" t="n"/>
    </row>
    <row r="449" s="83">
      <c r="A449" s="13" t="inlineStr">
        <is>
          <t>101203</t>
        </is>
      </c>
      <c r="B449" s="13" t="n"/>
      <c r="C449" s="13" t="inlineStr">
        <is>
          <t>2025-06-28</t>
        </is>
      </c>
      <c r="D449" s="13" t="inlineStr">
        <is>
          <t>Else01</t>
        </is>
      </c>
      <c r="E449" s="13" t="n"/>
      <c r="F449" s="13" t="inlineStr">
        <is>
          <t>浙江精准学科技有限公司</t>
        </is>
      </c>
      <c r="G449" s="13" t="inlineStr">
        <is>
          <t>记-220</t>
        </is>
      </c>
      <c r="H449" s="13" t="n"/>
      <c r="I449" s="88" t="n">
        <v>6</v>
      </c>
      <c r="J449" s="87" t="n"/>
      <c r="K449" s="19" t="n"/>
      <c r="L449" s="87" t="n"/>
      <c r="M449" s="13" t="n"/>
    </row>
    <row r="450" s="83">
      <c r="A450" s="11" t="inlineStr">
        <is>
          <t>101203</t>
        </is>
      </c>
      <c r="B450" s="11" t="n"/>
      <c r="C450" s="11" t="inlineStr">
        <is>
          <t>2025-06-28</t>
        </is>
      </c>
      <c r="D450" s="11" t="inlineStr">
        <is>
          <t>Else01</t>
        </is>
      </c>
      <c r="E450" s="11" t="n"/>
      <c r="F450" s="11" t="inlineStr">
        <is>
          <t>浙江精准学科技有限公司</t>
        </is>
      </c>
      <c r="G450" s="11" t="inlineStr">
        <is>
          <t>记-220</t>
        </is>
      </c>
      <c r="H450" s="11" t="n"/>
      <c r="I450" s="88" t="n">
        <v>6</v>
      </c>
      <c r="J450" s="88" t="n"/>
      <c r="K450" s="16" t="n"/>
      <c r="L450" s="88" t="n"/>
      <c r="M450" s="11" t="n"/>
    </row>
    <row r="451" s="83">
      <c r="A451" s="13" t="inlineStr">
        <is>
          <t>101203</t>
        </is>
      </c>
      <c r="B451" s="13" t="n"/>
      <c r="C451" s="13" t="inlineStr">
        <is>
          <t>2025-06-28</t>
        </is>
      </c>
      <c r="D451" s="13" t="inlineStr">
        <is>
          <t>Else01</t>
        </is>
      </c>
      <c r="E451" s="13" t="n"/>
      <c r="F451" s="13" t="inlineStr">
        <is>
          <t>浙江精准学科技有限公司</t>
        </is>
      </c>
      <c r="G451" s="13" t="inlineStr">
        <is>
          <t>记-221</t>
        </is>
      </c>
      <c r="H451" s="13" t="n"/>
      <c r="I451" s="87" t="n"/>
      <c r="J451" s="87" t="n">
        <v>6</v>
      </c>
      <c r="K451" s="19" t="n"/>
      <c r="L451" s="87" t="n"/>
      <c r="M451" s="13" t="n"/>
    </row>
    <row r="452" s="83">
      <c r="A452" s="11" t="inlineStr">
        <is>
          <t>101203</t>
        </is>
      </c>
      <c r="B452" s="11" t="n"/>
      <c r="C452" s="11" t="inlineStr">
        <is>
          <t>2025-06-28</t>
        </is>
      </c>
      <c r="D452" s="11" t="inlineStr">
        <is>
          <t>Else01</t>
        </is>
      </c>
      <c r="E452" s="11" t="n"/>
      <c r="F452" s="11" t="inlineStr">
        <is>
          <t>浙江精准学科技有限公司</t>
        </is>
      </c>
      <c r="G452" s="11" t="inlineStr">
        <is>
          <t>记-221</t>
        </is>
      </c>
      <c r="H452" s="11" t="n"/>
      <c r="I452" s="88" t="n"/>
      <c r="J452" s="87" t="n">
        <v>6</v>
      </c>
      <c r="K452" s="16" t="n"/>
      <c r="L452" s="88" t="n"/>
      <c r="M452" s="11" t="n"/>
    </row>
    <row r="453" s="83">
      <c r="A453" s="13" t="inlineStr">
        <is>
          <t>101203</t>
        </is>
      </c>
      <c r="B453" s="13" t="n"/>
      <c r="C453" s="13" t="inlineStr">
        <is>
          <t>2025-06-29</t>
        </is>
      </c>
      <c r="D453" s="13" t="inlineStr">
        <is>
          <t>Else01</t>
        </is>
      </c>
      <c r="E453" s="13" t="n"/>
      <c r="F453" s="13" t="inlineStr">
        <is>
          <t>浙江精准学科技有限公司</t>
        </is>
      </c>
      <c r="G453" s="13" t="inlineStr">
        <is>
          <t>记-222</t>
        </is>
      </c>
      <c r="H453" s="13" t="n"/>
      <c r="I453" s="88" t="n">
        <v>6</v>
      </c>
      <c r="J453" s="87" t="n"/>
      <c r="K453" s="19" t="n"/>
      <c r="L453" s="87" t="n"/>
      <c r="M453" s="13" t="n"/>
    </row>
    <row r="454" s="83">
      <c r="A454" s="11" t="inlineStr">
        <is>
          <t>101203</t>
        </is>
      </c>
      <c r="B454" s="11" t="n"/>
      <c r="C454" s="11" t="inlineStr">
        <is>
          <t>2025-06-29</t>
        </is>
      </c>
      <c r="D454" s="11" t="inlineStr">
        <is>
          <t>Else01</t>
        </is>
      </c>
      <c r="E454" s="11" t="n"/>
      <c r="F454" s="11" t="inlineStr">
        <is>
          <t>浙江精准学科技有限公司</t>
        </is>
      </c>
      <c r="G454" s="11" t="inlineStr">
        <is>
          <t>记-222</t>
        </is>
      </c>
      <c r="H454" s="11" t="n"/>
      <c r="I454" s="88" t="n">
        <v>6</v>
      </c>
      <c r="J454" s="88" t="n"/>
      <c r="K454" s="16" t="n"/>
      <c r="L454" s="88" t="n"/>
      <c r="M454" s="11" t="n"/>
    </row>
    <row r="455" s="83">
      <c r="A455" s="13" t="inlineStr">
        <is>
          <t>101203</t>
        </is>
      </c>
      <c r="B455" s="13" t="n"/>
      <c r="C455" s="13" t="inlineStr">
        <is>
          <t>2025-06-29</t>
        </is>
      </c>
      <c r="D455" s="13" t="inlineStr">
        <is>
          <t>Else01</t>
        </is>
      </c>
      <c r="E455" s="13" t="n"/>
      <c r="F455" s="13" t="inlineStr">
        <is>
          <t>浙江精准学科技有限公司</t>
        </is>
      </c>
      <c r="G455" s="13" t="inlineStr">
        <is>
          <t>记-223</t>
        </is>
      </c>
      <c r="H455" s="13" t="n"/>
      <c r="I455" s="87" t="n"/>
      <c r="J455" s="87" t="n">
        <v>6</v>
      </c>
      <c r="K455" s="19" t="n"/>
      <c r="L455" s="87" t="n"/>
      <c r="M455" s="13" t="n"/>
    </row>
    <row r="456" s="83">
      <c r="A456" s="11" t="inlineStr">
        <is>
          <t>101203</t>
        </is>
      </c>
      <c r="B456" s="11" t="n"/>
      <c r="C456" s="11" t="inlineStr">
        <is>
          <t>2025-06-29</t>
        </is>
      </c>
      <c r="D456" s="11" t="inlineStr">
        <is>
          <t>Else01</t>
        </is>
      </c>
      <c r="E456" s="11" t="n"/>
      <c r="F456" s="11" t="inlineStr">
        <is>
          <t>浙江精准学科技有限公司</t>
        </is>
      </c>
      <c r="G456" s="11" t="inlineStr">
        <is>
          <t>记-223</t>
        </is>
      </c>
      <c r="H456" s="11" t="n"/>
      <c r="I456" s="88" t="n"/>
      <c r="J456" s="87" t="n">
        <v>6</v>
      </c>
      <c r="K456" s="16" t="n"/>
      <c r="L456" s="88" t="n"/>
      <c r="M456" s="11" t="n"/>
    </row>
    <row r="457" s="83">
      <c r="A457" s="13" t="inlineStr">
        <is>
          <t>101203</t>
        </is>
      </c>
      <c r="B457" s="13" t="n"/>
      <c r="C457" s="13" t="inlineStr">
        <is>
          <t>2025-06-30</t>
        </is>
      </c>
      <c r="D457" s="13" t="inlineStr">
        <is>
          <t>Else01</t>
        </is>
      </c>
      <c r="E457" s="13" t="n"/>
      <c r="F457" s="13" t="inlineStr">
        <is>
          <t>浙江精准学科技有限公司</t>
        </is>
      </c>
      <c r="G457" s="13" t="inlineStr">
        <is>
          <t>记-230</t>
        </is>
      </c>
      <c r="H457" s="13" t="n"/>
      <c r="I457" s="88" t="n">
        <v>6</v>
      </c>
      <c r="J457" s="87" t="n"/>
      <c r="K457" s="19" t="n"/>
      <c r="L457" s="87" t="n"/>
      <c r="M457" s="13" t="n"/>
    </row>
    <row r="458" s="83">
      <c r="A458" s="11" t="inlineStr">
        <is>
          <t>101203</t>
        </is>
      </c>
      <c r="B458" s="11" t="n"/>
      <c r="C458" s="11" t="inlineStr">
        <is>
          <t>2025-06-30</t>
        </is>
      </c>
      <c r="D458" s="11" t="inlineStr">
        <is>
          <t>Else01</t>
        </is>
      </c>
      <c r="E458" s="11" t="n"/>
      <c r="F458" s="11" t="inlineStr">
        <is>
          <t>浙江精准学科技有限公司</t>
        </is>
      </c>
      <c r="G458" s="11" t="inlineStr">
        <is>
          <t>记-230</t>
        </is>
      </c>
      <c r="H458" s="11" t="n"/>
      <c r="I458" s="88" t="n">
        <v>6</v>
      </c>
      <c r="J458" s="88" t="n"/>
      <c r="K458" s="16" t="n"/>
      <c r="L458" s="88" t="n"/>
      <c r="M458" s="11" t="n"/>
    </row>
    <row r="459" s="83">
      <c r="A459" s="13" t="inlineStr">
        <is>
          <t>101203</t>
        </is>
      </c>
      <c r="B459" s="13" t="n"/>
      <c r="C459" s="13" t="inlineStr">
        <is>
          <t>2025-06-30</t>
        </is>
      </c>
      <c r="D459" s="13" t="inlineStr">
        <is>
          <t>Else01</t>
        </is>
      </c>
      <c r="E459" s="13" t="n"/>
      <c r="F459" s="13" t="inlineStr">
        <is>
          <t>浙江精准学科技有限公司</t>
        </is>
      </c>
      <c r="G459" s="13" t="inlineStr">
        <is>
          <t>记-231</t>
        </is>
      </c>
      <c r="H459" s="13" t="n"/>
      <c r="I459" s="87" t="n"/>
      <c r="J459" s="87" t="n">
        <v>6</v>
      </c>
      <c r="K459" s="19" t="n"/>
      <c r="L459" s="87" t="n"/>
      <c r="M459" s="13" t="n"/>
    </row>
    <row r="460" s="83">
      <c r="A460" s="11" t="inlineStr">
        <is>
          <t>101203</t>
        </is>
      </c>
      <c r="B460" s="11" t="n"/>
      <c r="C460" s="11" t="inlineStr">
        <is>
          <t>2025-06-30</t>
        </is>
      </c>
      <c r="D460" s="11" t="inlineStr">
        <is>
          <t>Else01</t>
        </is>
      </c>
      <c r="E460" s="11" t="n"/>
      <c r="F460" s="11" t="inlineStr">
        <is>
          <t>浙江精准学科技有限公司</t>
        </is>
      </c>
      <c r="G460" s="11" t="inlineStr">
        <is>
          <t>记-231</t>
        </is>
      </c>
      <c r="H460" s="11" t="n"/>
      <c r="I460" s="88" t="n"/>
      <c r="J460" s="87" t="n">
        <v>6</v>
      </c>
      <c r="K460" s="16" t="n"/>
      <c r="L460" s="88" t="n"/>
      <c r="M460" s="11" t="n"/>
    </row>
    <row r="461" s="83">
      <c r="A461" s="13" t="inlineStr">
        <is>
          <t>101203</t>
        </is>
      </c>
      <c r="B461" s="13" t="n"/>
      <c r="C461" s="13" t="inlineStr">
        <is>
          <t>2025-06-30</t>
        </is>
      </c>
      <c r="D461" s="13" t="inlineStr">
        <is>
          <t>Else01</t>
        </is>
      </c>
      <c r="E461" s="13" t="n"/>
      <c r="F461" s="13" t="inlineStr">
        <is>
          <t>浙江精准学科技有限公司</t>
        </is>
      </c>
      <c r="G461" s="13" t="inlineStr">
        <is>
          <t>记-235</t>
        </is>
      </c>
      <c r="H461" s="13" t="n"/>
      <c r="I461" s="87" t="n"/>
      <c r="J461" s="87" t="n">
        <v>6</v>
      </c>
      <c r="K461" s="19" t="n"/>
      <c r="L461" s="87" t="n"/>
      <c r="M461" s="13" t="n"/>
    </row>
    <row r="462" s="83">
      <c r="A462" s="11" t="inlineStr">
        <is>
          <t>101203</t>
        </is>
      </c>
      <c r="B462" s="11" t="n"/>
      <c r="C462" s="11" t="inlineStr">
        <is>
          <t>2025-06-30</t>
        </is>
      </c>
      <c r="D462" s="11" t="inlineStr">
        <is>
          <t>Else01</t>
        </is>
      </c>
      <c r="E462" s="11" t="n"/>
      <c r="F462" s="11" t="inlineStr">
        <is>
          <t>浙江精准学科技有限公司</t>
        </is>
      </c>
      <c r="G462" s="11" t="inlineStr">
        <is>
          <t>记-236</t>
        </is>
      </c>
      <c r="H462" s="11" t="n"/>
      <c r="I462" s="88" t="n">
        <v>6</v>
      </c>
      <c r="J462" s="88" t="n"/>
      <c r="K462" s="16" t="n"/>
      <c r="L462" s="88" t="n"/>
      <c r="M462" s="11" t="n"/>
    </row>
    <row r="463" s="83">
      <c r="A463" s="13" t="inlineStr">
        <is>
          <t>101203</t>
        </is>
      </c>
      <c r="B463" s="13" t="n"/>
      <c r="C463" s="13" t="inlineStr">
        <is>
          <t>2025-06-30</t>
        </is>
      </c>
      <c r="D463" s="13" t="inlineStr">
        <is>
          <t>Else01</t>
        </is>
      </c>
      <c r="E463" s="13" t="n"/>
      <c r="F463" s="13" t="inlineStr">
        <is>
          <t>浙江精准学科技有限公司</t>
        </is>
      </c>
      <c r="G463" s="13" t="inlineStr">
        <is>
          <t>记-236</t>
        </is>
      </c>
      <c r="H463" s="13" t="n"/>
      <c r="I463" s="88" t="n">
        <v>6</v>
      </c>
      <c r="J463" s="87" t="n"/>
      <c r="K463" s="19" t="n"/>
      <c r="L463" s="87" t="n"/>
      <c r="M463" s="13" t="n"/>
    </row>
    <row r="464" s="83">
      <c r="A464" s="11" t="inlineStr">
        <is>
          <t>101203</t>
        </is>
      </c>
      <c r="B464" s="11" t="n"/>
      <c r="C464" s="11" t="inlineStr">
        <is>
          <t>2025-06-30</t>
        </is>
      </c>
      <c r="D464" s="11" t="inlineStr">
        <is>
          <t>Else01</t>
        </is>
      </c>
      <c r="E464" s="11" t="n"/>
      <c r="F464" s="11" t="inlineStr">
        <is>
          <t>浙江精准学科技有限公司</t>
        </is>
      </c>
      <c r="G464" s="11" t="inlineStr">
        <is>
          <t>记-237</t>
        </is>
      </c>
      <c r="H464" s="11" t="n"/>
      <c r="I464" s="88" t="n"/>
      <c r="J464" s="87" t="n">
        <v>6</v>
      </c>
      <c r="K464" s="16" t="n"/>
      <c r="L464" s="88" t="n"/>
      <c r="M464" s="11" t="n"/>
    </row>
    <row r="465" s="83">
      <c r="A465" s="13" t="inlineStr">
        <is>
          <t>101203</t>
        </is>
      </c>
      <c r="B465" s="13" t="n"/>
      <c r="C465" s="13" t="inlineStr">
        <is>
          <t>2025-06-30</t>
        </is>
      </c>
      <c r="D465" s="13" t="inlineStr">
        <is>
          <t>Else01</t>
        </is>
      </c>
      <c r="E465" s="13" t="n"/>
      <c r="F465" s="13" t="inlineStr">
        <is>
          <t>浙江精准学科技有限公司</t>
        </is>
      </c>
      <c r="G465" s="13" t="inlineStr">
        <is>
          <t>记-237</t>
        </is>
      </c>
      <c r="H465" s="13" t="n"/>
      <c r="I465" s="87" t="n"/>
      <c r="J465" s="87" t="n">
        <v>6</v>
      </c>
      <c r="K465" s="19" t="n"/>
      <c r="L465" s="87" t="n"/>
      <c r="M465" s="13" t="n"/>
    </row>
    <row r="466" s="83">
      <c r="A466" s="13" t="inlineStr">
        <is>
          <t>101203</t>
        </is>
      </c>
      <c r="B466" s="13" t="n"/>
      <c r="C466" s="13" t="inlineStr">
        <is>
          <t>2025-06-23</t>
        </is>
      </c>
      <c r="D466" s="13" t="inlineStr">
        <is>
          <t>Q0101</t>
        </is>
      </c>
      <c r="E466" s="13" t="n"/>
      <c r="F466" s="13" t="inlineStr">
        <is>
          <t>浙江精准学科技有限公司</t>
        </is>
      </c>
      <c r="G466" s="13" t="inlineStr">
        <is>
          <t>记-243</t>
        </is>
      </c>
      <c r="H466" s="13" t="n"/>
      <c r="I466" s="87" t="n"/>
      <c r="J466" s="87" t="n">
        <v>6</v>
      </c>
      <c r="K466" s="19" t="n"/>
      <c r="L466" s="87" t="n"/>
      <c r="M466" s="13" t="n"/>
    </row>
    <row r="467" s="83">
      <c r="A467" s="11" t="inlineStr">
        <is>
          <t>101203</t>
        </is>
      </c>
      <c r="B467" s="11" t="n"/>
      <c r="C467" s="11" t="inlineStr">
        <is>
          <t>2025-06-30</t>
        </is>
      </c>
      <c r="D467" s="11" t="inlineStr">
        <is>
          <t>Q0101</t>
        </is>
      </c>
      <c r="E467" s="11" t="n"/>
      <c r="F467" s="11" t="inlineStr">
        <is>
          <t>浙江精准学科技有限公司</t>
        </is>
      </c>
      <c r="G467" s="11" t="inlineStr">
        <is>
          <t>记-240</t>
        </is>
      </c>
      <c r="H467" s="11" t="n"/>
      <c r="I467" s="88" t="n">
        <v>6</v>
      </c>
      <c r="J467" s="88" t="n"/>
      <c r="K467" s="16" t="n"/>
      <c r="L467" s="88" t="n"/>
      <c r="M467" s="11" t="n"/>
    </row>
    <row r="468" s="83">
      <c r="A468" s="13" t="inlineStr">
        <is>
          <t>101203</t>
        </is>
      </c>
      <c r="B468" s="13" t="n"/>
      <c r="C468" s="13" t="inlineStr">
        <is>
          <t>2025-06-30</t>
        </is>
      </c>
      <c r="D468" s="13" t="inlineStr">
        <is>
          <t>Q0101</t>
        </is>
      </c>
      <c r="E468" s="13" t="n"/>
      <c r="F468" s="13" t="inlineStr">
        <is>
          <t>浙江精准学科技有限公司</t>
        </is>
      </c>
      <c r="G468" s="13" t="inlineStr">
        <is>
          <t>记-241</t>
        </is>
      </c>
      <c r="H468" s="13" t="n"/>
      <c r="I468" s="88" t="n">
        <v>6</v>
      </c>
      <c r="J468" s="87" t="n"/>
      <c r="K468" s="19" t="n"/>
      <c r="L468" s="87" t="n"/>
      <c r="M468" s="13" t="n"/>
    </row>
    <row r="469" s="83">
      <c r="A469" s="11" t="inlineStr">
        <is>
          <t>101203</t>
        </is>
      </c>
      <c r="B469" s="11" t="n"/>
      <c r="C469" s="11" t="inlineStr">
        <is>
          <t>2025-06-30</t>
        </is>
      </c>
      <c r="D469" s="11" t="inlineStr">
        <is>
          <t>Q0101</t>
        </is>
      </c>
      <c r="E469" s="11" t="n"/>
      <c r="F469" s="11" t="inlineStr">
        <is>
          <t>浙江精准学科技有限公司</t>
        </is>
      </c>
      <c r="G469" s="11" t="inlineStr">
        <is>
          <t>记-241</t>
        </is>
      </c>
      <c r="H469" s="11" t="n"/>
      <c r="I469" s="88" t="n"/>
      <c r="J469" s="87" t="n">
        <v>6</v>
      </c>
      <c r="K469" s="16" t="n"/>
      <c r="L469" s="88" t="n"/>
      <c r="M469" s="11" t="n"/>
    </row>
    <row r="470" s="83">
      <c r="A470" s="11" t="inlineStr">
        <is>
          <t>101203</t>
        </is>
      </c>
      <c r="B470" s="11" t="n"/>
      <c r="C470" s="11" t="inlineStr">
        <is>
          <t>2025-06-30</t>
        </is>
      </c>
      <c r="D470" s="11" t="inlineStr">
        <is>
          <t>Q0103</t>
        </is>
      </c>
      <c r="E470" s="11" t="n"/>
      <c r="F470" s="11" t="inlineStr">
        <is>
          <t>浙江精准学科技有限公司</t>
        </is>
      </c>
      <c r="G470" s="11" t="inlineStr">
        <is>
          <t>记-240</t>
        </is>
      </c>
      <c r="H470" s="11" t="n"/>
      <c r="I470" s="88" t="n">
        <v>6</v>
      </c>
      <c r="J470" s="88" t="n"/>
      <c r="K470" s="16" t="n"/>
      <c r="L470" s="88" t="n"/>
      <c r="M470" s="11" t="n"/>
    </row>
    <row r="471" s="83">
      <c r="A471" s="13" t="inlineStr">
        <is>
          <t>101203</t>
        </is>
      </c>
      <c r="B471" s="13" t="n"/>
      <c r="C471" s="13" t="inlineStr">
        <is>
          <t>2025-06-30</t>
        </is>
      </c>
      <c r="D471" s="13" t="inlineStr">
        <is>
          <t>Q0103</t>
        </is>
      </c>
      <c r="E471" s="13" t="n"/>
      <c r="F471" s="13" t="inlineStr">
        <is>
          <t>浙江精准学科技有限公司</t>
        </is>
      </c>
      <c r="G471" s="13" t="inlineStr">
        <is>
          <t>记-241</t>
        </is>
      </c>
      <c r="H471" s="13" t="n"/>
      <c r="I471" s="88" t="n">
        <v>6</v>
      </c>
      <c r="J471" s="87" t="n"/>
      <c r="K471" s="19" t="n"/>
      <c r="L471" s="87" t="n"/>
      <c r="M471" s="13" t="n"/>
    </row>
    <row r="472" s="83">
      <c r="A472" s="11" t="inlineStr">
        <is>
          <t>101203</t>
        </is>
      </c>
      <c r="B472" s="11" t="n"/>
      <c r="C472" s="11" t="inlineStr">
        <is>
          <t>2025-06-04</t>
        </is>
      </c>
      <c r="D472" s="11" t="inlineStr">
        <is>
          <t>Q0401</t>
        </is>
      </c>
      <c r="E472" s="11" t="n"/>
      <c r="F472" s="11" t="inlineStr">
        <is>
          <t>浙江精准学科技有限公司</t>
        </is>
      </c>
      <c r="G472" s="11" t="inlineStr">
        <is>
          <t>记-17</t>
        </is>
      </c>
      <c r="H472" s="11" t="n"/>
      <c r="I472" s="88" t="n"/>
      <c r="J472" s="87" t="n">
        <v>6</v>
      </c>
      <c r="K472" s="16" t="n"/>
      <c r="L472" s="88" t="n"/>
      <c r="M472" s="11" t="n"/>
    </row>
    <row r="473" s="83">
      <c r="A473" s="13" t="inlineStr">
        <is>
          <t>101203</t>
        </is>
      </c>
      <c r="B473" s="13" t="n"/>
      <c r="C473" s="13" t="inlineStr">
        <is>
          <t>2025-06-11</t>
        </is>
      </c>
      <c r="D473" s="13" t="inlineStr">
        <is>
          <t>Q0401</t>
        </is>
      </c>
      <c r="E473" s="13" t="n"/>
      <c r="F473" s="13" t="inlineStr">
        <is>
          <t>浙江精准学科技有限公司</t>
        </is>
      </c>
      <c r="G473" s="13" t="inlineStr">
        <is>
          <t>记-60</t>
        </is>
      </c>
      <c r="H473" s="13" t="n"/>
      <c r="I473" s="87" t="n"/>
      <c r="J473" s="87" t="n">
        <v>6</v>
      </c>
      <c r="K473" s="19" t="n"/>
      <c r="L473" s="87" t="n"/>
      <c r="M473" s="13" t="n"/>
    </row>
    <row r="474" s="83">
      <c r="A474" s="11" t="inlineStr">
        <is>
          <t>101203</t>
        </is>
      </c>
      <c r="B474" s="11" t="n"/>
      <c r="C474" s="11" t="inlineStr">
        <is>
          <t>2025-06-13</t>
        </is>
      </c>
      <c r="D474" s="11" t="inlineStr">
        <is>
          <t>Q0401</t>
        </is>
      </c>
      <c r="E474" s="11" t="n"/>
      <c r="F474" s="11" t="inlineStr">
        <is>
          <t>浙江精准学科技有限公司</t>
        </is>
      </c>
      <c r="G474" s="11" t="inlineStr">
        <is>
          <t>记-88</t>
        </is>
      </c>
      <c r="H474" s="11" t="n"/>
      <c r="I474" s="88" t="n"/>
      <c r="J474" s="87" t="n">
        <v>6</v>
      </c>
      <c r="K474" s="16" t="n"/>
      <c r="L474" s="88" t="n"/>
      <c r="M474" s="11" t="n"/>
    </row>
    <row r="475" s="83">
      <c r="A475" s="13" t="inlineStr">
        <is>
          <t>101203</t>
        </is>
      </c>
      <c r="B475" s="13" t="n"/>
      <c r="C475" s="13" t="inlineStr">
        <is>
          <t>2025-06-16</t>
        </is>
      </c>
      <c r="D475" s="13" t="inlineStr">
        <is>
          <t>Q0401</t>
        </is>
      </c>
      <c r="E475" s="13" t="n"/>
      <c r="F475" s="13" t="inlineStr">
        <is>
          <t>浙江精准学科技有限公司</t>
        </is>
      </c>
      <c r="G475" s="13" t="inlineStr">
        <is>
          <t>记-109</t>
        </is>
      </c>
      <c r="H475" s="13" t="n"/>
      <c r="I475" s="87" t="n"/>
      <c r="J475" s="87" t="n">
        <v>6</v>
      </c>
      <c r="K475" s="19" t="n"/>
      <c r="L475" s="87" t="n"/>
      <c r="M475" s="13" t="n"/>
    </row>
    <row r="476" s="83">
      <c r="A476" s="11" t="inlineStr">
        <is>
          <t>101203</t>
        </is>
      </c>
      <c r="B476" s="11" t="n"/>
      <c r="C476" s="11" t="inlineStr">
        <is>
          <t>2025-06-18</t>
        </is>
      </c>
      <c r="D476" s="11" t="inlineStr">
        <is>
          <t>Q0401</t>
        </is>
      </c>
      <c r="E476" s="11" t="n"/>
      <c r="F476" s="11" t="inlineStr">
        <is>
          <t>浙江精准学科技有限公司</t>
        </is>
      </c>
      <c r="G476" s="11" t="inlineStr">
        <is>
          <t>记-139</t>
        </is>
      </c>
      <c r="H476" s="11" t="n"/>
      <c r="I476" s="88" t="n"/>
      <c r="J476" s="87" t="n">
        <v>6</v>
      </c>
      <c r="K476" s="16" t="n"/>
      <c r="L476" s="88" t="n"/>
      <c r="M476" s="11" t="n"/>
    </row>
    <row r="477" s="83">
      <c r="A477" s="13" t="inlineStr">
        <is>
          <t>101203</t>
        </is>
      </c>
      <c r="B477" s="13" t="n"/>
      <c r="C477" s="13" t="inlineStr">
        <is>
          <t>2025-06-23</t>
        </is>
      </c>
      <c r="D477" s="13" t="inlineStr">
        <is>
          <t>Q0401</t>
        </is>
      </c>
      <c r="E477" s="13" t="n"/>
      <c r="F477" s="13" t="inlineStr">
        <is>
          <t>浙江精准学科技有限公司</t>
        </is>
      </c>
      <c r="G477" s="13" t="inlineStr">
        <is>
          <t>记-173</t>
        </is>
      </c>
      <c r="H477" s="13" t="n"/>
      <c r="I477" s="87" t="n"/>
      <c r="J477" s="87" t="n">
        <v>6</v>
      </c>
      <c r="K477" s="19" t="n"/>
      <c r="L477" s="87" t="n"/>
      <c r="M477" s="13" t="n"/>
    </row>
    <row r="478" s="83">
      <c r="A478" s="11" t="inlineStr">
        <is>
          <t>101203</t>
        </is>
      </c>
      <c r="B478" s="11" t="n"/>
      <c r="C478" s="11" t="inlineStr">
        <is>
          <t>2025-06-25</t>
        </is>
      </c>
      <c r="D478" s="11" t="inlineStr">
        <is>
          <t>Q0401</t>
        </is>
      </c>
      <c r="E478" s="11" t="n"/>
      <c r="F478" s="11" t="inlineStr">
        <is>
          <t>浙江精准学科技有限公司</t>
        </is>
      </c>
      <c r="G478" s="11" t="inlineStr">
        <is>
          <t>记-195</t>
        </is>
      </c>
      <c r="H478" s="11" t="n"/>
      <c r="I478" s="88" t="n"/>
      <c r="J478" s="87" t="n">
        <v>6</v>
      </c>
      <c r="K478" s="16" t="n"/>
      <c r="L478" s="88" t="n"/>
      <c r="M478" s="11" t="n"/>
    </row>
    <row r="479" s="83">
      <c r="A479" s="13" t="inlineStr">
        <is>
          <t>101203</t>
        </is>
      </c>
      <c r="B479" s="13" t="n"/>
      <c r="C479" s="13" t="inlineStr">
        <is>
          <t>2025-06-27</t>
        </is>
      </c>
      <c r="D479" s="13" t="inlineStr">
        <is>
          <t>Q0401</t>
        </is>
      </c>
      <c r="E479" s="13" t="n"/>
      <c r="F479" s="13" t="inlineStr">
        <is>
          <t>浙江精准学科技有限公司</t>
        </is>
      </c>
      <c r="G479" s="13" t="inlineStr">
        <is>
          <t>记-211</t>
        </is>
      </c>
      <c r="H479" s="13" t="n"/>
      <c r="I479" s="87" t="n"/>
      <c r="J479" s="87" t="n">
        <v>6</v>
      </c>
      <c r="K479" s="19" t="n"/>
      <c r="L479" s="87" t="n"/>
      <c r="M479" s="13" t="n"/>
    </row>
    <row r="480" s="83">
      <c r="A480" s="11" t="inlineStr">
        <is>
          <t>101203</t>
        </is>
      </c>
      <c r="B480" s="11" t="n"/>
      <c r="C480" s="11" t="inlineStr">
        <is>
          <t>2025-06-30</t>
        </is>
      </c>
      <c r="D480" s="11" t="inlineStr">
        <is>
          <t>Q0401</t>
        </is>
      </c>
      <c r="E480" s="11" t="n"/>
      <c r="F480" s="11" t="inlineStr">
        <is>
          <t>浙江精准学科技有限公司</t>
        </is>
      </c>
      <c r="G480" s="11" t="inlineStr">
        <is>
          <t>记-225</t>
        </is>
      </c>
      <c r="H480" s="11" t="n"/>
      <c r="I480" s="88" t="n"/>
      <c r="J480" s="87" t="n">
        <v>6</v>
      </c>
      <c r="K480" s="16" t="n"/>
      <c r="L480" s="88" t="n"/>
      <c r="M480" s="11" t="n"/>
    </row>
    <row r="481" s="83">
      <c r="A481" s="11" t="inlineStr">
        <is>
          <t>101203</t>
        </is>
      </c>
      <c r="B481" s="11" t="n"/>
      <c r="C481" s="11" t="inlineStr">
        <is>
          <t>2025-06-30</t>
        </is>
      </c>
      <c r="D481" s="11" t="inlineStr">
        <is>
          <t>Q2201</t>
        </is>
      </c>
      <c r="E481" s="11" t="n"/>
      <c r="F481" s="11" t="inlineStr">
        <is>
          <t>浙江精准学科技有限公司</t>
        </is>
      </c>
      <c r="G481" s="11" t="inlineStr">
        <is>
          <t>记-240</t>
        </is>
      </c>
      <c r="H481" s="11" t="n"/>
      <c r="I481" s="88" t="n"/>
      <c r="J481" s="87" t="n">
        <v>6</v>
      </c>
      <c r="K481" s="16" t="n"/>
      <c r="L481" s="88" t="n"/>
      <c r="M481" s="11" t="n"/>
    </row>
    <row r="482" s="83">
      <c r="A482" s="11" t="inlineStr">
        <is>
          <t>101203</t>
        </is>
      </c>
      <c r="B482" s="11" t="n"/>
      <c r="C482" s="11" t="inlineStr">
        <is>
          <t>2025-06-30</t>
        </is>
      </c>
      <c r="D482" s="11" t="inlineStr">
        <is>
          <t>Q2402</t>
        </is>
      </c>
      <c r="E482" s="11" t="n"/>
      <c r="F482" s="11" t="inlineStr">
        <is>
          <t>浙江精准学科技有限公司</t>
        </is>
      </c>
      <c r="G482" s="11" t="inlineStr">
        <is>
          <t>记-240</t>
        </is>
      </c>
      <c r="H482" s="11" t="n"/>
      <c r="I482" s="88" t="n"/>
      <c r="J482" s="87" t="n">
        <v>6</v>
      </c>
      <c r="K482" s="16" t="n"/>
      <c r="L482" s="88" t="n"/>
      <c r="M482" s="11" t="n"/>
    </row>
    <row r="483" s="83">
      <c r="A483" s="13" t="inlineStr">
        <is>
          <t>101203</t>
        </is>
      </c>
      <c r="B483" s="13" t="n"/>
      <c r="C483" s="13" t="inlineStr">
        <is>
          <t>2025-06-30</t>
        </is>
      </c>
      <c r="D483" s="13" t="inlineStr">
        <is>
          <t>Q2201</t>
        </is>
      </c>
      <c r="E483" s="13" t="n"/>
      <c r="F483" s="13" t="inlineStr">
        <is>
          <t>浙江精准学科技有限公司</t>
        </is>
      </c>
      <c r="G483" s="13" t="inlineStr">
        <is>
          <t>记-241</t>
        </is>
      </c>
      <c r="H483" s="13" t="n"/>
      <c r="I483" s="87" t="n"/>
      <c r="J483" s="87" t="n">
        <v>6</v>
      </c>
      <c r="K483" s="19" t="n"/>
      <c r="L483" s="87" t="n"/>
      <c r="M483" s="13" t="n"/>
    </row>
    <row r="484" s="83">
      <c r="A484" s="13" t="inlineStr">
        <is>
          <t>101203</t>
        </is>
      </c>
      <c r="B484" s="13" t="n"/>
      <c r="C484" s="13" t="inlineStr">
        <is>
          <t>2025-06-30</t>
        </is>
      </c>
      <c r="D484" s="13" t="inlineStr">
        <is>
          <t>Q2204</t>
        </is>
      </c>
      <c r="E484" s="13" t="n"/>
      <c r="F484" s="13" t="inlineStr">
        <is>
          <t>浙江精准学科技有限公司</t>
        </is>
      </c>
      <c r="G484" s="13" t="inlineStr">
        <is>
          <t>记-240</t>
        </is>
      </c>
      <c r="H484" s="13" t="n"/>
      <c r="I484" s="87" t="n"/>
      <c r="J484" s="87" t="n">
        <v>6</v>
      </c>
      <c r="K484" s="19" t="n"/>
      <c r="L484" s="87" t="n"/>
      <c r="M484" s="13" t="n"/>
    </row>
    <row r="485" s="83">
      <c r="A485" s="11" t="inlineStr">
        <is>
          <t>101203</t>
        </is>
      </c>
      <c r="B485" s="11" t="n"/>
      <c r="C485" s="11" t="inlineStr">
        <is>
          <t>2025-06-30</t>
        </is>
      </c>
      <c r="D485" s="11" t="inlineStr">
        <is>
          <t>Q2204</t>
        </is>
      </c>
      <c r="E485" s="11" t="n"/>
      <c r="F485" s="11" t="inlineStr">
        <is>
          <t>浙江精准学科技有限公司</t>
        </is>
      </c>
      <c r="G485" s="11" t="inlineStr">
        <is>
          <t>记-241</t>
        </is>
      </c>
      <c r="H485" s="11" t="n"/>
      <c r="I485" s="88" t="n"/>
      <c r="J485" s="87" t="n">
        <v>6</v>
      </c>
      <c r="K485" s="16" t="n"/>
      <c r="L485" s="88" t="n"/>
      <c r="M485" s="11" t="n"/>
    </row>
    <row r="486" s="83">
      <c r="A486" s="11" t="inlineStr">
        <is>
          <t>101203</t>
        </is>
      </c>
      <c r="B486" s="11" t="n"/>
      <c r="C486" s="11" t="inlineStr">
        <is>
          <t>2025-06-30</t>
        </is>
      </c>
      <c r="D486" s="11" t="inlineStr">
        <is>
          <t>Q2205</t>
        </is>
      </c>
      <c r="E486" s="11" t="n"/>
      <c r="F486" s="11" t="inlineStr">
        <is>
          <t>浙江精准学科技有限公司</t>
        </is>
      </c>
      <c r="G486" s="11" t="inlineStr">
        <is>
          <t>记-240</t>
        </is>
      </c>
      <c r="H486" s="11" t="n"/>
      <c r="I486" s="88" t="n"/>
      <c r="J486" s="87" t="n">
        <v>6</v>
      </c>
      <c r="K486" s="16" t="n"/>
      <c r="L486" s="88" t="n"/>
      <c r="M486" s="11" t="n"/>
    </row>
    <row r="487" s="83">
      <c r="A487" s="13" t="inlineStr">
        <is>
          <t>101203</t>
        </is>
      </c>
      <c r="B487" s="13" t="n"/>
      <c r="C487" s="13" t="inlineStr">
        <is>
          <t>2025-06-30</t>
        </is>
      </c>
      <c r="D487" s="13" t="inlineStr">
        <is>
          <t>Q2205</t>
        </is>
      </c>
      <c r="E487" s="13" t="n"/>
      <c r="F487" s="13" t="inlineStr">
        <is>
          <t>浙江精准学科技有限公司</t>
        </is>
      </c>
      <c r="G487" s="13" t="inlineStr">
        <is>
          <t>记-241</t>
        </is>
      </c>
      <c r="H487" s="13" t="n"/>
      <c r="I487" s="87" t="n"/>
      <c r="J487" s="87" t="n">
        <v>6</v>
      </c>
      <c r="K487" s="19" t="n"/>
      <c r="L487" s="87" t="n"/>
      <c r="M487" s="13" t="n"/>
    </row>
    <row r="488" s="83">
      <c r="A488" s="13" t="inlineStr">
        <is>
          <t>101207</t>
        </is>
      </c>
      <c r="B488" s="13" t="n"/>
      <c r="C488" s="13" t="inlineStr">
        <is>
          <t>2025-06-01</t>
        </is>
      </c>
      <c r="D488" s="13" t="inlineStr">
        <is>
          <t>Else01</t>
        </is>
      </c>
      <c r="E488" s="13" t="n"/>
      <c r="F488" s="13" t="inlineStr">
        <is>
          <t>浙江精准学科技有限公司</t>
        </is>
      </c>
      <c r="G488" s="13" t="inlineStr">
        <is>
          <t>记-2</t>
        </is>
      </c>
      <c r="H488" s="13" t="n"/>
      <c r="I488" s="88" t="n">
        <v>6</v>
      </c>
      <c r="J488" s="87" t="n"/>
      <c r="K488" s="19" t="n"/>
      <c r="L488" s="87" t="n"/>
      <c r="M488" s="13" t="n"/>
    </row>
    <row r="489" s="83">
      <c r="A489" s="11" t="inlineStr">
        <is>
          <t>101207</t>
        </is>
      </c>
      <c r="B489" s="11" t="n"/>
      <c r="C489" s="11" t="inlineStr">
        <is>
          <t>2025-06-01</t>
        </is>
      </c>
      <c r="D489" s="11" t="inlineStr">
        <is>
          <t>Else01</t>
        </is>
      </c>
      <c r="E489" s="11" t="n"/>
      <c r="F489" s="11" t="inlineStr">
        <is>
          <t>浙江精准学科技有限公司</t>
        </is>
      </c>
      <c r="G489" s="11" t="inlineStr">
        <is>
          <t>记-3</t>
        </is>
      </c>
      <c r="H489" s="11" t="n"/>
      <c r="I489" s="88" t="n"/>
      <c r="J489" s="87" t="n">
        <v>6</v>
      </c>
      <c r="K489" s="16" t="n"/>
      <c r="L489" s="88" t="n"/>
      <c r="M489" s="11" t="n"/>
    </row>
    <row r="490" s="83">
      <c r="A490" s="13" t="inlineStr">
        <is>
          <t>101207</t>
        </is>
      </c>
      <c r="B490" s="13" t="n"/>
      <c r="C490" s="13" t="inlineStr">
        <is>
          <t>2025-06-02</t>
        </is>
      </c>
      <c r="D490" s="13" t="inlineStr">
        <is>
          <t>Else01</t>
        </is>
      </c>
      <c r="E490" s="13" t="n"/>
      <c r="F490" s="13" t="inlineStr">
        <is>
          <t>浙江精准学科技有限公司</t>
        </is>
      </c>
      <c r="G490" s="13" t="inlineStr">
        <is>
          <t>记-4</t>
        </is>
      </c>
      <c r="H490" s="13" t="n"/>
      <c r="I490" s="88" t="n">
        <v>6</v>
      </c>
      <c r="J490" s="87" t="n"/>
      <c r="K490" s="19" t="n"/>
      <c r="L490" s="87" t="n"/>
      <c r="M490" s="13" t="n"/>
    </row>
    <row r="491" s="83">
      <c r="A491" s="11" t="inlineStr">
        <is>
          <t>101207</t>
        </is>
      </c>
      <c r="B491" s="11" t="n"/>
      <c r="C491" s="11" t="inlineStr">
        <is>
          <t>2025-06-02</t>
        </is>
      </c>
      <c r="D491" s="11" t="inlineStr">
        <is>
          <t>Else01</t>
        </is>
      </c>
      <c r="E491" s="11" t="n"/>
      <c r="F491" s="11" t="inlineStr">
        <is>
          <t>浙江精准学科技有限公司</t>
        </is>
      </c>
      <c r="G491" s="11" t="inlineStr">
        <is>
          <t>记-5</t>
        </is>
      </c>
      <c r="H491" s="11" t="n"/>
      <c r="I491" s="88" t="n"/>
      <c r="J491" s="87" t="n">
        <v>6</v>
      </c>
      <c r="K491" s="16" t="n"/>
      <c r="L491" s="88" t="n"/>
      <c r="M491" s="11" t="n"/>
    </row>
    <row r="492" s="83">
      <c r="A492" s="13" t="inlineStr">
        <is>
          <t>101207</t>
        </is>
      </c>
      <c r="B492" s="13" t="n"/>
      <c r="C492" s="13" t="inlineStr">
        <is>
          <t>2025-06-03</t>
        </is>
      </c>
      <c r="D492" s="13" t="inlineStr">
        <is>
          <t>Else01</t>
        </is>
      </c>
      <c r="E492" s="13" t="n"/>
      <c r="F492" s="13" t="inlineStr">
        <is>
          <t>浙江精准学科技有限公司</t>
        </is>
      </c>
      <c r="G492" s="13" t="inlineStr">
        <is>
          <t>记-14</t>
        </is>
      </c>
      <c r="H492" s="13" t="n"/>
      <c r="I492" s="88" t="n">
        <v>6</v>
      </c>
      <c r="J492" s="87" t="n"/>
      <c r="K492" s="19" t="n"/>
      <c r="L492" s="87" t="n"/>
      <c r="M492" s="13" t="n"/>
    </row>
    <row r="493" s="83">
      <c r="A493" s="11" t="inlineStr">
        <is>
          <t>101207</t>
        </is>
      </c>
      <c r="B493" s="11" t="n"/>
      <c r="C493" s="11" t="inlineStr">
        <is>
          <t>2025-06-03</t>
        </is>
      </c>
      <c r="D493" s="11" t="inlineStr">
        <is>
          <t>Else01</t>
        </is>
      </c>
      <c r="E493" s="11" t="n"/>
      <c r="F493" s="11" t="inlineStr">
        <is>
          <t>浙江精准学科技有限公司</t>
        </is>
      </c>
      <c r="G493" s="11" t="inlineStr">
        <is>
          <t>记-15</t>
        </is>
      </c>
      <c r="H493" s="11" t="n"/>
      <c r="I493" s="88" t="n"/>
      <c r="J493" s="87" t="n">
        <v>6</v>
      </c>
      <c r="K493" s="16" t="n"/>
      <c r="L493" s="88" t="n"/>
      <c r="M493" s="11" t="n"/>
    </row>
    <row r="494" s="83">
      <c r="A494" s="13" t="inlineStr">
        <is>
          <t>101207</t>
        </is>
      </c>
      <c r="B494" s="13" t="n"/>
      <c r="C494" s="13" t="inlineStr">
        <is>
          <t>2025-06-04</t>
        </is>
      </c>
      <c r="D494" s="13" t="inlineStr">
        <is>
          <t>Else01</t>
        </is>
      </c>
      <c r="E494" s="13" t="n"/>
      <c r="F494" s="13" t="inlineStr">
        <is>
          <t>浙江精准学科技有限公司</t>
        </is>
      </c>
      <c r="G494" s="13" t="inlineStr">
        <is>
          <t>记-28</t>
        </is>
      </c>
      <c r="H494" s="13" t="n"/>
      <c r="I494" s="88" t="n">
        <v>6</v>
      </c>
      <c r="J494" s="87" t="n"/>
      <c r="K494" s="19" t="n"/>
      <c r="L494" s="87" t="n"/>
      <c r="M494" s="13" t="n"/>
    </row>
    <row r="495" s="83">
      <c r="A495" s="11" t="inlineStr">
        <is>
          <t>101207</t>
        </is>
      </c>
      <c r="B495" s="11" t="n"/>
      <c r="C495" s="11" t="inlineStr">
        <is>
          <t>2025-06-04</t>
        </is>
      </c>
      <c r="D495" s="11" t="inlineStr">
        <is>
          <t>Else01</t>
        </is>
      </c>
      <c r="E495" s="11" t="n"/>
      <c r="F495" s="11" t="inlineStr">
        <is>
          <t>浙江精准学科技有限公司</t>
        </is>
      </c>
      <c r="G495" s="11" t="inlineStr">
        <is>
          <t>记-29</t>
        </is>
      </c>
      <c r="H495" s="11" t="n"/>
      <c r="I495" s="88" t="n"/>
      <c r="J495" s="87" t="n">
        <v>6</v>
      </c>
      <c r="K495" s="16" t="n"/>
      <c r="L495" s="88" t="n"/>
      <c r="M495" s="11" t="n"/>
    </row>
    <row r="496" s="83">
      <c r="A496" s="13" t="inlineStr">
        <is>
          <t>101207</t>
        </is>
      </c>
      <c r="B496" s="13" t="n"/>
      <c r="C496" s="13" t="inlineStr">
        <is>
          <t>2025-06-05</t>
        </is>
      </c>
      <c r="D496" s="13" t="inlineStr">
        <is>
          <t>Else01</t>
        </is>
      </c>
      <c r="E496" s="13" t="n"/>
      <c r="F496" s="13" t="inlineStr">
        <is>
          <t>浙江精准学科技有限公司</t>
        </is>
      </c>
      <c r="G496" s="13" t="inlineStr">
        <is>
          <t>记-35</t>
        </is>
      </c>
      <c r="H496" s="13" t="n"/>
      <c r="I496" s="88" t="n">
        <v>6</v>
      </c>
      <c r="J496" s="87" t="n"/>
      <c r="K496" s="19" t="n"/>
      <c r="L496" s="87" t="n"/>
      <c r="M496" s="13" t="n"/>
    </row>
    <row r="497" s="83">
      <c r="A497" s="11" t="inlineStr">
        <is>
          <t>101207</t>
        </is>
      </c>
      <c r="B497" s="11" t="n"/>
      <c r="C497" s="11" t="inlineStr">
        <is>
          <t>2025-06-05</t>
        </is>
      </c>
      <c r="D497" s="11" t="inlineStr">
        <is>
          <t>Else01</t>
        </is>
      </c>
      <c r="E497" s="11" t="n"/>
      <c r="F497" s="11" t="inlineStr">
        <is>
          <t>浙江精准学科技有限公司</t>
        </is>
      </c>
      <c r="G497" s="11" t="inlineStr">
        <is>
          <t>记-36</t>
        </is>
      </c>
      <c r="H497" s="11" t="n"/>
      <c r="I497" s="88" t="n"/>
      <c r="J497" s="87" t="n">
        <v>6</v>
      </c>
      <c r="K497" s="16" t="n"/>
      <c r="L497" s="88" t="n"/>
      <c r="M497" s="11" t="n"/>
    </row>
    <row r="498" s="83">
      <c r="A498" s="13" t="inlineStr">
        <is>
          <t>101207</t>
        </is>
      </c>
      <c r="B498" s="13" t="n"/>
      <c r="C498" s="13" t="inlineStr">
        <is>
          <t>2025-06-06</t>
        </is>
      </c>
      <c r="D498" s="13" t="inlineStr">
        <is>
          <t>Else01</t>
        </is>
      </c>
      <c r="E498" s="13" t="n"/>
      <c r="F498" s="13" t="inlineStr">
        <is>
          <t>浙江精准学科技有限公司</t>
        </is>
      </c>
      <c r="G498" s="13" t="inlineStr">
        <is>
          <t>记-40</t>
        </is>
      </c>
      <c r="H498" s="13" t="n"/>
      <c r="I498" s="88" t="n">
        <v>6</v>
      </c>
      <c r="J498" s="87" t="n"/>
      <c r="K498" s="19" t="n"/>
      <c r="L498" s="87" t="n"/>
      <c r="M498" s="13" t="n"/>
    </row>
    <row r="499" s="83">
      <c r="A499" s="11" t="inlineStr">
        <is>
          <t>101207</t>
        </is>
      </c>
      <c r="B499" s="11" t="n"/>
      <c r="C499" s="11" t="inlineStr">
        <is>
          <t>2025-06-06</t>
        </is>
      </c>
      <c r="D499" s="11" t="inlineStr">
        <is>
          <t>Else01</t>
        </is>
      </c>
      <c r="E499" s="11" t="n"/>
      <c r="F499" s="11" t="inlineStr">
        <is>
          <t>浙江精准学科技有限公司</t>
        </is>
      </c>
      <c r="G499" s="11" t="inlineStr">
        <is>
          <t>记-41</t>
        </is>
      </c>
      <c r="H499" s="11" t="n"/>
      <c r="I499" s="88" t="n"/>
      <c r="J499" s="87" t="n">
        <v>6</v>
      </c>
      <c r="K499" s="16" t="n"/>
      <c r="L499" s="88" t="n"/>
      <c r="M499" s="11" t="n"/>
    </row>
    <row r="500" s="83">
      <c r="A500" s="13" t="inlineStr">
        <is>
          <t>101207</t>
        </is>
      </c>
      <c r="B500" s="13" t="n"/>
      <c r="C500" s="13" t="inlineStr">
        <is>
          <t>2025-06-07</t>
        </is>
      </c>
      <c r="D500" s="13" t="inlineStr">
        <is>
          <t>Else01</t>
        </is>
      </c>
      <c r="E500" s="13" t="n"/>
      <c r="F500" s="13" t="inlineStr">
        <is>
          <t>浙江精准学科技有限公司</t>
        </is>
      </c>
      <c r="G500" s="13" t="inlineStr">
        <is>
          <t>记-42</t>
        </is>
      </c>
      <c r="H500" s="13" t="n"/>
      <c r="I500" s="88" t="n">
        <v>6</v>
      </c>
      <c r="J500" s="87" t="n"/>
      <c r="K500" s="19" t="n"/>
      <c r="L500" s="87" t="n"/>
      <c r="M500" s="13" t="n"/>
    </row>
    <row r="501" s="83">
      <c r="A501" s="11" t="inlineStr">
        <is>
          <t>101207</t>
        </is>
      </c>
      <c r="B501" s="11" t="n"/>
      <c r="C501" s="11" t="inlineStr">
        <is>
          <t>2025-06-07</t>
        </is>
      </c>
      <c r="D501" s="11" t="inlineStr">
        <is>
          <t>Else01</t>
        </is>
      </c>
      <c r="E501" s="11" t="n"/>
      <c r="F501" s="11" t="inlineStr">
        <is>
          <t>浙江精准学科技有限公司</t>
        </is>
      </c>
      <c r="G501" s="11" t="inlineStr">
        <is>
          <t>记-43</t>
        </is>
      </c>
      <c r="H501" s="11" t="n"/>
      <c r="I501" s="88" t="n"/>
      <c r="J501" s="87" t="n">
        <v>6</v>
      </c>
      <c r="K501" s="16" t="n"/>
      <c r="L501" s="88" t="n"/>
      <c r="M501" s="11" t="n"/>
    </row>
    <row r="502" s="83">
      <c r="A502" s="13" t="inlineStr">
        <is>
          <t>101207</t>
        </is>
      </c>
      <c r="B502" s="13" t="n"/>
      <c r="C502" s="13" t="inlineStr">
        <is>
          <t>2025-06-08</t>
        </is>
      </c>
      <c r="D502" s="13" t="inlineStr">
        <is>
          <t>Else01</t>
        </is>
      </c>
      <c r="E502" s="13" t="n"/>
      <c r="F502" s="13" t="inlineStr">
        <is>
          <t>浙江精准学科技有限公司</t>
        </is>
      </c>
      <c r="G502" s="13" t="inlineStr">
        <is>
          <t>记-45</t>
        </is>
      </c>
      <c r="H502" s="13" t="n"/>
      <c r="I502" s="88" t="n">
        <v>6</v>
      </c>
      <c r="J502" s="87" t="n"/>
      <c r="K502" s="19" t="n"/>
      <c r="L502" s="87" t="n"/>
      <c r="M502" s="13" t="n"/>
    </row>
    <row r="503" s="83">
      <c r="A503" s="11" t="inlineStr">
        <is>
          <t>101207</t>
        </is>
      </c>
      <c r="B503" s="11" t="n"/>
      <c r="C503" s="11" t="inlineStr">
        <is>
          <t>2025-06-08</t>
        </is>
      </c>
      <c r="D503" s="11" t="inlineStr">
        <is>
          <t>Else01</t>
        </is>
      </c>
      <c r="E503" s="11" t="n"/>
      <c r="F503" s="11" t="inlineStr">
        <is>
          <t>浙江精准学科技有限公司</t>
        </is>
      </c>
      <c r="G503" s="11" t="inlineStr">
        <is>
          <t>记-46</t>
        </is>
      </c>
      <c r="H503" s="11" t="n"/>
      <c r="I503" s="88" t="n"/>
      <c r="J503" s="87" t="n">
        <v>6</v>
      </c>
      <c r="K503" s="16" t="n"/>
      <c r="L503" s="88" t="n"/>
      <c r="M503" s="11" t="n"/>
    </row>
    <row r="504" s="83">
      <c r="A504" s="13" t="inlineStr">
        <is>
          <t>101207</t>
        </is>
      </c>
      <c r="B504" s="13" t="n"/>
      <c r="C504" s="13" t="inlineStr">
        <is>
          <t>2025-06-09</t>
        </is>
      </c>
      <c r="D504" s="13" t="inlineStr">
        <is>
          <t>Else01</t>
        </is>
      </c>
      <c r="E504" s="13" t="n"/>
      <c r="F504" s="13" t="inlineStr">
        <is>
          <t>浙江精准学科技有限公司</t>
        </is>
      </c>
      <c r="G504" s="13" t="inlineStr">
        <is>
          <t>记-50</t>
        </is>
      </c>
      <c r="H504" s="13" t="n"/>
      <c r="I504" s="88" t="n">
        <v>6</v>
      </c>
      <c r="J504" s="87" t="n"/>
      <c r="K504" s="19" t="n"/>
      <c r="L504" s="87" t="n"/>
      <c r="M504" s="13" t="n"/>
    </row>
    <row r="505" s="83">
      <c r="A505" s="11" t="inlineStr">
        <is>
          <t>101207</t>
        </is>
      </c>
      <c r="B505" s="11" t="n"/>
      <c r="C505" s="11" t="inlineStr">
        <is>
          <t>2025-06-09</t>
        </is>
      </c>
      <c r="D505" s="11" t="inlineStr">
        <is>
          <t>Else01</t>
        </is>
      </c>
      <c r="E505" s="11" t="n"/>
      <c r="F505" s="11" t="inlineStr">
        <is>
          <t>浙江精准学科技有限公司</t>
        </is>
      </c>
      <c r="G505" s="11" t="inlineStr">
        <is>
          <t>记-51</t>
        </is>
      </c>
      <c r="H505" s="11" t="n"/>
      <c r="I505" s="88" t="n"/>
      <c r="J505" s="87" t="n">
        <v>6</v>
      </c>
      <c r="K505" s="16" t="n"/>
      <c r="L505" s="88" t="n"/>
      <c r="M505" s="11" t="n"/>
    </row>
    <row r="506" s="83">
      <c r="A506" s="13" t="inlineStr">
        <is>
          <t>101207</t>
        </is>
      </c>
      <c r="B506" s="13" t="n"/>
      <c r="C506" s="13" t="inlineStr">
        <is>
          <t>2025-06-10</t>
        </is>
      </c>
      <c r="D506" s="13" t="inlineStr">
        <is>
          <t>Else01</t>
        </is>
      </c>
      <c r="E506" s="13" t="n"/>
      <c r="F506" s="13" t="inlineStr">
        <is>
          <t>浙江精准学科技有限公司</t>
        </is>
      </c>
      <c r="G506" s="13" t="inlineStr">
        <is>
          <t>记-55</t>
        </is>
      </c>
      <c r="H506" s="13" t="n"/>
      <c r="I506" s="88" t="n">
        <v>6</v>
      </c>
      <c r="J506" s="87" t="n"/>
      <c r="K506" s="19" t="n"/>
      <c r="L506" s="87" t="n"/>
      <c r="M506" s="13" t="n"/>
    </row>
    <row r="507" s="83">
      <c r="A507" s="11" t="inlineStr">
        <is>
          <t>101207</t>
        </is>
      </c>
      <c r="B507" s="11" t="n"/>
      <c r="C507" s="11" t="inlineStr">
        <is>
          <t>2025-06-10</t>
        </is>
      </c>
      <c r="D507" s="11" t="inlineStr">
        <is>
          <t>Else01</t>
        </is>
      </c>
      <c r="E507" s="11" t="n"/>
      <c r="F507" s="11" t="inlineStr">
        <is>
          <t>浙江精准学科技有限公司</t>
        </is>
      </c>
      <c r="G507" s="11" t="inlineStr">
        <is>
          <t>记-56</t>
        </is>
      </c>
      <c r="H507" s="11" t="n"/>
      <c r="I507" s="88" t="n"/>
      <c r="J507" s="87" t="n">
        <v>6</v>
      </c>
      <c r="K507" s="16" t="n"/>
      <c r="L507" s="88" t="n"/>
      <c r="M507" s="11" t="n"/>
    </row>
    <row r="508" s="83">
      <c r="A508" s="13" t="inlineStr">
        <is>
          <t>101207</t>
        </is>
      </c>
      <c r="B508" s="13" t="n"/>
      <c r="C508" s="13" t="inlineStr">
        <is>
          <t>2025-06-11</t>
        </is>
      </c>
      <c r="D508" s="13" t="inlineStr">
        <is>
          <t>Else01</t>
        </is>
      </c>
      <c r="E508" s="13" t="n"/>
      <c r="F508" s="13" t="inlineStr">
        <is>
          <t>浙江精准学科技有限公司</t>
        </is>
      </c>
      <c r="G508" s="13" t="inlineStr">
        <is>
          <t>记-68</t>
        </is>
      </c>
      <c r="H508" s="13" t="n"/>
      <c r="I508" s="88" t="n">
        <v>6</v>
      </c>
      <c r="J508" s="87" t="n"/>
      <c r="K508" s="19" t="n"/>
      <c r="L508" s="87" t="n"/>
      <c r="M508" s="13" t="n"/>
    </row>
    <row r="509" s="83">
      <c r="A509" s="11" t="inlineStr">
        <is>
          <t>101207</t>
        </is>
      </c>
      <c r="B509" s="11" t="n"/>
      <c r="C509" s="11" t="inlineStr">
        <is>
          <t>2025-06-11</t>
        </is>
      </c>
      <c r="D509" s="11" t="inlineStr">
        <is>
          <t>Else01</t>
        </is>
      </c>
      <c r="E509" s="11" t="n"/>
      <c r="F509" s="11" t="inlineStr">
        <is>
          <t>浙江精准学科技有限公司</t>
        </is>
      </c>
      <c r="G509" s="11" t="inlineStr">
        <is>
          <t>记-69</t>
        </is>
      </c>
      <c r="H509" s="11" t="n"/>
      <c r="I509" s="88" t="n"/>
      <c r="J509" s="87" t="n">
        <v>6</v>
      </c>
      <c r="K509" s="16" t="n"/>
      <c r="L509" s="88" t="n"/>
      <c r="M509" s="11" t="n"/>
    </row>
    <row r="510" s="83">
      <c r="A510" s="13" t="inlineStr">
        <is>
          <t>101207</t>
        </is>
      </c>
      <c r="B510" s="13" t="n"/>
      <c r="C510" s="13" t="inlineStr">
        <is>
          <t>2025-06-12</t>
        </is>
      </c>
      <c r="D510" s="13" t="inlineStr">
        <is>
          <t>Else01</t>
        </is>
      </c>
      <c r="E510" s="13" t="n"/>
      <c r="F510" s="13" t="inlineStr">
        <is>
          <t>浙江精准学科技有限公司</t>
        </is>
      </c>
      <c r="G510" s="13" t="inlineStr">
        <is>
          <t>记-82</t>
        </is>
      </c>
      <c r="H510" s="13" t="n"/>
      <c r="I510" s="88" t="n">
        <v>6</v>
      </c>
      <c r="J510" s="87" t="n"/>
      <c r="K510" s="19" t="n"/>
      <c r="L510" s="87" t="n"/>
      <c r="M510" s="13" t="n"/>
    </row>
    <row r="511" s="83">
      <c r="A511" s="11" t="inlineStr">
        <is>
          <t>101207</t>
        </is>
      </c>
      <c r="B511" s="11" t="n"/>
      <c r="C511" s="11" t="inlineStr">
        <is>
          <t>2025-06-12</t>
        </is>
      </c>
      <c r="D511" s="11" t="inlineStr">
        <is>
          <t>Else01</t>
        </is>
      </c>
      <c r="E511" s="11" t="n"/>
      <c r="F511" s="11" t="inlineStr">
        <is>
          <t>浙江精准学科技有限公司</t>
        </is>
      </c>
      <c r="G511" s="11" t="inlineStr">
        <is>
          <t>记-83</t>
        </is>
      </c>
      <c r="H511" s="11" t="n"/>
      <c r="I511" s="88" t="n"/>
      <c r="J511" s="87" t="n">
        <v>6</v>
      </c>
      <c r="K511" s="16" t="n"/>
      <c r="L511" s="88" t="n"/>
      <c r="M511" s="11" t="n"/>
    </row>
    <row r="512" s="83">
      <c r="A512" s="13" t="inlineStr">
        <is>
          <t>101207</t>
        </is>
      </c>
      <c r="B512" s="13" t="n"/>
      <c r="C512" s="13" t="inlineStr">
        <is>
          <t>2025-06-13</t>
        </is>
      </c>
      <c r="D512" s="13" t="inlineStr">
        <is>
          <t>Else01</t>
        </is>
      </c>
      <c r="E512" s="13" t="n"/>
      <c r="F512" s="13" t="inlineStr">
        <is>
          <t>浙江精准学科技有限公司</t>
        </is>
      </c>
      <c r="G512" s="13" t="inlineStr">
        <is>
          <t>记-86</t>
        </is>
      </c>
      <c r="H512" s="13" t="n"/>
      <c r="I512" s="87" t="n"/>
      <c r="J512" s="87" t="n">
        <v>6</v>
      </c>
      <c r="K512" s="19" t="n"/>
      <c r="L512" s="87" t="n"/>
      <c r="M512" s="13" t="n"/>
    </row>
    <row r="513" s="83">
      <c r="A513" s="11" t="inlineStr">
        <is>
          <t>101207</t>
        </is>
      </c>
      <c r="B513" s="11" t="n"/>
      <c r="C513" s="11" t="inlineStr">
        <is>
          <t>2025-06-13</t>
        </is>
      </c>
      <c r="D513" s="11" t="inlineStr">
        <is>
          <t>Else01</t>
        </is>
      </c>
      <c r="E513" s="11" t="n"/>
      <c r="F513" s="11" t="inlineStr">
        <is>
          <t>浙江精准学科技有限公司</t>
        </is>
      </c>
      <c r="G513" s="11" t="inlineStr">
        <is>
          <t>记-89</t>
        </is>
      </c>
      <c r="H513" s="11" t="n"/>
      <c r="I513" s="88" t="n">
        <v>6</v>
      </c>
      <c r="J513" s="88" t="n"/>
      <c r="K513" s="16" t="n"/>
      <c r="L513" s="88" t="n"/>
      <c r="M513" s="11" t="n"/>
    </row>
    <row r="514" s="83">
      <c r="A514" s="13" t="inlineStr">
        <is>
          <t>101207</t>
        </is>
      </c>
      <c r="B514" s="13" t="n"/>
      <c r="C514" s="13" t="inlineStr">
        <is>
          <t>2025-06-14</t>
        </is>
      </c>
      <c r="D514" s="13" t="inlineStr">
        <is>
          <t>Else01</t>
        </is>
      </c>
      <c r="E514" s="13" t="n"/>
      <c r="F514" s="13" t="inlineStr">
        <is>
          <t>浙江精准学科技有限公司</t>
        </is>
      </c>
      <c r="G514" s="13" t="inlineStr">
        <is>
          <t>记-104</t>
        </is>
      </c>
      <c r="H514" s="13" t="n"/>
      <c r="I514" s="88" t="n">
        <v>6</v>
      </c>
      <c r="J514" s="87" t="n"/>
      <c r="K514" s="19" t="n"/>
      <c r="L514" s="87" t="n"/>
      <c r="M514" s="13" t="n"/>
    </row>
    <row r="515" s="83">
      <c r="A515" s="11" t="inlineStr">
        <is>
          <t>101207</t>
        </is>
      </c>
      <c r="B515" s="11" t="n"/>
      <c r="C515" s="11" t="inlineStr">
        <is>
          <t>2025-06-14</t>
        </is>
      </c>
      <c r="D515" s="11" t="inlineStr">
        <is>
          <t>Else01</t>
        </is>
      </c>
      <c r="E515" s="11" t="n"/>
      <c r="F515" s="11" t="inlineStr">
        <is>
          <t>浙江精准学科技有限公司</t>
        </is>
      </c>
      <c r="G515" s="11" t="inlineStr">
        <is>
          <t>记-105</t>
        </is>
      </c>
      <c r="H515" s="11" t="n"/>
      <c r="I515" s="88" t="n"/>
      <c r="J515" s="87" t="n">
        <v>6</v>
      </c>
      <c r="K515" s="16" t="n"/>
      <c r="L515" s="88" t="n"/>
      <c r="M515" s="11" t="n"/>
    </row>
    <row r="516" s="83">
      <c r="A516" s="13" t="inlineStr">
        <is>
          <t>101207</t>
        </is>
      </c>
      <c r="B516" s="13" t="n"/>
      <c r="C516" s="13" t="inlineStr">
        <is>
          <t>2025-06-15</t>
        </is>
      </c>
      <c r="D516" s="13" t="inlineStr">
        <is>
          <t>Else01</t>
        </is>
      </c>
      <c r="E516" s="13" t="n"/>
      <c r="F516" s="13" t="inlineStr">
        <is>
          <t>浙江精准学科技有限公司</t>
        </is>
      </c>
      <c r="G516" s="13" t="inlineStr">
        <is>
          <t>记-106</t>
        </is>
      </c>
      <c r="H516" s="13" t="n"/>
      <c r="I516" s="88" t="n">
        <v>6</v>
      </c>
      <c r="J516" s="87" t="n"/>
      <c r="K516" s="19" t="n"/>
      <c r="L516" s="87" t="n"/>
      <c r="M516" s="13" t="n"/>
    </row>
    <row r="517" s="83">
      <c r="A517" s="11" t="inlineStr">
        <is>
          <t>101207</t>
        </is>
      </c>
      <c r="B517" s="11" t="n"/>
      <c r="C517" s="11" t="inlineStr">
        <is>
          <t>2025-06-15</t>
        </is>
      </c>
      <c r="D517" s="11" t="inlineStr">
        <is>
          <t>Else01</t>
        </is>
      </c>
      <c r="E517" s="11" t="n"/>
      <c r="F517" s="11" t="inlineStr">
        <is>
          <t>浙江精准学科技有限公司</t>
        </is>
      </c>
      <c r="G517" s="11" t="inlineStr">
        <is>
          <t>记-107</t>
        </is>
      </c>
      <c r="H517" s="11" t="n"/>
      <c r="I517" s="88" t="n"/>
      <c r="J517" s="87" t="n">
        <v>6</v>
      </c>
      <c r="K517" s="16" t="n"/>
      <c r="L517" s="88" t="n"/>
      <c r="M517" s="11" t="n"/>
    </row>
    <row r="518" s="83">
      <c r="A518" s="13" t="inlineStr">
        <is>
          <t>101207</t>
        </is>
      </c>
      <c r="B518" s="13" t="n"/>
      <c r="C518" s="13" t="inlineStr">
        <is>
          <t>2025-06-16</t>
        </is>
      </c>
      <c r="D518" s="13" t="inlineStr">
        <is>
          <t>Else01</t>
        </is>
      </c>
      <c r="E518" s="13" t="n"/>
      <c r="F518" s="13" t="inlineStr">
        <is>
          <t>浙江精准学科技有限公司</t>
        </is>
      </c>
      <c r="G518" s="13" t="inlineStr">
        <is>
          <t>记-110</t>
        </is>
      </c>
      <c r="H518" s="13" t="n"/>
      <c r="I518" s="88" t="n">
        <v>6</v>
      </c>
      <c r="J518" s="87" t="n"/>
      <c r="K518" s="19" t="n"/>
      <c r="L518" s="87" t="n"/>
      <c r="M518" s="13" t="n"/>
    </row>
    <row r="519" s="83">
      <c r="A519" s="11" t="inlineStr">
        <is>
          <t>101207</t>
        </is>
      </c>
      <c r="B519" s="11" t="n"/>
      <c r="C519" s="11" t="inlineStr">
        <is>
          <t>2025-06-16</t>
        </is>
      </c>
      <c r="D519" s="11" t="inlineStr">
        <is>
          <t>Else01</t>
        </is>
      </c>
      <c r="E519" s="11" t="n"/>
      <c r="F519" s="11" t="inlineStr">
        <is>
          <t>浙江精准学科技有限公司</t>
        </is>
      </c>
      <c r="G519" s="11" t="inlineStr">
        <is>
          <t>记-111</t>
        </is>
      </c>
      <c r="H519" s="11" t="n"/>
      <c r="I519" s="88" t="n"/>
      <c r="J519" s="87" t="n">
        <v>6</v>
      </c>
      <c r="K519" s="16" t="n"/>
      <c r="L519" s="88" t="n"/>
      <c r="M519" s="11" t="n"/>
    </row>
    <row r="520" s="83">
      <c r="A520" s="13" t="inlineStr">
        <is>
          <t>101207</t>
        </is>
      </c>
      <c r="B520" s="13" t="n"/>
      <c r="C520" s="13" t="inlineStr">
        <is>
          <t>2025-06-17</t>
        </is>
      </c>
      <c r="D520" s="13" t="inlineStr">
        <is>
          <t>Else01</t>
        </is>
      </c>
      <c r="E520" s="13" t="n"/>
      <c r="F520" s="13" t="inlineStr">
        <is>
          <t>浙江精准学科技有限公司</t>
        </is>
      </c>
      <c r="G520" s="13" t="inlineStr">
        <is>
          <t>记-129</t>
        </is>
      </c>
      <c r="H520" s="13" t="n"/>
      <c r="I520" s="88" t="n">
        <v>6</v>
      </c>
      <c r="J520" s="87" t="n"/>
      <c r="K520" s="19" t="n"/>
      <c r="L520" s="87" t="n"/>
      <c r="M520" s="13" t="n"/>
    </row>
    <row r="521" s="83">
      <c r="A521" s="11" t="inlineStr">
        <is>
          <t>101207</t>
        </is>
      </c>
      <c r="B521" s="11" t="n"/>
      <c r="C521" s="11" t="inlineStr">
        <is>
          <t>2025-06-17</t>
        </is>
      </c>
      <c r="D521" s="11" t="inlineStr">
        <is>
          <t>Else01</t>
        </is>
      </c>
      <c r="E521" s="11" t="n"/>
      <c r="F521" s="11" t="inlineStr">
        <is>
          <t>浙江精准学科技有限公司</t>
        </is>
      </c>
      <c r="G521" s="11" t="inlineStr">
        <is>
          <t>记-130</t>
        </is>
      </c>
      <c r="H521" s="11" t="n"/>
      <c r="I521" s="88" t="n"/>
      <c r="J521" s="87" t="n">
        <v>6</v>
      </c>
      <c r="K521" s="16" t="n"/>
      <c r="L521" s="88" t="n"/>
      <c r="M521" s="11" t="n"/>
    </row>
    <row r="522" s="83">
      <c r="A522" s="13" t="inlineStr">
        <is>
          <t>101207</t>
        </is>
      </c>
      <c r="B522" s="13" t="n"/>
      <c r="C522" s="13" t="inlineStr">
        <is>
          <t>2025-06-18</t>
        </is>
      </c>
      <c r="D522" s="13" t="inlineStr">
        <is>
          <t>Else01</t>
        </is>
      </c>
      <c r="E522" s="13" t="n"/>
      <c r="F522" s="13" t="inlineStr">
        <is>
          <t>浙江精准学科技有限公司</t>
        </is>
      </c>
      <c r="G522" s="13" t="inlineStr">
        <is>
          <t>记-143</t>
        </is>
      </c>
      <c r="H522" s="13" t="n"/>
      <c r="I522" s="88" t="n">
        <v>6</v>
      </c>
      <c r="J522" s="87" t="n"/>
      <c r="K522" s="19" t="n"/>
      <c r="L522" s="87" t="n"/>
      <c r="M522" s="13" t="n"/>
    </row>
    <row r="523" s="83">
      <c r="A523" s="11" t="inlineStr">
        <is>
          <t>101207</t>
        </is>
      </c>
      <c r="B523" s="11" t="n"/>
      <c r="C523" s="11" t="inlineStr">
        <is>
          <t>2025-06-18</t>
        </is>
      </c>
      <c r="D523" s="11" t="inlineStr">
        <is>
          <t>Else01</t>
        </is>
      </c>
      <c r="E523" s="11" t="n"/>
      <c r="F523" s="11" t="inlineStr">
        <is>
          <t>浙江精准学科技有限公司</t>
        </is>
      </c>
      <c r="G523" s="11" t="inlineStr">
        <is>
          <t>记-144</t>
        </is>
      </c>
      <c r="H523" s="11" t="n"/>
      <c r="I523" s="88" t="n"/>
      <c r="J523" s="87" t="n">
        <v>6</v>
      </c>
      <c r="K523" s="16" t="n"/>
      <c r="L523" s="88" t="n"/>
      <c r="M523" s="11" t="n"/>
    </row>
    <row r="524" s="83">
      <c r="A524" s="13" t="inlineStr">
        <is>
          <t>101207</t>
        </is>
      </c>
      <c r="B524" s="13" t="n"/>
      <c r="C524" s="13" t="inlineStr">
        <is>
          <t>2025-06-19</t>
        </is>
      </c>
      <c r="D524" s="13" t="inlineStr">
        <is>
          <t>Else01</t>
        </is>
      </c>
      <c r="E524" s="13" t="n"/>
      <c r="F524" s="13" t="inlineStr">
        <is>
          <t>浙江精准学科技有限公司</t>
        </is>
      </c>
      <c r="G524" s="13" t="inlineStr">
        <is>
          <t>记-145</t>
        </is>
      </c>
      <c r="H524" s="13" t="n"/>
      <c r="I524" s="88" t="n">
        <v>6</v>
      </c>
      <c r="J524" s="87" t="n"/>
      <c r="K524" s="19" t="n"/>
      <c r="L524" s="87" t="n"/>
      <c r="M524" s="13" t="n"/>
    </row>
    <row r="525" s="83">
      <c r="A525" s="11" t="inlineStr">
        <is>
          <t>101207</t>
        </is>
      </c>
      <c r="B525" s="11" t="n"/>
      <c r="C525" s="11" t="inlineStr">
        <is>
          <t>2025-06-19</t>
        </is>
      </c>
      <c r="D525" s="11" t="inlineStr">
        <is>
          <t>Else01</t>
        </is>
      </c>
      <c r="E525" s="11" t="n"/>
      <c r="F525" s="11" t="inlineStr">
        <is>
          <t>浙江精准学科技有限公司</t>
        </is>
      </c>
      <c r="G525" s="11" t="inlineStr">
        <is>
          <t>记-146</t>
        </is>
      </c>
      <c r="H525" s="11" t="n"/>
      <c r="I525" s="88" t="n"/>
      <c r="J525" s="87" t="n">
        <v>6</v>
      </c>
      <c r="K525" s="16" t="n"/>
      <c r="L525" s="88" t="n"/>
      <c r="M525" s="11" t="n"/>
    </row>
    <row r="526" s="83">
      <c r="A526" s="13" t="inlineStr">
        <is>
          <t>101207</t>
        </is>
      </c>
      <c r="B526" s="13" t="n"/>
      <c r="C526" s="13" t="inlineStr">
        <is>
          <t>2025-06-20</t>
        </is>
      </c>
      <c r="D526" s="13" t="inlineStr">
        <is>
          <t>Else01</t>
        </is>
      </c>
      <c r="E526" s="13" t="n"/>
      <c r="F526" s="13" t="inlineStr">
        <is>
          <t>浙江精准学科技有限公司</t>
        </is>
      </c>
      <c r="G526" s="13" t="inlineStr">
        <is>
          <t>记-154</t>
        </is>
      </c>
      <c r="H526" s="13" t="n"/>
      <c r="I526" s="88" t="n">
        <v>6</v>
      </c>
      <c r="J526" s="87" t="n"/>
      <c r="K526" s="19" t="n"/>
      <c r="L526" s="87" t="n"/>
      <c r="M526" s="13" t="n"/>
    </row>
    <row r="527" s="83">
      <c r="A527" s="11" t="inlineStr">
        <is>
          <t>101207</t>
        </is>
      </c>
      <c r="B527" s="11" t="n"/>
      <c r="C527" s="11" t="inlineStr">
        <is>
          <t>2025-06-20</t>
        </is>
      </c>
      <c r="D527" s="11" t="inlineStr">
        <is>
          <t>Else01</t>
        </is>
      </c>
      <c r="E527" s="11" t="n"/>
      <c r="F527" s="11" t="inlineStr">
        <is>
          <t>浙江精准学科技有限公司</t>
        </is>
      </c>
      <c r="G527" s="11" t="inlineStr">
        <is>
          <t>记-155</t>
        </is>
      </c>
      <c r="H527" s="11" t="n"/>
      <c r="I527" s="88" t="n"/>
      <c r="J527" s="87" t="n">
        <v>6</v>
      </c>
      <c r="K527" s="16" t="n"/>
      <c r="L527" s="88" t="n"/>
      <c r="M527" s="11" t="n"/>
    </row>
    <row r="528" s="83">
      <c r="A528" s="13" t="inlineStr">
        <is>
          <t>101207</t>
        </is>
      </c>
      <c r="B528" s="13" t="n"/>
      <c r="C528" s="13" t="inlineStr">
        <is>
          <t>2025-06-21</t>
        </is>
      </c>
      <c r="D528" s="13" t="inlineStr">
        <is>
          <t>Else01</t>
        </is>
      </c>
      <c r="E528" s="13" t="n"/>
      <c r="F528" s="13" t="inlineStr">
        <is>
          <t>浙江精准学科技有限公司</t>
        </is>
      </c>
      <c r="G528" s="13" t="inlineStr">
        <is>
          <t>记-163</t>
        </is>
      </c>
      <c r="H528" s="13" t="n"/>
      <c r="I528" s="88" t="n">
        <v>6</v>
      </c>
      <c r="J528" s="87" t="n"/>
      <c r="K528" s="19" t="n"/>
      <c r="L528" s="87" t="n"/>
      <c r="M528" s="13" t="n"/>
    </row>
    <row r="529" s="83">
      <c r="A529" s="11" t="inlineStr">
        <is>
          <t>101207</t>
        </is>
      </c>
      <c r="B529" s="11" t="n"/>
      <c r="C529" s="11" t="inlineStr">
        <is>
          <t>2025-06-21</t>
        </is>
      </c>
      <c r="D529" s="11" t="inlineStr">
        <is>
          <t>Else01</t>
        </is>
      </c>
      <c r="E529" s="11" t="n"/>
      <c r="F529" s="11" t="inlineStr">
        <is>
          <t>浙江精准学科技有限公司</t>
        </is>
      </c>
      <c r="G529" s="11" t="inlineStr">
        <is>
          <t>记-164</t>
        </is>
      </c>
      <c r="H529" s="11" t="n"/>
      <c r="I529" s="88" t="n"/>
      <c r="J529" s="87" t="n">
        <v>6</v>
      </c>
      <c r="K529" s="16" t="n"/>
      <c r="L529" s="88" t="n"/>
      <c r="M529" s="11" t="n"/>
    </row>
    <row r="530" s="83">
      <c r="A530" s="13" t="inlineStr">
        <is>
          <t>101207</t>
        </is>
      </c>
      <c r="B530" s="13" t="n"/>
      <c r="C530" s="13" t="inlineStr">
        <is>
          <t>2025-06-22</t>
        </is>
      </c>
      <c r="D530" s="13" t="inlineStr">
        <is>
          <t>Else01</t>
        </is>
      </c>
      <c r="E530" s="13" t="n"/>
      <c r="F530" s="13" t="inlineStr">
        <is>
          <t>浙江精准学科技有限公司</t>
        </is>
      </c>
      <c r="G530" s="13" t="inlineStr">
        <is>
          <t>记-168</t>
        </is>
      </c>
      <c r="H530" s="13" t="n"/>
      <c r="I530" s="88" t="n">
        <v>6</v>
      </c>
      <c r="J530" s="87" t="n"/>
      <c r="K530" s="19" t="n"/>
      <c r="L530" s="87" t="n"/>
      <c r="M530" s="13" t="n"/>
    </row>
    <row r="531" s="83">
      <c r="A531" s="11" t="inlineStr">
        <is>
          <t>101207</t>
        </is>
      </c>
      <c r="B531" s="11" t="n"/>
      <c r="C531" s="11" t="inlineStr">
        <is>
          <t>2025-06-22</t>
        </is>
      </c>
      <c r="D531" s="11" t="inlineStr">
        <is>
          <t>Else01</t>
        </is>
      </c>
      <c r="E531" s="11" t="n"/>
      <c r="F531" s="11" t="inlineStr">
        <is>
          <t>浙江精准学科技有限公司</t>
        </is>
      </c>
      <c r="G531" s="11" t="inlineStr">
        <is>
          <t>记-169</t>
        </is>
      </c>
      <c r="H531" s="11" t="n"/>
      <c r="I531" s="88" t="n"/>
      <c r="J531" s="87" t="n">
        <v>6</v>
      </c>
      <c r="K531" s="16" t="n"/>
      <c r="L531" s="88" t="n"/>
      <c r="M531" s="11" t="n"/>
    </row>
    <row r="532" s="83">
      <c r="A532" s="13" t="inlineStr">
        <is>
          <t>101207</t>
        </is>
      </c>
      <c r="B532" s="13" t="n"/>
      <c r="C532" s="13" t="inlineStr">
        <is>
          <t>2025-06-23</t>
        </is>
      </c>
      <c r="D532" s="13" t="inlineStr">
        <is>
          <t>Else01</t>
        </is>
      </c>
      <c r="E532" s="13" t="n"/>
      <c r="F532" s="13" t="inlineStr">
        <is>
          <t>浙江精准学科技有限公司</t>
        </is>
      </c>
      <c r="G532" s="13" t="inlineStr">
        <is>
          <t>记-179</t>
        </is>
      </c>
      <c r="H532" s="13" t="n"/>
      <c r="I532" s="88" t="n">
        <v>6</v>
      </c>
      <c r="J532" s="87" t="n"/>
      <c r="K532" s="19" t="n"/>
      <c r="L532" s="87" t="n"/>
      <c r="M532" s="13" t="n"/>
    </row>
    <row r="533" s="83">
      <c r="A533" s="11" t="inlineStr">
        <is>
          <t>101207</t>
        </is>
      </c>
      <c r="B533" s="11" t="n"/>
      <c r="C533" s="11" t="inlineStr">
        <is>
          <t>2025-06-23</t>
        </is>
      </c>
      <c r="D533" s="11" t="inlineStr">
        <is>
          <t>Else01</t>
        </is>
      </c>
      <c r="E533" s="11" t="n"/>
      <c r="F533" s="11" t="inlineStr">
        <is>
          <t>浙江精准学科技有限公司</t>
        </is>
      </c>
      <c r="G533" s="11" t="inlineStr">
        <is>
          <t>记-180</t>
        </is>
      </c>
      <c r="H533" s="11" t="n"/>
      <c r="I533" s="88" t="n"/>
      <c r="J533" s="87" t="n">
        <v>6</v>
      </c>
      <c r="K533" s="16" t="n"/>
      <c r="L533" s="88" t="n"/>
      <c r="M533" s="11" t="n"/>
    </row>
    <row r="534" s="83">
      <c r="A534" s="13" t="inlineStr">
        <is>
          <t>101207</t>
        </is>
      </c>
      <c r="B534" s="13" t="n"/>
      <c r="C534" s="13" t="inlineStr">
        <is>
          <t>2025-06-24</t>
        </is>
      </c>
      <c r="D534" s="13" t="inlineStr">
        <is>
          <t>Else01</t>
        </is>
      </c>
      <c r="E534" s="13" t="n"/>
      <c r="F534" s="13" t="inlineStr">
        <is>
          <t>浙江精准学科技有限公司</t>
        </is>
      </c>
      <c r="G534" s="13" t="inlineStr">
        <is>
          <t>记-192</t>
        </is>
      </c>
      <c r="H534" s="13" t="n"/>
      <c r="I534" s="88" t="n">
        <v>6</v>
      </c>
      <c r="J534" s="87" t="n"/>
      <c r="K534" s="19" t="n"/>
      <c r="L534" s="87" t="n"/>
      <c r="M534" s="13" t="n"/>
    </row>
    <row r="535" s="83">
      <c r="A535" s="11" t="inlineStr">
        <is>
          <t>101207</t>
        </is>
      </c>
      <c r="B535" s="11" t="n"/>
      <c r="C535" s="11" t="inlineStr">
        <is>
          <t>2025-06-24</t>
        </is>
      </c>
      <c r="D535" s="11" t="inlineStr">
        <is>
          <t>Else01</t>
        </is>
      </c>
      <c r="E535" s="11" t="n"/>
      <c r="F535" s="11" t="inlineStr">
        <is>
          <t>浙江精准学科技有限公司</t>
        </is>
      </c>
      <c r="G535" s="11" t="inlineStr">
        <is>
          <t>记-193</t>
        </is>
      </c>
      <c r="H535" s="11" t="n"/>
      <c r="I535" s="88" t="n"/>
      <c r="J535" s="87" t="n">
        <v>6</v>
      </c>
      <c r="K535" s="16" t="n"/>
      <c r="L535" s="88" t="n"/>
      <c r="M535" s="11" t="n"/>
    </row>
    <row r="536" s="83">
      <c r="A536" s="13" t="inlineStr">
        <is>
          <t>101207</t>
        </is>
      </c>
      <c r="B536" s="13" t="n"/>
      <c r="C536" s="13" t="inlineStr">
        <is>
          <t>2025-06-25</t>
        </is>
      </c>
      <c r="D536" s="13" t="inlineStr">
        <is>
          <t>Else01</t>
        </is>
      </c>
      <c r="E536" s="13" t="n"/>
      <c r="F536" s="13" t="inlineStr">
        <is>
          <t>浙江精准学科技有限公司</t>
        </is>
      </c>
      <c r="G536" s="13" t="inlineStr">
        <is>
          <t>记-202</t>
        </is>
      </c>
      <c r="H536" s="13" t="n"/>
      <c r="I536" s="88" t="n">
        <v>6</v>
      </c>
      <c r="J536" s="87" t="n"/>
      <c r="K536" s="19" t="n"/>
      <c r="L536" s="87" t="n"/>
      <c r="M536" s="13" t="n"/>
    </row>
    <row r="537" s="83">
      <c r="A537" s="11" t="inlineStr">
        <is>
          <t>101207</t>
        </is>
      </c>
      <c r="B537" s="11" t="n"/>
      <c r="C537" s="11" t="inlineStr">
        <is>
          <t>2025-06-25</t>
        </is>
      </c>
      <c r="D537" s="11" t="inlineStr">
        <is>
          <t>Else01</t>
        </is>
      </c>
      <c r="E537" s="11" t="n"/>
      <c r="F537" s="11" t="inlineStr">
        <is>
          <t>浙江精准学科技有限公司</t>
        </is>
      </c>
      <c r="G537" s="11" t="inlineStr">
        <is>
          <t>记-203</t>
        </is>
      </c>
      <c r="H537" s="11" t="n"/>
      <c r="I537" s="88" t="n"/>
      <c r="J537" s="87" t="n">
        <v>6</v>
      </c>
      <c r="K537" s="16" t="n"/>
      <c r="L537" s="88" t="n"/>
      <c r="M537" s="11" t="n"/>
    </row>
    <row r="538" s="83">
      <c r="A538" s="13" t="inlineStr">
        <is>
          <t>101207</t>
        </is>
      </c>
      <c r="B538" s="13" t="n"/>
      <c r="C538" s="13" t="inlineStr">
        <is>
          <t>2025-06-26</t>
        </is>
      </c>
      <c r="D538" s="13" t="inlineStr">
        <is>
          <t>Else01</t>
        </is>
      </c>
      <c r="E538" s="13" t="n"/>
      <c r="F538" s="13" t="inlineStr">
        <is>
          <t>浙江精准学科技有限公司</t>
        </is>
      </c>
      <c r="G538" s="13" t="inlineStr">
        <is>
          <t>记-208</t>
        </is>
      </c>
      <c r="H538" s="13" t="n"/>
      <c r="I538" s="88" t="n">
        <v>6</v>
      </c>
      <c r="J538" s="87" t="n"/>
      <c r="K538" s="19" t="n"/>
      <c r="L538" s="87" t="n"/>
      <c r="M538" s="13" t="n"/>
    </row>
    <row r="539" s="83">
      <c r="A539" s="11" t="inlineStr">
        <is>
          <t>101207</t>
        </is>
      </c>
      <c r="B539" s="11" t="n"/>
      <c r="C539" s="11" t="inlineStr">
        <is>
          <t>2025-06-26</t>
        </is>
      </c>
      <c r="D539" s="11" t="inlineStr">
        <is>
          <t>Else01</t>
        </is>
      </c>
      <c r="E539" s="11" t="n"/>
      <c r="F539" s="11" t="inlineStr">
        <is>
          <t>浙江精准学科技有限公司</t>
        </is>
      </c>
      <c r="G539" s="11" t="inlineStr">
        <is>
          <t>记-209</t>
        </is>
      </c>
      <c r="H539" s="11" t="n"/>
      <c r="I539" s="88" t="n"/>
      <c r="J539" s="87" t="n">
        <v>6</v>
      </c>
      <c r="K539" s="16" t="n"/>
      <c r="L539" s="88" t="n"/>
      <c r="M539" s="11" t="n"/>
    </row>
    <row r="540" s="83">
      <c r="A540" s="13" t="inlineStr">
        <is>
          <t>101207</t>
        </is>
      </c>
      <c r="B540" s="13" t="n"/>
      <c r="C540" s="13" t="inlineStr">
        <is>
          <t>2025-06-27</t>
        </is>
      </c>
      <c r="D540" s="13" t="inlineStr">
        <is>
          <t>Else01</t>
        </is>
      </c>
      <c r="E540" s="13" t="n"/>
      <c r="F540" s="13" t="inlineStr">
        <is>
          <t>浙江精准学科技有限公司</t>
        </is>
      </c>
      <c r="G540" s="13" t="inlineStr">
        <is>
          <t>记-218</t>
        </is>
      </c>
      <c r="H540" s="13" t="n"/>
      <c r="I540" s="88" t="n">
        <v>6</v>
      </c>
      <c r="J540" s="87" t="n"/>
      <c r="K540" s="19" t="n"/>
      <c r="L540" s="87" t="n"/>
      <c r="M540" s="13" t="n"/>
    </row>
    <row r="541" s="83">
      <c r="A541" s="11" t="inlineStr">
        <is>
          <t>101207</t>
        </is>
      </c>
      <c r="B541" s="11" t="n"/>
      <c r="C541" s="11" t="inlineStr">
        <is>
          <t>2025-06-27</t>
        </is>
      </c>
      <c r="D541" s="11" t="inlineStr">
        <is>
          <t>Else01</t>
        </is>
      </c>
      <c r="E541" s="11" t="n"/>
      <c r="F541" s="11" t="inlineStr">
        <is>
          <t>浙江精准学科技有限公司</t>
        </is>
      </c>
      <c r="G541" s="11" t="inlineStr">
        <is>
          <t>记-219</t>
        </is>
      </c>
      <c r="H541" s="11" t="n"/>
      <c r="I541" s="88" t="n"/>
      <c r="J541" s="87" t="n">
        <v>6</v>
      </c>
      <c r="K541" s="16" t="n"/>
      <c r="L541" s="88" t="n"/>
      <c r="M541" s="11" t="n"/>
    </row>
    <row r="542" s="83">
      <c r="A542" s="13" t="inlineStr">
        <is>
          <t>101207</t>
        </is>
      </c>
      <c r="B542" s="13" t="n"/>
      <c r="C542" s="13" t="inlineStr">
        <is>
          <t>2025-06-28</t>
        </is>
      </c>
      <c r="D542" s="13" t="inlineStr">
        <is>
          <t>Else01</t>
        </is>
      </c>
      <c r="E542" s="13" t="n"/>
      <c r="F542" s="13" t="inlineStr">
        <is>
          <t>浙江精准学科技有限公司</t>
        </is>
      </c>
      <c r="G542" s="13" t="inlineStr">
        <is>
          <t>记-220</t>
        </is>
      </c>
      <c r="H542" s="13" t="n"/>
      <c r="I542" s="88" t="n">
        <v>6</v>
      </c>
      <c r="J542" s="87" t="n"/>
      <c r="K542" s="19" t="n"/>
      <c r="L542" s="87" t="n"/>
      <c r="M542" s="13" t="n"/>
    </row>
    <row r="543" s="83">
      <c r="A543" s="11" t="inlineStr">
        <is>
          <t>101207</t>
        </is>
      </c>
      <c r="B543" s="11" t="n"/>
      <c r="C543" s="11" t="inlineStr">
        <is>
          <t>2025-06-29</t>
        </is>
      </c>
      <c r="D543" s="11" t="inlineStr">
        <is>
          <t>Else01</t>
        </is>
      </c>
      <c r="E543" s="11" t="n"/>
      <c r="F543" s="11" t="inlineStr">
        <is>
          <t>浙江精准学科技有限公司</t>
        </is>
      </c>
      <c r="G543" s="11" t="inlineStr">
        <is>
          <t>记-222</t>
        </is>
      </c>
      <c r="H543" s="11" t="n"/>
      <c r="I543" s="88" t="n">
        <v>6</v>
      </c>
      <c r="J543" s="88" t="n"/>
      <c r="K543" s="16" t="n"/>
      <c r="L543" s="88" t="n"/>
      <c r="M543" s="11" t="n"/>
    </row>
    <row r="544" s="83">
      <c r="A544" s="13" t="inlineStr">
        <is>
          <t>101207</t>
        </is>
      </c>
      <c r="B544" s="13" t="n"/>
      <c r="C544" s="13" t="inlineStr">
        <is>
          <t>2025-06-29</t>
        </is>
      </c>
      <c r="D544" s="13" t="inlineStr">
        <is>
          <t>Else01</t>
        </is>
      </c>
      <c r="E544" s="13" t="n"/>
      <c r="F544" s="13" t="inlineStr">
        <is>
          <t>浙江精准学科技有限公司</t>
        </is>
      </c>
      <c r="G544" s="13" t="inlineStr">
        <is>
          <t>记-223</t>
        </is>
      </c>
      <c r="H544" s="13" t="n"/>
      <c r="I544" s="87" t="n"/>
      <c r="J544" s="87" t="n">
        <v>6</v>
      </c>
      <c r="K544" s="19" t="n"/>
      <c r="L544" s="87" t="n"/>
      <c r="M544" s="13" t="n"/>
    </row>
    <row r="545" s="83">
      <c r="A545" s="11" t="inlineStr">
        <is>
          <t>101207</t>
        </is>
      </c>
      <c r="B545" s="11" t="n"/>
      <c r="C545" s="11" t="inlineStr">
        <is>
          <t>2025-06-30</t>
        </is>
      </c>
      <c r="D545" s="11" t="inlineStr">
        <is>
          <t>Else01</t>
        </is>
      </c>
      <c r="E545" s="11" t="n"/>
      <c r="F545" s="11" t="inlineStr">
        <is>
          <t>浙江精准学科技有限公司</t>
        </is>
      </c>
      <c r="G545" s="11" t="inlineStr">
        <is>
          <t>记-230</t>
        </is>
      </c>
      <c r="H545" s="11" t="n"/>
      <c r="I545" s="88" t="n">
        <v>6</v>
      </c>
      <c r="J545" s="88" t="n"/>
      <c r="K545" s="16" t="n"/>
      <c r="L545" s="88" t="n"/>
      <c r="M545" s="11" t="n"/>
    </row>
    <row r="546" s="83">
      <c r="A546" s="13" t="inlineStr">
        <is>
          <t>101207</t>
        </is>
      </c>
      <c r="B546" s="13" t="n"/>
      <c r="C546" s="13" t="inlineStr">
        <is>
          <t>2025-06-30</t>
        </is>
      </c>
      <c r="D546" s="13" t="inlineStr">
        <is>
          <t>Else01</t>
        </is>
      </c>
      <c r="E546" s="13" t="n"/>
      <c r="F546" s="13" t="inlineStr">
        <is>
          <t>浙江精准学科技有限公司</t>
        </is>
      </c>
      <c r="G546" s="13" t="inlineStr">
        <is>
          <t>记-231</t>
        </is>
      </c>
      <c r="H546" s="13" t="n"/>
      <c r="I546" s="87" t="n"/>
      <c r="J546" s="87" t="n">
        <v>6</v>
      </c>
      <c r="K546" s="19" t="n"/>
      <c r="L546" s="87" t="n"/>
      <c r="M546" s="13" t="n"/>
    </row>
    <row r="547" s="83">
      <c r="A547" s="11" t="inlineStr">
        <is>
          <t>101207</t>
        </is>
      </c>
      <c r="B547" s="11" t="n"/>
      <c r="C547" s="11" t="inlineStr">
        <is>
          <t>2025-06-30</t>
        </is>
      </c>
      <c r="D547" s="11" t="inlineStr">
        <is>
          <t>Else01</t>
        </is>
      </c>
      <c r="E547" s="11" t="n"/>
      <c r="F547" s="11" t="inlineStr">
        <is>
          <t>浙江精准学科技有限公司</t>
        </is>
      </c>
      <c r="G547" s="11" t="inlineStr">
        <is>
          <t>记-236</t>
        </is>
      </c>
      <c r="H547" s="11" t="n"/>
      <c r="I547" s="88" t="n">
        <v>6</v>
      </c>
      <c r="J547" s="88" t="n"/>
      <c r="K547" s="16" t="n"/>
      <c r="L547" s="88" t="n"/>
      <c r="M547" s="11" t="n"/>
    </row>
    <row r="548" s="83">
      <c r="A548" s="13" t="inlineStr">
        <is>
          <t>101207</t>
        </is>
      </c>
      <c r="B548" s="13" t="n"/>
      <c r="C548" s="13" t="inlineStr">
        <is>
          <t>2025-06-30</t>
        </is>
      </c>
      <c r="D548" s="13" t="inlineStr">
        <is>
          <t>Else01</t>
        </is>
      </c>
      <c r="E548" s="13" t="n"/>
      <c r="F548" s="13" t="inlineStr">
        <is>
          <t>浙江精准学科技有限公司</t>
        </is>
      </c>
      <c r="G548" s="13" t="inlineStr">
        <is>
          <t>记-237</t>
        </is>
      </c>
      <c r="H548" s="13" t="n"/>
      <c r="I548" s="87" t="n"/>
      <c r="J548" s="87" t="n">
        <v>6</v>
      </c>
      <c r="K548" s="19" t="n"/>
      <c r="L548" s="87" t="n"/>
      <c r="M548" s="13" t="n"/>
    </row>
    <row r="549" s="83">
      <c r="A549" s="13" t="inlineStr">
        <is>
          <t>101207</t>
        </is>
      </c>
      <c r="B549" s="13" t="n"/>
      <c r="C549" s="13" t="inlineStr">
        <is>
          <t>2025-06-30</t>
        </is>
      </c>
      <c r="D549" s="13" t="inlineStr">
        <is>
          <t>Q0101</t>
        </is>
      </c>
      <c r="E549" s="13" t="n"/>
      <c r="F549" s="13" t="inlineStr">
        <is>
          <t>浙江精准学科技有限公司</t>
        </is>
      </c>
      <c r="G549" s="13" t="inlineStr">
        <is>
          <t>记-239</t>
        </is>
      </c>
      <c r="H549" s="13" t="n"/>
      <c r="I549" s="88" t="n">
        <v>6</v>
      </c>
      <c r="J549" s="87" t="n"/>
      <c r="K549" s="19" t="n"/>
      <c r="L549" s="87" t="n"/>
      <c r="M549" s="13" t="n"/>
    </row>
    <row r="550" s="83">
      <c r="A550" s="11" t="inlineStr">
        <is>
          <t>101207</t>
        </is>
      </c>
      <c r="B550" s="11" t="n"/>
      <c r="C550" s="11" t="inlineStr">
        <is>
          <t>2025-06-30</t>
        </is>
      </c>
      <c r="D550" s="11" t="inlineStr">
        <is>
          <t>Q0101</t>
        </is>
      </c>
      <c r="E550" s="11" t="n"/>
      <c r="F550" s="11" t="inlineStr">
        <is>
          <t>浙江精准学科技有限公司</t>
        </is>
      </c>
      <c r="G550" s="11" t="inlineStr">
        <is>
          <t>记-239</t>
        </is>
      </c>
      <c r="H550" s="11" t="n"/>
      <c r="I550" s="88" t="n"/>
      <c r="J550" s="87" t="n">
        <v>6</v>
      </c>
      <c r="K550" s="16" t="n"/>
      <c r="L550" s="88" t="n"/>
      <c r="M550" s="11" t="n"/>
    </row>
    <row r="551" s="83">
      <c r="A551" s="11" t="inlineStr">
        <is>
          <t>101207</t>
        </is>
      </c>
      <c r="B551" s="11" t="n"/>
      <c r="C551" s="11" t="inlineStr">
        <is>
          <t>2025-06-30</t>
        </is>
      </c>
      <c r="D551" s="11" t="inlineStr">
        <is>
          <t>Q0103</t>
        </is>
      </c>
      <c r="E551" s="11" t="n"/>
      <c r="F551" s="11" t="inlineStr">
        <is>
          <t>浙江精准学科技有限公司</t>
        </is>
      </c>
      <c r="G551" s="11" t="inlineStr">
        <is>
          <t>记-239</t>
        </is>
      </c>
      <c r="H551" s="11" t="n"/>
      <c r="I551" s="88" t="n">
        <v>6</v>
      </c>
      <c r="J551" s="88" t="n"/>
      <c r="K551" s="16" t="n"/>
      <c r="L551" s="88" t="n"/>
      <c r="M551" s="11" t="n"/>
    </row>
    <row r="552" s="83">
      <c r="A552" s="11" t="inlineStr">
        <is>
          <t>101207</t>
        </is>
      </c>
      <c r="B552" s="11" t="n"/>
      <c r="C552" s="11" t="inlineStr">
        <is>
          <t>2025-06-13</t>
        </is>
      </c>
      <c r="D552" s="11" t="inlineStr">
        <is>
          <t>Q0401</t>
        </is>
      </c>
      <c r="E552" s="11" t="n"/>
      <c r="F552" s="11" t="inlineStr">
        <is>
          <t>浙江精准学科技有限公司</t>
        </is>
      </c>
      <c r="G552" s="11" t="inlineStr">
        <is>
          <t>记-87</t>
        </is>
      </c>
      <c r="H552" s="11" t="n"/>
      <c r="I552" s="88" t="n"/>
      <c r="J552" s="87" t="n">
        <v>6</v>
      </c>
      <c r="K552" s="16" t="n"/>
      <c r="L552" s="88" t="n"/>
      <c r="M552" s="11" t="n"/>
    </row>
    <row r="553" s="83">
      <c r="A553" s="13" t="inlineStr">
        <is>
          <t>101207</t>
        </is>
      </c>
      <c r="B553" s="13" t="n"/>
      <c r="C553" s="13" t="inlineStr">
        <is>
          <t>2025-06-24</t>
        </is>
      </c>
      <c r="D553" s="13" t="inlineStr">
        <is>
          <t>Q0401</t>
        </is>
      </c>
      <c r="E553" s="13" t="n"/>
      <c r="F553" s="13" t="inlineStr">
        <is>
          <t>浙江精准学科技有限公司</t>
        </is>
      </c>
      <c r="G553" s="13" t="inlineStr">
        <is>
          <t>记-191</t>
        </is>
      </c>
      <c r="H553" s="13" t="n"/>
      <c r="I553" s="87" t="n"/>
      <c r="J553" s="87" t="n">
        <v>6</v>
      </c>
      <c r="K553" s="19" t="n"/>
      <c r="L553" s="87" t="n"/>
      <c r="M553" s="13" t="n"/>
    </row>
    <row r="554" s="83">
      <c r="A554" s="13" t="inlineStr">
        <is>
          <t>101207</t>
        </is>
      </c>
      <c r="B554" s="13" t="n"/>
      <c r="C554" s="13" t="inlineStr">
        <is>
          <t>2025-06-30</t>
        </is>
      </c>
      <c r="D554" s="13" t="inlineStr">
        <is>
          <t>Q2201</t>
        </is>
      </c>
      <c r="E554" s="13" t="n"/>
      <c r="F554" s="13" t="inlineStr">
        <is>
          <t>浙江精准学科技有限公司</t>
        </is>
      </c>
      <c r="G554" s="13" t="inlineStr">
        <is>
          <t>记-239</t>
        </is>
      </c>
      <c r="H554" s="13" t="n"/>
      <c r="I554" s="87" t="n"/>
      <c r="J554" s="87" t="n">
        <v>6</v>
      </c>
      <c r="K554" s="19" t="n"/>
      <c r="L554" s="87" t="n"/>
      <c r="M554" s="13" t="n"/>
    </row>
    <row r="555" s="83">
      <c r="A555" s="11" t="inlineStr">
        <is>
          <t>101207</t>
        </is>
      </c>
      <c r="B555" s="11" t="n"/>
      <c r="C555" s="11" t="inlineStr">
        <is>
          <t>2025-06-30</t>
        </is>
      </c>
      <c r="D555" s="11" t="inlineStr">
        <is>
          <t>Q2201</t>
        </is>
      </c>
      <c r="E555" s="11" t="n"/>
      <c r="F555" s="11" t="inlineStr">
        <is>
          <t>浙江精准学科技有限公司</t>
        </is>
      </c>
      <c r="G555" s="11" t="inlineStr">
        <is>
          <t>记-239</t>
        </is>
      </c>
      <c r="H555" s="11" t="n"/>
      <c r="I555" s="88" t="n"/>
      <c r="J555" s="87" t="n">
        <v>6</v>
      </c>
      <c r="K555" s="16" t="n"/>
      <c r="L555" s="88" t="n"/>
      <c r="M555" s="11" t="n"/>
    </row>
    <row r="556" s="83">
      <c r="A556" s="11" t="inlineStr">
        <is>
          <t>101207</t>
        </is>
      </c>
      <c r="B556" s="11" t="n"/>
      <c r="C556" s="11" t="inlineStr">
        <is>
          <t>2025-06-30</t>
        </is>
      </c>
      <c r="D556" s="11" t="inlineStr">
        <is>
          <t>Q2204</t>
        </is>
      </c>
      <c r="E556" s="11" t="n"/>
      <c r="F556" s="11" t="inlineStr">
        <is>
          <t>浙江精准学科技有限公司</t>
        </is>
      </c>
      <c r="G556" s="11" t="inlineStr">
        <is>
          <t>记-239</t>
        </is>
      </c>
      <c r="H556" s="11" t="n"/>
      <c r="I556" s="88" t="n"/>
      <c r="J556" s="87" t="n">
        <v>6</v>
      </c>
      <c r="K556" s="16" t="n"/>
      <c r="L556" s="88" t="n"/>
      <c r="M556" s="11" t="n"/>
    </row>
    <row r="557" s="83">
      <c r="A557" s="11" t="inlineStr">
        <is>
          <t>101207</t>
        </is>
      </c>
      <c r="B557" s="11" t="n"/>
      <c r="C557" s="11" t="inlineStr">
        <is>
          <t>2025-06-30</t>
        </is>
      </c>
      <c r="D557" s="11" t="inlineStr">
        <is>
          <t>Q2205</t>
        </is>
      </c>
      <c r="E557" s="11" t="n"/>
      <c r="F557" s="11" t="inlineStr">
        <is>
          <t>浙江精准学科技有限公司</t>
        </is>
      </c>
      <c r="G557" s="11" t="inlineStr">
        <is>
          <t>记-239</t>
        </is>
      </c>
      <c r="H557" s="11" t="n"/>
      <c r="I557" s="88" t="n"/>
      <c r="J557" s="87" t="n">
        <v>6</v>
      </c>
      <c r="K557" s="16" t="n"/>
      <c r="L557" s="88" t="n"/>
      <c r="M557" s="11" t="n"/>
    </row>
    <row r="558" s="83">
      <c r="A558" s="11" t="inlineStr">
        <is>
          <t>101207</t>
        </is>
      </c>
      <c r="B558" s="11" t="n"/>
      <c r="C558" s="11" t="inlineStr">
        <is>
          <t>2025-06-30</t>
        </is>
      </c>
      <c r="D558" s="11" t="inlineStr">
        <is>
          <t>Q2207</t>
        </is>
      </c>
      <c r="E558" s="11" t="n"/>
      <c r="F558" s="11" t="inlineStr">
        <is>
          <t>浙江精准学科技有限公司</t>
        </is>
      </c>
      <c r="G558" s="11" t="inlineStr">
        <is>
          <t>记-239</t>
        </is>
      </c>
      <c r="H558" s="11" t="n"/>
      <c r="I558" s="88" t="n"/>
      <c r="J558" s="87" t="n">
        <v>6</v>
      </c>
      <c r="K558" s="16" t="n"/>
      <c r="L558" s="88" t="n"/>
      <c r="M558" s="11" t="n"/>
    </row>
    <row r="559" s="83">
      <c r="A559" s="11" t="inlineStr">
        <is>
          <t>101207</t>
        </is>
      </c>
      <c r="B559" s="11" t="n"/>
      <c r="C559" s="11" t="inlineStr">
        <is>
          <t>2025-06-30</t>
        </is>
      </c>
      <c r="D559" s="11" t="inlineStr">
        <is>
          <t>Q2208</t>
        </is>
      </c>
      <c r="E559" s="11" t="n"/>
      <c r="F559" s="11" t="inlineStr">
        <is>
          <t>浙江精准学科技有限公司</t>
        </is>
      </c>
      <c r="G559" s="11" t="inlineStr">
        <is>
          <t>记-239</t>
        </is>
      </c>
      <c r="H559" s="11" t="n"/>
      <c r="I559" s="88" t="n"/>
      <c r="J559" s="87" t="n">
        <v>6</v>
      </c>
      <c r="K559" s="16" t="n"/>
      <c r="L559" s="88" t="n"/>
      <c r="M559" s="11" t="n"/>
    </row>
    <row r="560" s="83">
      <c r="A560" s="13" t="inlineStr">
        <is>
          <t>100201</t>
        </is>
      </c>
      <c r="B560" s="13" t="n"/>
      <c r="C560" s="13" t="inlineStr">
        <is>
          <t>2025-06-30</t>
        </is>
      </c>
      <c r="D560" s="13" t="inlineStr">
        <is>
          <t>Q0302</t>
        </is>
      </c>
      <c r="E560" s="13" t="n"/>
      <c r="F560" s="13" t="inlineStr">
        <is>
          <t>SMART LEARNING HOLDING</t>
        </is>
      </c>
      <c r="G560" s="13" t="inlineStr">
        <is>
          <t>记-2</t>
        </is>
      </c>
      <c r="H560" s="13" t="n"/>
      <c r="I560" s="88" t="n">
        <v>6</v>
      </c>
      <c r="J560" s="87" t="n"/>
      <c r="K560" s="19" t="n"/>
      <c r="L560" s="87" t="n"/>
      <c r="M560" s="13" t="n"/>
    </row>
    <row r="561" s="83">
      <c r="A561" s="13" t="inlineStr">
        <is>
          <t>100201</t>
        </is>
      </c>
      <c r="B561" s="13" t="n"/>
      <c r="C561" s="13" t="inlineStr">
        <is>
          <t>2025-06-30</t>
        </is>
      </c>
      <c r="D561" s="13" t="inlineStr">
        <is>
          <t>Q0401</t>
        </is>
      </c>
      <c r="E561" s="13" t="n"/>
      <c r="F561" s="13" t="inlineStr">
        <is>
          <t>SMART LEARNING HOLDING</t>
        </is>
      </c>
      <c r="G561" s="13" t="inlineStr">
        <is>
          <t>记-3</t>
        </is>
      </c>
      <c r="H561" s="13" t="n"/>
      <c r="I561" s="87" t="n"/>
      <c r="J561" s="87" t="n">
        <v>6</v>
      </c>
      <c r="K561" s="19" t="n"/>
      <c r="L561" s="87" t="n"/>
      <c r="M561" s="13" t="n"/>
    </row>
    <row r="562" s="83">
      <c r="A562" s="11" t="inlineStr">
        <is>
          <t>100201</t>
        </is>
      </c>
      <c r="B562" s="11" t="n"/>
      <c r="C562" s="11" t="inlineStr">
        <is>
          <t>2025-06-30</t>
        </is>
      </c>
      <c r="D562" s="11" t="inlineStr">
        <is>
          <t>Q0401</t>
        </is>
      </c>
      <c r="E562" s="11" t="n"/>
      <c r="F562" s="11" t="inlineStr">
        <is>
          <t>SMART LEARNING HOLDING</t>
        </is>
      </c>
      <c r="G562" s="11" t="inlineStr">
        <is>
          <t>记-4</t>
        </is>
      </c>
      <c r="H562" s="11" t="n"/>
      <c r="I562" s="88" t="n"/>
      <c r="J562" s="87" t="n">
        <v>6</v>
      </c>
      <c r="K562" s="16" t="n"/>
      <c r="L562" s="88" t="n"/>
      <c r="M562" s="11" t="n"/>
    </row>
    <row r="563" s="83">
      <c r="A563" s="11" t="inlineStr">
        <is>
          <t>100201</t>
        </is>
      </c>
      <c r="B563" s="11" t="n"/>
      <c r="C563" s="11" t="inlineStr">
        <is>
          <t>2025-06-30</t>
        </is>
      </c>
      <c r="D563" s="11" t="inlineStr">
        <is>
          <t>Q3105</t>
        </is>
      </c>
      <c r="E563" s="11" t="n"/>
      <c r="F563" s="11" t="inlineStr">
        <is>
          <t>SMART LEARNING HOLDING</t>
        </is>
      </c>
      <c r="G563" s="11" t="inlineStr">
        <is>
          <t>记-3</t>
        </is>
      </c>
      <c r="H563" s="11" t="n"/>
      <c r="I563" s="88" t="n"/>
      <c r="J563" s="87" t="n">
        <v>6</v>
      </c>
      <c r="K563" s="16" t="n"/>
      <c r="L563" s="88" t="n"/>
      <c r="M563" s="11" t="n"/>
    </row>
    <row r="564" s="83">
      <c r="A564" s="13" t="inlineStr">
        <is>
          <t>100201</t>
        </is>
      </c>
      <c r="B564" s="13" t="n"/>
      <c r="C564" s="13" t="inlineStr">
        <is>
          <t>2025-06-30</t>
        </is>
      </c>
      <c r="D564" s="13" t="inlineStr">
        <is>
          <t>Q3105</t>
        </is>
      </c>
      <c r="E564" s="13" t="n"/>
      <c r="F564" s="13" t="inlineStr">
        <is>
          <t>SMART LEARNING HOLDING</t>
        </is>
      </c>
      <c r="G564" s="13" t="inlineStr">
        <is>
          <t>记-4</t>
        </is>
      </c>
      <c r="H564" s="13" t="n"/>
      <c r="I564" s="87" t="n"/>
      <c r="J564" s="87" t="n">
        <v>6</v>
      </c>
      <c r="K564" s="19" t="n"/>
      <c r="L564" s="87" t="n"/>
      <c r="M564" s="13" t="n"/>
    </row>
    <row r="565" s="83">
      <c r="A565" s="11" t="inlineStr">
        <is>
          <t>100201</t>
        </is>
      </c>
      <c r="B565" s="11" t="n"/>
      <c r="C565" s="11" t="inlineStr">
        <is>
          <t>2025-06-30</t>
        </is>
      </c>
      <c r="D565" s="11" t="inlineStr">
        <is>
          <t>Q3105</t>
        </is>
      </c>
      <c r="E565" s="11" t="n"/>
      <c r="F565" s="11" t="inlineStr">
        <is>
          <t>SMART LEARNING HOLDING</t>
        </is>
      </c>
      <c r="G565" s="11" t="inlineStr">
        <is>
          <t>记-6</t>
        </is>
      </c>
      <c r="H565" s="11" t="n"/>
      <c r="I565" s="88" t="n">
        <v>6</v>
      </c>
      <c r="J565" s="88" t="n"/>
      <c r="K565" s="16" t="n"/>
      <c r="L565" s="88" t="n"/>
      <c r="M565" s="11" t="n"/>
    </row>
    <row r="566" s="83">
      <c r="A566" s="13" t="inlineStr">
        <is>
          <t>100202</t>
        </is>
      </c>
      <c r="B566" s="13" t="n"/>
      <c r="C566" s="13" t="inlineStr">
        <is>
          <t>2025-06-21</t>
        </is>
      </c>
      <c r="D566" s="13" t="inlineStr">
        <is>
          <t>Q0302</t>
        </is>
      </c>
      <c r="E566" s="13" t="n"/>
      <c r="F566" s="13" t="inlineStr">
        <is>
          <t>SMART LEARNING HOLDING</t>
        </is>
      </c>
      <c r="G566" s="13" t="inlineStr">
        <is>
          <t>记-7</t>
        </is>
      </c>
      <c r="H566" s="13" t="n"/>
      <c r="I566" s="88" t="n">
        <v>6</v>
      </c>
      <c r="J566" s="87" t="n"/>
      <c r="K566" s="19" t="n"/>
      <c r="L566" s="87" t="n"/>
      <c r="M566" s="13" t="n"/>
    </row>
    <row r="567" s="83">
      <c r="A567" s="11" t="inlineStr">
        <is>
          <t>100202</t>
        </is>
      </c>
      <c r="B567" s="11" t="n"/>
      <c r="C567" s="11" t="inlineStr">
        <is>
          <t>2025-06-30</t>
        </is>
      </c>
      <c r="D567" s="11" t="inlineStr">
        <is>
          <t>Q0302</t>
        </is>
      </c>
      <c r="E567" s="11" t="n"/>
      <c r="F567" s="11" t="inlineStr">
        <is>
          <t>SMART LEARNING HOLDING</t>
        </is>
      </c>
      <c r="G567" s="11" t="inlineStr">
        <is>
          <t>记-1</t>
        </is>
      </c>
      <c r="H567" s="11" t="n"/>
      <c r="I567" s="88" t="n">
        <v>6</v>
      </c>
      <c r="J567" s="88" t="n"/>
      <c r="K567" s="16" t="n"/>
      <c r="L567" s="88" t="n"/>
      <c r="M567" s="11" t="n"/>
    </row>
    <row r="568" s="83">
      <c r="A568" s="11" t="inlineStr">
        <is>
          <t>100202</t>
        </is>
      </c>
      <c r="B568" s="11" t="n"/>
      <c r="C568" s="11" t="inlineStr">
        <is>
          <t>2025-06-30</t>
        </is>
      </c>
      <c r="D568" s="11" t="inlineStr">
        <is>
          <t>Q0401</t>
        </is>
      </c>
      <c r="E568" s="11" t="n"/>
      <c r="F568" s="11" t="inlineStr">
        <is>
          <t>SMART LEARNING HOLDING</t>
        </is>
      </c>
      <c r="G568" s="11" t="inlineStr">
        <is>
          <t>记-3</t>
        </is>
      </c>
      <c r="H568" s="11" t="n"/>
      <c r="I568" s="88" t="n">
        <v>6</v>
      </c>
      <c r="J568" s="88" t="n"/>
      <c r="K568" s="16" t="n"/>
      <c r="L568" s="88" t="n"/>
      <c r="M568" s="11" t="n"/>
    </row>
    <row r="569" s="83">
      <c r="A569" s="13" t="inlineStr">
        <is>
          <t>100202</t>
        </is>
      </c>
      <c r="B569" s="13" t="n"/>
      <c r="C569" s="13" t="inlineStr">
        <is>
          <t>2025-06-30</t>
        </is>
      </c>
      <c r="D569" s="13" t="inlineStr">
        <is>
          <t>Q0401</t>
        </is>
      </c>
      <c r="E569" s="13" t="n"/>
      <c r="F569" s="13" t="inlineStr">
        <is>
          <t>SMART LEARNING HOLDING</t>
        </is>
      </c>
      <c r="G569" s="13" t="inlineStr">
        <is>
          <t>记-4</t>
        </is>
      </c>
      <c r="H569" s="13" t="n"/>
      <c r="I569" s="88" t="n">
        <v>6</v>
      </c>
      <c r="J569" s="87" t="n"/>
      <c r="K569" s="19" t="n"/>
      <c r="L569" s="87" t="n"/>
      <c r="M569" s="13" t="n"/>
    </row>
    <row r="570" s="83">
      <c r="A570" s="11" t="inlineStr">
        <is>
          <t>100202</t>
        </is>
      </c>
      <c r="B570" s="11" t="n"/>
      <c r="C570" s="11" t="inlineStr">
        <is>
          <t>2025-06-19</t>
        </is>
      </c>
      <c r="D570" s="11" t="inlineStr">
        <is>
          <t>Q0701</t>
        </is>
      </c>
      <c r="E570" s="11" t="n"/>
      <c r="F570" s="11" t="inlineStr">
        <is>
          <t>SMART LEARNING HOLDING</t>
        </is>
      </c>
      <c r="G570" s="11" t="inlineStr">
        <is>
          <t>记-8</t>
        </is>
      </c>
      <c r="H570" s="11" t="n"/>
      <c r="I570" s="88" t="n"/>
      <c r="J570" s="87" t="n">
        <v>6</v>
      </c>
      <c r="K570" s="16" t="n"/>
      <c r="L570" s="88" t="n"/>
      <c r="M570" s="11" t="n"/>
    </row>
    <row r="571" s="83">
      <c r="A571" s="13" t="inlineStr">
        <is>
          <t>100202</t>
        </is>
      </c>
      <c r="B571" s="13" t="n"/>
      <c r="C571" s="13" t="inlineStr">
        <is>
          <t>2025-06-30</t>
        </is>
      </c>
      <c r="D571" s="13" t="inlineStr">
        <is>
          <t>Q0701</t>
        </is>
      </c>
      <c r="E571" s="13" t="n"/>
      <c r="F571" s="13" t="inlineStr">
        <is>
          <t>SMART LEARNING HOLDING</t>
        </is>
      </c>
      <c r="G571" s="13" t="inlineStr">
        <is>
          <t>记-9</t>
        </is>
      </c>
      <c r="H571" s="13" t="n"/>
      <c r="I571" s="87" t="n"/>
      <c r="J571" s="87" t="n">
        <v>6</v>
      </c>
      <c r="K571" s="19" t="n"/>
      <c r="L571" s="87" t="n"/>
      <c r="M571" s="13" t="n"/>
    </row>
    <row r="572" s="83">
      <c r="A572" s="11" t="inlineStr">
        <is>
          <t>100203</t>
        </is>
      </c>
      <c r="B572" s="11" t="n"/>
      <c r="C572" s="11" t="inlineStr">
        <is>
          <t>2025-06-30</t>
        </is>
      </c>
      <c r="D572" s="11" t="inlineStr">
        <is>
          <t>Q3101</t>
        </is>
      </c>
      <c r="E572" s="11" t="n"/>
      <c r="F572" s="11" t="inlineStr">
        <is>
          <t>SMART LEARNING HOLDING</t>
        </is>
      </c>
      <c r="G572" s="11" t="inlineStr">
        <is>
          <t>记-5</t>
        </is>
      </c>
      <c r="H572" s="11" t="n"/>
      <c r="I572" s="88" t="n"/>
      <c r="J572" s="87" t="n">
        <v>6</v>
      </c>
      <c r="K572" s="16" t="n"/>
      <c r="L572" s="88" t="n"/>
      <c r="M572" s="11" t="n"/>
    </row>
    <row r="573" s="83">
      <c r="A573" s="11" t="inlineStr">
        <is>
          <t>100203</t>
        </is>
      </c>
      <c r="B573" s="11" t="n"/>
      <c r="C573" s="11" t="inlineStr">
        <is>
          <t>2025-06-30</t>
        </is>
      </c>
      <c r="D573" s="11" t="inlineStr">
        <is>
          <t>Q3105</t>
        </is>
      </c>
      <c r="E573" s="11" t="n"/>
      <c r="F573" s="11" t="inlineStr">
        <is>
          <t>SMART LEARNING HOLDING</t>
        </is>
      </c>
      <c r="G573" s="11" t="inlineStr">
        <is>
          <t>记-6</t>
        </is>
      </c>
      <c r="H573" s="11" t="n"/>
      <c r="I573" s="88" t="n">
        <v>6</v>
      </c>
      <c r="J573" s="88" t="n"/>
      <c r="K573" s="16" t="n"/>
      <c r="L573" s="88" t="n"/>
      <c r="M573" s="11" t="n"/>
    </row>
    <row r="574" s="83">
      <c r="A574" s="13" t="inlineStr">
        <is>
          <t>100202</t>
        </is>
      </c>
      <c r="B574" s="13" t="n"/>
      <c r="C574" s="13" t="inlineStr">
        <is>
          <t>2025-06-30</t>
        </is>
      </c>
      <c r="D574" s="13" t="inlineStr">
        <is>
          <t>Q0302</t>
        </is>
      </c>
      <c r="E574" s="13" t="n"/>
      <c r="F574" s="13" t="inlineStr">
        <is>
          <t>SMART AI LIMITED</t>
        </is>
      </c>
      <c r="G574" s="13" t="inlineStr">
        <is>
          <t>记-1</t>
        </is>
      </c>
      <c r="H574" s="13" t="n"/>
      <c r="I574" s="88" t="n">
        <v>6</v>
      </c>
      <c r="J574" s="87" t="n"/>
      <c r="K574" s="19" t="n"/>
      <c r="L574" s="87" t="n"/>
      <c r="M574" s="13" t="n"/>
    </row>
    <row r="575" s="83">
      <c r="A575" s="13" t="inlineStr">
        <is>
          <t>100202</t>
        </is>
      </c>
      <c r="B575" s="13" t="n"/>
      <c r="C575" s="13" t="inlineStr">
        <is>
          <t>2025-06-12</t>
        </is>
      </c>
      <c r="D575" s="13" t="inlineStr">
        <is>
          <t>Q0501</t>
        </is>
      </c>
      <c r="E575" s="13" t="n"/>
      <c r="F575" s="13" t="inlineStr">
        <is>
          <t>SMART AI LIMITED</t>
        </is>
      </c>
      <c r="G575" s="13" t="inlineStr">
        <is>
          <t>记-4</t>
        </is>
      </c>
      <c r="H575" s="13" t="n"/>
      <c r="I575" s="88" t="n">
        <v>6</v>
      </c>
      <c r="J575" s="87" t="n"/>
      <c r="K575" s="19" t="n"/>
      <c r="L575" s="87" t="n"/>
      <c r="M575" s="13" t="n"/>
    </row>
    <row r="576" s="83">
      <c r="A576" s="11" t="inlineStr">
        <is>
          <t>100202</t>
        </is>
      </c>
      <c r="B576" s="11" t="n"/>
      <c r="C576" s="11" t="inlineStr">
        <is>
          <t>2025-06-20</t>
        </is>
      </c>
      <c r="D576" s="11" t="inlineStr">
        <is>
          <t>Q0501</t>
        </is>
      </c>
      <c r="E576" s="11" t="n"/>
      <c r="F576" s="11" t="inlineStr">
        <is>
          <t>SMART AI LIMITED</t>
        </is>
      </c>
      <c r="G576" s="11" t="inlineStr">
        <is>
          <t>记-5</t>
        </is>
      </c>
      <c r="H576" s="11" t="n"/>
      <c r="I576" s="88" t="n">
        <v>6</v>
      </c>
      <c r="J576" s="88" t="n"/>
      <c r="K576" s="16" t="n"/>
      <c r="L576" s="88" t="n"/>
      <c r="M576" s="11" t="n"/>
    </row>
    <row r="577" s="83">
      <c r="A577" s="11" t="inlineStr">
        <is>
          <t>100202</t>
        </is>
      </c>
      <c r="B577" s="11" t="n"/>
      <c r="C577" s="11" t="inlineStr">
        <is>
          <t>2025-06-19</t>
        </is>
      </c>
      <c r="D577" s="11" t="inlineStr">
        <is>
          <t>Q0701</t>
        </is>
      </c>
      <c r="E577" s="11" t="n"/>
      <c r="F577" s="11" t="inlineStr">
        <is>
          <t>SMART AI LIMITED</t>
        </is>
      </c>
      <c r="G577" s="11" t="inlineStr">
        <is>
          <t>记-6</t>
        </is>
      </c>
      <c r="H577" s="11" t="n"/>
      <c r="I577" s="88" t="n"/>
      <c r="J577" s="87" t="n">
        <v>6</v>
      </c>
      <c r="K577" s="16" t="n"/>
      <c r="L577" s="88" t="n"/>
      <c r="M577" s="11" t="n"/>
    </row>
    <row r="578" s="83">
      <c r="A578" s="13" t="inlineStr">
        <is>
          <t>100202</t>
        </is>
      </c>
      <c r="B578" s="13" t="n"/>
      <c r="C578" s="13" t="inlineStr">
        <is>
          <t>2025-06-30</t>
        </is>
      </c>
      <c r="D578" s="13" t="inlineStr">
        <is>
          <t>Q0701</t>
        </is>
      </c>
      <c r="E578" s="13" t="n"/>
      <c r="F578" s="13" t="inlineStr">
        <is>
          <t>SMART AI LIMITED</t>
        </is>
      </c>
      <c r="G578" s="13" t="inlineStr">
        <is>
          <t>记-3</t>
        </is>
      </c>
      <c r="H578" s="13" t="n"/>
      <c r="I578" s="87" t="n"/>
      <c r="J578" s="87" t="n">
        <v>6</v>
      </c>
      <c r="K578" s="19" t="n"/>
      <c r="L578" s="87" t="n"/>
      <c r="M578" s="13" t="n"/>
    </row>
    <row r="579" s="83">
      <c r="A579" s="13" t="inlineStr">
        <is>
          <t>100203</t>
        </is>
      </c>
      <c r="B579" s="13" t="n"/>
      <c r="C579" s="13" t="inlineStr">
        <is>
          <t>2025-06-30</t>
        </is>
      </c>
      <c r="D579" s="13" t="inlineStr">
        <is>
          <t>Q3105</t>
        </is>
      </c>
      <c r="E579" s="13" t="n"/>
      <c r="F579" s="13" t="inlineStr">
        <is>
          <t>SMART AI LIMITED</t>
        </is>
      </c>
      <c r="G579" s="13" t="inlineStr">
        <is>
          <t>记-2</t>
        </is>
      </c>
      <c r="H579" s="13" t="n"/>
      <c r="I579" s="88" t="n">
        <v>6</v>
      </c>
      <c r="J579" s="87" t="n"/>
      <c r="K579" s="19" t="n"/>
      <c r="L579" s="87" t="n"/>
      <c r="M579" s="13" t="n"/>
    </row>
    <row r="580" s="83">
      <c r="A580" s="13" t="inlineStr">
        <is>
          <t>100202</t>
        </is>
      </c>
      <c r="B580" s="13" t="n"/>
      <c r="C580" s="13" t="inlineStr">
        <is>
          <t>2025-06-21</t>
        </is>
      </c>
      <c r="D580" s="13" t="inlineStr">
        <is>
          <t>Q0302</t>
        </is>
      </c>
      <c r="E580" s="13" t="n"/>
      <c r="F580" s="13" t="inlineStr">
        <is>
          <t>HK01</t>
        </is>
      </c>
      <c r="G580" s="13" t="inlineStr">
        <is>
          <t>记-3</t>
        </is>
      </c>
      <c r="H580" s="13" t="n"/>
      <c r="I580" s="88" t="n">
        <v>6</v>
      </c>
      <c r="J580" s="87" t="n"/>
      <c r="K580" s="19" t="n"/>
      <c r="L580" s="87" t="n"/>
      <c r="M580" s="13" t="n"/>
    </row>
    <row r="581" s="83">
      <c r="A581" s="11" t="inlineStr">
        <is>
          <t>100202</t>
        </is>
      </c>
      <c r="B581" s="11" t="n"/>
      <c r="C581" s="11" t="inlineStr">
        <is>
          <t>2025-06-30</t>
        </is>
      </c>
      <c r="D581" s="11" t="inlineStr">
        <is>
          <t>Q0302</t>
        </is>
      </c>
      <c r="E581" s="11" t="n"/>
      <c r="F581" s="11" t="inlineStr">
        <is>
          <t>HK01</t>
        </is>
      </c>
      <c r="G581" s="11" t="inlineStr">
        <is>
          <t>记-1</t>
        </is>
      </c>
      <c r="H581" s="11" t="n"/>
      <c r="I581" s="88" t="n">
        <v>6</v>
      </c>
      <c r="J581" s="88" t="n"/>
      <c r="K581" s="16" t="n"/>
      <c r="L581" s="88" t="n"/>
      <c r="M581" s="11" t="n"/>
    </row>
    <row r="582" s="83">
      <c r="A582" s="13" t="inlineStr">
        <is>
          <t>100202</t>
        </is>
      </c>
      <c r="B582" s="13" t="n"/>
      <c r="C582" s="13" t="inlineStr">
        <is>
          <t>2025-06-12</t>
        </is>
      </c>
      <c r="D582" s="13" t="inlineStr">
        <is>
          <t>Q0501</t>
        </is>
      </c>
      <c r="E582" s="13" t="n"/>
      <c r="F582" s="13" t="inlineStr">
        <is>
          <t>HK01</t>
        </is>
      </c>
      <c r="G582" s="13" t="inlineStr">
        <is>
          <t>记-4</t>
        </is>
      </c>
      <c r="H582" s="13" t="n"/>
      <c r="I582" s="88" t="n">
        <v>6</v>
      </c>
      <c r="J582" s="87" t="n"/>
      <c r="K582" s="19" t="n"/>
      <c r="L582" s="87" t="n"/>
      <c r="M582" s="13" t="n"/>
    </row>
    <row r="583" s="83">
      <c r="A583" s="11" t="inlineStr">
        <is>
          <t>100202</t>
        </is>
      </c>
      <c r="B583" s="11" t="n"/>
      <c r="C583" s="11" t="inlineStr">
        <is>
          <t>2025-06-19</t>
        </is>
      </c>
      <c r="D583" s="11" t="inlineStr">
        <is>
          <t>Q0501</t>
        </is>
      </c>
      <c r="E583" s="11" t="n"/>
      <c r="F583" s="11" t="inlineStr">
        <is>
          <t>HK01</t>
        </is>
      </c>
      <c r="G583" s="11" t="inlineStr">
        <is>
          <t>记-5</t>
        </is>
      </c>
      <c r="H583" s="11" t="n"/>
      <c r="I583" s="88" t="n">
        <v>6</v>
      </c>
      <c r="J583" s="88" t="n"/>
      <c r="K583" s="16" t="n"/>
      <c r="L583" s="88" t="n"/>
      <c r="M583" s="11" t="n"/>
    </row>
    <row r="584" s="83">
      <c r="A584" s="13" t="inlineStr">
        <is>
          <t>100202</t>
        </is>
      </c>
      <c r="B584" s="13" t="n"/>
      <c r="C584" s="13" t="inlineStr">
        <is>
          <t>2025-06-12</t>
        </is>
      </c>
      <c r="D584" s="13" t="inlineStr">
        <is>
          <t>Q0701</t>
        </is>
      </c>
      <c r="E584" s="13" t="n"/>
      <c r="F584" s="13" t="inlineStr">
        <is>
          <t>HK01</t>
        </is>
      </c>
      <c r="G584" s="13" t="inlineStr">
        <is>
          <t>记-6</t>
        </is>
      </c>
      <c r="H584" s="13" t="n"/>
      <c r="I584" s="87" t="n"/>
      <c r="J584" s="87" t="n">
        <v>6</v>
      </c>
      <c r="K584" s="19" t="n"/>
      <c r="L584" s="87" t="n"/>
      <c r="M584" s="13" t="n"/>
    </row>
    <row r="585" s="83">
      <c r="A585" s="13" t="inlineStr">
        <is>
          <t>100202</t>
        </is>
      </c>
      <c r="B585" s="13" t="n"/>
      <c r="C585" s="13" t="inlineStr">
        <is>
          <t>2025-06-12</t>
        </is>
      </c>
      <c r="D585" s="13" t="inlineStr">
        <is>
          <t>Q3101</t>
        </is>
      </c>
      <c r="E585" s="13" t="n"/>
      <c r="F585" s="13" t="inlineStr">
        <is>
          <t>HK01</t>
        </is>
      </c>
      <c r="G585" s="13" t="inlineStr">
        <is>
          <t>记-7</t>
        </is>
      </c>
      <c r="H585" s="13" t="n"/>
      <c r="I585" s="87" t="n"/>
      <c r="J585" s="87" t="n">
        <v>6</v>
      </c>
      <c r="K585" s="19" t="n"/>
      <c r="L585" s="87" t="n"/>
      <c r="M585" s="13" t="n"/>
    </row>
    <row r="586" s="83">
      <c r="A586" s="13" t="inlineStr">
        <is>
          <t>100203</t>
        </is>
      </c>
      <c r="B586" s="13" t="n"/>
      <c r="C586" s="13" t="inlineStr">
        <is>
          <t>2025-06-30</t>
        </is>
      </c>
      <c r="D586" s="13" t="inlineStr">
        <is>
          <t>Q3105</t>
        </is>
      </c>
      <c r="E586" s="13" t="n"/>
      <c r="F586" s="13" t="inlineStr">
        <is>
          <t>HK01</t>
        </is>
      </c>
      <c r="G586" s="13" t="inlineStr">
        <is>
          <t>记-2</t>
        </is>
      </c>
      <c r="H586" s="13" t="n"/>
      <c r="I586" s="88" t="n">
        <v>6</v>
      </c>
      <c r="J586" s="87" t="n"/>
      <c r="K586" s="19" t="n"/>
      <c r="L586" s="87" t="n"/>
      <c r="M586" s="13" t="n"/>
    </row>
    <row r="587" s="83">
      <c r="C587" s="13" t="inlineStr">
        <is>
          <t>2025-06-30</t>
        </is>
      </c>
      <c r="D587" s="13" t="inlineStr">
        <is>
          <t>Q0101</t>
        </is>
      </c>
      <c r="E587" s="13" t="n"/>
      <c r="F587" s="13" t="inlineStr">
        <is>
          <t>浙江精准学科技有限公司</t>
        </is>
      </c>
      <c r="G587" s="13" t="inlineStr">
        <is>
          <t>记-244</t>
        </is>
      </c>
      <c r="I587" s="88" t="n">
        <v>6</v>
      </c>
    </row>
    <row r="588" s="83">
      <c r="A588" s="5" t="n">
        <v>101208</v>
      </c>
      <c r="C588" s="13" t="inlineStr">
        <is>
          <t>2025-06-30</t>
        </is>
      </c>
      <c r="D588" s="13" t="inlineStr">
        <is>
          <t>Q0101</t>
        </is>
      </c>
      <c r="E588" s="13" t="n"/>
      <c r="F588" s="5" t="inlineStr">
        <is>
          <t>杭州实时查科技有限公司</t>
        </is>
      </c>
      <c r="G588" s="5" t="inlineStr">
        <is>
          <t>记-32</t>
        </is>
      </c>
      <c r="I588" s="88" t="n">
        <v>6</v>
      </c>
    </row>
    <row r="589" s="83">
      <c r="A589" s="5" t="n">
        <v>101208</v>
      </c>
      <c r="C589" s="13" t="inlineStr">
        <is>
          <t>2025-06-30</t>
        </is>
      </c>
      <c r="D589" s="20" t="inlineStr">
        <is>
          <t>Q2807</t>
        </is>
      </c>
      <c r="F589" s="5" t="inlineStr">
        <is>
          <t>杭州实时查科技有限公司</t>
        </is>
      </c>
      <c r="G589" s="5" t="inlineStr">
        <is>
          <t>记-32</t>
        </is>
      </c>
      <c r="J589" s="87" t="n">
        <v>6</v>
      </c>
    </row>
    <row r="590" s="83">
      <c r="A590" s="5" t="n">
        <v>101208</v>
      </c>
      <c r="C590" s="13" t="inlineStr">
        <is>
          <t>2025-06-30</t>
        </is>
      </c>
      <c r="D590" s="13" t="inlineStr">
        <is>
          <t>Q0101</t>
        </is>
      </c>
      <c r="E590" s="13" t="n"/>
      <c r="F590" s="13" t="inlineStr">
        <is>
          <t>浙江精准学科技有限公司</t>
        </is>
      </c>
      <c r="G590" s="5" t="inlineStr">
        <is>
          <t>记-305</t>
        </is>
      </c>
      <c r="I590" s="88" t="n">
        <v>6</v>
      </c>
    </row>
    <row r="591" s="83">
      <c r="A591" s="5" t="n">
        <v>101208</v>
      </c>
      <c r="C591" s="13" t="inlineStr">
        <is>
          <t>2025-06-30</t>
        </is>
      </c>
      <c r="D591" s="20" t="inlineStr">
        <is>
          <t>Q2807</t>
        </is>
      </c>
      <c r="F591" s="13" t="inlineStr">
        <is>
          <t>浙江精准学科技有限公司</t>
        </is>
      </c>
      <c r="G591" s="5" t="inlineStr">
        <is>
          <t>记-305</t>
        </is>
      </c>
      <c r="J591" s="87" t="n">
        <v>6</v>
      </c>
    </row>
    <row r="592" s="83">
      <c r="A592" s="5" t="n">
        <v>101208</v>
      </c>
      <c r="C592" s="13" t="inlineStr">
        <is>
          <t>2025-06-30</t>
        </is>
      </c>
      <c r="D592" s="13" t="inlineStr">
        <is>
          <t>Q0101</t>
        </is>
      </c>
      <c r="E592" s="13" t="n"/>
      <c r="F592" s="13" t="inlineStr">
        <is>
          <t>浙江精准学科技有限公司</t>
        </is>
      </c>
      <c r="G592" s="5" t="inlineStr">
        <is>
          <t>记-305</t>
        </is>
      </c>
      <c r="I592" s="88" t="n">
        <v>6</v>
      </c>
    </row>
    <row r="593" s="83">
      <c r="A593" s="5" t="n">
        <v>101208</v>
      </c>
      <c r="C593" s="13" t="inlineStr">
        <is>
          <t>2025-06-30</t>
        </is>
      </c>
      <c r="D593" s="13" t="inlineStr">
        <is>
          <t>Q0101</t>
        </is>
      </c>
      <c r="E593" s="13" t="n"/>
      <c r="F593" s="13" t="inlineStr">
        <is>
          <t>浙江精准学科技有限公司</t>
        </is>
      </c>
      <c r="G593" s="5" t="inlineStr">
        <is>
          <t>记-305</t>
        </is>
      </c>
      <c r="J593" s="87" t="n">
        <v>6</v>
      </c>
    </row>
  </sheetData>
  <autoFilter ref="A1:N593"/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M588"/>
  <sheetViews>
    <sheetView topLeftCell="D1" workbookViewId="0">
      <pane ySplit="1" topLeftCell="A17" activePane="bottomLeft" state="frozen"/>
      <selection activeCell="A1" sqref="A1"/>
      <selection pane="bottomLeft" activeCell="M28" sqref="M28"/>
    </sheetView>
  </sheetViews>
  <sheetFormatPr baseColWidth="8" defaultColWidth="8.838461538461541" defaultRowHeight="16" customHeight="1"/>
  <cols>
    <col width="8.838461538461541" customWidth="1" style="5" min="1" max="1"/>
    <col width="10.6615384615385" customWidth="1" style="5" min="2" max="2"/>
    <col width="11.5" customWidth="1" style="5" min="3" max="3"/>
    <col width="12.3307692307692" customWidth="1" style="5" min="4" max="4"/>
    <col width="9.376923076923079" customWidth="1" style="5" min="5" max="5"/>
    <col width="13.3384615384615" customWidth="1" style="5" min="6" max="6"/>
    <col width="9" customWidth="1" style="5" min="7" max="7"/>
    <col width="9.38461538461539" customWidth="1" style="6" min="8" max="8"/>
    <col width="15.0615384615385" customWidth="1" style="89" min="9" max="9"/>
    <col width="16.1615384615385" customWidth="1" style="89" min="10" max="10"/>
    <col width="10.1615384615385" customWidth="1" style="5" min="11" max="11"/>
    <col width="9.15384615384615" customWidth="1" style="89" min="12" max="12"/>
    <col width="10.6615384615385" customWidth="1" style="5" min="13" max="13"/>
    <col width="8.838461538461541" customWidth="1" style="5" min="14" max="39"/>
    <col width="8.838461538461541" customWidth="1" style="8" min="40" max="40"/>
  </cols>
  <sheetData>
    <row r="1" s="83">
      <c r="A1" s="1" t="inlineStr">
        <is>
          <t>科目编码</t>
        </is>
      </c>
      <c r="B1" s="1" t="inlineStr">
        <is>
          <t>科目名称</t>
        </is>
      </c>
      <c r="C1" s="1" t="inlineStr">
        <is>
          <t>日期</t>
        </is>
      </c>
      <c r="D1" s="1" t="inlineStr">
        <is>
          <t>费用项目编码</t>
        </is>
      </c>
      <c r="E1" s="1" t="inlineStr">
        <is>
          <t>费用项目名称</t>
        </is>
      </c>
      <c r="F1" s="1" t="inlineStr">
        <is>
          <t>核算账簿</t>
        </is>
      </c>
      <c r="G1" s="1" t="inlineStr">
        <is>
          <t>凭证号</t>
        </is>
      </c>
      <c r="H1" s="1" t="inlineStr">
        <is>
          <t>摘要</t>
        </is>
      </c>
      <c r="I1" s="103" t="inlineStr">
        <is>
          <t>借方本币</t>
        </is>
      </c>
      <c r="J1" s="103" t="inlineStr">
        <is>
          <t>贷方本币</t>
        </is>
      </c>
      <c r="K1" s="1" t="n"/>
      <c r="L1" s="103" t="n"/>
      <c r="M1" s="1" t="n"/>
    </row>
    <row r="2" s="83">
      <c r="A2" s="2" t="inlineStr">
        <is>
          <t>100201</t>
        </is>
      </c>
      <c r="B2" s="2" t="n"/>
      <c r="C2" s="2" t="inlineStr">
        <is>
          <t>2025-07-15</t>
        </is>
      </c>
      <c r="D2" s="2" t="inlineStr">
        <is>
          <t>Q0801</t>
        </is>
      </c>
      <c r="E2" s="2" t="n"/>
      <c r="F2" s="2" t="inlineStr">
        <is>
          <t>海南精准学科技有限公司</t>
        </is>
      </c>
      <c r="G2" s="2" t="inlineStr">
        <is>
          <t>记-6</t>
        </is>
      </c>
      <c r="H2" s="2" t="n"/>
      <c r="I2" s="104" t="n"/>
      <c r="J2" s="104" t="n">
        <v>7</v>
      </c>
      <c r="K2" s="1" t="n"/>
      <c r="L2" s="104" t="n"/>
      <c r="M2" s="2" t="n"/>
    </row>
    <row r="3" s="83">
      <c r="A3" s="2" t="inlineStr">
        <is>
          <t>100201</t>
        </is>
      </c>
      <c r="B3" s="2" t="n"/>
      <c r="C3" s="2" t="inlineStr">
        <is>
          <t>2025-07-03</t>
        </is>
      </c>
      <c r="D3" s="2" t="inlineStr">
        <is>
          <t>Q0803</t>
        </is>
      </c>
      <c r="E3" s="2" t="n"/>
      <c r="F3" s="2" t="inlineStr">
        <is>
          <t>海南精准学科技有限公司</t>
        </is>
      </c>
      <c r="G3" s="2" t="inlineStr">
        <is>
          <t>记-2</t>
        </is>
      </c>
      <c r="H3" s="2" t="n"/>
      <c r="I3" s="104" t="n"/>
      <c r="J3" s="104" t="n">
        <v>7</v>
      </c>
      <c r="K3" s="1" t="n"/>
      <c r="L3" s="104" t="n"/>
      <c r="M3" s="2" t="n"/>
    </row>
    <row r="4" s="83">
      <c r="A4" s="2" t="inlineStr">
        <is>
          <t>100201</t>
        </is>
      </c>
      <c r="B4" s="2" t="n"/>
      <c r="C4" s="2" t="inlineStr">
        <is>
          <t>2025-07-23</t>
        </is>
      </c>
      <c r="D4" s="2" t="inlineStr">
        <is>
          <t>Q0804</t>
        </is>
      </c>
      <c r="E4" s="2" t="n"/>
      <c r="F4" s="2" t="inlineStr">
        <is>
          <t>海南精准学科技有限公司</t>
        </is>
      </c>
      <c r="G4" s="2" t="inlineStr">
        <is>
          <t>记-9</t>
        </is>
      </c>
      <c r="H4" s="2" t="n"/>
      <c r="I4" s="104" t="n"/>
      <c r="J4" s="104" t="n">
        <v>7</v>
      </c>
      <c r="K4" s="1" t="n"/>
      <c r="L4" s="104" t="n"/>
      <c r="M4" s="2" t="n"/>
    </row>
    <row r="5" s="83">
      <c r="A5" s="2" t="inlineStr">
        <is>
          <t>100201</t>
        </is>
      </c>
      <c r="B5" s="2" t="n"/>
      <c r="C5" s="2" t="inlineStr">
        <is>
          <t>2025-07-15</t>
        </is>
      </c>
      <c r="D5" s="2" t="inlineStr">
        <is>
          <t>Q0805</t>
        </is>
      </c>
      <c r="E5" s="2" t="n"/>
      <c r="F5" s="2" t="inlineStr">
        <is>
          <t>海南精准学科技有限公司</t>
        </is>
      </c>
      <c r="G5" s="2" t="inlineStr">
        <is>
          <t>记-5</t>
        </is>
      </c>
      <c r="H5" s="2" t="n"/>
      <c r="I5" s="104" t="n"/>
      <c r="J5" s="104" t="n">
        <v>7</v>
      </c>
      <c r="K5" s="1" t="n"/>
      <c r="L5" s="104" t="n"/>
      <c r="M5" s="2" t="n"/>
    </row>
    <row r="6" s="83">
      <c r="A6" s="2" t="inlineStr">
        <is>
          <t>100201</t>
        </is>
      </c>
      <c r="B6" s="2" t="n"/>
      <c r="C6" s="2" t="inlineStr">
        <is>
          <t>2025-07-22</t>
        </is>
      </c>
      <c r="D6" s="2" t="inlineStr">
        <is>
          <t>Q2708</t>
        </is>
      </c>
      <c r="E6" s="2" t="n"/>
      <c r="F6" s="2" t="inlineStr">
        <is>
          <t>海南精准学科技有限公司</t>
        </is>
      </c>
      <c r="G6" s="2" t="inlineStr">
        <is>
          <t>记-8</t>
        </is>
      </c>
      <c r="H6" s="2" t="n"/>
      <c r="I6" s="104" t="n"/>
      <c r="J6" s="104" t="n">
        <v>7</v>
      </c>
      <c r="K6" s="1" t="n"/>
      <c r="L6" s="104" t="n"/>
      <c r="M6" s="2" t="n"/>
    </row>
    <row r="7" s="83">
      <c r="A7" s="2" t="inlineStr">
        <is>
          <t>100201</t>
        </is>
      </c>
      <c r="B7" s="2" t="n"/>
      <c r="C7" s="2" t="inlineStr">
        <is>
          <t>2025-07-03</t>
        </is>
      </c>
      <c r="D7" s="2" t="inlineStr">
        <is>
          <t>Q3101</t>
        </is>
      </c>
      <c r="E7" s="2" t="n"/>
      <c r="F7" s="2" t="inlineStr">
        <is>
          <t>海南精准学科技有限公司</t>
        </is>
      </c>
      <c r="G7" s="2" t="inlineStr">
        <is>
          <t>记-1</t>
        </is>
      </c>
      <c r="H7" s="2" t="n"/>
      <c r="I7" s="104" t="n"/>
      <c r="J7" s="104" t="n">
        <v>7</v>
      </c>
      <c r="K7" s="1" t="n"/>
      <c r="L7" s="104" t="n"/>
      <c r="M7" s="2" t="n"/>
    </row>
    <row r="8" s="83">
      <c r="A8" s="2" t="inlineStr">
        <is>
          <t>100201</t>
        </is>
      </c>
      <c r="B8" s="2" t="n"/>
      <c r="C8" s="2" t="inlineStr">
        <is>
          <t>2025-07-03</t>
        </is>
      </c>
      <c r="D8" s="2" t="inlineStr">
        <is>
          <t>Q3101</t>
        </is>
      </c>
      <c r="E8" s="2" t="n"/>
      <c r="F8" s="2" t="inlineStr">
        <is>
          <t>海南精准学科技有限公司</t>
        </is>
      </c>
      <c r="G8" s="2" t="inlineStr">
        <is>
          <t>记-3</t>
        </is>
      </c>
      <c r="H8" s="2" t="n"/>
      <c r="I8" s="104" t="n"/>
      <c r="J8" s="104" t="n">
        <v>7</v>
      </c>
      <c r="K8" s="1" t="n"/>
      <c r="L8" s="104" t="n"/>
      <c r="M8" s="2" t="n"/>
    </row>
    <row r="9" s="83">
      <c r="A9" s="2" t="inlineStr">
        <is>
          <t>100201</t>
        </is>
      </c>
      <c r="B9" s="2" t="n"/>
      <c r="C9" s="2" t="inlineStr">
        <is>
          <t>2025-07-05</t>
        </is>
      </c>
      <c r="D9" s="2" t="inlineStr">
        <is>
          <t>Q3101</t>
        </is>
      </c>
      <c r="E9" s="2" t="n"/>
      <c r="F9" s="2" t="inlineStr">
        <is>
          <t>海南精准学科技有限公司</t>
        </is>
      </c>
      <c r="G9" s="2" t="inlineStr">
        <is>
          <t>记-4</t>
        </is>
      </c>
      <c r="H9" s="2" t="n"/>
      <c r="I9" s="104" t="n"/>
      <c r="J9" s="104" t="n">
        <v>7</v>
      </c>
      <c r="K9" s="1" t="n"/>
      <c r="L9" s="104" t="n"/>
      <c r="M9" s="2" t="n"/>
    </row>
    <row r="10" s="83">
      <c r="A10" s="2" t="inlineStr">
        <is>
          <t>100201</t>
        </is>
      </c>
      <c r="B10" s="2" t="n"/>
      <c r="C10" s="2" t="inlineStr">
        <is>
          <t>2025-07-15</t>
        </is>
      </c>
      <c r="D10" s="2" t="inlineStr">
        <is>
          <t>Q3101</t>
        </is>
      </c>
      <c r="E10" s="2" t="n"/>
      <c r="F10" s="2" t="inlineStr">
        <is>
          <t>海南精准学科技有限公司</t>
        </is>
      </c>
      <c r="G10" s="2" t="inlineStr">
        <is>
          <t>记-7</t>
        </is>
      </c>
      <c r="H10" s="2" t="n"/>
      <c r="I10" s="104" t="n"/>
      <c r="J10" s="104" t="n">
        <v>7</v>
      </c>
      <c r="K10" s="1" t="n"/>
      <c r="L10" s="104" t="n"/>
      <c r="M10" s="2" t="n"/>
    </row>
    <row r="11" s="83">
      <c r="A11" s="2" t="inlineStr">
        <is>
          <t>100201</t>
        </is>
      </c>
      <c r="B11" s="2" t="n"/>
      <c r="C11" s="2" t="inlineStr">
        <is>
          <t>2025-07-31</t>
        </is>
      </c>
      <c r="D11" s="2" t="inlineStr">
        <is>
          <t>Q0601</t>
        </is>
      </c>
      <c r="E11" s="2" t="n"/>
      <c r="F11" s="2" t="inlineStr">
        <is>
          <t>杭州实时查科技有限公司</t>
        </is>
      </c>
      <c r="G11" s="2" t="inlineStr">
        <is>
          <t>记-5</t>
        </is>
      </c>
      <c r="H11" s="2" t="n"/>
      <c r="I11" s="104" t="n"/>
      <c r="J11" s="104" t="n">
        <v>7</v>
      </c>
      <c r="K11" s="1" t="n"/>
      <c r="L11" s="104" t="n"/>
      <c r="M11" s="2" t="n"/>
    </row>
    <row r="12" s="83">
      <c r="A12" s="2" t="inlineStr">
        <is>
          <t>101201</t>
        </is>
      </c>
      <c r="B12" s="2" t="n"/>
      <c r="C12" s="2" t="inlineStr">
        <is>
          <t>2025-07-31</t>
        </is>
      </c>
      <c r="D12" s="2" t="inlineStr">
        <is>
          <t>Q0101</t>
        </is>
      </c>
      <c r="E12" s="2" t="n"/>
      <c r="F12" s="2" t="inlineStr">
        <is>
          <t>杭州实时查科技有限公司</t>
        </is>
      </c>
      <c r="G12" s="2" t="inlineStr">
        <is>
          <t>记-6</t>
        </is>
      </c>
      <c r="H12" s="2" t="n"/>
      <c r="I12" s="104" t="n">
        <v>7</v>
      </c>
      <c r="J12" s="104" t="n"/>
      <c r="K12" s="1" t="n"/>
      <c r="L12" s="104" t="n"/>
      <c r="M12" s="2" t="n"/>
    </row>
    <row r="13" s="83">
      <c r="A13" s="2" t="inlineStr">
        <is>
          <t>100201</t>
        </is>
      </c>
      <c r="B13" s="2" t="n"/>
      <c r="C13" s="2" t="inlineStr">
        <is>
          <t>2025-07-02</t>
        </is>
      </c>
      <c r="D13" s="2" t="inlineStr">
        <is>
          <t>Q2005</t>
        </is>
      </c>
      <c r="E13" s="2" t="n"/>
      <c r="F13" s="2" t="inlineStr">
        <is>
          <t>杭州实时查科技有限公司</t>
        </is>
      </c>
      <c r="G13" s="2" t="inlineStr">
        <is>
          <t>记-1</t>
        </is>
      </c>
      <c r="H13" s="2" t="n"/>
      <c r="I13" s="104" t="n"/>
      <c r="J13" s="104" t="n">
        <v>7</v>
      </c>
      <c r="K13" s="1" t="n"/>
      <c r="L13" s="104" t="n"/>
      <c r="M13" s="2" t="n"/>
    </row>
    <row r="14" s="83">
      <c r="A14" s="2" t="inlineStr">
        <is>
          <t>101201</t>
        </is>
      </c>
      <c r="B14" s="2" t="n"/>
      <c r="C14" s="2" t="inlineStr">
        <is>
          <t>2025-07-31</t>
        </is>
      </c>
      <c r="D14" s="2" t="inlineStr">
        <is>
          <t>Q2201</t>
        </is>
      </c>
      <c r="E14" s="2" t="n"/>
      <c r="F14" s="2" t="inlineStr">
        <is>
          <t>杭州实时查科技有限公司</t>
        </is>
      </c>
      <c r="G14" s="2" t="inlineStr">
        <is>
          <t>记-6</t>
        </is>
      </c>
      <c r="H14" s="2" t="n"/>
      <c r="I14" s="104" t="n"/>
      <c r="J14" s="104" t="n">
        <v>7</v>
      </c>
      <c r="K14" s="1" t="n"/>
      <c r="L14" s="104" t="n"/>
      <c r="M14" s="2" t="n"/>
    </row>
    <row r="15" s="83">
      <c r="A15" s="2" t="inlineStr">
        <is>
          <t>100201</t>
        </is>
      </c>
      <c r="B15" s="2" t="n"/>
      <c r="C15" s="2" t="inlineStr">
        <is>
          <t>2025-07-02</t>
        </is>
      </c>
      <c r="D15" s="2" t="inlineStr">
        <is>
          <t>Q2802</t>
        </is>
      </c>
      <c r="E15" s="2" t="n"/>
      <c r="F15" s="2" t="inlineStr">
        <is>
          <t>杭州实时查科技有限公司</t>
        </is>
      </c>
      <c r="G15" s="2" t="inlineStr">
        <is>
          <t>记-3</t>
        </is>
      </c>
      <c r="H15" s="2" t="n"/>
      <c r="I15" s="104" t="n"/>
      <c r="J15" s="104" t="n">
        <v>7</v>
      </c>
      <c r="K15" s="1" t="n"/>
      <c r="L15" s="104" t="n"/>
      <c r="M15" s="2" t="n"/>
    </row>
    <row r="16" s="83">
      <c r="A16" s="2" t="inlineStr">
        <is>
          <t>100201</t>
        </is>
      </c>
      <c r="B16" s="2" t="n"/>
      <c r="C16" s="2" t="inlineStr">
        <is>
          <t>2025-07-02</t>
        </is>
      </c>
      <c r="D16" s="2" t="inlineStr">
        <is>
          <t>Q2905</t>
        </is>
      </c>
      <c r="E16" s="2" t="n"/>
      <c r="F16" s="2" t="inlineStr">
        <is>
          <t>杭州实时查科技有限公司</t>
        </is>
      </c>
      <c r="G16" s="2" t="inlineStr">
        <is>
          <t>记-2</t>
        </is>
      </c>
      <c r="H16" s="2" t="n"/>
      <c r="I16" s="104" t="n"/>
      <c r="J16" s="104" t="n">
        <v>7</v>
      </c>
      <c r="K16" s="1" t="n"/>
      <c r="L16" s="104" t="n"/>
      <c r="M16" s="2" t="n"/>
    </row>
    <row r="17" s="83">
      <c r="A17" s="2" t="inlineStr">
        <is>
          <t>100201</t>
        </is>
      </c>
      <c r="B17" s="2" t="n"/>
      <c r="C17" s="2" t="inlineStr">
        <is>
          <t>2025-07-14</t>
        </is>
      </c>
      <c r="D17" s="2" t="inlineStr">
        <is>
          <t>Q3001</t>
        </is>
      </c>
      <c r="E17" s="2" t="n"/>
      <c r="F17" s="2" t="inlineStr">
        <is>
          <t>杭州实时查科技有限公司</t>
        </is>
      </c>
      <c r="G17" s="2" t="inlineStr">
        <is>
          <t>记-4</t>
        </is>
      </c>
      <c r="H17" s="2" t="n"/>
      <c r="I17" s="104" t="n"/>
      <c r="J17" s="104" t="n">
        <v>7</v>
      </c>
      <c r="K17" s="1" t="n"/>
      <c r="L17" s="104" t="n"/>
      <c r="M17" s="2" t="n"/>
    </row>
    <row r="18" s="83">
      <c r="A18" s="2" t="inlineStr">
        <is>
          <t>100201</t>
        </is>
      </c>
      <c r="B18" s="2" t="n"/>
      <c r="C18" s="2" t="inlineStr">
        <is>
          <t>2025-07-14</t>
        </is>
      </c>
      <c r="D18" s="2" t="inlineStr">
        <is>
          <t>Q3002</t>
        </is>
      </c>
      <c r="E18" s="2" t="n"/>
      <c r="F18" s="2" t="inlineStr">
        <is>
          <t>杭州实时查科技有限公司</t>
        </is>
      </c>
      <c r="G18" s="2" t="inlineStr">
        <is>
          <t>记-4</t>
        </is>
      </c>
      <c r="H18" s="2" t="n"/>
      <c r="I18" s="104" t="n"/>
      <c r="J18" s="104" t="n">
        <v>7</v>
      </c>
      <c r="K18" s="1" t="n"/>
      <c r="L18" s="104" t="n"/>
      <c r="M18" s="2" t="n"/>
    </row>
    <row r="19" s="83">
      <c r="A19" s="2" t="inlineStr">
        <is>
          <t>101201</t>
        </is>
      </c>
      <c r="B19" s="2" t="n"/>
      <c r="C19" s="2" t="inlineStr">
        <is>
          <t>2025-07-31</t>
        </is>
      </c>
      <c r="D19" s="2" t="inlineStr">
        <is>
          <t>Q0103</t>
        </is>
      </c>
      <c r="E19" s="2" t="n"/>
      <c r="F19" s="2" t="inlineStr">
        <is>
          <t>杭州实时查科技有限公司</t>
        </is>
      </c>
      <c r="G19" s="2" t="inlineStr">
        <is>
          <t>记-6</t>
        </is>
      </c>
      <c r="H19" s="2" t="n"/>
      <c r="I19" s="104" t="n">
        <v>7</v>
      </c>
      <c r="J19" s="104" t="n"/>
      <c r="K19" s="1" t="n"/>
      <c r="L19" s="104" t="n"/>
      <c r="M19" s="2" t="n"/>
    </row>
    <row r="20" s="83">
      <c r="A20" s="2" t="inlineStr">
        <is>
          <t>101201</t>
        </is>
      </c>
      <c r="B20" s="2" t="n"/>
      <c r="C20" s="2" t="inlineStr">
        <is>
          <t>2025-07-31</t>
        </is>
      </c>
      <c r="D20" s="2" t="inlineStr">
        <is>
          <t>Q2204</t>
        </is>
      </c>
      <c r="E20" s="2" t="n"/>
      <c r="F20" s="2" t="inlineStr">
        <is>
          <t>杭州实时查科技有限公司</t>
        </is>
      </c>
      <c r="G20" s="2" t="inlineStr">
        <is>
          <t>记-6</t>
        </is>
      </c>
      <c r="H20" s="2" t="n"/>
      <c r="I20" s="104" t="n"/>
      <c r="J20" s="104" t="n">
        <v>7</v>
      </c>
      <c r="K20" s="1" t="n"/>
      <c r="L20" s="104" t="n"/>
      <c r="M20" s="2" t="n"/>
    </row>
    <row r="21" s="83">
      <c r="A21" s="2" t="inlineStr">
        <is>
          <t>101201</t>
        </is>
      </c>
      <c r="B21" s="2" t="n"/>
      <c r="C21" s="2" t="inlineStr">
        <is>
          <t>2025-07-31</t>
        </is>
      </c>
      <c r="D21" s="2" t="inlineStr">
        <is>
          <t>Q2207</t>
        </is>
      </c>
      <c r="E21" s="2" t="n"/>
      <c r="F21" s="2" t="inlineStr">
        <is>
          <t>杭州实时查科技有限公司</t>
        </is>
      </c>
      <c r="G21" s="2" t="inlineStr">
        <is>
          <t>记-6</t>
        </is>
      </c>
      <c r="H21" s="2" t="n"/>
      <c r="I21" s="104" t="n"/>
      <c r="J21" s="104" t="n">
        <v>7</v>
      </c>
      <c r="K21" s="1" t="n"/>
      <c r="L21" s="104" t="n"/>
      <c r="M21" s="2" t="n"/>
    </row>
    <row r="22" s="83">
      <c r="A22" s="2" t="inlineStr">
        <is>
          <t>101201</t>
        </is>
      </c>
      <c r="B22" s="2" t="n"/>
      <c r="C22" s="2" t="inlineStr">
        <is>
          <t>2025-07-31</t>
        </is>
      </c>
      <c r="D22" s="2" t="inlineStr">
        <is>
          <t>Q2208</t>
        </is>
      </c>
      <c r="E22" s="2" t="n"/>
      <c r="F22" s="2" t="inlineStr">
        <is>
          <t>杭州实时查科技有限公司</t>
        </is>
      </c>
      <c r="G22" s="2" t="inlineStr">
        <is>
          <t>记-6</t>
        </is>
      </c>
      <c r="H22" s="2" t="n"/>
      <c r="I22" s="104" t="n"/>
      <c r="J22" s="104" t="n">
        <v>7</v>
      </c>
      <c r="K22" s="1" t="n"/>
      <c r="L22" s="104" t="n"/>
      <c r="M22" s="2" t="n"/>
    </row>
    <row r="23" s="83">
      <c r="A23" s="2" t="inlineStr">
        <is>
          <t>100201</t>
        </is>
      </c>
      <c r="B23" s="2" t="n"/>
      <c r="C23" s="2" t="inlineStr">
        <is>
          <t>2025-07-15</t>
        </is>
      </c>
      <c r="D23" s="2" t="inlineStr">
        <is>
          <t>Q0101</t>
        </is>
      </c>
      <c r="E23" s="2" t="n"/>
      <c r="F23" s="2" t="inlineStr">
        <is>
          <t>杭州知识跳跳科技有限公司</t>
        </is>
      </c>
      <c r="G23" s="2" t="inlineStr">
        <is>
          <t>记-27</t>
        </is>
      </c>
      <c r="H23" s="2" t="n"/>
      <c r="I23" s="104" t="n">
        <v>7</v>
      </c>
      <c r="J23" s="104" t="n"/>
      <c r="K23" s="1" t="n"/>
      <c r="L23" s="104" t="n"/>
      <c r="M23" s="2" t="n"/>
    </row>
    <row r="24" s="83">
      <c r="A24" s="2" t="inlineStr">
        <is>
          <t>101204</t>
        </is>
      </c>
      <c r="B24" s="2" t="n"/>
      <c r="C24" s="2" t="inlineStr">
        <is>
          <t>2025-07-31</t>
        </is>
      </c>
      <c r="D24" s="2" t="inlineStr">
        <is>
          <t>Q0101</t>
        </is>
      </c>
      <c r="E24" s="2" t="n"/>
      <c r="F24" s="2" t="inlineStr">
        <is>
          <t>杭州知识跳跳科技有限公司</t>
        </is>
      </c>
      <c r="G24" s="2" t="inlineStr">
        <is>
          <t>记-40</t>
        </is>
      </c>
      <c r="H24" s="2" t="n"/>
      <c r="I24" s="104" t="n"/>
      <c r="J24" s="104" t="n">
        <v>7</v>
      </c>
      <c r="K24" s="1" t="n"/>
      <c r="L24" s="104" t="n"/>
      <c r="M24" s="2" t="n"/>
    </row>
    <row r="25" s="83">
      <c r="A25" s="2" t="inlineStr">
        <is>
          <t>100201</t>
        </is>
      </c>
      <c r="B25" s="2" t="n"/>
      <c r="C25" s="2" t="inlineStr">
        <is>
          <t>2025-07-10</t>
        </is>
      </c>
      <c r="D25" s="2" t="inlineStr">
        <is>
          <t>Q0401</t>
        </is>
      </c>
      <c r="E25" s="2" t="n"/>
      <c r="F25" s="2" t="inlineStr">
        <is>
          <t>杭州知识跳跳科技有限公司</t>
        </is>
      </c>
      <c r="G25" s="2" t="inlineStr">
        <is>
          <t>记-17</t>
        </is>
      </c>
      <c r="H25" s="2" t="n"/>
      <c r="I25" s="104" t="n">
        <v>7</v>
      </c>
      <c r="J25" s="104" t="n"/>
      <c r="K25" s="1" t="n"/>
      <c r="L25" s="104" t="n"/>
      <c r="M25" s="2" t="n"/>
    </row>
    <row r="26" s="83">
      <c r="A26" s="2" t="inlineStr">
        <is>
          <t>100201</t>
        </is>
      </c>
      <c r="B26" s="2" t="n"/>
      <c r="C26" s="2" t="inlineStr">
        <is>
          <t>2025-07-14</t>
        </is>
      </c>
      <c r="D26" s="2" t="inlineStr">
        <is>
          <t>Q0401</t>
        </is>
      </c>
      <c r="E26" s="2" t="n"/>
      <c r="F26" s="2" t="inlineStr">
        <is>
          <t>杭州知识跳跳科技有限公司</t>
        </is>
      </c>
      <c r="G26" s="2" t="inlineStr">
        <is>
          <t>记-23</t>
        </is>
      </c>
      <c r="H26" s="2" t="n"/>
      <c r="I26" s="104" t="n">
        <v>7</v>
      </c>
      <c r="J26" s="104" t="n"/>
      <c r="K26" s="1" t="n"/>
      <c r="L26" s="104" t="n"/>
      <c r="M26" s="2" t="n"/>
    </row>
    <row r="27" s="83">
      <c r="A27" s="2" t="inlineStr">
        <is>
          <t>100201</t>
        </is>
      </c>
      <c r="B27" s="2" t="n"/>
      <c r="C27" s="2" t="inlineStr">
        <is>
          <t>2025-07-31</t>
        </is>
      </c>
      <c r="D27" s="2" t="inlineStr">
        <is>
          <t>Q0602</t>
        </is>
      </c>
      <c r="E27" s="2" t="n"/>
      <c r="F27" s="2" t="inlineStr">
        <is>
          <t>杭州知识跳跳科技有限公司</t>
        </is>
      </c>
      <c r="G27" s="2" t="inlineStr">
        <is>
          <t>记-38</t>
        </is>
      </c>
      <c r="H27" s="2" t="n"/>
      <c r="I27" s="104" t="n"/>
      <c r="J27" s="104" t="n">
        <v>7</v>
      </c>
      <c r="K27" s="1" t="n"/>
      <c r="L27" s="104" t="n"/>
      <c r="M27" s="2" t="n"/>
    </row>
    <row r="28" s="83">
      <c r="A28" s="2" t="inlineStr">
        <is>
          <t>100201</t>
        </is>
      </c>
      <c r="B28" s="2" t="n"/>
      <c r="C28" s="2" t="inlineStr">
        <is>
          <t>2025-07-31</t>
        </is>
      </c>
      <c r="D28" s="2" t="inlineStr">
        <is>
          <t>Q0401</t>
        </is>
      </c>
      <c r="E28" s="2" t="n"/>
      <c r="F28" s="2" t="inlineStr">
        <is>
          <t>杭州知识跳跳科技有限公司</t>
        </is>
      </c>
      <c r="G28" s="2" t="inlineStr">
        <is>
          <t>记-39</t>
        </is>
      </c>
      <c r="H28" s="2" t="n"/>
      <c r="I28" s="104" t="n">
        <v>7</v>
      </c>
      <c r="J28" s="104" t="n"/>
      <c r="K28" s="1" t="n"/>
      <c r="L28" s="104" t="n"/>
      <c r="M28" s="2" t="n"/>
    </row>
    <row r="29" s="83">
      <c r="A29" s="2" t="inlineStr">
        <is>
          <t>100201</t>
        </is>
      </c>
      <c r="B29" s="2" t="n"/>
      <c r="C29" s="2" t="inlineStr">
        <is>
          <t>2025-07-09</t>
        </is>
      </c>
      <c r="D29" s="2" t="inlineStr">
        <is>
          <t>Q0502</t>
        </is>
      </c>
      <c r="E29" s="2" t="n"/>
      <c r="F29" s="2" t="inlineStr">
        <is>
          <t>杭州知识跳跳科技有限公司</t>
        </is>
      </c>
      <c r="G29" s="2" t="inlineStr">
        <is>
          <t>记-13</t>
        </is>
      </c>
      <c r="H29" s="2" t="n"/>
      <c r="I29" s="104" t="n">
        <v>7</v>
      </c>
      <c r="J29" s="104" t="n"/>
      <c r="K29" s="1" t="n"/>
      <c r="L29" s="104" t="n"/>
      <c r="M29" s="2" t="n"/>
    </row>
    <row r="30" s="83">
      <c r="A30" s="2" t="inlineStr">
        <is>
          <t>100201</t>
        </is>
      </c>
      <c r="B30" s="2" t="n"/>
      <c r="C30" s="2" t="inlineStr">
        <is>
          <t>2025-07-09</t>
        </is>
      </c>
      <c r="D30" s="2" t="inlineStr">
        <is>
          <t>Q0502</t>
        </is>
      </c>
      <c r="E30" s="2" t="n"/>
      <c r="F30" s="2" t="inlineStr">
        <is>
          <t>杭州知识跳跳科技有限公司</t>
        </is>
      </c>
      <c r="G30" s="2" t="inlineStr">
        <is>
          <t>记-14</t>
        </is>
      </c>
      <c r="H30" s="2" t="n"/>
      <c r="I30" s="104" t="n">
        <v>7</v>
      </c>
      <c r="J30" s="104" t="n"/>
      <c r="K30" s="1" t="n"/>
      <c r="L30" s="104" t="n"/>
      <c r="M30" s="2" t="n"/>
    </row>
    <row r="31" s="83">
      <c r="A31" s="2" t="inlineStr">
        <is>
          <t>100201</t>
        </is>
      </c>
      <c r="B31" s="2" t="n"/>
      <c r="C31" s="2" t="inlineStr">
        <is>
          <t>2025-07-15</t>
        </is>
      </c>
      <c r="D31" s="2" t="inlineStr">
        <is>
          <t>Q0601</t>
        </is>
      </c>
      <c r="E31" s="2" t="n"/>
      <c r="F31" s="2" t="inlineStr">
        <is>
          <t>杭州知识跳跳科技有限公司</t>
        </is>
      </c>
      <c r="G31" s="2" t="inlineStr">
        <is>
          <t>记-28</t>
        </is>
      </c>
      <c r="H31" s="2" t="n"/>
      <c r="I31" s="104" t="n"/>
      <c r="J31" s="104" t="n">
        <v>7</v>
      </c>
      <c r="K31" s="1" t="n"/>
      <c r="L31" s="104" t="n"/>
      <c r="M31" s="2" t="n"/>
    </row>
    <row r="32" s="83">
      <c r="A32" s="2" t="inlineStr">
        <is>
          <t>100201</t>
        </is>
      </c>
      <c r="B32" s="2" t="n"/>
      <c r="C32" s="2" t="inlineStr">
        <is>
          <t>2025-07-15</t>
        </is>
      </c>
      <c r="D32" s="2" t="inlineStr">
        <is>
          <t>Q0801</t>
        </is>
      </c>
      <c r="E32" s="2" t="n"/>
      <c r="F32" s="2" t="inlineStr">
        <is>
          <t>杭州知识跳跳科技有限公司</t>
        </is>
      </c>
      <c r="G32" s="2" t="inlineStr">
        <is>
          <t>记-29</t>
        </is>
      </c>
      <c r="H32" s="2" t="n"/>
      <c r="I32" s="104" t="n"/>
      <c r="J32" s="104" t="n">
        <v>7</v>
      </c>
      <c r="K32" s="1" t="n"/>
      <c r="L32" s="104" t="n"/>
      <c r="M32" s="2" t="n"/>
    </row>
    <row r="33" s="83">
      <c r="A33" s="2" t="inlineStr">
        <is>
          <t>100201</t>
        </is>
      </c>
      <c r="B33" s="2" t="n"/>
      <c r="C33" s="2" t="inlineStr">
        <is>
          <t>2025-07-03</t>
        </is>
      </c>
      <c r="D33" s="2" t="inlineStr">
        <is>
          <t>Q0803</t>
        </is>
      </c>
      <c r="E33" s="2" t="n"/>
      <c r="F33" s="2" t="inlineStr">
        <is>
          <t>杭州知识跳跳科技有限公司</t>
        </is>
      </c>
      <c r="G33" s="2" t="inlineStr">
        <is>
          <t>记-8</t>
        </is>
      </c>
      <c r="H33" s="2" t="n"/>
      <c r="I33" s="104" t="n"/>
      <c r="J33" s="104" t="n">
        <v>7</v>
      </c>
      <c r="K33" s="1" t="n"/>
      <c r="L33" s="104" t="n"/>
      <c r="M33" s="2" t="n"/>
    </row>
    <row r="34" s="83">
      <c r="A34" s="2" t="inlineStr">
        <is>
          <t>100201</t>
        </is>
      </c>
      <c r="B34" s="2" t="n"/>
      <c r="C34" s="2" t="inlineStr">
        <is>
          <t>2025-07-22</t>
        </is>
      </c>
      <c r="D34" s="2" t="inlineStr">
        <is>
          <t>Q0804</t>
        </is>
      </c>
      <c r="E34" s="2" t="n"/>
      <c r="F34" s="2" t="inlineStr">
        <is>
          <t>杭州知识跳跳科技有限公司</t>
        </is>
      </c>
      <c r="G34" s="2" t="inlineStr">
        <is>
          <t>记-33</t>
        </is>
      </c>
      <c r="H34" s="2" t="n"/>
      <c r="I34" s="104" t="n"/>
      <c r="J34" s="104" t="n">
        <v>7</v>
      </c>
      <c r="K34" s="1" t="n"/>
      <c r="L34" s="104" t="n"/>
      <c r="M34" s="2" t="n"/>
    </row>
    <row r="35" s="83">
      <c r="A35" s="2" t="inlineStr">
        <is>
          <t>100201</t>
        </is>
      </c>
      <c r="B35" s="2" t="n"/>
      <c r="C35" s="2" t="inlineStr">
        <is>
          <t>2025-07-15</t>
        </is>
      </c>
      <c r="D35" s="2" t="inlineStr">
        <is>
          <t>Q0805</t>
        </is>
      </c>
      <c r="E35" s="2" t="n"/>
      <c r="F35" s="2" t="inlineStr">
        <is>
          <t>杭州知识跳跳科技有限公司</t>
        </is>
      </c>
      <c r="G35" s="2" t="inlineStr">
        <is>
          <t>记-31</t>
        </is>
      </c>
      <c r="H35" s="2" t="n"/>
      <c r="I35" s="104" t="n"/>
      <c r="J35" s="104" t="n">
        <v>7</v>
      </c>
      <c r="K35" s="1" t="n"/>
      <c r="L35" s="104" t="n"/>
      <c r="M35" s="2" t="n"/>
    </row>
    <row r="36" s="83">
      <c r="A36" s="2" t="inlineStr">
        <is>
          <t>100201</t>
        </is>
      </c>
      <c r="B36" s="2" t="n"/>
      <c r="C36" s="2" t="inlineStr">
        <is>
          <t>2025-07-14</t>
        </is>
      </c>
      <c r="D36" s="2" t="inlineStr">
        <is>
          <t>Q0808</t>
        </is>
      </c>
      <c r="E36" s="2" t="n"/>
      <c r="F36" s="2" t="inlineStr">
        <is>
          <t>杭州知识跳跳科技有限公司</t>
        </is>
      </c>
      <c r="G36" s="2" t="inlineStr">
        <is>
          <t>记-26</t>
        </is>
      </c>
      <c r="H36" s="2" t="n"/>
      <c r="I36" s="104" t="n"/>
      <c r="J36" s="104" t="n">
        <v>7</v>
      </c>
      <c r="K36" s="1" t="n"/>
      <c r="L36" s="104" t="n"/>
      <c r="M36" s="2" t="n"/>
    </row>
    <row r="37" s="83">
      <c r="A37" s="2" t="inlineStr">
        <is>
          <t>100201</t>
        </is>
      </c>
      <c r="B37" s="2" t="n"/>
      <c r="C37" s="2" t="inlineStr">
        <is>
          <t>2025-07-01</t>
        </is>
      </c>
      <c r="D37" s="2" t="inlineStr">
        <is>
          <t>Q1001</t>
        </is>
      </c>
      <c r="E37" s="2" t="n"/>
      <c r="F37" s="2" t="inlineStr">
        <is>
          <t>杭州知识跳跳科技有限公司</t>
        </is>
      </c>
      <c r="G37" s="2" t="inlineStr">
        <is>
          <t>记-3</t>
        </is>
      </c>
      <c r="H37" s="2" t="n"/>
      <c r="I37" s="104" t="n"/>
      <c r="J37" s="104" t="n">
        <v>7</v>
      </c>
      <c r="K37" s="1" t="n"/>
      <c r="L37" s="104" t="n"/>
      <c r="M37" s="2" t="n"/>
    </row>
    <row r="38" s="83">
      <c r="A38" s="2" t="inlineStr">
        <is>
          <t>100201</t>
        </is>
      </c>
      <c r="B38" s="2" t="n"/>
      <c r="C38" s="2" t="inlineStr">
        <is>
          <t>2025-07-10</t>
        </is>
      </c>
      <c r="D38" s="2" t="inlineStr">
        <is>
          <t>Q1401</t>
        </is>
      </c>
      <c r="E38" s="2" t="n"/>
      <c r="F38" s="2" t="inlineStr">
        <is>
          <t>杭州知识跳跳科技有限公司</t>
        </is>
      </c>
      <c r="G38" s="2" t="inlineStr">
        <is>
          <t>记-15</t>
        </is>
      </c>
      <c r="H38" s="2" t="n"/>
      <c r="I38" s="104" t="n"/>
      <c r="J38" s="104" t="n">
        <v>7</v>
      </c>
      <c r="K38" s="1" t="n"/>
      <c r="L38" s="104" t="n"/>
      <c r="M38" s="2" t="n"/>
    </row>
    <row r="39" s="83">
      <c r="A39" s="2" t="inlineStr">
        <is>
          <t>100201</t>
        </is>
      </c>
      <c r="B39" s="2" t="n"/>
      <c r="C39" s="2" t="inlineStr">
        <is>
          <t>2025-07-10</t>
        </is>
      </c>
      <c r="D39" s="2" t="inlineStr">
        <is>
          <t>Q1401</t>
        </is>
      </c>
      <c r="E39" s="2" t="n"/>
      <c r="F39" s="2" t="inlineStr">
        <is>
          <t>杭州知识跳跳科技有限公司</t>
        </is>
      </c>
      <c r="G39" s="2" t="inlineStr">
        <is>
          <t>记-16</t>
        </is>
      </c>
      <c r="H39" s="2" t="n"/>
      <c r="I39" s="104" t="n"/>
      <c r="J39" s="104" t="n">
        <v>7</v>
      </c>
      <c r="K39" s="1" t="n"/>
      <c r="L39" s="104" t="n"/>
      <c r="M39" s="2" t="n"/>
    </row>
    <row r="40" s="83">
      <c r="A40" s="2" t="inlineStr">
        <is>
          <t>100201</t>
        </is>
      </c>
      <c r="B40" s="2" t="n"/>
      <c r="C40" s="2" t="inlineStr">
        <is>
          <t>2025-07-10</t>
        </is>
      </c>
      <c r="D40" s="2" t="inlineStr">
        <is>
          <t>Q1501</t>
        </is>
      </c>
      <c r="E40" s="2" t="n"/>
      <c r="F40" s="2" t="inlineStr">
        <is>
          <t>杭州知识跳跳科技有限公司</t>
        </is>
      </c>
      <c r="G40" s="2" t="inlineStr">
        <is>
          <t>记-18</t>
        </is>
      </c>
      <c r="H40" s="2" t="n"/>
      <c r="I40" s="104" t="n"/>
      <c r="J40" s="104" t="n">
        <v>7</v>
      </c>
      <c r="K40" s="1" t="n"/>
      <c r="L40" s="104" t="n"/>
      <c r="M40" s="2" t="n"/>
    </row>
    <row r="41" s="83">
      <c r="A41" s="2" t="inlineStr">
        <is>
          <t>100201</t>
        </is>
      </c>
      <c r="B41" s="2" t="n"/>
      <c r="C41" s="2" t="inlineStr">
        <is>
          <t>2025-07-10</t>
        </is>
      </c>
      <c r="D41" s="2" t="inlineStr">
        <is>
          <t>Q1501</t>
        </is>
      </c>
      <c r="E41" s="2" t="n"/>
      <c r="F41" s="2" t="inlineStr">
        <is>
          <t>杭州知识跳跳科技有限公司</t>
        </is>
      </c>
      <c r="G41" s="2" t="inlineStr">
        <is>
          <t>记-19</t>
        </is>
      </c>
      <c r="H41" s="2" t="n"/>
      <c r="I41" s="104" t="n"/>
      <c r="J41" s="104" t="n">
        <v>7</v>
      </c>
      <c r="K41" s="1" t="n"/>
      <c r="L41" s="104" t="n"/>
      <c r="M41" s="2" t="n"/>
    </row>
    <row r="42" s="83">
      <c r="A42" s="2" t="inlineStr">
        <is>
          <t>100201</t>
        </is>
      </c>
      <c r="B42" s="2" t="n"/>
      <c r="C42" s="2" t="inlineStr">
        <is>
          <t>2025-07-11</t>
        </is>
      </c>
      <c r="D42" s="2" t="inlineStr">
        <is>
          <t>Q1501</t>
        </is>
      </c>
      <c r="E42" s="2" t="n"/>
      <c r="F42" s="2" t="inlineStr">
        <is>
          <t>杭州知识跳跳科技有限公司</t>
        </is>
      </c>
      <c r="G42" s="2" t="inlineStr">
        <is>
          <t>记-20</t>
        </is>
      </c>
      <c r="H42" s="2" t="n"/>
      <c r="I42" s="104" t="n"/>
      <c r="J42" s="104" t="n">
        <v>7</v>
      </c>
      <c r="K42" s="1" t="n"/>
      <c r="L42" s="104" t="n"/>
      <c r="M42" s="2" t="n"/>
    </row>
    <row r="43" s="83">
      <c r="A43" s="2" t="inlineStr">
        <is>
          <t>100201</t>
        </is>
      </c>
      <c r="B43" s="2" t="n"/>
      <c r="C43" s="2" t="inlineStr">
        <is>
          <t>2025-07-01</t>
        </is>
      </c>
      <c r="D43" s="2" t="inlineStr">
        <is>
          <t>Q1505</t>
        </is>
      </c>
      <c r="E43" s="2" t="n"/>
      <c r="F43" s="2" t="inlineStr">
        <is>
          <t>杭州知识跳跳科技有限公司</t>
        </is>
      </c>
      <c r="G43" s="2" t="inlineStr">
        <is>
          <t>记-4</t>
        </is>
      </c>
      <c r="H43" s="2" t="n"/>
      <c r="I43" s="104" t="n"/>
      <c r="J43" s="104" t="n">
        <v>7</v>
      </c>
      <c r="K43" s="1" t="n"/>
      <c r="L43" s="104" t="n"/>
      <c r="M43" s="2" t="n"/>
    </row>
    <row r="44" s="83">
      <c r="A44" s="2" t="inlineStr">
        <is>
          <t>100201</t>
        </is>
      </c>
      <c r="B44" s="2" t="n"/>
      <c r="C44" s="2" t="inlineStr">
        <is>
          <t>2025-07-02</t>
        </is>
      </c>
      <c r="D44" s="2" t="inlineStr">
        <is>
          <t>Q1505</t>
        </is>
      </c>
      <c r="E44" s="2" t="n"/>
      <c r="F44" s="2" t="inlineStr">
        <is>
          <t>杭州知识跳跳科技有限公司</t>
        </is>
      </c>
      <c r="G44" s="2" t="inlineStr">
        <is>
          <t>记-7</t>
        </is>
      </c>
      <c r="H44" s="2" t="n"/>
      <c r="I44" s="104" t="n"/>
      <c r="J44" s="104" t="n">
        <v>7</v>
      </c>
      <c r="K44" s="1" t="n"/>
      <c r="L44" s="104" t="n"/>
      <c r="M44" s="2" t="n"/>
    </row>
    <row r="45" s="83">
      <c r="A45" s="2" t="inlineStr">
        <is>
          <t>100201</t>
        </is>
      </c>
      <c r="B45" s="2" t="n"/>
      <c r="C45" s="2" t="inlineStr">
        <is>
          <t>2025-07-03</t>
        </is>
      </c>
      <c r="D45" s="2" t="inlineStr">
        <is>
          <t>Q1505</t>
        </is>
      </c>
      <c r="E45" s="2" t="n"/>
      <c r="F45" s="2" t="inlineStr">
        <is>
          <t>杭州知识跳跳科技有限公司</t>
        </is>
      </c>
      <c r="G45" s="2" t="inlineStr">
        <is>
          <t>记-9</t>
        </is>
      </c>
      <c r="H45" s="2" t="n"/>
      <c r="I45" s="104" t="n"/>
      <c r="J45" s="104" t="n">
        <v>7</v>
      </c>
      <c r="K45" s="1" t="n"/>
      <c r="L45" s="104" t="n"/>
      <c r="M45" s="2" t="n"/>
    </row>
    <row r="46" s="83">
      <c r="A46" s="2" t="inlineStr">
        <is>
          <t>100201</t>
        </is>
      </c>
      <c r="B46" s="2" t="n"/>
      <c r="C46" s="2" t="inlineStr">
        <is>
          <t>2025-07-04</t>
        </is>
      </c>
      <c r="D46" s="2" t="inlineStr">
        <is>
          <t>Q1505</t>
        </is>
      </c>
      <c r="E46" s="2" t="n"/>
      <c r="F46" s="2" t="inlineStr">
        <is>
          <t>杭州知识跳跳科技有限公司</t>
        </is>
      </c>
      <c r="G46" s="2" t="inlineStr">
        <is>
          <t>记-11</t>
        </is>
      </c>
      <c r="H46" s="2" t="n"/>
      <c r="I46" s="104" t="n"/>
      <c r="J46" s="104" t="n">
        <v>7</v>
      </c>
      <c r="K46" s="1" t="n"/>
      <c r="L46" s="104" t="n"/>
      <c r="M46" s="2" t="n"/>
    </row>
    <row r="47" s="83">
      <c r="A47" s="2" t="inlineStr">
        <is>
          <t>100201</t>
        </is>
      </c>
      <c r="B47" s="2" t="n"/>
      <c r="C47" s="2" t="inlineStr">
        <is>
          <t>2025-07-04</t>
        </is>
      </c>
      <c r="D47" s="2" t="inlineStr">
        <is>
          <t>Q1505</t>
        </is>
      </c>
      <c r="E47" s="2" t="n"/>
      <c r="F47" s="2" t="inlineStr">
        <is>
          <t>杭州知识跳跳科技有限公司</t>
        </is>
      </c>
      <c r="G47" s="2" t="inlineStr">
        <is>
          <t>记-12</t>
        </is>
      </c>
      <c r="H47" s="2" t="n"/>
      <c r="I47" s="104" t="n"/>
      <c r="J47" s="104" t="n">
        <v>7</v>
      </c>
      <c r="K47" s="1" t="n"/>
      <c r="L47" s="104" t="n"/>
      <c r="M47" s="2" t="n"/>
    </row>
    <row r="48" s="83">
      <c r="A48" s="2" t="inlineStr">
        <is>
          <t>100201</t>
        </is>
      </c>
      <c r="B48" s="2" t="n"/>
      <c r="C48" s="2" t="inlineStr">
        <is>
          <t>2025-07-11</t>
        </is>
      </c>
      <c r="D48" s="2" t="inlineStr">
        <is>
          <t>Q1505</t>
        </is>
      </c>
      <c r="E48" s="2" t="n"/>
      <c r="F48" s="2" t="inlineStr">
        <is>
          <t>杭州知识跳跳科技有限公司</t>
        </is>
      </c>
      <c r="G48" s="2" t="inlineStr">
        <is>
          <t>记-21</t>
        </is>
      </c>
      <c r="H48" s="2" t="n"/>
      <c r="I48" s="104" t="n"/>
      <c r="J48" s="104" t="n">
        <v>7</v>
      </c>
      <c r="K48" s="1" t="n"/>
      <c r="L48" s="104" t="n"/>
      <c r="M48" s="2" t="n"/>
    </row>
    <row r="49" s="83">
      <c r="A49" s="2" t="inlineStr">
        <is>
          <t>100201</t>
        </is>
      </c>
      <c r="B49" s="2" t="n"/>
      <c r="C49" s="2" t="inlineStr">
        <is>
          <t>2025-07-14</t>
        </is>
      </c>
      <c r="D49" s="2" t="inlineStr">
        <is>
          <t>Q1505</t>
        </is>
      </c>
      <c r="E49" s="2" t="n"/>
      <c r="F49" s="2" t="inlineStr">
        <is>
          <t>杭州知识跳跳科技有限公司</t>
        </is>
      </c>
      <c r="G49" s="2" t="inlineStr">
        <is>
          <t>记-24</t>
        </is>
      </c>
      <c r="H49" s="2" t="n"/>
      <c r="I49" s="104" t="n"/>
      <c r="J49" s="104" t="n">
        <v>7</v>
      </c>
      <c r="K49" s="1" t="n"/>
      <c r="L49" s="104" t="n"/>
      <c r="M49" s="2" t="n"/>
    </row>
    <row r="50" s="83">
      <c r="A50" s="2" t="inlineStr">
        <is>
          <t>100201</t>
        </is>
      </c>
      <c r="B50" s="2" t="n"/>
      <c r="C50" s="2" t="inlineStr">
        <is>
          <t>2025-07-14</t>
        </is>
      </c>
      <c r="D50" s="2" t="inlineStr">
        <is>
          <t>Q1505</t>
        </is>
      </c>
      <c r="E50" s="2" t="n"/>
      <c r="F50" s="2" t="inlineStr">
        <is>
          <t>杭州知识跳跳科技有限公司</t>
        </is>
      </c>
      <c r="G50" s="2" t="inlineStr">
        <is>
          <t>记-25</t>
        </is>
      </c>
      <c r="H50" s="2" t="n"/>
      <c r="I50" s="104" t="n"/>
      <c r="J50" s="104" t="n">
        <v>7</v>
      </c>
      <c r="K50" s="1" t="n"/>
      <c r="L50" s="104" t="n"/>
      <c r="M50" s="2" t="n"/>
    </row>
    <row r="51" s="83">
      <c r="A51" s="2" t="inlineStr">
        <is>
          <t>100201</t>
        </is>
      </c>
      <c r="B51" s="2" t="n"/>
      <c r="C51" s="2" t="inlineStr">
        <is>
          <t>2025-07-30</t>
        </is>
      </c>
      <c r="D51" s="2" t="inlineStr">
        <is>
          <t>Q1505</t>
        </is>
      </c>
      <c r="E51" s="2" t="n"/>
      <c r="F51" s="2" t="inlineStr">
        <is>
          <t>杭州知识跳跳科技有限公司</t>
        </is>
      </c>
      <c r="G51" s="2" t="inlineStr">
        <is>
          <t>记-37</t>
        </is>
      </c>
      <c r="H51" s="2" t="n"/>
      <c r="I51" s="104" t="n"/>
      <c r="J51" s="104" t="n">
        <v>7</v>
      </c>
      <c r="K51" s="1" t="n"/>
      <c r="L51" s="104" t="n"/>
      <c r="M51" s="2" t="n"/>
    </row>
    <row r="52" s="83">
      <c r="A52" s="2" t="inlineStr">
        <is>
          <t>100201</t>
        </is>
      </c>
      <c r="B52" s="2" t="n"/>
      <c r="C52" s="2" t="inlineStr">
        <is>
          <t>2025-07-22</t>
        </is>
      </c>
      <c r="D52" s="2" t="inlineStr">
        <is>
          <t>Q1603</t>
        </is>
      </c>
      <c r="E52" s="2" t="n"/>
      <c r="F52" s="2" t="inlineStr">
        <is>
          <t>杭州知识跳跳科技有限公司</t>
        </is>
      </c>
      <c r="G52" s="2" t="inlineStr">
        <is>
          <t>记-32</t>
        </is>
      </c>
      <c r="H52" s="2" t="n"/>
      <c r="I52" s="104" t="n"/>
      <c r="J52" s="104" t="n">
        <v>7</v>
      </c>
      <c r="K52" s="1" t="n"/>
      <c r="L52" s="104" t="n"/>
      <c r="M52" s="2" t="n"/>
    </row>
    <row r="53" s="83">
      <c r="A53" s="2" t="inlineStr">
        <is>
          <t>100201</t>
        </is>
      </c>
      <c r="B53" s="2" t="n"/>
      <c r="C53" s="2" t="inlineStr">
        <is>
          <t>2025-07-04</t>
        </is>
      </c>
      <c r="D53" s="2" t="inlineStr">
        <is>
          <t>Q2904</t>
        </is>
      </c>
      <c r="E53" s="2" t="n"/>
      <c r="F53" s="2" t="inlineStr">
        <is>
          <t>杭州知识跳跳科技有限公司</t>
        </is>
      </c>
      <c r="G53" s="2" t="inlineStr">
        <is>
          <t>记-10</t>
        </is>
      </c>
      <c r="H53" s="2" t="n"/>
      <c r="I53" s="104" t="n"/>
      <c r="J53" s="104" t="n">
        <v>7</v>
      </c>
      <c r="K53" s="1" t="n"/>
      <c r="L53" s="104" t="n"/>
      <c r="M53" s="2" t="n"/>
    </row>
    <row r="54" s="83">
      <c r="A54" s="2" t="inlineStr">
        <is>
          <t>100201</t>
        </is>
      </c>
      <c r="B54" s="2" t="n"/>
      <c r="C54" s="2" t="inlineStr">
        <is>
          <t>2025-07-30</t>
        </is>
      </c>
      <c r="D54" s="2" t="inlineStr">
        <is>
          <t>Q2907</t>
        </is>
      </c>
      <c r="E54" s="2" t="n"/>
      <c r="F54" s="2" t="inlineStr">
        <is>
          <t>杭州知识跳跳科技有限公司</t>
        </is>
      </c>
      <c r="G54" s="2" t="inlineStr">
        <is>
          <t>记-36</t>
        </is>
      </c>
      <c r="H54" s="2" t="n"/>
      <c r="I54" s="104" t="n">
        <v>7</v>
      </c>
      <c r="J54" s="104" t="n"/>
      <c r="K54" s="1" t="n"/>
      <c r="L54" s="104" t="n"/>
      <c r="M54" s="2" t="n"/>
    </row>
    <row r="55" s="83">
      <c r="A55" s="2" t="inlineStr">
        <is>
          <t>100201</t>
        </is>
      </c>
      <c r="B55" s="2" t="n"/>
      <c r="C55" s="2" t="inlineStr">
        <is>
          <t>2025-07-25</t>
        </is>
      </c>
      <c r="D55" s="2" t="inlineStr">
        <is>
          <t>Q2908</t>
        </is>
      </c>
      <c r="E55" s="2" t="n"/>
      <c r="F55" s="2" t="inlineStr">
        <is>
          <t>杭州知识跳跳科技有限公司</t>
        </is>
      </c>
      <c r="G55" s="2" t="inlineStr">
        <is>
          <t>记-34</t>
        </is>
      </c>
      <c r="H55" s="2" t="n"/>
      <c r="I55" s="104" t="n"/>
      <c r="J55" s="104" t="n">
        <v>7</v>
      </c>
      <c r="K55" s="1" t="n"/>
      <c r="L55" s="104" t="n"/>
      <c r="M55" s="2" t="n"/>
    </row>
    <row r="56" s="83">
      <c r="A56" s="2" t="inlineStr">
        <is>
          <t>100201</t>
        </is>
      </c>
      <c r="B56" s="2" t="n"/>
      <c r="C56" s="2" t="inlineStr">
        <is>
          <t>2025-07-28</t>
        </is>
      </c>
      <c r="D56" s="2" t="inlineStr">
        <is>
          <t>Q2908</t>
        </is>
      </c>
      <c r="E56" s="2" t="n"/>
      <c r="F56" s="2" t="inlineStr">
        <is>
          <t>杭州知识跳跳科技有限公司</t>
        </is>
      </c>
      <c r="G56" s="2" t="inlineStr">
        <is>
          <t>记-35</t>
        </is>
      </c>
      <c r="H56" s="2" t="n"/>
      <c r="I56" s="104" t="n"/>
      <c r="J56" s="104" t="n">
        <v>7</v>
      </c>
      <c r="K56" s="1" t="n"/>
      <c r="L56" s="104" t="n"/>
      <c r="M56" s="2" t="n"/>
    </row>
    <row r="57" s="83">
      <c r="A57" s="2" t="inlineStr">
        <is>
          <t>100201</t>
        </is>
      </c>
      <c r="B57" s="2" t="n"/>
      <c r="C57" s="2" t="inlineStr">
        <is>
          <t>2025-07-13</t>
        </is>
      </c>
      <c r="D57" s="2" t="inlineStr">
        <is>
          <t>Q3003</t>
        </is>
      </c>
      <c r="E57" s="2" t="n"/>
      <c r="F57" s="2" t="inlineStr">
        <is>
          <t>杭州知识跳跳科技有限公司</t>
        </is>
      </c>
      <c r="G57" s="2" t="inlineStr">
        <is>
          <t>记-22</t>
        </is>
      </c>
      <c r="H57" s="2" t="n"/>
      <c r="I57" s="104" t="n"/>
      <c r="J57" s="104" t="n">
        <v>7</v>
      </c>
      <c r="K57" s="1" t="n"/>
      <c r="L57" s="104" t="n"/>
      <c r="M57" s="2" t="n"/>
    </row>
    <row r="58" s="83">
      <c r="A58" s="2" t="inlineStr">
        <is>
          <t>100201</t>
        </is>
      </c>
      <c r="B58" s="2" t="n"/>
      <c r="C58" s="2" t="inlineStr">
        <is>
          <t>2025-07-01</t>
        </is>
      </c>
      <c r="D58" s="2" t="inlineStr">
        <is>
          <t>Q3101</t>
        </is>
      </c>
      <c r="E58" s="2" t="n"/>
      <c r="F58" s="2" t="inlineStr">
        <is>
          <t>杭州知识跳跳科技有限公司</t>
        </is>
      </c>
      <c r="G58" s="2" t="inlineStr">
        <is>
          <t>记-5</t>
        </is>
      </c>
      <c r="H58" s="2" t="n"/>
      <c r="I58" s="104" t="n"/>
      <c r="J58" s="104" t="n">
        <v>7</v>
      </c>
      <c r="K58" s="1" t="n"/>
      <c r="L58" s="104" t="n"/>
      <c r="M58" s="2" t="n"/>
    </row>
    <row r="59" s="83">
      <c r="A59" s="2" t="inlineStr">
        <is>
          <t>100201</t>
        </is>
      </c>
      <c r="B59" s="2" t="n"/>
      <c r="C59" s="2" t="inlineStr">
        <is>
          <t>2025-07-01</t>
        </is>
      </c>
      <c r="D59" s="2" t="inlineStr">
        <is>
          <t>Q3101</t>
        </is>
      </c>
      <c r="E59" s="2" t="n"/>
      <c r="F59" s="2" t="inlineStr">
        <is>
          <t>杭州知识跳跳科技有限公司</t>
        </is>
      </c>
      <c r="G59" s="2" t="inlineStr">
        <is>
          <t>记-41</t>
        </is>
      </c>
      <c r="H59" s="2" t="n"/>
      <c r="I59" s="104" t="n"/>
      <c r="J59" s="104" t="n">
        <v>7</v>
      </c>
      <c r="K59" s="1" t="n"/>
      <c r="L59" s="104" t="n"/>
      <c r="M59" s="2" t="n"/>
    </row>
    <row r="60" s="83">
      <c r="A60" s="2" t="inlineStr">
        <is>
          <t>100201</t>
        </is>
      </c>
      <c r="B60" s="2" t="n"/>
      <c r="C60" s="2" t="inlineStr">
        <is>
          <t>2025-07-02</t>
        </is>
      </c>
      <c r="D60" s="2" t="inlineStr">
        <is>
          <t>Q3101</t>
        </is>
      </c>
      <c r="E60" s="2" t="n"/>
      <c r="F60" s="2" t="inlineStr">
        <is>
          <t>杭州知识跳跳科技有限公司</t>
        </is>
      </c>
      <c r="G60" s="2" t="inlineStr">
        <is>
          <t>记-6</t>
        </is>
      </c>
      <c r="H60" s="2" t="n"/>
      <c r="I60" s="104" t="n"/>
      <c r="J60" s="104" t="n">
        <v>7</v>
      </c>
      <c r="K60" s="1" t="n"/>
      <c r="L60" s="104" t="n"/>
      <c r="M60" s="2" t="n"/>
    </row>
    <row r="61" s="83">
      <c r="A61" s="2" t="inlineStr">
        <is>
          <t>100201</t>
        </is>
      </c>
      <c r="B61" s="2" t="n"/>
      <c r="C61" s="2" t="inlineStr">
        <is>
          <t>2025-07-10</t>
        </is>
      </c>
      <c r="D61" s="2" t="inlineStr">
        <is>
          <t>Q3103</t>
        </is>
      </c>
      <c r="E61" s="2" t="n"/>
      <c r="F61" s="2" t="inlineStr">
        <is>
          <t>杭州知识跳跳科技有限公司</t>
        </is>
      </c>
      <c r="G61" s="2" t="inlineStr">
        <is>
          <t>记-15</t>
        </is>
      </c>
      <c r="H61" s="2" t="n"/>
      <c r="I61" s="104" t="n"/>
      <c r="J61" s="104" t="n">
        <v>7</v>
      </c>
      <c r="K61" s="1" t="n"/>
      <c r="L61" s="104" t="n"/>
      <c r="M61" s="2" t="n"/>
    </row>
    <row r="62" s="83">
      <c r="A62" s="2" t="inlineStr">
        <is>
          <t>100201</t>
        </is>
      </c>
      <c r="B62" s="2" t="n"/>
      <c r="C62" s="2" t="inlineStr">
        <is>
          <t>2025-07-15</t>
        </is>
      </c>
      <c r="D62" s="2" t="inlineStr">
        <is>
          <t>Q3205</t>
        </is>
      </c>
      <c r="E62" s="2" t="n"/>
      <c r="F62" s="2" t="inlineStr">
        <is>
          <t>杭州知识跳跳科技有限公司</t>
        </is>
      </c>
      <c r="G62" s="2" t="inlineStr">
        <is>
          <t>记-30</t>
        </is>
      </c>
      <c r="H62" s="2" t="n"/>
      <c r="I62" s="104" t="n"/>
      <c r="J62" s="104" t="n">
        <v>7</v>
      </c>
      <c r="K62" s="1" t="n"/>
      <c r="L62" s="104" t="n"/>
      <c r="M62" s="2" t="n"/>
    </row>
    <row r="63" s="83">
      <c r="A63" s="2" t="inlineStr">
        <is>
          <t>100201</t>
        </is>
      </c>
      <c r="B63" s="2" t="n"/>
      <c r="C63" s="2" t="inlineStr">
        <is>
          <t>2025-07-01</t>
        </is>
      </c>
      <c r="D63" s="2" t="inlineStr">
        <is>
          <t>Q0101</t>
        </is>
      </c>
      <c r="E63" s="2" t="n"/>
      <c r="F63" s="2" t="inlineStr">
        <is>
          <t>浙江精准学科技有限公司</t>
        </is>
      </c>
      <c r="G63" s="2" t="inlineStr">
        <is>
          <t>记-1</t>
        </is>
      </c>
      <c r="H63" s="2" t="n"/>
      <c r="I63" s="104" t="n">
        <v>7</v>
      </c>
      <c r="J63" s="104" t="n"/>
      <c r="K63" s="1" t="n"/>
      <c r="L63" s="104" t="n"/>
      <c r="M63" s="2" t="n"/>
    </row>
    <row r="64" s="83">
      <c r="A64" s="2" t="inlineStr">
        <is>
          <t>100201</t>
        </is>
      </c>
      <c r="B64" s="2" t="n"/>
      <c r="C64" s="2" t="inlineStr">
        <is>
          <t>2025-07-02</t>
        </is>
      </c>
      <c r="D64" s="2" t="inlineStr">
        <is>
          <t>Q0101</t>
        </is>
      </c>
      <c r="E64" s="2" t="n"/>
      <c r="F64" s="2" t="inlineStr">
        <is>
          <t>浙江精准学科技有限公司</t>
        </is>
      </c>
      <c r="G64" s="2" t="inlineStr">
        <is>
          <t>记-14</t>
        </is>
      </c>
      <c r="H64" s="2" t="n"/>
      <c r="I64" s="104" t="n"/>
      <c r="J64" s="104" t="n">
        <v>7</v>
      </c>
      <c r="K64" s="1" t="n"/>
      <c r="L64" s="104" t="n"/>
      <c r="M64" s="2" t="n"/>
    </row>
    <row r="65" s="83">
      <c r="A65" s="2" t="inlineStr">
        <is>
          <t>100201</t>
        </is>
      </c>
      <c r="B65" s="2" t="n"/>
      <c r="C65" s="2" t="inlineStr">
        <is>
          <t>2025-07-07</t>
        </is>
      </c>
      <c r="D65" s="2" t="inlineStr">
        <is>
          <t>Q0101</t>
        </is>
      </c>
      <c r="E65" s="2" t="n"/>
      <c r="F65" s="2" t="inlineStr">
        <is>
          <t>浙江精准学科技有限公司</t>
        </is>
      </c>
      <c r="G65" s="2" t="inlineStr">
        <is>
          <t>记-58</t>
        </is>
      </c>
      <c r="H65" s="2" t="n"/>
      <c r="I65" s="104" t="n"/>
      <c r="J65" s="104" t="n">
        <v>7</v>
      </c>
      <c r="K65" s="1" t="n"/>
      <c r="L65" s="104" t="n"/>
      <c r="M65" s="2" t="n"/>
    </row>
    <row r="66" s="83">
      <c r="A66" s="2" t="inlineStr">
        <is>
          <t>100201</t>
        </is>
      </c>
      <c r="B66" s="2" t="n"/>
      <c r="C66" s="2" t="inlineStr">
        <is>
          <t>2025-07-25</t>
        </is>
      </c>
      <c r="D66" s="2" t="inlineStr">
        <is>
          <t>Q0101</t>
        </is>
      </c>
      <c r="E66" s="2" t="n"/>
      <c r="F66" s="2" t="inlineStr">
        <is>
          <t>浙江精准学科技有限公司</t>
        </is>
      </c>
      <c r="G66" s="2" t="inlineStr">
        <is>
          <t>记-223</t>
        </is>
      </c>
      <c r="H66" s="2" t="n"/>
      <c r="I66" s="104" t="n"/>
      <c r="J66" s="104" t="n">
        <v>7</v>
      </c>
      <c r="K66" s="1" t="n"/>
      <c r="L66" s="104" t="n"/>
      <c r="M66" s="2" t="n"/>
    </row>
    <row r="67" s="83">
      <c r="A67" s="2" t="inlineStr">
        <is>
          <t>100201</t>
        </is>
      </c>
      <c r="B67" s="2" t="n"/>
      <c r="C67" s="2" t="inlineStr">
        <is>
          <t>2025-07-25</t>
        </is>
      </c>
      <c r="D67" s="2" t="inlineStr">
        <is>
          <t>Q0101</t>
        </is>
      </c>
      <c r="E67" s="2" t="n"/>
      <c r="F67" s="2" t="inlineStr">
        <is>
          <t>浙江精准学科技有限公司</t>
        </is>
      </c>
      <c r="G67" s="2" t="inlineStr">
        <is>
          <t>记-224</t>
        </is>
      </c>
      <c r="H67" s="2" t="n"/>
      <c r="I67" s="104" t="n"/>
      <c r="J67" s="104" t="n">
        <v>7</v>
      </c>
      <c r="K67" s="1" t="n"/>
      <c r="L67" s="104" t="n"/>
      <c r="M67" s="2" t="n"/>
    </row>
    <row r="68" s="83">
      <c r="A68" s="2" t="inlineStr">
        <is>
          <t>100201</t>
        </is>
      </c>
      <c r="B68" s="2" t="n"/>
      <c r="C68" s="2" t="inlineStr">
        <is>
          <t>2025-07-31</t>
        </is>
      </c>
      <c r="D68" s="2" t="inlineStr">
        <is>
          <t>Q0101</t>
        </is>
      </c>
      <c r="E68" s="2" t="n"/>
      <c r="F68" s="2" t="inlineStr">
        <is>
          <t>浙江精准学科技有限公司</t>
        </is>
      </c>
      <c r="G68" s="2" t="inlineStr">
        <is>
          <t>记-262</t>
        </is>
      </c>
      <c r="H68" s="2" t="n"/>
      <c r="I68" s="104" t="n"/>
      <c r="J68" s="104" t="n">
        <v>7</v>
      </c>
      <c r="K68" s="1" t="n"/>
      <c r="L68" s="104" t="n"/>
      <c r="M68" s="2" t="n"/>
    </row>
    <row r="69" s="83">
      <c r="A69" s="2" t="inlineStr">
        <is>
          <t>100201</t>
        </is>
      </c>
      <c r="B69" s="2" t="n"/>
      <c r="C69" s="2" t="inlineStr">
        <is>
          <t>2025-07-31</t>
        </is>
      </c>
      <c r="D69" s="2" t="inlineStr">
        <is>
          <t>Q0101</t>
        </is>
      </c>
      <c r="E69" s="2" t="n"/>
      <c r="F69" s="2" t="inlineStr">
        <is>
          <t>浙江精准学科技有限公司</t>
        </is>
      </c>
      <c r="G69" s="2" t="inlineStr">
        <is>
          <t>记-264</t>
        </is>
      </c>
      <c r="H69" s="2" t="n"/>
      <c r="I69" s="104" t="n"/>
      <c r="J69" s="104" t="n">
        <v>7</v>
      </c>
      <c r="K69" s="1" t="n"/>
      <c r="L69" s="104" t="n"/>
      <c r="M69" s="2" t="n"/>
    </row>
    <row r="70" s="83">
      <c r="A70" s="2" t="inlineStr">
        <is>
          <t>101201</t>
        </is>
      </c>
      <c r="B70" s="2" t="n"/>
      <c r="C70" s="2" t="inlineStr">
        <is>
          <t>2025-07-31</t>
        </is>
      </c>
      <c r="D70" s="2" t="inlineStr">
        <is>
          <t>Q0101</t>
        </is>
      </c>
      <c r="E70" s="2" t="n"/>
      <c r="F70" s="2" t="inlineStr">
        <is>
          <t>浙江精准学科技有限公司</t>
        </is>
      </c>
      <c r="G70" s="2" t="inlineStr">
        <is>
          <t>记-268</t>
        </is>
      </c>
      <c r="H70" s="2" t="n"/>
      <c r="I70" s="104" t="n"/>
      <c r="J70" s="104" t="n">
        <v>7</v>
      </c>
      <c r="K70" s="1" t="n"/>
      <c r="L70" s="104" t="n"/>
      <c r="M70" s="2" t="n"/>
    </row>
    <row r="71" s="83">
      <c r="A71" s="2" t="inlineStr">
        <is>
          <t>101203</t>
        </is>
      </c>
      <c r="B71" s="2" t="n"/>
      <c r="C71" s="2" t="inlineStr">
        <is>
          <t>2025-07-31</t>
        </is>
      </c>
      <c r="D71" s="2" t="inlineStr">
        <is>
          <t>Q0101</t>
        </is>
      </c>
      <c r="E71" s="2" t="n"/>
      <c r="F71" s="2" t="inlineStr">
        <is>
          <t>浙江精准学科技有限公司</t>
        </is>
      </c>
      <c r="G71" s="2" t="inlineStr">
        <is>
          <t>记-269</t>
        </is>
      </c>
      <c r="H71" s="2" t="n"/>
      <c r="I71" s="104" t="n"/>
      <c r="J71" s="104" t="n">
        <v>7</v>
      </c>
      <c r="K71" s="1" t="n"/>
      <c r="L71" s="104" t="n"/>
      <c r="M71" s="2" t="n"/>
    </row>
    <row r="72" s="83">
      <c r="A72" s="2" t="inlineStr">
        <is>
          <t>101201</t>
        </is>
      </c>
      <c r="B72" s="2" t="n"/>
      <c r="C72" s="2" t="inlineStr">
        <is>
          <t>2025-07-31</t>
        </is>
      </c>
      <c r="D72" s="2" t="inlineStr">
        <is>
          <t>Q0101</t>
        </is>
      </c>
      <c r="E72" s="2" t="n"/>
      <c r="F72" s="2" t="inlineStr">
        <is>
          <t>浙江精准学科技有限公司</t>
        </is>
      </c>
      <c r="G72" s="2" t="inlineStr">
        <is>
          <t>记-272</t>
        </is>
      </c>
      <c r="H72" s="2" t="n"/>
      <c r="I72" s="104" t="n">
        <v>7</v>
      </c>
      <c r="J72" s="104" t="n"/>
      <c r="K72" s="1" t="n"/>
      <c r="L72" s="104" t="n"/>
      <c r="M72" s="2" t="n"/>
    </row>
    <row r="73" s="83">
      <c r="A73" s="2" t="inlineStr">
        <is>
          <t>101207</t>
        </is>
      </c>
      <c r="B73" s="2" t="n"/>
      <c r="C73" s="2" t="inlineStr">
        <is>
          <t>2025-07-31</t>
        </is>
      </c>
      <c r="D73" s="2" t="inlineStr">
        <is>
          <t>Q0101</t>
        </is>
      </c>
      <c r="E73" s="2" t="n"/>
      <c r="F73" s="2" t="inlineStr">
        <is>
          <t>浙江精准学科技有限公司</t>
        </is>
      </c>
      <c r="G73" s="2" t="inlineStr">
        <is>
          <t>记-273</t>
        </is>
      </c>
      <c r="H73" s="2" t="n"/>
      <c r="I73" s="104" t="n">
        <v>7</v>
      </c>
      <c r="J73" s="104" t="n"/>
      <c r="K73" s="1" t="n"/>
      <c r="L73" s="104" t="n"/>
      <c r="M73" s="2" t="n"/>
    </row>
    <row r="74" s="83">
      <c r="A74" s="2" t="inlineStr">
        <is>
          <t>101207</t>
        </is>
      </c>
      <c r="B74" s="2" t="n"/>
      <c r="C74" s="2" t="inlineStr">
        <is>
          <t>2025-07-31</t>
        </is>
      </c>
      <c r="D74" s="2" t="inlineStr">
        <is>
          <t>Q0101</t>
        </is>
      </c>
      <c r="E74" s="2" t="n"/>
      <c r="F74" s="2" t="inlineStr">
        <is>
          <t>浙江精准学科技有限公司</t>
        </is>
      </c>
      <c r="G74" s="2" t="inlineStr">
        <is>
          <t>记-273</t>
        </is>
      </c>
      <c r="H74" s="2" t="n"/>
      <c r="I74" s="104" t="n"/>
      <c r="J74" s="104" t="n">
        <v>7</v>
      </c>
      <c r="K74" s="1" t="n"/>
      <c r="L74" s="104" t="n"/>
      <c r="M74" s="2" t="n"/>
    </row>
    <row r="75" s="83">
      <c r="A75" s="2" t="inlineStr">
        <is>
          <t>101203</t>
        </is>
      </c>
      <c r="B75" s="2" t="n"/>
      <c r="C75" s="2" t="inlineStr">
        <is>
          <t>2025-07-31</t>
        </is>
      </c>
      <c r="D75" s="2" t="inlineStr">
        <is>
          <t>Q0101</t>
        </is>
      </c>
      <c r="E75" s="2" t="n"/>
      <c r="F75" s="2" t="inlineStr">
        <is>
          <t>浙江精准学科技有限公司</t>
        </is>
      </c>
      <c r="G75" s="2" t="inlineStr">
        <is>
          <t>记-274</t>
        </is>
      </c>
      <c r="H75" s="2" t="n"/>
      <c r="I75" s="104" t="n">
        <v>7</v>
      </c>
      <c r="J75" s="104" t="n"/>
      <c r="K75" s="1" t="n"/>
      <c r="L75" s="104" t="n"/>
      <c r="M75" s="2" t="n"/>
    </row>
    <row r="76" s="83">
      <c r="A76" s="2" t="inlineStr">
        <is>
          <t>101203</t>
        </is>
      </c>
      <c r="B76" s="2" t="n"/>
      <c r="C76" s="2" t="inlineStr">
        <is>
          <t>2025-07-31</t>
        </is>
      </c>
      <c r="D76" s="2" t="inlineStr">
        <is>
          <t>Q0101</t>
        </is>
      </c>
      <c r="E76" s="2" t="n"/>
      <c r="F76" s="2" t="inlineStr">
        <is>
          <t>浙江精准学科技有限公司</t>
        </is>
      </c>
      <c r="G76" s="2" t="inlineStr">
        <is>
          <t>记-274</t>
        </is>
      </c>
      <c r="H76" s="2" t="n"/>
      <c r="I76" s="104" t="n"/>
      <c r="J76" s="104" t="n">
        <v>7</v>
      </c>
      <c r="K76" s="1" t="n"/>
      <c r="L76" s="104" t="n"/>
      <c r="M76" s="2" t="n"/>
    </row>
    <row r="77" s="83">
      <c r="A77" s="2" t="inlineStr">
        <is>
          <t>101203</t>
        </is>
      </c>
      <c r="B77" s="2" t="n"/>
      <c r="C77" s="2" t="inlineStr">
        <is>
          <t>2025-07-31</t>
        </is>
      </c>
      <c r="D77" s="2" t="inlineStr">
        <is>
          <t>Q0101</t>
        </is>
      </c>
      <c r="E77" s="2" t="n"/>
      <c r="F77" s="2" t="inlineStr">
        <is>
          <t>浙江精准学科技有限公司</t>
        </is>
      </c>
      <c r="G77" s="2" t="inlineStr">
        <is>
          <t>记-275</t>
        </is>
      </c>
      <c r="H77" s="2" t="n"/>
      <c r="I77" s="104" t="n">
        <v>7</v>
      </c>
      <c r="J77" s="104" t="n"/>
      <c r="K77" s="1" t="n"/>
      <c r="L77" s="104" t="n"/>
      <c r="M77" s="2" t="n"/>
    </row>
    <row r="78" s="83">
      <c r="A78" s="2" t="inlineStr">
        <is>
          <t>101208</t>
        </is>
      </c>
      <c r="B78" s="2" t="n"/>
      <c r="C78" s="2" t="inlineStr">
        <is>
          <t>2025-07-31</t>
        </is>
      </c>
      <c r="D78" s="2" t="inlineStr">
        <is>
          <t>Q0101</t>
        </is>
      </c>
      <c r="E78" s="2" t="n"/>
      <c r="F78" s="2" t="inlineStr">
        <is>
          <t>浙江精准学科技有限公司</t>
        </is>
      </c>
      <c r="G78" s="2" t="inlineStr">
        <is>
          <t>记-277</t>
        </is>
      </c>
      <c r="H78" s="2" t="n"/>
      <c r="I78" s="104" t="n">
        <v>7</v>
      </c>
      <c r="J78" s="104" t="n"/>
      <c r="K78" s="1" t="n"/>
      <c r="L78" s="104" t="n"/>
      <c r="M78" s="2" t="n"/>
    </row>
    <row r="79" s="83">
      <c r="A79" s="2" t="inlineStr">
        <is>
          <t>100201</t>
        </is>
      </c>
      <c r="B79" s="2" t="n"/>
      <c r="C79" s="2" t="inlineStr">
        <is>
          <t>2025-07-18</t>
        </is>
      </c>
      <c r="D79" s="2" t="inlineStr">
        <is>
          <t>Q0201</t>
        </is>
      </c>
      <c r="E79" s="2" t="n"/>
      <c r="F79" s="2" t="inlineStr">
        <is>
          <t>浙江精准学科技有限公司</t>
        </is>
      </c>
      <c r="G79" s="2" t="inlineStr">
        <is>
          <t>记-163</t>
        </is>
      </c>
      <c r="H79" s="2" t="n"/>
      <c r="I79" s="104" t="n">
        <v>7</v>
      </c>
      <c r="J79" s="104" t="n"/>
      <c r="K79" s="1" t="n"/>
      <c r="L79" s="104" t="n"/>
      <c r="M79" s="2" t="n"/>
    </row>
    <row r="80" s="83">
      <c r="A80" s="2" t="inlineStr">
        <is>
          <t>100201</t>
        </is>
      </c>
      <c r="B80" s="2" t="n"/>
      <c r="C80" s="2" t="inlineStr">
        <is>
          <t>2025-07-12</t>
        </is>
      </c>
      <c r="D80" s="2" t="inlineStr">
        <is>
          <t>Q0302</t>
        </is>
      </c>
      <c r="E80" s="2" t="n"/>
      <c r="F80" s="2" t="inlineStr">
        <is>
          <t>浙江精准学科技有限公司</t>
        </is>
      </c>
      <c r="G80" s="2" t="inlineStr">
        <is>
          <t>记-126</t>
        </is>
      </c>
      <c r="H80" s="2" t="n"/>
      <c r="I80" s="104" t="n">
        <v>7</v>
      </c>
      <c r="J80" s="104" t="n"/>
      <c r="K80" s="1" t="n"/>
      <c r="L80" s="104" t="n"/>
      <c r="M80" s="2" t="n"/>
    </row>
    <row r="81" s="83">
      <c r="A81" s="2" t="inlineStr">
        <is>
          <t>100201</t>
        </is>
      </c>
      <c r="B81" s="2" t="n"/>
      <c r="C81" s="2" t="inlineStr">
        <is>
          <t>2025-07-26</t>
        </is>
      </c>
      <c r="D81" s="2" t="inlineStr">
        <is>
          <t>Q0302</t>
        </is>
      </c>
      <c r="E81" s="2" t="n"/>
      <c r="F81" s="2" t="inlineStr">
        <is>
          <t>浙江精准学科技有限公司</t>
        </is>
      </c>
      <c r="G81" s="2" t="inlineStr">
        <is>
          <t>记-230</t>
        </is>
      </c>
      <c r="H81" s="2" t="n"/>
      <c r="I81" s="104" t="n">
        <v>7</v>
      </c>
      <c r="J81" s="104" t="n"/>
      <c r="K81" s="1" t="n"/>
      <c r="L81" s="104" t="n"/>
      <c r="M81" s="2" t="n"/>
    </row>
    <row r="82" s="83">
      <c r="A82" s="2" t="inlineStr">
        <is>
          <t>100201</t>
        </is>
      </c>
      <c r="B82" s="2" t="n"/>
      <c r="C82" s="2" t="inlineStr">
        <is>
          <t>2025-07-30</t>
        </is>
      </c>
      <c r="D82" s="2" t="inlineStr">
        <is>
          <t>Q0302</t>
        </is>
      </c>
      <c r="E82" s="2" t="n"/>
      <c r="F82" s="2" t="inlineStr">
        <is>
          <t>浙江精准学科技有限公司</t>
        </is>
      </c>
      <c r="G82" s="2" t="inlineStr">
        <is>
          <t>记-252</t>
        </is>
      </c>
      <c r="H82" s="2" t="n"/>
      <c r="I82" s="104" t="n">
        <v>7</v>
      </c>
      <c r="J82" s="104" t="n"/>
      <c r="K82" s="1" t="n"/>
      <c r="L82" s="104" t="n"/>
      <c r="M82" s="2" t="n"/>
    </row>
    <row r="83" s="83">
      <c r="A83" s="2" t="inlineStr">
        <is>
          <t>101201</t>
        </is>
      </c>
      <c r="B83" s="2" t="n"/>
      <c r="C83" s="2" t="inlineStr">
        <is>
          <t>2025-07-08</t>
        </is>
      </c>
      <c r="D83" s="9" t="inlineStr">
        <is>
          <t>Q0402</t>
        </is>
      </c>
      <c r="E83" s="9" t="n"/>
      <c r="F83" s="2" t="inlineStr">
        <is>
          <t>浙江精准学科技有限公司</t>
        </is>
      </c>
      <c r="G83" s="2" t="inlineStr">
        <is>
          <t>记-70</t>
        </is>
      </c>
      <c r="H83" s="2" t="n"/>
      <c r="I83" s="104" t="n">
        <v>7</v>
      </c>
      <c r="J83" s="104" t="n"/>
      <c r="K83" s="1" t="n"/>
      <c r="L83" s="104" t="n"/>
      <c r="M83" s="2" t="n"/>
    </row>
    <row r="84" s="83">
      <c r="A84" s="2" t="inlineStr">
        <is>
          <t>101201</t>
        </is>
      </c>
      <c r="B84" s="2" t="n"/>
      <c r="C84" s="2" t="inlineStr">
        <is>
          <t>2025-07-09</t>
        </is>
      </c>
      <c r="D84" s="6" t="inlineStr">
        <is>
          <t>Q0303</t>
        </is>
      </c>
      <c r="E84" s="9" t="n"/>
      <c r="F84" s="2" t="inlineStr">
        <is>
          <t>浙江精准学科技有限公司</t>
        </is>
      </c>
      <c r="G84" s="2" t="inlineStr">
        <is>
          <t>记-80</t>
        </is>
      </c>
      <c r="H84" s="2" t="n"/>
      <c r="I84" s="104" t="n">
        <v>7</v>
      </c>
      <c r="J84" s="104" t="n"/>
      <c r="K84" s="1" t="n"/>
      <c r="L84" s="104" t="n"/>
      <c r="M84" s="2" t="n"/>
    </row>
    <row r="85" s="83">
      <c r="A85" s="2" t="inlineStr">
        <is>
          <t>101201</t>
        </is>
      </c>
      <c r="B85" s="2" t="n"/>
      <c r="C85" s="2" t="inlineStr">
        <is>
          <t>2025-07-10</t>
        </is>
      </c>
      <c r="D85" s="9" t="inlineStr">
        <is>
          <t>Q0402</t>
        </is>
      </c>
      <c r="E85" s="9" t="n"/>
      <c r="F85" s="2" t="inlineStr">
        <is>
          <t>浙江精准学科技有限公司</t>
        </is>
      </c>
      <c r="G85" s="2" t="inlineStr">
        <is>
          <t>记-97</t>
        </is>
      </c>
      <c r="H85" s="2" t="n"/>
      <c r="I85" s="104" t="n">
        <v>7</v>
      </c>
      <c r="J85" s="104" t="n"/>
      <c r="K85" s="1" t="n"/>
      <c r="L85" s="104" t="n"/>
      <c r="M85" s="2" t="n"/>
    </row>
    <row r="86" s="83">
      <c r="A86" s="2" t="inlineStr">
        <is>
          <t>101201</t>
        </is>
      </c>
      <c r="B86" s="2" t="n"/>
      <c r="C86" s="2" t="inlineStr">
        <is>
          <t>2025-07-14</t>
        </is>
      </c>
      <c r="D86" s="9" t="inlineStr">
        <is>
          <t>Q0402</t>
        </is>
      </c>
      <c r="E86" s="9" t="n"/>
      <c r="F86" s="2" t="inlineStr">
        <is>
          <t>浙江精准学科技有限公司</t>
        </is>
      </c>
      <c r="G86" s="2" t="inlineStr">
        <is>
          <t>记-128</t>
        </is>
      </c>
      <c r="H86" s="2" t="n"/>
      <c r="I86" s="104" t="n">
        <v>7</v>
      </c>
      <c r="J86" s="104" t="n"/>
      <c r="K86" s="1" t="n"/>
      <c r="L86" s="104" t="n"/>
      <c r="M86" s="2" t="n"/>
    </row>
    <row r="87" s="83">
      <c r="A87" s="2" t="inlineStr">
        <is>
          <t>100201</t>
        </is>
      </c>
      <c r="B87" s="2" t="n"/>
      <c r="C87" s="2" t="inlineStr">
        <is>
          <t>2025-07-28</t>
        </is>
      </c>
      <c r="D87" s="2" t="inlineStr">
        <is>
          <t>Q0303</t>
        </is>
      </c>
      <c r="E87" s="2" t="n"/>
      <c r="F87" s="2" t="inlineStr">
        <is>
          <t>浙江精准学科技有限公司</t>
        </is>
      </c>
      <c r="G87" s="2" t="inlineStr">
        <is>
          <t>记-237</t>
        </is>
      </c>
      <c r="H87" s="2" t="n"/>
      <c r="I87" s="104" t="n"/>
      <c r="J87" s="104" t="n">
        <v>7</v>
      </c>
      <c r="K87" s="1" t="n"/>
      <c r="L87" s="104" t="n"/>
      <c r="M87" s="2" t="n"/>
    </row>
    <row r="88" s="83">
      <c r="A88" s="2" t="inlineStr">
        <is>
          <t>100201</t>
        </is>
      </c>
      <c r="B88" s="2" t="n"/>
      <c r="C88" s="2" t="inlineStr">
        <is>
          <t>2025-07-28</t>
        </is>
      </c>
      <c r="D88" s="2" t="inlineStr">
        <is>
          <t>Q0303</t>
        </is>
      </c>
      <c r="E88" s="2" t="n"/>
      <c r="F88" s="2" t="inlineStr">
        <is>
          <t>浙江精准学科技有限公司</t>
        </is>
      </c>
      <c r="G88" s="2" t="inlineStr">
        <is>
          <t>记-237</t>
        </is>
      </c>
      <c r="H88" s="2" t="n"/>
      <c r="I88" s="104" t="n">
        <v>7</v>
      </c>
      <c r="J88" s="104" t="n"/>
      <c r="K88" s="1" t="n"/>
      <c r="L88" s="104" t="n"/>
      <c r="M88" s="2" t="n"/>
    </row>
    <row r="89" s="83">
      <c r="A89" s="2" t="inlineStr">
        <is>
          <t>100201</t>
        </is>
      </c>
      <c r="B89" s="2" t="n"/>
      <c r="C89" s="2" t="inlineStr">
        <is>
          <t>2025-07-02</t>
        </is>
      </c>
      <c r="D89" s="2" t="inlineStr">
        <is>
          <t>Q0401</t>
        </is>
      </c>
      <c r="E89" s="2" t="n"/>
      <c r="F89" s="2" t="inlineStr">
        <is>
          <t>浙江精准学科技有限公司</t>
        </is>
      </c>
      <c r="G89" s="2" t="inlineStr">
        <is>
          <t>记-8</t>
        </is>
      </c>
      <c r="H89" s="2" t="n"/>
      <c r="I89" s="104" t="n">
        <v>7</v>
      </c>
      <c r="J89" s="104" t="n"/>
      <c r="K89" s="1" t="n"/>
      <c r="L89" s="104" t="n"/>
      <c r="M89" s="2" t="n"/>
    </row>
    <row r="90" s="83">
      <c r="A90" s="2" t="inlineStr">
        <is>
          <t>101201</t>
        </is>
      </c>
      <c r="B90" s="2" t="n"/>
      <c r="C90" s="2" t="inlineStr">
        <is>
          <t>2025-07-02</t>
        </is>
      </c>
      <c r="D90" s="2" t="inlineStr">
        <is>
          <t>Q0401</t>
        </is>
      </c>
      <c r="E90" s="2" t="n"/>
      <c r="F90" s="2" t="inlineStr">
        <is>
          <t>浙江精准学科技有限公司</t>
        </is>
      </c>
      <c r="G90" s="2" t="inlineStr">
        <is>
          <t>记-8</t>
        </is>
      </c>
      <c r="H90" s="2" t="n"/>
      <c r="I90" s="104" t="n"/>
      <c r="J90" s="104" t="n">
        <v>7</v>
      </c>
      <c r="K90" s="1" t="n"/>
      <c r="L90" s="104" t="n"/>
      <c r="M90" s="2" t="n"/>
    </row>
    <row r="91" s="83">
      <c r="A91" s="2" t="inlineStr">
        <is>
          <t>100201</t>
        </is>
      </c>
      <c r="B91" s="2" t="n"/>
      <c r="C91" s="2" t="inlineStr">
        <is>
          <t>2025-07-02</t>
        </is>
      </c>
      <c r="D91" s="2" t="inlineStr">
        <is>
          <t>Q0401</t>
        </is>
      </c>
      <c r="E91" s="2" t="n"/>
      <c r="F91" s="2" t="inlineStr">
        <is>
          <t>浙江精准学科技有限公司</t>
        </is>
      </c>
      <c r="G91" s="2" t="inlineStr">
        <is>
          <t>记-9</t>
        </is>
      </c>
      <c r="H91" s="2" t="n"/>
      <c r="I91" s="104" t="n">
        <v>7</v>
      </c>
      <c r="J91" s="104" t="n"/>
      <c r="K91" s="1" t="n"/>
      <c r="L91" s="104" t="n"/>
      <c r="M91" s="2" t="n"/>
    </row>
    <row r="92" s="83">
      <c r="A92" s="2" t="inlineStr">
        <is>
          <t>101203</t>
        </is>
      </c>
      <c r="B92" s="2" t="n"/>
      <c r="C92" s="2" t="inlineStr">
        <is>
          <t>2025-07-02</t>
        </is>
      </c>
      <c r="D92" s="2" t="inlineStr">
        <is>
          <t>Q0401</t>
        </is>
      </c>
      <c r="E92" s="2" t="n"/>
      <c r="F92" s="2" t="inlineStr">
        <is>
          <t>浙江精准学科技有限公司</t>
        </is>
      </c>
      <c r="G92" s="2" t="inlineStr">
        <is>
          <t>记-9</t>
        </is>
      </c>
      <c r="H92" s="2" t="n"/>
      <c r="I92" s="104" t="n"/>
      <c r="J92" s="104" t="n">
        <v>7</v>
      </c>
      <c r="K92" s="1" t="n"/>
      <c r="L92" s="104" t="n"/>
      <c r="M92" s="2" t="n"/>
    </row>
    <row r="93" s="83">
      <c r="A93" s="2" t="inlineStr">
        <is>
          <t>100201</t>
        </is>
      </c>
      <c r="B93" s="2" t="n"/>
      <c r="C93" s="2" t="inlineStr">
        <is>
          <t>2025-07-04</t>
        </is>
      </c>
      <c r="D93" s="2" t="inlineStr">
        <is>
          <t>Q0401</t>
        </is>
      </c>
      <c r="E93" s="2" t="n"/>
      <c r="F93" s="2" t="inlineStr">
        <is>
          <t>浙江精准学科技有限公司</t>
        </is>
      </c>
      <c r="G93" s="2" t="inlineStr">
        <is>
          <t>记-31</t>
        </is>
      </c>
      <c r="H93" s="2" t="n"/>
      <c r="I93" s="104" t="n">
        <v>7</v>
      </c>
      <c r="J93" s="104" t="n"/>
      <c r="K93" s="1" t="n"/>
      <c r="L93" s="104" t="n"/>
      <c r="M93" s="2" t="n"/>
    </row>
    <row r="94" s="83">
      <c r="A94" s="2" t="inlineStr">
        <is>
          <t>101203</t>
        </is>
      </c>
      <c r="B94" s="2" t="n"/>
      <c r="C94" s="2" t="inlineStr">
        <is>
          <t>2025-07-04</t>
        </is>
      </c>
      <c r="D94" s="2" t="inlineStr">
        <is>
          <t>Q0401</t>
        </is>
      </c>
      <c r="E94" s="2" t="n"/>
      <c r="F94" s="2" t="inlineStr">
        <is>
          <t>浙江精准学科技有限公司</t>
        </is>
      </c>
      <c r="G94" s="2" t="inlineStr">
        <is>
          <t>记-31</t>
        </is>
      </c>
      <c r="H94" s="2" t="n"/>
      <c r="I94" s="104" t="n"/>
      <c r="J94" s="104" t="n">
        <v>7</v>
      </c>
      <c r="K94" s="1" t="n"/>
      <c r="L94" s="104" t="n"/>
      <c r="M94" s="2" t="n"/>
    </row>
    <row r="95" s="83">
      <c r="A95" s="2" t="inlineStr">
        <is>
          <t>100201</t>
        </is>
      </c>
      <c r="B95" s="2" t="n"/>
      <c r="C95" s="2" t="inlineStr">
        <is>
          <t>2025-07-06</t>
        </is>
      </c>
      <c r="D95" s="2" t="inlineStr">
        <is>
          <t>Q0401</t>
        </is>
      </c>
      <c r="E95" s="2" t="n"/>
      <c r="F95" s="2" t="inlineStr">
        <is>
          <t>浙江精准学科技有限公司</t>
        </is>
      </c>
      <c r="G95" s="2" t="inlineStr">
        <is>
          <t>记-51</t>
        </is>
      </c>
      <c r="H95" s="2" t="n"/>
      <c r="I95" s="104" t="n">
        <v>7</v>
      </c>
      <c r="J95" s="104" t="n"/>
      <c r="K95" s="1" t="n"/>
      <c r="L95" s="104" t="n"/>
      <c r="M95" s="2" t="n"/>
    </row>
    <row r="96" s="83">
      <c r="A96" s="2" t="inlineStr">
        <is>
          <t>101201</t>
        </is>
      </c>
      <c r="B96" s="2" t="n"/>
      <c r="C96" s="2" t="inlineStr">
        <is>
          <t>2025-07-06</t>
        </is>
      </c>
      <c r="D96" s="2" t="inlineStr">
        <is>
          <t>Q0401</t>
        </is>
      </c>
      <c r="E96" s="2" t="n"/>
      <c r="F96" s="2" t="inlineStr">
        <is>
          <t>浙江精准学科技有限公司</t>
        </is>
      </c>
      <c r="G96" s="2" t="inlineStr">
        <is>
          <t>记-51</t>
        </is>
      </c>
      <c r="H96" s="2" t="n"/>
      <c r="I96" s="104" t="n"/>
      <c r="J96" s="104" t="n">
        <v>7</v>
      </c>
      <c r="K96" s="1" t="n"/>
      <c r="L96" s="104" t="n"/>
      <c r="M96" s="2" t="n"/>
    </row>
    <row r="97" s="83">
      <c r="A97" s="2" t="inlineStr">
        <is>
          <t>100201</t>
        </is>
      </c>
      <c r="B97" s="2" t="n"/>
      <c r="C97" s="2" t="inlineStr">
        <is>
          <t>2025-07-09</t>
        </is>
      </c>
      <c r="D97" s="2" t="inlineStr">
        <is>
          <t>Q0401</t>
        </is>
      </c>
      <c r="E97" s="2" t="n"/>
      <c r="F97" s="2" t="inlineStr">
        <is>
          <t>浙江精准学科技有限公司</t>
        </is>
      </c>
      <c r="G97" s="2" t="inlineStr">
        <is>
          <t>记-72</t>
        </is>
      </c>
      <c r="H97" s="2" t="n"/>
      <c r="I97" s="104" t="n">
        <v>7</v>
      </c>
      <c r="J97" s="104" t="n"/>
      <c r="K97" s="1" t="n"/>
      <c r="L97" s="104" t="n"/>
      <c r="M97" s="2" t="n"/>
    </row>
    <row r="98" s="83">
      <c r="A98" s="2" t="inlineStr">
        <is>
          <t>101201</t>
        </is>
      </c>
      <c r="B98" s="2" t="n"/>
      <c r="C98" s="2" t="inlineStr">
        <is>
          <t>2025-07-09</t>
        </is>
      </c>
      <c r="D98" s="2" t="inlineStr">
        <is>
          <t>Q0401</t>
        </is>
      </c>
      <c r="E98" s="2" t="n"/>
      <c r="F98" s="2" t="inlineStr">
        <is>
          <t>浙江精准学科技有限公司</t>
        </is>
      </c>
      <c r="G98" s="2" t="inlineStr">
        <is>
          <t>记-72</t>
        </is>
      </c>
      <c r="H98" s="2" t="n"/>
      <c r="I98" s="104" t="n"/>
      <c r="J98" s="104" t="n">
        <v>7</v>
      </c>
      <c r="K98" s="1" t="n"/>
      <c r="L98" s="104" t="n"/>
      <c r="M98" s="2" t="n"/>
    </row>
    <row r="99" s="83">
      <c r="A99" s="2" t="inlineStr">
        <is>
          <t>100201</t>
        </is>
      </c>
      <c r="B99" s="2" t="n"/>
      <c r="C99" s="2" t="inlineStr">
        <is>
          <t>2025-07-09</t>
        </is>
      </c>
      <c r="D99" s="2" t="inlineStr">
        <is>
          <t>Q0401</t>
        </is>
      </c>
      <c r="E99" s="2" t="n"/>
      <c r="F99" s="2" t="inlineStr">
        <is>
          <t>浙江精准学科技有限公司</t>
        </is>
      </c>
      <c r="G99" s="2" t="inlineStr">
        <is>
          <t>记-73</t>
        </is>
      </c>
      <c r="H99" s="2" t="n"/>
      <c r="I99" s="104" t="n">
        <v>7</v>
      </c>
      <c r="J99" s="104" t="n"/>
      <c r="K99" s="1" t="n"/>
      <c r="L99" s="104" t="n"/>
      <c r="M99" s="2" t="n"/>
    </row>
    <row r="100" s="83">
      <c r="A100" s="2" t="inlineStr">
        <is>
          <t>101203</t>
        </is>
      </c>
      <c r="B100" s="2" t="n"/>
      <c r="C100" s="2" t="inlineStr">
        <is>
          <t>2025-07-09</t>
        </is>
      </c>
      <c r="D100" s="2" t="inlineStr">
        <is>
          <t>Q0401</t>
        </is>
      </c>
      <c r="E100" s="2" t="n"/>
      <c r="F100" s="2" t="inlineStr">
        <is>
          <t>浙江精准学科技有限公司</t>
        </is>
      </c>
      <c r="G100" s="2" t="inlineStr">
        <is>
          <t>记-73</t>
        </is>
      </c>
      <c r="H100" s="2" t="n"/>
      <c r="I100" s="104" t="n"/>
      <c r="J100" s="104" t="n">
        <v>7</v>
      </c>
      <c r="K100" s="1" t="n"/>
      <c r="L100" s="104" t="n"/>
      <c r="M100" s="2" t="n"/>
    </row>
    <row r="101" s="83">
      <c r="A101" s="2" t="inlineStr">
        <is>
          <t>100201</t>
        </is>
      </c>
      <c r="B101" s="2" t="n"/>
      <c r="C101" s="2" t="inlineStr">
        <is>
          <t>2025-07-11</t>
        </is>
      </c>
      <c r="D101" s="2" t="inlineStr">
        <is>
          <t>Q0401</t>
        </is>
      </c>
      <c r="E101" s="2" t="n"/>
      <c r="F101" s="2" t="inlineStr">
        <is>
          <t>浙江精准学科技有限公司</t>
        </is>
      </c>
      <c r="G101" s="2" t="inlineStr">
        <is>
          <t>记-99</t>
        </is>
      </c>
      <c r="H101" s="2" t="n"/>
      <c r="I101" s="104" t="n">
        <v>7</v>
      </c>
      <c r="J101" s="104" t="n"/>
      <c r="K101" s="1" t="n"/>
      <c r="L101" s="104" t="n"/>
      <c r="M101" s="2" t="n"/>
    </row>
    <row r="102" s="83">
      <c r="A102" s="2" t="inlineStr">
        <is>
          <t>100201</t>
        </is>
      </c>
      <c r="B102" s="2" t="n"/>
      <c r="C102" s="2" t="inlineStr">
        <is>
          <t>2025-07-11</t>
        </is>
      </c>
      <c r="D102" s="2" t="inlineStr">
        <is>
          <t>Q0401</t>
        </is>
      </c>
      <c r="E102" s="2" t="n"/>
      <c r="F102" s="2" t="inlineStr">
        <is>
          <t>浙江精准学科技有限公司</t>
        </is>
      </c>
      <c r="G102" s="2" t="inlineStr">
        <is>
          <t>记-99</t>
        </is>
      </c>
      <c r="H102" s="2" t="n"/>
      <c r="I102" s="104" t="n">
        <v>7</v>
      </c>
      <c r="J102" s="104" t="n"/>
      <c r="K102" s="1" t="n"/>
      <c r="L102" s="104" t="n"/>
      <c r="M102" s="2" t="n"/>
    </row>
    <row r="103" s="83">
      <c r="A103" s="2" t="inlineStr">
        <is>
          <t>100202</t>
        </is>
      </c>
      <c r="B103" s="2" t="n"/>
      <c r="C103" s="2" t="inlineStr">
        <is>
          <t>2025-07-11</t>
        </is>
      </c>
      <c r="D103" s="2" t="inlineStr">
        <is>
          <t>Q0401</t>
        </is>
      </c>
      <c r="E103" s="2" t="n"/>
      <c r="F103" s="2" t="inlineStr">
        <is>
          <t>浙江精准学科技有限公司</t>
        </is>
      </c>
      <c r="G103" s="2" t="inlineStr">
        <is>
          <t>记-99</t>
        </is>
      </c>
      <c r="H103" s="2" t="n"/>
      <c r="I103" s="104" t="n"/>
      <c r="J103" s="104" t="n">
        <v>7</v>
      </c>
      <c r="K103" s="1" t="n"/>
      <c r="L103" s="104" t="n"/>
      <c r="M103" s="2" t="n"/>
    </row>
    <row r="104" s="83">
      <c r="A104" s="2" t="inlineStr">
        <is>
          <t>100201</t>
        </is>
      </c>
      <c r="B104" s="2" t="n"/>
      <c r="C104" s="2" t="inlineStr">
        <is>
          <t>2025-07-13</t>
        </is>
      </c>
      <c r="D104" s="2" t="inlineStr">
        <is>
          <t>Q0401</t>
        </is>
      </c>
      <c r="E104" s="2" t="n"/>
      <c r="F104" s="2" t="inlineStr">
        <is>
          <t>浙江精准学科技有限公司</t>
        </is>
      </c>
      <c r="G104" s="2" t="inlineStr">
        <is>
          <t>记-113</t>
        </is>
      </c>
      <c r="H104" s="2" t="n"/>
      <c r="I104" s="104" t="n">
        <v>7</v>
      </c>
      <c r="J104" s="104" t="n"/>
      <c r="K104" s="1" t="n"/>
      <c r="L104" s="104" t="n"/>
      <c r="M104" s="2" t="n"/>
    </row>
    <row r="105" s="83">
      <c r="A105" s="2" t="inlineStr">
        <is>
          <t>101201</t>
        </is>
      </c>
      <c r="B105" s="2" t="n"/>
      <c r="C105" s="2" t="inlineStr">
        <is>
          <t>2025-07-13</t>
        </is>
      </c>
      <c r="D105" s="2" t="inlineStr">
        <is>
          <t>Q0401</t>
        </is>
      </c>
      <c r="E105" s="2" t="n"/>
      <c r="F105" s="2" t="inlineStr">
        <is>
          <t>浙江精准学科技有限公司</t>
        </is>
      </c>
      <c r="G105" s="2" t="inlineStr">
        <is>
          <t>记-113</t>
        </is>
      </c>
      <c r="H105" s="2" t="n"/>
      <c r="I105" s="104" t="n"/>
      <c r="J105" s="104" t="n">
        <v>7</v>
      </c>
      <c r="K105" s="1" t="n"/>
      <c r="L105" s="104" t="n"/>
      <c r="M105" s="2" t="n"/>
    </row>
    <row r="106" s="83">
      <c r="A106" s="2" t="inlineStr">
        <is>
          <t>100201</t>
        </is>
      </c>
      <c r="B106" s="2" t="n"/>
      <c r="C106" s="2" t="inlineStr">
        <is>
          <t>2025-07-14</t>
        </is>
      </c>
      <c r="D106" s="2" t="inlineStr">
        <is>
          <t>Q0401</t>
        </is>
      </c>
      <c r="E106" s="2" t="n"/>
      <c r="F106" s="2" t="inlineStr">
        <is>
          <t>浙江精准学科技有限公司</t>
        </is>
      </c>
      <c r="G106" s="2" t="inlineStr">
        <is>
          <t>记-127</t>
        </is>
      </c>
      <c r="H106" s="2" t="n"/>
      <c r="I106" s="104" t="n">
        <v>7</v>
      </c>
      <c r="J106" s="104" t="n"/>
      <c r="K106" s="1" t="n"/>
      <c r="L106" s="104" t="n"/>
      <c r="M106" s="2" t="n"/>
    </row>
    <row r="107" s="83">
      <c r="A107" s="2" t="inlineStr">
        <is>
          <t>100201</t>
        </is>
      </c>
      <c r="B107" s="2" t="n"/>
      <c r="C107" s="2" t="inlineStr">
        <is>
          <t>2025-07-14</t>
        </is>
      </c>
      <c r="D107" s="2" t="inlineStr">
        <is>
          <t>Q0401</t>
        </is>
      </c>
      <c r="E107" s="2" t="n"/>
      <c r="F107" s="2" t="inlineStr">
        <is>
          <t>浙江精准学科技有限公司</t>
        </is>
      </c>
      <c r="G107" s="2" t="inlineStr">
        <is>
          <t>记-127</t>
        </is>
      </c>
      <c r="H107" s="2" t="n"/>
      <c r="I107" s="104" t="n"/>
      <c r="J107" s="104" t="n">
        <v>7</v>
      </c>
      <c r="K107" s="1" t="n"/>
      <c r="L107" s="104" t="n"/>
      <c r="M107" s="2" t="n"/>
    </row>
    <row r="108" s="83">
      <c r="A108" s="2" t="inlineStr">
        <is>
          <t>100201</t>
        </is>
      </c>
      <c r="B108" s="2" t="n"/>
      <c r="C108" s="2" t="inlineStr">
        <is>
          <t>2025-07-15</t>
        </is>
      </c>
      <c r="D108" s="2" t="inlineStr">
        <is>
          <t>Q0401</t>
        </is>
      </c>
      <c r="E108" s="2" t="n"/>
      <c r="F108" s="2" t="inlineStr">
        <is>
          <t>浙江精准学科技有限公司</t>
        </is>
      </c>
      <c r="G108" s="2" t="inlineStr">
        <is>
          <t>记-131</t>
        </is>
      </c>
      <c r="H108" s="2" t="n"/>
      <c r="I108" s="104" t="n">
        <v>7</v>
      </c>
      <c r="J108" s="104" t="n"/>
      <c r="K108" s="1" t="n"/>
      <c r="L108" s="104" t="n"/>
      <c r="M108" s="2" t="n"/>
    </row>
    <row r="109" s="83">
      <c r="A109" s="2" t="inlineStr">
        <is>
          <t>100201</t>
        </is>
      </c>
      <c r="B109" s="2" t="n"/>
      <c r="C109" s="2" t="inlineStr">
        <is>
          <t>2025-07-15</t>
        </is>
      </c>
      <c r="D109" s="2" t="inlineStr">
        <is>
          <t>Q0401</t>
        </is>
      </c>
      <c r="E109" s="2" t="n"/>
      <c r="F109" s="2" t="inlineStr">
        <is>
          <t>浙江精准学科技有限公司</t>
        </is>
      </c>
      <c r="G109" s="2" t="inlineStr">
        <is>
          <t>记-136</t>
        </is>
      </c>
      <c r="H109" s="2" t="n"/>
      <c r="I109" s="104" t="n">
        <v>7</v>
      </c>
      <c r="J109" s="104" t="n"/>
      <c r="K109" s="1" t="n"/>
      <c r="L109" s="104" t="n"/>
      <c r="M109" s="2" t="n"/>
    </row>
    <row r="110" s="83">
      <c r="A110" s="2" t="inlineStr">
        <is>
          <t>101203</t>
        </is>
      </c>
      <c r="B110" s="2" t="n"/>
      <c r="C110" s="2" t="inlineStr">
        <is>
          <t>2025-07-15</t>
        </is>
      </c>
      <c r="D110" s="2" t="inlineStr">
        <is>
          <t>Q0401</t>
        </is>
      </c>
      <c r="E110" s="2" t="n"/>
      <c r="F110" s="2" t="inlineStr">
        <is>
          <t>浙江精准学科技有限公司</t>
        </is>
      </c>
      <c r="G110" s="2" t="inlineStr">
        <is>
          <t>记-136</t>
        </is>
      </c>
      <c r="H110" s="2" t="n"/>
      <c r="I110" s="104" t="n"/>
      <c r="J110" s="104" t="n">
        <v>7</v>
      </c>
      <c r="K110" s="1" t="n"/>
      <c r="L110" s="104" t="n"/>
      <c r="M110" s="2" t="n"/>
    </row>
    <row r="111" s="83">
      <c r="A111" s="2" t="inlineStr">
        <is>
          <t>100201</t>
        </is>
      </c>
      <c r="B111" s="2" t="n"/>
      <c r="C111" s="2" t="inlineStr">
        <is>
          <t>2025-07-16</t>
        </is>
      </c>
      <c r="D111" s="2" t="inlineStr">
        <is>
          <t>Q0401</t>
        </is>
      </c>
      <c r="E111" s="2" t="n"/>
      <c r="F111" s="2" t="inlineStr">
        <is>
          <t>浙江精准学科技有限公司</t>
        </is>
      </c>
      <c r="G111" s="2" t="inlineStr">
        <is>
          <t>记-144</t>
        </is>
      </c>
      <c r="H111" s="2" t="n"/>
      <c r="I111" s="104" t="n">
        <v>7</v>
      </c>
      <c r="J111" s="104" t="n"/>
      <c r="K111" s="1" t="n"/>
      <c r="L111" s="104" t="n"/>
      <c r="M111" s="2" t="n"/>
    </row>
    <row r="112" s="83">
      <c r="A112" s="2" t="inlineStr">
        <is>
          <t>101201</t>
        </is>
      </c>
      <c r="B112" s="2" t="n"/>
      <c r="C112" s="2" t="inlineStr">
        <is>
          <t>2025-07-16</t>
        </is>
      </c>
      <c r="D112" s="2" t="inlineStr">
        <is>
          <t>Q0401</t>
        </is>
      </c>
      <c r="E112" s="2" t="n"/>
      <c r="F112" s="2" t="inlineStr">
        <is>
          <t>浙江精准学科技有限公司</t>
        </is>
      </c>
      <c r="G112" s="2" t="inlineStr">
        <is>
          <t>记-144</t>
        </is>
      </c>
      <c r="H112" s="2" t="n"/>
      <c r="I112" s="104" t="n"/>
      <c r="J112" s="104" t="n">
        <v>7</v>
      </c>
      <c r="K112" s="1" t="n"/>
      <c r="L112" s="104" t="n"/>
      <c r="M112" s="2" t="n"/>
    </row>
    <row r="113" s="83">
      <c r="A113" s="2" t="inlineStr">
        <is>
          <t>100201</t>
        </is>
      </c>
      <c r="B113" s="2" t="n"/>
      <c r="C113" s="2" t="inlineStr">
        <is>
          <t>2025-07-16</t>
        </is>
      </c>
      <c r="D113" s="2" t="inlineStr">
        <is>
          <t>Q0401</t>
        </is>
      </c>
      <c r="E113" s="2" t="n"/>
      <c r="F113" s="2" t="inlineStr">
        <is>
          <t>浙江精准学科技有限公司</t>
        </is>
      </c>
      <c r="G113" s="2" t="inlineStr">
        <is>
          <t>记-145</t>
        </is>
      </c>
      <c r="H113" s="2" t="n"/>
      <c r="I113" s="104" t="n">
        <v>7</v>
      </c>
      <c r="J113" s="104" t="n"/>
      <c r="K113" s="1" t="n"/>
      <c r="L113" s="104" t="n"/>
      <c r="M113" s="2" t="n"/>
    </row>
    <row r="114" s="83">
      <c r="A114" s="2" t="inlineStr">
        <is>
          <t>101203</t>
        </is>
      </c>
      <c r="B114" s="2" t="n"/>
      <c r="C114" s="2" t="inlineStr">
        <is>
          <t>2025-07-16</t>
        </is>
      </c>
      <c r="D114" s="2" t="inlineStr">
        <is>
          <t>Q0401</t>
        </is>
      </c>
      <c r="E114" s="2" t="n"/>
      <c r="F114" s="2" t="inlineStr">
        <is>
          <t>浙江精准学科技有限公司</t>
        </is>
      </c>
      <c r="G114" s="2" t="inlineStr">
        <is>
          <t>记-145</t>
        </is>
      </c>
      <c r="H114" s="2" t="n"/>
      <c r="I114" s="104" t="n"/>
      <c r="J114" s="104" t="n">
        <v>7</v>
      </c>
      <c r="K114" s="1" t="n"/>
      <c r="L114" s="104" t="n"/>
      <c r="M114" s="2" t="n"/>
    </row>
    <row r="115" s="83">
      <c r="A115" s="2" t="inlineStr">
        <is>
          <t>100201</t>
        </is>
      </c>
      <c r="B115" s="2" t="n"/>
      <c r="C115" s="2" t="inlineStr">
        <is>
          <t>2025-07-20</t>
        </is>
      </c>
      <c r="D115" s="2" t="inlineStr">
        <is>
          <t>Q0401</t>
        </is>
      </c>
      <c r="E115" s="2" t="n"/>
      <c r="F115" s="2" t="inlineStr">
        <is>
          <t>浙江精准学科技有限公司</t>
        </is>
      </c>
      <c r="G115" s="2" t="inlineStr">
        <is>
          <t>记-178</t>
        </is>
      </c>
      <c r="H115" s="2" t="n"/>
      <c r="I115" s="104" t="n">
        <v>7</v>
      </c>
      <c r="J115" s="104" t="n"/>
      <c r="K115" s="1" t="n"/>
      <c r="L115" s="104" t="n"/>
      <c r="M115" s="2" t="n"/>
    </row>
    <row r="116" s="83">
      <c r="A116" s="2" t="inlineStr">
        <is>
          <t>101201</t>
        </is>
      </c>
      <c r="B116" s="2" t="n"/>
      <c r="C116" s="2" t="inlineStr">
        <is>
          <t>2025-07-20</t>
        </is>
      </c>
      <c r="D116" s="2" t="inlineStr">
        <is>
          <t>Q0401</t>
        </is>
      </c>
      <c r="E116" s="2" t="n"/>
      <c r="F116" s="2" t="inlineStr">
        <is>
          <t>浙江精准学科技有限公司</t>
        </is>
      </c>
      <c r="G116" s="2" t="inlineStr">
        <is>
          <t>记-178</t>
        </is>
      </c>
      <c r="H116" s="2" t="n"/>
      <c r="I116" s="104" t="n"/>
      <c r="J116" s="104" t="n">
        <v>7</v>
      </c>
      <c r="K116" s="1" t="n"/>
      <c r="L116" s="104" t="n"/>
      <c r="M116" s="2" t="n"/>
    </row>
    <row r="117" s="83">
      <c r="A117" s="2" t="inlineStr">
        <is>
          <t>100201</t>
        </is>
      </c>
      <c r="B117" s="2" t="n"/>
      <c r="C117" s="2" t="inlineStr">
        <is>
          <t>2025-07-23</t>
        </is>
      </c>
      <c r="D117" s="2" t="inlineStr">
        <is>
          <t>Q0401</t>
        </is>
      </c>
      <c r="E117" s="2" t="n"/>
      <c r="F117" s="2" t="inlineStr">
        <is>
          <t>浙江精准学科技有限公司</t>
        </is>
      </c>
      <c r="G117" s="2" t="inlineStr">
        <is>
          <t>记-197</t>
        </is>
      </c>
      <c r="H117" s="2" t="n"/>
      <c r="I117" s="104" t="n">
        <v>7</v>
      </c>
      <c r="J117" s="104" t="n"/>
      <c r="K117" s="1" t="n"/>
      <c r="L117" s="104" t="n"/>
      <c r="M117" s="2" t="n"/>
    </row>
    <row r="118" s="83">
      <c r="A118" s="2" t="inlineStr">
        <is>
          <t>101201</t>
        </is>
      </c>
      <c r="B118" s="2" t="n"/>
      <c r="C118" s="2" t="inlineStr">
        <is>
          <t>2025-07-23</t>
        </is>
      </c>
      <c r="D118" s="2" t="inlineStr">
        <is>
          <t>Q0401</t>
        </is>
      </c>
      <c r="E118" s="2" t="n"/>
      <c r="F118" s="2" t="inlineStr">
        <is>
          <t>浙江精准学科技有限公司</t>
        </is>
      </c>
      <c r="G118" s="2" t="inlineStr">
        <is>
          <t>记-197</t>
        </is>
      </c>
      <c r="H118" s="2" t="n"/>
      <c r="I118" s="104" t="n"/>
      <c r="J118" s="104" t="n">
        <v>7</v>
      </c>
      <c r="K118" s="1" t="n"/>
      <c r="L118" s="104" t="n"/>
      <c r="M118" s="2" t="n"/>
    </row>
    <row r="119" s="83">
      <c r="A119" s="2" t="inlineStr">
        <is>
          <t>100201</t>
        </is>
      </c>
      <c r="B119" s="2" t="n"/>
      <c r="C119" s="2" t="inlineStr">
        <is>
          <t>2025-07-23</t>
        </is>
      </c>
      <c r="D119" s="2" t="inlineStr">
        <is>
          <t>Q0401</t>
        </is>
      </c>
      <c r="E119" s="2" t="n"/>
      <c r="F119" s="2" t="inlineStr">
        <is>
          <t>浙江精准学科技有限公司</t>
        </is>
      </c>
      <c r="G119" s="2" t="inlineStr">
        <is>
          <t>记-198</t>
        </is>
      </c>
      <c r="H119" s="2" t="n"/>
      <c r="I119" s="104" t="n">
        <v>7</v>
      </c>
      <c r="J119" s="104" t="n"/>
      <c r="K119" s="1" t="n"/>
      <c r="L119" s="104" t="n"/>
      <c r="M119" s="2" t="n"/>
    </row>
    <row r="120" s="83">
      <c r="A120" s="2" t="inlineStr">
        <is>
          <t>101203</t>
        </is>
      </c>
      <c r="B120" s="2" t="n"/>
      <c r="C120" s="2" t="inlineStr">
        <is>
          <t>2025-07-23</t>
        </is>
      </c>
      <c r="D120" s="2" t="inlineStr">
        <is>
          <t>Q0401</t>
        </is>
      </c>
      <c r="E120" s="2" t="n"/>
      <c r="F120" s="2" t="inlineStr">
        <is>
          <t>浙江精准学科技有限公司</t>
        </is>
      </c>
      <c r="G120" s="2" t="inlineStr">
        <is>
          <t>记-198</t>
        </is>
      </c>
      <c r="H120" s="2" t="n"/>
      <c r="I120" s="104" t="n"/>
      <c r="J120" s="104" t="n">
        <v>7</v>
      </c>
      <c r="K120" s="1" t="n"/>
      <c r="L120" s="104" t="n"/>
      <c r="M120" s="2" t="n"/>
    </row>
    <row r="121" s="83">
      <c r="A121" s="2" t="inlineStr">
        <is>
          <t>100201</t>
        </is>
      </c>
      <c r="B121" s="2" t="n"/>
      <c r="C121" s="2" t="inlineStr">
        <is>
          <t>2025-07-27</t>
        </is>
      </c>
      <c r="D121" s="2" t="inlineStr">
        <is>
          <t>Q0401</t>
        </is>
      </c>
      <c r="E121" s="2" t="n"/>
      <c r="F121" s="2" t="inlineStr">
        <is>
          <t>浙江精准学科技有限公司</t>
        </is>
      </c>
      <c r="G121" s="2" t="inlineStr">
        <is>
          <t>记-233</t>
        </is>
      </c>
      <c r="H121" s="2" t="n"/>
      <c r="I121" s="104" t="n">
        <v>7</v>
      </c>
      <c r="J121" s="104" t="n"/>
      <c r="K121" s="1" t="n"/>
      <c r="L121" s="104" t="n"/>
      <c r="M121" s="2" t="n"/>
    </row>
    <row r="122" s="83">
      <c r="A122" s="2" t="inlineStr">
        <is>
          <t>101201</t>
        </is>
      </c>
      <c r="B122" s="2" t="n"/>
      <c r="C122" s="2" t="inlineStr">
        <is>
          <t>2025-07-27</t>
        </is>
      </c>
      <c r="D122" s="2" t="inlineStr">
        <is>
          <t>Q0401</t>
        </is>
      </c>
      <c r="E122" s="2" t="n"/>
      <c r="F122" s="2" t="inlineStr">
        <is>
          <t>浙江精准学科技有限公司</t>
        </is>
      </c>
      <c r="G122" s="2" t="inlineStr">
        <is>
          <t>记-233</t>
        </is>
      </c>
      <c r="H122" s="2" t="n"/>
      <c r="I122" s="104" t="n"/>
      <c r="J122" s="104" t="n">
        <v>7</v>
      </c>
      <c r="K122" s="1" t="n"/>
      <c r="L122" s="104" t="n"/>
      <c r="M122" s="2" t="n"/>
    </row>
    <row r="123" s="83">
      <c r="A123" s="2" t="inlineStr">
        <is>
          <t>100201</t>
        </is>
      </c>
      <c r="B123" s="2" t="n"/>
      <c r="C123" s="2" t="inlineStr">
        <is>
          <t>2025-07-28</t>
        </is>
      </c>
      <c r="D123" s="2" t="inlineStr">
        <is>
          <t>Q0401</t>
        </is>
      </c>
      <c r="E123" s="2" t="n"/>
      <c r="F123" s="2" t="inlineStr">
        <is>
          <t>浙江精准学科技有限公司</t>
        </is>
      </c>
      <c r="G123" s="2" t="inlineStr">
        <is>
          <t>记-236</t>
        </is>
      </c>
      <c r="H123" s="2" t="n"/>
      <c r="I123" s="104" t="n">
        <v>7</v>
      </c>
      <c r="J123" s="104" t="n"/>
      <c r="K123" s="1" t="n"/>
      <c r="L123" s="104" t="n"/>
      <c r="M123" s="2" t="n"/>
    </row>
    <row r="124" s="83">
      <c r="A124" s="2" t="inlineStr">
        <is>
          <t>101203</t>
        </is>
      </c>
      <c r="B124" s="2" t="n"/>
      <c r="C124" s="2" t="inlineStr">
        <is>
          <t>2025-07-28</t>
        </is>
      </c>
      <c r="D124" s="2" t="inlineStr">
        <is>
          <t>Q0401</t>
        </is>
      </c>
      <c r="E124" s="2" t="n"/>
      <c r="F124" s="2" t="inlineStr">
        <is>
          <t>浙江精准学科技有限公司</t>
        </is>
      </c>
      <c r="G124" s="2" t="inlineStr">
        <is>
          <t>记-236</t>
        </is>
      </c>
      <c r="H124" s="2" t="n"/>
      <c r="I124" s="104" t="n"/>
      <c r="J124" s="104" t="n">
        <v>7</v>
      </c>
      <c r="K124" s="1" t="n"/>
      <c r="L124" s="104" t="n"/>
      <c r="M124" s="2" t="n"/>
    </row>
    <row r="125" s="83">
      <c r="A125" s="2" t="inlineStr">
        <is>
          <t>100201</t>
        </is>
      </c>
      <c r="B125" s="2" t="n"/>
      <c r="C125" s="2" t="inlineStr">
        <is>
          <t>2025-07-29</t>
        </is>
      </c>
      <c r="D125" s="2" t="inlineStr">
        <is>
          <t>Q0401</t>
        </is>
      </c>
      <c r="E125" s="2" t="n"/>
      <c r="F125" s="2" t="inlineStr">
        <is>
          <t>浙江精准学科技有限公司</t>
        </is>
      </c>
      <c r="G125" s="2" t="inlineStr">
        <is>
          <t>记-247</t>
        </is>
      </c>
      <c r="H125" s="2" t="n"/>
      <c r="I125" s="104" t="n">
        <v>7</v>
      </c>
      <c r="J125" s="104" t="n"/>
      <c r="K125" s="1" t="n"/>
      <c r="L125" s="104" t="n"/>
      <c r="M125" s="2" t="n"/>
    </row>
    <row r="126" s="83">
      <c r="A126" s="2" t="inlineStr">
        <is>
          <t>101207</t>
        </is>
      </c>
      <c r="B126" s="2" t="n"/>
      <c r="C126" s="2" t="inlineStr">
        <is>
          <t>2025-07-29</t>
        </is>
      </c>
      <c r="D126" s="2" t="inlineStr">
        <is>
          <t>Q0401</t>
        </is>
      </c>
      <c r="E126" s="2" t="n"/>
      <c r="F126" s="2" t="inlineStr">
        <is>
          <t>浙江精准学科技有限公司</t>
        </is>
      </c>
      <c r="G126" s="2" t="inlineStr">
        <is>
          <t>记-247</t>
        </is>
      </c>
      <c r="H126" s="2" t="n"/>
      <c r="I126" s="104" t="n"/>
      <c r="J126" s="104" t="n">
        <v>7</v>
      </c>
      <c r="K126" s="1" t="n"/>
      <c r="L126" s="104" t="n"/>
      <c r="M126" s="2" t="n"/>
    </row>
    <row r="127" s="83">
      <c r="A127" s="2" t="inlineStr">
        <is>
          <t>100201</t>
        </is>
      </c>
      <c r="B127" s="2" t="n"/>
      <c r="C127" s="2" t="inlineStr">
        <is>
          <t>2025-07-30</t>
        </is>
      </c>
      <c r="D127" s="2" t="inlineStr">
        <is>
          <t>Q0401</t>
        </is>
      </c>
      <c r="E127" s="2" t="n"/>
      <c r="F127" s="2" t="inlineStr">
        <is>
          <t>浙江精准学科技有限公司</t>
        </is>
      </c>
      <c r="G127" s="2" t="inlineStr">
        <is>
          <t>记-250</t>
        </is>
      </c>
      <c r="H127" s="2" t="n"/>
      <c r="I127" s="104" t="n">
        <v>7</v>
      </c>
      <c r="J127" s="104" t="n"/>
      <c r="K127" s="1" t="n"/>
      <c r="L127" s="104" t="n"/>
      <c r="M127" s="2" t="n"/>
    </row>
    <row r="128" s="83">
      <c r="A128" s="2" t="inlineStr">
        <is>
          <t>101201</t>
        </is>
      </c>
      <c r="B128" s="2" t="n"/>
      <c r="C128" s="2" t="inlineStr">
        <is>
          <t>2025-07-30</t>
        </is>
      </c>
      <c r="D128" s="2" t="inlineStr">
        <is>
          <t>Q0401</t>
        </is>
      </c>
      <c r="E128" s="2" t="n"/>
      <c r="F128" s="2" t="inlineStr">
        <is>
          <t>浙江精准学科技有限公司</t>
        </is>
      </c>
      <c r="G128" s="2" t="inlineStr">
        <is>
          <t>记-250</t>
        </is>
      </c>
      <c r="H128" s="2" t="n"/>
      <c r="I128" s="104" t="n"/>
      <c r="J128" s="104" t="n">
        <v>7</v>
      </c>
      <c r="K128" s="1" t="n"/>
      <c r="L128" s="104" t="n"/>
      <c r="M128" s="2" t="n"/>
    </row>
    <row r="129" s="83">
      <c r="A129" s="2" t="inlineStr">
        <is>
          <t>100201</t>
        </is>
      </c>
      <c r="B129" s="2" t="n"/>
      <c r="C129" s="2" t="inlineStr">
        <is>
          <t>2025-07-30</t>
        </is>
      </c>
      <c r="D129" s="2" t="inlineStr">
        <is>
          <t>Q0401</t>
        </is>
      </c>
      <c r="E129" s="2" t="n"/>
      <c r="F129" s="2" t="inlineStr">
        <is>
          <t>浙江精准学科技有限公司</t>
        </is>
      </c>
      <c r="G129" s="2" t="inlineStr">
        <is>
          <t>记-251</t>
        </is>
      </c>
      <c r="H129" s="2" t="n"/>
      <c r="I129" s="104" t="n">
        <v>7</v>
      </c>
      <c r="J129" s="104" t="n"/>
      <c r="K129" s="1" t="n"/>
      <c r="L129" s="104" t="n"/>
      <c r="M129" s="2" t="n"/>
    </row>
    <row r="130" s="83">
      <c r="A130" s="2" t="inlineStr">
        <is>
          <t>101203</t>
        </is>
      </c>
      <c r="B130" s="2" t="n"/>
      <c r="C130" s="2" t="inlineStr">
        <is>
          <t>2025-07-30</t>
        </is>
      </c>
      <c r="D130" s="2" t="inlineStr">
        <is>
          <t>Q0401</t>
        </is>
      </c>
      <c r="E130" s="2" t="n"/>
      <c r="F130" s="2" t="inlineStr">
        <is>
          <t>浙江精准学科技有限公司</t>
        </is>
      </c>
      <c r="G130" s="2" t="inlineStr">
        <is>
          <t>记-251</t>
        </is>
      </c>
      <c r="H130" s="2" t="n"/>
      <c r="I130" s="104" t="n"/>
      <c r="J130" s="104" t="n">
        <v>7</v>
      </c>
      <c r="K130" s="1" t="n"/>
      <c r="L130" s="104" t="n"/>
      <c r="M130" s="2" t="n"/>
    </row>
    <row r="131" s="83">
      <c r="A131" s="2" t="inlineStr">
        <is>
          <t>100201</t>
        </is>
      </c>
      <c r="B131" s="2" t="n"/>
      <c r="C131" s="2" t="inlineStr">
        <is>
          <t>2025-07-31</t>
        </is>
      </c>
      <c r="D131" s="2" t="inlineStr">
        <is>
          <t>Q0401</t>
        </is>
      </c>
      <c r="E131" s="2" t="n"/>
      <c r="F131" s="2" t="inlineStr">
        <is>
          <t>浙江精准学科技有限公司</t>
        </is>
      </c>
      <c r="G131" s="2" t="inlineStr">
        <is>
          <t>记-266</t>
        </is>
      </c>
      <c r="H131" s="2" t="n"/>
      <c r="I131" s="104" t="n">
        <v>7</v>
      </c>
      <c r="J131" s="104" t="n"/>
      <c r="K131" s="1" t="n"/>
      <c r="L131" s="104" t="n"/>
      <c r="M131" s="2" t="n"/>
    </row>
    <row r="132" s="83">
      <c r="A132" s="2" t="inlineStr">
        <is>
          <t>100201</t>
        </is>
      </c>
      <c r="B132" s="2" t="n"/>
      <c r="C132" s="2" t="inlineStr">
        <is>
          <t>2025-07-04</t>
        </is>
      </c>
      <c r="D132" s="2" t="inlineStr">
        <is>
          <t>Q0402</t>
        </is>
      </c>
      <c r="E132" s="2" t="n"/>
      <c r="F132" s="2" t="inlineStr">
        <is>
          <t>浙江精准学科技有限公司</t>
        </is>
      </c>
      <c r="G132" s="2" t="inlineStr">
        <is>
          <t>记-34</t>
        </is>
      </c>
      <c r="H132" s="2" t="n"/>
      <c r="I132" s="104" t="n"/>
      <c r="J132" s="104" t="n">
        <v>7</v>
      </c>
      <c r="K132" s="1" t="n"/>
      <c r="L132" s="104" t="n"/>
      <c r="M132" s="2" t="n"/>
    </row>
    <row r="133" s="83">
      <c r="A133" s="2" t="inlineStr">
        <is>
          <t>100201</t>
        </is>
      </c>
      <c r="B133" s="2" t="n"/>
      <c r="C133" s="2" t="inlineStr">
        <is>
          <t>2025-07-04</t>
        </is>
      </c>
      <c r="D133" s="2" t="inlineStr">
        <is>
          <t>Q0402</t>
        </is>
      </c>
      <c r="E133" s="2" t="n"/>
      <c r="F133" s="2" t="inlineStr">
        <is>
          <t>浙江精准学科技有限公司</t>
        </is>
      </c>
      <c r="G133" s="2" t="inlineStr">
        <is>
          <t>记-38</t>
        </is>
      </c>
      <c r="H133" s="2" t="n"/>
      <c r="I133" s="104" t="n"/>
      <c r="J133" s="104" t="n">
        <v>7</v>
      </c>
      <c r="K133" s="1" t="n"/>
      <c r="L133" s="104" t="n"/>
      <c r="M133" s="2" t="n"/>
    </row>
    <row r="134" s="83">
      <c r="A134" s="2" t="inlineStr">
        <is>
          <t>100201</t>
        </is>
      </c>
      <c r="B134" s="2" t="n"/>
      <c r="C134" s="2" t="inlineStr">
        <is>
          <t>2025-07-07</t>
        </is>
      </c>
      <c r="D134" s="2" t="inlineStr">
        <is>
          <t>Q0402</t>
        </is>
      </c>
      <c r="E134" s="2" t="n"/>
      <c r="F134" s="2" t="inlineStr">
        <is>
          <t>浙江精准学科技有限公司</t>
        </is>
      </c>
      <c r="G134" s="2" t="inlineStr">
        <is>
          <t>记-52</t>
        </is>
      </c>
      <c r="H134" s="2" t="n"/>
      <c r="I134" s="104" t="n">
        <v>7</v>
      </c>
      <c r="J134" s="104" t="n"/>
      <c r="K134" s="1" t="n"/>
      <c r="L134" s="104" t="n"/>
      <c r="M134" s="2" t="n"/>
    </row>
    <row r="135" s="83">
      <c r="A135" s="2" t="inlineStr">
        <is>
          <t>100201</t>
        </is>
      </c>
      <c r="B135" s="2" t="n"/>
      <c r="C135" s="2" t="inlineStr">
        <is>
          <t>2025-07-14</t>
        </is>
      </c>
      <c r="D135" s="2" t="inlineStr">
        <is>
          <t>Q0402</t>
        </is>
      </c>
      <c r="E135" s="2" t="n"/>
      <c r="F135" s="2" t="inlineStr">
        <is>
          <t>浙江精准学科技有限公司</t>
        </is>
      </c>
      <c r="G135" s="2" t="inlineStr">
        <is>
          <t>记-120</t>
        </is>
      </c>
      <c r="H135" s="2" t="n"/>
      <c r="I135" s="104" t="n"/>
      <c r="J135" s="104" t="n">
        <v>7</v>
      </c>
      <c r="K135" s="1" t="n"/>
      <c r="L135" s="104" t="n"/>
      <c r="M135" s="2" t="n"/>
    </row>
    <row r="136" s="83">
      <c r="A136" s="2" t="inlineStr">
        <is>
          <t>100201</t>
        </is>
      </c>
      <c r="B136" s="2" t="n"/>
      <c r="C136" s="2" t="inlineStr">
        <is>
          <t>2025-07-14</t>
        </is>
      </c>
      <c r="D136" s="2" t="inlineStr">
        <is>
          <t>Q0402</t>
        </is>
      </c>
      <c r="E136" s="2" t="n"/>
      <c r="F136" s="2" t="inlineStr">
        <is>
          <t>浙江精准学科技有限公司</t>
        </is>
      </c>
      <c r="G136" s="2" t="inlineStr">
        <is>
          <t>记-121</t>
        </is>
      </c>
      <c r="H136" s="2" t="n"/>
      <c r="I136" s="104" t="n"/>
      <c r="J136" s="104" t="n">
        <v>7</v>
      </c>
      <c r="K136" s="1" t="n"/>
      <c r="L136" s="104" t="n"/>
      <c r="M136" s="2" t="n"/>
    </row>
    <row r="137" s="83">
      <c r="A137" s="2" t="inlineStr">
        <is>
          <t>100201</t>
        </is>
      </c>
      <c r="B137" s="2" t="n"/>
      <c r="C137" s="2" t="inlineStr">
        <is>
          <t>2025-07-16</t>
        </is>
      </c>
      <c r="D137" s="2" t="inlineStr">
        <is>
          <t>Q0402</t>
        </is>
      </c>
      <c r="E137" s="2" t="n"/>
      <c r="F137" s="2" t="inlineStr">
        <is>
          <t>浙江精准学科技有限公司</t>
        </is>
      </c>
      <c r="G137" s="2" t="inlineStr">
        <is>
          <t>记-147</t>
        </is>
      </c>
      <c r="H137" s="2" t="n"/>
      <c r="I137" s="104" t="n"/>
      <c r="J137" s="104" t="n">
        <v>7</v>
      </c>
      <c r="K137" s="1" t="n"/>
      <c r="L137" s="104" t="n"/>
      <c r="M137" s="2" t="n"/>
    </row>
    <row r="138" s="83">
      <c r="A138" s="2" t="inlineStr">
        <is>
          <t>100201</t>
        </is>
      </c>
      <c r="B138" s="2" t="n"/>
      <c r="C138" s="2" t="inlineStr">
        <is>
          <t>2025-07-17</t>
        </is>
      </c>
      <c r="D138" s="2" t="inlineStr">
        <is>
          <t>Q0402</t>
        </is>
      </c>
      <c r="E138" s="2" t="n"/>
      <c r="F138" s="2" t="inlineStr">
        <is>
          <t>浙江精准学科技有限公司</t>
        </is>
      </c>
      <c r="G138" s="2" t="inlineStr">
        <is>
          <t>记-155</t>
        </is>
      </c>
      <c r="H138" s="2" t="n"/>
      <c r="I138" s="104" t="n"/>
      <c r="J138" s="104" t="n">
        <v>7</v>
      </c>
      <c r="K138" s="1" t="n"/>
      <c r="L138" s="104" t="n"/>
      <c r="M138" s="2" t="n"/>
    </row>
    <row r="139" s="83">
      <c r="A139" s="2" t="inlineStr">
        <is>
          <t>100201</t>
        </is>
      </c>
      <c r="B139" s="2" t="n"/>
      <c r="C139" s="2" t="inlineStr">
        <is>
          <t>2025-07-24</t>
        </is>
      </c>
      <c r="D139" s="2" t="inlineStr">
        <is>
          <t>Q0402</t>
        </is>
      </c>
      <c r="E139" s="2" t="n"/>
      <c r="F139" s="2" t="inlineStr">
        <is>
          <t>浙江精准学科技有限公司</t>
        </is>
      </c>
      <c r="G139" s="2" t="inlineStr">
        <is>
          <t>记-205</t>
        </is>
      </c>
      <c r="H139" s="2" t="n"/>
      <c r="I139" s="104" t="n">
        <v>7</v>
      </c>
      <c r="J139" s="104" t="n"/>
      <c r="K139" s="1" t="n"/>
      <c r="L139" s="104" t="n"/>
      <c r="M139" s="2" t="n"/>
    </row>
    <row r="140" s="83">
      <c r="A140" s="2" t="inlineStr">
        <is>
          <t>100201</t>
        </is>
      </c>
      <c r="B140" s="2" t="n"/>
      <c r="C140" s="2" t="inlineStr">
        <is>
          <t>2025-07-31</t>
        </is>
      </c>
      <c r="D140" s="2" t="inlineStr">
        <is>
          <t>Q0402</t>
        </is>
      </c>
      <c r="E140" s="2" t="n"/>
      <c r="F140" s="2" t="inlineStr">
        <is>
          <t>浙江精准学科技有限公司</t>
        </is>
      </c>
      <c r="G140" s="2" t="inlineStr">
        <is>
          <t>记-258</t>
        </is>
      </c>
      <c r="H140" s="2" t="n"/>
      <c r="I140" s="104" t="n">
        <v>7</v>
      </c>
      <c r="J140" s="104" t="n"/>
      <c r="K140" s="1" t="n"/>
      <c r="L140" s="104" t="n"/>
      <c r="M140" s="2" t="n"/>
    </row>
    <row r="141" s="83">
      <c r="A141" s="2" t="inlineStr">
        <is>
          <t>100202</t>
        </is>
      </c>
      <c r="B141" s="2" t="n"/>
      <c r="C141" s="2" t="inlineStr">
        <is>
          <t>2025-07-09</t>
        </is>
      </c>
      <c r="D141" s="2" t="inlineStr">
        <is>
          <t>Q0501</t>
        </is>
      </c>
      <c r="E141" s="2" t="n"/>
      <c r="F141" s="2" t="inlineStr">
        <is>
          <t>浙江精准学科技有限公司</t>
        </is>
      </c>
      <c r="G141" s="2" t="inlineStr">
        <is>
          <t>记-82</t>
        </is>
      </c>
      <c r="H141" s="2" t="n"/>
      <c r="I141" s="104" t="n">
        <v>7</v>
      </c>
      <c r="J141" s="104" t="n"/>
      <c r="K141" s="1" t="n"/>
      <c r="L141" s="104" t="n"/>
      <c r="M141" s="2" t="n"/>
    </row>
    <row r="142" s="83">
      <c r="A142" s="2" t="inlineStr">
        <is>
          <t>100201</t>
        </is>
      </c>
      <c r="B142" s="2" t="n"/>
      <c r="C142" s="2" t="inlineStr">
        <is>
          <t>2025-07-10</t>
        </is>
      </c>
      <c r="D142" s="2" t="inlineStr">
        <is>
          <t>Q0601</t>
        </is>
      </c>
      <c r="E142" s="2" t="n"/>
      <c r="F142" s="2" t="inlineStr">
        <is>
          <t>浙江精准学科技有限公司</t>
        </is>
      </c>
      <c r="G142" s="2" t="inlineStr">
        <is>
          <t>记-95</t>
        </is>
      </c>
      <c r="H142" s="2" t="n"/>
      <c r="I142" s="104" t="n"/>
      <c r="J142" s="104" t="n">
        <v>7</v>
      </c>
      <c r="K142" s="1" t="n"/>
      <c r="L142" s="104" t="n"/>
      <c r="M142" s="2" t="n"/>
    </row>
    <row r="143" s="83">
      <c r="A143" s="2" t="inlineStr">
        <is>
          <t>100201</t>
        </is>
      </c>
      <c r="B143" s="2" t="n"/>
      <c r="C143" s="2" t="inlineStr">
        <is>
          <t>2025-07-14</t>
        </is>
      </c>
      <c r="D143" s="2" t="inlineStr">
        <is>
          <t>Q0601</t>
        </is>
      </c>
      <c r="E143" s="2" t="n"/>
      <c r="F143" s="2" t="inlineStr">
        <is>
          <t>浙江精准学科技有限公司</t>
        </is>
      </c>
      <c r="G143" s="2" t="inlineStr">
        <is>
          <t>记-117</t>
        </is>
      </c>
      <c r="H143" s="2" t="n"/>
      <c r="I143" s="104" t="n"/>
      <c r="J143" s="104" t="n">
        <v>7</v>
      </c>
      <c r="K143" s="1" t="n"/>
      <c r="L143" s="104" t="n"/>
      <c r="M143" s="2" t="n"/>
    </row>
    <row r="144" s="83">
      <c r="A144" s="2" t="inlineStr">
        <is>
          <t>100201</t>
        </is>
      </c>
      <c r="B144" s="2" t="n"/>
      <c r="C144" s="2" t="inlineStr">
        <is>
          <t>2025-07-31</t>
        </is>
      </c>
      <c r="D144" s="2" t="inlineStr">
        <is>
          <t>Q0601</t>
        </is>
      </c>
      <c r="E144" s="2" t="n"/>
      <c r="F144" s="2" t="inlineStr">
        <is>
          <t>浙江精准学科技有限公司</t>
        </is>
      </c>
      <c r="G144" s="2" t="inlineStr">
        <is>
          <t>记-263</t>
        </is>
      </c>
      <c r="H144" s="2" t="n"/>
      <c r="I144" s="104" t="n"/>
      <c r="J144" s="104" t="n">
        <v>7</v>
      </c>
      <c r="K144" s="1" t="n"/>
      <c r="L144" s="104" t="n"/>
      <c r="M144" s="2" t="n"/>
    </row>
    <row r="145" s="83">
      <c r="A145" s="2" t="inlineStr">
        <is>
          <t>100201</t>
        </is>
      </c>
      <c r="B145" s="2" t="n"/>
      <c r="C145" s="2" t="inlineStr">
        <is>
          <t>2025-07-09</t>
        </is>
      </c>
      <c r="D145" s="2" t="inlineStr">
        <is>
          <t>Q0602</t>
        </is>
      </c>
      <c r="E145" s="2" t="n"/>
      <c r="F145" s="2" t="inlineStr">
        <is>
          <t>浙江精准学科技有限公司</t>
        </is>
      </c>
      <c r="G145" s="2" t="inlineStr">
        <is>
          <t>记-74</t>
        </is>
      </c>
      <c r="H145" s="2" t="n"/>
      <c r="I145" s="104" t="n"/>
      <c r="J145" s="104" t="n">
        <v>7</v>
      </c>
      <c r="K145" s="1" t="n"/>
      <c r="L145" s="104" t="n"/>
      <c r="M145" s="2" t="n"/>
    </row>
    <row r="146" s="83">
      <c r="A146" s="2" t="inlineStr">
        <is>
          <t>100201</t>
        </is>
      </c>
      <c r="B146" s="2" t="n"/>
      <c r="C146" s="2" t="inlineStr">
        <is>
          <t>2025-07-09</t>
        </is>
      </c>
      <c r="D146" s="2" t="inlineStr">
        <is>
          <t>Q0602</t>
        </is>
      </c>
      <c r="E146" s="2" t="n"/>
      <c r="F146" s="2" t="inlineStr">
        <is>
          <t>浙江精准学科技有限公司</t>
        </is>
      </c>
      <c r="G146" s="2" t="inlineStr">
        <is>
          <t>记-75</t>
        </is>
      </c>
      <c r="H146" s="2" t="n"/>
      <c r="I146" s="104" t="n"/>
      <c r="J146" s="104" t="n">
        <v>7</v>
      </c>
      <c r="K146" s="1" t="n"/>
      <c r="L146" s="104" t="n"/>
      <c r="M146" s="2" t="n"/>
    </row>
    <row r="147" s="83">
      <c r="A147" s="2" t="inlineStr">
        <is>
          <t>100201</t>
        </is>
      </c>
      <c r="B147" s="2" t="n"/>
      <c r="C147" s="2" t="inlineStr">
        <is>
          <t>2025-07-15</t>
        </is>
      </c>
      <c r="D147" s="2" t="inlineStr">
        <is>
          <t>Q0801</t>
        </is>
      </c>
      <c r="E147" s="2" t="n"/>
      <c r="F147" s="2" t="inlineStr">
        <is>
          <t>浙江精准学科技有限公司</t>
        </is>
      </c>
      <c r="G147" s="2" t="inlineStr">
        <is>
          <t>记-132</t>
        </is>
      </c>
      <c r="H147" s="2" t="n"/>
      <c r="I147" s="104" t="n"/>
      <c r="J147" s="104" t="n">
        <v>7</v>
      </c>
      <c r="K147" s="1" t="n"/>
      <c r="L147" s="104" t="n"/>
      <c r="M147" s="2" t="n"/>
    </row>
    <row r="148" s="83">
      <c r="A148" s="2" t="inlineStr">
        <is>
          <t>100201</t>
        </is>
      </c>
      <c r="B148" s="2" t="n"/>
      <c r="C148" s="2" t="inlineStr">
        <is>
          <t>2025-07-03</t>
        </is>
      </c>
      <c r="D148" s="2" t="inlineStr">
        <is>
          <t>Q0803</t>
        </is>
      </c>
      <c r="E148" s="2" t="n"/>
      <c r="F148" s="2" t="inlineStr">
        <is>
          <t>浙江精准学科技有限公司</t>
        </is>
      </c>
      <c r="G148" s="2" t="inlineStr">
        <is>
          <t>记-20</t>
        </is>
      </c>
      <c r="H148" s="2" t="n"/>
      <c r="I148" s="104" t="n"/>
      <c r="J148" s="104" t="n">
        <v>7</v>
      </c>
      <c r="K148" s="1" t="n"/>
      <c r="L148" s="104" t="n"/>
      <c r="M148" s="2" t="n"/>
    </row>
    <row r="149" s="83">
      <c r="A149" s="2" t="inlineStr">
        <is>
          <t>100201</t>
        </is>
      </c>
      <c r="B149" s="2" t="n"/>
      <c r="C149" s="2" t="inlineStr">
        <is>
          <t>2025-07-04</t>
        </is>
      </c>
      <c r="D149" s="2" t="inlineStr">
        <is>
          <t>Q0803</t>
        </is>
      </c>
      <c r="E149" s="2" t="n"/>
      <c r="F149" s="2" t="inlineStr">
        <is>
          <t>浙江精准学科技有限公司</t>
        </is>
      </c>
      <c r="G149" s="2" t="inlineStr">
        <is>
          <t>记-29</t>
        </is>
      </c>
      <c r="H149" s="2" t="n"/>
      <c r="I149" s="104" t="n"/>
      <c r="J149" s="104" t="n">
        <v>7</v>
      </c>
      <c r="K149" s="1" t="n"/>
      <c r="L149" s="104" t="n"/>
      <c r="M149" s="2" t="n"/>
    </row>
    <row r="150" s="83">
      <c r="A150" s="2" t="inlineStr">
        <is>
          <t>100201</t>
        </is>
      </c>
      <c r="B150" s="2" t="n"/>
      <c r="C150" s="2" t="inlineStr">
        <is>
          <t>2025-07-04</t>
        </is>
      </c>
      <c r="D150" s="2" t="inlineStr">
        <is>
          <t>Q0803</t>
        </is>
      </c>
      <c r="E150" s="2" t="n"/>
      <c r="F150" s="2" t="inlineStr">
        <is>
          <t>浙江精准学科技有限公司</t>
        </is>
      </c>
      <c r="G150" s="2" t="inlineStr">
        <is>
          <t>记-30</t>
        </is>
      </c>
      <c r="H150" s="2" t="n"/>
      <c r="I150" s="104" t="n"/>
      <c r="J150" s="104" t="n">
        <v>7</v>
      </c>
      <c r="K150" s="1" t="n"/>
      <c r="L150" s="104" t="n"/>
      <c r="M150" s="2" t="n"/>
    </row>
    <row r="151" s="83">
      <c r="A151" s="2" t="inlineStr">
        <is>
          <t>100201</t>
        </is>
      </c>
      <c r="B151" s="2" t="n"/>
      <c r="C151" s="2" t="inlineStr">
        <is>
          <t>2025-07-08</t>
        </is>
      </c>
      <c r="D151" s="2" t="inlineStr">
        <is>
          <t>Q0803</t>
        </is>
      </c>
      <c r="E151" s="2" t="n"/>
      <c r="F151" s="2" t="inlineStr">
        <is>
          <t>浙江精准学科技有限公司</t>
        </is>
      </c>
      <c r="G151" s="2" t="inlineStr">
        <is>
          <t>记-63</t>
        </is>
      </c>
      <c r="H151" s="2" t="n"/>
      <c r="I151" s="104" t="n"/>
      <c r="J151" s="104" t="n">
        <v>7</v>
      </c>
      <c r="K151" s="1" t="n"/>
      <c r="L151" s="104" t="n"/>
      <c r="M151" s="2" t="n"/>
    </row>
    <row r="152" s="83">
      <c r="A152" s="2" t="inlineStr">
        <is>
          <t>100201</t>
        </is>
      </c>
      <c r="B152" s="2" t="n"/>
      <c r="C152" s="2" t="inlineStr">
        <is>
          <t>2025-07-22</t>
        </is>
      </c>
      <c r="D152" s="2" t="inlineStr">
        <is>
          <t>Q0804</t>
        </is>
      </c>
      <c r="E152" s="2" t="n"/>
      <c r="F152" s="2" t="inlineStr">
        <is>
          <t>浙江精准学科技有限公司</t>
        </is>
      </c>
      <c r="G152" s="2" t="inlineStr">
        <is>
          <t>记-193</t>
        </is>
      </c>
      <c r="H152" s="2" t="n"/>
      <c r="I152" s="104" t="n"/>
      <c r="J152" s="104" t="n">
        <v>7</v>
      </c>
      <c r="K152" s="1" t="n"/>
      <c r="L152" s="104" t="n"/>
      <c r="M152" s="2" t="n"/>
    </row>
    <row r="153" s="83">
      <c r="A153" s="2" t="inlineStr">
        <is>
          <t>100201</t>
        </is>
      </c>
      <c r="B153" s="2" t="n"/>
      <c r="C153" s="2" t="inlineStr">
        <is>
          <t>2025-07-15</t>
        </is>
      </c>
      <c r="D153" s="2" t="inlineStr">
        <is>
          <t>Q0805</t>
        </is>
      </c>
      <c r="E153" s="2" t="n"/>
      <c r="F153" s="2" t="inlineStr">
        <is>
          <t>浙江精准学科技有限公司</t>
        </is>
      </c>
      <c r="G153" s="2" t="inlineStr">
        <is>
          <t>记-141</t>
        </is>
      </c>
      <c r="H153" s="2" t="n"/>
      <c r="I153" s="104" t="n"/>
      <c r="J153" s="104" t="n">
        <v>7</v>
      </c>
      <c r="K153" s="1" t="n"/>
      <c r="L153" s="104" t="n"/>
      <c r="M153" s="2" t="n"/>
    </row>
    <row r="154" s="83">
      <c r="A154" s="2" t="inlineStr">
        <is>
          <t>100201</t>
        </is>
      </c>
      <c r="B154" s="2" t="n"/>
      <c r="C154" s="2" t="inlineStr">
        <is>
          <t>2025-07-09</t>
        </is>
      </c>
      <c r="D154" s="2" t="inlineStr">
        <is>
          <t>Q0806</t>
        </is>
      </c>
      <c r="E154" s="2" t="n"/>
      <c r="F154" s="2" t="inlineStr">
        <is>
          <t>浙江精准学科技有限公司</t>
        </is>
      </c>
      <c r="G154" s="2" t="inlineStr">
        <is>
          <t>记-77</t>
        </is>
      </c>
      <c r="H154" s="2" t="n"/>
      <c r="I154" s="104" t="n"/>
      <c r="J154" s="104" t="n">
        <v>7</v>
      </c>
      <c r="K154" s="1" t="n"/>
      <c r="L154" s="104" t="n"/>
      <c r="M154" s="2" t="n"/>
    </row>
    <row r="155" s="83">
      <c r="A155" s="2" t="inlineStr">
        <is>
          <t>100201</t>
        </is>
      </c>
      <c r="B155" s="2" t="n"/>
      <c r="C155" s="2" t="inlineStr">
        <is>
          <t>2025-07-09</t>
        </is>
      </c>
      <c r="D155" s="2" t="inlineStr">
        <is>
          <t>Q0806</t>
        </is>
      </c>
      <c r="E155" s="2" t="n"/>
      <c r="F155" s="2" t="inlineStr">
        <is>
          <t>浙江精准学科技有限公司</t>
        </is>
      </c>
      <c r="G155" s="2" t="inlineStr">
        <is>
          <t>记-78</t>
        </is>
      </c>
      <c r="H155" s="2" t="n"/>
      <c r="I155" s="104" t="n"/>
      <c r="J155" s="104" t="n">
        <v>7</v>
      </c>
      <c r="K155" s="1" t="n"/>
      <c r="L155" s="104" t="n"/>
      <c r="M155" s="2" t="n"/>
    </row>
    <row r="156" s="83">
      <c r="A156" s="2" t="inlineStr">
        <is>
          <t>100201</t>
        </is>
      </c>
      <c r="B156" s="2" t="n"/>
      <c r="C156" s="2" t="inlineStr">
        <is>
          <t>2025-07-11</t>
        </is>
      </c>
      <c r="D156" s="2" t="inlineStr">
        <is>
          <t>Q0806</t>
        </is>
      </c>
      <c r="E156" s="2" t="n"/>
      <c r="F156" s="2" t="inlineStr">
        <is>
          <t>浙江精准学科技有限公司</t>
        </is>
      </c>
      <c r="G156" s="2" t="inlineStr">
        <is>
          <t>记-102</t>
        </is>
      </c>
      <c r="H156" s="2" t="n"/>
      <c r="I156" s="104" t="n"/>
      <c r="J156" s="104" t="n">
        <v>7</v>
      </c>
      <c r="K156" s="1" t="n"/>
      <c r="L156" s="104" t="n"/>
      <c r="M156" s="2" t="n"/>
    </row>
    <row r="157" s="83">
      <c r="A157" s="2" t="inlineStr">
        <is>
          <t>100201</t>
        </is>
      </c>
      <c r="B157" s="2" t="n"/>
      <c r="C157" s="2" t="inlineStr">
        <is>
          <t>2025-07-18</t>
        </is>
      </c>
      <c r="D157" s="2" t="inlineStr">
        <is>
          <t>Q0806</t>
        </is>
      </c>
      <c r="E157" s="2" t="n"/>
      <c r="F157" s="2" t="inlineStr">
        <is>
          <t>浙江精准学科技有限公司</t>
        </is>
      </c>
      <c r="G157" s="2" t="inlineStr">
        <is>
          <t>记-165</t>
        </is>
      </c>
      <c r="H157" s="2" t="n"/>
      <c r="I157" s="104" t="n"/>
      <c r="J157" s="104" t="n">
        <v>7</v>
      </c>
      <c r="K157" s="1" t="n"/>
      <c r="L157" s="104" t="n"/>
      <c r="M157" s="2" t="n"/>
    </row>
    <row r="158" s="83">
      <c r="A158" s="2" t="inlineStr">
        <is>
          <t>100201</t>
        </is>
      </c>
      <c r="B158" s="2" t="n"/>
      <c r="C158" s="2" t="inlineStr">
        <is>
          <t>2025-07-18</t>
        </is>
      </c>
      <c r="D158" s="2" t="inlineStr">
        <is>
          <t>Q0806</t>
        </is>
      </c>
      <c r="E158" s="2" t="n"/>
      <c r="F158" s="2" t="inlineStr">
        <is>
          <t>浙江精准学科技有限公司</t>
        </is>
      </c>
      <c r="G158" s="2" t="inlineStr">
        <is>
          <t>记-168</t>
        </is>
      </c>
      <c r="H158" s="2" t="n"/>
      <c r="I158" s="104" t="n"/>
      <c r="J158" s="104" t="n">
        <v>7</v>
      </c>
      <c r="K158" s="1" t="n"/>
      <c r="L158" s="104" t="n"/>
      <c r="M158" s="2" t="n"/>
    </row>
    <row r="159" s="83">
      <c r="A159" s="2" t="inlineStr">
        <is>
          <t>100201</t>
        </is>
      </c>
      <c r="B159" s="2" t="n"/>
      <c r="C159" s="2" t="inlineStr">
        <is>
          <t>2025-07-15</t>
        </is>
      </c>
      <c r="D159" s="2" t="inlineStr">
        <is>
          <t>Q0807</t>
        </is>
      </c>
      <c r="E159" s="2" t="n"/>
      <c r="F159" s="2" t="inlineStr">
        <is>
          <t>浙江精准学科技有限公司</t>
        </is>
      </c>
      <c r="G159" s="2" t="inlineStr">
        <is>
          <t>记-133</t>
        </is>
      </c>
      <c r="H159" s="2" t="n"/>
      <c r="I159" s="104" t="n"/>
      <c r="J159" s="104" t="n">
        <v>7</v>
      </c>
      <c r="K159" s="1" t="n"/>
      <c r="L159" s="104" t="n"/>
      <c r="M159" s="2" t="n"/>
    </row>
    <row r="160" s="83">
      <c r="A160" s="2" t="inlineStr">
        <is>
          <t>100201</t>
        </is>
      </c>
      <c r="B160" s="2" t="n"/>
      <c r="C160" s="2" t="inlineStr">
        <is>
          <t>2025-07-17</t>
        </is>
      </c>
      <c r="D160" s="2" t="inlineStr">
        <is>
          <t>Q0809</t>
        </is>
      </c>
      <c r="E160" s="2" t="n"/>
      <c r="F160" s="2" t="inlineStr">
        <is>
          <t>浙江精准学科技有限公司</t>
        </is>
      </c>
      <c r="G160" s="2" t="inlineStr">
        <is>
          <t>记-156</t>
        </is>
      </c>
      <c r="H160" s="2" t="n"/>
      <c r="I160" s="104" t="n"/>
      <c r="J160" s="104" t="n">
        <v>7</v>
      </c>
      <c r="K160" s="1" t="n"/>
      <c r="L160" s="104" t="n"/>
      <c r="M160" s="2" t="n"/>
    </row>
    <row r="161" s="83">
      <c r="A161" s="2" t="inlineStr">
        <is>
          <t>100201</t>
        </is>
      </c>
      <c r="B161" s="2" t="n"/>
      <c r="C161" s="2" t="inlineStr">
        <is>
          <t>2025-07-17</t>
        </is>
      </c>
      <c r="D161" s="2" t="inlineStr">
        <is>
          <t>Q0809</t>
        </is>
      </c>
      <c r="E161" s="2" t="n"/>
      <c r="F161" s="2" t="inlineStr">
        <is>
          <t>浙江精准学科技有限公司</t>
        </is>
      </c>
      <c r="G161" s="2" t="inlineStr">
        <is>
          <t>记-157</t>
        </is>
      </c>
      <c r="H161" s="2" t="n"/>
      <c r="I161" s="104" t="n"/>
      <c r="J161" s="104" t="n">
        <v>7</v>
      </c>
      <c r="K161" s="1" t="n"/>
      <c r="L161" s="104" t="n"/>
      <c r="M161" s="2" t="n"/>
    </row>
    <row r="162" s="83">
      <c r="A162" s="2" t="inlineStr">
        <is>
          <t>100201</t>
        </is>
      </c>
      <c r="B162" s="2" t="n"/>
      <c r="C162" s="2" t="inlineStr">
        <is>
          <t>2025-07-15</t>
        </is>
      </c>
      <c r="D162" s="2" t="inlineStr">
        <is>
          <t>Q0901</t>
        </is>
      </c>
      <c r="E162" s="2" t="n"/>
      <c r="F162" s="2" t="inlineStr">
        <is>
          <t>浙江精准学科技有限公司</t>
        </is>
      </c>
      <c r="G162" s="2" t="inlineStr">
        <is>
          <t>记-130</t>
        </is>
      </c>
      <c r="H162" s="2" t="n"/>
      <c r="I162" s="104" t="n"/>
      <c r="J162" s="104" t="n">
        <v>7</v>
      </c>
      <c r="K162" s="1" t="n"/>
      <c r="L162" s="104" t="n"/>
      <c r="M162" s="2" t="n"/>
    </row>
    <row r="163" s="83">
      <c r="A163" s="2" t="inlineStr">
        <is>
          <t>100201</t>
        </is>
      </c>
      <c r="B163" s="2" t="n"/>
      <c r="C163" s="2" t="inlineStr">
        <is>
          <t>2025-07-28</t>
        </is>
      </c>
      <c r="D163" s="2" t="inlineStr">
        <is>
          <t>Q1001</t>
        </is>
      </c>
      <c r="E163" s="2" t="n"/>
      <c r="F163" s="2" t="inlineStr">
        <is>
          <t>浙江精准学科技有限公司</t>
        </is>
      </c>
      <c r="G163" s="2" t="inlineStr">
        <is>
          <t>记-238</t>
        </is>
      </c>
      <c r="H163" s="2" t="n"/>
      <c r="I163" s="104" t="n"/>
      <c r="J163" s="104" t="n">
        <v>7</v>
      </c>
      <c r="K163" s="1" t="n"/>
      <c r="L163" s="104" t="n"/>
      <c r="M163" s="2" t="n"/>
    </row>
    <row r="164" s="83">
      <c r="A164" s="2" t="inlineStr">
        <is>
          <t>100201</t>
        </is>
      </c>
      <c r="B164" s="2" t="n"/>
      <c r="C164" s="2" t="inlineStr">
        <is>
          <t>2025-07-02</t>
        </is>
      </c>
      <c r="D164" s="2" t="inlineStr">
        <is>
          <t>Q1101</t>
        </is>
      </c>
      <c r="E164" s="2" t="n"/>
      <c r="F164" s="2" t="inlineStr">
        <is>
          <t>浙江精准学科技有限公司</t>
        </is>
      </c>
      <c r="G164" s="2" t="inlineStr">
        <is>
          <t>记-16</t>
        </is>
      </c>
      <c r="H164" s="2" t="n"/>
      <c r="I164" s="104" t="n"/>
      <c r="J164" s="104" t="n">
        <v>7</v>
      </c>
      <c r="K164" s="1" t="n"/>
      <c r="L164" s="104" t="n"/>
      <c r="M164" s="2" t="n"/>
    </row>
    <row r="165" s="83">
      <c r="A165" s="2" t="inlineStr">
        <is>
          <t>100201</t>
        </is>
      </c>
      <c r="B165" s="2" t="n"/>
      <c r="C165" s="2" t="inlineStr">
        <is>
          <t>2025-07-15</t>
        </is>
      </c>
      <c r="D165" s="2" t="inlineStr">
        <is>
          <t>Q1102</t>
        </is>
      </c>
      <c r="E165" s="2" t="n"/>
      <c r="F165" s="2" t="inlineStr">
        <is>
          <t>浙江精准学科技有限公司</t>
        </is>
      </c>
      <c r="G165" s="2" t="inlineStr">
        <is>
          <t>记-130</t>
        </is>
      </c>
      <c r="H165" s="2" t="n"/>
      <c r="I165" s="104" t="n"/>
      <c r="J165" s="104" t="n">
        <v>7</v>
      </c>
      <c r="K165" s="1" t="n"/>
      <c r="L165" s="104" t="n"/>
      <c r="M165" s="2" t="n"/>
    </row>
    <row r="166" s="83">
      <c r="A166" s="2" t="inlineStr">
        <is>
          <t>100201</t>
        </is>
      </c>
      <c r="B166" s="2" t="n"/>
      <c r="C166" s="2" t="inlineStr">
        <is>
          <t>2025-07-03</t>
        </is>
      </c>
      <c r="D166" s="2" t="inlineStr">
        <is>
          <t>Q1401</t>
        </is>
      </c>
      <c r="E166" s="2" t="n"/>
      <c r="F166" s="2" t="inlineStr">
        <is>
          <t>浙江精准学科技有限公司</t>
        </is>
      </c>
      <c r="G166" s="2" t="inlineStr">
        <is>
          <t>记-23</t>
        </is>
      </c>
      <c r="H166" s="2" t="n"/>
      <c r="I166" s="104" t="n"/>
      <c r="J166" s="104" t="n">
        <v>7</v>
      </c>
      <c r="K166" s="1" t="n"/>
      <c r="L166" s="104" t="n"/>
      <c r="M166" s="2" t="n"/>
    </row>
    <row r="167" s="83">
      <c r="A167" s="2" t="inlineStr">
        <is>
          <t>100201</t>
        </is>
      </c>
      <c r="B167" s="2" t="n"/>
      <c r="C167" s="2" t="inlineStr">
        <is>
          <t>2025-07-10</t>
        </is>
      </c>
      <c r="D167" s="2" t="inlineStr">
        <is>
          <t>Q1401</t>
        </is>
      </c>
      <c r="E167" s="2" t="n"/>
      <c r="F167" s="2" t="inlineStr">
        <is>
          <t>浙江精准学科技有限公司</t>
        </is>
      </c>
      <c r="G167" s="2" t="inlineStr">
        <is>
          <t>记-83</t>
        </is>
      </c>
      <c r="H167" s="2" t="n"/>
      <c r="I167" s="104" t="n"/>
      <c r="J167" s="104" t="n">
        <v>7</v>
      </c>
      <c r="K167" s="1" t="n"/>
      <c r="L167" s="104" t="n"/>
      <c r="M167" s="2" t="n"/>
    </row>
    <row r="168" s="83">
      <c r="A168" s="2" t="inlineStr">
        <is>
          <t>100201</t>
        </is>
      </c>
      <c r="B168" s="2" t="n"/>
      <c r="C168" s="2" t="inlineStr">
        <is>
          <t>2025-07-10</t>
        </is>
      </c>
      <c r="D168" s="2" t="inlineStr">
        <is>
          <t>Q1501</t>
        </is>
      </c>
      <c r="E168" s="2" t="n"/>
      <c r="F168" s="2" t="inlineStr">
        <is>
          <t>浙江精准学科技有限公司</t>
        </is>
      </c>
      <c r="G168" s="2" t="inlineStr">
        <is>
          <t>记-96</t>
        </is>
      </c>
      <c r="H168" s="2" t="n"/>
      <c r="I168" s="104" t="n"/>
      <c r="J168" s="104" t="n">
        <v>7</v>
      </c>
      <c r="K168" s="1" t="n"/>
      <c r="L168" s="104" t="n"/>
      <c r="M168" s="2" t="n"/>
    </row>
    <row r="169" s="83">
      <c r="A169" s="2" t="inlineStr">
        <is>
          <t>100201</t>
        </is>
      </c>
      <c r="B169" s="2" t="n"/>
      <c r="C169" s="2" t="inlineStr">
        <is>
          <t>2025-07-04</t>
        </is>
      </c>
      <c r="D169" s="2" t="inlineStr">
        <is>
          <t>Q1505</t>
        </is>
      </c>
      <c r="E169" s="2" t="n"/>
      <c r="F169" s="2" t="inlineStr">
        <is>
          <t>浙江精准学科技有限公司</t>
        </is>
      </c>
      <c r="G169" s="2" t="inlineStr">
        <is>
          <t>记-40</t>
        </is>
      </c>
      <c r="H169" s="2" t="n"/>
      <c r="I169" s="104" t="n"/>
      <c r="J169" s="104" t="n">
        <v>7</v>
      </c>
      <c r="K169" s="1" t="n"/>
      <c r="L169" s="104" t="n"/>
      <c r="M169" s="2" t="n"/>
    </row>
    <row r="170" s="83">
      <c r="A170" s="2" t="inlineStr">
        <is>
          <t>100201</t>
        </is>
      </c>
      <c r="B170" s="2" t="n"/>
      <c r="C170" s="2" t="inlineStr">
        <is>
          <t>2025-07-11</t>
        </is>
      </c>
      <c r="D170" s="2" t="inlineStr">
        <is>
          <t>Q1505</t>
        </is>
      </c>
      <c r="E170" s="2" t="n"/>
      <c r="F170" s="2" t="inlineStr">
        <is>
          <t>浙江精准学科技有限公司</t>
        </is>
      </c>
      <c r="G170" s="2" t="inlineStr">
        <is>
          <t>记-103</t>
        </is>
      </c>
      <c r="H170" s="2" t="n"/>
      <c r="I170" s="104" t="n"/>
      <c r="J170" s="104" t="n">
        <v>7</v>
      </c>
      <c r="K170" s="1" t="n"/>
      <c r="L170" s="104" t="n"/>
      <c r="M170" s="2" t="n"/>
    </row>
    <row r="171" s="83">
      <c r="A171" s="2" t="inlineStr">
        <is>
          <t>100201</t>
        </is>
      </c>
      <c r="B171" s="2" t="n"/>
      <c r="C171" s="2" t="inlineStr">
        <is>
          <t>2025-07-11</t>
        </is>
      </c>
      <c r="D171" s="2" t="inlineStr">
        <is>
          <t>Q1505</t>
        </is>
      </c>
      <c r="E171" s="2" t="n"/>
      <c r="F171" s="2" t="inlineStr">
        <is>
          <t>浙江精准学科技有限公司</t>
        </is>
      </c>
      <c r="G171" s="2" t="inlineStr">
        <is>
          <t>记-104</t>
        </is>
      </c>
      <c r="H171" s="2" t="n"/>
      <c r="I171" s="104" t="n"/>
      <c r="J171" s="104" t="n">
        <v>7</v>
      </c>
      <c r="K171" s="1" t="n"/>
      <c r="L171" s="104" t="n"/>
      <c r="M171" s="2" t="n"/>
    </row>
    <row r="172" s="83">
      <c r="A172" s="2" t="inlineStr">
        <is>
          <t>100201</t>
        </is>
      </c>
      <c r="B172" s="2" t="n"/>
      <c r="C172" s="2" t="inlineStr">
        <is>
          <t>2025-07-15</t>
        </is>
      </c>
      <c r="D172" s="2" t="inlineStr">
        <is>
          <t>Q1505</t>
        </is>
      </c>
      <c r="E172" s="2" t="n"/>
      <c r="F172" s="2" t="inlineStr">
        <is>
          <t>浙江精准学科技有限公司</t>
        </is>
      </c>
      <c r="G172" s="2" t="inlineStr">
        <is>
          <t>记-134</t>
        </is>
      </c>
      <c r="H172" s="2" t="n"/>
      <c r="I172" s="104" t="n"/>
      <c r="J172" s="104" t="n">
        <v>7</v>
      </c>
      <c r="K172" s="1" t="n"/>
      <c r="L172" s="104" t="n"/>
      <c r="M172" s="2" t="n"/>
    </row>
    <row r="173" s="83">
      <c r="A173" s="2" t="inlineStr">
        <is>
          <t>100201</t>
        </is>
      </c>
      <c r="B173" s="2" t="n"/>
      <c r="C173" s="2" t="inlineStr">
        <is>
          <t>2025-07-16</t>
        </is>
      </c>
      <c r="D173" s="2" t="inlineStr">
        <is>
          <t>Q1505</t>
        </is>
      </c>
      <c r="E173" s="2" t="n"/>
      <c r="F173" s="2" t="inlineStr">
        <is>
          <t>浙江精准学科技有限公司</t>
        </is>
      </c>
      <c r="G173" s="2" t="inlineStr">
        <is>
          <t>记-146</t>
        </is>
      </c>
      <c r="H173" s="2" t="n"/>
      <c r="I173" s="104" t="n"/>
      <c r="J173" s="104" t="n">
        <v>7</v>
      </c>
      <c r="K173" s="1" t="n"/>
      <c r="L173" s="104" t="n"/>
      <c r="M173" s="2" t="n"/>
    </row>
    <row r="174" s="83">
      <c r="A174" s="2" t="inlineStr">
        <is>
          <t>100201</t>
        </is>
      </c>
      <c r="B174" s="2" t="n"/>
      <c r="C174" s="2" t="inlineStr">
        <is>
          <t>2025-07-17</t>
        </is>
      </c>
      <c r="D174" s="2" t="inlineStr">
        <is>
          <t>Q1603</t>
        </is>
      </c>
      <c r="E174" s="2" t="n"/>
      <c r="F174" s="2" t="inlineStr">
        <is>
          <t>浙江精准学科技有限公司</t>
        </is>
      </c>
      <c r="G174" s="2" t="inlineStr">
        <is>
          <t>记-154</t>
        </is>
      </c>
      <c r="H174" s="2" t="n"/>
      <c r="I174" s="104" t="n"/>
      <c r="J174" s="104" t="n">
        <v>7</v>
      </c>
      <c r="K174" s="1" t="n"/>
      <c r="L174" s="104" t="n"/>
      <c r="M174" s="2" t="n"/>
    </row>
    <row r="175" s="83">
      <c r="A175" s="2" t="inlineStr">
        <is>
          <t>100201</t>
        </is>
      </c>
      <c r="B175" s="2" t="n"/>
      <c r="C175" s="2" t="inlineStr">
        <is>
          <t>2025-07-03</t>
        </is>
      </c>
      <c r="D175" s="2" t="inlineStr">
        <is>
          <t>Q1701</t>
        </is>
      </c>
      <c r="E175" s="2" t="n"/>
      <c r="F175" s="2" t="inlineStr">
        <is>
          <t>浙江精准学科技有限公司</t>
        </is>
      </c>
      <c r="G175" s="2" t="inlineStr">
        <is>
          <t>记-24</t>
        </is>
      </c>
      <c r="H175" s="2" t="n"/>
      <c r="I175" s="104" t="n"/>
      <c r="J175" s="104" t="n">
        <v>7</v>
      </c>
      <c r="K175" s="1" t="n"/>
      <c r="L175" s="104" t="n"/>
      <c r="M175" s="2" t="n"/>
    </row>
    <row r="176" s="83">
      <c r="A176" s="2" t="inlineStr">
        <is>
          <t>100201</t>
        </is>
      </c>
      <c r="B176" s="2" t="n"/>
      <c r="C176" s="2" t="inlineStr">
        <is>
          <t>2025-07-04</t>
        </is>
      </c>
      <c r="D176" s="2" t="inlineStr">
        <is>
          <t>Q1701</t>
        </is>
      </c>
      <c r="E176" s="2" t="n"/>
      <c r="F176" s="2" t="inlineStr">
        <is>
          <t>浙江精准学科技有限公司</t>
        </is>
      </c>
      <c r="G176" s="2" t="inlineStr">
        <is>
          <t>记-36</t>
        </is>
      </c>
      <c r="H176" s="2" t="n"/>
      <c r="I176" s="104" t="n"/>
      <c r="J176" s="104" t="n">
        <v>7</v>
      </c>
      <c r="K176" s="1" t="n"/>
      <c r="L176" s="104" t="n"/>
      <c r="M176" s="2" t="n"/>
    </row>
    <row r="177" s="83">
      <c r="A177" s="2" t="inlineStr">
        <is>
          <t>100201</t>
        </is>
      </c>
      <c r="B177" s="2" t="n"/>
      <c r="C177" s="2" t="inlineStr">
        <is>
          <t>2025-07-04</t>
        </is>
      </c>
      <c r="D177" s="2" t="inlineStr">
        <is>
          <t>Q1701</t>
        </is>
      </c>
      <c r="E177" s="2" t="n"/>
      <c r="F177" s="2" t="inlineStr">
        <is>
          <t>浙江精准学科技有限公司</t>
        </is>
      </c>
      <c r="G177" s="2" t="inlineStr">
        <is>
          <t>记-39</t>
        </is>
      </c>
      <c r="H177" s="2" t="n"/>
      <c r="I177" s="104" t="n"/>
      <c r="J177" s="104" t="n">
        <v>7</v>
      </c>
      <c r="K177" s="1" t="n"/>
      <c r="L177" s="104" t="n"/>
      <c r="M177" s="2" t="n"/>
    </row>
    <row r="178" s="83">
      <c r="A178" s="2" t="inlineStr">
        <is>
          <t>100201</t>
        </is>
      </c>
      <c r="B178" s="2" t="n"/>
      <c r="C178" s="2" t="inlineStr">
        <is>
          <t>2025-07-07</t>
        </is>
      </c>
      <c r="D178" s="2" t="inlineStr">
        <is>
          <t>Q1701</t>
        </is>
      </c>
      <c r="E178" s="2" t="n"/>
      <c r="F178" s="2" t="inlineStr">
        <is>
          <t>浙江精准学科技有限公司</t>
        </is>
      </c>
      <c r="G178" s="2" t="inlineStr">
        <is>
          <t>记-56</t>
        </is>
      </c>
      <c r="H178" s="2" t="n"/>
      <c r="I178" s="104" t="n"/>
      <c r="J178" s="104" t="n">
        <v>7</v>
      </c>
      <c r="K178" s="1" t="n"/>
      <c r="L178" s="104" t="n"/>
      <c r="M178" s="2" t="n"/>
    </row>
    <row r="179" s="83">
      <c r="A179" s="2" t="inlineStr">
        <is>
          <t>100201</t>
        </is>
      </c>
      <c r="B179" s="2" t="n"/>
      <c r="C179" s="2" t="inlineStr">
        <is>
          <t>2025-07-08</t>
        </is>
      </c>
      <c r="D179" s="2" t="inlineStr">
        <is>
          <t>Q1701</t>
        </is>
      </c>
      <c r="E179" s="2" t="n"/>
      <c r="F179" s="2" t="inlineStr">
        <is>
          <t>浙江精准学科技有限公司</t>
        </is>
      </c>
      <c r="G179" s="2" t="inlineStr">
        <is>
          <t>记-67</t>
        </is>
      </c>
      <c r="H179" s="2" t="n"/>
      <c r="I179" s="104" t="n"/>
      <c r="J179" s="104" t="n">
        <v>7</v>
      </c>
      <c r="K179" s="1" t="n"/>
      <c r="L179" s="104" t="n"/>
      <c r="M179" s="2" t="n"/>
    </row>
    <row r="180" s="83">
      <c r="A180" s="2" t="inlineStr">
        <is>
          <t>100201</t>
        </is>
      </c>
      <c r="B180" s="2" t="n"/>
      <c r="C180" s="2" t="inlineStr">
        <is>
          <t>2025-07-08</t>
        </is>
      </c>
      <c r="D180" s="2" t="inlineStr">
        <is>
          <t>Q1701</t>
        </is>
      </c>
      <c r="E180" s="2" t="n"/>
      <c r="F180" s="2" t="inlineStr">
        <is>
          <t>浙江精准学科技有限公司</t>
        </is>
      </c>
      <c r="G180" s="2" t="inlineStr">
        <is>
          <t>记-68</t>
        </is>
      </c>
      <c r="H180" s="2" t="n"/>
      <c r="I180" s="104" t="n"/>
      <c r="J180" s="104" t="n">
        <v>7</v>
      </c>
      <c r="K180" s="1" t="n"/>
      <c r="L180" s="104" t="n"/>
      <c r="M180" s="2" t="n"/>
    </row>
    <row r="181" s="83">
      <c r="A181" s="2" t="inlineStr">
        <is>
          <t>100201</t>
        </is>
      </c>
      <c r="B181" s="2" t="n"/>
      <c r="C181" s="2" t="inlineStr">
        <is>
          <t>2025-07-08</t>
        </is>
      </c>
      <c r="D181" s="2" t="inlineStr">
        <is>
          <t>Q1701</t>
        </is>
      </c>
      <c r="E181" s="2" t="n"/>
      <c r="F181" s="2" t="inlineStr">
        <is>
          <t>浙江精准学科技有限公司</t>
        </is>
      </c>
      <c r="G181" s="2" t="inlineStr">
        <is>
          <t>记-69</t>
        </is>
      </c>
      <c r="H181" s="2" t="n"/>
      <c r="I181" s="104" t="n"/>
      <c r="J181" s="104" t="n">
        <v>7</v>
      </c>
      <c r="K181" s="1" t="n"/>
      <c r="L181" s="104" t="n"/>
      <c r="M181" s="2" t="n"/>
    </row>
    <row r="182" s="83">
      <c r="A182" s="2" t="inlineStr">
        <is>
          <t>100201</t>
        </is>
      </c>
      <c r="B182" s="2" t="n"/>
      <c r="C182" s="2" t="inlineStr">
        <is>
          <t>2025-07-10</t>
        </is>
      </c>
      <c r="D182" s="2" t="inlineStr">
        <is>
          <t>Q1701</t>
        </is>
      </c>
      <c r="E182" s="2" t="n"/>
      <c r="F182" s="2" t="inlineStr">
        <is>
          <t>浙江精准学科技有限公司</t>
        </is>
      </c>
      <c r="G182" s="2" t="inlineStr">
        <is>
          <t>记-94</t>
        </is>
      </c>
      <c r="H182" s="2" t="n"/>
      <c r="I182" s="104" t="n"/>
      <c r="J182" s="104" t="n">
        <v>7</v>
      </c>
      <c r="K182" s="1" t="n"/>
      <c r="L182" s="104" t="n"/>
      <c r="M182" s="2" t="n"/>
    </row>
    <row r="183" s="83">
      <c r="A183" s="2" t="inlineStr">
        <is>
          <t>100201</t>
        </is>
      </c>
      <c r="B183" s="2" t="n"/>
      <c r="C183" s="2" t="inlineStr">
        <is>
          <t>2025-07-16</t>
        </is>
      </c>
      <c r="D183" s="2" t="inlineStr">
        <is>
          <t>Q1701</t>
        </is>
      </c>
      <c r="E183" s="2" t="n"/>
      <c r="F183" s="2" t="inlineStr">
        <is>
          <t>浙江精准学科技有限公司</t>
        </is>
      </c>
      <c r="G183" s="2" t="inlineStr">
        <is>
          <t>记-148</t>
        </is>
      </c>
      <c r="H183" s="2" t="n"/>
      <c r="I183" s="104" t="n"/>
      <c r="J183" s="104" t="n">
        <v>7</v>
      </c>
      <c r="K183" s="1" t="n"/>
      <c r="L183" s="104" t="n"/>
      <c r="M183" s="2" t="n"/>
    </row>
    <row r="184" s="83">
      <c r="A184" s="2" t="inlineStr">
        <is>
          <t>100201</t>
        </is>
      </c>
      <c r="B184" s="2" t="n"/>
      <c r="C184" s="2" t="inlineStr">
        <is>
          <t>2025-07-30</t>
        </is>
      </c>
      <c r="D184" s="2" t="inlineStr">
        <is>
          <t>Q1701</t>
        </is>
      </c>
      <c r="E184" s="2" t="n"/>
      <c r="F184" s="2" t="inlineStr">
        <is>
          <t>浙江精准学科技有限公司</t>
        </is>
      </c>
      <c r="G184" s="2" t="inlineStr">
        <is>
          <t>记-255</t>
        </is>
      </c>
      <c r="H184" s="2" t="n"/>
      <c r="I184" s="104" t="n"/>
      <c r="J184" s="104" t="n">
        <v>7</v>
      </c>
      <c r="K184" s="1" t="n"/>
      <c r="L184" s="104" t="n"/>
      <c r="M184" s="2" t="n"/>
    </row>
    <row r="185" s="83">
      <c r="A185" s="2" t="inlineStr">
        <is>
          <t>100201</t>
        </is>
      </c>
      <c r="B185" s="2" t="n"/>
      <c r="C185" s="2" t="inlineStr">
        <is>
          <t>2025-07-25</t>
        </is>
      </c>
      <c r="D185" s="2" t="inlineStr">
        <is>
          <t>Q1805</t>
        </is>
      </c>
      <c r="E185" s="2" t="n"/>
      <c r="F185" s="2" t="inlineStr">
        <is>
          <t>浙江精准学科技有限公司</t>
        </is>
      </c>
      <c r="G185" s="2" t="inlineStr">
        <is>
          <t>记-221</t>
        </is>
      </c>
      <c r="H185" s="2" t="n"/>
      <c r="I185" s="104" t="n"/>
      <c r="J185" s="104" t="n">
        <v>7</v>
      </c>
      <c r="K185" s="1" t="n"/>
      <c r="L185" s="104" t="n"/>
      <c r="M185" s="2" t="n"/>
    </row>
    <row r="186" s="83">
      <c r="A186" s="2" t="inlineStr">
        <is>
          <t>100201</t>
        </is>
      </c>
      <c r="B186" s="2" t="n"/>
      <c r="C186" s="2" t="inlineStr">
        <is>
          <t>2025-07-03</t>
        </is>
      </c>
      <c r="D186" s="2" t="inlineStr">
        <is>
          <t>Q1806</t>
        </is>
      </c>
      <c r="E186" s="2" t="n"/>
      <c r="F186" s="2" t="inlineStr">
        <is>
          <t>浙江精准学科技有限公司</t>
        </is>
      </c>
      <c r="G186" s="2" t="inlineStr">
        <is>
          <t>记-19</t>
        </is>
      </c>
      <c r="H186" s="2" t="n"/>
      <c r="I186" s="104" t="n">
        <v>7</v>
      </c>
      <c r="J186" s="104" t="n"/>
      <c r="K186" s="1" t="n"/>
      <c r="L186" s="104" t="n"/>
      <c r="M186" s="2" t="n"/>
    </row>
    <row r="187" s="83">
      <c r="A187" s="2" t="inlineStr">
        <is>
          <t>100201</t>
        </is>
      </c>
      <c r="B187" s="2" t="n"/>
      <c r="C187" s="2" t="inlineStr">
        <is>
          <t>2025-07-03</t>
        </is>
      </c>
      <c r="D187" s="2" t="inlineStr">
        <is>
          <t>Q1806</t>
        </is>
      </c>
      <c r="E187" s="2" t="n"/>
      <c r="F187" s="2" t="inlineStr">
        <is>
          <t>浙江精准学科技有限公司</t>
        </is>
      </c>
      <c r="G187" s="2" t="inlineStr">
        <is>
          <t>记-25</t>
        </is>
      </c>
      <c r="H187" s="2" t="n"/>
      <c r="I187" s="104" t="n"/>
      <c r="J187" s="104" t="n">
        <v>7</v>
      </c>
      <c r="K187" s="1" t="n"/>
      <c r="L187" s="104" t="n"/>
      <c r="M187" s="2" t="n"/>
    </row>
    <row r="188" s="83">
      <c r="A188" s="2" t="inlineStr">
        <is>
          <t>100201</t>
        </is>
      </c>
      <c r="B188" s="2" t="n"/>
      <c r="C188" s="2" t="inlineStr">
        <is>
          <t>2025-07-09</t>
        </is>
      </c>
      <c r="D188" s="2" t="inlineStr">
        <is>
          <t>Q1904</t>
        </is>
      </c>
      <c r="E188" s="2" t="n"/>
      <c r="F188" s="2" t="inlineStr">
        <is>
          <t>浙江精准学科技有限公司</t>
        </is>
      </c>
      <c r="G188" s="2" t="inlineStr">
        <is>
          <t>记-76</t>
        </is>
      </c>
      <c r="H188" s="2" t="n"/>
      <c r="I188" s="104" t="n"/>
      <c r="J188" s="104" t="n">
        <v>7</v>
      </c>
      <c r="K188" s="1" t="n"/>
      <c r="L188" s="104" t="n"/>
      <c r="M188" s="2" t="n"/>
    </row>
    <row r="189" s="83">
      <c r="A189" s="2" t="inlineStr">
        <is>
          <t>100201</t>
        </is>
      </c>
      <c r="B189" s="2" t="n"/>
      <c r="C189" s="2" t="inlineStr">
        <is>
          <t>2025-07-23</t>
        </is>
      </c>
      <c r="D189" s="2" t="inlineStr">
        <is>
          <t>Q1906</t>
        </is>
      </c>
      <c r="E189" s="2" t="n"/>
      <c r="F189" s="2" t="inlineStr">
        <is>
          <t>浙江精准学科技有限公司</t>
        </is>
      </c>
      <c r="G189" s="2" t="inlineStr">
        <is>
          <t>记-202</t>
        </is>
      </c>
      <c r="H189" s="2" t="n"/>
      <c r="I189" s="104" t="n"/>
      <c r="J189" s="104" t="n">
        <v>7</v>
      </c>
      <c r="K189" s="1" t="n"/>
      <c r="L189" s="104" t="n"/>
      <c r="M189" s="2" t="n"/>
    </row>
    <row r="190" s="83">
      <c r="A190" s="2" t="inlineStr">
        <is>
          <t>100201</t>
        </is>
      </c>
      <c r="B190" s="2" t="n"/>
      <c r="C190" s="2" t="inlineStr">
        <is>
          <t>2025-07-28</t>
        </is>
      </c>
      <c r="D190" s="2" t="inlineStr">
        <is>
          <t>Q1906</t>
        </is>
      </c>
      <c r="E190" s="2" t="n"/>
      <c r="F190" s="2" t="inlineStr">
        <is>
          <t>浙江精准学科技有限公司</t>
        </is>
      </c>
      <c r="G190" s="2" t="inlineStr">
        <is>
          <t>记-243</t>
        </is>
      </c>
      <c r="H190" s="2" t="n"/>
      <c r="I190" s="104" t="n"/>
      <c r="J190" s="104" t="n">
        <v>7</v>
      </c>
      <c r="K190" s="1" t="n"/>
      <c r="L190" s="104" t="n"/>
      <c r="M190" s="2" t="n"/>
    </row>
    <row r="191" s="83">
      <c r="A191" s="2" t="inlineStr">
        <is>
          <t>100201</t>
        </is>
      </c>
      <c r="B191" s="2" t="n"/>
      <c r="C191" s="2" t="inlineStr">
        <is>
          <t>2025-07-11</t>
        </is>
      </c>
      <c r="D191" s="2" t="inlineStr">
        <is>
          <t>Q2001</t>
        </is>
      </c>
      <c r="E191" s="2" t="n"/>
      <c r="F191" s="2" t="inlineStr">
        <is>
          <t>浙江精准学科技有限公司</t>
        </is>
      </c>
      <c r="G191" s="2" t="inlineStr">
        <is>
          <t>记-108</t>
        </is>
      </c>
      <c r="H191" s="2" t="n"/>
      <c r="I191" s="104" t="n"/>
      <c r="J191" s="104" t="n">
        <v>7</v>
      </c>
      <c r="K191" s="1" t="n"/>
      <c r="L191" s="104" t="n"/>
      <c r="M191" s="2" t="n"/>
    </row>
    <row r="192" s="83">
      <c r="A192" s="2" t="inlineStr">
        <is>
          <t>100201</t>
        </is>
      </c>
      <c r="B192" s="2" t="n"/>
      <c r="C192" s="2" t="inlineStr">
        <is>
          <t>2025-07-21</t>
        </is>
      </c>
      <c r="D192" s="2" t="inlineStr">
        <is>
          <t>Q2001</t>
        </is>
      </c>
      <c r="E192" s="2" t="n"/>
      <c r="F192" s="2" t="inlineStr">
        <is>
          <t>浙江精准学科技有限公司</t>
        </is>
      </c>
      <c r="G192" s="2" t="inlineStr">
        <is>
          <t>记-183</t>
        </is>
      </c>
      <c r="H192" s="2" t="n"/>
      <c r="I192" s="104" t="n"/>
      <c r="J192" s="104" t="n">
        <v>7</v>
      </c>
      <c r="K192" s="1" t="n"/>
      <c r="L192" s="104" t="n"/>
      <c r="M192" s="2" t="n"/>
    </row>
    <row r="193" s="83">
      <c r="A193" s="2" t="inlineStr">
        <is>
          <t>100201</t>
        </is>
      </c>
      <c r="B193" s="2" t="n"/>
      <c r="C193" s="2" t="inlineStr">
        <is>
          <t>2025-07-01</t>
        </is>
      </c>
      <c r="D193" s="2" t="inlineStr">
        <is>
          <t>Q2002</t>
        </is>
      </c>
      <c r="E193" s="2" t="n"/>
      <c r="F193" s="2" t="inlineStr">
        <is>
          <t>浙江精准学科技有限公司</t>
        </is>
      </c>
      <c r="G193" s="2" t="inlineStr">
        <is>
          <t>记-2</t>
        </is>
      </c>
      <c r="H193" s="2" t="n"/>
      <c r="I193" s="104" t="n"/>
      <c r="J193" s="104" t="n">
        <v>7</v>
      </c>
      <c r="K193" s="1" t="n"/>
      <c r="L193" s="104" t="n"/>
      <c r="M193" s="2" t="n"/>
    </row>
    <row r="194" s="83">
      <c r="A194" s="2" t="inlineStr">
        <is>
          <t>100201</t>
        </is>
      </c>
      <c r="B194" s="2" t="n"/>
      <c r="C194" s="2" t="inlineStr">
        <is>
          <t>2025-07-02</t>
        </is>
      </c>
      <c r="D194" s="2" t="inlineStr">
        <is>
          <t>Q2002</t>
        </is>
      </c>
      <c r="E194" s="2" t="n"/>
      <c r="F194" s="2" t="inlineStr">
        <is>
          <t>浙江精准学科技有限公司</t>
        </is>
      </c>
      <c r="G194" s="2" t="inlineStr">
        <is>
          <t>记-11</t>
        </is>
      </c>
      <c r="H194" s="2" t="n"/>
      <c r="I194" s="104" t="n"/>
      <c r="J194" s="104" t="n">
        <v>7</v>
      </c>
      <c r="K194" s="1" t="n"/>
      <c r="L194" s="104" t="n"/>
      <c r="M194" s="2" t="n"/>
    </row>
    <row r="195" s="83">
      <c r="A195" s="2" t="inlineStr">
        <is>
          <t>100201</t>
        </is>
      </c>
      <c r="B195" s="2" t="n"/>
      <c r="C195" s="2" t="inlineStr">
        <is>
          <t>2025-07-02</t>
        </is>
      </c>
      <c r="D195" s="2" t="inlineStr">
        <is>
          <t>Q2002</t>
        </is>
      </c>
      <c r="E195" s="2" t="n"/>
      <c r="F195" s="2" t="inlineStr">
        <is>
          <t>浙江精准学科技有限公司</t>
        </is>
      </c>
      <c r="G195" s="2" t="inlineStr">
        <is>
          <t>记-12</t>
        </is>
      </c>
      <c r="H195" s="2" t="n"/>
      <c r="I195" s="104" t="n"/>
      <c r="J195" s="104" t="n">
        <v>7</v>
      </c>
      <c r="K195" s="1" t="n"/>
      <c r="L195" s="104" t="n"/>
      <c r="M195" s="2" t="n"/>
    </row>
    <row r="196" s="83">
      <c r="A196" s="2" t="inlineStr">
        <is>
          <t>100201</t>
        </is>
      </c>
      <c r="B196" s="2" t="n"/>
      <c r="C196" s="2" t="inlineStr">
        <is>
          <t>2025-07-03</t>
        </is>
      </c>
      <c r="D196" s="2" t="inlineStr">
        <is>
          <t>Q2002</t>
        </is>
      </c>
      <c r="E196" s="2" t="n"/>
      <c r="F196" s="2" t="inlineStr">
        <is>
          <t>浙江精准学科技有限公司</t>
        </is>
      </c>
      <c r="G196" s="2" t="inlineStr">
        <is>
          <t>记-21</t>
        </is>
      </c>
      <c r="H196" s="2" t="n"/>
      <c r="I196" s="104" t="n"/>
      <c r="J196" s="104" t="n">
        <v>7</v>
      </c>
      <c r="K196" s="1" t="n"/>
      <c r="L196" s="104" t="n"/>
      <c r="M196" s="2" t="n"/>
    </row>
    <row r="197" s="83">
      <c r="A197" s="2" t="inlineStr">
        <is>
          <t>100201</t>
        </is>
      </c>
      <c r="B197" s="2" t="n"/>
      <c r="C197" s="2" t="inlineStr">
        <is>
          <t>2025-07-04</t>
        </is>
      </c>
      <c r="D197" s="2" t="inlineStr">
        <is>
          <t>Q2002</t>
        </is>
      </c>
      <c r="E197" s="2" t="n"/>
      <c r="F197" s="2" t="inlineStr">
        <is>
          <t>浙江精准学科技有限公司</t>
        </is>
      </c>
      <c r="G197" s="2" t="inlineStr">
        <is>
          <t>记-43</t>
        </is>
      </c>
      <c r="H197" s="2" t="n"/>
      <c r="I197" s="104" t="n"/>
      <c r="J197" s="104" t="n">
        <v>7</v>
      </c>
      <c r="K197" s="1" t="n"/>
      <c r="L197" s="104" t="n"/>
      <c r="M197" s="2" t="n"/>
    </row>
    <row r="198" s="83">
      <c r="A198" s="2" t="inlineStr">
        <is>
          <t>100201</t>
        </is>
      </c>
      <c r="B198" s="2" t="n"/>
      <c r="C198" s="2" t="inlineStr">
        <is>
          <t>2025-07-04</t>
        </is>
      </c>
      <c r="D198" s="2" t="inlineStr">
        <is>
          <t>Q2002</t>
        </is>
      </c>
      <c r="E198" s="2" t="n"/>
      <c r="F198" s="2" t="inlineStr">
        <is>
          <t>浙江精准学科技有限公司</t>
        </is>
      </c>
      <c r="G198" s="2" t="inlineStr">
        <is>
          <t>记-44</t>
        </is>
      </c>
      <c r="H198" s="2" t="n"/>
      <c r="I198" s="104" t="n"/>
      <c r="J198" s="104" t="n">
        <v>7</v>
      </c>
      <c r="K198" s="1" t="n"/>
      <c r="L198" s="104" t="n"/>
      <c r="M198" s="2" t="n"/>
    </row>
    <row r="199" s="83">
      <c r="A199" s="2" t="inlineStr">
        <is>
          <t>100201</t>
        </is>
      </c>
      <c r="B199" s="2" t="n"/>
      <c r="C199" s="2" t="inlineStr">
        <is>
          <t>2025-07-04</t>
        </is>
      </c>
      <c r="D199" s="2" t="inlineStr">
        <is>
          <t>Q2002</t>
        </is>
      </c>
      <c r="E199" s="2" t="n"/>
      <c r="F199" s="2" t="inlineStr">
        <is>
          <t>浙江精准学科技有限公司</t>
        </is>
      </c>
      <c r="G199" s="2" t="inlineStr">
        <is>
          <t>记-45</t>
        </is>
      </c>
      <c r="H199" s="2" t="n"/>
      <c r="I199" s="104" t="n"/>
      <c r="J199" s="104" t="n">
        <v>7</v>
      </c>
      <c r="K199" s="1" t="n"/>
      <c r="L199" s="104" t="n"/>
      <c r="M199" s="2" t="n"/>
    </row>
    <row r="200" s="83">
      <c r="A200" s="2" t="inlineStr">
        <is>
          <t>100201</t>
        </is>
      </c>
      <c r="B200" s="2" t="n"/>
      <c r="C200" s="2" t="inlineStr">
        <is>
          <t>2025-07-07</t>
        </is>
      </c>
      <c r="D200" s="2" t="inlineStr">
        <is>
          <t>Q2002</t>
        </is>
      </c>
      <c r="E200" s="2" t="n"/>
      <c r="F200" s="2" t="inlineStr">
        <is>
          <t>浙江精准学科技有限公司</t>
        </is>
      </c>
      <c r="G200" s="2" t="inlineStr">
        <is>
          <t>记-54</t>
        </is>
      </c>
      <c r="H200" s="2" t="n"/>
      <c r="I200" s="104" t="n"/>
      <c r="J200" s="104" t="n">
        <v>7</v>
      </c>
      <c r="K200" s="1" t="n"/>
      <c r="L200" s="104" t="n"/>
      <c r="M200" s="2" t="n"/>
    </row>
    <row r="201" s="83">
      <c r="A201" s="2" t="inlineStr">
        <is>
          <t>100201</t>
        </is>
      </c>
      <c r="B201" s="2" t="n"/>
      <c r="C201" s="2" t="inlineStr">
        <is>
          <t>2025-07-10</t>
        </is>
      </c>
      <c r="D201" s="2" t="inlineStr">
        <is>
          <t>Q2002</t>
        </is>
      </c>
      <c r="E201" s="2" t="n"/>
      <c r="F201" s="2" t="inlineStr">
        <is>
          <t>浙江精准学科技有限公司</t>
        </is>
      </c>
      <c r="G201" s="2" t="inlineStr">
        <is>
          <t>记-90</t>
        </is>
      </c>
      <c r="H201" s="2" t="n"/>
      <c r="I201" s="104" t="n"/>
      <c r="J201" s="104" t="n">
        <v>7</v>
      </c>
      <c r="K201" s="1" t="n"/>
      <c r="L201" s="104" t="n"/>
      <c r="M201" s="2" t="n"/>
    </row>
    <row r="202" s="83">
      <c r="A202" s="2" t="inlineStr">
        <is>
          <t>100201</t>
        </is>
      </c>
      <c r="B202" s="2" t="n"/>
      <c r="C202" s="2" t="inlineStr">
        <is>
          <t>2025-07-11</t>
        </is>
      </c>
      <c r="D202" s="2" t="inlineStr">
        <is>
          <t>Q2002</t>
        </is>
      </c>
      <c r="E202" s="2" t="n"/>
      <c r="F202" s="2" t="inlineStr">
        <is>
          <t>浙江精准学科技有限公司</t>
        </is>
      </c>
      <c r="G202" s="2" t="inlineStr">
        <is>
          <t>记-105</t>
        </is>
      </c>
      <c r="H202" s="2" t="n"/>
      <c r="I202" s="104" t="n"/>
      <c r="J202" s="104" t="n">
        <v>7</v>
      </c>
      <c r="K202" s="1" t="n"/>
      <c r="L202" s="104" t="n"/>
      <c r="M202" s="2" t="n"/>
    </row>
    <row r="203" s="83">
      <c r="A203" s="2" t="inlineStr">
        <is>
          <t>100201</t>
        </is>
      </c>
      <c r="B203" s="2" t="n"/>
      <c r="C203" s="2" t="inlineStr">
        <is>
          <t>2025-07-11</t>
        </is>
      </c>
      <c r="D203" s="2" t="inlineStr">
        <is>
          <t>Q2002</t>
        </is>
      </c>
      <c r="E203" s="2" t="n"/>
      <c r="F203" s="2" t="inlineStr">
        <is>
          <t>浙江精准学科技有限公司</t>
        </is>
      </c>
      <c r="G203" s="2" t="inlineStr">
        <is>
          <t>记-106</t>
        </is>
      </c>
      <c r="H203" s="2" t="n"/>
      <c r="I203" s="104" t="n"/>
      <c r="J203" s="104" t="n">
        <v>7</v>
      </c>
      <c r="K203" s="1" t="n"/>
      <c r="L203" s="104" t="n"/>
      <c r="M203" s="2" t="n"/>
    </row>
    <row r="204" s="83">
      <c r="A204" s="2" t="inlineStr">
        <is>
          <t>100201</t>
        </is>
      </c>
      <c r="B204" s="2" t="n"/>
      <c r="C204" s="2" t="inlineStr">
        <is>
          <t>2025-07-14</t>
        </is>
      </c>
      <c r="D204" s="2" t="inlineStr">
        <is>
          <t>Q2002</t>
        </is>
      </c>
      <c r="E204" s="2" t="n"/>
      <c r="F204" s="2" t="inlineStr">
        <is>
          <t>浙江精准学科技有限公司</t>
        </is>
      </c>
      <c r="G204" s="2" t="inlineStr">
        <is>
          <t>记-118</t>
        </is>
      </c>
      <c r="H204" s="2" t="n"/>
      <c r="I204" s="104" t="n"/>
      <c r="J204" s="104" t="n">
        <v>7</v>
      </c>
      <c r="K204" s="1" t="n"/>
      <c r="L204" s="104" t="n"/>
      <c r="M204" s="2" t="n"/>
    </row>
    <row r="205" s="83">
      <c r="A205" s="2" t="inlineStr">
        <is>
          <t>100201</t>
        </is>
      </c>
      <c r="B205" s="2" t="n"/>
      <c r="C205" s="2" t="inlineStr">
        <is>
          <t>2025-07-14</t>
        </is>
      </c>
      <c r="D205" s="2" t="inlineStr">
        <is>
          <t>Q2002</t>
        </is>
      </c>
      <c r="E205" s="2" t="n"/>
      <c r="F205" s="2" t="inlineStr">
        <is>
          <t>浙江精准学科技有限公司</t>
        </is>
      </c>
      <c r="G205" s="2" t="inlineStr">
        <is>
          <t>记-119</t>
        </is>
      </c>
      <c r="H205" s="2" t="n"/>
      <c r="I205" s="104" t="n"/>
      <c r="J205" s="104" t="n">
        <v>7</v>
      </c>
      <c r="K205" s="1" t="n"/>
      <c r="L205" s="104" t="n"/>
      <c r="M205" s="2" t="n"/>
    </row>
    <row r="206" s="83">
      <c r="A206" s="2" t="inlineStr">
        <is>
          <t>100201</t>
        </is>
      </c>
      <c r="B206" s="2" t="n"/>
      <c r="C206" s="2" t="inlineStr">
        <is>
          <t>2025-07-17</t>
        </is>
      </c>
      <c r="D206" s="2" t="inlineStr">
        <is>
          <t>Q2002</t>
        </is>
      </c>
      <c r="E206" s="2" t="n"/>
      <c r="F206" s="2" t="inlineStr">
        <is>
          <t>浙江精准学科技有限公司</t>
        </is>
      </c>
      <c r="G206" s="2" t="inlineStr">
        <is>
          <t>记-160</t>
        </is>
      </c>
      <c r="H206" s="2" t="n"/>
      <c r="I206" s="104" t="n"/>
      <c r="J206" s="104" t="n">
        <v>7</v>
      </c>
      <c r="K206" s="1" t="n"/>
      <c r="L206" s="104" t="n"/>
      <c r="M206" s="2" t="n"/>
    </row>
    <row r="207" s="83">
      <c r="A207" s="2" t="inlineStr">
        <is>
          <t>100201</t>
        </is>
      </c>
      <c r="B207" s="2" t="n"/>
      <c r="C207" s="2" t="inlineStr">
        <is>
          <t>2025-07-21</t>
        </is>
      </c>
      <c r="D207" s="2" t="inlineStr">
        <is>
          <t>Q2002</t>
        </is>
      </c>
      <c r="E207" s="2" t="n"/>
      <c r="F207" s="2" t="inlineStr">
        <is>
          <t>浙江精准学科技有限公司</t>
        </is>
      </c>
      <c r="G207" s="2" t="inlineStr">
        <is>
          <t>记-179</t>
        </is>
      </c>
      <c r="H207" s="2" t="n"/>
      <c r="I207" s="104" t="n"/>
      <c r="J207" s="104" t="n">
        <v>7</v>
      </c>
      <c r="K207" s="1" t="n"/>
      <c r="L207" s="104" t="n"/>
      <c r="M207" s="2" t="n"/>
    </row>
    <row r="208" s="83">
      <c r="A208" s="2" t="inlineStr">
        <is>
          <t>100201</t>
        </is>
      </c>
      <c r="B208" s="2" t="n"/>
      <c r="C208" s="2" t="inlineStr">
        <is>
          <t>2025-07-21</t>
        </is>
      </c>
      <c r="D208" s="2" t="inlineStr">
        <is>
          <t>Q2002</t>
        </is>
      </c>
      <c r="E208" s="2" t="n"/>
      <c r="F208" s="2" t="inlineStr">
        <is>
          <t>浙江精准学科技有限公司</t>
        </is>
      </c>
      <c r="G208" s="2" t="inlineStr">
        <is>
          <t>记-180</t>
        </is>
      </c>
      <c r="H208" s="2" t="n"/>
      <c r="I208" s="104" t="n"/>
      <c r="J208" s="104" t="n">
        <v>7</v>
      </c>
      <c r="K208" s="1" t="n"/>
      <c r="L208" s="104" t="n"/>
      <c r="M208" s="2" t="n"/>
    </row>
    <row r="209" s="83">
      <c r="A209" s="2" t="inlineStr">
        <is>
          <t>100201</t>
        </is>
      </c>
      <c r="B209" s="2" t="n"/>
      <c r="C209" s="2" t="inlineStr">
        <is>
          <t>2025-07-22</t>
        </is>
      </c>
      <c r="D209" s="2" t="inlineStr">
        <is>
          <t>Q2002</t>
        </is>
      </c>
      <c r="E209" s="2" t="n"/>
      <c r="F209" s="2" t="inlineStr">
        <is>
          <t>浙江精准学科技有限公司</t>
        </is>
      </c>
      <c r="G209" s="2" t="inlineStr">
        <is>
          <t>记-188</t>
        </is>
      </c>
      <c r="H209" s="2" t="n"/>
      <c r="I209" s="104" t="n"/>
      <c r="J209" s="104" t="n">
        <v>7</v>
      </c>
      <c r="K209" s="1" t="n"/>
      <c r="L209" s="104" t="n"/>
      <c r="M209" s="2" t="n"/>
    </row>
    <row r="210" s="83">
      <c r="A210" s="2" t="inlineStr">
        <is>
          <t>100201</t>
        </is>
      </c>
      <c r="B210" s="2" t="n"/>
      <c r="C210" s="2" t="inlineStr">
        <is>
          <t>2025-07-25</t>
        </is>
      </c>
      <c r="D210" s="2" t="inlineStr">
        <is>
          <t>Q2002</t>
        </is>
      </c>
      <c r="E210" s="2" t="n"/>
      <c r="F210" s="2" t="inlineStr">
        <is>
          <t>浙江精准学科技有限公司</t>
        </is>
      </c>
      <c r="G210" s="2" t="inlineStr">
        <is>
          <t>记-220</t>
        </is>
      </c>
      <c r="H210" s="2" t="n"/>
      <c r="I210" s="104" t="n"/>
      <c r="J210" s="104" t="n">
        <v>7</v>
      </c>
      <c r="K210" s="1" t="n"/>
      <c r="L210" s="104" t="n"/>
      <c r="M210" s="2" t="n"/>
    </row>
    <row r="211" s="83">
      <c r="A211" s="2" t="inlineStr">
        <is>
          <t>100201</t>
        </is>
      </c>
      <c r="B211" s="2" t="n"/>
      <c r="C211" s="2" t="inlineStr">
        <is>
          <t>2025-07-11</t>
        </is>
      </c>
      <c r="D211" s="2" t="inlineStr">
        <is>
          <t>Q2003</t>
        </is>
      </c>
      <c r="E211" s="2" t="n"/>
      <c r="F211" s="2" t="inlineStr">
        <is>
          <t>浙江精准学科技有限公司</t>
        </is>
      </c>
      <c r="G211" s="2" t="inlineStr">
        <is>
          <t>记-100</t>
        </is>
      </c>
      <c r="H211" s="2" t="n"/>
      <c r="I211" s="104" t="n"/>
      <c r="J211" s="104" t="n">
        <v>7</v>
      </c>
      <c r="K211" s="1" t="n"/>
      <c r="L211" s="104" t="n"/>
      <c r="M211" s="2" t="n"/>
    </row>
    <row r="212" s="83">
      <c r="A212" s="2" t="inlineStr">
        <is>
          <t>100201</t>
        </is>
      </c>
      <c r="B212" s="2" t="n"/>
      <c r="C212" s="2" t="inlineStr">
        <is>
          <t>2025-07-18</t>
        </is>
      </c>
      <c r="D212" s="2" t="inlineStr">
        <is>
          <t>Q2005</t>
        </is>
      </c>
      <c r="E212" s="2" t="n"/>
      <c r="F212" s="2" t="inlineStr">
        <is>
          <t>浙江精准学科技有限公司</t>
        </is>
      </c>
      <c r="G212" s="2" t="inlineStr">
        <is>
          <t>记-169</t>
        </is>
      </c>
      <c r="H212" s="2" t="n"/>
      <c r="I212" s="104" t="n"/>
      <c r="J212" s="104" t="n">
        <v>7</v>
      </c>
      <c r="K212" s="1" t="n"/>
      <c r="L212" s="104" t="n"/>
      <c r="M212" s="2" t="n"/>
    </row>
    <row r="213" s="83">
      <c r="A213" s="2" t="inlineStr">
        <is>
          <t>100201</t>
        </is>
      </c>
      <c r="B213" s="2" t="n"/>
      <c r="C213" s="2" t="inlineStr">
        <is>
          <t>2025-07-11</t>
        </is>
      </c>
      <c r="D213" s="2" t="inlineStr">
        <is>
          <t>Q2102</t>
        </is>
      </c>
      <c r="E213" s="2" t="n"/>
      <c r="F213" s="2" t="inlineStr">
        <is>
          <t>浙江精准学科技有限公司</t>
        </is>
      </c>
      <c r="G213" s="2" t="inlineStr">
        <is>
          <t>记-107</t>
        </is>
      </c>
      <c r="H213" s="2" t="n"/>
      <c r="I213" s="104" t="n"/>
      <c r="J213" s="104" t="n">
        <v>7</v>
      </c>
      <c r="K213" s="1" t="n"/>
      <c r="L213" s="104" t="n"/>
      <c r="M213" s="2" t="n"/>
    </row>
    <row r="214" s="83">
      <c r="A214" s="2" t="inlineStr">
        <is>
          <t>101201</t>
        </is>
      </c>
      <c r="B214" s="2" t="n"/>
      <c r="C214" s="2" t="inlineStr">
        <is>
          <t>2025-07-31</t>
        </is>
      </c>
      <c r="D214" s="2" t="inlineStr">
        <is>
          <t>Q2201</t>
        </is>
      </c>
      <c r="E214" s="2" t="n"/>
      <c r="F214" s="2" t="inlineStr">
        <is>
          <t>浙江精准学科技有限公司</t>
        </is>
      </c>
      <c r="G214" s="2" t="inlineStr">
        <is>
          <t>记-272</t>
        </is>
      </c>
      <c r="H214" s="2" t="n"/>
      <c r="I214" s="104" t="n"/>
      <c r="J214" s="104" t="n">
        <v>7</v>
      </c>
      <c r="K214" s="1" t="n"/>
      <c r="L214" s="104" t="n"/>
      <c r="M214" s="2" t="n"/>
    </row>
    <row r="215" s="83">
      <c r="A215" s="2" t="inlineStr">
        <is>
          <t>101207</t>
        </is>
      </c>
      <c r="B215" s="2" t="n"/>
      <c r="C215" s="2" t="inlineStr">
        <is>
          <t>2025-07-31</t>
        </is>
      </c>
      <c r="D215" s="2" t="inlineStr">
        <is>
          <t>Q2201</t>
        </is>
      </c>
      <c r="E215" s="2" t="n"/>
      <c r="F215" s="2" t="inlineStr">
        <is>
          <t>浙江精准学科技有限公司</t>
        </is>
      </c>
      <c r="G215" s="2" t="inlineStr">
        <is>
          <t>记-273</t>
        </is>
      </c>
      <c r="H215" s="2" t="n"/>
      <c r="I215" s="104" t="n"/>
      <c r="J215" s="104" t="n">
        <v>7</v>
      </c>
      <c r="K215" s="1" t="n"/>
      <c r="L215" s="104" t="n"/>
      <c r="M215" s="2" t="n"/>
    </row>
    <row r="216" s="83">
      <c r="A216" s="2" t="inlineStr">
        <is>
          <t>101207</t>
        </is>
      </c>
      <c r="B216" s="2" t="n"/>
      <c r="C216" s="2" t="inlineStr">
        <is>
          <t>2025-07-31</t>
        </is>
      </c>
      <c r="D216" s="2" t="inlineStr">
        <is>
          <t>Q2201</t>
        </is>
      </c>
      <c r="E216" s="2" t="n"/>
      <c r="F216" s="2" t="inlineStr">
        <is>
          <t>浙江精准学科技有限公司</t>
        </is>
      </c>
      <c r="G216" s="2" t="inlineStr">
        <is>
          <t>记-273</t>
        </is>
      </c>
      <c r="H216" s="2" t="n"/>
      <c r="I216" s="104" t="n"/>
      <c r="J216" s="104" t="n">
        <v>7</v>
      </c>
      <c r="K216" s="1" t="n"/>
      <c r="L216" s="104" t="n"/>
      <c r="M216" s="2" t="n"/>
    </row>
    <row r="217" s="83">
      <c r="A217" s="2" t="inlineStr">
        <is>
          <t>101203</t>
        </is>
      </c>
      <c r="B217" s="2" t="n"/>
      <c r="C217" s="2" t="inlineStr">
        <is>
          <t>2025-07-31</t>
        </is>
      </c>
      <c r="D217" s="2" t="inlineStr">
        <is>
          <t>Q2201</t>
        </is>
      </c>
      <c r="E217" s="2" t="n"/>
      <c r="F217" s="2" t="inlineStr">
        <is>
          <t>浙江精准学科技有限公司</t>
        </is>
      </c>
      <c r="G217" s="2" t="inlineStr">
        <is>
          <t>记-274</t>
        </is>
      </c>
      <c r="H217" s="2" t="n"/>
      <c r="I217" s="104" t="n"/>
      <c r="J217" s="104" t="n">
        <v>7</v>
      </c>
      <c r="K217" s="1" t="n"/>
      <c r="L217" s="104" t="n"/>
      <c r="M217" s="2" t="n"/>
    </row>
    <row r="218" s="83">
      <c r="A218" s="2" t="inlineStr">
        <is>
          <t>101203</t>
        </is>
      </c>
      <c r="B218" s="2" t="n"/>
      <c r="C218" s="2" t="inlineStr">
        <is>
          <t>2025-07-31</t>
        </is>
      </c>
      <c r="D218" s="2" t="inlineStr">
        <is>
          <t>Q2201</t>
        </is>
      </c>
      <c r="E218" s="2" t="n"/>
      <c r="F218" s="2" t="inlineStr">
        <is>
          <t>浙江精准学科技有限公司</t>
        </is>
      </c>
      <c r="G218" s="2" t="inlineStr">
        <is>
          <t>记-275</t>
        </is>
      </c>
      <c r="H218" s="2" t="n"/>
      <c r="I218" s="104" t="n"/>
      <c r="J218" s="104" t="n">
        <v>7</v>
      </c>
      <c r="K218" s="1" t="n"/>
      <c r="L218" s="104" t="n"/>
      <c r="M218" s="2" t="n"/>
    </row>
    <row r="219" s="83">
      <c r="A219" s="2" t="inlineStr">
        <is>
          <t>101208</t>
        </is>
      </c>
      <c r="B219" s="2" t="n"/>
      <c r="C219" s="2" t="inlineStr">
        <is>
          <t>2025-07-31</t>
        </is>
      </c>
      <c r="D219" s="2" t="inlineStr">
        <is>
          <t>Q2201</t>
        </is>
      </c>
      <c r="E219" s="2" t="n"/>
      <c r="F219" s="2" t="inlineStr">
        <is>
          <t>浙江精准学科技有限公司</t>
        </is>
      </c>
      <c r="G219" s="2" t="inlineStr">
        <is>
          <t>记-277</t>
        </is>
      </c>
      <c r="H219" s="2" t="n"/>
      <c r="I219" s="104" t="n"/>
      <c r="J219" s="104" t="n">
        <v>7</v>
      </c>
      <c r="K219" s="1" t="n"/>
      <c r="L219" s="104" t="n"/>
      <c r="M219" s="2" t="n"/>
    </row>
    <row r="220" s="83">
      <c r="A220" s="2" t="inlineStr">
        <is>
          <t>100201</t>
        </is>
      </c>
      <c r="B220" s="2" t="n"/>
      <c r="C220" s="2" t="inlineStr">
        <is>
          <t>2025-07-30</t>
        </is>
      </c>
      <c r="D220" s="2" t="inlineStr">
        <is>
          <t>Q2203</t>
        </is>
      </c>
      <c r="E220" s="2" t="n"/>
      <c r="F220" s="2" t="inlineStr">
        <is>
          <t>浙江精准学科技有限公司</t>
        </is>
      </c>
      <c r="G220" s="2" t="inlineStr">
        <is>
          <t>记-254</t>
        </is>
      </c>
      <c r="H220" s="2" t="n"/>
      <c r="I220" s="104" t="n"/>
      <c r="J220" s="104" t="n">
        <v>7</v>
      </c>
      <c r="K220" s="1" t="n"/>
      <c r="L220" s="104" t="n"/>
      <c r="M220" s="2" t="n"/>
    </row>
    <row r="221" s="83">
      <c r="A221" s="2" t="inlineStr">
        <is>
          <t>100201</t>
        </is>
      </c>
      <c r="B221" s="2" t="n"/>
      <c r="C221" s="2" t="inlineStr">
        <is>
          <t>2025-07-02</t>
        </is>
      </c>
      <c r="D221" s="2" t="inlineStr">
        <is>
          <t>Q2402</t>
        </is>
      </c>
      <c r="E221" s="2" t="n"/>
      <c r="F221" s="2" t="inlineStr">
        <is>
          <t>浙江精准学科技有限公司</t>
        </is>
      </c>
      <c r="G221" s="2" t="inlineStr">
        <is>
          <t>记-13</t>
        </is>
      </c>
      <c r="H221" s="2" t="n"/>
      <c r="I221" s="104" t="n"/>
      <c r="J221" s="104" t="n">
        <v>7</v>
      </c>
      <c r="K221" s="1" t="n"/>
      <c r="L221" s="104" t="n"/>
      <c r="M221" s="2" t="n"/>
    </row>
    <row r="222" s="83">
      <c r="A222" s="2" t="inlineStr">
        <is>
          <t>100201</t>
        </is>
      </c>
      <c r="B222" s="2" t="n"/>
      <c r="C222" s="2" t="inlineStr">
        <is>
          <t>2025-07-25</t>
        </is>
      </c>
      <c r="D222" s="2" t="inlineStr">
        <is>
          <t>Q2402</t>
        </is>
      </c>
      <c r="E222" s="2" t="n"/>
      <c r="F222" s="2" t="inlineStr">
        <is>
          <t>浙江精准学科技有限公司</t>
        </is>
      </c>
      <c r="G222" s="2" t="inlineStr">
        <is>
          <t>记-219</t>
        </is>
      </c>
      <c r="H222" s="2" t="n"/>
      <c r="I222" s="104" t="n"/>
      <c r="J222" s="104" t="n">
        <v>7</v>
      </c>
      <c r="K222" s="1" t="n"/>
      <c r="L222" s="104" t="n"/>
      <c r="M222" s="2" t="n"/>
    </row>
    <row r="223" s="83">
      <c r="A223" s="2" t="inlineStr">
        <is>
          <t>101203</t>
        </is>
      </c>
      <c r="B223" s="2" t="n"/>
      <c r="C223" s="2" t="inlineStr">
        <is>
          <t>2025-07-31</t>
        </is>
      </c>
      <c r="D223" s="2" t="inlineStr">
        <is>
          <t>Q2402</t>
        </is>
      </c>
      <c r="E223" s="2" t="n"/>
      <c r="F223" s="2" t="inlineStr">
        <is>
          <t>浙江精准学科技有限公司</t>
        </is>
      </c>
      <c r="G223" s="2" t="inlineStr">
        <is>
          <t>记-275</t>
        </is>
      </c>
      <c r="H223" s="2" t="n"/>
      <c r="I223" s="104" t="n"/>
      <c r="J223" s="104" t="n">
        <v>7</v>
      </c>
      <c r="K223" s="1" t="n"/>
      <c r="L223" s="104" t="n"/>
      <c r="M223" s="2" t="n"/>
    </row>
    <row r="224" s="83">
      <c r="A224" s="2" t="inlineStr">
        <is>
          <t>100201</t>
        </is>
      </c>
      <c r="B224" s="2" t="n"/>
      <c r="C224" s="2" t="inlineStr">
        <is>
          <t>2025-07-21</t>
        </is>
      </c>
      <c r="D224" s="2" t="inlineStr">
        <is>
          <t>Q2501</t>
        </is>
      </c>
      <c r="E224" s="2" t="n"/>
      <c r="F224" s="2" t="inlineStr">
        <is>
          <t>浙江精准学科技有限公司</t>
        </is>
      </c>
      <c r="G224" s="2" t="inlineStr">
        <is>
          <t>记-182</t>
        </is>
      </c>
      <c r="H224" s="2" t="n"/>
      <c r="I224" s="104" t="n"/>
      <c r="J224" s="104" t="n">
        <v>7</v>
      </c>
      <c r="K224" s="1" t="n"/>
      <c r="L224" s="104" t="n"/>
      <c r="M224" s="2" t="n"/>
    </row>
    <row r="225" s="83">
      <c r="A225" s="2" t="inlineStr">
        <is>
          <t>100201</t>
        </is>
      </c>
      <c r="B225" s="2" t="n"/>
      <c r="C225" s="2" t="inlineStr">
        <is>
          <t>2025-07-01</t>
        </is>
      </c>
      <c r="D225" s="2" t="inlineStr">
        <is>
          <t>Q2601</t>
        </is>
      </c>
      <c r="E225" s="2" t="n"/>
      <c r="F225" s="2" t="inlineStr">
        <is>
          <t>浙江精准学科技有限公司</t>
        </is>
      </c>
      <c r="G225" s="2" t="inlineStr">
        <is>
          <t>记-4</t>
        </is>
      </c>
      <c r="H225" s="2" t="n"/>
      <c r="I225" s="104" t="n"/>
      <c r="J225" s="104" t="n">
        <v>7</v>
      </c>
      <c r="K225" s="1" t="n"/>
      <c r="L225" s="104" t="n"/>
      <c r="M225" s="2" t="n"/>
    </row>
    <row r="226" s="83">
      <c r="A226" s="2" t="inlineStr">
        <is>
          <t>100201</t>
        </is>
      </c>
      <c r="B226" s="2" t="n"/>
      <c r="C226" s="2" t="inlineStr">
        <is>
          <t>2025-07-01</t>
        </is>
      </c>
      <c r="D226" s="2" t="inlineStr">
        <is>
          <t>Q2601</t>
        </is>
      </c>
      <c r="E226" s="2" t="n"/>
      <c r="F226" s="2" t="inlineStr">
        <is>
          <t>浙江精准学科技有限公司</t>
        </is>
      </c>
      <c r="G226" s="2" t="inlineStr">
        <is>
          <t>记-5</t>
        </is>
      </c>
      <c r="H226" s="2" t="n"/>
      <c r="I226" s="104" t="n"/>
      <c r="J226" s="104" t="n">
        <v>7</v>
      </c>
      <c r="K226" s="1" t="n"/>
      <c r="L226" s="104" t="n"/>
      <c r="M226" s="2" t="n"/>
    </row>
    <row r="227" s="83">
      <c r="A227" s="2" t="inlineStr">
        <is>
          <t>100201</t>
        </is>
      </c>
      <c r="B227" s="2" t="n"/>
      <c r="C227" s="2" t="inlineStr">
        <is>
          <t>2025-07-07</t>
        </is>
      </c>
      <c r="D227" s="2" t="inlineStr">
        <is>
          <t>Q2601</t>
        </is>
      </c>
      <c r="E227" s="2" t="n"/>
      <c r="F227" s="2" t="inlineStr">
        <is>
          <t>浙江精准学科技有限公司</t>
        </is>
      </c>
      <c r="G227" s="2" t="inlineStr">
        <is>
          <t>记-53</t>
        </is>
      </c>
      <c r="H227" s="2" t="n"/>
      <c r="I227" s="104" t="n"/>
      <c r="J227" s="104" t="n">
        <v>7</v>
      </c>
      <c r="K227" s="1" t="n"/>
      <c r="L227" s="104" t="n"/>
      <c r="M227" s="2" t="n"/>
    </row>
    <row r="228" s="83">
      <c r="A228" s="2" t="inlineStr">
        <is>
          <t>100201</t>
        </is>
      </c>
      <c r="B228" s="2" t="n"/>
      <c r="C228" s="2" t="inlineStr">
        <is>
          <t>2025-07-07</t>
        </is>
      </c>
      <c r="D228" s="2" t="inlineStr">
        <is>
          <t>Q2601</t>
        </is>
      </c>
      <c r="E228" s="2" t="n"/>
      <c r="F228" s="2" t="inlineStr">
        <is>
          <t>浙江精准学科技有限公司</t>
        </is>
      </c>
      <c r="G228" s="2" t="inlineStr">
        <is>
          <t>记-59</t>
        </is>
      </c>
      <c r="H228" s="2" t="n"/>
      <c r="I228" s="104" t="n"/>
      <c r="J228" s="104" t="n">
        <v>7</v>
      </c>
      <c r="K228" s="1" t="n"/>
      <c r="L228" s="104" t="n"/>
      <c r="M228" s="2" t="n"/>
    </row>
    <row r="229" s="83">
      <c r="A229" s="2" t="inlineStr">
        <is>
          <t>100201</t>
        </is>
      </c>
      <c r="B229" s="2" t="n"/>
      <c r="C229" s="2" t="inlineStr">
        <is>
          <t>2025-07-08</t>
        </is>
      </c>
      <c r="D229" s="2" t="inlineStr">
        <is>
          <t>Q2601</t>
        </is>
      </c>
      <c r="E229" s="2" t="n"/>
      <c r="F229" s="2" t="inlineStr">
        <is>
          <t>浙江精准学科技有限公司</t>
        </is>
      </c>
      <c r="G229" s="2" t="inlineStr">
        <is>
          <t>记-64</t>
        </is>
      </c>
      <c r="H229" s="2" t="n"/>
      <c r="I229" s="104" t="n"/>
      <c r="J229" s="104" t="n">
        <v>7</v>
      </c>
      <c r="K229" s="1" t="n"/>
      <c r="L229" s="104" t="n"/>
      <c r="M229" s="2" t="n"/>
    </row>
    <row r="230" s="83">
      <c r="A230" s="2" t="inlineStr">
        <is>
          <t>100201</t>
        </is>
      </c>
      <c r="B230" s="2" t="n"/>
      <c r="C230" s="2" t="inlineStr">
        <is>
          <t>2025-07-08</t>
        </is>
      </c>
      <c r="D230" s="2" t="inlineStr">
        <is>
          <t>Q2601</t>
        </is>
      </c>
      <c r="E230" s="2" t="n"/>
      <c r="F230" s="2" t="inlineStr">
        <is>
          <t>浙江精准学科技有限公司</t>
        </is>
      </c>
      <c r="G230" s="2" t="inlineStr">
        <is>
          <t>记-65</t>
        </is>
      </c>
      <c r="H230" s="2" t="n"/>
      <c r="I230" s="104" t="n"/>
      <c r="J230" s="104" t="n">
        <v>7</v>
      </c>
      <c r="K230" s="1" t="n"/>
      <c r="L230" s="104" t="n"/>
      <c r="M230" s="2" t="n"/>
    </row>
    <row r="231" s="83">
      <c r="A231" s="2" t="inlineStr">
        <is>
          <t>100201</t>
        </is>
      </c>
      <c r="B231" s="2" t="n"/>
      <c r="C231" s="2" t="inlineStr">
        <is>
          <t>2025-07-08</t>
        </is>
      </c>
      <c r="D231" s="2" t="inlineStr">
        <is>
          <t>Q2601</t>
        </is>
      </c>
      <c r="E231" s="2" t="n"/>
      <c r="F231" s="2" t="inlineStr">
        <is>
          <t>浙江精准学科技有限公司</t>
        </is>
      </c>
      <c r="G231" s="2" t="inlineStr">
        <is>
          <t>记-66</t>
        </is>
      </c>
      <c r="H231" s="2" t="n"/>
      <c r="I231" s="104" t="n"/>
      <c r="J231" s="104" t="n">
        <v>7</v>
      </c>
      <c r="K231" s="1" t="n"/>
      <c r="L231" s="104" t="n"/>
      <c r="M231" s="2" t="n"/>
    </row>
    <row r="232" s="83">
      <c r="A232" s="2" t="inlineStr">
        <is>
          <t>100201</t>
        </is>
      </c>
      <c r="B232" s="2" t="n"/>
      <c r="C232" s="2" t="inlineStr">
        <is>
          <t>2025-07-10</t>
        </is>
      </c>
      <c r="D232" s="2" t="inlineStr">
        <is>
          <t>Q2601</t>
        </is>
      </c>
      <c r="E232" s="2" t="n"/>
      <c r="F232" s="2" t="inlineStr">
        <is>
          <t>浙江精准学科技有限公司</t>
        </is>
      </c>
      <c r="G232" s="2" t="inlineStr">
        <is>
          <t>记-84</t>
        </is>
      </c>
      <c r="H232" s="2" t="n"/>
      <c r="I232" s="104" t="n"/>
      <c r="J232" s="104" t="n">
        <v>7</v>
      </c>
      <c r="K232" s="1" t="n"/>
      <c r="L232" s="104" t="n"/>
      <c r="M232" s="2" t="n"/>
    </row>
    <row r="233" s="83">
      <c r="A233" s="2" t="inlineStr">
        <is>
          <t>100201</t>
        </is>
      </c>
      <c r="B233" s="2" t="n"/>
      <c r="C233" s="2" t="inlineStr">
        <is>
          <t>2025-07-10</t>
        </is>
      </c>
      <c r="D233" s="2" t="inlineStr">
        <is>
          <t>Q2601</t>
        </is>
      </c>
      <c r="E233" s="2" t="n"/>
      <c r="F233" s="2" t="inlineStr">
        <is>
          <t>浙江精准学科技有限公司</t>
        </is>
      </c>
      <c r="G233" s="2" t="inlineStr">
        <is>
          <t>记-91</t>
        </is>
      </c>
      <c r="H233" s="2" t="n"/>
      <c r="I233" s="104" t="n"/>
      <c r="J233" s="104" t="n">
        <v>7</v>
      </c>
      <c r="K233" s="1" t="n"/>
      <c r="L233" s="104" t="n"/>
      <c r="M233" s="2" t="n"/>
    </row>
    <row r="234" s="83">
      <c r="A234" s="2" t="inlineStr">
        <is>
          <t>100201</t>
        </is>
      </c>
      <c r="B234" s="2" t="n"/>
      <c r="C234" s="2" t="inlineStr">
        <is>
          <t>2025-07-16</t>
        </is>
      </c>
      <c r="D234" s="2" t="inlineStr">
        <is>
          <t>Q2601</t>
        </is>
      </c>
      <c r="E234" s="2" t="n"/>
      <c r="F234" s="2" t="inlineStr">
        <is>
          <t>浙江精准学科技有限公司</t>
        </is>
      </c>
      <c r="G234" s="2" t="inlineStr">
        <is>
          <t>记-150</t>
        </is>
      </c>
      <c r="H234" s="2" t="n"/>
      <c r="I234" s="104" t="n"/>
      <c r="J234" s="104" t="n">
        <v>7</v>
      </c>
      <c r="K234" s="1" t="n"/>
      <c r="L234" s="104" t="n"/>
      <c r="M234" s="2" t="n"/>
    </row>
    <row r="235" s="83">
      <c r="A235" s="2" t="inlineStr">
        <is>
          <t>100201</t>
        </is>
      </c>
      <c r="B235" s="2" t="n"/>
      <c r="C235" s="2" t="inlineStr">
        <is>
          <t>2025-07-17</t>
        </is>
      </c>
      <c r="D235" s="2" t="inlineStr">
        <is>
          <t>Q2601</t>
        </is>
      </c>
      <c r="E235" s="2" t="n"/>
      <c r="F235" s="2" t="inlineStr">
        <is>
          <t>浙江精准学科技有限公司</t>
        </is>
      </c>
      <c r="G235" s="2" t="inlineStr">
        <is>
          <t>记-158</t>
        </is>
      </c>
      <c r="H235" s="2" t="n"/>
      <c r="I235" s="104" t="n"/>
      <c r="J235" s="104" t="n">
        <v>7</v>
      </c>
      <c r="K235" s="1" t="n"/>
      <c r="L235" s="104" t="n"/>
      <c r="M235" s="2" t="n"/>
    </row>
    <row r="236" s="83">
      <c r="A236" s="2" t="inlineStr">
        <is>
          <t>100201</t>
        </is>
      </c>
      <c r="B236" s="2" t="n"/>
      <c r="C236" s="2" t="inlineStr">
        <is>
          <t>2025-07-17</t>
        </is>
      </c>
      <c r="D236" s="2" t="inlineStr">
        <is>
          <t>Q2601</t>
        </is>
      </c>
      <c r="E236" s="2" t="n"/>
      <c r="F236" s="2" t="inlineStr">
        <is>
          <t>浙江精准学科技有限公司</t>
        </is>
      </c>
      <c r="G236" s="2" t="inlineStr">
        <is>
          <t>记-159</t>
        </is>
      </c>
      <c r="H236" s="2" t="n"/>
      <c r="I236" s="104" t="n"/>
      <c r="J236" s="104" t="n">
        <v>7</v>
      </c>
      <c r="K236" s="1" t="n"/>
      <c r="L236" s="104" t="n"/>
      <c r="M236" s="2" t="n"/>
    </row>
    <row r="237" s="83">
      <c r="A237" s="2" t="inlineStr">
        <is>
          <t>100201</t>
        </is>
      </c>
      <c r="B237" s="2" t="n"/>
      <c r="C237" s="2" t="inlineStr">
        <is>
          <t>2025-07-17</t>
        </is>
      </c>
      <c r="D237" s="2" t="inlineStr">
        <is>
          <t>Q2601</t>
        </is>
      </c>
      <c r="E237" s="2" t="n"/>
      <c r="F237" s="2" t="inlineStr">
        <is>
          <t>浙江精准学科技有限公司</t>
        </is>
      </c>
      <c r="G237" s="2" t="inlineStr">
        <is>
          <t>记-159</t>
        </is>
      </c>
      <c r="H237" s="2" t="n"/>
      <c r="I237" s="104" t="n"/>
      <c r="J237" s="104" t="n">
        <v>7</v>
      </c>
      <c r="K237" s="1" t="n"/>
      <c r="L237" s="104" t="n"/>
      <c r="M237" s="2" t="n"/>
    </row>
    <row r="238" s="83">
      <c r="A238" s="2" t="inlineStr">
        <is>
          <t>100201</t>
        </is>
      </c>
      <c r="B238" s="2" t="n"/>
      <c r="C238" s="2" t="inlineStr">
        <is>
          <t>2025-07-18</t>
        </is>
      </c>
      <c r="D238" s="2" t="inlineStr">
        <is>
          <t>Q2601</t>
        </is>
      </c>
      <c r="E238" s="2" t="n"/>
      <c r="F238" s="2" t="inlineStr">
        <is>
          <t>浙江精准学科技有限公司</t>
        </is>
      </c>
      <c r="G238" s="2" t="inlineStr">
        <is>
          <t>记-166</t>
        </is>
      </c>
      <c r="H238" s="2" t="n"/>
      <c r="I238" s="104" t="n"/>
      <c r="J238" s="104" t="n">
        <v>7</v>
      </c>
      <c r="K238" s="1" t="n"/>
      <c r="L238" s="104" t="n"/>
      <c r="M238" s="2" t="n"/>
    </row>
    <row r="239" s="83">
      <c r="A239" s="2" t="inlineStr">
        <is>
          <t>100201</t>
        </is>
      </c>
      <c r="B239" s="2" t="n"/>
      <c r="C239" s="2" t="inlineStr">
        <is>
          <t>2025-07-21</t>
        </is>
      </c>
      <c r="D239" s="2" t="inlineStr">
        <is>
          <t>Q2601</t>
        </is>
      </c>
      <c r="E239" s="2" t="n"/>
      <c r="F239" s="2" t="inlineStr">
        <is>
          <t>浙江精准学科技有限公司</t>
        </is>
      </c>
      <c r="G239" s="2" t="inlineStr">
        <is>
          <t>记-181</t>
        </is>
      </c>
      <c r="H239" s="2" t="n"/>
      <c r="I239" s="104" t="n"/>
      <c r="J239" s="104" t="n">
        <v>7</v>
      </c>
      <c r="K239" s="1" t="n"/>
      <c r="L239" s="104" t="n"/>
      <c r="M239" s="2" t="n"/>
    </row>
    <row r="240" s="83">
      <c r="A240" s="2" t="inlineStr">
        <is>
          <t>100201</t>
        </is>
      </c>
      <c r="B240" s="2" t="n"/>
      <c r="C240" s="2" t="inlineStr">
        <is>
          <t>2025-07-22</t>
        </is>
      </c>
      <c r="D240" s="2" t="inlineStr">
        <is>
          <t>Q2601</t>
        </is>
      </c>
      <c r="E240" s="2" t="n"/>
      <c r="F240" s="2" t="inlineStr">
        <is>
          <t>浙江精准学科技有限公司</t>
        </is>
      </c>
      <c r="G240" s="2" t="inlineStr">
        <is>
          <t>记-186</t>
        </is>
      </c>
      <c r="H240" s="2" t="n"/>
      <c r="I240" s="104" t="n"/>
      <c r="J240" s="104" t="n">
        <v>7</v>
      </c>
      <c r="K240" s="1" t="n"/>
      <c r="L240" s="104" t="n"/>
      <c r="M240" s="2" t="n"/>
    </row>
    <row r="241" s="83">
      <c r="A241" s="2" t="inlineStr">
        <is>
          <t>100201</t>
        </is>
      </c>
      <c r="B241" s="2" t="n"/>
      <c r="C241" s="2" t="inlineStr">
        <is>
          <t>2025-07-22</t>
        </is>
      </c>
      <c r="D241" s="2" t="inlineStr">
        <is>
          <t>Q2601</t>
        </is>
      </c>
      <c r="E241" s="2" t="n"/>
      <c r="F241" s="2" t="inlineStr">
        <is>
          <t>浙江精准学科技有限公司</t>
        </is>
      </c>
      <c r="G241" s="2" t="inlineStr">
        <is>
          <t>记-187</t>
        </is>
      </c>
      <c r="H241" s="2" t="n"/>
      <c r="I241" s="104" t="n"/>
      <c r="J241" s="104" t="n">
        <v>7</v>
      </c>
      <c r="K241" s="1" t="n"/>
      <c r="L241" s="104" t="n"/>
      <c r="M241" s="2" t="n"/>
    </row>
    <row r="242" s="83">
      <c r="A242" s="2" t="inlineStr">
        <is>
          <t>100201</t>
        </is>
      </c>
      <c r="B242" s="2" t="n"/>
      <c r="C242" s="2" t="inlineStr">
        <is>
          <t>2025-07-23</t>
        </is>
      </c>
      <c r="D242" s="2" t="inlineStr">
        <is>
          <t>Q2601</t>
        </is>
      </c>
      <c r="E242" s="2" t="n"/>
      <c r="F242" s="2" t="inlineStr">
        <is>
          <t>浙江精准学科技有限公司</t>
        </is>
      </c>
      <c r="G242" s="2" t="inlineStr">
        <is>
          <t>记-199</t>
        </is>
      </c>
      <c r="H242" s="2" t="n"/>
      <c r="I242" s="104" t="n"/>
      <c r="J242" s="104" t="n">
        <v>7</v>
      </c>
      <c r="K242" s="1" t="n"/>
      <c r="L242" s="104" t="n"/>
      <c r="M242" s="2" t="n"/>
    </row>
    <row r="243" s="83">
      <c r="A243" s="2" t="inlineStr">
        <is>
          <t>100201</t>
        </is>
      </c>
      <c r="B243" s="2" t="n"/>
      <c r="C243" s="2" t="inlineStr">
        <is>
          <t>2025-07-28</t>
        </is>
      </c>
      <c r="D243" s="2" t="inlineStr">
        <is>
          <t>Q2601</t>
        </is>
      </c>
      <c r="E243" s="2" t="n"/>
      <c r="F243" s="2" t="inlineStr">
        <is>
          <t>浙江精准学科技有限公司</t>
        </is>
      </c>
      <c r="G243" s="2" t="inlineStr">
        <is>
          <t>记-225</t>
        </is>
      </c>
      <c r="H243" s="2" t="n"/>
      <c r="I243" s="104" t="n"/>
      <c r="J243" s="104" t="n">
        <v>7</v>
      </c>
      <c r="K243" s="1" t="n"/>
      <c r="L243" s="104" t="n"/>
      <c r="M243" s="2" t="n"/>
    </row>
    <row r="244" s="83">
      <c r="A244" s="2" t="inlineStr">
        <is>
          <t>100201</t>
        </is>
      </c>
      <c r="B244" s="2" t="n"/>
      <c r="C244" s="2" t="inlineStr">
        <is>
          <t>2025-07-28</t>
        </is>
      </c>
      <c r="D244" s="2" t="inlineStr">
        <is>
          <t>Q2601</t>
        </is>
      </c>
      <c r="E244" s="2" t="n"/>
      <c r="F244" s="2" t="inlineStr">
        <is>
          <t>浙江精准学科技有限公司</t>
        </is>
      </c>
      <c r="G244" s="2" t="inlineStr">
        <is>
          <t>记-226</t>
        </is>
      </c>
      <c r="H244" s="2" t="n"/>
      <c r="I244" s="104" t="n"/>
      <c r="J244" s="104" t="n">
        <v>7</v>
      </c>
      <c r="K244" s="1" t="n"/>
      <c r="L244" s="104" t="n"/>
      <c r="M244" s="2" t="n"/>
    </row>
    <row r="245" s="83">
      <c r="A245" s="2" t="inlineStr">
        <is>
          <t>100201</t>
        </is>
      </c>
      <c r="B245" s="2" t="n"/>
      <c r="C245" s="2" t="inlineStr">
        <is>
          <t>2025-07-03</t>
        </is>
      </c>
      <c r="D245" s="2" t="inlineStr">
        <is>
          <t>Q2702</t>
        </is>
      </c>
      <c r="E245" s="2" t="n"/>
      <c r="F245" s="2" t="inlineStr">
        <is>
          <t>浙江精准学科技有限公司</t>
        </is>
      </c>
      <c r="G245" s="2" t="inlineStr">
        <is>
          <t>记-22</t>
        </is>
      </c>
      <c r="H245" s="2" t="n"/>
      <c r="I245" s="104" t="n"/>
      <c r="J245" s="104" t="n">
        <v>7</v>
      </c>
      <c r="K245" s="1" t="n"/>
      <c r="L245" s="104" t="n"/>
      <c r="M245" s="2" t="n"/>
    </row>
    <row r="246" s="83">
      <c r="A246" s="2" t="inlineStr">
        <is>
          <t>100201</t>
        </is>
      </c>
      <c r="B246" s="2" t="n"/>
      <c r="C246" s="2" t="inlineStr">
        <is>
          <t>2025-07-24</t>
        </is>
      </c>
      <c r="D246" s="2" t="inlineStr">
        <is>
          <t>Q2703</t>
        </is>
      </c>
      <c r="E246" s="2" t="n"/>
      <c r="F246" s="2" t="inlineStr">
        <is>
          <t>浙江精准学科技有限公司</t>
        </is>
      </c>
      <c r="G246" s="2" t="inlineStr">
        <is>
          <t>记-212</t>
        </is>
      </c>
      <c r="H246" s="2" t="n"/>
      <c r="I246" s="104" t="n"/>
      <c r="J246" s="104" t="n">
        <v>7</v>
      </c>
      <c r="K246" s="1" t="n"/>
      <c r="L246" s="104" t="n"/>
      <c r="M246" s="2" t="n"/>
    </row>
    <row r="247" s="83">
      <c r="A247" s="2" t="inlineStr">
        <is>
          <t>100201</t>
        </is>
      </c>
      <c r="B247" s="2" t="n"/>
      <c r="C247" s="2" t="inlineStr">
        <is>
          <t>2025-07-10</t>
        </is>
      </c>
      <c r="D247" s="2" t="inlineStr">
        <is>
          <t>Q2802</t>
        </is>
      </c>
      <c r="E247" s="2" t="n"/>
      <c r="F247" s="2" t="inlineStr">
        <is>
          <t>浙江精准学科技有限公司</t>
        </is>
      </c>
      <c r="G247" s="2" t="inlineStr">
        <is>
          <t>记-92</t>
        </is>
      </c>
      <c r="H247" s="2" t="n"/>
      <c r="I247" s="104" t="n"/>
      <c r="J247" s="104" t="n">
        <v>7</v>
      </c>
      <c r="K247" s="1" t="n"/>
      <c r="L247" s="104" t="n"/>
      <c r="M247" s="2" t="n"/>
    </row>
    <row r="248" s="83">
      <c r="A248" s="2" t="inlineStr">
        <is>
          <t>100201</t>
        </is>
      </c>
      <c r="B248" s="2" t="n"/>
      <c r="C248" s="2" t="inlineStr">
        <is>
          <t>2025-07-16</t>
        </is>
      </c>
      <c r="D248" s="2" t="inlineStr">
        <is>
          <t>Q2802</t>
        </is>
      </c>
      <c r="E248" s="2" t="n"/>
      <c r="F248" s="2" t="inlineStr">
        <is>
          <t>浙江精准学科技有限公司</t>
        </is>
      </c>
      <c r="G248" s="2" t="inlineStr">
        <is>
          <t>记-149</t>
        </is>
      </c>
      <c r="H248" s="2" t="n"/>
      <c r="I248" s="104" t="n"/>
      <c r="J248" s="104" t="n">
        <v>7</v>
      </c>
      <c r="K248" s="1" t="n"/>
      <c r="L248" s="104" t="n"/>
      <c r="M248" s="2" t="n"/>
    </row>
    <row r="249" s="83">
      <c r="A249" s="2" t="inlineStr">
        <is>
          <t>100201</t>
        </is>
      </c>
      <c r="B249" s="2" t="n"/>
      <c r="C249" s="2" t="inlineStr">
        <is>
          <t>2025-07-18</t>
        </is>
      </c>
      <c r="D249" s="2" t="inlineStr">
        <is>
          <t>Q2802</t>
        </is>
      </c>
      <c r="E249" s="2" t="n"/>
      <c r="F249" s="2" t="inlineStr">
        <is>
          <t>浙江精准学科技有限公司</t>
        </is>
      </c>
      <c r="G249" s="2" t="inlineStr">
        <is>
          <t>记-172</t>
        </is>
      </c>
      <c r="H249" s="2" t="n"/>
      <c r="I249" s="104" t="n"/>
      <c r="J249" s="104" t="n">
        <v>7</v>
      </c>
      <c r="K249" s="1" t="n"/>
      <c r="L249" s="104" t="n"/>
      <c r="M249" s="2" t="n"/>
    </row>
    <row r="250" s="83">
      <c r="A250" s="2" t="inlineStr">
        <is>
          <t>100201</t>
        </is>
      </c>
      <c r="B250" s="2" t="n"/>
      <c r="C250" s="2" t="inlineStr">
        <is>
          <t>2025-07-18</t>
        </is>
      </c>
      <c r="D250" s="2" t="inlineStr">
        <is>
          <t>Q2802</t>
        </is>
      </c>
      <c r="E250" s="2" t="n"/>
      <c r="F250" s="2" t="inlineStr">
        <is>
          <t>浙江精准学科技有限公司</t>
        </is>
      </c>
      <c r="G250" s="2" t="inlineStr">
        <is>
          <t>记-173</t>
        </is>
      </c>
      <c r="H250" s="2" t="n"/>
      <c r="I250" s="104" t="n"/>
      <c r="J250" s="104" t="n">
        <v>7</v>
      </c>
      <c r="K250" s="1" t="n"/>
      <c r="L250" s="104" t="n"/>
      <c r="M250" s="2" t="n"/>
    </row>
    <row r="251" s="83">
      <c r="A251" s="2" t="inlineStr">
        <is>
          <t>100201</t>
        </is>
      </c>
      <c r="B251" s="2" t="n"/>
      <c r="C251" s="2" t="inlineStr">
        <is>
          <t>2025-07-23</t>
        </is>
      </c>
      <c r="D251" s="2" t="inlineStr">
        <is>
          <t>Q2802</t>
        </is>
      </c>
      <c r="E251" s="2" t="n"/>
      <c r="F251" s="2" t="inlineStr">
        <is>
          <t>浙江精准学科技有限公司</t>
        </is>
      </c>
      <c r="G251" s="2" t="inlineStr">
        <is>
          <t>记-201</t>
        </is>
      </c>
      <c r="H251" s="2" t="n"/>
      <c r="I251" s="104" t="n"/>
      <c r="J251" s="104" t="n">
        <v>7</v>
      </c>
      <c r="K251" s="1" t="n"/>
      <c r="L251" s="104" t="n"/>
      <c r="M251" s="2" t="n"/>
    </row>
    <row r="252" s="83">
      <c r="A252" s="2" t="inlineStr">
        <is>
          <t>100201</t>
        </is>
      </c>
      <c r="B252" s="2" t="n"/>
      <c r="C252" s="2" t="inlineStr">
        <is>
          <t>2025-07-28</t>
        </is>
      </c>
      <c r="D252" s="2" t="inlineStr">
        <is>
          <t>Q2802</t>
        </is>
      </c>
      <c r="E252" s="2" t="n"/>
      <c r="F252" s="2" t="inlineStr">
        <is>
          <t>浙江精准学科技有限公司</t>
        </is>
      </c>
      <c r="G252" s="2" t="inlineStr">
        <is>
          <t>记-242</t>
        </is>
      </c>
      <c r="H252" s="2" t="n"/>
      <c r="I252" s="104" t="n"/>
      <c r="J252" s="104" t="n">
        <v>7</v>
      </c>
      <c r="K252" s="1" t="n"/>
      <c r="L252" s="104" t="n"/>
      <c r="M252" s="2" t="n"/>
    </row>
    <row r="253" s="83">
      <c r="A253" s="2" t="inlineStr">
        <is>
          <t>100201</t>
        </is>
      </c>
      <c r="B253" s="2" t="n"/>
      <c r="C253" s="2" t="inlineStr">
        <is>
          <t>2025-07-04</t>
        </is>
      </c>
      <c r="D253" s="2" t="inlineStr">
        <is>
          <t>Q2805</t>
        </is>
      </c>
      <c r="E253" s="2" t="n"/>
      <c r="F253" s="2" t="inlineStr">
        <is>
          <t>浙江精准学科技有限公司</t>
        </is>
      </c>
      <c r="G253" s="2" t="inlineStr">
        <is>
          <t>记-32</t>
        </is>
      </c>
      <c r="H253" s="2" t="n"/>
      <c r="I253" s="104" t="n"/>
      <c r="J253" s="104" t="n">
        <v>7</v>
      </c>
      <c r="K253" s="1" t="n"/>
      <c r="L253" s="104" t="n"/>
      <c r="M253" s="2" t="n"/>
    </row>
    <row r="254" s="83">
      <c r="A254" s="2" t="inlineStr">
        <is>
          <t>100201</t>
        </is>
      </c>
      <c r="B254" s="2" t="n"/>
      <c r="C254" s="2" t="inlineStr">
        <is>
          <t>2025-07-10</t>
        </is>
      </c>
      <c r="D254" s="2" t="inlineStr">
        <is>
          <t>Q2805</t>
        </is>
      </c>
      <c r="E254" s="2" t="n"/>
      <c r="F254" s="2" t="inlineStr">
        <is>
          <t>浙江精准学科技有限公司</t>
        </is>
      </c>
      <c r="G254" s="2" t="inlineStr">
        <is>
          <t>记-86</t>
        </is>
      </c>
      <c r="H254" s="2" t="n"/>
      <c r="I254" s="104" t="n"/>
      <c r="J254" s="104" t="n">
        <v>7</v>
      </c>
      <c r="K254" s="1" t="n"/>
      <c r="L254" s="104" t="n"/>
      <c r="M254" s="2" t="n"/>
    </row>
    <row r="255" s="83">
      <c r="A255" s="2" t="inlineStr">
        <is>
          <t>100201</t>
        </is>
      </c>
      <c r="B255" s="2" t="n"/>
      <c r="C255" s="2" t="inlineStr">
        <is>
          <t>2025-07-10</t>
        </is>
      </c>
      <c r="D255" s="2" t="inlineStr">
        <is>
          <t>Q2805</t>
        </is>
      </c>
      <c r="E255" s="2" t="n"/>
      <c r="F255" s="2" t="inlineStr">
        <is>
          <t>浙江精准学科技有限公司</t>
        </is>
      </c>
      <c r="G255" s="2" t="inlineStr">
        <is>
          <t>记-87</t>
        </is>
      </c>
      <c r="H255" s="2" t="n"/>
      <c r="I255" s="104" t="n"/>
      <c r="J255" s="104" t="n">
        <v>7</v>
      </c>
      <c r="K255" s="1" t="n"/>
      <c r="L255" s="104" t="n"/>
      <c r="M255" s="2" t="n"/>
    </row>
    <row r="256" s="83">
      <c r="A256" s="2" t="inlineStr">
        <is>
          <t>100201</t>
        </is>
      </c>
      <c r="B256" s="2" t="n"/>
      <c r="C256" s="2" t="inlineStr">
        <is>
          <t>2025-07-10</t>
        </is>
      </c>
      <c r="D256" s="2" t="inlineStr">
        <is>
          <t>Q2805</t>
        </is>
      </c>
      <c r="E256" s="2" t="n"/>
      <c r="F256" s="2" t="inlineStr">
        <is>
          <t>浙江精准学科技有限公司</t>
        </is>
      </c>
      <c r="G256" s="2" t="inlineStr">
        <is>
          <t>记-88</t>
        </is>
      </c>
      <c r="H256" s="2" t="n"/>
      <c r="I256" s="104" t="n"/>
      <c r="J256" s="104" t="n">
        <v>7</v>
      </c>
      <c r="K256" s="1" t="n"/>
      <c r="L256" s="104" t="n"/>
      <c r="M256" s="2" t="n"/>
    </row>
    <row r="257" s="83">
      <c r="A257" s="2" t="inlineStr">
        <is>
          <t>100201</t>
        </is>
      </c>
      <c r="B257" s="2" t="n"/>
      <c r="C257" s="2" t="inlineStr">
        <is>
          <t>2025-07-10</t>
        </is>
      </c>
      <c r="D257" s="2" t="inlineStr">
        <is>
          <t>Q2805</t>
        </is>
      </c>
      <c r="E257" s="2" t="n"/>
      <c r="F257" s="2" t="inlineStr">
        <is>
          <t>浙江精准学科技有限公司</t>
        </is>
      </c>
      <c r="G257" s="2" t="inlineStr">
        <is>
          <t>记-89</t>
        </is>
      </c>
      <c r="H257" s="2" t="n"/>
      <c r="I257" s="104" t="n"/>
      <c r="J257" s="104" t="n">
        <v>7</v>
      </c>
      <c r="K257" s="1" t="n"/>
      <c r="L257" s="104" t="n"/>
      <c r="M257" s="2" t="n"/>
    </row>
    <row r="258" s="83">
      <c r="A258" s="2" t="inlineStr">
        <is>
          <t>100201</t>
        </is>
      </c>
      <c r="B258" s="2" t="n"/>
      <c r="C258" s="2" t="inlineStr">
        <is>
          <t>2025-07-18</t>
        </is>
      </c>
      <c r="D258" s="2" t="inlineStr">
        <is>
          <t>Q2806</t>
        </is>
      </c>
      <c r="E258" s="2" t="n"/>
      <c r="F258" s="2" t="inlineStr">
        <is>
          <t>浙江精准学科技有限公司</t>
        </is>
      </c>
      <c r="G258" s="2" t="inlineStr">
        <is>
          <t>记-168</t>
        </is>
      </c>
      <c r="H258" s="2" t="n"/>
      <c r="I258" s="104" t="n"/>
      <c r="J258" s="104" t="n">
        <v>7</v>
      </c>
      <c r="K258" s="1" t="n"/>
      <c r="L258" s="104" t="n"/>
      <c r="M258" s="2" t="n"/>
    </row>
    <row r="259" s="83">
      <c r="A259" s="2" t="inlineStr">
        <is>
          <t>100201</t>
        </is>
      </c>
      <c r="B259" s="2" t="n"/>
      <c r="C259" s="2" t="inlineStr">
        <is>
          <t>2025-07-31</t>
        </is>
      </c>
      <c r="D259" s="2" t="inlineStr">
        <is>
          <t>Q2903</t>
        </is>
      </c>
      <c r="E259" s="2" t="n"/>
      <c r="F259" s="2" t="inlineStr">
        <is>
          <t>浙江精准学科技有限公司</t>
        </is>
      </c>
      <c r="G259" s="2" t="inlineStr">
        <is>
          <t>记-265</t>
        </is>
      </c>
      <c r="H259" s="2" t="n"/>
      <c r="I259" s="104" t="n"/>
      <c r="J259" s="104" t="n">
        <v>7</v>
      </c>
      <c r="K259" s="1" t="n"/>
      <c r="L259" s="104" t="n"/>
      <c r="M259" s="2" t="n"/>
    </row>
    <row r="260" s="83">
      <c r="A260" s="2" t="inlineStr">
        <is>
          <t>100201</t>
        </is>
      </c>
      <c r="B260" s="2" t="n"/>
      <c r="C260" s="2" t="inlineStr">
        <is>
          <t>2025-07-04</t>
        </is>
      </c>
      <c r="D260" s="2" t="inlineStr">
        <is>
          <t>Q2904</t>
        </is>
      </c>
      <c r="E260" s="2" t="n"/>
      <c r="F260" s="2" t="inlineStr">
        <is>
          <t>浙江精准学科技有限公司</t>
        </is>
      </c>
      <c r="G260" s="2" t="inlineStr">
        <is>
          <t>记-28</t>
        </is>
      </c>
      <c r="H260" s="2" t="n"/>
      <c r="I260" s="104" t="n"/>
      <c r="J260" s="104" t="n">
        <v>7</v>
      </c>
      <c r="K260" s="1" t="n"/>
      <c r="L260" s="104" t="n"/>
      <c r="M260" s="2" t="n"/>
    </row>
    <row r="261" s="83">
      <c r="A261" s="2" t="inlineStr">
        <is>
          <t>100201</t>
        </is>
      </c>
      <c r="B261" s="2" t="n"/>
      <c r="C261" s="2" t="inlineStr">
        <is>
          <t>2025-07-15</t>
        </is>
      </c>
      <c r="D261" s="2" t="inlineStr">
        <is>
          <t>Q2905</t>
        </is>
      </c>
      <c r="E261" s="2" t="n"/>
      <c r="F261" s="2" t="inlineStr">
        <is>
          <t>浙江精准学科技有限公司</t>
        </is>
      </c>
      <c r="G261" s="2" t="inlineStr">
        <is>
          <t>记-138</t>
        </is>
      </c>
      <c r="H261" s="2" t="n"/>
      <c r="I261" s="104" t="n"/>
      <c r="J261" s="104" t="n">
        <v>7</v>
      </c>
      <c r="K261" s="1" t="n"/>
      <c r="L261" s="104" t="n"/>
      <c r="M261" s="2" t="n"/>
    </row>
    <row r="262" s="83">
      <c r="A262" s="2" t="inlineStr">
        <is>
          <t>100201</t>
        </is>
      </c>
      <c r="B262" s="2" t="n"/>
      <c r="C262" s="2" t="inlineStr">
        <is>
          <t>2025-07-01</t>
        </is>
      </c>
      <c r="D262" s="2" t="inlineStr">
        <is>
          <t>Q2907</t>
        </is>
      </c>
      <c r="E262" s="2" t="n"/>
      <c r="F262" s="2" t="inlineStr">
        <is>
          <t>浙江精准学科技有限公司</t>
        </is>
      </c>
      <c r="G262" s="2" t="inlineStr">
        <is>
          <t>记-3</t>
        </is>
      </c>
      <c r="H262" s="2" t="n"/>
      <c r="I262" s="104" t="n"/>
      <c r="J262" s="104" t="n">
        <v>7</v>
      </c>
      <c r="K262" s="1" t="n"/>
      <c r="L262" s="104" t="n"/>
      <c r="M262" s="2" t="n"/>
    </row>
    <row r="263" s="83">
      <c r="A263" s="2" t="inlineStr">
        <is>
          <t>100201</t>
        </is>
      </c>
      <c r="B263" s="2" t="n"/>
      <c r="C263" s="2" t="inlineStr">
        <is>
          <t>2025-07-04</t>
        </is>
      </c>
      <c r="D263" s="2" t="inlineStr">
        <is>
          <t>Q2907</t>
        </is>
      </c>
      <c r="E263" s="2" t="n"/>
      <c r="F263" s="2" t="inlineStr">
        <is>
          <t>浙江精准学科技有限公司</t>
        </is>
      </c>
      <c r="G263" s="2" t="inlineStr">
        <is>
          <t>记-33</t>
        </is>
      </c>
      <c r="H263" s="2" t="n"/>
      <c r="I263" s="104" t="n"/>
      <c r="J263" s="104" t="n">
        <v>7</v>
      </c>
      <c r="K263" s="1" t="n"/>
      <c r="L263" s="104" t="n"/>
      <c r="M263" s="2" t="n"/>
    </row>
    <row r="264" s="83">
      <c r="A264" s="2" t="inlineStr">
        <is>
          <t>100201</t>
        </is>
      </c>
      <c r="B264" s="2" t="n"/>
      <c r="C264" s="2" t="inlineStr">
        <is>
          <t>2025-07-04</t>
        </is>
      </c>
      <c r="D264" s="2" t="inlineStr">
        <is>
          <t>Q2907</t>
        </is>
      </c>
      <c r="E264" s="2" t="n"/>
      <c r="F264" s="2" t="inlineStr">
        <is>
          <t>浙江精准学科技有限公司</t>
        </is>
      </c>
      <c r="G264" s="2" t="inlineStr">
        <is>
          <t>记-37</t>
        </is>
      </c>
      <c r="H264" s="2" t="n"/>
      <c r="I264" s="104" t="n"/>
      <c r="J264" s="104" t="n">
        <v>7</v>
      </c>
      <c r="K264" s="1" t="n"/>
      <c r="L264" s="104" t="n"/>
      <c r="M264" s="2" t="n"/>
    </row>
    <row r="265" s="83">
      <c r="A265" s="2" t="inlineStr">
        <is>
          <t>100201</t>
        </is>
      </c>
      <c r="B265" s="2" t="n"/>
      <c r="C265" s="2" t="inlineStr">
        <is>
          <t>2025-07-07</t>
        </is>
      </c>
      <c r="D265" s="2" t="inlineStr">
        <is>
          <t>Q2907</t>
        </is>
      </c>
      <c r="E265" s="2" t="n"/>
      <c r="F265" s="2" t="inlineStr">
        <is>
          <t>浙江精准学科技有限公司</t>
        </is>
      </c>
      <c r="G265" s="2" t="inlineStr">
        <is>
          <t>记-57</t>
        </is>
      </c>
      <c r="H265" s="2" t="n"/>
      <c r="I265" s="104" t="n"/>
      <c r="J265" s="104" t="n">
        <v>7</v>
      </c>
      <c r="K265" s="1" t="n"/>
      <c r="L265" s="104" t="n"/>
      <c r="M265" s="2" t="n"/>
    </row>
    <row r="266" s="83">
      <c r="A266" s="2" t="inlineStr">
        <is>
          <t>100201</t>
        </is>
      </c>
      <c r="B266" s="2" t="n"/>
      <c r="C266" s="2" t="inlineStr">
        <is>
          <t>2025-07-07</t>
        </is>
      </c>
      <c r="D266" s="2" t="inlineStr">
        <is>
          <t>Q2907</t>
        </is>
      </c>
      <c r="E266" s="2" t="n"/>
      <c r="F266" s="2" t="inlineStr">
        <is>
          <t>浙江精准学科技有限公司</t>
        </is>
      </c>
      <c r="G266" s="2" t="inlineStr">
        <is>
          <t>记-60</t>
        </is>
      </c>
      <c r="H266" s="2" t="n"/>
      <c r="I266" s="104" t="n"/>
      <c r="J266" s="104" t="n">
        <v>7</v>
      </c>
      <c r="K266" s="1" t="n"/>
      <c r="L266" s="104" t="n"/>
      <c r="M266" s="2" t="n"/>
    </row>
    <row r="267" s="83">
      <c r="A267" s="2" t="inlineStr">
        <is>
          <t>100201</t>
        </is>
      </c>
      <c r="B267" s="2" t="n"/>
      <c r="C267" s="2" t="inlineStr">
        <is>
          <t>2025-07-09</t>
        </is>
      </c>
      <c r="D267" s="2" t="inlineStr">
        <is>
          <t>Q2907</t>
        </is>
      </c>
      <c r="E267" s="2" t="n"/>
      <c r="F267" s="2" t="inlineStr">
        <is>
          <t>浙江精准学科技有限公司</t>
        </is>
      </c>
      <c r="G267" s="2" t="inlineStr">
        <is>
          <t>记-79</t>
        </is>
      </c>
      <c r="H267" s="2" t="n"/>
      <c r="I267" s="104" t="n"/>
      <c r="J267" s="104" t="n">
        <v>7</v>
      </c>
      <c r="K267" s="1" t="n"/>
      <c r="L267" s="104" t="n"/>
      <c r="M267" s="2" t="n"/>
    </row>
    <row r="268" s="83">
      <c r="A268" s="2" t="inlineStr">
        <is>
          <t>100201</t>
        </is>
      </c>
      <c r="B268" s="2" t="n"/>
      <c r="C268" s="2" t="inlineStr">
        <is>
          <t>2025-07-10</t>
        </is>
      </c>
      <c r="D268" s="2" t="inlineStr">
        <is>
          <t>Q2907</t>
        </is>
      </c>
      <c r="E268" s="2" t="n"/>
      <c r="F268" s="2" t="inlineStr">
        <is>
          <t>浙江精准学科技有限公司</t>
        </is>
      </c>
      <c r="G268" s="2" t="inlineStr">
        <is>
          <t>记-85</t>
        </is>
      </c>
      <c r="H268" s="2" t="n"/>
      <c r="I268" s="104" t="n"/>
      <c r="J268" s="104" t="n">
        <v>7</v>
      </c>
      <c r="K268" s="1" t="n"/>
      <c r="L268" s="104" t="n"/>
      <c r="M268" s="2" t="n"/>
    </row>
    <row r="269" s="83">
      <c r="A269" s="2" t="inlineStr">
        <is>
          <t>100201</t>
        </is>
      </c>
      <c r="B269" s="2" t="n"/>
      <c r="C269" s="2" t="inlineStr">
        <is>
          <t>2025-07-11</t>
        </is>
      </c>
      <c r="D269" s="2" t="inlineStr">
        <is>
          <t>Q2907</t>
        </is>
      </c>
      <c r="E269" s="2" t="n"/>
      <c r="F269" s="2" t="inlineStr">
        <is>
          <t>浙江精准学科技有限公司</t>
        </is>
      </c>
      <c r="G269" s="2" t="inlineStr">
        <is>
          <t>记-101</t>
        </is>
      </c>
      <c r="H269" s="2" t="n"/>
      <c r="I269" s="104" t="n"/>
      <c r="J269" s="104" t="n">
        <v>7</v>
      </c>
      <c r="K269" s="1" t="n"/>
      <c r="L269" s="104" t="n"/>
      <c r="M269" s="2" t="n"/>
    </row>
    <row r="270" s="83">
      <c r="A270" s="2" t="inlineStr">
        <is>
          <t>100201</t>
        </is>
      </c>
      <c r="B270" s="2" t="n"/>
      <c r="C270" s="2" t="inlineStr">
        <is>
          <t>2025-07-15</t>
        </is>
      </c>
      <c r="D270" s="2" t="inlineStr">
        <is>
          <t>Q2907</t>
        </is>
      </c>
      <c r="E270" s="2" t="n"/>
      <c r="F270" s="2" t="inlineStr">
        <is>
          <t>浙江精准学科技有限公司</t>
        </is>
      </c>
      <c r="G270" s="2" t="inlineStr">
        <is>
          <t>记-135</t>
        </is>
      </c>
      <c r="H270" s="2" t="n"/>
      <c r="I270" s="104" t="n">
        <v>7</v>
      </c>
      <c r="J270" s="104" t="n"/>
      <c r="K270" s="1" t="n"/>
      <c r="L270" s="104" t="n"/>
      <c r="M270" s="2" t="n"/>
    </row>
    <row r="271" s="83">
      <c r="A271" s="2" t="inlineStr">
        <is>
          <t>100201</t>
        </is>
      </c>
      <c r="B271" s="2" t="n"/>
      <c r="C271" s="2" t="inlineStr">
        <is>
          <t>2025-07-17</t>
        </is>
      </c>
      <c r="D271" s="2" t="inlineStr">
        <is>
          <t>Q2907</t>
        </is>
      </c>
      <c r="E271" s="2" t="n"/>
      <c r="F271" s="2" t="inlineStr">
        <is>
          <t>浙江精准学科技有限公司</t>
        </is>
      </c>
      <c r="G271" s="2" t="inlineStr">
        <is>
          <t>记-153</t>
        </is>
      </c>
      <c r="H271" s="2" t="n"/>
      <c r="I271" s="104" t="n"/>
      <c r="J271" s="104" t="n">
        <v>7</v>
      </c>
      <c r="K271" s="1" t="n"/>
      <c r="L271" s="104" t="n"/>
      <c r="M271" s="2" t="n"/>
    </row>
    <row r="272" s="83">
      <c r="A272" s="2" t="inlineStr">
        <is>
          <t>100201</t>
        </is>
      </c>
      <c r="B272" s="2" t="n"/>
      <c r="C272" s="2" t="inlineStr">
        <is>
          <t>2025-07-23</t>
        </is>
      </c>
      <c r="D272" s="2" t="inlineStr">
        <is>
          <t>Q2907</t>
        </is>
      </c>
      <c r="E272" s="2" t="n"/>
      <c r="F272" s="2" t="inlineStr">
        <is>
          <t>浙江精准学科技有限公司</t>
        </is>
      </c>
      <c r="G272" s="2" t="inlineStr">
        <is>
          <t>记-200</t>
        </is>
      </c>
      <c r="H272" s="2" t="n"/>
      <c r="I272" s="104" t="n"/>
      <c r="J272" s="104" t="n">
        <v>7</v>
      </c>
      <c r="K272" s="1" t="n"/>
      <c r="L272" s="104" t="n"/>
      <c r="M272" s="2" t="n"/>
    </row>
    <row r="273" s="83">
      <c r="A273" s="2" t="inlineStr">
        <is>
          <t>100201</t>
        </is>
      </c>
      <c r="B273" s="2" t="n"/>
      <c r="C273" s="2" t="inlineStr">
        <is>
          <t>2025-07-24</t>
        </is>
      </c>
      <c r="D273" s="2" t="inlineStr">
        <is>
          <t>Q2907</t>
        </is>
      </c>
      <c r="E273" s="2" t="n"/>
      <c r="F273" s="2" t="inlineStr">
        <is>
          <t>浙江精准学科技有限公司</t>
        </is>
      </c>
      <c r="G273" s="2" t="inlineStr">
        <is>
          <t>记-213</t>
        </is>
      </c>
      <c r="H273" s="2" t="n"/>
      <c r="I273" s="104" t="n"/>
      <c r="J273" s="104" t="n">
        <v>7</v>
      </c>
      <c r="K273" s="1" t="n"/>
      <c r="L273" s="104" t="n"/>
      <c r="M273" s="2" t="n"/>
    </row>
    <row r="274" s="83">
      <c r="A274" s="2" t="inlineStr">
        <is>
          <t>100201</t>
        </is>
      </c>
      <c r="B274" s="2" t="n"/>
      <c r="C274" s="2" t="inlineStr">
        <is>
          <t>2025-07-25</t>
        </is>
      </c>
      <c r="D274" s="2" t="inlineStr">
        <is>
          <t>Q2907</t>
        </is>
      </c>
      <c r="E274" s="2" t="n"/>
      <c r="F274" s="2" t="inlineStr">
        <is>
          <t>浙江精准学科技有限公司</t>
        </is>
      </c>
      <c r="G274" s="2" t="inlineStr">
        <is>
          <t>记-227</t>
        </is>
      </c>
      <c r="H274" s="2" t="n"/>
      <c r="I274" s="104" t="n"/>
      <c r="J274" s="104" t="n">
        <v>7</v>
      </c>
      <c r="K274" s="1" t="n"/>
      <c r="L274" s="104" t="n"/>
      <c r="M274" s="2" t="n"/>
    </row>
    <row r="275" s="83">
      <c r="A275" s="2" t="inlineStr">
        <is>
          <t>100201</t>
        </is>
      </c>
      <c r="B275" s="2" t="n"/>
      <c r="C275" s="2" t="inlineStr">
        <is>
          <t>2025-07-28</t>
        </is>
      </c>
      <c r="D275" s="2" t="inlineStr">
        <is>
          <t>Q2907</t>
        </is>
      </c>
      <c r="E275" s="2" t="n"/>
      <c r="F275" s="2" t="inlineStr">
        <is>
          <t>浙江精准学科技有限公司</t>
        </is>
      </c>
      <c r="G275" s="2" t="inlineStr">
        <is>
          <t>记-239</t>
        </is>
      </c>
      <c r="H275" s="2" t="n"/>
      <c r="I275" s="104" t="n"/>
      <c r="J275" s="104" t="n">
        <v>7</v>
      </c>
      <c r="K275" s="1" t="n"/>
      <c r="L275" s="104" t="n"/>
      <c r="M275" s="2" t="n"/>
    </row>
    <row r="276" s="83">
      <c r="A276" s="2" t="inlineStr">
        <is>
          <t>100201</t>
        </is>
      </c>
      <c r="B276" s="2" t="n"/>
      <c r="C276" s="2" t="inlineStr">
        <is>
          <t>2025-07-28</t>
        </is>
      </c>
      <c r="D276" s="2" t="inlineStr">
        <is>
          <t>Q2907</t>
        </is>
      </c>
      <c r="E276" s="2" t="n"/>
      <c r="F276" s="2" t="inlineStr">
        <is>
          <t>浙江精准学科技有限公司</t>
        </is>
      </c>
      <c r="G276" s="2" t="inlineStr">
        <is>
          <t>记-244</t>
        </is>
      </c>
      <c r="H276" s="2" t="n"/>
      <c r="I276" s="104" t="n"/>
      <c r="J276" s="104" t="n">
        <v>7</v>
      </c>
      <c r="K276" s="1" t="n"/>
      <c r="L276" s="104" t="n"/>
      <c r="M276" s="2" t="n"/>
    </row>
    <row r="277" s="83">
      <c r="A277" s="2" t="inlineStr">
        <is>
          <t>100201</t>
        </is>
      </c>
      <c r="B277" s="2" t="n"/>
      <c r="C277" s="2" t="inlineStr">
        <is>
          <t>2025-07-30</t>
        </is>
      </c>
      <c r="D277" s="2" t="inlineStr">
        <is>
          <t>Q2907</t>
        </is>
      </c>
      <c r="E277" s="2" t="n"/>
      <c r="F277" s="2" t="inlineStr">
        <is>
          <t>浙江精准学科技有限公司</t>
        </is>
      </c>
      <c r="G277" s="2" t="inlineStr">
        <is>
          <t>记-253</t>
        </is>
      </c>
      <c r="H277" s="2" t="n"/>
      <c r="I277" s="104" t="n"/>
      <c r="J277" s="104" t="n">
        <v>7</v>
      </c>
      <c r="K277" s="1" t="n"/>
      <c r="L277" s="104" t="n"/>
      <c r="M277" s="2" t="n"/>
    </row>
    <row r="278" s="83">
      <c r="A278" s="2" t="inlineStr">
        <is>
          <t>100201</t>
        </is>
      </c>
      <c r="B278" s="2" t="n"/>
      <c r="C278" s="2" t="inlineStr">
        <is>
          <t>2025-07-04</t>
        </is>
      </c>
      <c r="D278" s="2" t="inlineStr">
        <is>
          <t>Q2908</t>
        </is>
      </c>
      <c r="E278" s="2" t="n"/>
      <c r="F278" s="2" t="inlineStr">
        <is>
          <t>浙江精准学科技有限公司</t>
        </is>
      </c>
      <c r="G278" s="2" t="inlineStr">
        <is>
          <t>记-35</t>
        </is>
      </c>
      <c r="H278" s="2" t="n"/>
      <c r="I278" s="104" t="n"/>
      <c r="J278" s="104" t="n">
        <v>7</v>
      </c>
      <c r="K278" s="1" t="n"/>
      <c r="L278" s="104" t="n"/>
      <c r="M278" s="2" t="n"/>
    </row>
    <row r="279" s="83">
      <c r="A279" s="2" t="inlineStr">
        <is>
          <t>100201</t>
        </is>
      </c>
      <c r="B279" s="2" t="n"/>
      <c r="C279" s="2" t="inlineStr">
        <is>
          <t>2025-07-25</t>
        </is>
      </c>
      <c r="D279" s="2" t="inlineStr">
        <is>
          <t>Q2908</t>
        </is>
      </c>
      <c r="E279" s="2" t="n"/>
      <c r="F279" s="2" t="inlineStr">
        <is>
          <t>浙江精准学科技有限公司</t>
        </is>
      </c>
      <c r="G279" s="2" t="inlineStr">
        <is>
          <t>记-222</t>
        </is>
      </c>
      <c r="H279" s="2" t="n"/>
      <c r="I279" s="104" t="n"/>
      <c r="J279" s="104" t="n">
        <v>7</v>
      </c>
      <c r="K279" s="1" t="n"/>
      <c r="L279" s="104" t="n"/>
      <c r="M279" s="2" t="n"/>
    </row>
    <row r="280" s="83">
      <c r="A280" s="2" t="inlineStr">
        <is>
          <t>100201</t>
        </is>
      </c>
      <c r="B280" s="2" t="n"/>
      <c r="C280" s="2" t="inlineStr">
        <is>
          <t>2025-07-14</t>
        </is>
      </c>
      <c r="D280" s="2" t="inlineStr">
        <is>
          <t>Q29010</t>
        </is>
      </c>
      <c r="E280" s="2" t="n"/>
      <c r="F280" s="2" t="inlineStr">
        <is>
          <t>浙江精准学科技有限公司</t>
        </is>
      </c>
      <c r="G280" s="2" t="inlineStr">
        <is>
          <t>记-125</t>
        </is>
      </c>
      <c r="H280" s="2" t="n"/>
      <c r="I280" s="104" t="n"/>
      <c r="J280" s="104" t="n">
        <v>7</v>
      </c>
      <c r="K280" s="1" t="n"/>
      <c r="L280" s="104" t="n"/>
      <c r="M280" s="2" t="n"/>
    </row>
    <row r="281" s="83">
      <c r="A281" s="2" t="inlineStr">
        <is>
          <t>100201</t>
        </is>
      </c>
      <c r="B281" s="2" t="n"/>
      <c r="C281" s="2" t="inlineStr">
        <is>
          <t>2025-07-15</t>
        </is>
      </c>
      <c r="D281" s="2" t="inlineStr">
        <is>
          <t>Q29010</t>
        </is>
      </c>
      <c r="E281" s="2" t="n"/>
      <c r="F281" s="2" t="inlineStr">
        <is>
          <t>浙江精准学科技有限公司</t>
        </is>
      </c>
      <c r="G281" s="2" t="inlineStr">
        <is>
          <t>记-137</t>
        </is>
      </c>
      <c r="H281" s="2" t="n"/>
      <c r="I281" s="104" t="n"/>
      <c r="J281" s="104" t="n">
        <v>7</v>
      </c>
      <c r="K281" s="1" t="n"/>
      <c r="L281" s="104" t="n"/>
      <c r="M281" s="2" t="n"/>
    </row>
    <row r="282" s="83">
      <c r="A282" s="2" t="inlineStr">
        <is>
          <t>100201</t>
        </is>
      </c>
      <c r="B282" s="2" t="n"/>
      <c r="C282" s="2" t="inlineStr">
        <is>
          <t>2025-07-18</t>
        </is>
      </c>
      <c r="D282" s="2" t="inlineStr">
        <is>
          <t>Q29010</t>
        </is>
      </c>
      <c r="E282" s="2" t="n"/>
      <c r="F282" s="2" t="inlineStr">
        <is>
          <t>浙江精准学科技有限公司</t>
        </is>
      </c>
      <c r="G282" s="2" t="inlineStr">
        <is>
          <t>记-164</t>
        </is>
      </c>
      <c r="H282" s="2" t="n"/>
      <c r="I282" s="104" t="n"/>
      <c r="J282" s="104" t="n">
        <v>7</v>
      </c>
      <c r="K282" s="1" t="n"/>
      <c r="L282" s="104" t="n"/>
      <c r="M282" s="2" t="n"/>
    </row>
    <row r="283" s="83">
      <c r="A283" s="2" t="inlineStr">
        <is>
          <t>100201</t>
        </is>
      </c>
      <c r="B283" s="2" t="n"/>
      <c r="C283" s="2" t="inlineStr">
        <is>
          <t>2025-07-18</t>
        </is>
      </c>
      <c r="D283" s="2" t="inlineStr">
        <is>
          <t>Q29010</t>
        </is>
      </c>
      <c r="E283" s="2" t="n"/>
      <c r="F283" s="2" t="inlineStr">
        <is>
          <t>浙江精准学科技有限公司</t>
        </is>
      </c>
      <c r="G283" s="2" t="inlineStr">
        <is>
          <t>记-168</t>
        </is>
      </c>
      <c r="H283" s="2" t="n"/>
      <c r="I283" s="104" t="n"/>
      <c r="J283" s="104" t="n">
        <v>7</v>
      </c>
      <c r="K283" s="1" t="n"/>
      <c r="L283" s="104" t="n"/>
      <c r="M283" s="2" t="n"/>
    </row>
    <row r="284" s="83">
      <c r="A284" s="2" t="inlineStr">
        <is>
          <t>100201</t>
        </is>
      </c>
      <c r="B284" s="2" t="n"/>
      <c r="C284" s="2" t="inlineStr">
        <is>
          <t>2025-07-24</t>
        </is>
      </c>
      <c r="D284" s="2" t="inlineStr">
        <is>
          <t>Q29010</t>
        </is>
      </c>
      <c r="E284" s="2" t="n"/>
      <c r="F284" s="2" t="inlineStr">
        <is>
          <t>浙江精准学科技有限公司</t>
        </is>
      </c>
      <c r="G284" s="2" t="inlineStr">
        <is>
          <t>记-212</t>
        </is>
      </c>
      <c r="H284" s="2" t="n"/>
      <c r="I284" s="104" t="n"/>
      <c r="J284" s="104" t="n">
        <v>7</v>
      </c>
      <c r="K284" s="1" t="n"/>
      <c r="L284" s="104" t="n"/>
      <c r="M284" s="2" t="n"/>
    </row>
    <row r="285" s="83">
      <c r="A285" s="2" t="inlineStr">
        <is>
          <t>100201</t>
        </is>
      </c>
      <c r="B285" s="2" t="n"/>
      <c r="C285" s="2" t="inlineStr">
        <is>
          <t>2025-07-13</t>
        </is>
      </c>
      <c r="D285" s="2" t="inlineStr">
        <is>
          <t>Q3003</t>
        </is>
      </c>
      <c r="E285" s="2" t="n"/>
      <c r="F285" s="2" t="inlineStr">
        <is>
          <t>浙江精准学科技有限公司</t>
        </is>
      </c>
      <c r="G285" s="2" t="inlineStr">
        <is>
          <t>记-116</t>
        </is>
      </c>
      <c r="H285" s="2" t="n"/>
      <c r="I285" s="104" t="n"/>
      <c r="J285" s="104" t="n">
        <v>7</v>
      </c>
      <c r="K285" s="1" t="n"/>
      <c r="L285" s="104" t="n"/>
      <c r="M285" s="2" t="n"/>
    </row>
    <row r="286" s="83">
      <c r="A286" s="2" t="inlineStr">
        <is>
          <t>100201</t>
        </is>
      </c>
      <c r="B286" s="2" t="n"/>
      <c r="C286" s="2" t="inlineStr">
        <is>
          <t>2025-07-07</t>
        </is>
      </c>
      <c r="D286" s="2" t="inlineStr">
        <is>
          <t>Q3101</t>
        </is>
      </c>
      <c r="E286" s="2" t="n"/>
      <c r="F286" s="2" t="inlineStr">
        <is>
          <t>浙江精准学科技有限公司</t>
        </is>
      </c>
      <c r="G286" s="2" t="inlineStr">
        <is>
          <t>记-52</t>
        </is>
      </c>
      <c r="H286" s="2" t="n"/>
      <c r="I286" s="104" t="n"/>
      <c r="J286" s="104" t="n">
        <v>7</v>
      </c>
      <c r="K286" s="1" t="n"/>
      <c r="L286" s="104" t="n"/>
      <c r="M286" s="2" t="n"/>
    </row>
    <row r="287" s="83">
      <c r="A287" s="2" t="inlineStr">
        <is>
          <t>101201</t>
        </is>
      </c>
      <c r="B287" s="2" t="n"/>
      <c r="C287" s="2" t="inlineStr">
        <is>
          <t>2025-07-08</t>
        </is>
      </c>
      <c r="D287" s="2" t="inlineStr">
        <is>
          <t>Q3101</t>
        </is>
      </c>
      <c r="E287" s="2" t="n"/>
      <c r="F287" s="2" t="inlineStr">
        <is>
          <t>浙江精准学科技有限公司</t>
        </is>
      </c>
      <c r="G287" s="2" t="inlineStr">
        <is>
          <t>记-71</t>
        </is>
      </c>
      <c r="H287" s="2" t="n"/>
      <c r="I287" s="104" t="n"/>
      <c r="J287" s="104" t="n">
        <v>7</v>
      </c>
      <c r="K287" s="1" t="n"/>
      <c r="L287" s="104" t="n"/>
      <c r="M287" s="2" t="n"/>
    </row>
    <row r="288" s="83">
      <c r="A288" s="2" t="inlineStr">
        <is>
          <t>101201</t>
        </is>
      </c>
      <c r="B288" s="2" t="n"/>
      <c r="C288" s="2" t="inlineStr">
        <is>
          <t>2025-07-14</t>
        </is>
      </c>
      <c r="D288" s="2" t="inlineStr">
        <is>
          <t>Q3101</t>
        </is>
      </c>
      <c r="E288" s="2" t="n"/>
      <c r="F288" s="2" t="inlineStr">
        <is>
          <t>浙江精准学科技有限公司</t>
        </is>
      </c>
      <c r="G288" s="2" t="inlineStr">
        <is>
          <t>记-129</t>
        </is>
      </c>
      <c r="H288" s="2" t="n"/>
      <c r="I288" s="104" t="n"/>
      <c r="J288" s="104" t="n">
        <v>7</v>
      </c>
      <c r="K288" s="1" t="n"/>
      <c r="L288" s="104" t="n"/>
      <c r="M288" s="2" t="n"/>
    </row>
    <row r="289" s="83">
      <c r="A289" s="2" t="inlineStr">
        <is>
          <t>100201</t>
        </is>
      </c>
      <c r="B289" s="2" t="n"/>
      <c r="C289" s="2" t="inlineStr">
        <is>
          <t>2025-07-18</t>
        </is>
      </c>
      <c r="D289" s="2" t="inlineStr">
        <is>
          <t>Q3101</t>
        </is>
      </c>
      <c r="E289" s="2" t="n"/>
      <c r="F289" s="2" t="inlineStr">
        <is>
          <t>浙江精准学科技有限公司</t>
        </is>
      </c>
      <c r="G289" s="2" t="inlineStr">
        <is>
          <t>记-163</t>
        </is>
      </c>
      <c r="H289" s="2" t="n"/>
      <c r="I289" s="104" t="n"/>
      <c r="J289" s="104" t="n">
        <v>7</v>
      </c>
      <c r="K289" s="1" t="n"/>
      <c r="L289" s="104" t="n"/>
      <c r="M289" s="2" t="n"/>
    </row>
    <row r="290" s="83">
      <c r="A290" s="2" t="inlineStr">
        <is>
          <t>100201</t>
        </is>
      </c>
      <c r="B290" s="2" t="n"/>
      <c r="C290" s="2" t="inlineStr">
        <is>
          <t>2025-07-24</t>
        </is>
      </c>
      <c r="D290" s="2" t="inlineStr">
        <is>
          <t>Q3101</t>
        </is>
      </c>
      <c r="E290" s="2" t="n"/>
      <c r="F290" s="2" t="inlineStr">
        <is>
          <t>浙江精准学科技有限公司</t>
        </is>
      </c>
      <c r="G290" s="2" t="inlineStr">
        <is>
          <t>记-205</t>
        </is>
      </c>
      <c r="H290" s="2" t="n"/>
      <c r="I290" s="104" t="n"/>
      <c r="J290" s="104" t="n">
        <v>7</v>
      </c>
      <c r="K290" s="1" t="n"/>
      <c r="L290" s="104" t="n"/>
      <c r="M290" s="2" t="n"/>
    </row>
    <row r="291" s="83">
      <c r="A291" s="2" t="inlineStr">
        <is>
          <t>100201</t>
        </is>
      </c>
      <c r="B291" s="2" t="n"/>
      <c r="C291" s="2" t="inlineStr">
        <is>
          <t>2025-07-31</t>
        </is>
      </c>
      <c r="D291" s="2" t="inlineStr">
        <is>
          <t>Q3101</t>
        </is>
      </c>
      <c r="E291" s="2" t="n"/>
      <c r="F291" s="2" t="inlineStr">
        <is>
          <t>浙江精准学科技有限公司</t>
        </is>
      </c>
      <c r="G291" s="2" t="inlineStr">
        <is>
          <t>记-258</t>
        </is>
      </c>
      <c r="H291" s="2" t="n"/>
      <c r="I291" s="104" t="n"/>
      <c r="J291" s="104" t="n">
        <v>7</v>
      </c>
      <c r="K291" s="1" t="n"/>
      <c r="L291" s="104" t="n"/>
      <c r="M291" s="2" t="n"/>
    </row>
    <row r="292" s="83">
      <c r="A292" s="2" t="inlineStr">
        <is>
          <t>101201</t>
        </is>
      </c>
      <c r="B292" s="2" t="n"/>
      <c r="C292" s="2" t="inlineStr">
        <is>
          <t>2025-07-31</t>
        </is>
      </c>
      <c r="D292" s="2" t="inlineStr">
        <is>
          <t>Q0103</t>
        </is>
      </c>
      <c r="E292" s="2" t="n"/>
      <c r="F292" s="2" t="inlineStr">
        <is>
          <t>浙江精准学科技有限公司</t>
        </is>
      </c>
      <c r="G292" s="2" t="inlineStr">
        <is>
          <t>记-272</t>
        </is>
      </c>
      <c r="H292" s="2" t="n"/>
      <c r="I292" s="104" t="n">
        <v>7</v>
      </c>
      <c r="J292" s="104" t="n"/>
      <c r="K292" s="1" t="n"/>
      <c r="L292" s="104" t="n"/>
      <c r="M292" s="2" t="n"/>
    </row>
    <row r="293" s="83">
      <c r="A293" s="2" t="inlineStr">
        <is>
          <t>101207</t>
        </is>
      </c>
      <c r="B293" s="2" t="n"/>
      <c r="C293" s="2" t="inlineStr">
        <is>
          <t>2025-07-31</t>
        </is>
      </c>
      <c r="D293" s="2" t="inlineStr">
        <is>
          <t>Q0103</t>
        </is>
      </c>
      <c r="E293" s="2" t="n"/>
      <c r="F293" s="2" t="inlineStr">
        <is>
          <t>浙江精准学科技有限公司</t>
        </is>
      </c>
      <c r="G293" s="2" t="inlineStr">
        <is>
          <t>记-273</t>
        </is>
      </c>
      <c r="H293" s="2" t="n"/>
      <c r="I293" s="104" t="n">
        <v>7</v>
      </c>
      <c r="J293" s="104" t="n"/>
      <c r="K293" s="1" t="n"/>
      <c r="L293" s="104" t="n"/>
      <c r="M293" s="2" t="n"/>
    </row>
    <row r="294" s="83">
      <c r="A294" s="2" t="inlineStr">
        <is>
          <t>101203</t>
        </is>
      </c>
      <c r="B294" s="2" t="n"/>
      <c r="C294" s="2" t="inlineStr">
        <is>
          <t>2025-07-31</t>
        </is>
      </c>
      <c r="D294" s="2" t="inlineStr">
        <is>
          <t>Q0103</t>
        </is>
      </c>
      <c r="E294" s="2" t="n"/>
      <c r="F294" s="2" t="inlineStr">
        <is>
          <t>浙江精准学科技有限公司</t>
        </is>
      </c>
      <c r="G294" s="2" t="inlineStr">
        <is>
          <t>记-274</t>
        </is>
      </c>
      <c r="H294" s="2" t="n"/>
      <c r="I294" s="104" t="n">
        <v>7</v>
      </c>
      <c r="J294" s="104" t="n"/>
      <c r="K294" s="1" t="n"/>
      <c r="L294" s="104" t="n"/>
      <c r="M294" s="2" t="n"/>
    </row>
    <row r="295" s="83">
      <c r="A295" s="2" t="inlineStr">
        <is>
          <t>101203</t>
        </is>
      </c>
      <c r="B295" s="2" t="n"/>
      <c r="C295" s="2" t="inlineStr">
        <is>
          <t>2025-07-31</t>
        </is>
      </c>
      <c r="D295" s="2" t="inlineStr">
        <is>
          <t>Q0103</t>
        </is>
      </c>
      <c r="E295" s="2" t="n"/>
      <c r="F295" s="2" t="inlineStr">
        <is>
          <t>浙江精准学科技有限公司</t>
        </is>
      </c>
      <c r="G295" s="2" t="inlineStr">
        <is>
          <t>记-275</t>
        </is>
      </c>
      <c r="H295" s="2" t="n"/>
      <c r="I295" s="104" t="n">
        <v>7</v>
      </c>
      <c r="J295" s="104" t="n"/>
      <c r="K295" s="1" t="n"/>
      <c r="L295" s="104" t="n"/>
      <c r="M295" s="2" t="n"/>
    </row>
    <row r="296" s="83">
      <c r="A296" s="2" t="inlineStr">
        <is>
          <t>101201</t>
        </is>
      </c>
      <c r="B296" s="2" t="n"/>
      <c r="C296" s="2" t="inlineStr">
        <is>
          <t>2025-07-31</t>
        </is>
      </c>
      <c r="D296" s="2" t="inlineStr">
        <is>
          <t>Q2204</t>
        </is>
      </c>
      <c r="E296" s="2" t="n"/>
      <c r="F296" s="2" t="inlineStr">
        <is>
          <t>浙江精准学科技有限公司</t>
        </is>
      </c>
      <c r="G296" s="2" t="inlineStr">
        <is>
          <t>记-272</t>
        </is>
      </c>
      <c r="H296" s="2" t="n"/>
      <c r="I296" s="104" t="n"/>
      <c r="J296" s="104" t="n">
        <v>7</v>
      </c>
      <c r="K296" s="1" t="n"/>
      <c r="L296" s="104" t="n"/>
      <c r="M296" s="2" t="n"/>
    </row>
    <row r="297" s="83">
      <c r="A297" s="2" t="inlineStr">
        <is>
          <t>101207</t>
        </is>
      </c>
      <c r="B297" s="2" t="n"/>
      <c r="C297" s="2" t="inlineStr">
        <is>
          <t>2025-07-31</t>
        </is>
      </c>
      <c r="D297" s="2" t="inlineStr">
        <is>
          <t>Q2204</t>
        </is>
      </c>
      <c r="E297" s="2" t="n"/>
      <c r="F297" s="2" t="inlineStr">
        <is>
          <t>浙江精准学科技有限公司</t>
        </is>
      </c>
      <c r="G297" s="2" t="inlineStr">
        <is>
          <t>记-273</t>
        </is>
      </c>
      <c r="H297" s="2" t="n"/>
      <c r="I297" s="104" t="n"/>
      <c r="J297" s="104" t="n">
        <v>7</v>
      </c>
      <c r="K297" s="1" t="n"/>
      <c r="L297" s="104" t="n"/>
      <c r="M297" s="2" t="n"/>
    </row>
    <row r="298" s="83">
      <c r="A298" s="2" t="inlineStr">
        <is>
          <t>101203</t>
        </is>
      </c>
      <c r="B298" s="2" t="n"/>
      <c r="C298" s="2" t="inlineStr">
        <is>
          <t>2025-07-31</t>
        </is>
      </c>
      <c r="D298" s="2" t="inlineStr">
        <is>
          <t>Q2204</t>
        </is>
      </c>
      <c r="E298" s="2" t="n"/>
      <c r="F298" s="2" t="inlineStr">
        <is>
          <t>浙江精准学科技有限公司</t>
        </is>
      </c>
      <c r="G298" s="2" t="inlineStr">
        <is>
          <t>记-274</t>
        </is>
      </c>
      <c r="H298" s="2" t="n"/>
      <c r="I298" s="104" t="n"/>
      <c r="J298" s="104" t="n">
        <v>7</v>
      </c>
      <c r="K298" s="1" t="n"/>
      <c r="L298" s="104" t="n"/>
      <c r="M298" s="2" t="n"/>
    </row>
    <row r="299" s="83">
      <c r="A299" s="2" t="inlineStr">
        <is>
          <t>101203</t>
        </is>
      </c>
      <c r="B299" s="2" t="n"/>
      <c r="C299" s="2" t="inlineStr">
        <is>
          <t>2025-07-31</t>
        </is>
      </c>
      <c r="D299" s="2" t="inlineStr">
        <is>
          <t>Q2204</t>
        </is>
      </c>
      <c r="E299" s="2" t="n"/>
      <c r="F299" s="2" t="inlineStr">
        <is>
          <t>浙江精准学科技有限公司</t>
        </is>
      </c>
      <c r="G299" s="2" t="inlineStr">
        <is>
          <t>记-275</t>
        </is>
      </c>
      <c r="H299" s="2" t="n"/>
      <c r="I299" s="104" t="n"/>
      <c r="J299" s="104" t="n">
        <v>7</v>
      </c>
      <c r="K299" s="1" t="n"/>
      <c r="L299" s="104" t="n"/>
      <c r="M299" s="2" t="n"/>
    </row>
    <row r="300" s="83">
      <c r="A300" s="2" t="inlineStr">
        <is>
          <t>101207</t>
        </is>
      </c>
      <c r="B300" s="2" t="n"/>
      <c r="C300" s="2" t="inlineStr">
        <is>
          <t>2025-07-31</t>
        </is>
      </c>
      <c r="D300" s="2" t="inlineStr">
        <is>
          <t>Q2205</t>
        </is>
      </c>
      <c r="E300" s="2" t="n"/>
      <c r="F300" s="2" t="inlineStr">
        <is>
          <t>浙江精准学科技有限公司</t>
        </is>
      </c>
      <c r="G300" s="2" t="inlineStr">
        <is>
          <t>记-273</t>
        </is>
      </c>
      <c r="H300" s="2" t="n"/>
      <c r="I300" s="104" t="n"/>
      <c r="J300" s="104" t="n">
        <v>7</v>
      </c>
      <c r="K300" s="1" t="n"/>
      <c r="L300" s="104" t="n"/>
      <c r="M300" s="2" t="n"/>
    </row>
    <row r="301" s="83">
      <c r="A301" s="2" t="inlineStr">
        <is>
          <t>101203</t>
        </is>
      </c>
      <c r="B301" s="2" t="n"/>
      <c r="C301" s="2" t="inlineStr">
        <is>
          <t>2025-07-31</t>
        </is>
      </c>
      <c r="D301" s="2" t="inlineStr">
        <is>
          <t>Q2205</t>
        </is>
      </c>
      <c r="E301" s="2" t="n"/>
      <c r="F301" s="2" t="inlineStr">
        <is>
          <t>浙江精准学科技有限公司</t>
        </is>
      </c>
      <c r="G301" s="2" t="inlineStr">
        <is>
          <t>记-274</t>
        </is>
      </c>
      <c r="H301" s="2" t="n"/>
      <c r="I301" s="104" t="n"/>
      <c r="J301" s="104" t="n">
        <v>7</v>
      </c>
      <c r="K301" s="1" t="n"/>
      <c r="L301" s="104" t="n"/>
      <c r="M301" s="2" t="n"/>
    </row>
    <row r="302" s="83">
      <c r="A302" s="2" t="inlineStr">
        <is>
          <t>101203</t>
        </is>
      </c>
      <c r="B302" s="2" t="n"/>
      <c r="C302" s="2" t="inlineStr">
        <is>
          <t>2025-07-31</t>
        </is>
      </c>
      <c r="D302" s="2" t="inlineStr">
        <is>
          <t>Q2205</t>
        </is>
      </c>
      <c r="E302" s="2" t="n"/>
      <c r="F302" s="2" t="inlineStr">
        <is>
          <t>浙江精准学科技有限公司</t>
        </is>
      </c>
      <c r="G302" s="2" t="inlineStr">
        <is>
          <t>记-275</t>
        </is>
      </c>
      <c r="H302" s="2" t="n"/>
      <c r="I302" s="104" t="n"/>
      <c r="J302" s="104" t="n">
        <v>7</v>
      </c>
      <c r="K302" s="1" t="n"/>
      <c r="L302" s="104" t="n"/>
      <c r="M302" s="2" t="n"/>
    </row>
    <row r="303" s="83">
      <c r="A303" s="2" t="inlineStr">
        <is>
          <t>101201</t>
        </is>
      </c>
      <c r="B303" s="2" t="n"/>
      <c r="C303" s="2" t="inlineStr">
        <is>
          <t>2025-07-31</t>
        </is>
      </c>
      <c r="D303" s="2" t="inlineStr">
        <is>
          <t>Q2207</t>
        </is>
      </c>
      <c r="E303" s="2" t="n"/>
      <c r="F303" s="2" t="inlineStr">
        <is>
          <t>浙江精准学科技有限公司</t>
        </is>
      </c>
      <c r="G303" s="2" t="inlineStr">
        <is>
          <t>记-272</t>
        </is>
      </c>
      <c r="H303" s="2" t="n"/>
      <c r="I303" s="104" t="n"/>
      <c r="J303" s="104" t="n">
        <v>7</v>
      </c>
      <c r="K303" s="1" t="n"/>
      <c r="L303" s="104" t="n"/>
      <c r="M303" s="2" t="n"/>
    </row>
    <row r="304" s="83">
      <c r="A304" s="2" t="inlineStr">
        <is>
          <t>101207</t>
        </is>
      </c>
      <c r="B304" s="2" t="n"/>
      <c r="C304" s="2" t="inlineStr">
        <is>
          <t>2025-07-31</t>
        </is>
      </c>
      <c r="D304" s="2" t="inlineStr">
        <is>
          <t>Q2207</t>
        </is>
      </c>
      <c r="E304" s="2" t="n"/>
      <c r="F304" s="2" t="inlineStr">
        <is>
          <t>浙江精准学科技有限公司</t>
        </is>
      </c>
      <c r="G304" s="2" t="inlineStr">
        <is>
          <t>记-273</t>
        </is>
      </c>
      <c r="H304" s="2" t="n"/>
      <c r="I304" s="104" t="n"/>
      <c r="J304" s="104" t="n">
        <v>7</v>
      </c>
      <c r="K304" s="1" t="n"/>
      <c r="L304" s="104" t="n"/>
      <c r="M304" s="2" t="n"/>
    </row>
    <row r="305" s="83">
      <c r="A305" s="2" t="inlineStr">
        <is>
          <t>101201</t>
        </is>
      </c>
      <c r="B305" s="2" t="n"/>
      <c r="C305" s="2" t="inlineStr">
        <is>
          <t>2025-07-31</t>
        </is>
      </c>
      <c r="D305" s="2" t="inlineStr">
        <is>
          <t>Q2208</t>
        </is>
      </c>
      <c r="E305" s="2" t="n"/>
      <c r="F305" s="2" t="inlineStr">
        <is>
          <t>浙江精准学科技有限公司</t>
        </is>
      </c>
      <c r="G305" s="2" t="inlineStr">
        <is>
          <t>记-272</t>
        </is>
      </c>
      <c r="H305" s="2" t="n"/>
      <c r="I305" s="104" t="n"/>
      <c r="J305" s="104" t="n">
        <v>7</v>
      </c>
      <c r="K305" s="1" t="n"/>
      <c r="L305" s="104" t="n"/>
      <c r="M305" s="2" t="n"/>
    </row>
    <row r="306" s="83">
      <c r="A306" s="2" t="inlineStr">
        <is>
          <t>101207</t>
        </is>
      </c>
      <c r="B306" s="2" t="n"/>
      <c r="C306" s="2" t="inlineStr">
        <is>
          <t>2025-07-31</t>
        </is>
      </c>
      <c r="D306" s="2" t="inlineStr">
        <is>
          <t>Q2208</t>
        </is>
      </c>
      <c r="E306" s="2" t="n"/>
      <c r="F306" s="2" t="inlineStr">
        <is>
          <t>浙江精准学科技有限公司</t>
        </is>
      </c>
      <c r="G306" s="2" t="inlineStr">
        <is>
          <t>记-273</t>
        </is>
      </c>
      <c r="H306" s="2" t="n"/>
      <c r="I306" s="104" t="n"/>
      <c r="J306" s="104" t="n">
        <v>7</v>
      </c>
      <c r="K306" s="1" t="n"/>
      <c r="L306" s="104" t="n"/>
      <c r="M306" s="2" t="n"/>
    </row>
    <row r="307" s="83">
      <c r="A307" s="2" t="inlineStr">
        <is>
          <t>100201</t>
        </is>
      </c>
      <c r="B307" s="2" t="n"/>
      <c r="C307" s="2" t="inlineStr">
        <is>
          <t>2025-07-04</t>
        </is>
      </c>
      <c r="D307" s="2" t="inlineStr">
        <is>
          <t>Q3201</t>
        </is>
      </c>
      <c r="E307" s="2" t="n"/>
      <c r="F307" s="2" t="inlineStr">
        <is>
          <t>浙江精准学科技有限公司</t>
        </is>
      </c>
      <c r="G307" s="2" t="inlineStr">
        <is>
          <t>记-42</t>
        </is>
      </c>
      <c r="H307" s="2" t="n"/>
      <c r="I307" s="104" t="n"/>
      <c r="J307" s="104" t="n">
        <v>7</v>
      </c>
      <c r="K307" s="1" t="n"/>
      <c r="L307" s="104" t="n"/>
      <c r="M307" s="2" t="n"/>
    </row>
    <row r="308" s="83">
      <c r="A308" s="2" t="inlineStr">
        <is>
          <t>100201</t>
        </is>
      </c>
      <c r="B308" s="2" t="n"/>
      <c r="C308" s="2" t="inlineStr">
        <is>
          <t>2025-07-15</t>
        </is>
      </c>
      <c r="D308" s="2" t="inlineStr">
        <is>
          <t>Q3204</t>
        </is>
      </c>
      <c r="E308" s="2" t="n"/>
      <c r="F308" s="2" t="inlineStr">
        <is>
          <t>浙江精准学科技有限公司</t>
        </is>
      </c>
      <c r="G308" s="2" t="inlineStr">
        <is>
          <t>记-140</t>
        </is>
      </c>
      <c r="H308" s="2" t="n"/>
      <c r="I308" s="104" t="n"/>
      <c r="J308" s="104" t="n">
        <v>7</v>
      </c>
      <c r="K308" s="1" t="n"/>
      <c r="L308" s="104" t="n"/>
      <c r="M308" s="2" t="n"/>
    </row>
    <row r="309" s="83">
      <c r="A309" s="2" t="inlineStr">
        <is>
          <t>100201</t>
        </is>
      </c>
      <c r="B309" s="2" t="n"/>
      <c r="C309" s="2" t="inlineStr">
        <is>
          <t>2025-07-24</t>
        </is>
      </c>
      <c r="D309" s="2" t="inlineStr">
        <is>
          <t>Q3204</t>
        </is>
      </c>
      <c r="E309" s="2" t="n"/>
      <c r="F309" s="2" t="inlineStr">
        <is>
          <t>浙江精准学科技有限公司</t>
        </is>
      </c>
      <c r="G309" s="2" t="inlineStr">
        <is>
          <t>记-211</t>
        </is>
      </c>
      <c r="H309" s="2" t="n"/>
      <c r="I309" s="104" t="n"/>
      <c r="J309" s="104" t="n">
        <v>7</v>
      </c>
      <c r="K309" s="1" t="n"/>
      <c r="L309" s="104" t="n"/>
      <c r="M309" s="2" t="n"/>
    </row>
    <row r="310" s="83">
      <c r="A310" s="2" t="inlineStr">
        <is>
          <t>100201</t>
        </is>
      </c>
      <c r="B310" s="2" t="n"/>
      <c r="C310" s="2" t="inlineStr">
        <is>
          <t>2025-07-02</t>
        </is>
      </c>
      <c r="D310" s="2" t="inlineStr">
        <is>
          <t>Q3205</t>
        </is>
      </c>
      <c r="E310" s="2" t="n"/>
      <c r="F310" s="2" t="inlineStr">
        <is>
          <t>浙江精准学科技有限公司</t>
        </is>
      </c>
      <c r="G310" s="2" t="inlineStr">
        <is>
          <t>记-15</t>
        </is>
      </c>
      <c r="H310" s="2" t="n"/>
      <c r="I310" s="104" t="n"/>
      <c r="J310" s="104" t="n">
        <v>7</v>
      </c>
      <c r="K310" s="1" t="n"/>
      <c r="L310" s="104" t="n"/>
      <c r="M310" s="2" t="n"/>
    </row>
    <row r="311" s="83">
      <c r="A311" s="2" t="inlineStr">
        <is>
          <t>100201</t>
        </is>
      </c>
      <c r="B311" s="2" t="n"/>
      <c r="C311" s="2" t="inlineStr">
        <is>
          <t>2025-07-07</t>
        </is>
      </c>
      <c r="D311" s="2" t="inlineStr">
        <is>
          <t>Q3205</t>
        </is>
      </c>
      <c r="E311" s="2" t="n"/>
      <c r="F311" s="2" t="inlineStr">
        <is>
          <t>浙江精准学科技有限公司</t>
        </is>
      </c>
      <c r="G311" s="2" t="inlineStr">
        <is>
          <t>记-55</t>
        </is>
      </c>
      <c r="H311" s="2" t="n"/>
      <c r="I311" s="104" t="n"/>
      <c r="J311" s="104" t="n">
        <v>7</v>
      </c>
      <c r="K311" s="1" t="n"/>
      <c r="L311" s="104" t="n"/>
      <c r="M311" s="2" t="n"/>
    </row>
    <row r="312" s="83">
      <c r="A312" s="2" t="inlineStr">
        <is>
          <t>100201</t>
        </is>
      </c>
      <c r="B312" s="2" t="n"/>
      <c r="C312" s="2" t="inlineStr">
        <is>
          <t>2025-07-14</t>
        </is>
      </c>
      <c r="D312" s="2" t="inlineStr">
        <is>
          <t>Q3205</t>
        </is>
      </c>
      <c r="E312" s="2" t="n"/>
      <c r="F312" s="2" t="inlineStr">
        <is>
          <t>浙江精准学科技有限公司</t>
        </is>
      </c>
      <c r="G312" s="2" t="inlineStr">
        <is>
          <t>记-123</t>
        </is>
      </c>
      <c r="H312" s="2" t="n"/>
      <c r="I312" s="104" t="n"/>
      <c r="J312" s="104" t="n">
        <v>7</v>
      </c>
      <c r="K312" s="1" t="n"/>
      <c r="L312" s="104" t="n"/>
      <c r="M312" s="2" t="n"/>
    </row>
    <row r="313" s="83">
      <c r="A313" s="2" t="inlineStr">
        <is>
          <t>100201</t>
        </is>
      </c>
      <c r="B313" s="2" t="n"/>
      <c r="C313" s="2" t="inlineStr">
        <is>
          <t>2025-07-18</t>
        </is>
      </c>
      <c r="D313" s="2" t="inlineStr">
        <is>
          <t>Q3205</t>
        </is>
      </c>
      <c r="E313" s="2" t="n"/>
      <c r="F313" s="2" t="inlineStr">
        <is>
          <t>浙江精准学科技有限公司</t>
        </is>
      </c>
      <c r="G313" s="2" t="inlineStr">
        <is>
          <t>记-167</t>
        </is>
      </c>
      <c r="H313" s="2" t="n"/>
      <c r="I313" s="104" t="n"/>
      <c r="J313" s="104" t="n">
        <v>7</v>
      </c>
      <c r="K313" s="1" t="n"/>
      <c r="L313" s="104" t="n"/>
      <c r="M313" s="2" t="n"/>
    </row>
    <row r="314" s="83">
      <c r="A314" s="2" t="inlineStr">
        <is>
          <t>100201</t>
        </is>
      </c>
      <c r="B314" s="2" t="n"/>
      <c r="C314" s="2" t="inlineStr">
        <is>
          <t>2025-07-28</t>
        </is>
      </c>
      <c r="D314" s="2" t="inlineStr">
        <is>
          <t>Q3205</t>
        </is>
      </c>
      <c r="E314" s="2" t="n"/>
      <c r="F314" s="2" t="inlineStr">
        <is>
          <t>浙江精准学科技有限公司</t>
        </is>
      </c>
      <c r="G314" s="2" t="inlineStr">
        <is>
          <t>记-241</t>
        </is>
      </c>
      <c r="H314" s="2" t="n"/>
      <c r="I314" s="104" t="n"/>
      <c r="J314" s="104" t="n">
        <v>7</v>
      </c>
      <c r="K314" s="1" t="n"/>
      <c r="L314" s="104" t="n"/>
      <c r="M314" s="2" t="n"/>
    </row>
    <row r="315" s="83">
      <c r="A315" s="2" t="inlineStr">
        <is>
          <t>100201</t>
        </is>
      </c>
      <c r="B315" s="2" t="n"/>
      <c r="C315" s="2" t="inlineStr">
        <is>
          <t>2025-07-30</t>
        </is>
      </c>
      <c r="D315" s="2" t="inlineStr">
        <is>
          <t>Q3205</t>
        </is>
      </c>
      <c r="E315" s="2" t="n"/>
      <c r="F315" s="2" t="inlineStr">
        <is>
          <t>浙江精准学科技有限公司</t>
        </is>
      </c>
      <c r="G315" s="2" t="inlineStr">
        <is>
          <t>记-240</t>
        </is>
      </c>
      <c r="H315" s="2" t="n"/>
      <c r="I315" s="104" t="n"/>
      <c r="J315" s="104" t="n">
        <v>7</v>
      </c>
      <c r="K315" s="1" t="n"/>
      <c r="L315" s="104" t="n"/>
      <c r="M315" s="2" t="n"/>
    </row>
    <row r="316" s="83">
      <c r="A316" s="2" t="inlineStr">
        <is>
          <t>100201</t>
        </is>
      </c>
      <c r="B316" s="2" t="n"/>
      <c r="C316" s="2" t="inlineStr">
        <is>
          <t>2025-07-04</t>
        </is>
      </c>
      <c r="D316" s="2" t="inlineStr">
        <is>
          <t>Q3206</t>
        </is>
      </c>
      <c r="E316" s="2" t="n"/>
      <c r="F316" s="2" t="inlineStr">
        <is>
          <t>浙江精准学科技有限公司</t>
        </is>
      </c>
      <c r="G316" s="2" t="inlineStr">
        <is>
          <t>记-41</t>
        </is>
      </c>
      <c r="H316" s="2" t="n"/>
      <c r="I316" s="104" t="n"/>
      <c r="J316" s="104" t="n">
        <v>7</v>
      </c>
      <c r="K316" s="1" t="n"/>
      <c r="L316" s="104" t="n"/>
      <c r="M316" s="2" t="n"/>
    </row>
    <row r="317" s="83">
      <c r="A317" s="2" t="inlineStr">
        <is>
          <t>100201</t>
        </is>
      </c>
      <c r="B317" s="2" t="n"/>
      <c r="C317" s="2" t="inlineStr">
        <is>
          <t>2025-07-14</t>
        </is>
      </c>
      <c r="D317" s="2" t="inlineStr">
        <is>
          <t>Q3206</t>
        </is>
      </c>
      <c r="E317" s="2" t="n"/>
      <c r="F317" s="2" t="inlineStr">
        <is>
          <t>浙江精准学科技有限公司</t>
        </is>
      </c>
      <c r="G317" s="2" t="inlineStr">
        <is>
          <t>记-122</t>
        </is>
      </c>
      <c r="H317" s="2" t="n"/>
      <c r="I317" s="104" t="n"/>
      <c r="J317" s="104" t="n">
        <v>7</v>
      </c>
      <c r="K317" s="1" t="n"/>
      <c r="L317" s="104" t="n"/>
      <c r="M317" s="2" t="n"/>
    </row>
    <row r="318" s="83">
      <c r="A318" s="2" t="inlineStr">
        <is>
          <t>100201</t>
        </is>
      </c>
      <c r="B318" s="2" t="n"/>
      <c r="C318" s="2" t="inlineStr">
        <is>
          <t>2025-07-14</t>
        </is>
      </c>
      <c r="D318" s="2" t="inlineStr">
        <is>
          <t>Q3206</t>
        </is>
      </c>
      <c r="E318" s="2" t="n"/>
      <c r="F318" s="2" t="inlineStr">
        <is>
          <t>浙江精准学科技有限公司</t>
        </is>
      </c>
      <c r="G318" s="2" t="inlineStr">
        <is>
          <t>记-124</t>
        </is>
      </c>
      <c r="H318" s="2" t="n"/>
      <c r="I318" s="104" t="n"/>
      <c r="J318" s="104" t="n">
        <v>7</v>
      </c>
      <c r="K318" s="1" t="n"/>
      <c r="L318" s="104" t="n"/>
      <c r="M318" s="2" t="n"/>
    </row>
    <row r="319" s="83">
      <c r="A319" s="2" t="inlineStr">
        <is>
          <t>100201</t>
        </is>
      </c>
      <c r="B319" s="2" t="n"/>
      <c r="C319" s="2" t="inlineStr">
        <is>
          <t>2025-07-24</t>
        </is>
      </c>
      <c r="D319" s="2" t="inlineStr">
        <is>
          <t>Q3206</t>
        </is>
      </c>
      <c r="E319" s="2" t="n"/>
      <c r="F319" s="2" t="inlineStr">
        <is>
          <t>浙江精准学科技有限公司</t>
        </is>
      </c>
      <c r="G319" s="2" t="inlineStr">
        <is>
          <t>记-214</t>
        </is>
      </c>
      <c r="H319" s="2" t="n"/>
      <c r="I319" s="104" t="n"/>
      <c r="J319" s="104" t="n">
        <v>7</v>
      </c>
      <c r="K319" s="1" t="n"/>
      <c r="L319" s="104" t="n"/>
      <c r="M319" s="2" t="n"/>
    </row>
    <row r="320" s="83">
      <c r="A320" s="2" t="inlineStr">
        <is>
          <t>100201</t>
        </is>
      </c>
      <c r="B320" s="2" t="n"/>
      <c r="C320" s="2" t="inlineStr">
        <is>
          <t>2025-07-24</t>
        </is>
      </c>
      <c r="D320" s="2" t="inlineStr">
        <is>
          <t>Q3206</t>
        </is>
      </c>
      <c r="E320" s="2" t="n"/>
      <c r="F320" s="2" t="inlineStr">
        <is>
          <t>浙江精准学科技有限公司</t>
        </is>
      </c>
      <c r="G320" s="2" t="inlineStr">
        <is>
          <t>记-215</t>
        </is>
      </c>
      <c r="H320" s="2" t="n"/>
      <c r="I320" s="104" t="n"/>
      <c r="J320" s="104" t="n">
        <v>7</v>
      </c>
      <c r="K320" s="1" t="n"/>
      <c r="L320" s="104" t="n"/>
      <c r="M320" s="2" t="n"/>
    </row>
    <row r="321" s="83">
      <c r="A321" s="2" t="inlineStr">
        <is>
          <t>100201</t>
        </is>
      </c>
      <c r="B321" s="2" t="n"/>
      <c r="C321" s="2" t="inlineStr">
        <is>
          <t>2025-07-24</t>
        </is>
      </c>
      <c r="D321" s="2" t="inlineStr">
        <is>
          <t>Q3206</t>
        </is>
      </c>
      <c r="E321" s="2" t="n"/>
      <c r="F321" s="2" t="inlineStr">
        <is>
          <t>浙江精准学科技有限公司</t>
        </is>
      </c>
      <c r="G321" s="2" t="inlineStr">
        <is>
          <t>记-216</t>
        </is>
      </c>
      <c r="H321" s="2" t="n"/>
      <c r="I321" s="104" t="n"/>
      <c r="J321" s="104" t="n">
        <v>7</v>
      </c>
      <c r="K321" s="1" t="n"/>
      <c r="L321" s="104" t="n"/>
      <c r="M321" s="2" t="n"/>
    </row>
    <row r="322" s="83">
      <c r="A322" s="2" t="inlineStr">
        <is>
          <t>101203</t>
        </is>
      </c>
      <c r="B322" s="2" t="n"/>
      <c r="C322" s="2" t="inlineStr">
        <is>
          <t>2025-07-01</t>
        </is>
      </c>
      <c r="D322" s="2" t="inlineStr">
        <is>
          <t>Else01</t>
        </is>
      </c>
      <c r="E322" s="2" t="n"/>
      <c r="F322" s="2" t="inlineStr">
        <is>
          <t>浙江精准学科技有限公司</t>
        </is>
      </c>
      <c r="G322" s="2" t="inlineStr">
        <is>
          <t>记-6</t>
        </is>
      </c>
      <c r="H322" s="2" t="n"/>
      <c r="I322" s="104" t="n">
        <v>7</v>
      </c>
      <c r="J322" s="104" t="n"/>
      <c r="K322" s="1" t="n"/>
      <c r="L322" s="104" t="n"/>
      <c r="M322" s="2" t="n"/>
    </row>
    <row r="323" s="83">
      <c r="A323" s="2" t="inlineStr">
        <is>
          <t>101207</t>
        </is>
      </c>
      <c r="B323" s="2" t="n"/>
      <c r="C323" s="2" t="inlineStr">
        <is>
          <t>2025-07-01</t>
        </is>
      </c>
      <c r="D323" s="2" t="inlineStr">
        <is>
          <t>Else01</t>
        </is>
      </c>
      <c r="E323" s="2" t="n"/>
      <c r="F323" s="2" t="inlineStr">
        <is>
          <t>浙江精准学科技有限公司</t>
        </is>
      </c>
      <c r="G323" s="2" t="inlineStr">
        <is>
          <t>记-6</t>
        </is>
      </c>
      <c r="H323" s="2" t="n"/>
      <c r="I323" s="104" t="n">
        <v>7</v>
      </c>
      <c r="J323" s="104" t="n"/>
      <c r="K323" s="1" t="n"/>
      <c r="L323" s="104" t="n"/>
      <c r="M323" s="2" t="n"/>
    </row>
    <row r="324" s="83">
      <c r="A324" s="2" t="inlineStr">
        <is>
          <t>101201</t>
        </is>
      </c>
      <c r="B324" s="2" t="n"/>
      <c r="C324" s="2" t="inlineStr">
        <is>
          <t>2025-07-01</t>
        </is>
      </c>
      <c r="D324" s="2" t="inlineStr">
        <is>
          <t>Else01</t>
        </is>
      </c>
      <c r="E324" s="2" t="n"/>
      <c r="F324" s="2" t="inlineStr">
        <is>
          <t>浙江精准学科技有限公司</t>
        </is>
      </c>
      <c r="G324" s="2" t="inlineStr">
        <is>
          <t>记-6</t>
        </is>
      </c>
      <c r="H324" s="2" t="n"/>
      <c r="I324" s="104" t="n">
        <v>7</v>
      </c>
      <c r="J324" s="104" t="n"/>
      <c r="K324" s="1" t="n"/>
      <c r="L324" s="104" t="n"/>
      <c r="M324" s="2" t="n"/>
    </row>
    <row r="325" s="83">
      <c r="A325" s="2" t="inlineStr">
        <is>
          <t>101203</t>
        </is>
      </c>
      <c r="B325" s="2" t="n"/>
      <c r="C325" s="2" t="inlineStr">
        <is>
          <t>2025-07-01</t>
        </is>
      </c>
      <c r="D325" s="2" t="inlineStr">
        <is>
          <t>Else01</t>
        </is>
      </c>
      <c r="E325" s="2" t="n"/>
      <c r="F325" s="2" t="inlineStr">
        <is>
          <t>浙江精准学科技有限公司</t>
        </is>
      </c>
      <c r="G325" s="2" t="inlineStr">
        <is>
          <t>记-6</t>
        </is>
      </c>
      <c r="H325" s="2" t="n"/>
      <c r="I325" s="104" t="n">
        <v>7</v>
      </c>
      <c r="J325" s="104" t="n"/>
      <c r="K325" s="1" t="n"/>
      <c r="L325" s="104" t="n"/>
      <c r="M325" s="2" t="n"/>
    </row>
    <row r="326" s="83">
      <c r="A326" s="2" t="inlineStr">
        <is>
          <t>101203</t>
        </is>
      </c>
      <c r="B326" s="2" t="n"/>
      <c r="C326" s="2" t="inlineStr">
        <is>
          <t>2025-07-01</t>
        </is>
      </c>
      <c r="D326" s="2" t="inlineStr">
        <is>
          <t>Else01</t>
        </is>
      </c>
      <c r="E326" s="2" t="n"/>
      <c r="F326" s="2" t="inlineStr">
        <is>
          <t>浙江精准学科技有限公司</t>
        </is>
      </c>
      <c r="G326" s="2" t="inlineStr">
        <is>
          <t>记-7</t>
        </is>
      </c>
      <c r="H326" s="2" t="n"/>
      <c r="I326" s="104" t="n"/>
      <c r="J326" s="104" t="n">
        <v>7</v>
      </c>
      <c r="K326" s="1" t="n"/>
      <c r="L326" s="104" t="n"/>
      <c r="M326" s="2" t="n"/>
    </row>
    <row r="327" s="83">
      <c r="A327" s="2" t="inlineStr">
        <is>
          <t>101207</t>
        </is>
      </c>
      <c r="B327" s="2" t="n"/>
      <c r="C327" s="2" t="inlineStr">
        <is>
          <t>2025-07-01</t>
        </is>
      </c>
      <c r="D327" s="2" t="inlineStr">
        <is>
          <t>Else01</t>
        </is>
      </c>
      <c r="E327" s="2" t="n"/>
      <c r="F327" s="2" t="inlineStr">
        <is>
          <t>浙江精准学科技有限公司</t>
        </is>
      </c>
      <c r="G327" s="2" t="inlineStr">
        <is>
          <t>记-7</t>
        </is>
      </c>
      <c r="H327" s="2" t="n"/>
      <c r="I327" s="104" t="n"/>
      <c r="J327" s="104" t="n">
        <v>7</v>
      </c>
      <c r="K327" s="1" t="n"/>
      <c r="L327" s="104" t="n"/>
      <c r="M327" s="2" t="n"/>
    </row>
    <row r="328" s="83">
      <c r="A328" s="2" t="inlineStr">
        <is>
          <t>101201</t>
        </is>
      </c>
      <c r="B328" s="2" t="n"/>
      <c r="C328" s="2" t="inlineStr">
        <is>
          <t>2025-07-01</t>
        </is>
      </c>
      <c r="D328" s="2" t="inlineStr">
        <is>
          <t>Else01</t>
        </is>
      </c>
      <c r="E328" s="2" t="n"/>
      <c r="F328" s="2" t="inlineStr">
        <is>
          <t>浙江精准学科技有限公司</t>
        </is>
      </c>
      <c r="G328" s="2" t="inlineStr">
        <is>
          <t>记-7</t>
        </is>
      </c>
      <c r="H328" s="2" t="n"/>
      <c r="I328" s="104" t="n"/>
      <c r="J328" s="104" t="n">
        <v>7</v>
      </c>
      <c r="K328" s="1" t="n"/>
      <c r="L328" s="104" t="n"/>
      <c r="M328" s="2" t="n"/>
    </row>
    <row r="329" s="83">
      <c r="A329" s="2" t="inlineStr">
        <is>
          <t>101203</t>
        </is>
      </c>
      <c r="B329" s="2" t="n"/>
      <c r="C329" s="2" t="inlineStr">
        <is>
          <t>2025-07-01</t>
        </is>
      </c>
      <c r="D329" s="2" t="inlineStr">
        <is>
          <t>Else01</t>
        </is>
      </c>
      <c r="E329" s="2" t="n"/>
      <c r="F329" s="2" t="inlineStr">
        <is>
          <t>浙江精准学科技有限公司</t>
        </is>
      </c>
      <c r="G329" s="2" t="inlineStr">
        <is>
          <t>记-7</t>
        </is>
      </c>
      <c r="H329" s="2" t="n"/>
      <c r="I329" s="104" t="n"/>
      <c r="J329" s="104" t="n">
        <v>7</v>
      </c>
      <c r="K329" s="1" t="n"/>
      <c r="L329" s="104" t="n"/>
      <c r="M329" s="2" t="n"/>
    </row>
    <row r="330" s="83">
      <c r="A330" s="2" t="inlineStr">
        <is>
          <t>101203</t>
        </is>
      </c>
      <c r="B330" s="2" t="n"/>
      <c r="C330" s="2" t="inlineStr">
        <is>
          <t>2025-07-02</t>
        </is>
      </c>
      <c r="D330" s="2" t="inlineStr">
        <is>
          <t>Else01</t>
        </is>
      </c>
      <c r="E330" s="2" t="n"/>
      <c r="F330" s="2" t="inlineStr">
        <is>
          <t>浙江精准学科技有限公司</t>
        </is>
      </c>
      <c r="G330" s="2" t="inlineStr">
        <is>
          <t>记-17</t>
        </is>
      </c>
      <c r="H330" s="2" t="n"/>
      <c r="I330" s="104" t="n">
        <v>7</v>
      </c>
      <c r="J330" s="104" t="n"/>
      <c r="K330" s="1" t="n"/>
      <c r="L330" s="104" t="n"/>
      <c r="M330" s="2" t="n"/>
    </row>
    <row r="331" s="83">
      <c r="A331" s="2" t="inlineStr">
        <is>
          <t>101207</t>
        </is>
      </c>
      <c r="B331" s="2" t="n"/>
      <c r="C331" s="2" t="inlineStr">
        <is>
          <t>2025-07-02</t>
        </is>
      </c>
      <c r="D331" s="2" t="inlineStr">
        <is>
          <t>Else01</t>
        </is>
      </c>
      <c r="E331" s="2" t="n"/>
      <c r="F331" s="2" t="inlineStr">
        <is>
          <t>浙江精准学科技有限公司</t>
        </is>
      </c>
      <c r="G331" s="2" t="inlineStr">
        <is>
          <t>记-17</t>
        </is>
      </c>
      <c r="H331" s="2" t="n"/>
      <c r="I331" s="104" t="n">
        <v>7</v>
      </c>
      <c r="J331" s="104" t="n"/>
      <c r="K331" s="1" t="n"/>
      <c r="L331" s="104" t="n"/>
      <c r="M331" s="2" t="n"/>
    </row>
    <row r="332" s="83">
      <c r="A332" s="2" t="inlineStr">
        <is>
          <t>101201</t>
        </is>
      </c>
      <c r="B332" s="2" t="n"/>
      <c r="C332" s="2" t="inlineStr">
        <is>
          <t>2025-07-02</t>
        </is>
      </c>
      <c r="D332" s="2" t="inlineStr">
        <is>
          <t>Else01</t>
        </is>
      </c>
      <c r="E332" s="2" t="n"/>
      <c r="F332" s="2" t="inlineStr">
        <is>
          <t>浙江精准学科技有限公司</t>
        </is>
      </c>
      <c r="G332" s="2" t="inlineStr">
        <is>
          <t>记-17</t>
        </is>
      </c>
      <c r="H332" s="2" t="n"/>
      <c r="I332" s="104" t="n">
        <v>7</v>
      </c>
      <c r="J332" s="104" t="n"/>
      <c r="K332" s="1" t="n"/>
      <c r="L332" s="104" t="n"/>
      <c r="M332" s="2" t="n"/>
    </row>
    <row r="333" s="83">
      <c r="A333" s="2" t="inlineStr">
        <is>
          <t>101203</t>
        </is>
      </c>
      <c r="B333" s="2" t="n"/>
      <c r="C333" s="2" t="inlineStr">
        <is>
          <t>2025-07-02</t>
        </is>
      </c>
      <c r="D333" s="2" t="inlineStr">
        <is>
          <t>Else01</t>
        </is>
      </c>
      <c r="E333" s="2" t="n"/>
      <c r="F333" s="2" t="inlineStr">
        <is>
          <t>浙江精准学科技有限公司</t>
        </is>
      </c>
      <c r="G333" s="2" t="inlineStr">
        <is>
          <t>记-17</t>
        </is>
      </c>
      <c r="H333" s="2" t="n"/>
      <c r="I333" s="104" t="n">
        <v>7</v>
      </c>
      <c r="J333" s="104" t="n"/>
      <c r="K333" s="1" t="n"/>
      <c r="L333" s="104" t="n"/>
      <c r="M333" s="2" t="n"/>
    </row>
    <row r="334" s="83">
      <c r="A334" s="2" t="inlineStr">
        <is>
          <t>101203</t>
        </is>
      </c>
      <c r="B334" s="2" t="n"/>
      <c r="C334" s="2" t="inlineStr">
        <is>
          <t>2025-07-02</t>
        </is>
      </c>
      <c r="D334" s="2" t="inlineStr">
        <is>
          <t>Else01</t>
        </is>
      </c>
      <c r="E334" s="2" t="n"/>
      <c r="F334" s="2" t="inlineStr">
        <is>
          <t>浙江精准学科技有限公司</t>
        </is>
      </c>
      <c r="G334" s="2" t="inlineStr">
        <is>
          <t>记-18</t>
        </is>
      </c>
      <c r="H334" s="2" t="n"/>
      <c r="I334" s="104" t="n"/>
      <c r="J334" s="104" t="n">
        <v>7</v>
      </c>
      <c r="K334" s="1" t="n"/>
      <c r="L334" s="104" t="n"/>
      <c r="M334" s="2" t="n"/>
    </row>
    <row r="335" s="83">
      <c r="A335" s="2" t="inlineStr">
        <is>
          <t>101207</t>
        </is>
      </c>
      <c r="B335" s="2" t="n"/>
      <c r="C335" s="2" t="inlineStr">
        <is>
          <t>2025-07-02</t>
        </is>
      </c>
      <c r="D335" s="2" t="inlineStr">
        <is>
          <t>Else01</t>
        </is>
      </c>
      <c r="E335" s="2" t="n"/>
      <c r="F335" s="2" t="inlineStr">
        <is>
          <t>浙江精准学科技有限公司</t>
        </is>
      </c>
      <c r="G335" s="2" t="inlineStr">
        <is>
          <t>记-18</t>
        </is>
      </c>
      <c r="H335" s="2" t="n"/>
      <c r="I335" s="104" t="n"/>
      <c r="J335" s="104" t="n">
        <v>7</v>
      </c>
      <c r="K335" s="1" t="n"/>
      <c r="L335" s="104" t="n"/>
      <c r="M335" s="2" t="n"/>
    </row>
    <row r="336" s="83">
      <c r="A336" s="2" t="inlineStr">
        <is>
          <t>101201</t>
        </is>
      </c>
      <c r="B336" s="2" t="n"/>
      <c r="C336" s="2" t="inlineStr">
        <is>
          <t>2025-07-02</t>
        </is>
      </c>
      <c r="D336" s="2" t="inlineStr">
        <is>
          <t>Else01</t>
        </is>
      </c>
      <c r="E336" s="2" t="n"/>
      <c r="F336" s="2" t="inlineStr">
        <is>
          <t>浙江精准学科技有限公司</t>
        </is>
      </c>
      <c r="G336" s="2" t="inlineStr">
        <is>
          <t>记-18</t>
        </is>
      </c>
      <c r="H336" s="2" t="n"/>
      <c r="I336" s="104" t="n"/>
      <c r="J336" s="104" t="n">
        <v>7</v>
      </c>
      <c r="K336" s="1" t="n"/>
      <c r="L336" s="104" t="n"/>
      <c r="M336" s="2" t="n"/>
    </row>
    <row r="337" s="83">
      <c r="A337" s="2" t="inlineStr">
        <is>
          <t>101203</t>
        </is>
      </c>
      <c r="B337" s="2" t="n"/>
      <c r="C337" s="2" t="inlineStr">
        <is>
          <t>2025-07-02</t>
        </is>
      </c>
      <c r="D337" s="2" t="inlineStr">
        <is>
          <t>Else01</t>
        </is>
      </c>
      <c r="E337" s="2" t="n"/>
      <c r="F337" s="2" t="inlineStr">
        <is>
          <t>浙江精准学科技有限公司</t>
        </is>
      </c>
      <c r="G337" s="2" t="inlineStr">
        <is>
          <t>记-18</t>
        </is>
      </c>
      <c r="H337" s="2" t="n"/>
      <c r="I337" s="104" t="n"/>
      <c r="J337" s="104" t="n">
        <v>7</v>
      </c>
      <c r="K337" s="1" t="n"/>
      <c r="L337" s="104" t="n"/>
      <c r="M337" s="2" t="n"/>
    </row>
    <row r="338" s="83">
      <c r="A338" s="2" t="inlineStr">
        <is>
          <t>101203</t>
        </is>
      </c>
      <c r="B338" s="2" t="n"/>
      <c r="C338" s="2" t="inlineStr">
        <is>
          <t>2025-07-03</t>
        </is>
      </c>
      <c r="D338" s="2" t="inlineStr">
        <is>
          <t>Else01</t>
        </is>
      </c>
      <c r="E338" s="2" t="n"/>
      <c r="F338" s="2" t="inlineStr">
        <is>
          <t>浙江精准学科技有限公司</t>
        </is>
      </c>
      <c r="G338" s="2" t="inlineStr">
        <is>
          <t>记-26</t>
        </is>
      </c>
      <c r="H338" s="2" t="n"/>
      <c r="I338" s="104" t="n">
        <v>7</v>
      </c>
      <c r="J338" s="104" t="n"/>
      <c r="K338" s="1" t="n"/>
      <c r="L338" s="104" t="n"/>
      <c r="M338" s="2" t="n"/>
    </row>
    <row r="339" s="83">
      <c r="A339" s="2" t="inlineStr">
        <is>
          <t>101207</t>
        </is>
      </c>
      <c r="B339" s="2" t="n"/>
      <c r="C339" s="2" t="inlineStr">
        <is>
          <t>2025-07-03</t>
        </is>
      </c>
      <c r="D339" s="2" t="inlineStr">
        <is>
          <t>Else01</t>
        </is>
      </c>
      <c r="E339" s="2" t="n"/>
      <c r="F339" s="2" t="inlineStr">
        <is>
          <t>浙江精准学科技有限公司</t>
        </is>
      </c>
      <c r="G339" s="2" t="inlineStr">
        <is>
          <t>记-26</t>
        </is>
      </c>
      <c r="H339" s="2" t="n"/>
      <c r="I339" s="104" t="n">
        <v>7</v>
      </c>
      <c r="J339" s="104" t="n"/>
      <c r="K339" s="1" t="n"/>
      <c r="L339" s="104" t="n"/>
      <c r="M339" s="2" t="n"/>
    </row>
    <row r="340" s="83">
      <c r="A340" s="2" t="inlineStr">
        <is>
          <t>101201</t>
        </is>
      </c>
      <c r="B340" s="2" t="n"/>
      <c r="C340" s="2" t="inlineStr">
        <is>
          <t>2025-07-03</t>
        </is>
      </c>
      <c r="D340" s="2" t="inlineStr">
        <is>
          <t>Else01</t>
        </is>
      </c>
      <c r="E340" s="2" t="n"/>
      <c r="F340" s="2" t="inlineStr">
        <is>
          <t>浙江精准学科技有限公司</t>
        </is>
      </c>
      <c r="G340" s="2" t="inlineStr">
        <is>
          <t>记-26</t>
        </is>
      </c>
      <c r="H340" s="2" t="n"/>
      <c r="I340" s="104" t="n">
        <v>7</v>
      </c>
      <c r="J340" s="104" t="n"/>
      <c r="K340" s="1" t="n"/>
      <c r="L340" s="104" t="n"/>
      <c r="M340" s="2" t="n"/>
    </row>
    <row r="341" s="83">
      <c r="A341" s="2" t="inlineStr">
        <is>
          <t>101203</t>
        </is>
      </c>
      <c r="B341" s="2" t="n"/>
      <c r="C341" s="2" t="inlineStr">
        <is>
          <t>2025-07-03</t>
        </is>
      </c>
      <c r="D341" s="2" t="inlineStr">
        <is>
          <t>Else01</t>
        </is>
      </c>
      <c r="E341" s="2" t="n"/>
      <c r="F341" s="2" t="inlineStr">
        <is>
          <t>浙江精准学科技有限公司</t>
        </is>
      </c>
      <c r="G341" s="2" t="inlineStr">
        <is>
          <t>记-27</t>
        </is>
      </c>
      <c r="H341" s="2" t="n"/>
      <c r="I341" s="104" t="n"/>
      <c r="J341" s="104" t="n">
        <v>7</v>
      </c>
      <c r="K341" s="1" t="n"/>
      <c r="L341" s="104" t="n"/>
      <c r="M341" s="2" t="n"/>
    </row>
    <row r="342" s="83">
      <c r="A342" s="2" t="inlineStr">
        <is>
          <t>101207</t>
        </is>
      </c>
      <c r="B342" s="2" t="n"/>
      <c r="C342" s="2" t="inlineStr">
        <is>
          <t>2025-07-03</t>
        </is>
      </c>
      <c r="D342" s="2" t="inlineStr">
        <is>
          <t>Else01</t>
        </is>
      </c>
      <c r="E342" s="2" t="n"/>
      <c r="F342" s="2" t="inlineStr">
        <is>
          <t>浙江精准学科技有限公司</t>
        </is>
      </c>
      <c r="G342" s="2" t="inlineStr">
        <is>
          <t>记-27</t>
        </is>
      </c>
      <c r="H342" s="2" t="n"/>
      <c r="I342" s="104" t="n"/>
      <c r="J342" s="104" t="n">
        <v>7</v>
      </c>
      <c r="K342" s="1" t="n"/>
      <c r="L342" s="104" t="n"/>
      <c r="M342" s="2" t="n"/>
    </row>
    <row r="343" s="83">
      <c r="A343" s="2" t="inlineStr">
        <is>
          <t>101201</t>
        </is>
      </c>
      <c r="B343" s="2" t="n"/>
      <c r="C343" s="2" t="inlineStr">
        <is>
          <t>2025-07-03</t>
        </is>
      </c>
      <c r="D343" s="2" t="inlineStr">
        <is>
          <t>Else01</t>
        </is>
      </c>
      <c r="E343" s="2" t="n"/>
      <c r="F343" s="2" t="inlineStr">
        <is>
          <t>浙江精准学科技有限公司</t>
        </is>
      </c>
      <c r="G343" s="2" t="inlineStr">
        <is>
          <t>记-27</t>
        </is>
      </c>
      <c r="H343" s="2" t="n"/>
      <c r="I343" s="104" t="n"/>
      <c r="J343" s="104" t="n">
        <v>7</v>
      </c>
      <c r="K343" s="1" t="n"/>
      <c r="L343" s="104" t="n"/>
      <c r="M343" s="2" t="n"/>
    </row>
    <row r="344" s="83">
      <c r="A344" s="2" t="inlineStr">
        <is>
          <t>101203</t>
        </is>
      </c>
      <c r="B344" s="2" t="n"/>
      <c r="C344" s="2" t="inlineStr">
        <is>
          <t>2025-07-03</t>
        </is>
      </c>
      <c r="D344" s="2" t="inlineStr">
        <is>
          <t>Else01</t>
        </is>
      </c>
      <c r="E344" s="2" t="n"/>
      <c r="F344" s="2" t="inlineStr">
        <is>
          <t>浙江精准学科技有限公司</t>
        </is>
      </c>
      <c r="G344" s="2" t="inlineStr">
        <is>
          <t>记-27</t>
        </is>
      </c>
      <c r="H344" s="2" t="n"/>
      <c r="I344" s="104" t="n"/>
      <c r="J344" s="104" t="n">
        <v>7</v>
      </c>
      <c r="K344" s="1" t="n"/>
      <c r="L344" s="104" t="n"/>
      <c r="M344" s="2" t="n"/>
    </row>
    <row r="345" s="83">
      <c r="A345" s="2" t="inlineStr">
        <is>
          <t>101203</t>
        </is>
      </c>
      <c r="B345" s="2" t="n"/>
      <c r="C345" s="2" t="inlineStr">
        <is>
          <t>2025-07-04</t>
        </is>
      </c>
      <c r="D345" s="2" t="inlineStr">
        <is>
          <t>Else01</t>
        </is>
      </c>
      <c r="E345" s="2" t="n"/>
      <c r="F345" s="2" t="inlineStr">
        <is>
          <t>浙江精准学科技有限公司</t>
        </is>
      </c>
      <c r="G345" s="2" t="inlineStr">
        <is>
          <t>记-46</t>
        </is>
      </c>
      <c r="H345" s="2" t="n"/>
      <c r="I345" s="104" t="n">
        <v>7</v>
      </c>
      <c r="J345" s="104" t="n"/>
      <c r="K345" s="1" t="n"/>
      <c r="L345" s="104" t="n"/>
      <c r="M345" s="2" t="n"/>
    </row>
    <row r="346" s="83">
      <c r="A346" s="2" t="inlineStr">
        <is>
          <t>101207</t>
        </is>
      </c>
      <c r="B346" s="2" t="n"/>
      <c r="C346" s="2" t="inlineStr">
        <is>
          <t>2025-07-04</t>
        </is>
      </c>
      <c r="D346" s="2" t="inlineStr">
        <is>
          <t>Else01</t>
        </is>
      </c>
      <c r="E346" s="2" t="n"/>
      <c r="F346" s="2" t="inlineStr">
        <is>
          <t>浙江精准学科技有限公司</t>
        </is>
      </c>
      <c r="G346" s="2" t="inlineStr">
        <is>
          <t>记-46</t>
        </is>
      </c>
      <c r="H346" s="2" t="n"/>
      <c r="I346" s="104" t="n">
        <v>7</v>
      </c>
      <c r="J346" s="104" t="n"/>
      <c r="K346" s="1" t="n"/>
      <c r="L346" s="104" t="n"/>
      <c r="M346" s="2" t="n"/>
    </row>
    <row r="347" s="83">
      <c r="A347" s="2" t="inlineStr">
        <is>
          <t>101201</t>
        </is>
      </c>
      <c r="B347" s="2" t="n"/>
      <c r="C347" s="2" t="inlineStr">
        <is>
          <t>2025-07-04</t>
        </is>
      </c>
      <c r="D347" s="2" t="inlineStr">
        <is>
          <t>Else01</t>
        </is>
      </c>
      <c r="E347" s="2" t="n"/>
      <c r="F347" s="2" t="inlineStr">
        <is>
          <t>浙江精准学科技有限公司</t>
        </is>
      </c>
      <c r="G347" s="2" t="inlineStr">
        <is>
          <t>记-46</t>
        </is>
      </c>
      <c r="H347" s="2" t="n"/>
      <c r="I347" s="104" t="n">
        <v>7</v>
      </c>
      <c r="J347" s="104" t="n"/>
      <c r="K347" s="1" t="n"/>
      <c r="L347" s="104" t="n"/>
      <c r="M347" s="2" t="n"/>
    </row>
    <row r="348" s="83">
      <c r="A348" s="2" t="inlineStr">
        <is>
          <t>101203</t>
        </is>
      </c>
      <c r="B348" s="2" t="n"/>
      <c r="C348" s="2" t="inlineStr">
        <is>
          <t>2025-07-04</t>
        </is>
      </c>
      <c r="D348" s="2" t="inlineStr">
        <is>
          <t>Else01</t>
        </is>
      </c>
      <c r="E348" s="2" t="n"/>
      <c r="F348" s="2" t="inlineStr">
        <is>
          <t>浙江精准学科技有限公司</t>
        </is>
      </c>
      <c r="G348" s="2" t="inlineStr">
        <is>
          <t>记-46</t>
        </is>
      </c>
      <c r="H348" s="2" t="n"/>
      <c r="I348" s="104" t="n">
        <v>7</v>
      </c>
      <c r="J348" s="104" t="n"/>
      <c r="K348" s="1" t="n"/>
      <c r="L348" s="104" t="n"/>
      <c r="M348" s="2" t="n"/>
    </row>
    <row r="349" s="83">
      <c r="A349" s="2" t="inlineStr">
        <is>
          <t>101203</t>
        </is>
      </c>
      <c r="B349" s="2" t="n"/>
      <c r="C349" s="2" t="inlineStr">
        <is>
          <t>2025-07-04</t>
        </is>
      </c>
      <c r="D349" s="2" t="inlineStr">
        <is>
          <t>Else01</t>
        </is>
      </c>
      <c r="E349" s="2" t="n"/>
      <c r="F349" s="2" t="inlineStr">
        <is>
          <t>浙江精准学科技有限公司</t>
        </is>
      </c>
      <c r="G349" s="2" t="inlineStr">
        <is>
          <t>记-47</t>
        </is>
      </c>
      <c r="H349" s="2" t="n"/>
      <c r="I349" s="104" t="n"/>
      <c r="J349" s="104" t="n">
        <v>7</v>
      </c>
      <c r="K349" s="1" t="n"/>
      <c r="L349" s="104" t="n"/>
      <c r="M349" s="2" t="n"/>
    </row>
    <row r="350" s="83">
      <c r="A350" s="2" t="inlineStr">
        <is>
          <t>101207</t>
        </is>
      </c>
      <c r="B350" s="2" t="n"/>
      <c r="C350" s="2" t="inlineStr">
        <is>
          <t>2025-07-04</t>
        </is>
      </c>
      <c r="D350" s="2" t="inlineStr">
        <is>
          <t>Else01</t>
        </is>
      </c>
      <c r="E350" s="2" t="n"/>
      <c r="F350" s="2" t="inlineStr">
        <is>
          <t>浙江精准学科技有限公司</t>
        </is>
      </c>
      <c r="G350" s="2" t="inlineStr">
        <is>
          <t>记-47</t>
        </is>
      </c>
      <c r="H350" s="2" t="n"/>
      <c r="I350" s="104" t="n"/>
      <c r="J350" s="104" t="n">
        <v>7</v>
      </c>
      <c r="K350" s="1" t="n"/>
      <c r="L350" s="104" t="n"/>
      <c r="M350" s="2" t="n"/>
    </row>
    <row r="351" s="83">
      <c r="A351" s="2" t="inlineStr">
        <is>
          <t>101201</t>
        </is>
      </c>
      <c r="B351" s="2" t="n"/>
      <c r="C351" s="2" t="inlineStr">
        <is>
          <t>2025-07-04</t>
        </is>
      </c>
      <c r="D351" s="2" t="inlineStr">
        <is>
          <t>Else01</t>
        </is>
      </c>
      <c r="E351" s="2" t="n"/>
      <c r="F351" s="2" t="inlineStr">
        <is>
          <t>浙江精准学科技有限公司</t>
        </is>
      </c>
      <c r="G351" s="2" t="inlineStr">
        <is>
          <t>记-47</t>
        </is>
      </c>
      <c r="H351" s="2" t="n"/>
      <c r="I351" s="104" t="n"/>
      <c r="J351" s="104" t="n">
        <v>7</v>
      </c>
      <c r="K351" s="1" t="n"/>
      <c r="L351" s="104" t="n"/>
      <c r="M351" s="2" t="n"/>
    </row>
    <row r="352" s="83">
      <c r="A352" s="2" t="inlineStr">
        <is>
          <t>101203</t>
        </is>
      </c>
      <c r="B352" s="2" t="n"/>
      <c r="C352" s="2" t="inlineStr">
        <is>
          <t>2025-07-04</t>
        </is>
      </c>
      <c r="D352" s="2" t="inlineStr">
        <is>
          <t>Else01</t>
        </is>
      </c>
      <c r="E352" s="2" t="n"/>
      <c r="F352" s="2" t="inlineStr">
        <is>
          <t>浙江精准学科技有限公司</t>
        </is>
      </c>
      <c r="G352" s="2" t="inlineStr">
        <is>
          <t>记-47</t>
        </is>
      </c>
      <c r="H352" s="2" t="n"/>
      <c r="I352" s="104" t="n"/>
      <c r="J352" s="104" t="n">
        <v>7</v>
      </c>
      <c r="K352" s="1" t="n"/>
      <c r="L352" s="104" t="n"/>
      <c r="M352" s="2" t="n"/>
    </row>
    <row r="353" s="83">
      <c r="A353" s="2" t="inlineStr">
        <is>
          <t>101203</t>
        </is>
      </c>
      <c r="B353" s="2" t="n"/>
      <c r="C353" s="2" t="inlineStr">
        <is>
          <t>2025-07-05</t>
        </is>
      </c>
      <c r="D353" s="2" t="inlineStr">
        <is>
          <t>Else01</t>
        </is>
      </c>
      <c r="E353" s="2" t="n"/>
      <c r="F353" s="2" t="inlineStr">
        <is>
          <t>浙江精准学科技有限公司</t>
        </is>
      </c>
      <c r="G353" s="2" t="inlineStr">
        <is>
          <t>记-48</t>
        </is>
      </c>
      <c r="H353" s="2" t="n"/>
      <c r="I353" s="104" t="n">
        <v>7</v>
      </c>
      <c r="J353" s="104" t="n"/>
      <c r="K353" s="1" t="n"/>
      <c r="L353" s="104" t="n"/>
      <c r="M353" s="2" t="n"/>
    </row>
    <row r="354" s="83">
      <c r="A354" s="2" t="inlineStr">
        <is>
          <t>101207</t>
        </is>
      </c>
      <c r="B354" s="2" t="n"/>
      <c r="C354" s="2" t="inlineStr">
        <is>
          <t>2025-07-05</t>
        </is>
      </c>
      <c r="D354" s="2" t="inlineStr">
        <is>
          <t>Else01</t>
        </is>
      </c>
      <c r="E354" s="2" t="n"/>
      <c r="F354" s="2" t="inlineStr">
        <is>
          <t>浙江精准学科技有限公司</t>
        </is>
      </c>
      <c r="G354" s="2" t="inlineStr">
        <is>
          <t>记-48</t>
        </is>
      </c>
      <c r="H354" s="2" t="n"/>
      <c r="I354" s="104" t="n">
        <v>7</v>
      </c>
      <c r="J354" s="104" t="n"/>
      <c r="K354" s="1" t="n"/>
      <c r="L354" s="104" t="n"/>
      <c r="M354" s="2" t="n"/>
    </row>
    <row r="355" s="83">
      <c r="A355" s="2" t="inlineStr">
        <is>
          <t>101201</t>
        </is>
      </c>
      <c r="B355" s="2" t="n"/>
      <c r="C355" s="2" t="inlineStr">
        <is>
          <t>2025-07-05</t>
        </is>
      </c>
      <c r="D355" s="2" t="inlineStr">
        <is>
          <t>Else01</t>
        </is>
      </c>
      <c r="E355" s="2" t="n"/>
      <c r="F355" s="2" t="inlineStr">
        <is>
          <t>浙江精准学科技有限公司</t>
        </is>
      </c>
      <c r="G355" s="2" t="inlineStr">
        <is>
          <t>记-48</t>
        </is>
      </c>
      <c r="H355" s="2" t="n"/>
      <c r="I355" s="104" t="n">
        <v>7</v>
      </c>
      <c r="J355" s="104" t="n"/>
      <c r="K355" s="1" t="n"/>
      <c r="L355" s="104" t="n"/>
      <c r="M355" s="2" t="n"/>
    </row>
    <row r="356" s="83">
      <c r="A356" s="2" t="inlineStr">
        <is>
          <t>101203</t>
        </is>
      </c>
      <c r="B356" s="2" t="n"/>
      <c r="C356" s="2" t="inlineStr">
        <is>
          <t>2025-07-05</t>
        </is>
      </c>
      <c r="D356" s="2" t="inlineStr">
        <is>
          <t>Else01</t>
        </is>
      </c>
      <c r="E356" s="2" t="n"/>
      <c r="F356" s="2" t="inlineStr">
        <is>
          <t>浙江精准学科技有限公司</t>
        </is>
      </c>
      <c r="G356" s="2" t="inlineStr">
        <is>
          <t>记-48</t>
        </is>
      </c>
      <c r="H356" s="2" t="n"/>
      <c r="I356" s="104" t="n">
        <v>7</v>
      </c>
      <c r="J356" s="104" t="n"/>
      <c r="K356" s="1" t="n"/>
      <c r="L356" s="104" t="n"/>
      <c r="M356" s="2" t="n"/>
    </row>
    <row r="357" s="83">
      <c r="A357" s="2" t="inlineStr">
        <is>
          <t>101203</t>
        </is>
      </c>
      <c r="B357" s="2" t="n"/>
      <c r="C357" s="2" t="inlineStr">
        <is>
          <t>2025-07-05</t>
        </is>
      </c>
      <c r="D357" s="2" t="inlineStr">
        <is>
          <t>Else01</t>
        </is>
      </c>
      <c r="E357" s="2" t="n"/>
      <c r="F357" s="2" t="inlineStr">
        <is>
          <t>浙江精准学科技有限公司</t>
        </is>
      </c>
      <c r="G357" s="2" t="inlineStr">
        <is>
          <t>记-49</t>
        </is>
      </c>
      <c r="H357" s="2" t="n"/>
      <c r="I357" s="104" t="n"/>
      <c r="J357" s="104" t="n">
        <v>7</v>
      </c>
      <c r="K357" s="1" t="n"/>
      <c r="L357" s="104" t="n"/>
      <c r="M357" s="2" t="n"/>
    </row>
    <row r="358" s="83">
      <c r="A358" s="2" t="inlineStr">
        <is>
          <t>101207</t>
        </is>
      </c>
      <c r="B358" s="2" t="n"/>
      <c r="C358" s="2" t="inlineStr">
        <is>
          <t>2025-07-05</t>
        </is>
      </c>
      <c r="D358" s="2" t="inlineStr">
        <is>
          <t>Else01</t>
        </is>
      </c>
      <c r="E358" s="2" t="n"/>
      <c r="F358" s="2" t="inlineStr">
        <is>
          <t>浙江精准学科技有限公司</t>
        </is>
      </c>
      <c r="G358" s="2" t="inlineStr">
        <is>
          <t>记-49</t>
        </is>
      </c>
      <c r="H358" s="2" t="n"/>
      <c r="I358" s="104" t="n"/>
      <c r="J358" s="104" t="n">
        <v>7</v>
      </c>
      <c r="K358" s="1" t="n"/>
      <c r="L358" s="104" t="n"/>
      <c r="M358" s="2" t="n"/>
    </row>
    <row r="359" s="83">
      <c r="A359" s="2" t="inlineStr">
        <is>
          <t>101201</t>
        </is>
      </c>
      <c r="B359" s="2" t="n"/>
      <c r="C359" s="2" t="inlineStr">
        <is>
          <t>2025-07-05</t>
        </is>
      </c>
      <c r="D359" s="2" t="inlineStr">
        <is>
          <t>Else01</t>
        </is>
      </c>
      <c r="E359" s="2" t="n"/>
      <c r="F359" s="2" t="inlineStr">
        <is>
          <t>浙江精准学科技有限公司</t>
        </is>
      </c>
      <c r="G359" s="2" t="inlineStr">
        <is>
          <t>记-49</t>
        </is>
      </c>
      <c r="H359" s="2" t="n"/>
      <c r="I359" s="104" t="n"/>
      <c r="J359" s="104" t="n">
        <v>7</v>
      </c>
      <c r="K359" s="1" t="n"/>
      <c r="L359" s="104" t="n"/>
      <c r="M359" s="2" t="n"/>
    </row>
    <row r="360" s="83">
      <c r="A360" s="2" t="inlineStr">
        <is>
          <t>101203</t>
        </is>
      </c>
      <c r="B360" s="2" t="n"/>
      <c r="C360" s="2" t="inlineStr">
        <is>
          <t>2025-07-05</t>
        </is>
      </c>
      <c r="D360" s="2" t="inlineStr">
        <is>
          <t>Else01</t>
        </is>
      </c>
      <c r="E360" s="2" t="n"/>
      <c r="F360" s="2" t="inlineStr">
        <is>
          <t>浙江精准学科技有限公司</t>
        </is>
      </c>
      <c r="G360" s="2" t="inlineStr">
        <is>
          <t>记-49</t>
        </is>
      </c>
      <c r="H360" s="2" t="n"/>
      <c r="I360" s="104" t="n"/>
      <c r="J360" s="104" t="n">
        <v>7</v>
      </c>
      <c r="K360" s="1" t="n"/>
      <c r="L360" s="104" t="n"/>
      <c r="M360" s="2" t="n"/>
    </row>
    <row r="361" s="83">
      <c r="A361" s="2" t="inlineStr">
        <is>
          <t>101203</t>
        </is>
      </c>
      <c r="B361" s="2" t="n"/>
      <c r="C361" s="2" t="inlineStr">
        <is>
          <t>2025-07-06</t>
        </is>
      </c>
      <c r="D361" s="2" t="inlineStr">
        <is>
          <t>Else01</t>
        </is>
      </c>
      <c r="E361" s="2" t="n"/>
      <c r="F361" s="2" t="inlineStr">
        <is>
          <t>浙江精准学科技有限公司</t>
        </is>
      </c>
      <c r="G361" s="2" t="inlineStr">
        <is>
          <t>记-50</t>
        </is>
      </c>
      <c r="H361" s="2" t="n"/>
      <c r="I361" s="104" t="n">
        <v>7</v>
      </c>
      <c r="J361" s="104" t="n"/>
      <c r="K361" s="1" t="n"/>
      <c r="L361" s="104" t="n"/>
      <c r="M361" s="2" t="n"/>
    </row>
    <row r="362" s="83">
      <c r="A362" s="2" t="inlineStr">
        <is>
          <t>101207</t>
        </is>
      </c>
      <c r="B362" s="2" t="n"/>
      <c r="C362" s="2" t="inlineStr">
        <is>
          <t>2025-07-06</t>
        </is>
      </c>
      <c r="D362" s="2" t="inlineStr">
        <is>
          <t>Else01</t>
        </is>
      </c>
      <c r="E362" s="2" t="n"/>
      <c r="F362" s="2" t="inlineStr">
        <is>
          <t>浙江精准学科技有限公司</t>
        </is>
      </c>
      <c r="G362" s="2" t="inlineStr">
        <is>
          <t>记-50</t>
        </is>
      </c>
      <c r="H362" s="2" t="n"/>
      <c r="I362" s="104" t="n">
        <v>7</v>
      </c>
      <c r="J362" s="104" t="n"/>
      <c r="K362" s="1" t="n"/>
      <c r="L362" s="104" t="n"/>
      <c r="M362" s="2" t="n"/>
    </row>
    <row r="363" s="83">
      <c r="A363" s="2" t="inlineStr">
        <is>
          <t>101201</t>
        </is>
      </c>
      <c r="B363" s="2" t="n"/>
      <c r="C363" s="2" t="inlineStr">
        <is>
          <t>2025-07-06</t>
        </is>
      </c>
      <c r="D363" s="2" t="inlineStr">
        <is>
          <t>Else01</t>
        </is>
      </c>
      <c r="E363" s="2" t="n"/>
      <c r="F363" s="2" t="inlineStr">
        <is>
          <t>浙江精准学科技有限公司</t>
        </is>
      </c>
      <c r="G363" s="2" t="inlineStr">
        <is>
          <t>记-50</t>
        </is>
      </c>
      <c r="H363" s="2" t="n"/>
      <c r="I363" s="104" t="n">
        <v>7</v>
      </c>
      <c r="J363" s="104" t="n"/>
      <c r="K363" s="1" t="n"/>
      <c r="L363" s="104" t="n"/>
      <c r="M363" s="2" t="n"/>
    </row>
    <row r="364" s="83">
      <c r="A364" s="2" t="inlineStr">
        <is>
          <t>101203</t>
        </is>
      </c>
      <c r="B364" s="2" t="n"/>
      <c r="C364" s="2" t="inlineStr">
        <is>
          <t>2025-07-06</t>
        </is>
      </c>
      <c r="D364" s="2" t="inlineStr">
        <is>
          <t>Else01</t>
        </is>
      </c>
      <c r="E364" s="2" t="n"/>
      <c r="F364" s="2" t="inlineStr">
        <is>
          <t>浙江精准学科技有限公司</t>
        </is>
      </c>
      <c r="G364" s="2" t="inlineStr">
        <is>
          <t>记-50</t>
        </is>
      </c>
      <c r="H364" s="2" t="n"/>
      <c r="I364" s="104" t="n">
        <v>7</v>
      </c>
      <c r="J364" s="104" t="n"/>
      <c r="K364" s="1" t="n"/>
      <c r="L364" s="104" t="n"/>
      <c r="M364" s="2" t="n"/>
    </row>
    <row r="365" s="83">
      <c r="A365" s="2" t="inlineStr">
        <is>
          <t>101203</t>
        </is>
      </c>
      <c r="B365" s="2" t="n"/>
      <c r="C365" s="2" t="inlineStr">
        <is>
          <t>2025-07-06</t>
        </is>
      </c>
      <c r="D365" s="2" t="inlineStr">
        <is>
          <t>Else01</t>
        </is>
      </c>
      <c r="E365" s="2" t="n"/>
      <c r="F365" s="2" t="inlineStr">
        <is>
          <t>浙江精准学科技有限公司</t>
        </is>
      </c>
      <c r="G365" s="2" t="inlineStr">
        <is>
          <t>记-50</t>
        </is>
      </c>
      <c r="H365" s="2" t="n"/>
      <c r="I365" s="104" t="n"/>
      <c r="J365" s="104" t="n">
        <v>7</v>
      </c>
      <c r="K365" s="1" t="n"/>
      <c r="L365" s="104" t="n"/>
      <c r="M365" s="2" t="n"/>
    </row>
    <row r="366" s="83">
      <c r="A366" s="2" t="inlineStr">
        <is>
          <t>101207</t>
        </is>
      </c>
      <c r="B366" s="2" t="n"/>
      <c r="C366" s="2" t="inlineStr">
        <is>
          <t>2025-07-06</t>
        </is>
      </c>
      <c r="D366" s="2" t="inlineStr">
        <is>
          <t>Else01</t>
        </is>
      </c>
      <c r="E366" s="2" t="n"/>
      <c r="F366" s="2" t="inlineStr">
        <is>
          <t>浙江精准学科技有限公司</t>
        </is>
      </c>
      <c r="G366" s="2" t="inlineStr">
        <is>
          <t>记-50</t>
        </is>
      </c>
      <c r="H366" s="2" t="n"/>
      <c r="I366" s="104" t="n"/>
      <c r="J366" s="104" t="n">
        <v>7</v>
      </c>
      <c r="K366" s="1" t="n"/>
      <c r="L366" s="104" t="n"/>
      <c r="M366" s="2" t="n"/>
    </row>
    <row r="367" s="83">
      <c r="A367" s="2" t="inlineStr">
        <is>
          <t>101201</t>
        </is>
      </c>
      <c r="B367" s="2" t="n"/>
      <c r="C367" s="2" t="inlineStr">
        <is>
          <t>2025-07-06</t>
        </is>
      </c>
      <c r="D367" s="2" t="inlineStr">
        <is>
          <t>Else01</t>
        </is>
      </c>
      <c r="E367" s="2" t="n"/>
      <c r="F367" s="2" t="inlineStr">
        <is>
          <t>浙江精准学科技有限公司</t>
        </is>
      </c>
      <c r="G367" s="2" t="inlineStr">
        <is>
          <t>记-50</t>
        </is>
      </c>
      <c r="H367" s="2" t="n"/>
      <c r="I367" s="104" t="n"/>
      <c r="J367" s="104" t="n">
        <v>7</v>
      </c>
      <c r="K367" s="1" t="n"/>
      <c r="L367" s="104" t="n"/>
      <c r="M367" s="2" t="n"/>
    </row>
    <row r="368" s="83">
      <c r="A368" s="2" t="inlineStr">
        <is>
          <t>101203</t>
        </is>
      </c>
      <c r="B368" s="2" t="n"/>
      <c r="C368" s="2" t="inlineStr">
        <is>
          <t>2025-07-06</t>
        </is>
      </c>
      <c r="D368" s="2" t="inlineStr">
        <is>
          <t>Else01</t>
        </is>
      </c>
      <c r="E368" s="2" t="n"/>
      <c r="F368" s="2" t="inlineStr">
        <is>
          <t>浙江精准学科技有限公司</t>
        </is>
      </c>
      <c r="G368" s="2" t="inlineStr">
        <is>
          <t>记-50</t>
        </is>
      </c>
      <c r="H368" s="2" t="n"/>
      <c r="I368" s="104" t="n"/>
      <c r="J368" s="104" t="n">
        <v>7</v>
      </c>
      <c r="K368" s="1" t="n"/>
      <c r="L368" s="104" t="n"/>
      <c r="M368" s="2" t="n"/>
    </row>
    <row r="369" s="83">
      <c r="A369" s="2" t="inlineStr">
        <is>
          <t>101203</t>
        </is>
      </c>
      <c r="B369" s="2" t="n"/>
      <c r="C369" s="2" t="inlineStr">
        <is>
          <t>2025-07-07</t>
        </is>
      </c>
      <c r="D369" s="2" t="inlineStr">
        <is>
          <t>Else01</t>
        </is>
      </c>
      <c r="E369" s="2" t="n"/>
      <c r="F369" s="2" t="inlineStr">
        <is>
          <t>浙江精准学科技有限公司</t>
        </is>
      </c>
      <c r="G369" s="2" t="inlineStr">
        <is>
          <t>记-61</t>
        </is>
      </c>
      <c r="H369" s="2" t="n"/>
      <c r="I369" s="104" t="n">
        <v>7</v>
      </c>
      <c r="J369" s="104" t="n"/>
      <c r="K369" s="1" t="n"/>
      <c r="L369" s="104" t="n"/>
      <c r="M369" s="2" t="n"/>
    </row>
    <row r="370" s="83">
      <c r="A370" s="2" t="inlineStr">
        <is>
          <t>101207</t>
        </is>
      </c>
      <c r="B370" s="2" t="n"/>
      <c r="C370" s="2" t="inlineStr">
        <is>
          <t>2025-07-07</t>
        </is>
      </c>
      <c r="D370" s="2" t="inlineStr">
        <is>
          <t>Else01</t>
        </is>
      </c>
      <c r="E370" s="2" t="n"/>
      <c r="F370" s="2" t="inlineStr">
        <is>
          <t>浙江精准学科技有限公司</t>
        </is>
      </c>
      <c r="G370" s="2" t="inlineStr">
        <is>
          <t>记-61</t>
        </is>
      </c>
      <c r="H370" s="2" t="n"/>
      <c r="I370" s="104" t="n">
        <v>7</v>
      </c>
      <c r="J370" s="104" t="n"/>
      <c r="K370" s="1" t="n"/>
      <c r="L370" s="104" t="n"/>
      <c r="M370" s="2" t="n"/>
    </row>
    <row r="371" s="83">
      <c r="A371" s="2" t="inlineStr">
        <is>
          <t>101201</t>
        </is>
      </c>
      <c r="B371" s="2" t="n"/>
      <c r="C371" s="2" t="inlineStr">
        <is>
          <t>2025-07-07</t>
        </is>
      </c>
      <c r="D371" s="2" t="inlineStr">
        <is>
          <t>Else01</t>
        </is>
      </c>
      <c r="E371" s="2" t="n"/>
      <c r="F371" s="2" t="inlineStr">
        <is>
          <t>浙江精准学科技有限公司</t>
        </is>
      </c>
      <c r="G371" s="2" t="inlineStr">
        <is>
          <t>记-61</t>
        </is>
      </c>
      <c r="H371" s="2" t="n"/>
      <c r="I371" s="104" t="n">
        <v>7</v>
      </c>
      <c r="J371" s="104" t="n"/>
      <c r="K371" s="1" t="n"/>
      <c r="L371" s="104" t="n"/>
      <c r="M371" s="2" t="n"/>
    </row>
    <row r="372" s="83">
      <c r="A372" s="2" t="inlineStr">
        <is>
          <t>101203</t>
        </is>
      </c>
      <c r="B372" s="2" t="n"/>
      <c r="C372" s="2" t="inlineStr">
        <is>
          <t>2025-07-07</t>
        </is>
      </c>
      <c r="D372" s="2" t="inlineStr">
        <is>
          <t>Else01</t>
        </is>
      </c>
      <c r="E372" s="2" t="n"/>
      <c r="F372" s="2" t="inlineStr">
        <is>
          <t>浙江精准学科技有限公司</t>
        </is>
      </c>
      <c r="G372" s="2" t="inlineStr">
        <is>
          <t>记-61</t>
        </is>
      </c>
      <c r="H372" s="2" t="n"/>
      <c r="I372" s="104" t="n">
        <v>7</v>
      </c>
      <c r="J372" s="104" t="n"/>
      <c r="K372" s="1" t="n"/>
      <c r="L372" s="104" t="n"/>
      <c r="M372" s="2" t="n"/>
    </row>
    <row r="373" s="83">
      <c r="A373" s="2" t="inlineStr">
        <is>
          <t>101203</t>
        </is>
      </c>
      <c r="B373" s="2" t="n"/>
      <c r="C373" s="2" t="inlineStr">
        <is>
          <t>2025-07-07</t>
        </is>
      </c>
      <c r="D373" s="2" t="inlineStr">
        <is>
          <t>Else01</t>
        </is>
      </c>
      <c r="E373" s="2" t="n"/>
      <c r="F373" s="2" t="inlineStr">
        <is>
          <t>浙江精准学科技有限公司</t>
        </is>
      </c>
      <c r="G373" s="2" t="inlineStr">
        <is>
          <t>记-62</t>
        </is>
      </c>
      <c r="H373" s="2" t="n"/>
      <c r="I373" s="104" t="n"/>
      <c r="J373" s="104" t="n">
        <v>7</v>
      </c>
      <c r="K373" s="1" t="n"/>
      <c r="L373" s="104" t="n"/>
      <c r="M373" s="2" t="n"/>
    </row>
    <row r="374" s="83">
      <c r="A374" s="2" t="inlineStr">
        <is>
          <t>101207</t>
        </is>
      </c>
      <c r="B374" s="2" t="n"/>
      <c r="C374" s="2" t="inlineStr">
        <is>
          <t>2025-07-07</t>
        </is>
      </c>
      <c r="D374" s="2" t="inlineStr">
        <is>
          <t>Else01</t>
        </is>
      </c>
      <c r="E374" s="2" t="n"/>
      <c r="F374" s="2" t="inlineStr">
        <is>
          <t>浙江精准学科技有限公司</t>
        </is>
      </c>
      <c r="G374" s="2" t="inlineStr">
        <is>
          <t>记-62</t>
        </is>
      </c>
      <c r="H374" s="2" t="n"/>
      <c r="I374" s="104" t="n"/>
      <c r="J374" s="104" t="n">
        <v>7</v>
      </c>
      <c r="K374" s="1" t="n"/>
      <c r="L374" s="104" t="n"/>
      <c r="M374" s="2" t="n"/>
    </row>
    <row r="375" s="83">
      <c r="A375" s="2" t="inlineStr">
        <is>
          <t>101201</t>
        </is>
      </c>
      <c r="B375" s="2" t="n"/>
      <c r="C375" s="2" t="inlineStr">
        <is>
          <t>2025-07-07</t>
        </is>
      </c>
      <c r="D375" s="2" t="inlineStr">
        <is>
          <t>Else01</t>
        </is>
      </c>
      <c r="E375" s="2" t="n"/>
      <c r="F375" s="2" t="inlineStr">
        <is>
          <t>浙江精准学科技有限公司</t>
        </is>
      </c>
      <c r="G375" s="2" t="inlineStr">
        <is>
          <t>记-62</t>
        </is>
      </c>
      <c r="H375" s="2" t="n"/>
      <c r="I375" s="104" t="n"/>
      <c r="J375" s="104" t="n">
        <v>7</v>
      </c>
      <c r="K375" s="1" t="n"/>
      <c r="L375" s="104" t="n"/>
      <c r="M375" s="2" t="n"/>
    </row>
    <row r="376" s="83">
      <c r="A376" s="2" t="inlineStr">
        <is>
          <t>101203</t>
        </is>
      </c>
      <c r="B376" s="2" t="n"/>
      <c r="C376" s="2" t="inlineStr">
        <is>
          <t>2025-07-07</t>
        </is>
      </c>
      <c r="D376" s="2" t="inlineStr">
        <is>
          <t>Else01</t>
        </is>
      </c>
      <c r="E376" s="2" t="n"/>
      <c r="F376" s="2" t="inlineStr">
        <is>
          <t>浙江精准学科技有限公司</t>
        </is>
      </c>
      <c r="G376" s="2" t="inlineStr">
        <is>
          <t>记-62</t>
        </is>
      </c>
      <c r="H376" s="2" t="n"/>
      <c r="I376" s="104" t="n"/>
      <c r="J376" s="104" t="n">
        <v>7</v>
      </c>
      <c r="K376" s="1" t="n"/>
      <c r="L376" s="104" t="n"/>
      <c r="M376" s="2" t="n"/>
    </row>
    <row r="377" s="83">
      <c r="A377" s="2" t="inlineStr">
        <is>
          <t>101203</t>
        </is>
      </c>
      <c r="B377" s="2" t="n"/>
      <c r="C377" s="2" t="inlineStr">
        <is>
          <t>2025-07-08</t>
        </is>
      </c>
      <c r="D377" s="2" t="inlineStr">
        <is>
          <t>Else01</t>
        </is>
      </c>
      <c r="E377" s="2" t="n"/>
      <c r="F377" s="2" t="inlineStr">
        <is>
          <t>浙江精准学科技有限公司</t>
        </is>
      </c>
      <c r="G377" s="2" t="inlineStr">
        <is>
          <t>记-70</t>
        </is>
      </c>
      <c r="H377" s="2" t="n"/>
      <c r="I377" s="104" t="n">
        <v>7</v>
      </c>
      <c r="J377" s="104" t="n"/>
      <c r="K377" s="1" t="n"/>
      <c r="L377" s="104" t="n"/>
      <c r="M377" s="2" t="n"/>
    </row>
    <row r="378" s="83">
      <c r="A378" s="2" t="inlineStr">
        <is>
          <t>101207</t>
        </is>
      </c>
      <c r="B378" s="2" t="n"/>
      <c r="C378" s="2" t="inlineStr">
        <is>
          <t>2025-07-08</t>
        </is>
      </c>
      <c r="D378" s="2" t="inlineStr">
        <is>
          <t>Else01</t>
        </is>
      </c>
      <c r="E378" s="2" t="n"/>
      <c r="F378" s="2" t="inlineStr">
        <is>
          <t>浙江精准学科技有限公司</t>
        </is>
      </c>
      <c r="G378" s="2" t="inlineStr">
        <is>
          <t>记-70</t>
        </is>
      </c>
      <c r="H378" s="2" t="n"/>
      <c r="I378" s="104" t="n">
        <v>7</v>
      </c>
      <c r="J378" s="104" t="n"/>
      <c r="K378" s="1" t="n"/>
      <c r="L378" s="104" t="n"/>
      <c r="M378" s="2" t="n"/>
    </row>
    <row r="379" s="83">
      <c r="A379" s="2" t="inlineStr">
        <is>
          <t>101201</t>
        </is>
      </c>
      <c r="B379" s="2" t="n"/>
      <c r="C379" s="2" t="inlineStr">
        <is>
          <t>2025-07-08</t>
        </is>
      </c>
      <c r="D379" s="2" t="inlineStr">
        <is>
          <t>Else01</t>
        </is>
      </c>
      <c r="E379" s="2" t="n"/>
      <c r="F379" s="2" t="inlineStr">
        <is>
          <t>浙江精准学科技有限公司</t>
        </is>
      </c>
      <c r="G379" s="2" t="inlineStr">
        <is>
          <t>记-70</t>
        </is>
      </c>
      <c r="H379" s="2" t="n"/>
      <c r="I379" s="104" t="n">
        <v>7</v>
      </c>
      <c r="J379" s="104" t="n"/>
      <c r="K379" s="1" t="n"/>
      <c r="L379" s="104" t="n"/>
      <c r="M379" s="2" t="n"/>
    </row>
    <row r="380" s="83">
      <c r="A380" s="2" t="inlineStr">
        <is>
          <t>101203</t>
        </is>
      </c>
      <c r="B380" s="2" t="n"/>
      <c r="C380" s="2" t="inlineStr">
        <is>
          <t>2025-07-08</t>
        </is>
      </c>
      <c r="D380" s="2" t="inlineStr">
        <is>
          <t>Else01</t>
        </is>
      </c>
      <c r="E380" s="2" t="n"/>
      <c r="F380" s="2" t="inlineStr">
        <is>
          <t>浙江精准学科技有限公司</t>
        </is>
      </c>
      <c r="G380" s="2" t="inlineStr">
        <is>
          <t>记-70</t>
        </is>
      </c>
      <c r="H380" s="2" t="n"/>
      <c r="I380" s="104" t="n">
        <v>7</v>
      </c>
      <c r="J380" s="104" t="n"/>
      <c r="K380" s="1" t="n"/>
      <c r="L380" s="104" t="n"/>
      <c r="M380" s="2" t="n"/>
    </row>
    <row r="381" s="83">
      <c r="A381" s="2" t="inlineStr">
        <is>
          <t>101203</t>
        </is>
      </c>
      <c r="B381" s="2" t="n"/>
      <c r="C381" s="2" t="inlineStr">
        <is>
          <t>2025-07-08</t>
        </is>
      </c>
      <c r="D381" s="2" t="inlineStr">
        <is>
          <t>Else01</t>
        </is>
      </c>
      <c r="E381" s="2" t="n"/>
      <c r="F381" s="2" t="inlineStr">
        <is>
          <t>浙江精准学科技有限公司</t>
        </is>
      </c>
      <c r="G381" s="2" t="inlineStr">
        <is>
          <t>记-71</t>
        </is>
      </c>
      <c r="H381" s="2" t="n"/>
      <c r="I381" s="104" t="n"/>
      <c r="J381" s="104" t="n">
        <v>7</v>
      </c>
      <c r="K381" s="1" t="n"/>
      <c r="L381" s="104" t="n"/>
      <c r="M381" s="2" t="n"/>
    </row>
    <row r="382" s="83">
      <c r="A382" s="2" t="inlineStr">
        <is>
          <t>101207</t>
        </is>
      </c>
      <c r="B382" s="2" t="n"/>
      <c r="C382" s="2" t="inlineStr">
        <is>
          <t>2025-07-08</t>
        </is>
      </c>
      <c r="D382" s="2" t="inlineStr">
        <is>
          <t>Else01</t>
        </is>
      </c>
      <c r="E382" s="2" t="n"/>
      <c r="F382" s="2" t="inlineStr">
        <is>
          <t>浙江精准学科技有限公司</t>
        </is>
      </c>
      <c r="G382" s="2" t="inlineStr">
        <is>
          <t>记-71</t>
        </is>
      </c>
      <c r="H382" s="2" t="n"/>
      <c r="I382" s="104" t="n"/>
      <c r="J382" s="104" t="n">
        <v>7</v>
      </c>
      <c r="K382" s="1" t="n"/>
      <c r="L382" s="104" t="n"/>
      <c r="M382" s="2" t="n"/>
    </row>
    <row r="383" s="83">
      <c r="A383" s="2" t="inlineStr">
        <is>
          <t>101201</t>
        </is>
      </c>
      <c r="B383" s="2" t="n"/>
      <c r="C383" s="2" t="inlineStr">
        <is>
          <t>2025-07-08</t>
        </is>
      </c>
      <c r="D383" s="2" t="inlineStr">
        <is>
          <t>Else01</t>
        </is>
      </c>
      <c r="E383" s="2" t="n"/>
      <c r="F383" s="2" t="inlineStr">
        <is>
          <t>浙江精准学科技有限公司</t>
        </is>
      </c>
      <c r="G383" s="2" t="inlineStr">
        <is>
          <t>记-71</t>
        </is>
      </c>
      <c r="H383" s="2" t="n"/>
      <c r="I383" s="104" t="n"/>
      <c r="J383" s="104" t="n">
        <v>7</v>
      </c>
      <c r="K383" s="1" t="n"/>
      <c r="L383" s="104" t="n"/>
      <c r="M383" s="2" t="n"/>
    </row>
    <row r="384" s="83">
      <c r="A384" s="2" t="inlineStr">
        <is>
          <t>101203</t>
        </is>
      </c>
      <c r="B384" s="2" t="n"/>
      <c r="C384" s="2" t="inlineStr">
        <is>
          <t>2025-07-08</t>
        </is>
      </c>
      <c r="D384" s="2" t="inlineStr">
        <is>
          <t>Else01</t>
        </is>
      </c>
      <c r="E384" s="2" t="n"/>
      <c r="F384" s="2" t="inlineStr">
        <is>
          <t>浙江精准学科技有限公司</t>
        </is>
      </c>
      <c r="G384" s="2" t="inlineStr">
        <is>
          <t>记-71</t>
        </is>
      </c>
      <c r="H384" s="2" t="n"/>
      <c r="I384" s="104" t="n"/>
      <c r="J384" s="104" t="n">
        <v>7</v>
      </c>
      <c r="K384" s="1" t="n"/>
      <c r="L384" s="104" t="n"/>
      <c r="M384" s="2" t="n"/>
    </row>
    <row r="385" s="83">
      <c r="A385" s="2" t="inlineStr">
        <is>
          <t>101203</t>
        </is>
      </c>
      <c r="B385" s="2" t="n"/>
      <c r="C385" s="2" t="inlineStr">
        <is>
          <t>2025-07-09</t>
        </is>
      </c>
      <c r="D385" s="2" t="inlineStr">
        <is>
          <t>Else01</t>
        </is>
      </c>
      <c r="E385" s="2" t="n"/>
      <c r="F385" s="2" t="inlineStr">
        <is>
          <t>浙江精准学科技有限公司</t>
        </is>
      </c>
      <c r="G385" s="2" t="inlineStr">
        <is>
          <t>记-80</t>
        </is>
      </c>
      <c r="H385" s="2" t="n"/>
      <c r="I385" s="104" t="n">
        <v>7</v>
      </c>
      <c r="J385" s="104" t="n"/>
      <c r="K385" s="1" t="n"/>
      <c r="L385" s="104" t="n"/>
      <c r="M385" s="2" t="n"/>
    </row>
    <row r="386" s="83">
      <c r="A386" s="2" t="inlineStr">
        <is>
          <t>101207</t>
        </is>
      </c>
      <c r="B386" s="2" t="n"/>
      <c r="C386" s="2" t="inlineStr">
        <is>
          <t>2025-07-09</t>
        </is>
      </c>
      <c r="D386" s="2" t="inlineStr">
        <is>
          <t>Else01</t>
        </is>
      </c>
      <c r="E386" s="2" t="n"/>
      <c r="F386" s="2" t="inlineStr">
        <is>
          <t>浙江精准学科技有限公司</t>
        </is>
      </c>
      <c r="G386" s="2" t="inlineStr">
        <is>
          <t>记-80</t>
        </is>
      </c>
      <c r="H386" s="2" t="n"/>
      <c r="I386" s="104" t="n">
        <v>7</v>
      </c>
      <c r="J386" s="104" t="n"/>
      <c r="K386" s="1" t="n"/>
      <c r="L386" s="104" t="n"/>
      <c r="M386" s="2" t="n"/>
    </row>
    <row r="387" s="83">
      <c r="A387" s="2" t="inlineStr">
        <is>
          <t>101201</t>
        </is>
      </c>
      <c r="B387" s="2" t="n"/>
      <c r="C387" s="2" t="inlineStr">
        <is>
          <t>2025-07-09</t>
        </is>
      </c>
      <c r="D387" s="2" t="inlineStr">
        <is>
          <t>Else01</t>
        </is>
      </c>
      <c r="E387" s="2" t="n"/>
      <c r="F387" s="2" t="inlineStr">
        <is>
          <t>浙江精准学科技有限公司</t>
        </is>
      </c>
      <c r="G387" s="2" t="inlineStr">
        <is>
          <t>记-80</t>
        </is>
      </c>
      <c r="H387" s="2" t="n"/>
      <c r="I387" s="104" t="n">
        <v>7</v>
      </c>
      <c r="J387" s="104" t="n"/>
      <c r="K387" s="1" t="n"/>
      <c r="L387" s="104" t="n"/>
      <c r="M387" s="2" t="n"/>
    </row>
    <row r="388" s="83">
      <c r="A388" s="2" t="inlineStr">
        <is>
          <t>101203</t>
        </is>
      </c>
      <c r="B388" s="2" t="n"/>
      <c r="C388" s="2" t="inlineStr">
        <is>
          <t>2025-07-09</t>
        </is>
      </c>
      <c r="D388" s="2" t="inlineStr">
        <is>
          <t>Else01</t>
        </is>
      </c>
      <c r="E388" s="2" t="n"/>
      <c r="F388" s="2" t="inlineStr">
        <is>
          <t>浙江精准学科技有限公司</t>
        </is>
      </c>
      <c r="G388" s="2" t="inlineStr">
        <is>
          <t>记-80</t>
        </is>
      </c>
      <c r="H388" s="2" t="n"/>
      <c r="I388" s="104" t="n">
        <v>7</v>
      </c>
      <c r="J388" s="104" t="n"/>
      <c r="K388" s="1" t="n"/>
      <c r="L388" s="104" t="n"/>
      <c r="M388" s="2" t="n"/>
    </row>
    <row r="389" s="83">
      <c r="A389" s="2" t="inlineStr">
        <is>
          <t>101203</t>
        </is>
      </c>
      <c r="B389" s="2" t="n"/>
      <c r="C389" s="2" t="inlineStr">
        <is>
          <t>2025-07-09</t>
        </is>
      </c>
      <c r="D389" s="2" t="inlineStr">
        <is>
          <t>Else01</t>
        </is>
      </c>
      <c r="E389" s="2" t="n"/>
      <c r="F389" s="2" t="inlineStr">
        <is>
          <t>浙江精准学科技有限公司</t>
        </is>
      </c>
      <c r="G389" s="2" t="inlineStr">
        <is>
          <t>记-81</t>
        </is>
      </c>
      <c r="H389" s="2" t="n"/>
      <c r="I389" s="104" t="n"/>
      <c r="J389" s="104" t="n">
        <v>7</v>
      </c>
      <c r="K389" s="1" t="n"/>
      <c r="L389" s="104" t="n"/>
      <c r="M389" s="2" t="n"/>
    </row>
    <row r="390" s="83">
      <c r="A390" s="2" t="inlineStr">
        <is>
          <t>101207</t>
        </is>
      </c>
      <c r="B390" s="2" t="n"/>
      <c r="C390" s="2" t="inlineStr">
        <is>
          <t>2025-07-09</t>
        </is>
      </c>
      <c r="D390" s="2" t="inlineStr">
        <is>
          <t>Else01</t>
        </is>
      </c>
      <c r="E390" s="2" t="n"/>
      <c r="F390" s="2" t="inlineStr">
        <is>
          <t>浙江精准学科技有限公司</t>
        </is>
      </c>
      <c r="G390" s="2" t="inlineStr">
        <is>
          <t>记-81</t>
        </is>
      </c>
      <c r="H390" s="2" t="n"/>
      <c r="I390" s="104" t="n"/>
      <c r="J390" s="104" t="n">
        <v>7</v>
      </c>
      <c r="K390" s="1" t="n"/>
      <c r="L390" s="104" t="n"/>
      <c r="M390" s="2" t="n"/>
    </row>
    <row r="391" s="83">
      <c r="A391" s="2" t="inlineStr">
        <is>
          <t>101201</t>
        </is>
      </c>
      <c r="B391" s="2" t="n"/>
      <c r="C391" s="2" t="inlineStr">
        <is>
          <t>2025-07-09</t>
        </is>
      </c>
      <c r="D391" s="2" t="inlineStr">
        <is>
          <t>Else01</t>
        </is>
      </c>
      <c r="E391" s="2" t="n"/>
      <c r="F391" s="2" t="inlineStr">
        <is>
          <t>浙江精准学科技有限公司</t>
        </is>
      </c>
      <c r="G391" s="2" t="inlineStr">
        <is>
          <t>记-81</t>
        </is>
      </c>
      <c r="H391" s="2" t="n"/>
      <c r="I391" s="104" t="n"/>
      <c r="J391" s="104" t="n">
        <v>7</v>
      </c>
      <c r="K391" s="1" t="n"/>
      <c r="L391" s="104" t="n"/>
      <c r="M391" s="2" t="n"/>
    </row>
    <row r="392" s="83">
      <c r="A392" s="2" t="inlineStr">
        <is>
          <t>101203</t>
        </is>
      </c>
      <c r="B392" s="2" t="n"/>
      <c r="C392" s="2" t="inlineStr">
        <is>
          <t>2025-07-09</t>
        </is>
      </c>
      <c r="D392" s="2" t="inlineStr">
        <is>
          <t>Else01</t>
        </is>
      </c>
      <c r="E392" s="2" t="n"/>
      <c r="F392" s="2" t="inlineStr">
        <is>
          <t>浙江精准学科技有限公司</t>
        </is>
      </c>
      <c r="G392" s="2" t="inlineStr">
        <is>
          <t>记-81</t>
        </is>
      </c>
      <c r="H392" s="2" t="n"/>
      <c r="I392" s="104" t="n"/>
      <c r="J392" s="104" t="n">
        <v>7</v>
      </c>
      <c r="K392" s="1" t="n"/>
      <c r="L392" s="104" t="n"/>
      <c r="M392" s="2" t="n"/>
    </row>
    <row r="393" s="83">
      <c r="A393" s="2" t="inlineStr">
        <is>
          <t>101203</t>
        </is>
      </c>
      <c r="B393" s="2" t="n"/>
      <c r="C393" s="2" t="inlineStr">
        <is>
          <t>2025-07-10</t>
        </is>
      </c>
      <c r="D393" s="2" t="inlineStr">
        <is>
          <t>Else01</t>
        </is>
      </c>
      <c r="E393" s="2" t="n"/>
      <c r="F393" s="2" t="inlineStr">
        <is>
          <t>浙江精准学科技有限公司</t>
        </is>
      </c>
      <c r="G393" s="2" t="inlineStr">
        <is>
          <t>记-97</t>
        </is>
      </c>
      <c r="H393" s="2" t="n"/>
      <c r="I393" s="104" t="n">
        <v>7</v>
      </c>
      <c r="J393" s="104" t="n"/>
      <c r="K393" s="1" t="n"/>
      <c r="L393" s="104" t="n"/>
      <c r="M393" s="2" t="n"/>
    </row>
    <row r="394" s="83">
      <c r="A394" s="2" t="inlineStr">
        <is>
          <t>101201</t>
        </is>
      </c>
      <c r="B394" s="2" t="n"/>
      <c r="C394" s="2" t="inlineStr">
        <is>
          <t>2025-07-10</t>
        </is>
      </c>
      <c r="D394" s="2" t="inlineStr">
        <is>
          <t>Else01</t>
        </is>
      </c>
      <c r="E394" s="2" t="n"/>
      <c r="F394" s="2" t="inlineStr">
        <is>
          <t>浙江精准学科技有限公司</t>
        </is>
      </c>
      <c r="G394" s="2" t="inlineStr">
        <is>
          <t>记-97</t>
        </is>
      </c>
      <c r="H394" s="2" t="n"/>
      <c r="I394" s="104" t="n">
        <v>7</v>
      </c>
      <c r="J394" s="104" t="n"/>
      <c r="K394" s="1" t="n"/>
      <c r="L394" s="104" t="n"/>
      <c r="M394" s="2" t="n"/>
    </row>
    <row r="395" s="83">
      <c r="A395" s="2" t="inlineStr">
        <is>
          <t>101203</t>
        </is>
      </c>
      <c r="B395" s="2" t="n"/>
      <c r="C395" s="2" t="inlineStr">
        <is>
          <t>2025-07-10</t>
        </is>
      </c>
      <c r="D395" s="2" t="inlineStr">
        <is>
          <t>Else01</t>
        </is>
      </c>
      <c r="E395" s="2" t="n"/>
      <c r="F395" s="2" t="inlineStr">
        <is>
          <t>浙江精准学科技有限公司</t>
        </is>
      </c>
      <c r="G395" s="2" t="inlineStr">
        <is>
          <t>记-97</t>
        </is>
      </c>
      <c r="H395" s="2" t="n"/>
      <c r="I395" s="104" t="n">
        <v>7</v>
      </c>
      <c r="J395" s="104" t="n"/>
      <c r="K395" s="1" t="n"/>
      <c r="L395" s="104" t="n"/>
      <c r="M395" s="2" t="n"/>
    </row>
    <row r="396" s="83">
      <c r="A396" s="2" t="inlineStr">
        <is>
          <t>101207</t>
        </is>
      </c>
      <c r="B396" s="2" t="n"/>
      <c r="C396" s="2" t="inlineStr">
        <is>
          <t>2025-07-10</t>
        </is>
      </c>
      <c r="D396" s="2" t="inlineStr">
        <is>
          <t>Else01</t>
        </is>
      </c>
      <c r="E396" s="2" t="n"/>
      <c r="F396" s="2" t="inlineStr">
        <is>
          <t>浙江精准学科技有限公司</t>
        </is>
      </c>
      <c r="G396" s="2" t="inlineStr">
        <is>
          <t>记-97</t>
        </is>
      </c>
      <c r="H396" s="2" t="n"/>
      <c r="I396" s="104" t="n">
        <v>7</v>
      </c>
      <c r="J396" s="104" t="n"/>
      <c r="K396" s="1" t="n"/>
      <c r="L396" s="104" t="n"/>
      <c r="M396" s="2" t="n"/>
    </row>
    <row r="397" s="83">
      <c r="A397" s="2" t="inlineStr">
        <is>
          <t>101203</t>
        </is>
      </c>
      <c r="B397" s="2" t="n"/>
      <c r="C397" s="2" t="inlineStr">
        <is>
          <t>2025-07-10</t>
        </is>
      </c>
      <c r="D397" s="2" t="inlineStr">
        <is>
          <t>Else01</t>
        </is>
      </c>
      <c r="E397" s="2" t="n"/>
      <c r="F397" s="2" t="inlineStr">
        <is>
          <t>浙江精准学科技有限公司</t>
        </is>
      </c>
      <c r="G397" s="2" t="inlineStr">
        <is>
          <t>记-98</t>
        </is>
      </c>
      <c r="H397" s="2" t="n"/>
      <c r="I397" s="104" t="n"/>
      <c r="J397" s="104" t="n">
        <v>7</v>
      </c>
      <c r="K397" s="1" t="n"/>
      <c r="L397" s="104" t="n"/>
      <c r="M397" s="2" t="n"/>
    </row>
    <row r="398" s="83">
      <c r="A398" s="2" t="inlineStr">
        <is>
          <t>101201</t>
        </is>
      </c>
      <c r="B398" s="2" t="n"/>
      <c r="C398" s="2" t="inlineStr">
        <is>
          <t>2025-07-10</t>
        </is>
      </c>
      <c r="D398" s="2" t="inlineStr">
        <is>
          <t>Else01</t>
        </is>
      </c>
      <c r="E398" s="2" t="n"/>
      <c r="F398" s="2" t="inlineStr">
        <is>
          <t>浙江精准学科技有限公司</t>
        </is>
      </c>
      <c r="G398" s="2" t="inlineStr">
        <is>
          <t>记-98</t>
        </is>
      </c>
      <c r="H398" s="2" t="n"/>
      <c r="I398" s="104" t="n"/>
      <c r="J398" s="104" t="n">
        <v>7</v>
      </c>
      <c r="K398" s="1" t="n"/>
      <c r="L398" s="104" t="n"/>
      <c r="M398" s="2" t="n"/>
    </row>
    <row r="399" s="83">
      <c r="A399" s="2" t="inlineStr">
        <is>
          <t>101203</t>
        </is>
      </c>
      <c r="B399" s="2" t="n"/>
      <c r="C399" s="2" t="inlineStr">
        <is>
          <t>2025-07-10</t>
        </is>
      </c>
      <c r="D399" s="2" t="inlineStr">
        <is>
          <t>Else01</t>
        </is>
      </c>
      <c r="E399" s="2" t="n"/>
      <c r="F399" s="2" t="inlineStr">
        <is>
          <t>浙江精准学科技有限公司</t>
        </is>
      </c>
      <c r="G399" s="2" t="inlineStr">
        <is>
          <t>记-98</t>
        </is>
      </c>
      <c r="H399" s="2" t="n"/>
      <c r="I399" s="104" t="n"/>
      <c r="J399" s="104" t="n">
        <v>7</v>
      </c>
      <c r="K399" s="1" t="n"/>
      <c r="L399" s="104" t="n"/>
      <c r="M399" s="2" t="n"/>
    </row>
    <row r="400" s="83">
      <c r="A400" s="2" t="inlineStr">
        <is>
          <t>101207</t>
        </is>
      </c>
      <c r="B400" s="2" t="n"/>
      <c r="C400" s="2" t="inlineStr">
        <is>
          <t>2025-07-10</t>
        </is>
      </c>
      <c r="D400" s="2" t="inlineStr">
        <is>
          <t>Else01</t>
        </is>
      </c>
      <c r="E400" s="2" t="n"/>
      <c r="F400" s="2" t="inlineStr">
        <is>
          <t>浙江精准学科技有限公司</t>
        </is>
      </c>
      <c r="G400" s="2" t="inlineStr">
        <is>
          <t>记-98</t>
        </is>
      </c>
      <c r="H400" s="2" t="n"/>
      <c r="I400" s="104" t="n"/>
      <c r="J400" s="104" t="n">
        <v>7</v>
      </c>
      <c r="K400" s="1" t="n"/>
      <c r="L400" s="104" t="n"/>
      <c r="M400" s="2" t="n"/>
    </row>
    <row r="401" s="83">
      <c r="A401" s="2" t="inlineStr">
        <is>
          <t>101203</t>
        </is>
      </c>
      <c r="B401" s="2" t="n"/>
      <c r="C401" s="2" t="inlineStr">
        <is>
          <t>2025-07-11</t>
        </is>
      </c>
      <c r="D401" s="2" t="inlineStr">
        <is>
          <t>Else01</t>
        </is>
      </c>
      <c r="E401" s="2" t="n"/>
      <c r="F401" s="2" t="inlineStr">
        <is>
          <t>浙江精准学科技有限公司</t>
        </is>
      </c>
      <c r="G401" s="2" t="inlineStr">
        <is>
          <t>记-109</t>
        </is>
      </c>
      <c r="H401" s="2" t="n"/>
      <c r="I401" s="104" t="n">
        <v>7</v>
      </c>
      <c r="J401" s="104" t="n"/>
      <c r="K401" s="1" t="n"/>
      <c r="L401" s="104" t="n"/>
      <c r="M401" s="2" t="n"/>
    </row>
    <row r="402" s="83">
      <c r="A402" s="2" t="inlineStr">
        <is>
          <t>101207</t>
        </is>
      </c>
      <c r="B402" s="2" t="n"/>
      <c r="C402" s="2" t="inlineStr">
        <is>
          <t>2025-07-11</t>
        </is>
      </c>
      <c r="D402" s="2" t="inlineStr">
        <is>
          <t>Else01</t>
        </is>
      </c>
      <c r="E402" s="2" t="n"/>
      <c r="F402" s="2" t="inlineStr">
        <is>
          <t>浙江精准学科技有限公司</t>
        </is>
      </c>
      <c r="G402" s="2" t="inlineStr">
        <is>
          <t>记-109</t>
        </is>
      </c>
      <c r="H402" s="2" t="n"/>
      <c r="I402" s="104" t="n">
        <v>7</v>
      </c>
      <c r="J402" s="104" t="n"/>
      <c r="K402" s="1" t="n"/>
      <c r="L402" s="104" t="n"/>
      <c r="M402" s="2" t="n"/>
    </row>
    <row r="403" s="83">
      <c r="A403" s="2" t="inlineStr">
        <is>
          <t>101201</t>
        </is>
      </c>
      <c r="B403" s="2" t="n"/>
      <c r="C403" s="2" t="inlineStr">
        <is>
          <t>2025-07-11</t>
        </is>
      </c>
      <c r="D403" s="2" t="inlineStr">
        <is>
          <t>Else01</t>
        </is>
      </c>
      <c r="E403" s="2" t="n"/>
      <c r="F403" s="2" t="inlineStr">
        <is>
          <t>浙江精准学科技有限公司</t>
        </is>
      </c>
      <c r="G403" s="2" t="inlineStr">
        <is>
          <t>记-109</t>
        </is>
      </c>
      <c r="H403" s="2" t="n"/>
      <c r="I403" s="104" t="n">
        <v>7</v>
      </c>
      <c r="J403" s="104" t="n"/>
      <c r="K403" s="1" t="n"/>
      <c r="L403" s="104" t="n"/>
      <c r="M403" s="2" t="n"/>
    </row>
    <row r="404" s="83">
      <c r="A404" s="2" t="inlineStr">
        <is>
          <t>101203</t>
        </is>
      </c>
      <c r="B404" s="2" t="n"/>
      <c r="C404" s="2" t="inlineStr">
        <is>
          <t>2025-07-11</t>
        </is>
      </c>
      <c r="D404" s="2" t="inlineStr">
        <is>
          <t>Else01</t>
        </is>
      </c>
      <c r="E404" s="2" t="n"/>
      <c r="F404" s="2" t="inlineStr">
        <is>
          <t>浙江精准学科技有限公司</t>
        </is>
      </c>
      <c r="G404" s="2" t="inlineStr">
        <is>
          <t>记-109</t>
        </is>
      </c>
      <c r="H404" s="2" t="n"/>
      <c r="I404" s="104" t="n">
        <v>7</v>
      </c>
      <c r="J404" s="104" t="n"/>
      <c r="K404" s="1" t="n"/>
      <c r="L404" s="104" t="n"/>
      <c r="M404" s="2" t="n"/>
    </row>
    <row r="405" s="83">
      <c r="A405" s="2" t="inlineStr">
        <is>
          <t>101203</t>
        </is>
      </c>
      <c r="B405" s="2" t="n"/>
      <c r="C405" s="2" t="inlineStr">
        <is>
          <t>2025-07-11</t>
        </is>
      </c>
      <c r="D405" s="2" t="inlineStr">
        <is>
          <t>Else01</t>
        </is>
      </c>
      <c r="E405" s="2" t="n"/>
      <c r="F405" s="2" t="inlineStr">
        <is>
          <t>浙江精准学科技有限公司</t>
        </is>
      </c>
      <c r="G405" s="2" t="inlineStr">
        <is>
          <t>记-110</t>
        </is>
      </c>
      <c r="H405" s="2" t="n"/>
      <c r="I405" s="104" t="n"/>
      <c r="J405" s="104" t="n">
        <v>7</v>
      </c>
      <c r="K405" s="1" t="n"/>
      <c r="L405" s="104" t="n"/>
      <c r="M405" s="2" t="n"/>
    </row>
    <row r="406" s="83">
      <c r="A406" s="2" t="inlineStr">
        <is>
          <t>101207</t>
        </is>
      </c>
      <c r="B406" s="2" t="n"/>
      <c r="C406" s="2" t="inlineStr">
        <is>
          <t>2025-07-11</t>
        </is>
      </c>
      <c r="D406" s="2" t="inlineStr">
        <is>
          <t>Else01</t>
        </is>
      </c>
      <c r="E406" s="2" t="n"/>
      <c r="F406" s="2" t="inlineStr">
        <is>
          <t>浙江精准学科技有限公司</t>
        </is>
      </c>
      <c r="G406" s="2" t="inlineStr">
        <is>
          <t>记-110</t>
        </is>
      </c>
      <c r="H406" s="2" t="n"/>
      <c r="I406" s="104" t="n"/>
      <c r="J406" s="104" t="n">
        <v>7</v>
      </c>
      <c r="K406" s="1" t="n"/>
      <c r="L406" s="104" t="n"/>
      <c r="M406" s="2" t="n"/>
    </row>
    <row r="407" s="83">
      <c r="A407" s="2" t="inlineStr">
        <is>
          <t>101201</t>
        </is>
      </c>
      <c r="B407" s="2" t="n"/>
      <c r="C407" s="2" t="inlineStr">
        <is>
          <t>2025-07-11</t>
        </is>
      </c>
      <c r="D407" s="2" t="inlineStr">
        <is>
          <t>Else01</t>
        </is>
      </c>
      <c r="E407" s="2" t="n"/>
      <c r="F407" s="2" t="inlineStr">
        <is>
          <t>浙江精准学科技有限公司</t>
        </is>
      </c>
      <c r="G407" s="2" t="inlineStr">
        <is>
          <t>记-110</t>
        </is>
      </c>
      <c r="H407" s="2" t="n"/>
      <c r="I407" s="104" t="n"/>
      <c r="J407" s="104" t="n">
        <v>7</v>
      </c>
      <c r="K407" s="1" t="n"/>
      <c r="L407" s="104" t="n"/>
      <c r="M407" s="2" t="n"/>
    </row>
    <row r="408" s="83">
      <c r="A408" s="2" t="inlineStr">
        <is>
          <t>101203</t>
        </is>
      </c>
      <c r="B408" s="2" t="n"/>
      <c r="C408" s="2" t="inlineStr">
        <is>
          <t>2025-07-12</t>
        </is>
      </c>
      <c r="D408" s="2" t="inlineStr">
        <is>
          <t>Else01</t>
        </is>
      </c>
      <c r="E408" s="2" t="n"/>
      <c r="F408" s="2" t="inlineStr">
        <is>
          <t>浙江精准学科技有限公司</t>
        </is>
      </c>
      <c r="G408" s="2" t="inlineStr">
        <is>
          <t>记-111</t>
        </is>
      </c>
      <c r="H408" s="2" t="n"/>
      <c r="I408" s="104" t="n">
        <v>7</v>
      </c>
      <c r="J408" s="104" t="n"/>
      <c r="K408" s="1" t="n"/>
      <c r="L408" s="104" t="n"/>
      <c r="M408" s="2" t="n"/>
    </row>
    <row r="409" s="83">
      <c r="A409" s="2" t="inlineStr">
        <is>
          <t>101207</t>
        </is>
      </c>
      <c r="B409" s="2" t="n"/>
      <c r="C409" s="2" t="inlineStr">
        <is>
          <t>2025-07-12</t>
        </is>
      </c>
      <c r="D409" s="2" t="inlineStr">
        <is>
          <t>Else01</t>
        </is>
      </c>
      <c r="E409" s="2" t="n"/>
      <c r="F409" s="2" t="inlineStr">
        <is>
          <t>浙江精准学科技有限公司</t>
        </is>
      </c>
      <c r="G409" s="2" t="inlineStr">
        <is>
          <t>记-111</t>
        </is>
      </c>
      <c r="H409" s="2" t="n"/>
      <c r="I409" s="104" t="n">
        <v>7</v>
      </c>
      <c r="J409" s="104" t="n"/>
      <c r="K409" s="1" t="n"/>
      <c r="L409" s="104" t="n"/>
      <c r="M409" s="2" t="n"/>
    </row>
    <row r="410" s="83">
      <c r="A410" s="2" t="inlineStr">
        <is>
          <t>101201</t>
        </is>
      </c>
      <c r="B410" s="2" t="n"/>
      <c r="C410" s="2" t="inlineStr">
        <is>
          <t>2025-07-12</t>
        </is>
      </c>
      <c r="D410" s="2" t="inlineStr">
        <is>
          <t>Else01</t>
        </is>
      </c>
      <c r="E410" s="2" t="n"/>
      <c r="F410" s="2" t="inlineStr">
        <is>
          <t>浙江精准学科技有限公司</t>
        </is>
      </c>
      <c r="G410" s="2" t="inlineStr">
        <is>
          <t>记-111</t>
        </is>
      </c>
      <c r="H410" s="2" t="n"/>
      <c r="I410" s="104" t="n">
        <v>7</v>
      </c>
      <c r="J410" s="104" t="n"/>
      <c r="K410" s="1" t="n"/>
      <c r="L410" s="104" t="n"/>
      <c r="M410" s="2" t="n"/>
    </row>
    <row r="411" s="83">
      <c r="A411" s="2" t="inlineStr">
        <is>
          <t>101203</t>
        </is>
      </c>
      <c r="B411" s="2" t="n"/>
      <c r="C411" s="2" t="inlineStr">
        <is>
          <t>2025-07-12</t>
        </is>
      </c>
      <c r="D411" s="2" t="inlineStr">
        <is>
          <t>Else01</t>
        </is>
      </c>
      <c r="E411" s="2" t="n"/>
      <c r="F411" s="2" t="inlineStr">
        <is>
          <t>浙江精准学科技有限公司</t>
        </is>
      </c>
      <c r="G411" s="2" t="inlineStr">
        <is>
          <t>记-111</t>
        </is>
      </c>
      <c r="H411" s="2" t="n"/>
      <c r="I411" s="104" t="n">
        <v>7</v>
      </c>
      <c r="J411" s="104" t="n"/>
      <c r="K411" s="1" t="n"/>
      <c r="L411" s="104" t="n"/>
      <c r="M411" s="2" t="n"/>
    </row>
    <row r="412" s="83">
      <c r="A412" s="2" t="inlineStr">
        <is>
          <t>101203</t>
        </is>
      </c>
      <c r="B412" s="2" t="n"/>
      <c r="C412" s="2" t="inlineStr">
        <is>
          <t>2025-07-12</t>
        </is>
      </c>
      <c r="D412" s="2" t="inlineStr">
        <is>
          <t>Else01</t>
        </is>
      </c>
      <c r="E412" s="2" t="n"/>
      <c r="F412" s="2" t="inlineStr">
        <is>
          <t>浙江精准学科技有限公司</t>
        </is>
      </c>
      <c r="G412" s="2" t="inlineStr">
        <is>
          <t>记-112</t>
        </is>
      </c>
      <c r="H412" s="2" t="n"/>
      <c r="I412" s="104" t="n"/>
      <c r="J412" s="104" t="n">
        <v>7</v>
      </c>
      <c r="K412" s="1" t="n"/>
      <c r="L412" s="104" t="n"/>
      <c r="M412" s="2" t="n"/>
    </row>
    <row r="413" s="83">
      <c r="A413" s="2" t="inlineStr">
        <is>
          <t>101207</t>
        </is>
      </c>
      <c r="B413" s="2" t="n"/>
      <c r="C413" s="2" t="inlineStr">
        <is>
          <t>2025-07-12</t>
        </is>
      </c>
      <c r="D413" s="2" t="inlineStr">
        <is>
          <t>Else01</t>
        </is>
      </c>
      <c r="E413" s="2" t="n"/>
      <c r="F413" s="2" t="inlineStr">
        <is>
          <t>浙江精准学科技有限公司</t>
        </is>
      </c>
      <c r="G413" s="2" t="inlineStr">
        <is>
          <t>记-112</t>
        </is>
      </c>
      <c r="H413" s="2" t="n"/>
      <c r="I413" s="104" t="n"/>
      <c r="J413" s="104" t="n">
        <v>7</v>
      </c>
      <c r="K413" s="1" t="n"/>
      <c r="L413" s="104" t="n"/>
      <c r="M413" s="2" t="n"/>
    </row>
    <row r="414" s="83">
      <c r="A414" s="2" t="inlineStr">
        <is>
          <t>101201</t>
        </is>
      </c>
      <c r="B414" s="2" t="n"/>
      <c r="C414" s="2" t="inlineStr">
        <is>
          <t>2025-07-12</t>
        </is>
      </c>
      <c r="D414" s="2" t="inlineStr">
        <is>
          <t>Else01</t>
        </is>
      </c>
      <c r="E414" s="2" t="n"/>
      <c r="F414" s="2" t="inlineStr">
        <is>
          <t>浙江精准学科技有限公司</t>
        </is>
      </c>
      <c r="G414" s="2" t="inlineStr">
        <is>
          <t>记-112</t>
        </is>
      </c>
      <c r="H414" s="2" t="n"/>
      <c r="I414" s="104" t="n"/>
      <c r="J414" s="104" t="n">
        <v>7</v>
      </c>
      <c r="K414" s="1" t="n"/>
      <c r="L414" s="104" t="n"/>
      <c r="M414" s="2" t="n"/>
    </row>
    <row r="415" s="83">
      <c r="A415" s="2" t="inlineStr">
        <is>
          <t>101203</t>
        </is>
      </c>
      <c r="B415" s="2" t="n"/>
      <c r="C415" s="2" t="inlineStr">
        <is>
          <t>2025-07-12</t>
        </is>
      </c>
      <c r="D415" s="2" t="inlineStr">
        <is>
          <t>Else01</t>
        </is>
      </c>
      <c r="E415" s="2" t="n"/>
      <c r="F415" s="2" t="inlineStr">
        <is>
          <t>浙江精准学科技有限公司</t>
        </is>
      </c>
      <c r="G415" s="2" t="inlineStr">
        <is>
          <t>记-112</t>
        </is>
      </c>
      <c r="H415" s="2" t="n"/>
      <c r="I415" s="104" t="n"/>
      <c r="J415" s="104" t="n">
        <v>7</v>
      </c>
      <c r="K415" s="1" t="n"/>
      <c r="L415" s="104" t="n"/>
      <c r="M415" s="2" t="n"/>
    </row>
    <row r="416" s="83">
      <c r="A416" s="2" t="inlineStr">
        <is>
          <t>101203</t>
        </is>
      </c>
      <c r="B416" s="2" t="n"/>
      <c r="C416" s="2" t="inlineStr">
        <is>
          <t>2025-07-13</t>
        </is>
      </c>
      <c r="D416" s="2" t="inlineStr">
        <is>
          <t>Else01</t>
        </is>
      </c>
      <c r="E416" s="2" t="n"/>
      <c r="F416" s="2" t="inlineStr">
        <is>
          <t>浙江精准学科技有限公司</t>
        </is>
      </c>
      <c r="G416" s="2" t="inlineStr">
        <is>
          <t>记-114</t>
        </is>
      </c>
      <c r="H416" s="2" t="n"/>
      <c r="I416" s="104" t="n">
        <v>7</v>
      </c>
      <c r="J416" s="104" t="n"/>
      <c r="K416" s="1" t="n"/>
      <c r="L416" s="104" t="n"/>
      <c r="M416" s="2" t="n"/>
    </row>
    <row r="417" s="83">
      <c r="A417" s="2" t="inlineStr">
        <is>
          <t>101201</t>
        </is>
      </c>
      <c r="B417" s="2" t="n"/>
      <c r="C417" s="2" t="inlineStr">
        <is>
          <t>2025-07-13</t>
        </is>
      </c>
      <c r="D417" s="2" t="inlineStr">
        <is>
          <t>Else01</t>
        </is>
      </c>
      <c r="E417" s="2" t="n"/>
      <c r="F417" s="2" t="inlineStr">
        <is>
          <t>浙江精准学科技有限公司</t>
        </is>
      </c>
      <c r="G417" s="2" t="inlineStr">
        <is>
          <t>记-114</t>
        </is>
      </c>
      <c r="H417" s="2" t="n"/>
      <c r="I417" s="104" t="n">
        <v>7</v>
      </c>
      <c r="J417" s="104" t="n"/>
      <c r="K417" s="1" t="n"/>
      <c r="L417" s="104" t="n"/>
      <c r="M417" s="2" t="n"/>
    </row>
    <row r="418" s="83">
      <c r="A418" s="2" t="inlineStr">
        <is>
          <t>101203</t>
        </is>
      </c>
      <c r="B418" s="2" t="n"/>
      <c r="C418" s="2" t="inlineStr">
        <is>
          <t>2025-07-13</t>
        </is>
      </c>
      <c r="D418" s="2" t="inlineStr">
        <is>
          <t>Else01</t>
        </is>
      </c>
      <c r="E418" s="2" t="n"/>
      <c r="F418" s="2" t="inlineStr">
        <is>
          <t>浙江精准学科技有限公司</t>
        </is>
      </c>
      <c r="G418" s="2" t="inlineStr">
        <is>
          <t>记-114</t>
        </is>
      </c>
      <c r="H418" s="2" t="n"/>
      <c r="I418" s="104" t="n">
        <v>7</v>
      </c>
      <c r="J418" s="104" t="n"/>
      <c r="K418" s="1" t="n"/>
      <c r="L418" s="104" t="n"/>
      <c r="M418" s="2" t="n"/>
    </row>
    <row r="419" s="83">
      <c r="A419" s="2" t="inlineStr">
        <is>
          <t>101207</t>
        </is>
      </c>
      <c r="B419" s="2" t="n"/>
      <c r="C419" s="2" t="inlineStr">
        <is>
          <t>2025-07-13</t>
        </is>
      </c>
      <c r="D419" s="2" t="inlineStr">
        <is>
          <t>Else01</t>
        </is>
      </c>
      <c r="E419" s="2" t="n"/>
      <c r="F419" s="2" t="inlineStr">
        <is>
          <t>浙江精准学科技有限公司</t>
        </is>
      </c>
      <c r="G419" s="2" t="inlineStr">
        <is>
          <t>记-114</t>
        </is>
      </c>
      <c r="H419" s="2" t="n"/>
      <c r="I419" s="104" t="n">
        <v>7</v>
      </c>
      <c r="J419" s="104" t="n"/>
      <c r="K419" s="1" t="n"/>
      <c r="L419" s="104" t="n"/>
      <c r="M419" s="2" t="n"/>
    </row>
    <row r="420" s="83">
      <c r="A420" s="2" t="inlineStr">
        <is>
          <t>101203</t>
        </is>
      </c>
      <c r="B420" s="2" t="n"/>
      <c r="C420" s="2" t="inlineStr">
        <is>
          <t>2025-07-13</t>
        </is>
      </c>
      <c r="D420" s="2" t="inlineStr">
        <is>
          <t>Else01</t>
        </is>
      </c>
      <c r="E420" s="2" t="n"/>
      <c r="F420" s="2" t="inlineStr">
        <is>
          <t>浙江精准学科技有限公司</t>
        </is>
      </c>
      <c r="G420" s="2" t="inlineStr">
        <is>
          <t>记-115</t>
        </is>
      </c>
      <c r="H420" s="2" t="n"/>
      <c r="I420" s="104" t="n"/>
      <c r="J420" s="104" t="n">
        <v>7</v>
      </c>
      <c r="K420" s="1" t="n"/>
      <c r="L420" s="104" t="n"/>
      <c r="M420" s="2" t="n"/>
    </row>
    <row r="421" s="83">
      <c r="A421" s="2" t="inlineStr">
        <is>
          <t>101201</t>
        </is>
      </c>
      <c r="B421" s="2" t="n"/>
      <c r="C421" s="2" t="inlineStr">
        <is>
          <t>2025-07-13</t>
        </is>
      </c>
      <c r="D421" s="2" t="inlineStr">
        <is>
          <t>Else01</t>
        </is>
      </c>
      <c r="E421" s="2" t="n"/>
      <c r="F421" s="2" t="inlineStr">
        <is>
          <t>浙江精准学科技有限公司</t>
        </is>
      </c>
      <c r="G421" s="2" t="inlineStr">
        <is>
          <t>记-115</t>
        </is>
      </c>
      <c r="H421" s="2" t="n"/>
      <c r="I421" s="104" t="n"/>
      <c r="J421" s="104" t="n">
        <v>7</v>
      </c>
      <c r="K421" s="1" t="n"/>
      <c r="L421" s="104" t="n"/>
      <c r="M421" s="2" t="n"/>
    </row>
    <row r="422" s="83">
      <c r="A422" s="2" t="inlineStr">
        <is>
          <t>101203</t>
        </is>
      </c>
      <c r="B422" s="2" t="n"/>
      <c r="C422" s="2" t="inlineStr">
        <is>
          <t>2025-07-13</t>
        </is>
      </c>
      <c r="D422" s="2" t="inlineStr">
        <is>
          <t>Else01</t>
        </is>
      </c>
      <c r="E422" s="2" t="n"/>
      <c r="F422" s="2" t="inlineStr">
        <is>
          <t>浙江精准学科技有限公司</t>
        </is>
      </c>
      <c r="G422" s="2" t="inlineStr">
        <is>
          <t>记-115</t>
        </is>
      </c>
      <c r="H422" s="2" t="n"/>
      <c r="I422" s="104" t="n"/>
      <c r="J422" s="104" t="n">
        <v>7</v>
      </c>
      <c r="K422" s="1" t="n"/>
      <c r="L422" s="104" t="n"/>
      <c r="M422" s="2" t="n"/>
    </row>
    <row r="423" s="83">
      <c r="A423" s="2" t="inlineStr">
        <is>
          <t>101207</t>
        </is>
      </c>
      <c r="B423" s="2" t="n"/>
      <c r="C423" s="2" t="inlineStr">
        <is>
          <t>2025-07-13</t>
        </is>
      </c>
      <c r="D423" s="2" t="inlineStr">
        <is>
          <t>Else01</t>
        </is>
      </c>
      <c r="E423" s="2" t="n"/>
      <c r="F423" s="2" t="inlineStr">
        <is>
          <t>浙江精准学科技有限公司</t>
        </is>
      </c>
      <c r="G423" s="2" t="inlineStr">
        <is>
          <t>记-115</t>
        </is>
      </c>
      <c r="H423" s="2" t="n"/>
      <c r="I423" s="104" t="n"/>
      <c r="J423" s="104" t="n">
        <v>7</v>
      </c>
      <c r="K423" s="1" t="n"/>
      <c r="L423" s="104" t="n"/>
      <c r="M423" s="2" t="n"/>
    </row>
    <row r="424" s="83">
      <c r="A424" s="2" t="inlineStr">
        <is>
          <t>101203</t>
        </is>
      </c>
      <c r="B424" s="2" t="n"/>
      <c r="C424" s="2" t="inlineStr">
        <is>
          <t>2025-07-14</t>
        </is>
      </c>
      <c r="D424" s="2" t="inlineStr">
        <is>
          <t>Else01</t>
        </is>
      </c>
      <c r="E424" s="2" t="n"/>
      <c r="F424" s="2" t="inlineStr">
        <is>
          <t>浙江精准学科技有限公司</t>
        </is>
      </c>
      <c r="G424" s="2" t="inlineStr">
        <is>
          <t>记-128</t>
        </is>
      </c>
      <c r="H424" s="2" t="n"/>
      <c r="I424" s="104" t="n">
        <v>7</v>
      </c>
      <c r="J424" s="104" t="n"/>
      <c r="K424" s="1" t="n"/>
      <c r="L424" s="104" t="n"/>
      <c r="M424" s="2" t="n"/>
    </row>
    <row r="425" s="83">
      <c r="A425" s="2" t="inlineStr">
        <is>
          <t>101207</t>
        </is>
      </c>
      <c r="B425" s="2" t="n"/>
      <c r="C425" s="2" t="inlineStr">
        <is>
          <t>2025-07-14</t>
        </is>
      </c>
      <c r="D425" s="2" t="inlineStr">
        <is>
          <t>Else01</t>
        </is>
      </c>
      <c r="E425" s="2" t="n"/>
      <c r="F425" s="2" t="inlineStr">
        <is>
          <t>浙江精准学科技有限公司</t>
        </is>
      </c>
      <c r="G425" s="2" t="inlineStr">
        <is>
          <t>记-128</t>
        </is>
      </c>
      <c r="H425" s="2" t="n"/>
      <c r="I425" s="104" t="n">
        <v>7</v>
      </c>
      <c r="J425" s="104" t="n"/>
      <c r="K425" s="1" t="n"/>
      <c r="L425" s="104" t="n"/>
      <c r="M425" s="2" t="n"/>
    </row>
    <row r="426" s="83">
      <c r="A426" s="2" t="inlineStr">
        <is>
          <t>101201</t>
        </is>
      </c>
      <c r="B426" s="2" t="n"/>
      <c r="C426" s="2" t="inlineStr">
        <is>
          <t>2025-07-14</t>
        </is>
      </c>
      <c r="D426" s="2" t="inlineStr">
        <is>
          <t>Else01</t>
        </is>
      </c>
      <c r="E426" s="2" t="n"/>
      <c r="F426" s="2" t="inlineStr">
        <is>
          <t>浙江精准学科技有限公司</t>
        </is>
      </c>
      <c r="G426" s="2" t="inlineStr">
        <is>
          <t>记-128</t>
        </is>
      </c>
      <c r="H426" s="2" t="n"/>
      <c r="I426" s="104" t="n">
        <v>7</v>
      </c>
      <c r="J426" s="104" t="n"/>
      <c r="K426" s="1" t="n"/>
      <c r="L426" s="104" t="n"/>
      <c r="M426" s="2" t="n"/>
    </row>
    <row r="427" s="83">
      <c r="A427" s="2" t="inlineStr">
        <is>
          <t>101203</t>
        </is>
      </c>
      <c r="B427" s="2" t="n"/>
      <c r="C427" s="2" t="inlineStr">
        <is>
          <t>2025-07-14</t>
        </is>
      </c>
      <c r="D427" s="2" t="inlineStr">
        <is>
          <t>Else01</t>
        </is>
      </c>
      <c r="E427" s="2" t="n"/>
      <c r="F427" s="2" t="inlineStr">
        <is>
          <t>浙江精准学科技有限公司</t>
        </is>
      </c>
      <c r="G427" s="2" t="inlineStr">
        <is>
          <t>记-128</t>
        </is>
      </c>
      <c r="H427" s="2" t="n"/>
      <c r="I427" s="104" t="n">
        <v>7</v>
      </c>
      <c r="J427" s="104" t="n"/>
      <c r="K427" s="1" t="n"/>
      <c r="L427" s="104" t="n"/>
      <c r="M427" s="2" t="n"/>
    </row>
    <row r="428" s="83">
      <c r="A428" s="2" t="inlineStr">
        <is>
          <t>101203</t>
        </is>
      </c>
      <c r="B428" s="2" t="n"/>
      <c r="C428" s="2" t="inlineStr">
        <is>
          <t>2025-07-14</t>
        </is>
      </c>
      <c r="D428" s="2" t="inlineStr">
        <is>
          <t>Else01</t>
        </is>
      </c>
      <c r="E428" s="2" t="n"/>
      <c r="F428" s="2" t="inlineStr">
        <is>
          <t>浙江精准学科技有限公司</t>
        </is>
      </c>
      <c r="G428" s="2" t="inlineStr">
        <is>
          <t>记-129</t>
        </is>
      </c>
      <c r="H428" s="2" t="n"/>
      <c r="I428" s="104" t="n"/>
      <c r="J428" s="104" t="n">
        <v>7</v>
      </c>
      <c r="K428" s="1" t="n"/>
      <c r="L428" s="104" t="n"/>
      <c r="M428" s="2" t="n"/>
    </row>
    <row r="429" s="83">
      <c r="A429" s="2" t="inlineStr">
        <is>
          <t>101207</t>
        </is>
      </c>
      <c r="B429" s="2" t="n"/>
      <c r="C429" s="2" t="inlineStr">
        <is>
          <t>2025-07-14</t>
        </is>
      </c>
      <c r="D429" s="2" t="inlineStr">
        <is>
          <t>Else01</t>
        </is>
      </c>
      <c r="E429" s="2" t="n"/>
      <c r="F429" s="2" t="inlineStr">
        <is>
          <t>浙江精准学科技有限公司</t>
        </is>
      </c>
      <c r="G429" s="2" t="inlineStr">
        <is>
          <t>记-129</t>
        </is>
      </c>
      <c r="H429" s="2" t="n"/>
      <c r="I429" s="104" t="n"/>
      <c r="J429" s="104" t="n">
        <v>7</v>
      </c>
      <c r="K429" s="1" t="n"/>
      <c r="L429" s="104" t="n"/>
      <c r="M429" s="2" t="n"/>
    </row>
    <row r="430" s="83">
      <c r="A430" s="2" t="inlineStr">
        <is>
          <t>101201</t>
        </is>
      </c>
      <c r="B430" s="2" t="n"/>
      <c r="C430" s="2" t="inlineStr">
        <is>
          <t>2025-07-14</t>
        </is>
      </c>
      <c r="D430" s="2" t="inlineStr">
        <is>
          <t>Else01</t>
        </is>
      </c>
      <c r="E430" s="2" t="n"/>
      <c r="F430" s="2" t="inlineStr">
        <is>
          <t>浙江精准学科技有限公司</t>
        </is>
      </c>
      <c r="G430" s="2" t="inlineStr">
        <is>
          <t>记-129</t>
        </is>
      </c>
      <c r="H430" s="2" t="n"/>
      <c r="I430" s="104" t="n"/>
      <c r="J430" s="104" t="n">
        <v>7</v>
      </c>
      <c r="K430" s="1" t="n"/>
      <c r="L430" s="104" t="n"/>
      <c r="M430" s="2" t="n"/>
    </row>
    <row r="431" s="83">
      <c r="A431" s="2" t="inlineStr">
        <is>
          <t>101203</t>
        </is>
      </c>
      <c r="B431" s="2" t="n"/>
      <c r="C431" s="2" t="inlineStr">
        <is>
          <t>2025-07-14</t>
        </is>
      </c>
      <c r="D431" s="2" t="inlineStr">
        <is>
          <t>Else01</t>
        </is>
      </c>
      <c r="E431" s="2" t="n"/>
      <c r="F431" s="2" t="inlineStr">
        <is>
          <t>浙江精准学科技有限公司</t>
        </is>
      </c>
      <c r="G431" s="2" t="inlineStr">
        <is>
          <t>记-129</t>
        </is>
      </c>
      <c r="H431" s="2" t="n"/>
      <c r="I431" s="104" t="n"/>
      <c r="J431" s="104" t="n">
        <v>7</v>
      </c>
      <c r="K431" s="1" t="n"/>
      <c r="L431" s="104" t="n"/>
      <c r="M431" s="2" t="n"/>
    </row>
    <row r="432" s="83">
      <c r="A432" s="2" t="inlineStr">
        <is>
          <t>101203</t>
        </is>
      </c>
      <c r="B432" s="2" t="n"/>
      <c r="C432" s="2" t="inlineStr">
        <is>
          <t>2025-07-15</t>
        </is>
      </c>
      <c r="D432" s="2" t="inlineStr">
        <is>
          <t>Else01</t>
        </is>
      </c>
      <c r="E432" s="2" t="n"/>
      <c r="F432" s="2" t="inlineStr">
        <is>
          <t>浙江精准学科技有限公司</t>
        </is>
      </c>
      <c r="G432" s="2" t="inlineStr">
        <is>
          <t>记-142</t>
        </is>
      </c>
      <c r="H432" s="2" t="n"/>
      <c r="I432" s="104" t="n">
        <v>7</v>
      </c>
      <c r="J432" s="104" t="n"/>
      <c r="K432" s="1" t="n"/>
      <c r="L432" s="104" t="n"/>
      <c r="M432" s="2" t="n"/>
    </row>
    <row r="433" s="83">
      <c r="A433" s="2" t="inlineStr">
        <is>
          <t>101207</t>
        </is>
      </c>
      <c r="B433" s="2" t="n"/>
      <c r="C433" s="2" t="inlineStr">
        <is>
          <t>2025-07-15</t>
        </is>
      </c>
      <c r="D433" s="2" t="inlineStr">
        <is>
          <t>Else01</t>
        </is>
      </c>
      <c r="E433" s="2" t="n"/>
      <c r="F433" s="2" t="inlineStr">
        <is>
          <t>浙江精准学科技有限公司</t>
        </is>
      </c>
      <c r="G433" s="2" t="inlineStr">
        <is>
          <t>记-142</t>
        </is>
      </c>
      <c r="H433" s="2" t="n"/>
      <c r="I433" s="104" t="n">
        <v>7</v>
      </c>
      <c r="J433" s="104" t="n"/>
      <c r="K433" s="1" t="n"/>
      <c r="L433" s="104" t="n"/>
      <c r="M433" s="2" t="n"/>
    </row>
    <row r="434" s="83">
      <c r="A434" s="2" t="inlineStr">
        <is>
          <t>101201</t>
        </is>
      </c>
      <c r="B434" s="2" t="n"/>
      <c r="C434" s="2" t="inlineStr">
        <is>
          <t>2025-07-15</t>
        </is>
      </c>
      <c r="D434" s="2" t="inlineStr">
        <is>
          <t>Else01</t>
        </is>
      </c>
      <c r="E434" s="2" t="n"/>
      <c r="F434" s="2" t="inlineStr">
        <is>
          <t>浙江精准学科技有限公司</t>
        </is>
      </c>
      <c r="G434" s="2" t="inlineStr">
        <is>
          <t>记-142</t>
        </is>
      </c>
      <c r="H434" s="2" t="n"/>
      <c r="I434" s="104" t="n">
        <v>7</v>
      </c>
      <c r="J434" s="104" t="n"/>
      <c r="K434" s="1" t="n"/>
      <c r="L434" s="104" t="n"/>
      <c r="M434" s="2" t="n"/>
    </row>
    <row r="435" s="83">
      <c r="A435" s="2" t="inlineStr">
        <is>
          <t>101203</t>
        </is>
      </c>
      <c r="B435" s="2" t="n"/>
      <c r="C435" s="2" t="inlineStr">
        <is>
          <t>2025-07-15</t>
        </is>
      </c>
      <c r="D435" s="2" t="inlineStr">
        <is>
          <t>Else01</t>
        </is>
      </c>
      <c r="E435" s="2" t="n"/>
      <c r="F435" s="2" t="inlineStr">
        <is>
          <t>浙江精准学科技有限公司</t>
        </is>
      </c>
      <c r="G435" s="2" t="inlineStr">
        <is>
          <t>记-142</t>
        </is>
      </c>
      <c r="H435" s="2" t="n"/>
      <c r="I435" s="104" t="n">
        <v>7</v>
      </c>
      <c r="J435" s="104" t="n"/>
      <c r="K435" s="1" t="n"/>
      <c r="L435" s="104" t="n"/>
      <c r="M435" s="2" t="n"/>
    </row>
    <row r="436" s="83">
      <c r="A436" s="2" t="inlineStr">
        <is>
          <t>101203</t>
        </is>
      </c>
      <c r="B436" s="2" t="n"/>
      <c r="C436" s="2" t="inlineStr">
        <is>
          <t>2025-07-15</t>
        </is>
      </c>
      <c r="D436" s="2" t="inlineStr">
        <is>
          <t>Else01</t>
        </is>
      </c>
      <c r="E436" s="2" t="n"/>
      <c r="F436" s="2" t="inlineStr">
        <is>
          <t>浙江精准学科技有限公司</t>
        </is>
      </c>
      <c r="G436" s="2" t="inlineStr">
        <is>
          <t>记-143</t>
        </is>
      </c>
      <c r="H436" s="2" t="n"/>
      <c r="I436" s="104" t="n"/>
      <c r="J436" s="104" t="n">
        <v>7</v>
      </c>
      <c r="K436" s="1" t="n"/>
      <c r="L436" s="104" t="n"/>
      <c r="M436" s="2" t="n"/>
    </row>
    <row r="437" s="83">
      <c r="A437" s="2" t="inlineStr">
        <is>
          <t>101207</t>
        </is>
      </c>
      <c r="B437" s="2" t="n"/>
      <c r="C437" s="2" t="inlineStr">
        <is>
          <t>2025-07-15</t>
        </is>
      </c>
      <c r="D437" s="2" t="inlineStr">
        <is>
          <t>Else01</t>
        </is>
      </c>
      <c r="E437" s="2" t="n"/>
      <c r="F437" s="2" t="inlineStr">
        <is>
          <t>浙江精准学科技有限公司</t>
        </is>
      </c>
      <c r="G437" s="2" t="inlineStr">
        <is>
          <t>记-143</t>
        </is>
      </c>
      <c r="H437" s="2" t="n"/>
      <c r="I437" s="104" t="n"/>
      <c r="J437" s="104" t="n">
        <v>7</v>
      </c>
      <c r="K437" s="1" t="n"/>
      <c r="L437" s="104" t="n"/>
      <c r="M437" s="2" t="n"/>
    </row>
    <row r="438" s="83">
      <c r="A438" s="2" t="inlineStr">
        <is>
          <t>101201</t>
        </is>
      </c>
      <c r="B438" s="2" t="n"/>
      <c r="C438" s="2" t="inlineStr">
        <is>
          <t>2025-07-15</t>
        </is>
      </c>
      <c r="D438" s="2" t="inlineStr">
        <is>
          <t>Else01</t>
        </is>
      </c>
      <c r="E438" s="2" t="n"/>
      <c r="F438" s="2" t="inlineStr">
        <is>
          <t>浙江精准学科技有限公司</t>
        </is>
      </c>
      <c r="G438" s="2" t="inlineStr">
        <is>
          <t>记-143</t>
        </is>
      </c>
      <c r="H438" s="2" t="n"/>
      <c r="I438" s="104" t="n"/>
      <c r="J438" s="104" t="n">
        <v>7</v>
      </c>
      <c r="K438" s="1" t="n"/>
      <c r="L438" s="104" t="n"/>
      <c r="M438" s="2" t="n"/>
    </row>
    <row r="439" s="83">
      <c r="A439" s="2" t="inlineStr">
        <is>
          <t>101203</t>
        </is>
      </c>
      <c r="B439" s="2" t="n"/>
      <c r="C439" s="2" t="inlineStr">
        <is>
          <t>2025-07-15</t>
        </is>
      </c>
      <c r="D439" s="2" t="inlineStr">
        <is>
          <t>Else01</t>
        </is>
      </c>
      <c r="E439" s="2" t="n"/>
      <c r="F439" s="2" t="inlineStr">
        <is>
          <t>浙江精准学科技有限公司</t>
        </is>
      </c>
      <c r="G439" s="2" t="inlineStr">
        <is>
          <t>记-143</t>
        </is>
      </c>
      <c r="H439" s="2" t="n"/>
      <c r="I439" s="104" t="n"/>
      <c r="J439" s="104" t="n">
        <v>7</v>
      </c>
      <c r="K439" s="1" t="n"/>
      <c r="L439" s="104" t="n"/>
      <c r="M439" s="2" t="n"/>
    </row>
    <row r="440" s="83">
      <c r="A440" s="2" t="inlineStr">
        <is>
          <t>101203</t>
        </is>
      </c>
      <c r="B440" s="2" t="n"/>
      <c r="C440" s="2" t="inlineStr">
        <is>
          <t>2025-07-16</t>
        </is>
      </c>
      <c r="D440" s="2" t="inlineStr">
        <is>
          <t>Else01</t>
        </is>
      </c>
      <c r="E440" s="2" t="n"/>
      <c r="F440" s="2" t="inlineStr">
        <is>
          <t>浙江精准学科技有限公司</t>
        </is>
      </c>
      <c r="G440" s="2" t="inlineStr">
        <is>
          <t>记-151</t>
        </is>
      </c>
      <c r="H440" s="2" t="n"/>
      <c r="I440" s="104" t="n">
        <v>7</v>
      </c>
      <c r="J440" s="104" t="n"/>
      <c r="K440" s="1" t="n"/>
      <c r="L440" s="104" t="n"/>
      <c r="M440" s="2" t="n"/>
    </row>
    <row r="441" s="83">
      <c r="A441" s="2" t="inlineStr">
        <is>
          <t>101207</t>
        </is>
      </c>
      <c r="B441" s="2" t="n"/>
      <c r="C441" s="2" t="inlineStr">
        <is>
          <t>2025-07-16</t>
        </is>
      </c>
      <c r="D441" s="2" t="inlineStr">
        <is>
          <t>Else01</t>
        </is>
      </c>
      <c r="E441" s="2" t="n"/>
      <c r="F441" s="2" t="inlineStr">
        <is>
          <t>浙江精准学科技有限公司</t>
        </is>
      </c>
      <c r="G441" s="2" t="inlineStr">
        <is>
          <t>记-151</t>
        </is>
      </c>
      <c r="H441" s="2" t="n"/>
      <c r="I441" s="104" t="n">
        <v>7</v>
      </c>
      <c r="J441" s="104" t="n"/>
      <c r="K441" s="1" t="n"/>
      <c r="L441" s="104" t="n"/>
      <c r="M441" s="2" t="n"/>
    </row>
    <row r="442" s="83">
      <c r="A442" s="2" t="inlineStr">
        <is>
          <t>101201</t>
        </is>
      </c>
      <c r="B442" s="2" t="n"/>
      <c r="C442" s="2" t="inlineStr">
        <is>
          <t>2025-07-16</t>
        </is>
      </c>
      <c r="D442" s="2" t="inlineStr">
        <is>
          <t>Else01</t>
        </is>
      </c>
      <c r="E442" s="2" t="n"/>
      <c r="F442" s="2" t="inlineStr">
        <is>
          <t>浙江精准学科技有限公司</t>
        </is>
      </c>
      <c r="G442" s="2" t="inlineStr">
        <is>
          <t>记-151</t>
        </is>
      </c>
      <c r="H442" s="2" t="n"/>
      <c r="I442" s="104" t="n">
        <v>7</v>
      </c>
      <c r="J442" s="104" t="n"/>
      <c r="K442" s="1" t="n"/>
      <c r="L442" s="104" t="n"/>
      <c r="M442" s="2" t="n"/>
    </row>
    <row r="443" s="83">
      <c r="A443" s="2" t="inlineStr">
        <is>
          <t>101203</t>
        </is>
      </c>
      <c r="B443" s="2" t="n"/>
      <c r="C443" s="2" t="inlineStr">
        <is>
          <t>2025-07-16</t>
        </is>
      </c>
      <c r="D443" s="2" t="inlineStr">
        <is>
          <t>Else01</t>
        </is>
      </c>
      <c r="E443" s="2" t="n"/>
      <c r="F443" s="2" t="inlineStr">
        <is>
          <t>浙江精准学科技有限公司</t>
        </is>
      </c>
      <c r="G443" s="2" t="inlineStr">
        <is>
          <t>记-151</t>
        </is>
      </c>
      <c r="H443" s="2" t="n"/>
      <c r="I443" s="104" t="n">
        <v>7</v>
      </c>
      <c r="J443" s="104" t="n"/>
      <c r="K443" s="1" t="n"/>
      <c r="L443" s="104" t="n"/>
      <c r="M443" s="2" t="n"/>
    </row>
    <row r="444" s="83">
      <c r="A444" s="2" t="inlineStr">
        <is>
          <t>101203</t>
        </is>
      </c>
      <c r="B444" s="2" t="n"/>
      <c r="C444" s="2" t="inlineStr">
        <is>
          <t>2025-07-16</t>
        </is>
      </c>
      <c r="D444" s="2" t="inlineStr">
        <is>
          <t>Else01</t>
        </is>
      </c>
      <c r="E444" s="2" t="n"/>
      <c r="F444" s="2" t="inlineStr">
        <is>
          <t>浙江精准学科技有限公司</t>
        </is>
      </c>
      <c r="G444" s="2" t="inlineStr">
        <is>
          <t>记-152</t>
        </is>
      </c>
      <c r="H444" s="2" t="n"/>
      <c r="I444" s="104" t="n"/>
      <c r="J444" s="104" t="n">
        <v>7</v>
      </c>
      <c r="K444" s="1" t="n"/>
      <c r="L444" s="104" t="n"/>
      <c r="M444" s="2" t="n"/>
    </row>
    <row r="445" s="83">
      <c r="A445" s="2" t="inlineStr">
        <is>
          <t>101207</t>
        </is>
      </c>
      <c r="B445" s="2" t="n"/>
      <c r="C445" s="2" t="inlineStr">
        <is>
          <t>2025-07-16</t>
        </is>
      </c>
      <c r="D445" s="2" t="inlineStr">
        <is>
          <t>Else01</t>
        </is>
      </c>
      <c r="E445" s="2" t="n"/>
      <c r="F445" s="2" t="inlineStr">
        <is>
          <t>浙江精准学科技有限公司</t>
        </is>
      </c>
      <c r="G445" s="2" t="inlineStr">
        <is>
          <t>记-152</t>
        </is>
      </c>
      <c r="H445" s="2" t="n"/>
      <c r="I445" s="104" t="n"/>
      <c r="J445" s="104" t="n">
        <v>7</v>
      </c>
      <c r="K445" s="1" t="n"/>
      <c r="L445" s="104" t="n"/>
      <c r="M445" s="2" t="n"/>
    </row>
    <row r="446" s="83">
      <c r="A446" s="2" t="inlineStr">
        <is>
          <t>101201</t>
        </is>
      </c>
      <c r="B446" s="2" t="n"/>
      <c r="C446" s="2" t="inlineStr">
        <is>
          <t>2025-07-16</t>
        </is>
      </c>
      <c r="D446" s="2" t="inlineStr">
        <is>
          <t>Else01</t>
        </is>
      </c>
      <c r="E446" s="2" t="n"/>
      <c r="F446" s="2" t="inlineStr">
        <is>
          <t>浙江精准学科技有限公司</t>
        </is>
      </c>
      <c r="G446" s="2" t="inlineStr">
        <is>
          <t>记-152</t>
        </is>
      </c>
      <c r="H446" s="2" t="n"/>
      <c r="I446" s="104" t="n"/>
      <c r="J446" s="104" t="n">
        <v>7</v>
      </c>
      <c r="K446" s="1" t="n"/>
      <c r="L446" s="104" t="n"/>
      <c r="M446" s="2" t="n"/>
    </row>
    <row r="447" s="83">
      <c r="A447" s="2" t="inlineStr">
        <is>
          <t>101203</t>
        </is>
      </c>
      <c r="B447" s="2" t="n"/>
      <c r="C447" s="2" t="inlineStr">
        <is>
          <t>2025-07-16</t>
        </is>
      </c>
      <c r="D447" s="2" t="inlineStr">
        <is>
          <t>Else01</t>
        </is>
      </c>
      <c r="E447" s="2" t="n"/>
      <c r="F447" s="2" t="inlineStr">
        <is>
          <t>浙江精准学科技有限公司</t>
        </is>
      </c>
      <c r="G447" s="2" t="inlineStr">
        <is>
          <t>记-152</t>
        </is>
      </c>
      <c r="H447" s="2" t="n"/>
      <c r="I447" s="104" t="n"/>
      <c r="J447" s="104" t="n">
        <v>7</v>
      </c>
      <c r="K447" s="1" t="n"/>
      <c r="L447" s="104" t="n"/>
      <c r="M447" s="2" t="n"/>
    </row>
    <row r="448" s="83">
      <c r="A448" s="2" t="inlineStr">
        <is>
          <t>101203</t>
        </is>
      </c>
      <c r="B448" s="2" t="n"/>
      <c r="C448" s="2" t="inlineStr">
        <is>
          <t>2025-07-17</t>
        </is>
      </c>
      <c r="D448" s="2" t="inlineStr">
        <is>
          <t>Else01</t>
        </is>
      </c>
      <c r="E448" s="2" t="n"/>
      <c r="F448" s="2" t="inlineStr">
        <is>
          <t>浙江精准学科技有限公司</t>
        </is>
      </c>
      <c r="G448" s="2" t="inlineStr">
        <is>
          <t>记-161</t>
        </is>
      </c>
      <c r="H448" s="2" t="n"/>
      <c r="I448" s="104" t="n">
        <v>7</v>
      </c>
      <c r="J448" s="104" t="n"/>
      <c r="K448" s="1" t="n"/>
      <c r="L448" s="104" t="n"/>
      <c r="M448" s="2" t="n"/>
    </row>
    <row r="449" s="83">
      <c r="A449" s="2" t="inlineStr">
        <is>
          <t>101203</t>
        </is>
      </c>
      <c r="B449" s="2" t="n"/>
      <c r="C449" s="2" t="inlineStr">
        <is>
          <t>2025-07-17</t>
        </is>
      </c>
      <c r="D449" s="2" t="inlineStr">
        <is>
          <t>Else01</t>
        </is>
      </c>
      <c r="E449" s="2" t="n"/>
      <c r="F449" s="2" t="inlineStr">
        <is>
          <t>浙江精准学科技有限公司</t>
        </is>
      </c>
      <c r="G449" s="2" t="inlineStr">
        <is>
          <t>记-161</t>
        </is>
      </c>
      <c r="H449" s="2" t="n"/>
      <c r="I449" s="104" t="n">
        <v>7</v>
      </c>
      <c r="J449" s="104" t="n"/>
      <c r="K449" s="1" t="n"/>
      <c r="L449" s="104" t="n"/>
      <c r="M449" s="2" t="n"/>
    </row>
    <row r="450" s="83">
      <c r="A450" s="2" t="inlineStr">
        <is>
          <t>101208</t>
        </is>
      </c>
      <c r="B450" s="2" t="n"/>
      <c r="C450" s="2" t="inlineStr">
        <is>
          <t>2025-07-17</t>
        </is>
      </c>
      <c r="D450" s="2" t="inlineStr">
        <is>
          <t>Else01</t>
        </is>
      </c>
      <c r="E450" s="2" t="n"/>
      <c r="F450" s="2" t="inlineStr">
        <is>
          <t>浙江精准学科技有限公司</t>
        </is>
      </c>
      <c r="G450" s="2" t="inlineStr">
        <is>
          <t>记-161</t>
        </is>
      </c>
      <c r="H450" s="2" t="n"/>
      <c r="I450" s="104" t="n">
        <v>7</v>
      </c>
      <c r="J450" s="104" t="n"/>
      <c r="K450" s="1" t="n"/>
      <c r="L450" s="104" t="n"/>
      <c r="M450" s="2" t="n"/>
    </row>
    <row r="451" s="83">
      <c r="A451" s="2" t="inlineStr">
        <is>
          <t>101207</t>
        </is>
      </c>
      <c r="B451" s="2" t="n"/>
      <c r="C451" s="2" t="inlineStr">
        <is>
          <t>2025-07-17</t>
        </is>
      </c>
      <c r="D451" s="2" t="inlineStr">
        <is>
          <t>Else01</t>
        </is>
      </c>
      <c r="E451" s="2" t="n"/>
      <c r="F451" s="2" t="inlineStr">
        <is>
          <t>浙江精准学科技有限公司</t>
        </is>
      </c>
      <c r="G451" s="2" t="inlineStr">
        <is>
          <t>记-161</t>
        </is>
      </c>
      <c r="H451" s="2" t="n"/>
      <c r="I451" s="104" t="n">
        <v>7</v>
      </c>
      <c r="J451" s="104" t="n"/>
      <c r="K451" s="1" t="n"/>
      <c r="L451" s="104" t="n"/>
      <c r="M451" s="2" t="n"/>
    </row>
    <row r="452" s="83">
      <c r="A452" s="2" t="inlineStr">
        <is>
          <t>101203</t>
        </is>
      </c>
      <c r="B452" s="2" t="n"/>
      <c r="C452" s="2" t="inlineStr">
        <is>
          <t>2025-07-17</t>
        </is>
      </c>
      <c r="D452" s="2" t="inlineStr">
        <is>
          <t>Else01</t>
        </is>
      </c>
      <c r="E452" s="2" t="n"/>
      <c r="F452" s="2" t="inlineStr">
        <is>
          <t>浙江精准学科技有限公司</t>
        </is>
      </c>
      <c r="G452" s="2" t="inlineStr">
        <is>
          <t>记-162</t>
        </is>
      </c>
      <c r="H452" s="2" t="n"/>
      <c r="I452" s="104" t="n"/>
      <c r="J452" s="104" t="n">
        <v>7</v>
      </c>
      <c r="K452" s="1" t="n"/>
      <c r="L452" s="104" t="n"/>
      <c r="M452" s="2" t="n"/>
    </row>
    <row r="453" s="83">
      <c r="A453" s="2" t="inlineStr">
        <is>
          <t>101201</t>
        </is>
      </c>
      <c r="B453" s="2" t="n"/>
      <c r="C453" s="2" t="inlineStr">
        <is>
          <t>2025-07-17</t>
        </is>
      </c>
      <c r="D453" s="2" t="inlineStr">
        <is>
          <t>Else01</t>
        </is>
      </c>
      <c r="E453" s="2" t="n"/>
      <c r="F453" s="2" t="inlineStr">
        <is>
          <t>浙江精准学科技有限公司</t>
        </is>
      </c>
      <c r="G453" s="2" t="inlineStr">
        <is>
          <t>记-162</t>
        </is>
      </c>
      <c r="H453" s="2" t="n"/>
      <c r="I453" s="104" t="n"/>
      <c r="J453" s="104" t="n">
        <v>7</v>
      </c>
      <c r="K453" s="1" t="n"/>
      <c r="L453" s="104" t="n"/>
      <c r="M453" s="2" t="n"/>
    </row>
    <row r="454" s="83">
      <c r="A454" s="2" t="inlineStr">
        <is>
          <t>101203</t>
        </is>
      </c>
      <c r="B454" s="2" t="n"/>
      <c r="C454" s="2" t="inlineStr">
        <is>
          <t>2025-07-17</t>
        </is>
      </c>
      <c r="D454" s="2" t="inlineStr">
        <is>
          <t>Else01</t>
        </is>
      </c>
      <c r="E454" s="2" t="n"/>
      <c r="F454" s="2" t="inlineStr">
        <is>
          <t>浙江精准学科技有限公司</t>
        </is>
      </c>
      <c r="G454" s="2" t="inlineStr">
        <is>
          <t>记-162</t>
        </is>
      </c>
      <c r="H454" s="2" t="n"/>
      <c r="I454" s="104" t="n"/>
      <c r="J454" s="104" t="n">
        <v>7</v>
      </c>
      <c r="K454" s="1" t="n"/>
      <c r="L454" s="104" t="n"/>
      <c r="M454" s="2" t="n"/>
    </row>
    <row r="455" s="83">
      <c r="A455" s="2" t="inlineStr">
        <is>
          <t>101208</t>
        </is>
      </c>
      <c r="B455" s="2" t="n"/>
      <c r="C455" s="2" t="inlineStr">
        <is>
          <t>2025-07-17</t>
        </is>
      </c>
      <c r="D455" s="2" t="inlineStr">
        <is>
          <t>Else01</t>
        </is>
      </c>
      <c r="E455" s="2" t="n"/>
      <c r="F455" s="2" t="inlineStr">
        <is>
          <t>浙江精准学科技有限公司</t>
        </is>
      </c>
      <c r="G455" s="2" t="inlineStr">
        <is>
          <t>记-162</t>
        </is>
      </c>
      <c r="H455" s="2" t="n"/>
      <c r="I455" s="104" t="n"/>
      <c r="J455" s="104" t="n">
        <v>7</v>
      </c>
      <c r="K455" s="1" t="n"/>
      <c r="L455" s="104" t="n"/>
      <c r="M455" s="2" t="n"/>
    </row>
    <row r="456" s="83">
      <c r="A456" s="2" t="inlineStr">
        <is>
          <t>101207</t>
        </is>
      </c>
      <c r="B456" s="2" t="n"/>
      <c r="C456" s="2" t="inlineStr">
        <is>
          <t>2025-07-17</t>
        </is>
      </c>
      <c r="D456" s="2" t="inlineStr">
        <is>
          <t>Else01</t>
        </is>
      </c>
      <c r="E456" s="2" t="n"/>
      <c r="F456" s="2" t="inlineStr">
        <is>
          <t>浙江精准学科技有限公司</t>
        </is>
      </c>
      <c r="G456" s="2" t="inlineStr">
        <is>
          <t>记-162</t>
        </is>
      </c>
      <c r="H456" s="2" t="n"/>
      <c r="I456" s="104" t="n"/>
      <c r="J456" s="104" t="n">
        <v>7</v>
      </c>
      <c r="K456" s="1" t="n"/>
      <c r="L456" s="104" t="n"/>
      <c r="M456" s="2" t="n"/>
    </row>
    <row r="457" s="83">
      <c r="A457" s="2" t="inlineStr">
        <is>
          <t>101203</t>
        </is>
      </c>
      <c r="B457" s="2" t="n"/>
      <c r="C457" s="2" t="inlineStr">
        <is>
          <t>2025-07-18</t>
        </is>
      </c>
      <c r="D457" s="2" t="inlineStr">
        <is>
          <t>Else01</t>
        </is>
      </c>
      <c r="E457" s="2" t="n"/>
      <c r="F457" s="2" t="inlineStr">
        <is>
          <t>浙江精准学科技有限公司</t>
        </is>
      </c>
      <c r="G457" s="2" t="inlineStr">
        <is>
          <t>记-170</t>
        </is>
      </c>
      <c r="H457" s="2" t="n"/>
      <c r="I457" s="104" t="n">
        <v>7</v>
      </c>
      <c r="J457" s="104" t="n"/>
      <c r="K457" s="1" t="n"/>
      <c r="L457" s="104" t="n"/>
      <c r="M457" s="2" t="n"/>
    </row>
    <row r="458" s="83">
      <c r="A458" s="2" t="inlineStr">
        <is>
          <t>101207</t>
        </is>
      </c>
      <c r="B458" s="2" t="n"/>
      <c r="C458" s="2" t="inlineStr">
        <is>
          <t>2025-07-18</t>
        </is>
      </c>
      <c r="D458" s="2" t="inlineStr">
        <is>
          <t>Else01</t>
        </is>
      </c>
      <c r="E458" s="2" t="n"/>
      <c r="F458" s="2" t="inlineStr">
        <is>
          <t>浙江精准学科技有限公司</t>
        </is>
      </c>
      <c r="G458" s="2" t="inlineStr">
        <is>
          <t>记-170</t>
        </is>
      </c>
      <c r="H458" s="2" t="n"/>
      <c r="I458" s="104" t="n">
        <v>7</v>
      </c>
      <c r="J458" s="104" t="n"/>
      <c r="K458" s="1" t="n"/>
      <c r="L458" s="104" t="n"/>
      <c r="M458" s="2" t="n"/>
    </row>
    <row r="459" s="83">
      <c r="A459" s="2" t="inlineStr">
        <is>
          <t>101201</t>
        </is>
      </c>
      <c r="B459" s="2" t="n"/>
      <c r="C459" s="2" t="inlineStr">
        <is>
          <t>2025-07-18</t>
        </is>
      </c>
      <c r="D459" s="2" t="inlineStr">
        <is>
          <t>Else01</t>
        </is>
      </c>
      <c r="E459" s="2" t="n"/>
      <c r="F459" s="2" t="inlineStr">
        <is>
          <t>浙江精准学科技有限公司</t>
        </is>
      </c>
      <c r="G459" s="2" t="inlineStr">
        <is>
          <t>记-170</t>
        </is>
      </c>
      <c r="H459" s="2" t="n"/>
      <c r="I459" s="104" t="n">
        <v>7</v>
      </c>
      <c r="J459" s="104" t="n"/>
      <c r="K459" s="1" t="n"/>
      <c r="L459" s="104" t="n"/>
      <c r="M459" s="2" t="n"/>
    </row>
    <row r="460" s="83">
      <c r="A460" s="2" t="inlineStr">
        <is>
          <t>101203</t>
        </is>
      </c>
      <c r="B460" s="2" t="n"/>
      <c r="C460" s="2" t="inlineStr">
        <is>
          <t>2025-07-18</t>
        </is>
      </c>
      <c r="D460" s="2" t="inlineStr">
        <is>
          <t>Else01</t>
        </is>
      </c>
      <c r="E460" s="2" t="n"/>
      <c r="F460" s="2" t="inlineStr">
        <is>
          <t>浙江精准学科技有限公司</t>
        </is>
      </c>
      <c r="G460" s="2" t="inlineStr">
        <is>
          <t>记-170</t>
        </is>
      </c>
      <c r="H460" s="2" t="n"/>
      <c r="I460" s="104" t="n">
        <v>7</v>
      </c>
      <c r="J460" s="104" t="n"/>
      <c r="K460" s="1" t="n"/>
      <c r="L460" s="104" t="n"/>
      <c r="M460" s="2" t="n"/>
    </row>
    <row r="461" s="83">
      <c r="A461" s="2" t="inlineStr">
        <is>
          <t>101203</t>
        </is>
      </c>
      <c r="B461" s="2" t="n"/>
      <c r="C461" s="2" t="inlineStr">
        <is>
          <t>2025-07-18</t>
        </is>
      </c>
      <c r="D461" s="2" t="inlineStr">
        <is>
          <t>Else01</t>
        </is>
      </c>
      <c r="E461" s="2" t="n"/>
      <c r="F461" s="2" t="inlineStr">
        <is>
          <t>浙江精准学科技有限公司</t>
        </is>
      </c>
      <c r="G461" s="2" t="inlineStr">
        <is>
          <t>记-171</t>
        </is>
      </c>
      <c r="H461" s="2" t="n"/>
      <c r="I461" s="104" t="n"/>
      <c r="J461" s="104" t="n">
        <v>7</v>
      </c>
      <c r="K461" s="1" t="n"/>
      <c r="L461" s="104" t="n"/>
      <c r="M461" s="2" t="n"/>
    </row>
    <row r="462" s="83">
      <c r="A462" s="2" t="inlineStr">
        <is>
          <t>101207</t>
        </is>
      </c>
      <c r="B462" s="2" t="n"/>
      <c r="C462" s="2" t="inlineStr">
        <is>
          <t>2025-07-18</t>
        </is>
      </c>
      <c r="D462" s="2" t="inlineStr">
        <is>
          <t>Else01</t>
        </is>
      </c>
      <c r="E462" s="2" t="n"/>
      <c r="F462" s="2" t="inlineStr">
        <is>
          <t>浙江精准学科技有限公司</t>
        </is>
      </c>
      <c r="G462" s="2" t="inlineStr">
        <is>
          <t>记-171</t>
        </is>
      </c>
      <c r="H462" s="2" t="n"/>
      <c r="I462" s="104" t="n"/>
      <c r="J462" s="104" t="n">
        <v>7</v>
      </c>
      <c r="K462" s="1" t="n"/>
      <c r="L462" s="104" t="n"/>
      <c r="M462" s="2" t="n"/>
    </row>
    <row r="463" s="83">
      <c r="A463" s="2" t="inlineStr">
        <is>
          <t>101201</t>
        </is>
      </c>
      <c r="B463" s="2" t="n"/>
      <c r="C463" s="2" t="inlineStr">
        <is>
          <t>2025-07-18</t>
        </is>
      </c>
      <c r="D463" s="2" t="inlineStr">
        <is>
          <t>Else01</t>
        </is>
      </c>
      <c r="E463" s="2" t="n"/>
      <c r="F463" s="2" t="inlineStr">
        <is>
          <t>浙江精准学科技有限公司</t>
        </is>
      </c>
      <c r="G463" s="2" t="inlineStr">
        <is>
          <t>记-171</t>
        </is>
      </c>
      <c r="H463" s="2" t="n"/>
      <c r="I463" s="104" t="n"/>
      <c r="J463" s="104" t="n">
        <v>7</v>
      </c>
      <c r="K463" s="1" t="n"/>
      <c r="L463" s="104" t="n"/>
      <c r="M463" s="2" t="n"/>
    </row>
    <row r="464" s="83">
      <c r="A464" s="2" t="inlineStr">
        <is>
          <t>101203</t>
        </is>
      </c>
      <c r="B464" s="2" t="n"/>
      <c r="C464" s="2" t="inlineStr">
        <is>
          <t>2025-07-18</t>
        </is>
      </c>
      <c r="D464" s="2" t="inlineStr">
        <is>
          <t>Else01</t>
        </is>
      </c>
      <c r="E464" s="2" t="n"/>
      <c r="F464" s="2" t="inlineStr">
        <is>
          <t>浙江精准学科技有限公司</t>
        </is>
      </c>
      <c r="G464" s="2" t="inlineStr">
        <is>
          <t>记-171</t>
        </is>
      </c>
      <c r="H464" s="2" t="n"/>
      <c r="I464" s="104" t="n"/>
      <c r="J464" s="104" t="n">
        <v>7</v>
      </c>
      <c r="K464" s="1" t="n"/>
      <c r="L464" s="104" t="n"/>
      <c r="M464" s="2" t="n"/>
    </row>
    <row r="465" s="83">
      <c r="A465" s="2" t="inlineStr">
        <is>
          <t>101203</t>
        </is>
      </c>
      <c r="B465" s="2" t="n"/>
      <c r="C465" s="2" t="inlineStr">
        <is>
          <t>2025-07-19</t>
        </is>
      </c>
      <c r="D465" s="2" t="inlineStr">
        <is>
          <t>Else01</t>
        </is>
      </c>
      <c r="E465" s="2" t="n"/>
      <c r="F465" s="2" t="inlineStr">
        <is>
          <t>浙江精准学科技有限公司</t>
        </is>
      </c>
      <c r="G465" s="2" t="inlineStr">
        <is>
          <t>记-174</t>
        </is>
      </c>
      <c r="H465" s="2" t="n"/>
      <c r="I465" s="104" t="n">
        <v>7</v>
      </c>
      <c r="J465" s="104" t="n"/>
      <c r="K465" s="1" t="n"/>
      <c r="L465" s="104" t="n"/>
      <c r="M465" s="2" t="n"/>
    </row>
    <row r="466" s="83">
      <c r="A466" s="2" t="inlineStr">
        <is>
          <t>101207</t>
        </is>
      </c>
      <c r="B466" s="2" t="n"/>
      <c r="C466" s="2" t="inlineStr">
        <is>
          <t>2025-07-19</t>
        </is>
      </c>
      <c r="D466" s="2" t="inlineStr">
        <is>
          <t>Else01</t>
        </is>
      </c>
      <c r="E466" s="2" t="n"/>
      <c r="F466" s="2" t="inlineStr">
        <is>
          <t>浙江精准学科技有限公司</t>
        </is>
      </c>
      <c r="G466" s="2" t="inlineStr">
        <is>
          <t>记-174</t>
        </is>
      </c>
      <c r="H466" s="2" t="n"/>
      <c r="I466" s="104" t="n">
        <v>7</v>
      </c>
      <c r="J466" s="104" t="n"/>
      <c r="K466" s="1" t="n"/>
      <c r="L466" s="104" t="n"/>
      <c r="M466" s="2" t="n"/>
    </row>
    <row r="467" s="83">
      <c r="A467" s="2" t="inlineStr">
        <is>
          <t>101201</t>
        </is>
      </c>
      <c r="B467" s="2" t="n"/>
      <c r="C467" s="2" t="inlineStr">
        <is>
          <t>2025-07-19</t>
        </is>
      </c>
      <c r="D467" s="2" t="inlineStr">
        <is>
          <t>Else01</t>
        </is>
      </c>
      <c r="E467" s="2" t="n"/>
      <c r="F467" s="2" t="inlineStr">
        <is>
          <t>浙江精准学科技有限公司</t>
        </is>
      </c>
      <c r="G467" s="2" t="inlineStr">
        <is>
          <t>记-174</t>
        </is>
      </c>
      <c r="H467" s="2" t="n"/>
      <c r="I467" s="104" t="n">
        <v>7</v>
      </c>
      <c r="J467" s="104" t="n"/>
      <c r="K467" s="1" t="n"/>
      <c r="L467" s="104" t="n"/>
      <c r="M467" s="2" t="n"/>
    </row>
    <row r="468" s="83">
      <c r="A468" s="2" t="inlineStr">
        <is>
          <t>101203</t>
        </is>
      </c>
      <c r="B468" s="2" t="n"/>
      <c r="C468" s="2" t="inlineStr">
        <is>
          <t>2025-07-19</t>
        </is>
      </c>
      <c r="D468" s="2" t="inlineStr">
        <is>
          <t>Else01</t>
        </is>
      </c>
      <c r="E468" s="2" t="n"/>
      <c r="F468" s="2" t="inlineStr">
        <is>
          <t>浙江精准学科技有限公司</t>
        </is>
      </c>
      <c r="G468" s="2" t="inlineStr">
        <is>
          <t>记-174</t>
        </is>
      </c>
      <c r="H468" s="2" t="n"/>
      <c r="I468" s="104" t="n">
        <v>7</v>
      </c>
      <c r="J468" s="104" t="n"/>
      <c r="K468" s="1" t="n"/>
      <c r="L468" s="104" t="n"/>
      <c r="M468" s="2" t="n"/>
    </row>
    <row r="469" s="83">
      <c r="A469" s="2" t="inlineStr">
        <is>
          <t>101203</t>
        </is>
      </c>
      <c r="B469" s="2" t="n"/>
      <c r="C469" s="2" t="inlineStr">
        <is>
          <t>2025-07-19</t>
        </is>
      </c>
      <c r="D469" s="2" t="inlineStr">
        <is>
          <t>Else01</t>
        </is>
      </c>
      <c r="E469" s="2" t="n"/>
      <c r="F469" s="2" t="inlineStr">
        <is>
          <t>浙江精准学科技有限公司</t>
        </is>
      </c>
      <c r="G469" s="2" t="inlineStr">
        <is>
          <t>记-175</t>
        </is>
      </c>
      <c r="H469" s="2" t="n"/>
      <c r="I469" s="104" t="n"/>
      <c r="J469" s="104" t="n">
        <v>7</v>
      </c>
      <c r="K469" s="1" t="n"/>
      <c r="L469" s="104" t="n"/>
      <c r="M469" s="2" t="n"/>
    </row>
    <row r="470" s="83">
      <c r="A470" s="2" t="inlineStr">
        <is>
          <t>101207</t>
        </is>
      </c>
      <c r="B470" s="2" t="n"/>
      <c r="C470" s="2" t="inlineStr">
        <is>
          <t>2025-07-19</t>
        </is>
      </c>
      <c r="D470" s="2" t="inlineStr">
        <is>
          <t>Else01</t>
        </is>
      </c>
      <c r="E470" s="2" t="n"/>
      <c r="F470" s="2" t="inlineStr">
        <is>
          <t>浙江精准学科技有限公司</t>
        </is>
      </c>
      <c r="G470" s="2" t="inlineStr">
        <is>
          <t>记-175</t>
        </is>
      </c>
      <c r="H470" s="2" t="n"/>
      <c r="I470" s="104" t="n"/>
      <c r="J470" s="104" t="n">
        <v>7</v>
      </c>
      <c r="K470" s="1" t="n"/>
      <c r="L470" s="104" t="n"/>
      <c r="M470" s="2" t="n"/>
    </row>
    <row r="471" s="83">
      <c r="A471" s="2" t="inlineStr">
        <is>
          <t>101201</t>
        </is>
      </c>
      <c r="B471" s="2" t="n"/>
      <c r="C471" s="2" t="inlineStr">
        <is>
          <t>2025-07-19</t>
        </is>
      </c>
      <c r="D471" s="2" t="inlineStr">
        <is>
          <t>Else01</t>
        </is>
      </c>
      <c r="E471" s="2" t="n"/>
      <c r="F471" s="2" t="inlineStr">
        <is>
          <t>浙江精准学科技有限公司</t>
        </is>
      </c>
      <c r="G471" s="2" t="inlineStr">
        <is>
          <t>记-175</t>
        </is>
      </c>
      <c r="H471" s="2" t="n"/>
      <c r="I471" s="104" t="n"/>
      <c r="J471" s="104" t="n">
        <v>7</v>
      </c>
      <c r="K471" s="1" t="n"/>
      <c r="L471" s="104" t="n"/>
      <c r="M471" s="2" t="n"/>
    </row>
    <row r="472" s="83">
      <c r="A472" s="2" t="inlineStr">
        <is>
          <t>101203</t>
        </is>
      </c>
      <c r="B472" s="2" t="n"/>
      <c r="C472" s="2" t="inlineStr">
        <is>
          <t>2025-07-19</t>
        </is>
      </c>
      <c r="D472" s="2" t="inlineStr">
        <is>
          <t>Else01</t>
        </is>
      </c>
      <c r="E472" s="2" t="n"/>
      <c r="F472" s="2" t="inlineStr">
        <is>
          <t>浙江精准学科技有限公司</t>
        </is>
      </c>
      <c r="G472" s="2" t="inlineStr">
        <is>
          <t>记-175</t>
        </is>
      </c>
      <c r="H472" s="2" t="n"/>
      <c r="I472" s="104" t="n"/>
      <c r="J472" s="104" t="n">
        <v>7</v>
      </c>
      <c r="K472" s="1" t="n"/>
      <c r="L472" s="104" t="n"/>
      <c r="M472" s="2" t="n"/>
    </row>
    <row r="473" s="83">
      <c r="A473" s="2" t="inlineStr">
        <is>
          <t>101203</t>
        </is>
      </c>
      <c r="B473" s="2" t="n"/>
      <c r="C473" s="2" t="inlineStr">
        <is>
          <t>2025-07-20</t>
        </is>
      </c>
      <c r="D473" s="2" t="inlineStr">
        <is>
          <t>Else01</t>
        </is>
      </c>
      <c r="E473" s="2" t="n"/>
      <c r="F473" s="2" t="inlineStr">
        <is>
          <t>浙江精准学科技有限公司</t>
        </is>
      </c>
      <c r="G473" s="2" t="inlineStr">
        <is>
          <t>记-176</t>
        </is>
      </c>
      <c r="H473" s="2" t="n"/>
      <c r="I473" s="104" t="n">
        <v>7</v>
      </c>
      <c r="J473" s="104" t="n"/>
      <c r="K473" s="1" t="n"/>
      <c r="L473" s="104" t="n"/>
      <c r="M473" s="2" t="n"/>
    </row>
    <row r="474" s="83">
      <c r="A474" s="2" t="inlineStr">
        <is>
          <t>101201</t>
        </is>
      </c>
      <c r="B474" s="2" t="n"/>
      <c r="C474" s="2" t="inlineStr">
        <is>
          <t>2025-07-20</t>
        </is>
      </c>
      <c r="D474" s="2" t="inlineStr">
        <is>
          <t>Else01</t>
        </is>
      </c>
      <c r="E474" s="2" t="n"/>
      <c r="F474" s="2" t="inlineStr">
        <is>
          <t>浙江精准学科技有限公司</t>
        </is>
      </c>
      <c r="G474" s="2" t="inlineStr">
        <is>
          <t>记-176</t>
        </is>
      </c>
      <c r="H474" s="2" t="n"/>
      <c r="I474" s="104" t="n">
        <v>7</v>
      </c>
      <c r="J474" s="104" t="n"/>
      <c r="K474" s="1" t="n"/>
      <c r="L474" s="104" t="n"/>
      <c r="M474" s="2" t="n"/>
    </row>
    <row r="475" s="83">
      <c r="A475" s="2" t="inlineStr">
        <is>
          <t>101203</t>
        </is>
      </c>
      <c r="B475" s="2" t="n"/>
      <c r="C475" s="2" t="inlineStr">
        <is>
          <t>2025-07-20</t>
        </is>
      </c>
      <c r="D475" s="2" t="inlineStr">
        <is>
          <t>Else01</t>
        </is>
      </c>
      <c r="E475" s="2" t="n"/>
      <c r="F475" s="2" t="inlineStr">
        <is>
          <t>浙江精准学科技有限公司</t>
        </is>
      </c>
      <c r="G475" s="2" t="inlineStr">
        <is>
          <t>记-176</t>
        </is>
      </c>
      <c r="H475" s="2" t="n"/>
      <c r="I475" s="104" t="n">
        <v>7</v>
      </c>
      <c r="J475" s="104" t="n"/>
      <c r="K475" s="1" t="n"/>
      <c r="L475" s="104" t="n"/>
      <c r="M475" s="2" t="n"/>
    </row>
    <row r="476" s="83">
      <c r="A476" s="2" t="inlineStr">
        <is>
          <t>101207</t>
        </is>
      </c>
      <c r="B476" s="2" t="n"/>
      <c r="C476" s="2" t="inlineStr">
        <is>
          <t>2025-07-20</t>
        </is>
      </c>
      <c r="D476" s="2" t="inlineStr">
        <is>
          <t>Else01</t>
        </is>
      </c>
      <c r="E476" s="2" t="n"/>
      <c r="F476" s="2" t="inlineStr">
        <is>
          <t>浙江精准学科技有限公司</t>
        </is>
      </c>
      <c r="G476" s="2" t="inlineStr">
        <is>
          <t>记-176</t>
        </is>
      </c>
      <c r="H476" s="2" t="n"/>
      <c r="I476" s="104" t="n">
        <v>7</v>
      </c>
      <c r="J476" s="104" t="n"/>
      <c r="K476" s="1" t="n"/>
      <c r="L476" s="104" t="n"/>
      <c r="M476" s="2" t="n"/>
    </row>
    <row r="477" s="83">
      <c r="A477" s="2" t="inlineStr">
        <is>
          <t>101203</t>
        </is>
      </c>
      <c r="B477" s="2" t="n"/>
      <c r="C477" s="2" t="inlineStr">
        <is>
          <t>2025-07-20</t>
        </is>
      </c>
      <c r="D477" s="2" t="inlineStr">
        <is>
          <t>Else01</t>
        </is>
      </c>
      <c r="E477" s="2" t="n"/>
      <c r="F477" s="2" t="inlineStr">
        <is>
          <t>浙江精准学科技有限公司</t>
        </is>
      </c>
      <c r="G477" s="2" t="inlineStr">
        <is>
          <t>记-177</t>
        </is>
      </c>
      <c r="H477" s="2" t="n"/>
      <c r="I477" s="104" t="n"/>
      <c r="J477" s="104" t="n">
        <v>7</v>
      </c>
      <c r="K477" s="1" t="n"/>
      <c r="L477" s="104" t="n"/>
      <c r="M477" s="2" t="n"/>
    </row>
    <row r="478" s="83">
      <c r="A478" s="2" t="inlineStr">
        <is>
          <t>101201</t>
        </is>
      </c>
      <c r="B478" s="2" t="n"/>
      <c r="C478" s="2" t="inlineStr">
        <is>
          <t>2025-07-20</t>
        </is>
      </c>
      <c r="D478" s="2" t="inlineStr">
        <is>
          <t>Else01</t>
        </is>
      </c>
      <c r="E478" s="2" t="n"/>
      <c r="F478" s="2" t="inlineStr">
        <is>
          <t>浙江精准学科技有限公司</t>
        </is>
      </c>
      <c r="G478" s="2" t="inlineStr">
        <is>
          <t>记-177</t>
        </is>
      </c>
      <c r="H478" s="2" t="n"/>
      <c r="I478" s="104" t="n"/>
      <c r="J478" s="104" t="n">
        <v>7</v>
      </c>
      <c r="K478" s="1" t="n"/>
      <c r="L478" s="104" t="n"/>
      <c r="M478" s="2" t="n"/>
    </row>
    <row r="479" s="83">
      <c r="A479" s="2" t="inlineStr">
        <is>
          <t>101203</t>
        </is>
      </c>
      <c r="B479" s="2" t="n"/>
      <c r="C479" s="2" t="inlineStr">
        <is>
          <t>2025-07-20</t>
        </is>
      </c>
      <c r="D479" s="2" t="inlineStr">
        <is>
          <t>Else01</t>
        </is>
      </c>
      <c r="E479" s="2" t="n"/>
      <c r="F479" s="2" t="inlineStr">
        <is>
          <t>浙江精准学科技有限公司</t>
        </is>
      </c>
      <c r="G479" s="2" t="inlineStr">
        <is>
          <t>记-177</t>
        </is>
      </c>
      <c r="H479" s="2" t="n"/>
      <c r="I479" s="104" t="n"/>
      <c r="J479" s="104" t="n">
        <v>7</v>
      </c>
      <c r="K479" s="1" t="n"/>
      <c r="L479" s="104" t="n"/>
      <c r="M479" s="2" t="n"/>
    </row>
    <row r="480" s="83">
      <c r="A480" s="2" t="inlineStr">
        <is>
          <t>101207</t>
        </is>
      </c>
      <c r="B480" s="2" t="n"/>
      <c r="C480" s="2" t="inlineStr">
        <is>
          <t>2025-07-20</t>
        </is>
      </c>
      <c r="D480" s="2" t="inlineStr">
        <is>
          <t>Else01</t>
        </is>
      </c>
      <c r="E480" s="2" t="n"/>
      <c r="F480" s="2" t="inlineStr">
        <is>
          <t>浙江精准学科技有限公司</t>
        </is>
      </c>
      <c r="G480" s="2" t="inlineStr">
        <is>
          <t>记-177</t>
        </is>
      </c>
      <c r="H480" s="2" t="n"/>
      <c r="I480" s="104" t="n"/>
      <c r="J480" s="104" t="n">
        <v>7</v>
      </c>
      <c r="K480" s="1" t="n"/>
      <c r="L480" s="104" t="n"/>
      <c r="M480" s="2" t="n"/>
    </row>
    <row r="481" s="83">
      <c r="A481" s="2" t="inlineStr">
        <is>
          <t>101203</t>
        </is>
      </c>
      <c r="B481" s="2" t="n"/>
      <c r="C481" s="2" t="inlineStr">
        <is>
          <t>2025-07-21</t>
        </is>
      </c>
      <c r="D481" s="2" t="inlineStr">
        <is>
          <t>Else01</t>
        </is>
      </c>
      <c r="E481" s="2" t="n"/>
      <c r="F481" s="2" t="inlineStr">
        <is>
          <t>浙江精准学科技有限公司</t>
        </is>
      </c>
      <c r="G481" s="2" t="inlineStr">
        <is>
          <t>记-184</t>
        </is>
      </c>
      <c r="H481" s="2" t="n"/>
      <c r="I481" s="104" t="n">
        <v>7</v>
      </c>
      <c r="J481" s="104" t="n"/>
      <c r="K481" s="1" t="n"/>
      <c r="L481" s="104" t="n"/>
      <c r="M481" s="2" t="n"/>
    </row>
    <row r="482" s="83">
      <c r="A482" s="2" t="inlineStr">
        <is>
          <t>101201</t>
        </is>
      </c>
      <c r="B482" s="2" t="n"/>
      <c r="C482" s="2" t="inlineStr">
        <is>
          <t>2025-07-21</t>
        </is>
      </c>
      <c r="D482" s="2" t="inlineStr">
        <is>
          <t>Else01</t>
        </is>
      </c>
      <c r="E482" s="2" t="n"/>
      <c r="F482" s="2" t="inlineStr">
        <is>
          <t>浙江精准学科技有限公司</t>
        </is>
      </c>
      <c r="G482" s="2" t="inlineStr">
        <is>
          <t>记-184</t>
        </is>
      </c>
      <c r="H482" s="2" t="n"/>
      <c r="I482" s="104" t="n">
        <v>7</v>
      </c>
      <c r="J482" s="104" t="n"/>
      <c r="K482" s="1" t="n"/>
      <c r="L482" s="104" t="n"/>
      <c r="M482" s="2" t="n"/>
    </row>
    <row r="483" s="83">
      <c r="A483" s="2" t="inlineStr">
        <is>
          <t>101203</t>
        </is>
      </c>
      <c r="B483" s="2" t="n"/>
      <c r="C483" s="2" t="inlineStr">
        <is>
          <t>2025-07-21</t>
        </is>
      </c>
      <c r="D483" s="2" t="inlineStr">
        <is>
          <t>Else01</t>
        </is>
      </c>
      <c r="E483" s="2" t="n"/>
      <c r="F483" s="2" t="inlineStr">
        <is>
          <t>浙江精准学科技有限公司</t>
        </is>
      </c>
      <c r="G483" s="2" t="inlineStr">
        <is>
          <t>记-184</t>
        </is>
      </c>
      <c r="H483" s="2" t="n"/>
      <c r="I483" s="104" t="n">
        <v>7</v>
      </c>
      <c r="J483" s="104" t="n"/>
      <c r="K483" s="1" t="n"/>
      <c r="L483" s="104" t="n"/>
      <c r="M483" s="2" t="n"/>
    </row>
    <row r="484" s="83">
      <c r="A484" s="2" t="inlineStr">
        <is>
          <t>101207</t>
        </is>
      </c>
      <c r="B484" s="2" t="n"/>
      <c r="C484" s="2" t="inlineStr">
        <is>
          <t>2025-07-21</t>
        </is>
      </c>
      <c r="D484" s="2" t="inlineStr">
        <is>
          <t>Else01</t>
        </is>
      </c>
      <c r="E484" s="2" t="n"/>
      <c r="F484" s="2" t="inlineStr">
        <is>
          <t>浙江精准学科技有限公司</t>
        </is>
      </c>
      <c r="G484" s="2" t="inlineStr">
        <is>
          <t>记-184</t>
        </is>
      </c>
      <c r="H484" s="2" t="n"/>
      <c r="I484" s="104" t="n">
        <v>7</v>
      </c>
      <c r="J484" s="104" t="n"/>
      <c r="K484" s="1" t="n"/>
      <c r="L484" s="104" t="n"/>
      <c r="M484" s="2" t="n"/>
    </row>
    <row r="485" s="83">
      <c r="A485" s="2" t="inlineStr">
        <is>
          <t>101203</t>
        </is>
      </c>
      <c r="B485" s="2" t="n"/>
      <c r="C485" s="2" t="inlineStr">
        <is>
          <t>2025-07-21</t>
        </is>
      </c>
      <c r="D485" s="2" t="inlineStr">
        <is>
          <t>Else01</t>
        </is>
      </c>
      <c r="E485" s="2" t="n"/>
      <c r="F485" s="2" t="inlineStr">
        <is>
          <t>浙江精准学科技有限公司</t>
        </is>
      </c>
      <c r="G485" s="2" t="inlineStr">
        <is>
          <t>记-185</t>
        </is>
      </c>
      <c r="H485" s="2" t="n"/>
      <c r="I485" s="104" t="n"/>
      <c r="J485" s="104" t="n">
        <v>7</v>
      </c>
      <c r="K485" s="1" t="n"/>
      <c r="L485" s="104" t="n"/>
      <c r="M485" s="2" t="n"/>
    </row>
    <row r="486" s="83">
      <c r="A486" s="2" t="inlineStr">
        <is>
          <t>101201</t>
        </is>
      </c>
      <c r="B486" s="2" t="n"/>
      <c r="C486" s="2" t="inlineStr">
        <is>
          <t>2025-07-21</t>
        </is>
      </c>
      <c r="D486" s="2" t="inlineStr">
        <is>
          <t>Else01</t>
        </is>
      </c>
      <c r="E486" s="2" t="n"/>
      <c r="F486" s="2" t="inlineStr">
        <is>
          <t>浙江精准学科技有限公司</t>
        </is>
      </c>
      <c r="G486" s="2" t="inlineStr">
        <is>
          <t>记-185</t>
        </is>
      </c>
      <c r="H486" s="2" t="n"/>
      <c r="I486" s="104" t="n"/>
      <c r="J486" s="104" t="n">
        <v>7</v>
      </c>
      <c r="K486" s="1" t="n"/>
      <c r="L486" s="104" t="n"/>
      <c r="M486" s="2" t="n"/>
    </row>
    <row r="487" s="83">
      <c r="A487" s="2" t="inlineStr">
        <is>
          <t>101207</t>
        </is>
      </c>
      <c r="B487" s="2" t="n"/>
      <c r="C487" s="2" t="inlineStr">
        <is>
          <t>2025-07-21</t>
        </is>
      </c>
      <c r="D487" s="2" t="inlineStr">
        <is>
          <t>Else01</t>
        </is>
      </c>
      <c r="E487" s="2" t="n"/>
      <c r="F487" s="2" t="inlineStr">
        <is>
          <t>浙江精准学科技有限公司</t>
        </is>
      </c>
      <c r="G487" s="2" t="inlineStr">
        <is>
          <t>记-185</t>
        </is>
      </c>
      <c r="H487" s="2" t="n"/>
      <c r="I487" s="104" t="n"/>
      <c r="J487" s="104" t="n">
        <v>7</v>
      </c>
      <c r="K487" s="1" t="n"/>
      <c r="L487" s="104" t="n"/>
      <c r="M487" s="2" t="n"/>
    </row>
    <row r="488" s="83">
      <c r="A488" s="2" t="inlineStr">
        <is>
          <t>101203</t>
        </is>
      </c>
      <c r="B488" s="2" t="n"/>
      <c r="C488" s="2" t="inlineStr">
        <is>
          <t>2025-07-22</t>
        </is>
      </c>
      <c r="D488" s="2" t="inlineStr">
        <is>
          <t>Else01</t>
        </is>
      </c>
      <c r="E488" s="2" t="n"/>
      <c r="F488" s="2" t="inlineStr">
        <is>
          <t>浙江精准学科技有限公司</t>
        </is>
      </c>
      <c r="G488" s="2" t="inlineStr">
        <is>
          <t>记-195</t>
        </is>
      </c>
      <c r="H488" s="2" t="n"/>
      <c r="I488" s="104" t="n">
        <v>7</v>
      </c>
      <c r="J488" s="104" t="n"/>
      <c r="K488" s="1" t="n"/>
      <c r="L488" s="104" t="n"/>
      <c r="M488" s="2" t="n"/>
    </row>
    <row r="489" s="83">
      <c r="A489" s="2" t="inlineStr">
        <is>
          <t>101207</t>
        </is>
      </c>
      <c r="B489" s="2" t="n"/>
      <c r="C489" s="2" t="inlineStr">
        <is>
          <t>2025-07-22</t>
        </is>
      </c>
      <c r="D489" s="2" t="inlineStr">
        <is>
          <t>Else01</t>
        </is>
      </c>
      <c r="E489" s="2" t="n"/>
      <c r="F489" s="2" t="inlineStr">
        <is>
          <t>浙江精准学科技有限公司</t>
        </is>
      </c>
      <c r="G489" s="2" t="inlineStr">
        <is>
          <t>记-195</t>
        </is>
      </c>
      <c r="H489" s="2" t="n"/>
      <c r="I489" s="104" t="n">
        <v>7</v>
      </c>
      <c r="J489" s="104" t="n"/>
      <c r="K489" s="1" t="n"/>
      <c r="L489" s="104" t="n"/>
      <c r="M489" s="2" t="n"/>
    </row>
    <row r="490" s="83">
      <c r="A490" s="2" t="inlineStr">
        <is>
          <t>101201</t>
        </is>
      </c>
      <c r="B490" s="2" t="n"/>
      <c r="C490" s="2" t="inlineStr">
        <is>
          <t>2025-07-22</t>
        </is>
      </c>
      <c r="D490" s="2" t="inlineStr">
        <is>
          <t>Else01</t>
        </is>
      </c>
      <c r="E490" s="2" t="n"/>
      <c r="F490" s="2" t="inlineStr">
        <is>
          <t>浙江精准学科技有限公司</t>
        </is>
      </c>
      <c r="G490" s="2" t="inlineStr">
        <is>
          <t>记-195</t>
        </is>
      </c>
      <c r="H490" s="2" t="n"/>
      <c r="I490" s="104" t="n">
        <v>7</v>
      </c>
      <c r="J490" s="104" t="n"/>
      <c r="K490" s="1" t="n"/>
      <c r="L490" s="104" t="n"/>
      <c r="M490" s="2" t="n"/>
    </row>
    <row r="491" s="83">
      <c r="A491" s="2" t="inlineStr">
        <is>
          <t>101203</t>
        </is>
      </c>
      <c r="B491" s="2" t="n"/>
      <c r="C491" s="2" t="inlineStr">
        <is>
          <t>2025-07-22</t>
        </is>
      </c>
      <c r="D491" s="2" t="inlineStr">
        <is>
          <t>Else01</t>
        </is>
      </c>
      <c r="E491" s="2" t="n"/>
      <c r="F491" s="2" t="inlineStr">
        <is>
          <t>浙江精准学科技有限公司</t>
        </is>
      </c>
      <c r="G491" s="2" t="inlineStr">
        <is>
          <t>记-195</t>
        </is>
      </c>
      <c r="H491" s="2" t="n"/>
      <c r="I491" s="104" t="n">
        <v>7</v>
      </c>
      <c r="J491" s="104" t="n"/>
      <c r="K491" s="1" t="n"/>
      <c r="L491" s="104" t="n"/>
      <c r="M491" s="2" t="n"/>
    </row>
    <row r="492" s="83">
      <c r="A492" s="2" t="inlineStr">
        <is>
          <t>101208</t>
        </is>
      </c>
      <c r="B492" s="2" t="n"/>
      <c r="C492" s="2" t="inlineStr">
        <is>
          <t>2025-07-22</t>
        </is>
      </c>
      <c r="D492" s="2" t="inlineStr">
        <is>
          <t>Else01</t>
        </is>
      </c>
      <c r="E492" s="2" t="n"/>
      <c r="F492" s="2" t="inlineStr">
        <is>
          <t>浙江精准学科技有限公司</t>
        </is>
      </c>
      <c r="G492" s="2" t="inlineStr">
        <is>
          <t>记-195</t>
        </is>
      </c>
      <c r="H492" s="2" t="n"/>
      <c r="I492" s="104" t="n">
        <v>7</v>
      </c>
      <c r="J492" s="104" t="n"/>
      <c r="K492" s="1" t="n"/>
      <c r="L492" s="104" t="n"/>
      <c r="M492" s="2" t="n"/>
    </row>
    <row r="493" s="83">
      <c r="A493" s="2" t="inlineStr">
        <is>
          <t>101203</t>
        </is>
      </c>
      <c r="B493" s="2" t="n"/>
      <c r="C493" s="2" t="inlineStr">
        <is>
          <t>2025-07-22</t>
        </is>
      </c>
      <c r="D493" s="2" t="inlineStr">
        <is>
          <t>Else01</t>
        </is>
      </c>
      <c r="E493" s="2" t="n"/>
      <c r="F493" s="2" t="inlineStr">
        <is>
          <t>浙江精准学科技有限公司</t>
        </is>
      </c>
      <c r="G493" s="2" t="inlineStr">
        <is>
          <t>记-196</t>
        </is>
      </c>
      <c r="H493" s="2" t="n"/>
      <c r="I493" s="104" t="n"/>
      <c r="J493" s="104" t="n">
        <v>7</v>
      </c>
      <c r="K493" s="1" t="n"/>
      <c r="L493" s="104" t="n"/>
      <c r="M493" s="2" t="n"/>
    </row>
    <row r="494" s="83">
      <c r="A494" s="2" t="inlineStr">
        <is>
          <t>101207</t>
        </is>
      </c>
      <c r="B494" s="2" t="n"/>
      <c r="C494" s="2" t="inlineStr">
        <is>
          <t>2025-07-22</t>
        </is>
      </c>
      <c r="D494" s="2" t="inlineStr">
        <is>
          <t>Else01</t>
        </is>
      </c>
      <c r="E494" s="2" t="n"/>
      <c r="F494" s="2" t="inlineStr">
        <is>
          <t>浙江精准学科技有限公司</t>
        </is>
      </c>
      <c r="G494" s="2" t="inlineStr">
        <is>
          <t>记-196</t>
        </is>
      </c>
      <c r="H494" s="2" t="n"/>
      <c r="I494" s="104" t="n"/>
      <c r="J494" s="104" t="n">
        <v>7</v>
      </c>
      <c r="K494" s="1" t="n"/>
      <c r="L494" s="104" t="n"/>
      <c r="M494" s="2" t="n"/>
    </row>
    <row r="495" s="83">
      <c r="A495" s="2" t="inlineStr">
        <is>
          <t>101201</t>
        </is>
      </c>
      <c r="B495" s="2" t="n"/>
      <c r="C495" s="2" t="inlineStr">
        <is>
          <t>2025-07-22</t>
        </is>
      </c>
      <c r="D495" s="2" t="inlineStr">
        <is>
          <t>Else01</t>
        </is>
      </c>
      <c r="E495" s="2" t="n"/>
      <c r="F495" s="2" t="inlineStr">
        <is>
          <t>浙江精准学科技有限公司</t>
        </is>
      </c>
      <c r="G495" s="2" t="inlineStr">
        <is>
          <t>记-196</t>
        </is>
      </c>
      <c r="H495" s="2" t="n"/>
      <c r="I495" s="104" t="n"/>
      <c r="J495" s="104" t="n">
        <v>7</v>
      </c>
      <c r="K495" s="1" t="n"/>
      <c r="L495" s="104" t="n"/>
      <c r="M495" s="2" t="n"/>
    </row>
    <row r="496" s="83">
      <c r="A496" s="2" t="inlineStr">
        <is>
          <t>101203</t>
        </is>
      </c>
      <c r="B496" s="2" t="n"/>
      <c r="C496" s="2" t="inlineStr">
        <is>
          <t>2025-07-22</t>
        </is>
      </c>
      <c r="D496" s="2" t="inlineStr">
        <is>
          <t>Else01</t>
        </is>
      </c>
      <c r="E496" s="2" t="n"/>
      <c r="F496" s="2" t="inlineStr">
        <is>
          <t>浙江精准学科技有限公司</t>
        </is>
      </c>
      <c r="G496" s="2" t="inlineStr">
        <is>
          <t>记-196</t>
        </is>
      </c>
      <c r="H496" s="2" t="n"/>
      <c r="I496" s="104" t="n"/>
      <c r="J496" s="104" t="n">
        <v>7</v>
      </c>
      <c r="K496" s="1" t="n"/>
      <c r="L496" s="104" t="n"/>
      <c r="M496" s="2" t="n"/>
    </row>
    <row r="497" s="83">
      <c r="A497" s="2" t="inlineStr">
        <is>
          <t>101208</t>
        </is>
      </c>
      <c r="B497" s="2" t="n"/>
      <c r="C497" s="2" t="inlineStr">
        <is>
          <t>2025-07-22</t>
        </is>
      </c>
      <c r="D497" s="2" t="inlineStr">
        <is>
          <t>Else01</t>
        </is>
      </c>
      <c r="E497" s="2" t="n"/>
      <c r="F497" s="2" t="inlineStr">
        <is>
          <t>浙江精准学科技有限公司</t>
        </is>
      </c>
      <c r="G497" s="2" t="inlineStr">
        <is>
          <t>记-196</t>
        </is>
      </c>
      <c r="H497" s="2" t="n"/>
      <c r="I497" s="104" t="n"/>
      <c r="J497" s="104" t="n">
        <v>7</v>
      </c>
      <c r="K497" s="1" t="n"/>
      <c r="L497" s="104" t="n"/>
      <c r="M497" s="2" t="n"/>
    </row>
    <row r="498" s="83">
      <c r="A498" s="2" t="inlineStr">
        <is>
          <t>101203</t>
        </is>
      </c>
      <c r="B498" s="2" t="n"/>
      <c r="C498" s="2" t="inlineStr">
        <is>
          <t>2025-07-23</t>
        </is>
      </c>
      <c r="D498" s="2" t="inlineStr">
        <is>
          <t>Else01</t>
        </is>
      </c>
      <c r="E498" s="2" t="n"/>
      <c r="F498" s="2" t="inlineStr">
        <is>
          <t>浙江精准学科技有限公司</t>
        </is>
      </c>
      <c r="G498" s="2" t="inlineStr">
        <is>
          <t>记-203</t>
        </is>
      </c>
      <c r="H498" s="2" t="n"/>
      <c r="I498" s="104" t="n">
        <v>7</v>
      </c>
      <c r="J498" s="104" t="n"/>
      <c r="K498" s="1" t="n"/>
      <c r="L498" s="104" t="n"/>
      <c r="M498" s="2" t="n"/>
    </row>
    <row r="499" s="83">
      <c r="A499" s="2" t="inlineStr">
        <is>
          <t>101207</t>
        </is>
      </c>
      <c r="B499" s="2" t="n"/>
      <c r="C499" s="2" t="inlineStr">
        <is>
          <t>2025-07-23</t>
        </is>
      </c>
      <c r="D499" s="2" t="inlineStr">
        <is>
          <t>Else01</t>
        </is>
      </c>
      <c r="E499" s="2" t="n"/>
      <c r="F499" s="2" t="inlineStr">
        <is>
          <t>浙江精准学科技有限公司</t>
        </is>
      </c>
      <c r="G499" s="2" t="inlineStr">
        <is>
          <t>记-203</t>
        </is>
      </c>
      <c r="H499" s="2" t="n"/>
      <c r="I499" s="104" t="n">
        <v>7</v>
      </c>
      <c r="J499" s="104" t="n"/>
      <c r="K499" s="1" t="n"/>
      <c r="L499" s="104" t="n"/>
      <c r="M499" s="2" t="n"/>
    </row>
    <row r="500" s="83">
      <c r="A500" s="2" t="inlineStr">
        <is>
          <t>101201</t>
        </is>
      </c>
      <c r="B500" s="2" t="n"/>
      <c r="C500" s="2" t="inlineStr">
        <is>
          <t>2025-07-23</t>
        </is>
      </c>
      <c r="D500" s="2" t="inlineStr">
        <is>
          <t>Else01</t>
        </is>
      </c>
      <c r="E500" s="2" t="n"/>
      <c r="F500" s="2" t="inlineStr">
        <is>
          <t>浙江精准学科技有限公司</t>
        </is>
      </c>
      <c r="G500" s="2" t="inlineStr">
        <is>
          <t>记-203</t>
        </is>
      </c>
      <c r="H500" s="2" t="n"/>
      <c r="I500" s="104" t="n">
        <v>7</v>
      </c>
      <c r="J500" s="104" t="n"/>
      <c r="K500" s="1" t="n"/>
      <c r="L500" s="104" t="n"/>
      <c r="M500" s="2" t="n"/>
    </row>
    <row r="501" s="83">
      <c r="A501" s="2" t="inlineStr">
        <is>
          <t>101203</t>
        </is>
      </c>
      <c r="B501" s="2" t="n"/>
      <c r="C501" s="2" t="inlineStr">
        <is>
          <t>2025-07-23</t>
        </is>
      </c>
      <c r="D501" s="2" t="inlineStr">
        <is>
          <t>Else01</t>
        </is>
      </c>
      <c r="E501" s="2" t="n"/>
      <c r="F501" s="2" t="inlineStr">
        <is>
          <t>浙江精准学科技有限公司</t>
        </is>
      </c>
      <c r="G501" s="2" t="inlineStr">
        <is>
          <t>记-203</t>
        </is>
      </c>
      <c r="H501" s="2" t="n"/>
      <c r="I501" s="104" t="n">
        <v>7</v>
      </c>
      <c r="J501" s="104" t="n"/>
      <c r="K501" s="1" t="n"/>
      <c r="L501" s="104" t="n"/>
      <c r="M501" s="2" t="n"/>
    </row>
    <row r="502" s="83">
      <c r="A502" s="2" t="inlineStr">
        <is>
          <t>101203</t>
        </is>
      </c>
      <c r="B502" s="2" t="n"/>
      <c r="C502" s="2" t="inlineStr">
        <is>
          <t>2025-07-23</t>
        </is>
      </c>
      <c r="D502" s="2" t="inlineStr">
        <is>
          <t>Else01</t>
        </is>
      </c>
      <c r="E502" s="2" t="n"/>
      <c r="F502" s="2" t="inlineStr">
        <is>
          <t>浙江精准学科技有限公司</t>
        </is>
      </c>
      <c r="G502" s="2" t="inlineStr">
        <is>
          <t>记-204</t>
        </is>
      </c>
      <c r="H502" s="2" t="n"/>
      <c r="I502" s="104" t="n"/>
      <c r="J502" s="104" t="n">
        <v>7</v>
      </c>
      <c r="K502" s="1" t="n"/>
      <c r="L502" s="104" t="n"/>
      <c r="M502" s="2" t="n"/>
    </row>
    <row r="503" s="83">
      <c r="A503" s="2" t="inlineStr">
        <is>
          <t>101207</t>
        </is>
      </c>
      <c r="B503" s="2" t="n"/>
      <c r="C503" s="2" t="inlineStr">
        <is>
          <t>2025-07-23</t>
        </is>
      </c>
      <c r="D503" s="2" t="inlineStr">
        <is>
          <t>Else01</t>
        </is>
      </c>
      <c r="E503" s="2" t="n"/>
      <c r="F503" s="2" t="inlineStr">
        <is>
          <t>浙江精准学科技有限公司</t>
        </is>
      </c>
      <c r="G503" s="2" t="inlineStr">
        <is>
          <t>记-204</t>
        </is>
      </c>
      <c r="H503" s="2" t="n"/>
      <c r="I503" s="104" t="n"/>
      <c r="J503" s="104" t="n">
        <v>7</v>
      </c>
      <c r="K503" s="1" t="n"/>
      <c r="L503" s="104" t="n"/>
      <c r="M503" s="2" t="n"/>
    </row>
    <row r="504" s="83">
      <c r="A504" s="2" t="inlineStr">
        <is>
          <t>101201</t>
        </is>
      </c>
      <c r="B504" s="2" t="n"/>
      <c r="C504" s="2" t="inlineStr">
        <is>
          <t>2025-07-23</t>
        </is>
      </c>
      <c r="D504" s="2" t="inlineStr">
        <is>
          <t>Else01</t>
        </is>
      </c>
      <c r="E504" s="2" t="n"/>
      <c r="F504" s="2" t="inlineStr">
        <is>
          <t>浙江精准学科技有限公司</t>
        </is>
      </c>
      <c r="G504" s="2" t="inlineStr">
        <is>
          <t>记-204</t>
        </is>
      </c>
      <c r="H504" s="2" t="n"/>
      <c r="I504" s="104" t="n"/>
      <c r="J504" s="104" t="n">
        <v>7</v>
      </c>
      <c r="K504" s="1" t="n"/>
      <c r="L504" s="104" t="n"/>
      <c r="M504" s="2" t="n"/>
    </row>
    <row r="505" s="83">
      <c r="A505" s="2" t="inlineStr">
        <is>
          <t>101203</t>
        </is>
      </c>
      <c r="B505" s="2" t="n"/>
      <c r="C505" s="2" t="inlineStr">
        <is>
          <t>2025-07-23</t>
        </is>
      </c>
      <c r="D505" s="2" t="inlineStr">
        <is>
          <t>Else01</t>
        </is>
      </c>
      <c r="E505" s="2" t="n"/>
      <c r="F505" s="2" t="inlineStr">
        <is>
          <t>浙江精准学科技有限公司</t>
        </is>
      </c>
      <c r="G505" s="2" t="inlineStr">
        <is>
          <t>记-204</t>
        </is>
      </c>
      <c r="H505" s="2" t="n"/>
      <c r="I505" s="104" t="n"/>
      <c r="J505" s="104" t="n">
        <v>7</v>
      </c>
      <c r="K505" s="1" t="n"/>
      <c r="L505" s="104" t="n"/>
      <c r="M505" s="2" t="n"/>
    </row>
    <row r="506" s="83">
      <c r="A506" s="2" t="inlineStr">
        <is>
          <t>101203</t>
        </is>
      </c>
      <c r="B506" s="2" t="n"/>
      <c r="C506" s="2" t="inlineStr">
        <is>
          <t>2025-07-24</t>
        </is>
      </c>
      <c r="D506" s="2" t="inlineStr">
        <is>
          <t>Else01</t>
        </is>
      </c>
      <c r="E506" s="2" t="n"/>
      <c r="F506" s="2" t="inlineStr">
        <is>
          <t>浙江精准学科技有限公司</t>
        </is>
      </c>
      <c r="G506" s="2" t="inlineStr">
        <is>
          <t>记-217</t>
        </is>
      </c>
      <c r="H506" s="2" t="n"/>
      <c r="I506" s="104" t="n">
        <v>7</v>
      </c>
      <c r="J506" s="104" t="n"/>
      <c r="K506" s="1" t="n"/>
      <c r="L506" s="104" t="n"/>
      <c r="M506" s="2" t="n"/>
    </row>
    <row r="507" s="83">
      <c r="A507" s="2" t="inlineStr">
        <is>
          <t>101207</t>
        </is>
      </c>
      <c r="B507" s="2" t="n"/>
      <c r="C507" s="2" t="inlineStr">
        <is>
          <t>2025-07-24</t>
        </is>
      </c>
      <c r="D507" s="2" t="inlineStr">
        <is>
          <t>Else01</t>
        </is>
      </c>
      <c r="E507" s="2" t="n"/>
      <c r="F507" s="2" t="inlineStr">
        <is>
          <t>浙江精准学科技有限公司</t>
        </is>
      </c>
      <c r="G507" s="2" t="inlineStr">
        <is>
          <t>记-217</t>
        </is>
      </c>
      <c r="H507" s="2" t="n"/>
      <c r="I507" s="104" t="n">
        <v>7</v>
      </c>
      <c r="J507" s="104" t="n"/>
      <c r="K507" s="1" t="n"/>
      <c r="L507" s="104" t="n"/>
      <c r="M507" s="2" t="n"/>
    </row>
    <row r="508" s="83">
      <c r="A508" s="2" t="inlineStr">
        <is>
          <t>101201</t>
        </is>
      </c>
      <c r="B508" s="2" t="n"/>
      <c r="C508" s="2" t="inlineStr">
        <is>
          <t>2025-07-24</t>
        </is>
      </c>
      <c r="D508" s="2" t="inlineStr">
        <is>
          <t>Else01</t>
        </is>
      </c>
      <c r="E508" s="2" t="n"/>
      <c r="F508" s="2" t="inlineStr">
        <is>
          <t>浙江精准学科技有限公司</t>
        </is>
      </c>
      <c r="G508" s="2" t="inlineStr">
        <is>
          <t>记-217</t>
        </is>
      </c>
      <c r="H508" s="2" t="n"/>
      <c r="I508" s="104" t="n">
        <v>7</v>
      </c>
      <c r="J508" s="104" t="n"/>
      <c r="K508" s="1" t="n"/>
      <c r="L508" s="104" t="n"/>
      <c r="M508" s="2" t="n"/>
    </row>
    <row r="509" s="83">
      <c r="A509" s="2" t="inlineStr">
        <is>
          <t>101203</t>
        </is>
      </c>
      <c r="B509" s="2" t="n"/>
      <c r="C509" s="2" t="inlineStr">
        <is>
          <t>2025-07-24</t>
        </is>
      </c>
      <c r="D509" s="2" t="inlineStr">
        <is>
          <t>Else01</t>
        </is>
      </c>
      <c r="E509" s="2" t="n"/>
      <c r="F509" s="2" t="inlineStr">
        <is>
          <t>浙江精准学科技有限公司</t>
        </is>
      </c>
      <c r="G509" s="2" t="inlineStr">
        <is>
          <t>记-217</t>
        </is>
      </c>
      <c r="H509" s="2" t="n"/>
      <c r="I509" s="104" t="n">
        <v>7</v>
      </c>
      <c r="J509" s="104" t="n"/>
      <c r="K509" s="1" t="n"/>
      <c r="L509" s="104" t="n"/>
      <c r="M509" s="2" t="n"/>
    </row>
    <row r="510" s="83">
      <c r="A510" s="2" t="inlineStr">
        <is>
          <t>101203</t>
        </is>
      </c>
      <c r="B510" s="2" t="n"/>
      <c r="C510" s="2" t="inlineStr">
        <is>
          <t>2025-07-24</t>
        </is>
      </c>
      <c r="D510" s="2" t="inlineStr">
        <is>
          <t>Else01</t>
        </is>
      </c>
      <c r="E510" s="2" t="n"/>
      <c r="F510" s="2" t="inlineStr">
        <is>
          <t>浙江精准学科技有限公司</t>
        </is>
      </c>
      <c r="G510" s="2" t="inlineStr">
        <is>
          <t>记-218</t>
        </is>
      </c>
      <c r="H510" s="2" t="n"/>
      <c r="I510" s="104" t="n"/>
      <c r="J510" s="104" t="n">
        <v>7</v>
      </c>
      <c r="K510" s="1" t="n"/>
      <c r="L510" s="104" t="n"/>
      <c r="M510" s="2" t="n"/>
    </row>
    <row r="511" s="83">
      <c r="A511" s="2" t="inlineStr">
        <is>
          <t>101207</t>
        </is>
      </c>
      <c r="B511" s="2" t="n"/>
      <c r="C511" s="2" t="inlineStr">
        <is>
          <t>2025-07-24</t>
        </is>
      </c>
      <c r="D511" s="2" t="inlineStr">
        <is>
          <t>Else01</t>
        </is>
      </c>
      <c r="E511" s="2" t="n"/>
      <c r="F511" s="2" t="inlineStr">
        <is>
          <t>浙江精准学科技有限公司</t>
        </is>
      </c>
      <c r="G511" s="2" t="inlineStr">
        <is>
          <t>记-218</t>
        </is>
      </c>
      <c r="H511" s="2" t="n"/>
      <c r="I511" s="104" t="n"/>
      <c r="J511" s="104" t="n">
        <v>7</v>
      </c>
      <c r="K511" s="1" t="n"/>
      <c r="L511" s="104" t="n"/>
      <c r="M511" s="2" t="n"/>
    </row>
    <row r="512" s="83">
      <c r="A512" s="2" t="inlineStr">
        <is>
          <t>101201</t>
        </is>
      </c>
      <c r="B512" s="2" t="n"/>
      <c r="C512" s="2" t="inlineStr">
        <is>
          <t>2025-07-24</t>
        </is>
      </c>
      <c r="D512" s="2" t="inlineStr">
        <is>
          <t>Else01</t>
        </is>
      </c>
      <c r="E512" s="2" t="n"/>
      <c r="F512" s="2" t="inlineStr">
        <is>
          <t>浙江精准学科技有限公司</t>
        </is>
      </c>
      <c r="G512" s="2" t="inlineStr">
        <is>
          <t>记-218</t>
        </is>
      </c>
      <c r="H512" s="2" t="n"/>
      <c r="I512" s="104" t="n"/>
      <c r="J512" s="104" t="n">
        <v>7</v>
      </c>
      <c r="K512" s="1" t="n"/>
      <c r="L512" s="104" t="n"/>
      <c r="M512" s="2" t="n"/>
    </row>
    <row r="513" s="83">
      <c r="A513" s="2" t="inlineStr">
        <is>
          <t>101203</t>
        </is>
      </c>
      <c r="B513" s="2" t="n"/>
      <c r="C513" s="2" t="inlineStr">
        <is>
          <t>2025-07-24</t>
        </is>
      </c>
      <c r="D513" s="2" t="inlineStr">
        <is>
          <t>Else01</t>
        </is>
      </c>
      <c r="E513" s="2" t="n"/>
      <c r="F513" s="2" t="inlineStr">
        <is>
          <t>浙江精准学科技有限公司</t>
        </is>
      </c>
      <c r="G513" s="2" t="inlineStr">
        <is>
          <t>记-218</t>
        </is>
      </c>
      <c r="H513" s="2" t="n"/>
      <c r="I513" s="104" t="n"/>
      <c r="J513" s="104" t="n">
        <v>7</v>
      </c>
      <c r="K513" s="1" t="n"/>
      <c r="L513" s="104" t="n"/>
      <c r="M513" s="2" t="n"/>
    </row>
    <row r="514" s="83">
      <c r="A514" s="2" t="inlineStr">
        <is>
          <t>101203</t>
        </is>
      </c>
      <c r="B514" s="2" t="n"/>
      <c r="C514" s="2" t="inlineStr">
        <is>
          <t>2025-07-25</t>
        </is>
      </c>
      <c r="D514" s="2" t="inlineStr">
        <is>
          <t>Else01</t>
        </is>
      </c>
      <c r="E514" s="2" t="n"/>
      <c r="F514" s="2" t="inlineStr">
        <is>
          <t>浙江精准学科技有限公司</t>
        </is>
      </c>
      <c r="G514" s="2" t="inlineStr">
        <is>
          <t>记-228</t>
        </is>
      </c>
      <c r="H514" s="2" t="n"/>
      <c r="I514" s="104" t="n">
        <v>7</v>
      </c>
      <c r="J514" s="104" t="n"/>
      <c r="K514" s="1" t="n"/>
      <c r="L514" s="104" t="n"/>
      <c r="M514" s="2" t="n"/>
    </row>
    <row r="515" s="83">
      <c r="A515" s="2" t="inlineStr">
        <is>
          <t>101207</t>
        </is>
      </c>
      <c r="B515" s="2" t="n"/>
      <c r="C515" s="2" t="inlineStr">
        <is>
          <t>2025-07-25</t>
        </is>
      </c>
      <c r="D515" s="2" t="inlineStr">
        <is>
          <t>Else01</t>
        </is>
      </c>
      <c r="E515" s="2" t="n"/>
      <c r="F515" s="2" t="inlineStr">
        <is>
          <t>浙江精准学科技有限公司</t>
        </is>
      </c>
      <c r="G515" s="2" t="inlineStr">
        <is>
          <t>记-228</t>
        </is>
      </c>
      <c r="H515" s="2" t="n"/>
      <c r="I515" s="104" t="n">
        <v>7</v>
      </c>
      <c r="J515" s="104" t="n"/>
      <c r="K515" s="1" t="n"/>
      <c r="L515" s="104" t="n"/>
      <c r="M515" s="2" t="n"/>
    </row>
    <row r="516" s="83">
      <c r="A516" s="2" t="inlineStr">
        <is>
          <t>101201</t>
        </is>
      </c>
      <c r="B516" s="2" t="n"/>
      <c r="C516" s="2" t="inlineStr">
        <is>
          <t>2025-07-25</t>
        </is>
      </c>
      <c r="D516" s="2" t="inlineStr">
        <is>
          <t>Else01</t>
        </is>
      </c>
      <c r="E516" s="2" t="n"/>
      <c r="F516" s="2" t="inlineStr">
        <is>
          <t>浙江精准学科技有限公司</t>
        </is>
      </c>
      <c r="G516" s="2" t="inlineStr">
        <is>
          <t>记-228</t>
        </is>
      </c>
      <c r="H516" s="2" t="n"/>
      <c r="I516" s="104" t="n">
        <v>7</v>
      </c>
      <c r="J516" s="104" t="n"/>
      <c r="K516" s="1" t="n"/>
      <c r="L516" s="104" t="n"/>
      <c r="M516" s="2" t="n"/>
    </row>
    <row r="517" s="83">
      <c r="A517" s="2" t="inlineStr">
        <is>
          <t>101203</t>
        </is>
      </c>
      <c r="B517" s="2" t="n"/>
      <c r="C517" s="2" t="inlineStr">
        <is>
          <t>2025-07-25</t>
        </is>
      </c>
      <c r="D517" s="2" t="inlineStr">
        <is>
          <t>Else01</t>
        </is>
      </c>
      <c r="E517" s="2" t="n"/>
      <c r="F517" s="2" t="inlineStr">
        <is>
          <t>浙江精准学科技有限公司</t>
        </is>
      </c>
      <c r="G517" s="2" t="inlineStr">
        <is>
          <t>记-229</t>
        </is>
      </c>
      <c r="H517" s="2" t="n"/>
      <c r="I517" s="104" t="n"/>
      <c r="J517" s="104" t="n">
        <v>7</v>
      </c>
      <c r="K517" s="1" t="n"/>
      <c r="L517" s="104" t="n"/>
      <c r="M517" s="2" t="n"/>
    </row>
    <row r="518" s="83">
      <c r="A518" s="2" t="inlineStr">
        <is>
          <t>101207</t>
        </is>
      </c>
      <c r="B518" s="2" t="n"/>
      <c r="C518" s="2" t="inlineStr">
        <is>
          <t>2025-07-25</t>
        </is>
      </c>
      <c r="D518" s="2" t="inlineStr">
        <is>
          <t>Else01</t>
        </is>
      </c>
      <c r="E518" s="2" t="n"/>
      <c r="F518" s="2" t="inlineStr">
        <is>
          <t>浙江精准学科技有限公司</t>
        </is>
      </c>
      <c r="G518" s="2" t="inlineStr">
        <is>
          <t>记-229</t>
        </is>
      </c>
      <c r="H518" s="2" t="n"/>
      <c r="I518" s="104" t="n"/>
      <c r="J518" s="104" t="n">
        <v>7</v>
      </c>
      <c r="K518" s="1" t="n"/>
      <c r="L518" s="104" t="n"/>
      <c r="M518" s="2" t="n"/>
    </row>
    <row r="519" s="83">
      <c r="A519" s="2" t="inlineStr">
        <is>
          <t>101201</t>
        </is>
      </c>
      <c r="B519" s="2" t="n"/>
      <c r="C519" s="2" t="inlineStr">
        <is>
          <t>2025-07-25</t>
        </is>
      </c>
      <c r="D519" s="2" t="inlineStr">
        <is>
          <t>Else01</t>
        </is>
      </c>
      <c r="E519" s="2" t="n"/>
      <c r="F519" s="2" t="inlineStr">
        <is>
          <t>浙江精准学科技有限公司</t>
        </is>
      </c>
      <c r="G519" s="2" t="inlineStr">
        <is>
          <t>记-229</t>
        </is>
      </c>
      <c r="H519" s="2" t="n"/>
      <c r="I519" s="104" t="n"/>
      <c r="J519" s="104" t="n">
        <v>7</v>
      </c>
      <c r="K519" s="1" t="n"/>
      <c r="L519" s="104" t="n"/>
      <c r="M519" s="2" t="n"/>
    </row>
    <row r="520" s="83">
      <c r="A520" s="2" t="inlineStr">
        <is>
          <t>101203</t>
        </is>
      </c>
      <c r="B520" s="2" t="n"/>
      <c r="C520" s="2" t="inlineStr">
        <is>
          <t>2025-07-26</t>
        </is>
      </c>
      <c r="D520" s="2" t="inlineStr">
        <is>
          <t>Else01</t>
        </is>
      </c>
      <c r="E520" s="2" t="n"/>
      <c r="F520" s="2" t="inlineStr">
        <is>
          <t>浙江精准学科技有限公司</t>
        </is>
      </c>
      <c r="G520" s="2" t="inlineStr">
        <is>
          <t>记-231</t>
        </is>
      </c>
      <c r="H520" s="2" t="n"/>
      <c r="I520" s="104" t="n"/>
      <c r="J520" s="104" t="n">
        <v>7</v>
      </c>
      <c r="K520" s="1" t="n"/>
      <c r="L520" s="104" t="n"/>
      <c r="M520" s="2" t="n"/>
    </row>
    <row r="521" s="83">
      <c r="A521" s="2" t="inlineStr">
        <is>
          <t>101207</t>
        </is>
      </c>
      <c r="B521" s="2" t="n"/>
      <c r="C521" s="2" t="inlineStr">
        <is>
          <t>2025-07-26</t>
        </is>
      </c>
      <c r="D521" s="2" t="inlineStr">
        <is>
          <t>Else01</t>
        </is>
      </c>
      <c r="E521" s="2" t="n"/>
      <c r="F521" s="2" t="inlineStr">
        <is>
          <t>浙江精准学科技有限公司</t>
        </is>
      </c>
      <c r="G521" s="2" t="inlineStr">
        <is>
          <t>记-231</t>
        </is>
      </c>
      <c r="H521" s="2" t="n"/>
      <c r="I521" s="104" t="n"/>
      <c r="J521" s="104" t="n">
        <v>7</v>
      </c>
      <c r="K521" s="1" t="n"/>
      <c r="L521" s="104" t="n"/>
      <c r="M521" s="2" t="n"/>
    </row>
    <row r="522" s="83">
      <c r="A522" s="2" t="inlineStr">
        <is>
          <t>101201</t>
        </is>
      </c>
      <c r="B522" s="2" t="n"/>
      <c r="C522" s="2" t="inlineStr">
        <is>
          <t>2025-07-26</t>
        </is>
      </c>
      <c r="D522" s="2" t="inlineStr">
        <is>
          <t>Else01</t>
        </is>
      </c>
      <c r="E522" s="2" t="n"/>
      <c r="F522" s="2" t="inlineStr">
        <is>
          <t>浙江精准学科技有限公司</t>
        </is>
      </c>
      <c r="G522" s="2" t="inlineStr">
        <is>
          <t>记-231</t>
        </is>
      </c>
      <c r="H522" s="2" t="n"/>
      <c r="I522" s="104" t="n"/>
      <c r="J522" s="104" t="n">
        <v>7</v>
      </c>
      <c r="K522" s="1" t="n"/>
      <c r="L522" s="104" t="n"/>
      <c r="M522" s="2" t="n"/>
    </row>
    <row r="523" s="83">
      <c r="A523" s="2" t="inlineStr">
        <is>
          <t>101208</t>
        </is>
      </c>
      <c r="B523" s="2" t="n"/>
      <c r="C523" s="2" t="inlineStr">
        <is>
          <t>2025-07-26</t>
        </is>
      </c>
      <c r="D523" s="2" t="inlineStr">
        <is>
          <t>Else01</t>
        </is>
      </c>
      <c r="E523" s="2" t="n"/>
      <c r="F523" s="2" t="inlineStr">
        <is>
          <t>浙江精准学科技有限公司</t>
        </is>
      </c>
      <c r="G523" s="2" t="inlineStr">
        <is>
          <t>记-231</t>
        </is>
      </c>
      <c r="H523" s="2" t="n"/>
      <c r="I523" s="104" t="n"/>
      <c r="J523" s="104" t="n">
        <v>7</v>
      </c>
      <c r="K523" s="1" t="n"/>
      <c r="L523" s="104" t="n"/>
      <c r="M523" s="2" t="n"/>
    </row>
    <row r="524" s="83">
      <c r="A524" s="2" t="inlineStr">
        <is>
          <t>101203</t>
        </is>
      </c>
      <c r="B524" s="2" t="n"/>
      <c r="C524" s="2" t="inlineStr">
        <is>
          <t>2025-07-26</t>
        </is>
      </c>
      <c r="D524" s="2" t="inlineStr">
        <is>
          <t>Else01</t>
        </is>
      </c>
      <c r="E524" s="2" t="n"/>
      <c r="F524" s="2" t="inlineStr">
        <is>
          <t>浙江精准学科技有限公司</t>
        </is>
      </c>
      <c r="G524" s="2" t="inlineStr">
        <is>
          <t>记-232</t>
        </is>
      </c>
      <c r="H524" s="2" t="n"/>
      <c r="I524" s="104" t="n">
        <v>7</v>
      </c>
      <c r="J524" s="104" t="n"/>
      <c r="K524" s="1" t="n"/>
      <c r="L524" s="104" t="n"/>
      <c r="M524" s="2" t="n"/>
    </row>
    <row r="525" s="83">
      <c r="A525" s="2" t="inlineStr">
        <is>
          <t>101207</t>
        </is>
      </c>
      <c r="B525" s="2" t="n"/>
      <c r="C525" s="2" t="inlineStr">
        <is>
          <t>2025-07-26</t>
        </is>
      </c>
      <c r="D525" s="2" t="inlineStr">
        <is>
          <t>Else01</t>
        </is>
      </c>
      <c r="E525" s="2" t="n"/>
      <c r="F525" s="2" t="inlineStr">
        <is>
          <t>浙江精准学科技有限公司</t>
        </is>
      </c>
      <c r="G525" s="2" t="inlineStr">
        <is>
          <t>记-232</t>
        </is>
      </c>
      <c r="H525" s="2" t="n"/>
      <c r="I525" s="104" t="n">
        <v>7</v>
      </c>
      <c r="J525" s="104" t="n"/>
      <c r="K525" s="1" t="n"/>
      <c r="L525" s="104" t="n"/>
      <c r="M525" s="2" t="n"/>
    </row>
    <row r="526" s="83">
      <c r="A526" s="2" t="inlineStr">
        <is>
          <t>101201</t>
        </is>
      </c>
      <c r="B526" s="2" t="n"/>
      <c r="C526" s="2" t="inlineStr">
        <is>
          <t>2025-07-26</t>
        </is>
      </c>
      <c r="D526" s="2" t="inlineStr">
        <is>
          <t>Else01</t>
        </is>
      </c>
      <c r="E526" s="2" t="n"/>
      <c r="F526" s="2" t="inlineStr">
        <is>
          <t>浙江精准学科技有限公司</t>
        </is>
      </c>
      <c r="G526" s="2" t="inlineStr">
        <is>
          <t>记-232</t>
        </is>
      </c>
      <c r="H526" s="2" t="n"/>
      <c r="I526" s="104" t="n">
        <v>7</v>
      </c>
      <c r="J526" s="104" t="n"/>
      <c r="K526" s="1" t="n"/>
      <c r="L526" s="104" t="n"/>
      <c r="M526" s="2" t="n"/>
    </row>
    <row r="527" s="83">
      <c r="A527" s="2" t="inlineStr">
        <is>
          <t>101208</t>
        </is>
      </c>
      <c r="B527" s="2" t="n"/>
      <c r="C527" s="2" t="inlineStr">
        <is>
          <t>2025-07-26</t>
        </is>
      </c>
      <c r="D527" s="2" t="inlineStr">
        <is>
          <t>Else01</t>
        </is>
      </c>
      <c r="E527" s="2" t="n"/>
      <c r="F527" s="2" t="inlineStr">
        <is>
          <t>浙江精准学科技有限公司</t>
        </is>
      </c>
      <c r="G527" s="2" t="inlineStr">
        <is>
          <t>记-232</t>
        </is>
      </c>
      <c r="H527" s="2" t="n"/>
      <c r="I527" s="104" t="n">
        <v>7</v>
      </c>
      <c r="J527" s="104" t="n"/>
      <c r="K527" s="1" t="n"/>
      <c r="L527" s="104" t="n"/>
      <c r="M527" s="2" t="n"/>
    </row>
    <row r="528" s="83">
      <c r="A528" s="2" t="inlineStr">
        <is>
          <t>101203</t>
        </is>
      </c>
      <c r="B528" s="2" t="n"/>
      <c r="C528" s="2" t="inlineStr">
        <is>
          <t>2025-07-27</t>
        </is>
      </c>
      <c r="D528" s="2" t="inlineStr">
        <is>
          <t>Else01</t>
        </is>
      </c>
      <c r="E528" s="2" t="n"/>
      <c r="F528" s="2" t="inlineStr">
        <is>
          <t>浙江精准学科技有限公司</t>
        </is>
      </c>
      <c r="G528" s="2" t="inlineStr">
        <is>
          <t>记-234</t>
        </is>
      </c>
      <c r="H528" s="2" t="n"/>
      <c r="I528" s="104" t="n"/>
      <c r="J528" s="104" t="n">
        <v>7</v>
      </c>
      <c r="K528" s="1" t="n"/>
      <c r="L528" s="104" t="n"/>
      <c r="M528" s="2" t="n"/>
    </row>
    <row r="529" s="83">
      <c r="A529" s="2" t="inlineStr">
        <is>
          <t>101207</t>
        </is>
      </c>
      <c r="B529" s="2" t="n"/>
      <c r="C529" s="2" t="inlineStr">
        <is>
          <t>2025-07-27</t>
        </is>
      </c>
      <c r="D529" s="2" t="inlineStr">
        <is>
          <t>Else01</t>
        </is>
      </c>
      <c r="E529" s="2" t="n"/>
      <c r="F529" s="2" t="inlineStr">
        <is>
          <t>浙江精准学科技有限公司</t>
        </is>
      </c>
      <c r="G529" s="2" t="inlineStr">
        <is>
          <t>记-234</t>
        </is>
      </c>
      <c r="H529" s="2" t="n"/>
      <c r="I529" s="104" t="n"/>
      <c r="J529" s="104" t="n">
        <v>7</v>
      </c>
      <c r="K529" s="1" t="n"/>
      <c r="L529" s="104" t="n"/>
      <c r="M529" s="2" t="n"/>
    </row>
    <row r="530" s="83">
      <c r="A530" s="2" t="inlineStr">
        <is>
          <t>101201</t>
        </is>
      </c>
      <c r="B530" s="2" t="n"/>
      <c r="C530" s="2" t="inlineStr">
        <is>
          <t>2025-07-27</t>
        </is>
      </c>
      <c r="D530" s="2" t="inlineStr">
        <is>
          <t>Else01</t>
        </is>
      </c>
      <c r="E530" s="2" t="n"/>
      <c r="F530" s="2" t="inlineStr">
        <is>
          <t>浙江精准学科技有限公司</t>
        </is>
      </c>
      <c r="G530" s="2" t="inlineStr">
        <is>
          <t>记-234</t>
        </is>
      </c>
      <c r="H530" s="2" t="n"/>
      <c r="I530" s="104" t="n"/>
      <c r="J530" s="104" t="n">
        <v>7</v>
      </c>
      <c r="K530" s="1" t="n"/>
      <c r="L530" s="104" t="n"/>
      <c r="M530" s="2" t="n"/>
    </row>
    <row r="531" s="83">
      <c r="A531" s="2" t="inlineStr">
        <is>
          <t>101203</t>
        </is>
      </c>
      <c r="B531" s="2" t="n"/>
      <c r="C531" s="2" t="inlineStr">
        <is>
          <t>2025-07-27</t>
        </is>
      </c>
      <c r="D531" s="2" t="inlineStr">
        <is>
          <t>Else01</t>
        </is>
      </c>
      <c r="E531" s="2" t="n"/>
      <c r="F531" s="2" t="inlineStr">
        <is>
          <t>浙江精准学科技有限公司</t>
        </is>
      </c>
      <c r="G531" s="2" t="inlineStr">
        <is>
          <t>记-234</t>
        </is>
      </c>
      <c r="H531" s="2" t="n"/>
      <c r="I531" s="104" t="n"/>
      <c r="J531" s="104" t="n">
        <v>7</v>
      </c>
      <c r="K531" s="1" t="n"/>
      <c r="L531" s="104" t="n"/>
      <c r="M531" s="2" t="n"/>
    </row>
    <row r="532" s="83">
      <c r="A532" s="2" t="inlineStr">
        <is>
          <t>101203</t>
        </is>
      </c>
      <c r="B532" s="2" t="n"/>
      <c r="C532" s="2" t="inlineStr">
        <is>
          <t>2025-07-27</t>
        </is>
      </c>
      <c r="D532" s="2" t="inlineStr">
        <is>
          <t>Else01</t>
        </is>
      </c>
      <c r="E532" s="2" t="n"/>
      <c r="F532" s="2" t="inlineStr">
        <is>
          <t>浙江精准学科技有限公司</t>
        </is>
      </c>
      <c r="G532" s="2" t="inlineStr">
        <is>
          <t>记-235</t>
        </is>
      </c>
      <c r="H532" s="2" t="n"/>
      <c r="I532" s="104" t="n">
        <v>7</v>
      </c>
      <c r="J532" s="104" t="n"/>
      <c r="K532" s="1" t="n"/>
      <c r="L532" s="104" t="n"/>
      <c r="M532" s="2" t="n"/>
    </row>
    <row r="533" s="83">
      <c r="A533" s="2" t="inlineStr">
        <is>
          <t>101207</t>
        </is>
      </c>
      <c r="B533" s="2" t="n"/>
      <c r="C533" s="2" t="inlineStr">
        <is>
          <t>2025-07-27</t>
        </is>
      </c>
      <c r="D533" s="2" t="inlineStr">
        <is>
          <t>Else01</t>
        </is>
      </c>
      <c r="E533" s="2" t="n"/>
      <c r="F533" s="2" t="inlineStr">
        <is>
          <t>浙江精准学科技有限公司</t>
        </is>
      </c>
      <c r="G533" s="2" t="inlineStr">
        <is>
          <t>记-235</t>
        </is>
      </c>
      <c r="H533" s="2" t="n"/>
      <c r="I533" s="104" t="n">
        <v>7</v>
      </c>
      <c r="J533" s="104" t="n"/>
      <c r="K533" s="1" t="n"/>
      <c r="L533" s="104" t="n"/>
      <c r="M533" s="2" t="n"/>
    </row>
    <row r="534" s="83">
      <c r="A534" s="2" t="inlineStr">
        <is>
          <t>101201</t>
        </is>
      </c>
      <c r="B534" s="2" t="n"/>
      <c r="C534" s="2" t="inlineStr">
        <is>
          <t>2025-07-27</t>
        </is>
      </c>
      <c r="D534" s="2" t="inlineStr">
        <is>
          <t>Else01</t>
        </is>
      </c>
      <c r="E534" s="2" t="n"/>
      <c r="F534" s="2" t="inlineStr">
        <is>
          <t>浙江精准学科技有限公司</t>
        </is>
      </c>
      <c r="G534" s="2" t="inlineStr">
        <is>
          <t>记-235</t>
        </is>
      </c>
      <c r="H534" s="2" t="n"/>
      <c r="I534" s="104" t="n">
        <v>7</v>
      </c>
      <c r="J534" s="104" t="n"/>
      <c r="K534" s="1" t="n"/>
      <c r="L534" s="104" t="n"/>
      <c r="M534" s="2" t="n"/>
    </row>
    <row r="535" s="83">
      <c r="A535" s="2" t="inlineStr">
        <is>
          <t>101203</t>
        </is>
      </c>
      <c r="B535" s="2" t="n"/>
      <c r="C535" s="2" t="inlineStr">
        <is>
          <t>2025-07-27</t>
        </is>
      </c>
      <c r="D535" s="2" t="inlineStr">
        <is>
          <t>Else01</t>
        </is>
      </c>
      <c r="E535" s="2" t="n"/>
      <c r="F535" s="2" t="inlineStr">
        <is>
          <t>浙江精准学科技有限公司</t>
        </is>
      </c>
      <c r="G535" s="2" t="inlineStr">
        <is>
          <t>记-235</t>
        </is>
      </c>
      <c r="H535" s="2" t="n"/>
      <c r="I535" s="104" t="n">
        <v>7</v>
      </c>
      <c r="J535" s="104" t="n"/>
      <c r="K535" s="1" t="n"/>
      <c r="L535" s="104" t="n"/>
      <c r="M535" s="2" t="n"/>
    </row>
    <row r="536" s="83">
      <c r="A536" s="2" t="inlineStr">
        <is>
          <t>101203</t>
        </is>
      </c>
      <c r="B536" s="2" t="n"/>
      <c r="C536" s="2" t="inlineStr">
        <is>
          <t>2025-07-28</t>
        </is>
      </c>
      <c r="D536" s="2" t="inlineStr">
        <is>
          <t>Else01</t>
        </is>
      </c>
      <c r="E536" s="2" t="n"/>
      <c r="F536" s="2" t="inlineStr">
        <is>
          <t>浙江精准学科技有限公司</t>
        </is>
      </c>
      <c r="G536" s="2" t="inlineStr">
        <is>
          <t>记-245</t>
        </is>
      </c>
      <c r="H536" s="2" t="n"/>
      <c r="I536" s="104" t="n">
        <v>7</v>
      </c>
      <c r="J536" s="104" t="n"/>
      <c r="K536" s="1" t="n"/>
      <c r="L536" s="104" t="n"/>
      <c r="M536" s="2" t="n"/>
    </row>
    <row r="537" s="83">
      <c r="A537" s="2" t="inlineStr">
        <is>
          <t>101207</t>
        </is>
      </c>
      <c r="B537" s="2" t="n"/>
      <c r="C537" s="2" t="inlineStr">
        <is>
          <t>2025-07-28</t>
        </is>
      </c>
      <c r="D537" s="2" t="inlineStr">
        <is>
          <t>Else01</t>
        </is>
      </c>
      <c r="E537" s="2" t="n"/>
      <c r="F537" s="2" t="inlineStr">
        <is>
          <t>浙江精准学科技有限公司</t>
        </is>
      </c>
      <c r="G537" s="2" t="inlineStr">
        <is>
          <t>记-245</t>
        </is>
      </c>
      <c r="H537" s="2" t="n"/>
      <c r="I537" s="104" t="n">
        <v>7</v>
      </c>
      <c r="J537" s="104" t="n"/>
      <c r="K537" s="1" t="n"/>
      <c r="L537" s="104" t="n"/>
      <c r="M537" s="2" t="n"/>
    </row>
    <row r="538" s="83">
      <c r="A538" s="2" t="inlineStr">
        <is>
          <t>101201</t>
        </is>
      </c>
      <c r="B538" s="2" t="n"/>
      <c r="C538" s="2" t="inlineStr">
        <is>
          <t>2025-07-28</t>
        </is>
      </c>
      <c r="D538" s="2" t="inlineStr">
        <is>
          <t>Else01</t>
        </is>
      </c>
      <c r="E538" s="2" t="n"/>
      <c r="F538" s="2" t="inlineStr">
        <is>
          <t>浙江精准学科技有限公司</t>
        </is>
      </c>
      <c r="G538" s="2" t="inlineStr">
        <is>
          <t>记-245</t>
        </is>
      </c>
      <c r="H538" s="2" t="n"/>
      <c r="I538" s="104" t="n">
        <v>7</v>
      </c>
      <c r="J538" s="104" t="n"/>
      <c r="K538" s="1" t="n"/>
      <c r="L538" s="104" t="n"/>
      <c r="M538" s="2" t="n"/>
    </row>
    <row r="539" s="83">
      <c r="A539" s="2" t="inlineStr">
        <is>
          <t>101203</t>
        </is>
      </c>
      <c r="B539" s="2" t="n"/>
      <c r="C539" s="2" t="inlineStr">
        <is>
          <t>2025-07-28</t>
        </is>
      </c>
      <c r="D539" s="2" t="inlineStr">
        <is>
          <t>Else01</t>
        </is>
      </c>
      <c r="E539" s="2" t="n"/>
      <c r="F539" s="2" t="inlineStr">
        <is>
          <t>浙江精准学科技有限公司</t>
        </is>
      </c>
      <c r="G539" s="2" t="inlineStr">
        <is>
          <t>记-246</t>
        </is>
      </c>
      <c r="H539" s="2" t="n"/>
      <c r="I539" s="104" t="n"/>
      <c r="J539" s="104" t="n">
        <v>7</v>
      </c>
      <c r="K539" s="1" t="n"/>
      <c r="L539" s="104" t="n"/>
      <c r="M539" s="2" t="n"/>
    </row>
    <row r="540" s="83">
      <c r="A540" s="2" t="inlineStr">
        <is>
          <t>101207</t>
        </is>
      </c>
      <c r="B540" s="2" t="n"/>
      <c r="C540" s="2" t="inlineStr">
        <is>
          <t>2025-07-28</t>
        </is>
      </c>
      <c r="D540" s="2" t="inlineStr">
        <is>
          <t>Else01</t>
        </is>
      </c>
      <c r="E540" s="2" t="n"/>
      <c r="F540" s="2" t="inlineStr">
        <is>
          <t>浙江精准学科技有限公司</t>
        </is>
      </c>
      <c r="G540" s="2" t="inlineStr">
        <is>
          <t>记-246</t>
        </is>
      </c>
      <c r="H540" s="2" t="n"/>
      <c r="I540" s="104" t="n"/>
      <c r="J540" s="104" t="n">
        <v>7</v>
      </c>
      <c r="K540" s="1" t="n"/>
      <c r="L540" s="104" t="n"/>
      <c r="M540" s="2" t="n"/>
    </row>
    <row r="541" s="83">
      <c r="A541" s="2" t="inlineStr">
        <is>
          <t>101201</t>
        </is>
      </c>
      <c r="B541" s="2" t="n"/>
      <c r="C541" s="2" t="inlineStr">
        <is>
          <t>2025-07-28</t>
        </is>
      </c>
      <c r="D541" s="2" t="inlineStr">
        <is>
          <t>Else01</t>
        </is>
      </c>
      <c r="E541" s="2" t="n"/>
      <c r="F541" s="2" t="inlineStr">
        <is>
          <t>浙江精准学科技有限公司</t>
        </is>
      </c>
      <c r="G541" s="2" t="inlineStr">
        <is>
          <t>记-246</t>
        </is>
      </c>
      <c r="H541" s="2" t="n"/>
      <c r="I541" s="104" t="n"/>
      <c r="J541" s="104" t="n">
        <v>7</v>
      </c>
      <c r="K541" s="1" t="n"/>
      <c r="L541" s="104" t="n"/>
      <c r="M541" s="2" t="n"/>
    </row>
    <row r="542" s="83">
      <c r="A542" s="2" t="inlineStr">
        <is>
          <t>101203</t>
        </is>
      </c>
      <c r="B542" s="2" t="n"/>
      <c r="C542" s="2" t="inlineStr">
        <is>
          <t>2025-07-29</t>
        </is>
      </c>
      <c r="D542" s="2" t="inlineStr">
        <is>
          <t>Else01</t>
        </is>
      </c>
      <c r="E542" s="2" t="n"/>
      <c r="F542" s="2" t="inlineStr">
        <is>
          <t>浙江精准学科技有限公司</t>
        </is>
      </c>
      <c r="G542" s="2" t="inlineStr">
        <is>
          <t>记-248</t>
        </is>
      </c>
      <c r="H542" s="2" t="n"/>
      <c r="I542" s="104" t="n">
        <v>7</v>
      </c>
      <c r="J542" s="104" t="n"/>
      <c r="K542" s="1" t="n"/>
      <c r="L542" s="104" t="n"/>
      <c r="M542" s="2" t="n"/>
    </row>
    <row r="543" s="83">
      <c r="A543" s="2" t="inlineStr">
        <is>
          <t>101207</t>
        </is>
      </c>
      <c r="B543" s="2" t="n"/>
      <c r="C543" s="2" t="inlineStr">
        <is>
          <t>2025-07-29</t>
        </is>
      </c>
      <c r="D543" s="2" t="inlineStr">
        <is>
          <t>Else01</t>
        </is>
      </c>
      <c r="E543" s="2" t="n"/>
      <c r="F543" s="2" t="inlineStr">
        <is>
          <t>浙江精准学科技有限公司</t>
        </is>
      </c>
      <c r="G543" s="2" t="inlineStr">
        <is>
          <t>记-248</t>
        </is>
      </c>
      <c r="H543" s="2" t="n"/>
      <c r="I543" s="104" t="n">
        <v>7</v>
      </c>
      <c r="J543" s="104" t="n"/>
      <c r="K543" s="1" t="n"/>
      <c r="L543" s="104" t="n"/>
      <c r="M543" s="2" t="n"/>
    </row>
    <row r="544" s="83">
      <c r="A544" s="2" t="inlineStr">
        <is>
          <t>101201</t>
        </is>
      </c>
      <c r="B544" s="2" t="n"/>
      <c r="C544" s="2" t="inlineStr">
        <is>
          <t>2025-07-29</t>
        </is>
      </c>
      <c r="D544" s="2" t="inlineStr">
        <is>
          <t>Else01</t>
        </is>
      </c>
      <c r="E544" s="2" t="n"/>
      <c r="F544" s="2" t="inlineStr">
        <is>
          <t>浙江精准学科技有限公司</t>
        </is>
      </c>
      <c r="G544" s="2" t="inlineStr">
        <is>
          <t>记-248</t>
        </is>
      </c>
      <c r="H544" s="2" t="n"/>
      <c r="I544" s="104" t="n">
        <v>7</v>
      </c>
      <c r="J544" s="104" t="n"/>
      <c r="K544" s="1" t="n"/>
      <c r="L544" s="104" t="n"/>
      <c r="M544" s="2" t="n"/>
    </row>
    <row r="545" s="83">
      <c r="A545" s="2" t="inlineStr">
        <is>
          <t>101203</t>
        </is>
      </c>
      <c r="B545" s="2" t="n"/>
      <c r="C545" s="2" t="inlineStr">
        <is>
          <t>2025-07-29</t>
        </is>
      </c>
      <c r="D545" s="2" t="inlineStr">
        <is>
          <t>Else01</t>
        </is>
      </c>
      <c r="E545" s="2" t="n"/>
      <c r="F545" s="2" t="inlineStr">
        <is>
          <t>浙江精准学科技有限公司</t>
        </is>
      </c>
      <c r="G545" s="2" t="inlineStr">
        <is>
          <t>记-248</t>
        </is>
      </c>
      <c r="H545" s="2" t="n"/>
      <c r="I545" s="104" t="n">
        <v>7</v>
      </c>
      <c r="J545" s="104" t="n"/>
      <c r="K545" s="1" t="n"/>
      <c r="L545" s="104" t="n"/>
      <c r="M545" s="2" t="n"/>
    </row>
    <row r="546" s="83">
      <c r="A546" s="2" t="inlineStr">
        <is>
          <t>101203</t>
        </is>
      </c>
      <c r="B546" s="2" t="n"/>
      <c r="C546" s="2" t="inlineStr">
        <is>
          <t>2025-07-29</t>
        </is>
      </c>
      <c r="D546" s="2" t="inlineStr">
        <is>
          <t>Else01</t>
        </is>
      </c>
      <c r="E546" s="2" t="n"/>
      <c r="F546" s="2" t="inlineStr">
        <is>
          <t>浙江精准学科技有限公司</t>
        </is>
      </c>
      <c r="G546" s="2" t="inlineStr">
        <is>
          <t>记-249</t>
        </is>
      </c>
      <c r="H546" s="2" t="n"/>
      <c r="I546" s="104" t="n"/>
      <c r="J546" s="104" t="n">
        <v>7</v>
      </c>
      <c r="K546" s="1" t="n"/>
      <c r="L546" s="104" t="n"/>
      <c r="M546" s="2" t="n"/>
    </row>
    <row r="547" s="83">
      <c r="A547" s="2" t="inlineStr">
        <is>
          <t>101207</t>
        </is>
      </c>
      <c r="B547" s="2" t="n"/>
      <c r="C547" s="2" t="inlineStr">
        <is>
          <t>2025-07-29</t>
        </is>
      </c>
      <c r="D547" s="2" t="inlineStr">
        <is>
          <t>Else01</t>
        </is>
      </c>
      <c r="E547" s="2" t="n"/>
      <c r="F547" s="2" t="inlineStr">
        <is>
          <t>浙江精准学科技有限公司</t>
        </is>
      </c>
      <c r="G547" s="2" t="inlineStr">
        <is>
          <t>记-249</t>
        </is>
      </c>
      <c r="H547" s="2" t="n"/>
      <c r="I547" s="104" t="n"/>
      <c r="J547" s="104" t="n">
        <v>7</v>
      </c>
      <c r="K547" s="1" t="n"/>
      <c r="L547" s="104" t="n"/>
      <c r="M547" s="2" t="n"/>
    </row>
    <row r="548" s="83">
      <c r="A548" s="2" t="inlineStr">
        <is>
          <t>101201</t>
        </is>
      </c>
      <c r="B548" s="2" t="n"/>
      <c r="C548" s="2" t="inlineStr">
        <is>
          <t>2025-07-29</t>
        </is>
      </c>
      <c r="D548" s="2" t="inlineStr">
        <is>
          <t>Else01</t>
        </is>
      </c>
      <c r="E548" s="2" t="n"/>
      <c r="F548" s="2" t="inlineStr">
        <is>
          <t>浙江精准学科技有限公司</t>
        </is>
      </c>
      <c r="G548" s="2" t="inlineStr">
        <is>
          <t>记-249</t>
        </is>
      </c>
      <c r="H548" s="2" t="n"/>
      <c r="I548" s="104" t="n"/>
      <c r="J548" s="104" t="n">
        <v>7</v>
      </c>
      <c r="K548" s="1" t="n"/>
      <c r="L548" s="104" t="n"/>
      <c r="M548" s="2" t="n"/>
    </row>
    <row r="549" s="83">
      <c r="A549" s="2" t="inlineStr">
        <is>
          <t>101203</t>
        </is>
      </c>
      <c r="B549" s="2" t="n"/>
      <c r="C549" s="2" t="inlineStr">
        <is>
          <t>2025-07-29</t>
        </is>
      </c>
      <c r="D549" s="2" t="inlineStr">
        <is>
          <t>Else01</t>
        </is>
      </c>
      <c r="E549" s="2" t="n"/>
      <c r="F549" s="2" t="inlineStr">
        <is>
          <t>浙江精准学科技有限公司</t>
        </is>
      </c>
      <c r="G549" s="2" t="inlineStr">
        <is>
          <t>记-249</t>
        </is>
      </c>
      <c r="H549" s="2" t="n"/>
      <c r="I549" s="104" t="n"/>
      <c r="J549" s="104" t="n">
        <v>7</v>
      </c>
      <c r="K549" s="1" t="n"/>
      <c r="L549" s="104" t="n"/>
      <c r="M549" s="2" t="n"/>
    </row>
    <row r="550" s="83">
      <c r="A550" s="2" t="inlineStr">
        <is>
          <t>101203</t>
        </is>
      </c>
      <c r="B550" s="2" t="n"/>
      <c r="C550" s="2" t="inlineStr">
        <is>
          <t>2025-07-30</t>
        </is>
      </c>
      <c r="D550" s="2" t="inlineStr">
        <is>
          <t>Else01</t>
        </is>
      </c>
      <c r="E550" s="2" t="n"/>
      <c r="F550" s="2" t="inlineStr">
        <is>
          <t>浙江精准学科技有限公司</t>
        </is>
      </c>
      <c r="G550" s="2" t="inlineStr">
        <is>
          <t>记-256</t>
        </is>
      </c>
      <c r="H550" s="2" t="n"/>
      <c r="I550" s="104" t="n">
        <v>7</v>
      </c>
      <c r="J550" s="104" t="n"/>
      <c r="K550" s="1" t="n"/>
      <c r="L550" s="104" t="n"/>
      <c r="M550" s="2" t="n"/>
    </row>
    <row r="551" s="83">
      <c r="A551" s="2" t="inlineStr">
        <is>
          <t>101207</t>
        </is>
      </c>
      <c r="B551" s="2" t="n"/>
      <c r="C551" s="2" t="inlineStr">
        <is>
          <t>2025-07-30</t>
        </is>
      </c>
      <c r="D551" s="2" t="inlineStr">
        <is>
          <t>Else01</t>
        </is>
      </c>
      <c r="E551" s="2" t="n"/>
      <c r="F551" s="2" t="inlineStr">
        <is>
          <t>浙江精准学科技有限公司</t>
        </is>
      </c>
      <c r="G551" s="2" t="inlineStr">
        <is>
          <t>记-256</t>
        </is>
      </c>
      <c r="H551" s="2" t="n"/>
      <c r="I551" s="104" t="n">
        <v>7</v>
      </c>
      <c r="J551" s="104" t="n"/>
      <c r="K551" s="1" t="n"/>
      <c r="L551" s="104" t="n"/>
      <c r="M551" s="2" t="n"/>
    </row>
    <row r="552" s="83">
      <c r="A552" s="2" t="inlineStr">
        <is>
          <t>101201</t>
        </is>
      </c>
      <c r="B552" s="2" t="n"/>
      <c r="C552" s="2" t="inlineStr">
        <is>
          <t>2025-07-30</t>
        </is>
      </c>
      <c r="D552" s="2" t="inlineStr">
        <is>
          <t>Else01</t>
        </is>
      </c>
      <c r="E552" s="2" t="n"/>
      <c r="F552" s="2" t="inlineStr">
        <is>
          <t>浙江精准学科技有限公司</t>
        </is>
      </c>
      <c r="G552" s="2" t="inlineStr">
        <is>
          <t>记-256</t>
        </is>
      </c>
      <c r="H552" s="2" t="n"/>
      <c r="I552" s="104" t="n">
        <v>7</v>
      </c>
      <c r="J552" s="104" t="n"/>
      <c r="K552" s="1" t="n"/>
      <c r="L552" s="104" t="n"/>
      <c r="M552" s="2" t="n"/>
    </row>
    <row r="553" s="83">
      <c r="A553" s="2" t="inlineStr">
        <is>
          <t>101203</t>
        </is>
      </c>
      <c r="B553" s="2" t="n"/>
      <c r="C553" s="2" t="inlineStr">
        <is>
          <t>2025-07-30</t>
        </is>
      </c>
      <c r="D553" s="2" t="inlineStr">
        <is>
          <t>Else01</t>
        </is>
      </c>
      <c r="E553" s="2" t="n"/>
      <c r="F553" s="2" t="inlineStr">
        <is>
          <t>浙江精准学科技有限公司</t>
        </is>
      </c>
      <c r="G553" s="2" t="inlineStr">
        <is>
          <t>记-257</t>
        </is>
      </c>
      <c r="H553" s="2" t="n"/>
      <c r="I553" s="104" t="n"/>
      <c r="J553" s="104" t="n">
        <v>7</v>
      </c>
      <c r="K553" s="1" t="n"/>
      <c r="L553" s="104" t="n"/>
      <c r="M553" s="2" t="n"/>
    </row>
    <row r="554" s="83">
      <c r="A554" s="2" t="inlineStr">
        <is>
          <t>101207</t>
        </is>
      </c>
      <c r="B554" s="2" t="n"/>
      <c r="C554" s="2" t="inlineStr">
        <is>
          <t>2025-07-30</t>
        </is>
      </c>
      <c r="D554" s="2" t="inlineStr">
        <is>
          <t>Else01</t>
        </is>
      </c>
      <c r="E554" s="2" t="n"/>
      <c r="F554" s="2" t="inlineStr">
        <is>
          <t>浙江精准学科技有限公司</t>
        </is>
      </c>
      <c r="G554" s="2" t="inlineStr">
        <is>
          <t>记-257</t>
        </is>
      </c>
      <c r="H554" s="2" t="n"/>
      <c r="I554" s="104" t="n"/>
      <c r="J554" s="104" t="n">
        <v>7</v>
      </c>
      <c r="K554" s="1" t="n"/>
      <c r="L554" s="104" t="n"/>
      <c r="M554" s="2" t="n"/>
    </row>
    <row r="555" s="83">
      <c r="A555" s="2" t="inlineStr">
        <is>
          <t>101201</t>
        </is>
      </c>
      <c r="B555" s="2" t="n"/>
      <c r="C555" s="2" t="inlineStr">
        <is>
          <t>2025-07-30</t>
        </is>
      </c>
      <c r="D555" s="2" t="inlineStr">
        <is>
          <t>Else01</t>
        </is>
      </c>
      <c r="E555" s="2" t="n"/>
      <c r="F555" s="2" t="inlineStr">
        <is>
          <t>浙江精准学科技有限公司</t>
        </is>
      </c>
      <c r="G555" s="2" t="inlineStr">
        <is>
          <t>记-257</t>
        </is>
      </c>
      <c r="H555" s="2" t="n"/>
      <c r="I555" s="104" t="n"/>
      <c r="J555" s="104" t="n">
        <v>7</v>
      </c>
      <c r="K555" s="1" t="n"/>
      <c r="L555" s="104" t="n"/>
      <c r="M555" s="2" t="n"/>
    </row>
    <row r="556" s="83">
      <c r="A556" s="2" t="inlineStr">
        <is>
          <t>101203</t>
        </is>
      </c>
      <c r="B556" s="2" t="n"/>
      <c r="C556" s="2" t="inlineStr">
        <is>
          <t>2025-07-31</t>
        </is>
      </c>
      <c r="D556" s="2" t="inlineStr">
        <is>
          <t>Else01</t>
        </is>
      </c>
      <c r="E556" s="2" t="n"/>
      <c r="F556" s="2" t="inlineStr">
        <is>
          <t>浙江精准学科技有限公司</t>
        </is>
      </c>
      <c r="G556" s="2" t="inlineStr">
        <is>
          <t>记-267</t>
        </is>
      </c>
      <c r="H556" s="2" t="n"/>
      <c r="I556" s="104" t="n">
        <v>7</v>
      </c>
      <c r="J556" s="104" t="n"/>
      <c r="K556" s="1" t="n"/>
      <c r="L556" s="104" t="n"/>
      <c r="M556" s="2" t="n"/>
    </row>
    <row r="557" s="83">
      <c r="A557" s="2" t="inlineStr">
        <is>
          <t>101207</t>
        </is>
      </c>
      <c r="B557" s="2" t="n"/>
      <c r="C557" s="2" t="inlineStr">
        <is>
          <t>2025-07-31</t>
        </is>
      </c>
      <c r="D557" s="2" t="inlineStr">
        <is>
          <t>Else01</t>
        </is>
      </c>
      <c r="E557" s="2" t="n"/>
      <c r="F557" s="2" t="inlineStr">
        <is>
          <t>浙江精准学科技有限公司</t>
        </is>
      </c>
      <c r="G557" s="2" t="inlineStr">
        <is>
          <t>记-267</t>
        </is>
      </c>
      <c r="H557" s="2" t="n"/>
      <c r="I557" s="104" t="n">
        <v>7</v>
      </c>
      <c r="J557" s="104" t="n"/>
      <c r="K557" s="1" t="n"/>
      <c r="L557" s="104" t="n"/>
      <c r="M557" s="2" t="n"/>
    </row>
    <row r="558" s="83">
      <c r="A558" s="2" t="inlineStr">
        <is>
          <t>101203</t>
        </is>
      </c>
      <c r="B558" s="2" t="n"/>
      <c r="C558" s="2" t="inlineStr">
        <is>
          <t>2025-07-31</t>
        </is>
      </c>
      <c r="D558" s="2" t="inlineStr">
        <is>
          <t>Else01</t>
        </is>
      </c>
      <c r="E558" s="2" t="n"/>
      <c r="F558" s="2" t="inlineStr">
        <is>
          <t>浙江精准学科技有限公司</t>
        </is>
      </c>
      <c r="G558" s="2" t="inlineStr">
        <is>
          <t>记-268</t>
        </is>
      </c>
      <c r="H558" s="2" t="n"/>
      <c r="I558" s="104" t="n"/>
      <c r="J558" s="104" t="n">
        <v>7</v>
      </c>
      <c r="K558" s="1" t="n"/>
      <c r="L558" s="104" t="n"/>
      <c r="M558" s="2" t="n"/>
    </row>
    <row r="559" s="83">
      <c r="A559" s="2" t="inlineStr">
        <is>
          <t>101207</t>
        </is>
      </c>
      <c r="B559" s="2" t="n"/>
      <c r="C559" s="2" t="inlineStr">
        <is>
          <t>2025-07-31</t>
        </is>
      </c>
      <c r="D559" s="2" t="inlineStr">
        <is>
          <t>Else01</t>
        </is>
      </c>
      <c r="E559" s="2" t="n"/>
      <c r="F559" s="2" t="inlineStr">
        <is>
          <t>浙江精准学科技有限公司</t>
        </is>
      </c>
      <c r="G559" s="2" t="inlineStr">
        <is>
          <t>记-268</t>
        </is>
      </c>
      <c r="H559" s="2" t="n"/>
      <c r="I559" s="104" t="n"/>
      <c r="J559" s="104" t="n">
        <v>7</v>
      </c>
      <c r="K559" s="1" t="n"/>
      <c r="L559" s="104" t="n"/>
      <c r="M559" s="2" t="n"/>
    </row>
    <row r="560" s="83">
      <c r="A560" s="2" t="inlineStr">
        <is>
          <t>101201</t>
        </is>
      </c>
      <c r="B560" s="2" t="n"/>
      <c r="C560" s="2" t="inlineStr">
        <is>
          <t>2025-07-31</t>
        </is>
      </c>
      <c r="D560" s="2" t="inlineStr">
        <is>
          <t>Else01</t>
        </is>
      </c>
      <c r="E560" s="2" t="n"/>
      <c r="F560" s="2" t="inlineStr">
        <is>
          <t>浙江精准学科技有限公司</t>
        </is>
      </c>
      <c r="G560" s="2" t="inlineStr">
        <is>
          <t>记-268</t>
        </is>
      </c>
      <c r="H560" s="2" t="n"/>
      <c r="I560" s="104" t="n"/>
      <c r="J560" s="104" t="n">
        <v>7</v>
      </c>
      <c r="K560" s="1" t="n"/>
      <c r="L560" s="104" t="n"/>
      <c r="M560" s="2" t="n"/>
    </row>
    <row r="561" s="83">
      <c r="A561" s="2" t="inlineStr">
        <is>
          <t>101203</t>
        </is>
      </c>
      <c r="B561" s="2" t="n"/>
      <c r="C561" s="2" t="inlineStr">
        <is>
          <t>2025-07-31</t>
        </is>
      </c>
      <c r="D561" s="2" t="inlineStr">
        <is>
          <t>Else01</t>
        </is>
      </c>
      <c r="E561" s="2" t="n"/>
      <c r="F561" s="2" t="inlineStr">
        <is>
          <t>浙江精准学科技有限公司</t>
        </is>
      </c>
      <c r="G561" s="2" t="inlineStr">
        <is>
          <t>记-270</t>
        </is>
      </c>
      <c r="H561" s="2" t="n"/>
      <c r="I561" s="104" t="n">
        <v>7</v>
      </c>
      <c r="J561" s="104" t="n"/>
      <c r="K561" s="1" t="n"/>
      <c r="L561" s="104" t="n"/>
      <c r="M561" s="2" t="n"/>
    </row>
    <row r="562" s="83">
      <c r="A562" s="2" t="inlineStr">
        <is>
          <t>101203</t>
        </is>
      </c>
      <c r="B562" s="2" t="n"/>
      <c r="C562" s="2" t="inlineStr">
        <is>
          <t>2025-07-31</t>
        </is>
      </c>
      <c r="D562" s="2" t="inlineStr">
        <is>
          <t>Else01</t>
        </is>
      </c>
      <c r="E562" s="2" t="n"/>
      <c r="F562" s="2" t="inlineStr">
        <is>
          <t>浙江精准学科技有限公司</t>
        </is>
      </c>
      <c r="G562" s="2" t="inlineStr">
        <is>
          <t>记-270</t>
        </is>
      </c>
      <c r="H562" s="2" t="n"/>
      <c r="I562" s="104" t="n">
        <v>7</v>
      </c>
      <c r="J562" s="104" t="n"/>
      <c r="K562" s="1" t="n"/>
      <c r="L562" s="104" t="n"/>
      <c r="M562" s="2" t="n"/>
    </row>
    <row r="563" s="83">
      <c r="A563" s="2" t="inlineStr">
        <is>
          <t>101207</t>
        </is>
      </c>
      <c r="B563" s="2" t="n"/>
      <c r="C563" s="2" t="inlineStr">
        <is>
          <t>2025-07-31</t>
        </is>
      </c>
      <c r="D563" s="2" t="inlineStr">
        <is>
          <t>Else01</t>
        </is>
      </c>
      <c r="E563" s="2" t="n"/>
      <c r="F563" s="2" t="inlineStr">
        <is>
          <t>浙江精准学科技有限公司</t>
        </is>
      </c>
      <c r="G563" s="2" t="inlineStr">
        <is>
          <t>记-270</t>
        </is>
      </c>
      <c r="H563" s="2" t="n"/>
      <c r="I563" s="104" t="n">
        <v>7</v>
      </c>
      <c r="J563" s="104" t="n"/>
      <c r="K563" s="1" t="n"/>
      <c r="L563" s="104" t="n"/>
      <c r="M563" s="2" t="n"/>
    </row>
    <row r="564" s="83">
      <c r="A564" s="2" t="inlineStr">
        <is>
          <t>101201</t>
        </is>
      </c>
      <c r="B564" s="2" t="n"/>
      <c r="C564" s="2" t="inlineStr">
        <is>
          <t>2025-07-31</t>
        </is>
      </c>
      <c r="D564" s="2" t="inlineStr">
        <is>
          <t>Else01</t>
        </is>
      </c>
      <c r="E564" s="2" t="n"/>
      <c r="F564" s="2" t="inlineStr">
        <is>
          <t>浙江精准学科技有限公司</t>
        </is>
      </c>
      <c r="G564" s="2" t="inlineStr">
        <is>
          <t>记-270</t>
        </is>
      </c>
      <c r="H564" s="2" t="n"/>
      <c r="I564" s="104" t="n">
        <v>7</v>
      </c>
      <c r="J564" s="104" t="n"/>
      <c r="K564" s="1" t="n"/>
      <c r="L564" s="104" t="n"/>
      <c r="M564" s="2" t="n"/>
    </row>
    <row r="565" s="83">
      <c r="A565" s="2" t="inlineStr">
        <is>
          <t>101203</t>
        </is>
      </c>
      <c r="B565" s="2" t="n"/>
      <c r="C565" s="2" t="inlineStr">
        <is>
          <t>2025-07-31</t>
        </is>
      </c>
      <c r="D565" s="2" t="inlineStr">
        <is>
          <t>Else01</t>
        </is>
      </c>
      <c r="E565" s="2" t="n"/>
      <c r="F565" s="2" t="inlineStr">
        <is>
          <t>浙江精准学科技有限公司</t>
        </is>
      </c>
      <c r="G565" s="2" t="inlineStr">
        <is>
          <t>记-271</t>
        </is>
      </c>
      <c r="H565" s="2" t="n"/>
      <c r="I565" s="104" t="n"/>
      <c r="J565" s="104" t="n">
        <v>7</v>
      </c>
      <c r="K565" s="1" t="n"/>
      <c r="L565" s="104" t="n"/>
      <c r="M565" s="2" t="n"/>
    </row>
    <row r="566" s="83">
      <c r="A566" s="2" t="inlineStr">
        <is>
          <t>101203</t>
        </is>
      </c>
      <c r="B566" s="2" t="n"/>
      <c r="C566" s="2" t="inlineStr">
        <is>
          <t>2025-07-31</t>
        </is>
      </c>
      <c r="D566" s="2" t="inlineStr">
        <is>
          <t>Else01</t>
        </is>
      </c>
      <c r="E566" s="2" t="n"/>
      <c r="F566" s="2" t="inlineStr">
        <is>
          <t>浙江精准学科技有限公司</t>
        </is>
      </c>
      <c r="G566" s="2" t="inlineStr">
        <is>
          <t>记-271</t>
        </is>
      </c>
      <c r="H566" s="2" t="n"/>
      <c r="I566" s="104" t="n"/>
      <c r="J566" s="104" t="n">
        <v>7</v>
      </c>
      <c r="K566" s="1" t="n"/>
      <c r="L566" s="104" t="n"/>
      <c r="M566" s="2" t="n"/>
    </row>
    <row r="567" s="83">
      <c r="A567" s="2" t="inlineStr">
        <is>
          <t>101207</t>
        </is>
      </c>
      <c r="B567" s="2" t="n"/>
      <c r="C567" s="2" t="inlineStr">
        <is>
          <t>2025-07-31</t>
        </is>
      </c>
      <c r="D567" s="2" t="inlineStr">
        <is>
          <t>Else01</t>
        </is>
      </c>
      <c r="E567" s="2" t="n"/>
      <c r="F567" s="2" t="inlineStr">
        <is>
          <t>浙江精准学科技有限公司</t>
        </is>
      </c>
      <c r="G567" s="2" t="inlineStr">
        <is>
          <t>记-271</t>
        </is>
      </c>
      <c r="H567" s="2" t="n"/>
      <c r="I567" s="104" t="n"/>
      <c r="J567" s="104" t="n">
        <v>7</v>
      </c>
      <c r="K567" s="1" t="n"/>
      <c r="L567" s="104" t="n"/>
      <c r="M567" s="2" t="n"/>
    </row>
    <row r="568" s="83">
      <c r="A568" s="2" t="inlineStr">
        <is>
          <t>101201</t>
        </is>
      </c>
      <c r="B568" s="2" t="n"/>
      <c r="C568" s="2" t="inlineStr">
        <is>
          <t>2025-07-31</t>
        </is>
      </c>
      <c r="D568" s="2" t="inlineStr">
        <is>
          <t>Else01</t>
        </is>
      </c>
      <c r="E568" s="2" t="n"/>
      <c r="F568" s="2" t="inlineStr">
        <is>
          <t>浙江精准学科技有限公司</t>
        </is>
      </c>
      <c r="G568" s="2" t="inlineStr">
        <is>
          <t>记-271</t>
        </is>
      </c>
      <c r="H568" s="2" t="n"/>
      <c r="I568" s="104" t="n"/>
      <c r="J568" s="104" t="n">
        <v>7</v>
      </c>
      <c r="K568" s="1" t="n"/>
      <c r="L568" s="104" t="n"/>
      <c r="M568" s="2" t="n"/>
    </row>
    <row r="569" s="83">
      <c r="A569" s="2" t="inlineStr">
        <is>
          <t>101208</t>
        </is>
      </c>
      <c r="B569" s="2" t="n"/>
      <c r="C569" s="2" t="inlineStr">
        <is>
          <t>2025-07-31</t>
        </is>
      </c>
      <c r="D569" s="2" t="inlineStr">
        <is>
          <t>Else01</t>
        </is>
      </c>
      <c r="E569" s="2" t="n"/>
      <c r="F569" s="2" t="inlineStr">
        <is>
          <t>浙江精准学科技有限公司</t>
        </is>
      </c>
      <c r="G569" s="2" t="inlineStr">
        <is>
          <t>记-276</t>
        </is>
      </c>
      <c r="H569" s="2" t="n"/>
      <c r="I569" s="104" t="n"/>
      <c r="J569" s="104" t="n">
        <v>7</v>
      </c>
      <c r="K569" s="1" t="n"/>
      <c r="L569" s="104" t="n"/>
      <c r="M569" s="2" t="n"/>
    </row>
    <row r="570" s="83">
      <c r="A570" s="2" t="inlineStr">
        <is>
          <t>101208</t>
        </is>
      </c>
      <c r="B570" s="2" t="n"/>
      <c r="C570" s="2" t="inlineStr">
        <is>
          <t>2025-07-31</t>
        </is>
      </c>
      <c r="D570" s="2" t="inlineStr">
        <is>
          <t>Else01</t>
        </is>
      </c>
      <c r="E570" s="2" t="n"/>
      <c r="F570" s="2" t="inlineStr">
        <is>
          <t>浙江精准学科技有限公司</t>
        </is>
      </c>
      <c r="G570" s="2" t="inlineStr">
        <is>
          <t>记-276</t>
        </is>
      </c>
      <c r="H570" s="2" t="n"/>
      <c r="I570" s="104" t="n">
        <v>7</v>
      </c>
      <c r="J570" s="104" t="n"/>
      <c r="K570" s="1" t="n"/>
      <c r="L570" s="104" t="n"/>
      <c r="M570" s="2" t="n"/>
    </row>
    <row r="571" s="83">
      <c r="A571" s="2" t="inlineStr">
        <is>
          <t>100201</t>
        </is>
      </c>
      <c r="B571" s="2" t="n"/>
      <c r="C571" s="2" t="inlineStr">
        <is>
          <t>2025-07-11</t>
        </is>
      </c>
      <c r="D571" s="2" t="inlineStr">
        <is>
          <t>Q3105</t>
        </is>
      </c>
      <c r="E571" s="2" t="n"/>
      <c r="F571" s="2" t="inlineStr">
        <is>
          <t>浙江精准学科技有限公司</t>
        </is>
      </c>
      <c r="G571" s="2" t="inlineStr">
        <is>
          <t>记-99</t>
        </is>
      </c>
      <c r="H571" s="2" t="n"/>
      <c r="I571" s="104" t="n">
        <v>7</v>
      </c>
      <c r="J571" s="104" t="n"/>
      <c r="K571" s="1" t="n"/>
      <c r="L571" s="104" t="n"/>
      <c r="M571" s="2" t="n"/>
    </row>
    <row r="572" s="83">
      <c r="A572" s="2" t="inlineStr">
        <is>
          <t>100202</t>
        </is>
      </c>
      <c r="B572" s="2" t="n"/>
      <c r="C572" s="2" t="inlineStr">
        <is>
          <t>2025-07-31</t>
        </is>
      </c>
      <c r="D572" s="2" t="inlineStr">
        <is>
          <t>Q3105</t>
        </is>
      </c>
      <c r="E572" s="2" t="n"/>
      <c r="F572" s="2" t="inlineStr">
        <is>
          <t>浙江精准学科技有限公司</t>
        </is>
      </c>
      <c r="G572" s="2" t="inlineStr">
        <is>
          <t>记-278</t>
        </is>
      </c>
      <c r="H572" s="2" t="n"/>
      <c r="I572" s="104" t="n"/>
      <c r="J572" s="104" t="n">
        <v>7</v>
      </c>
      <c r="K572" s="1" t="n"/>
      <c r="L572" s="104" t="n"/>
      <c r="M572" s="2" t="n"/>
    </row>
    <row r="573" s="83">
      <c r="A573" s="2" t="inlineStr">
        <is>
          <t>100201</t>
        </is>
      </c>
      <c r="B573" s="2" t="n"/>
      <c r="C573" s="2" t="inlineStr">
        <is>
          <t>2025-07-15</t>
        </is>
      </c>
      <c r="D573" s="2" t="inlineStr">
        <is>
          <t>Q3211</t>
        </is>
      </c>
      <c r="E573" s="2" t="n"/>
      <c r="F573" s="2" t="inlineStr">
        <is>
          <t>浙江精准学科技有限公司</t>
        </is>
      </c>
      <c r="G573" s="2" t="inlineStr">
        <is>
          <t>记-139</t>
        </is>
      </c>
      <c r="H573" s="2" t="n"/>
      <c r="I573" s="104" t="n"/>
      <c r="J573" s="104" t="n">
        <v>7</v>
      </c>
      <c r="K573" s="1" t="n"/>
      <c r="L573" s="104" t="n"/>
      <c r="M573" s="2" t="n"/>
    </row>
    <row r="574" s="83">
      <c r="A574" s="2" t="inlineStr">
        <is>
          <t>100201</t>
        </is>
      </c>
      <c r="B574" s="2" t="n"/>
      <c r="C574" s="2" t="inlineStr">
        <is>
          <t>2025-07-10</t>
        </is>
      </c>
      <c r="D574" s="2" t="inlineStr">
        <is>
          <t>Q3212</t>
        </is>
      </c>
      <c r="E574" s="2" t="n"/>
      <c r="F574" s="2" t="inlineStr">
        <is>
          <t>浙江精准学科技有限公司</t>
        </is>
      </c>
      <c r="G574" s="2" t="inlineStr">
        <is>
          <t>记-93</t>
        </is>
      </c>
      <c r="H574" s="2" t="n"/>
      <c r="I574" s="104" t="n"/>
      <c r="J574" s="104" t="n">
        <v>7</v>
      </c>
      <c r="K574" s="1" t="n"/>
      <c r="L574" s="104" t="n"/>
      <c r="M574" s="2" t="n"/>
    </row>
    <row r="575" s="83">
      <c r="A575" s="2" t="inlineStr">
        <is>
          <t>100202</t>
        </is>
      </c>
      <c r="B575" s="2" t="n"/>
      <c r="C575" s="2" t="inlineStr">
        <is>
          <t>2025-07-31</t>
        </is>
      </c>
      <c r="D575" s="2" t="inlineStr">
        <is>
          <t>Q0302</t>
        </is>
      </c>
      <c r="E575" s="2" t="n"/>
      <c r="F575" s="2" t="inlineStr">
        <is>
          <t>SMART AI LIMITED</t>
        </is>
      </c>
      <c r="G575" s="2" t="inlineStr">
        <is>
          <t>记-1</t>
        </is>
      </c>
      <c r="H575" s="2" t="n"/>
      <c r="I575" s="104" t="n">
        <v>7</v>
      </c>
      <c r="J575" s="104" t="n"/>
      <c r="K575" s="1" t="n"/>
      <c r="L575" s="104" t="n"/>
      <c r="M575" s="2" t="n"/>
    </row>
    <row r="576" s="83">
      <c r="A576" s="2" t="inlineStr">
        <is>
          <t>100202</t>
        </is>
      </c>
      <c r="B576" s="2" t="n"/>
      <c r="C576" s="2" t="inlineStr">
        <is>
          <t>2025-07-31</t>
        </is>
      </c>
      <c r="D576" s="2" t="inlineStr">
        <is>
          <t>Q0302</t>
        </is>
      </c>
      <c r="E576" s="2" t="n"/>
      <c r="F576" s="2" t="inlineStr">
        <is>
          <t>SMART LEARNING HOLDING</t>
        </is>
      </c>
      <c r="G576" s="2" t="inlineStr">
        <is>
          <t>记-1</t>
        </is>
      </c>
      <c r="H576" s="2" t="n"/>
      <c r="I576" s="104" t="n">
        <v>7</v>
      </c>
      <c r="J576" s="104" t="n"/>
      <c r="K576" s="1" t="n"/>
      <c r="L576" s="104" t="n"/>
      <c r="M576" s="2" t="n"/>
    </row>
    <row r="577" s="83">
      <c r="A577" s="2" t="inlineStr">
        <is>
          <t>100201</t>
        </is>
      </c>
      <c r="B577" s="2" t="n"/>
      <c r="C577" s="2" t="inlineStr">
        <is>
          <t>2025-07-31</t>
        </is>
      </c>
      <c r="D577" s="2" t="inlineStr">
        <is>
          <t>Q0302</t>
        </is>
      </c>
      <c r="E577" s="2" t="n"/>
      <c r="F577" s="2" t="inlineStr">
        <is>
          <t>SMART LEARNING HOLDING</t>
        </is>
      </c>
      <c r="G577" s="2" t="inlineStr">
        <is>
          <t>记-2</t>
        </is>
      </c>
      <c r="H577" s="2" t="n"/>
      <c r="I577" s="104" t="n">
        <v>7</v>
      </c>
      <c r="J577" s="104" t="n"/>
      <c r="K577" s="1" t="n"/>
      <c r="L577" s="104" t="n"/>
      <c r="M577" s="2" t="n"/>
    </row>
    <row r="578" s="83">
      <c r="A578" s="2" t="inlineStr">
        <is>
          <t>100203</t>
        </is>
      </c>
      <c r="B578" s="2" t="n"/>
      <c r="C578" s="2" t="inlineStr">
        <is>
          <t>2025-07-14</t>
        </is>
      </c>
      <c r="D578" s="2" t="inlineStr">
        <is>
          <t>Q3101</t>
        </is>
      </c>
      <c r="E578" s="2" t="n"/>
      <c r="F578" s="2" t="inlineStr">
        <is>
          <t>SMART LEARNING HOLDING</t>
        </is>
      </c>
      <c r="G578" s="2" t="inlineStr">
        <is>
          <t>记-3</t>
        </is>
      </c>
      <c r="H578" s="2" t="n"/>
      <c r="I578" s="104" t="n"/>
      <c r="J578" s="104" t="n">
        <v>7</v>
      </c>
      <c r="K578" s="1" t="n"/>
      <c r="L578" s="104" t="n"/>
      <c r="M578" s="2" t="n"/>
    </row>
    <row r="579" s="83">
      <c r="A579" s="2" t="inlineStr">
        <is>
          <t>100201</t>
        </is>
      </c>
      <c r="B579" s="2" t="n"/>
      <c r="C579" s="2" t="inlineStr">
        <is>
          <t>2025-07-31</t>
        </is>
      </c>
      <c r="D579" s="2" t="inlineStr">
        <is>
          <t>Q3105</t>
        </is>
      </c>
      <c r="E579" s="2" t="n"/>
      <c r="F579" s="2" t="inlineStr">
        <is>
          <t>SMART LEARNING HOLDING</t>
        </is>
      </c>
      <c r="G579" s="2" t="inlineStr">
        <is>
          <t>记-4</t>
        </is>
      </c>
      <c r="H579" s="2" t="n"/>
      <c r="I579" s="104" t="n">
        <v>7</v>
      </c>
      <c r="J579" s="104" t="n"/>
      <c r="K579" s="1" t="n"/>
      <c r="L579" s="104" t="n"/>
      <c r="M579" s="2" t="n"/>
    </row>
    <row r="580" s="83">
      <c r="A580" s="2" t="inlineStr">
        <is>
          <t>100202</t>
        </is>
      </c>
      <c r="B580" s="2" t="n"/>
      <c r="C580" s="2" t="inlineStr">
        <is>
          <t>2025-07-31</t>
        </is>
      </c>
      <c r="D580" s="2" t="inlineStr">
        <is>
          <t>Q0302</t>
        </is>
      </c>
      <c r="E580" s="2" t="n"/>
      <c r="F580" s="2" t="inlineStr">
        <is>
          <t>HK01</t>
        </is>
      </c>
      <c r="G580" s="2" t="inlineStr">
        <is>
          <t>记-1</t>
        </is>
      </c>
      <c r="H580" s="2" t="n"/>
      <c r="I580" s="104" t="n">
        <v>7</v>
      </c>
      <c r="J580" s="104" t="n"/>
      <c r="K580" s="1" t="n"/>
      <c r="L580" s="104" t="n"/>
      <c r="M580" s="2" t="n"/>
    </row>
    <row r="581" s="83">
      <c r="A581" s="2" t="inlineStr">
        <is>
          <t>100202</t>
        </is>
      </c>
      <c r="B581" s="2" t="n"/>
      <c r="C581" s="2" t="inlineStr">
        <is>
          <t>2025-07-09</t>
        </is>
      </c>
      <c r="D581" s="2" t="inlineStr">
        <is>
          <t>Q0701</t>
        </is>
      </c>
      <c r="E581" s="2" t="n"/>
      <c r="F581" s="2" t="inlineStr">
        <is>
          <t>HK01</t>
        </is>
      </c>
      <c r="G581" s="2" t="inlineStr">
        <is>
          <t>记-3</t>
        </is>
      </c>
      <c r="H581" s="2" t="n"/>
      <c r="I581" s="104" t="n"/>
      <c r="J581" s="104" t="n">
        <v>7</v>
      </c>
      <c r="K581" s="1" t="n"/>
      <c r="L581" s="104" t="n"/>
      <c r="M581" s="2" t="n"/>
    </row>
    <row r="582" s="83">
      <c r="A582" s="2" t="inlineStr">
        <is>
          <t>100202</t>
        </is>
      </c>
      <c r="B582" s="2" t="n"/>
      <c r="C582" s="2" t="inlineStr">
        <is>
          <t>2025-07-22</t>
        </is>
      </c>
      <c r="D582" s="2" t="inlineStr">
        <is>
          <t>Q2802</t>
        </is>
      </c>
      <c r="E582" s="2" t="n"/>
      <c r="F582" s="2" t="inlineStr">
        <is>
          <t>HK01</t>
        </is>
      </c>
      <c r="G582" s="2" t="inlineStr">
        <is>
          <t>记-2</t>
        </is>
      </c>
      <c r="H582" s="2" t="n"/>
      <c r="I582" s="104" t="n"/>
      <c r="J582" s="104" t="n">
        <v>7</v>
      </c>
      <c r="K582" s="1" t="n"/>
      <c r="L582" s="104" t="n"/>
      <c r="M582" s="2" t="n"/>
    </row>
    <row r="583" s="83">
      <c r="A583" s="2" t="inlineStr">
        <is>
          <t>100202</t>
        </is>
      </c>
      <c r="B583" s="2" t="n"/>
      <c r="C583" s="2" t="inlineStr">
        <is>
          <t>2025-07-09</t>
        </is>
      </c>
      <c r="D583" s="2" t="inlineStr">
        <is>
          <t>Q3101</t>
        </is>
      </c>
      <c r="E583" s="2" t="n"/>
      <c r="F583" s="2" t="inlineStr">
        <is>
          <t>HK01</t>
        </is>
      </c>
      <c r="G583" s="2" t="inlineStr">
        <is>
          <t>记-4</t>
        </is>
      </c>
      <c r="H583" s="2" t="n"/>
      <c r="I583" s="104" t="n"/>
      <c r="J583" s="104" t="n">
        <v>7</v>
      </c>
      <c r="K583" s="1" t="n"/>
      <c r="L583" s="104" t="n"/>
      <c r="M583" s="2" t="n"/>
    </row>
    <row r="584" s="83">
      <c r="A584" s="2" t="inlineStr">
        <is>
          <t>101201</t>
        </is>
      </c>
      <c r="B584" s="2" t="n"/>
      <c r="C584" s="2" t="n">
        <v>45848</v>
      </c>
      <c r="D584" s="2" t="inlineStr">
        <is>
          <t>Q3101</t>
        </is>
      </c>
      <c r="E584" s="2" t="n"/>
      <c r="F584" s="2" t="inlineStr">
        <is>
          <t>浙江精准学科技有限公司</t>
        </is>
      </c>
      <c r="G584" s="2" t="inlineStr">
        <is>
          <t>记-98</t>
        </is>
      </c>
      <c r="H584" s="2" t="n"/>
      <c r="I584" s="104" t="n"/>
      <c r="J584" s="104" t="n">
        <v>7</v>
      </c>
      <c r="K584" s="1" t="n"/>
      <c r="L584" s="104" t="n"/>
      <c r="M584" s="2" t="n"/>
    </row>
    <row r="585" s="8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104" t="n"/>
      <c r="J585" s="104" t="n"/>
      <c r="K585" s="1" t="n"/>
      <c r="L585" s="104" t="n"/>
      <c r="M585" s="2" t="n"/>
    </row>
    <row r="586" s="8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104" t="n"/>
      <c r="J586" s="104" t="n"/>
      <c r="K586" s="1" t="n"/>
      <c r="L586" s="104" t="n"/>
      <c r="M586" s="2" t="n"/>
    </row>
    <row r="587" s="83">
      <c r="C587" s="2" t="n"/>
      <c r="D587" s="2" t="n"/>
      <c r="E587" s="2" t="n"/>
      <c r="F587" s="2" t="n"/>
      <c r="G587" s="2" t="n"/>
      <c r="J587" s="104" t="n"/>
    </row>
    <row r="588" s="83">
      <c r="J588" s="104" t="n"/>
    </row>
  </sheetData>
  <autoFilter ref="A1:M587"/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I16" sqref="I16"/>
    </sheetView>
  </sheetViews>
  <sheetFormatPr baseColWidth="8" defaultColWidth="8.90769230769231" defaultRowHeight="15.5" outlineLevelRow="4"/>
  <sheetData>
    <row r="1">
      <c r="A1" s="1" t="inlineStr">
        <is>
          <t>科目编码</t>
        </is>
      </c>
      <c r="B1" s="1" t="inlineStr">
        <is>
          <t>科目名称</t>
        </is>
      </c>
      <c r="C1" s="1" t="inlineStr">
        <is>
          <t>日期</t>
        </is>
      </c>
      <c r="D1" s="1" t="inlineStr">
        <is>
          <t>费用项目编码</t>
        </is>
      </c>
      <c r="E1" s="1" t="inlineStr">
        <is>
          <t>费用项目名称</t>
        </is>
      </c>
      <c r="F1" s="1" t="inlineStr">
        <is>
          <t>核算账簿</t>
        </is>
      </c>
      <c r="G1" s="1" t="inlineStr">
        <is>
          <t>凭证号</t>
        </is>
      </c>
      <c r="H1" s="1" t="inlineStr">
        <is>
          <t>摘要</t>
        </is>
      </c>
      <c r="I1" s="103" t="inlineStr">
        <is>
          <t>借方本币</t>
        </is>
      </c>
      <c r="J1" s="103" t="inlineStr">
        <is>
          <t>贷方本币</t>
        </is>
      </c>
      <c r="K1" s="1" t="n"/>
      <c r="L1" s="103" t="n"/>
      <c r="M1" s="1" t="n"/>
    </row>
    <row r="2">
      <c r="A2" s="2" t="inlineStr">
        <is>
          <t>100201</t>
        </is>
      </c>
      <c r="B2" s="2" t="n"/>
      <c r="C2" s="2" t="inlineStr">
        <is>
          <t>2025-07-15</t>
        </is>
      </c>
      <c r="D2" s="2" t="inlineStr">
        <is>
          <t>Q0801</t>
        </is>
      </c>
      <c r="E2" s="2" t="n"/>
      <c r="F2" s="2" t="inlineStr">
        <is>
          <t>海南精准学科技有限公司</t>
        </is>
      </c>
      <c r="G2" s="2" t="inlineStr">
        <is>
          <t>记-6</t>
        </is>
      </c>
      <c r="H2" s="2" t="n"/>
      <c r="I2" s="104" t="n"/>
      <c r="J2" s="104" t="n">
        <v>7</v>
      </c>
      <c r="K2" s="1" t="n"/>
      <c r="L2" s="104" t="n"/>
      <c r="M2" s="2" t="n"/>
    </row>
    <row r="3">
      <c r="A3" s="2" t="inlineStr">
        <is>
          <t>100201</t>
        </is>
      </c>
      <c r="B3" s="2" t="n"/>
      <c r="C3" s="2" t="inlineStr">
        <is>
          <t>2025-07-03</t>
        </is>
      </c>
      <c r="D3" s="2" t="inlineStr">
        <is>
          <t>Q0803</t>
        </is>
      </c>
      <c r="E3" s="2" t="n"/>
      <c r="F3" s="2" t="inlineStr">
        <is>
          <t>海南精准学科技有限公司</t>
        </is>
      </c>
      <c r="G3" s="2" t="inlineStr">
        <is>
          <t>记-2</t>
        </is>
      </c>
      <c r="H3" s="2" t="n"/>
      <c r="I3" s="104" t="n"/>
      <c r="J3" s="104" t="n">
        <v>7</v>
      </c>
      <c r="K3" s="1" t="n"/>
      <c r="L3" s="104" t="n"/>
      <c r="M3" s="2" t="n"/>
    </row>
    <row r="4">
      <c r="A4" s="2" t="inlineStr">
        <is>
          <t>100201</t>
        </is>
      </c>
      <c r="B4" s="2" t="n"/>
      <c r="C4" s="2" t="inlineStr">
        <is>
          <t>2025-07-23</t>
        </is>
      </c>
      <c r="D4" s="2" t="inlineStr">
        <is>
          <t>Q0804</t>
        </is>
      </c>
      <c r="E4" s="2" t="n"/>
      <c r="F4" s="2" t="inlineStr">
        <is>
          <t>海南精准学科技有限公司</t>
        </is>
      </c>
      <c r="G4" s="2" t="inlineStr">
        <is>
          <t>记-9</t>
        </is>
      </c>
      <c r="H4" s="2" t="n"/>
      <c r="I4" s="104" t="n"/>
      <c r="J4" s="104" t="n">
        <v>7</v>
      </c>
      <c r="K4" s="1" t="n"/>
      <c r="L4" s="104" t="n"/>
      <c r="M4" s="2" t="n"/>
    </row>
    <row r="5">
      <c r="A5" s="2" t="inlineStr">
        <is>
          <t>100201</t>
        </is>
      </c>
      <c r="B5" s="2" t="n"/>
      <c r="C5" s="2" t="inlineStr">
        <is>
          <t>2025-07-15</t>
        </is>
      </c>
      <c r="D5" s="2" t="inlineStr">
        <is>
          <t>Q0805</t>
        </is>
      </c>
      <c r="E5" s="2" t="n"/>
      <c r="F5" s="2" t="inlineStr">
        <is>
          <t>海南精准学科技有限公司</t>
        </is>
      </c>
      <c r="G5" s="2" t="inlineStr">
        <is>
          <t>记-5</t>
        </is>
      </c>
      <c r="H5" s="2" t="n"/>
      <c r="I5" s="104" t="n"/>
      <c r="J5" s="104" t="n">
        <v>7</v>
      </c>
      <c r="K5" s="1" t="n"/>
      <c r="L5" s="104" t="n"/>
      <c r="M5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15" customWidth="1" style="83" min="1" max="1"/>
    <col width="15" customWidth="1" style="83" min="2" max="2"/>
    <col width="15" customWidth="1" style="83" min="3" max="3"/>
    <col width="15" customWidth="1" style="83" min="4" max="4"/>
    <col width="15" customWidth="1" style="83" min="5" max="5"/>
    <col width="15" customWidth="1" style="83" min="6" max="6"/>
    <col width="15" customWidth="1" style="83" min="7" max="7"/>
    <col width="15" customWidth="1" style="83" min="8" max="8"/>
    <col width="15" customWidth="1" style="83" min="9" max="9"/>
    <col width="15" customWidth="1" style="83" min="10" max="10"/>
  </cols>
  <sheetData>
    <row r="1">
      <c r="A1" s="108" t="inlineStr">
        <is>
          <t>科目编码</t>
        </is>
      </c>
      <c r="B1" s="108" t="inlineStr">
        <is>
          <t>科目名称</t>
        </is>
      </c>
      <c r="C1" s="108" t="inlineStr">
        <is>
          <t>日期</t>
        </is>
      </c>
      <c r="D1" s="108" t="inlineStr">
        <is>
          <t>费用项目编码</t>
        </is>
      </c>
      <c r="E1" s="108" t="inlineStr">
        <is>
          <t>费用项目名称</t>
        </is>
      </c>
      <c r="F1" s="108" t="inlineStr">
        <is>
          <t>核算账簿</t>
        </is>
      </c>
      <c r="G1" s="108" t="inlineStr">
        <is>
          <t>凭证号</t>
        </is>
      </c>
      <c r="H1" s="108" t="inlineStr">
        <is>
          <t>摘要</t>
        </is>
      </c>
      <c r="I1" s="108" t="inlineStr">
        <is>
          <t>借方本币</t>
        </is>
      </c>
      <c r="J1" s="108" t="inlineStr">
        <is>
          <t>贷方本币</t>
        </is>
      </c>
    </row>
    <row r="2">
      <c r="A2" s="111" t="inlineStr">
        <is>
          <t>100201</t>
        </is>
      </c>
      <c r="B2" s="111" t="inlineStr">
        <is>
          <t>银行存款_人民币户</t>
        </is>
      </c>
      <c r="C2" s="111" t="inlineStr">
        <is>
          <t>2025-09-24</t>
        </is>
      </c>
      <c r="D2" s="111" t="inlineStr">
        <is>
          <t>Q0401</t>
        </is>
      </c>
      <c r="E2" s="111" t="inlineStr">
        <is>
          <t>内部往来收入</t>
        </is>
      </c>
      <c r="F2" s="111" t="inlineStr">
        <is>
          <t>浙江精准学科技有限公司</t>
        </is>
      </c>
      <c r="G2" s="111" t="inlineStr">
        <is>
          <t>记-2</t>
        </is>
      </c>
      <c r="H2" s="111" t="inlineStr">
        <is>
          <t>关联交易-123456</t>
        </is>
      </c>
      <c r="I2" s="118" t="n">
        <v>19999</v>
      </c>
      <c r="J2" s="118" t="n">
        <v>0</v>
      </c>
    </row>
    <row r="3">
      <c r="A3" s="111" t="inlineStr">
        <is>
          <t>100201</t>
        </is>
      </c>
      <c r="B3" s="111" t="inlineStr">
        <is>
          <t>银行存款_人民币户</t>
        </is>
      </c>
      <c r="C3" s="111" t="inlineStr">
        <is>
          <t>2025-09-01</t>
        </is>
      </c>
      <c r="D3" s="111" t="inlineStr">
        <is>
          <t>Q2002</t>
        </is>
      </c>
      <c r="E3" s="111" t="inlineStr">
        <is>
          <t>抖音投放充值</t>
        </is>
      </c>
      <c r="F3" s="111" t="inlineStr">
        <is>
          <t>浙江精准学科技有限公司</t>
        </is>
      </c>
      <c r="G3" s="111" t="inlineStr">
        <is>
          <t>记-5</t>
        </is>
      </c>
      <c r="H3" s="111" t="inlineStr">
        <is>
          <t>王飞申请支付黑哥两个直播间的投放费</t>
        </is>
      </c>
      <c r="I3" s="118" t="n">
        <v>0</v>
      </c>
      <c r="J3" s="118" t="n">
        <v>50000</v>
      </c>
    </row>
    <row r="4">
      <c r="A4" s="111" t="inlineStr">
        <is>
          <t>100201</t>
        </is>
      </c>
      <c r="B4" s="111" t="inlineStr">
        <is>
          <t>银行存款_人民币户</t>
        </is>
      </c>
      <c r="C4" s="111" t="inlineStr">
        <is>
          <t>2025-09-01</t>
        </is>
      </c>
      <c r="D4" s="111" t="inlineStr">
        <is>
          <t>Q2002</t>
        </is>
      </c>
      <c r="E4" s="111" t="inlineStr">
        <is>
          <t>抖音投放充值</t>
        </is>
      </c>
      <c r="F4" s="111" t="inlineStr">
        <is>
          <t>浙江精准学科技有限公司</t>
        </is>
      </c>
      <c r="G4" s="111" t="inlineStr">
        <is>
          <t>记-6</t>
        </is>
      </c>
      <c r="H4" s="111" t="inlineStr">
        <is>
          <t>王飞申请支付黑哥两个直播间投放费</t>
        </is>
      </c>
      <c r="I4" s="118" t="n">
        <v>0</v>
      </c>
      <c r="J4" s="118" t="n">
        <v>5600</v>
      </c>
    </row>
    <row r="5">
      <c r="A5" s="111" t="inlineStr">
        <is>
          <t>100201</t>
        </is>
      </c>
      <c r="B5" s="111" t="inlineStr">
        <is>
          <t>银行存款_人民币户</t>
        </is>
      </c>
      <c r="C5" s="111" t="inlineStr">
        <is>
          <t>2025-09-01</t>
        </is>
      </c>
      <c r="D5" s="111" t="inlineStr">
        <is>
          <t>Q0401</t>
        </is>
      </c>
      <c r="E5" s="111" t="inlineStr">
        <is>
          <t>内部往来收入</t>
        </is>
      </c>
      <c r="F5" s="111" t="inlineStr">
        <is>
          <t>浙江精准学科技有限公司</t>
        </is>
      </c>
      <c r="G5" s="111" t="inlineStr">
        <is>
          <t>记-7</t>
        </is>
      </c>
      <c r="H5" s="111" t="inlineStr">
        <is>
          <t>抖音提现到招行基本户</t>
        </is>
      </c>
      <c r="I5" s="118" t="n">
        <v>850000</v>
      </c>
      <c r="J5" s="118" t="n">
        <v>0</v>
      </c>
    </row>
    <row r="6">
      <c r="A6" s="111" t="inlineStr">
        <is>
          <t>101203</t>
        </is>
      </c>
      <c r="B6" s="111" t="inlineStr">
        <is>
          <t>其他货币资金_抖音</t>
        </is>
      </c>
      <c r="C6" s="111" t="inlineStr">
        <is>
          <t>2025-09-01</t>
        </is>
      </c>
      <c r="D6" s="111" t="inlineStr">
        <is>
          <t>Q0401</t>
        </is>
      </c>
      <c r="E6" s="111" t="inlineStr">
        <is>
          <t>内部往来收入</t>
        </is>
      </c>
      <c r="F6" s="111" t="inlineStr">
        <is>
          <t>浙江精准学科技有限公司</t>
        </is>
      </c>
      <c r="G6" s="111" t="inlineStr">
        <is>
          <t>记-7</t>
        </is>
      </c>
      <c r="H6" s="111" t="inlineStr">
        <is>
          <t>抖音提现到招行基本户</t>
        </is>
      </c>
      <c r="I6" s="118" t="n">
        <v>0</v>
      </c>
      <c r="J6" s="118" t="n">
        <v>850000</v>
      </c>
    </row>
    <row r="7">
      <c r="A7" s="111" t="inlineStr">
        <is>
          <t>100201</t>
        </is>
      </c>
      <c r="B7" s="111" t="inlineStr">
        <is>
          <t>银行存款_人民币户</t>
        </is>
      </c>
      <c r="C7" s="111" t="inlineStr">
        <is>
          <t>2025-09-01</t>
        </is>
      </c>
      <c r="D7" s="111" t="inlineStr">
        <is>
          <t>Q2907</t>
        </is>
      </c>
      <c r="E7" s="111" t="inlineStr">
        <is>
          <t>其他员工报销</t>
        </is>
      </c>
      <c r="F7" s="111" t="inlineStr">
        <is>
          <t>浙江精准学科技有限公司</t>
        </is>
      </c>
      <c r="G7" s="111" t="inlineStr">
        <is>
          <t>记-8</t>
        </is>
      </c>
      <c r="H7" s="111" t="inlineStr">
        <is>
          <t>张笛申请支付滴滴平台款项充值</t>
        </is>
      </c>
      <c r="I7" s="118" t="n">
        <v>0</v>
      </c>
      <c r="J7" s="118" t="n">
        <v>10000</v>
      </c>
    </row>
    <row r="8">
      <c r="A8" s="111" t="inlineStr">
        <is>
          <t>100201</t>
        </is>
      </c>
      <c r="B8" s="111" t="inlineStr">
        <is>
          <t>银行存款_人民币户</t>
        </is>
      </c>
      <c r="C8" s="111" t="inlineStr">
        <is>
          <t>2025-09-01</t>
        </is>
      </c>
      <c r="D8" s="111" t="inlineStr">
        <is>
          <t>Q1701</t>
        </is>
      </c>
      <c r="E8" s="111" t="inlineStr">
        <is>
          <t>研发员工报销</t>
        </is>
      </c>
      <c r="F8" s="111" t="inlineStr">
        <is>
          <t>浙江精准学科技有限公司</t>
        </is>
      </c>
      <c r="G8" s="111" t="inlineStr">
        <is>
          <t>记-9</t>
        </is>
      </c>
      <c r="H8" s="111" t="inlineStr">
        <is>
          <t>陈灵琪报销交通费</t>
        </is>
      </c>
      <c r="I8" s="118" t="n">
        <v>0</v>
      </c>
      <c r="J8" s="118" t="n">
        <v>2026.5</v>
      </c>
    </row>
    <row r="9">
      <c r="A9" s="111" t="inlineStr">
        <is>
          <t>100201</t>
        </is>
      </c>
      <c r="B9" s="111" t="inlineStr">
        <is>
          <t>银行存款_人民币户</t>
        </is>
      </c>
      <c r="C9" s="111" t="inlineStr">
        <is>
          <t>2025-09-01</t>
        </is>
      </c>
      <c r="D9" s="111" t="inlineStr">
        <is>
          <t>Q29010</t>
        </is>
      </c>
      <c r="E9" s="111" t="inlineStr">
        <is>
          <t>其他办公费用</t>
        </is>
      </c>
      <c r="F9" s="111" t="inlineStr">
        <is>
          <t>浙江精准学科技有限公司</t>
        </is>
      </c>
      <c r="G9" s="111" t="inlineStr">
        <is>
          <t>记-10</t>
        </is>
      </c>
      <c r="H9" s="111" t="inlineStr">
        <is>
          <t>林丽丽申请支付购买手机款项</t>
        </is>
      </c>
      <c r="I9" s="118" t="n">
        <v>0</v>
      </c>
      <c r="J9" s="118" t="n">
        <v>2980</v>
      </c>
    </row>
    <row r="10">
      <c r="A10" s="111" t="inlineStr">
        <is>
          <t>100201</t>
        </is>
      </c>
      <c r="B10" s="111" t="inlineStr">
        <is>
          <t>银行存款_人民币户</t>
        </is>
      </c>
      <c r="C10" s="111" t="inlineStr">
        <is>
          <t>2025-09-01</t>
        </is>
      </c>
      <c r="D10" s="111" t="inlineStr">
        <is>
          <t>Q2601</t>
        </is>
      </c>
      <c r="E10" s="111" t="inlineStr">
        <is>
          <t>品销员工报销</t>
        </is>
      </c>
      <c r="F10" s="111" t="inlineStr">
        <is>
          <t>浙江精准学科技有限公司</t>
        </is>
      </c>
      <c r="G10" s="111" t="inlineStr">
        <is>
          <t>记-11</t>
        </is>
      </c>
      <c r="H10" s="111" t="inlineStr">
        <is>
          <t>宓玲玲报销款</t>
        </is>
      </c>
      <c r="I10" s="118" t="n">
        <v>0</v>
      </c>
      <c r="J10" s="118" t="n">
        <v>895.1</v>
      </c>
    </row>
    <row r="11">
      <c r="A11" s="111" t="inlineStr">
        <is>
          <t>100201</t>
        </is>
      </c>
      <c r="B11" s="111" t="inlineStr">
        <is>
          <t>银行存款_人民币户</t>
        </is>
      </c>
      <c r="C11" s="111" t="inlineStr">
        <is>
          <t>2025-09-01</t>
        </is>
      </c>
      <c r="D11" s="111" t="inlineStr">
        <is>
          <t>Q2102</t>
        </is>
      </c>
      <c r="E11" s="111" t="inlineStr">
        <is>
          <t>DP-黑哥团队服务费</t>
        </is>
      </c>
      <c r="F11" s="111" t="inlineStr">
        <is>
          <t>浙江精准学科技有限公司</t>
        </is>
      </c>
      <c r="G11" s="111" t="inlineStr">
        <is>
          <t>记-12</t>
        </is>
      </c>
      <c r="H11" s="111" t="inlineStr">
        <is>
          <t>孟玑申请支付黑哥5-6月结算佣金</t>
        </is>
      </c>
      <c r="I11" s="118" t="n">
        <v>0</v>
      </c>
      <c r="J11" s="118" t="n">
        <v>277773.45</v>
      </c>
    </row>
    <row r="12">
      <c r="A12" s="111" t="inlineStr">
        <is>
          <t>100201</t>
        </is>
      </c>
      <c r="B12" s="111" t="inlineStr">
        <is>
          <t>银行存款_人民币户</t>
        </is>
      </c>
      <c r="C12" s="111" t="inlineStr">
        <is>
          <t>2025-09-01</t>
        </is>
      </c>
      <c r="D12" s="111" t="inlineStr">
        <is>
          <t>Q2002</t>
        </is>
      </c>
      <c r="E12" s="111" t="inlineStr">
        <is>
          <t>抖音投放充值</t>
        </is>
      </c>
      <c r="F12" s="111" t="inlineStr">
        <is>
          <t>浙江精准学科技有限公司</t>
        </is>
      </c>
      <c r="G12" s="111" t="inlineStr">
        <is>
          <t>记-13</t>
        </is>
      </c>
      <c r="H12" s="111" t="inlineStr">
        <is>
          <t>吴浙鹏申请支付智能精准学官方旗舰店直播间9.1-9.3投放款</t>
        </is>
      </c>
      <c r="I12" s="118" t="n">
        <v>0</v>
      </c>
      <c r="J12" s="118" t="n">
        <v>300000</v>
      </c>
    </row>
    <row r="13">
      <c r="A13" s="111" t="inlineStr">
        <is>
          <t>100201</t>
        </is>
      </c>
      <c r="B13" s="111" t="inlineStr">
        <is>
          <t>银行存款_人民币户</t>
        </is>
      </c>
      <c r="C13" s="111" t="inlineStr">
        <is>
          <t>2025-09-01</t>
        </is>
      </c>
      <c r="D13" s="111" t="inlineStr">
        <is>
          <t>Q0101</t>
        </is>
      </c>
      <c r="E13" s="111" t="inlineStr">
        <is>
          <t>平台硬件销售收入</t>
        </is>
      </c>
      <c r="F13" s="111" t="inlineStr">
        <is>
          <t>浙江精准学科技有限公司</t>
        </is>
      </c>
      <c r="G13" s="111" t="inlineStr">
        <is>
          <t>记-14</t>
        </is>
      </c>
      <c r="H13" s="111" t="inlineStr">
        <is>
          <t>返现-冲减收入</t>
        </is>
      </c>
      <c r="I13" s="118" t="n">
        <v>0</v>
      </c>
      <c r="J13" s="118" t="n">
        <v>1195.96</v>
      </c>
    </row>
    <row r="14">
      <c r="A14" s="111" t="inlineStr">
        <is>
          <t>101203</t>
        </is>
      </c>
      <c r="B14" s="111" t="inlineStr">
        <is>
          <t>其他货币资金_抖音</t>
        </is>
      </c>
      <c r="C14" s="111" t="inlineStr">
        <is>
          <t>2025-09-01</t>
        </is>
      </c>
      <c r="D14" s="111" t="inlineStr">
        <is>
          <t>Else01</t>
        </is>
      </c>
      <c r="E14" s="111" t="inlineStr">
        <is>
          <t>中转</t>
        </is>
      </c>
      <c r="F14" s="111" t="inlineStr">
        <is>
          <t>浙江精准学科技有限公司</t>
        </is>
      </c>
      <c r="G14" s="111" t="inlineStr">
        <is>
          <t>记-15</t>
        </is>
      </c>
      <c r="H14" s="111" t="inlineStr">
        <is>
          <t>抖音1449平台收款</t>
        </is>
      </c>
      <c r="I14" s="118" t="n">
        <v>374498.28</v>
      </c>
      <c r="J14" s="118" t="n">
        <v>0</v>
      </c>
    </row>
    <row r="15">
      <c r="A15" s="111" t="inlineStr">
        <is>
          <t>101207</t>
        </is>
      </c>
      <c r="B15" s="111" t="inlineStr">
        <is>
          <t>其他货币资金_京东钱包</t>
        </is>
      </c>
      <c r="C15" s="111" t="inlineStr">
        <is>
          <t>2025-09-01</t>
        </is>
      </c>
      <c r="D15" s="111" t="inlineStr">
        <is>
          <t>Else01</t>
        </is>
      </c>
      <c r="E15" s="111" t="inlineStr">
        <is>
          <t>中转</t>
        </is>
      </c>
      <c r="F15" s="111" t="inlineStr">
        <is>
          <t>浙江精准学科技有限公司</t>
        </is>
      </c>
      <c r="G15" s="111" t="inlineStr">
        <is>
          <t>记-15</t>
        </is>
      </c>
      <c r="H15" s="111" t="inlineStr">
        <is>
          <t>京东5518平台收入</t>
        </is>
      </c>
      <c r="I15" s="118" t="n">
        <v>13398</v>
      </c>
      <c r="J15" s="118" t="n">
        <v>0</v>
      </c>
    </row>
    <row r="16">
      <c r="A16" s="111" t="inlineStr">
        <is>
          <t>101201</t>
        </is>
      </c>
      <c r="B16" s="111" t="inlineStr">
        <is>
          <t>其他货币资金_支付宝</t>
        </is>
      </c>
      <c r="C16" s="111" t="inlineStr">
        <is>
          <t>2025-09-01</t>
        </is>
      </c>
      <c r="D16" s="111" t="inlineStr">
        <is>
          <t>Else01</t>
        </is>
      </c>
      <c r="E16" s="111" t="inlineStr">
        <is>
          <t>中转</t>
        </is>
      </c>
      <c r="F16" s="111" t="inlineStr">
        <is>
          <t>浙江精准学科技有限公司</t>
        </is>
      </c>
      <c r="G16" s="111" t="inlineStr">
        <is>
          <t>记-15</t>
        </is>
      </c>
      <c r="H16" s="111" t="inlineStr">
        <is>
          <t>天猫4074平台收入</t>
        </is>
      </c>
      <c r="I16" s="118" t="n">
        <v>26996</v>
      </c>
      <c r="J16" s="118" t="n">
        <v>0</v>
      </c>
    </row>
    <row r="17">
      <c r="A17" s="111" t="inlineStr">
        <is>
          <t>101203</t>
        </is>
      </c>
      <c r="B17" s="111" t="inlineStr">
        <is>
          <t>其他货币资金_抖音</t>
        </is>
      </c>
      <c r="C17" s="111" t="inlineStr">
        <is>
          <t>2025-09-01</t>
        </is>
      </c>
      <c r="D17" s="111" t="inlineStr">
        <is>
          <t>Else01</t>
        </is>
      </c>
      <c r="E17" s="111" t="inlineStr">
        <is>
          <t>中转</t>
        </is>
      </c>
      <c r="F17" s="111" t="inlineStr">
        <is>
          <t>浙江精准学科技有限公司</t>
        </is>
      </c>
      <c r="G17" s="111" t="inlineStr">
        <is>
          <t>记-15</t>
        </is>
      </c>
      <c r="H17" s="111" t="inlineStr">
        <is>
          <t>抖音2983平台收入</t>
        </is>
      </c>
      <c r="I17" s="118" t="n">
        <v>196</v>
      </c>
      <c r="J17" s="118" t="n">
        <v>0</v>
      </c>
    </row>
    <row r="18">
      <c r="A18" s="111" t="inlineStr">
        <is>
          <t>101203</t>
        </is>
      </c>
      <c r="B18" s="111" t="inlineStr">
        <is>
          <t>其他货币资金_抖音</t>
        </is>
      </c>
      <c r="C18" s="111" t="inlineStr">
        <is>
          <t>2025-09-01</t>
        </is>
      </c>
      <c r="D18" s="111" t="inlineStr">
        <is>
          <t>Else01</t>
        </is>
      </c>
      <c r="E18" s="111" t="inlineStr">
        <is>
          <t>中转</t>
        </is>
      </c>
      <c r="F18" s="111" t="inlineStr">
        <is>
          <t>浙江精准学科技有限公司</t>
        </is>
      </c>
      <c r="G18" s="111" t="inlineStr">
        <is>
          <t>记-16</t>
        </is>
      </c>
      <c r="H18" s="111" t="inlineStr">
        <is>
          <t>抖音1449平台支出</t>
        </is>
      </c>
      <c r="I18" s="118" t="n">
        <v>0</v>
      </c>
      <c r="J18" s="118" t="n">
        <v>110968.71</v>
      </c>
    </row>
    <row r="19">
      <c r="A19" s="111" t="inlineStr">
        <is>
          <t>101207</t>
        </is>
      </c>
      <c r="B19" s="111" t="inlineStr">
        <is>
          <t>其他货币资金_京东钱包</t>
        </is>
      </c>
      <c r="C19" s="111" t="inlineStr">
        <is>
          <t>2025-09-01</t>
        </is>
      </c>
      <c r="D19" s="111" t="inlineStr">
        <is>
          <t>Else01</t>
        </is>
      </c>
      <c r="E19" s="111" t="inlineStr">
        <is>
          <t>中转</t>
        </is>
      </c>
      <c r="F19" s="111" t="inlineStr">
        <is>
          <t>浙江精准学科技有限公司</t>
        </is>
      </c>
      <c r="G19" s="111" t="inlineStr">
        <is>
          <t>记-16</t>
        </is>
      </c>
      <c r="H19" s="111" t="inlineStr">
        <is>
          <t>京东5518平台支出</t>
        </is>
      </c>
      <c r="I19" s="118" t="n">
        <v>0</v>
      </c>
      <c r="J19" s="118" t="n">
        <v>14731.89</v>
      </c>
    </row>
    <row r="20">
      <c r="A20" s="111" t="inlineStr">
        <is>
          <t>101201</t>
        </is>
      </c>
      <c r="B20" s="111" t="inlineStr">
        <is>
          <t>其他货币资金_支付宝</t>
        </is>
      </c>
      <c r="C20" s="111" t="inlineStr">
        <is>
          <t>2025-09-01</t>
        </is>
      </c>
      <c r="D20" s="111" t="inlineStr">
        <is>
          <t>Else01</t>
        </is>
      </c>
      <c r="E20" s="111" t="inlineStr">
        <is>
          <t>中转</t>
        </is>
      </c>
      <c r="F20" s="111" t="inlineStr">
        <is>
          <t>浙江精准学科技有限公司</t>
        </is>
      </c>
      <c r="G20" s="111" t="inlineStr">
        <is>
          <t>记-16</t>
        </is>
      </c>
      <c r="H20" s="111" t="inlineStr">
        <is>
          <t>天猫4074平台支出</t>
        </is>
      </c>
      <c r="I20" s="118" t="n">
        <v>0</v>
      </c>
      <c r="J20" s="118" t="n">
        <v>1610.66</v>
      </c>
    </row>
    <row r="21">
      <c r="A21" s="111" t="inlineStr">
        <is>
          <t>101203</t>
        </is>
      </c>
      <c r="B21" s="111" t="inlineStr">
        <is>
          <t>其他货币资金_抖音</t>
        </is>
      </c>
      <c r="C21" s="111" t="inlineStr">
        <is>
          <t>2025-09-01</t>
        </is>
      </c>
      <c r="D21" s="111" t="inlineStr">
        <is>
          <t>Else01</t>
        </is>
      </c>
      <c r="E21" s="111" t="inlineStr">
        <is>
          <t>中转</t>
        </is>
      </c>
      <c r="F21" s="111" t="inlineStr">
        <is>
          <t>浙江精准学科技有限公司</t>
        </is>
      </c>
      <c r="G21" s="111" t="inlineStr">
        <is>
          <t>记-16</t>
        </is>
      </c>
      <c r="H21" s="111" t="inlineStr">
        <is>
          <t>抖音2983平台支出</t>
        </is>
      </c>
      <c r="I21" s="118" t="n">
        <v>0</v>
      </c>
      <c r="J21" s="118" t="n">
        <v>2.5</v>
      </c>
    </row>
    <row r="22">
      <c r="A22" s="111" t="inlineStr">
        <is>
          <t>100201</t>
        </is>
      </c>
      <c r="B22" s="111" t="inlineStr">
        <is>
          <t>银行存款_人民币户</t>
        </is>
      </c>
      <c r="C22" s="111" t="inlineStr">
        <is>
          <t>2025-09-02</t>
        </is>
      </c>
      <c r="D22" s="111" t="inlineStr">
        <is>
          <t>Q3101</t>
        </is>
      </c>
      <c r="E22" s="111" t="inlineStr">
        <is>
          <t>手续费</t>
        </is>
      </c>
      <c r="F22" s="111" t="inlineStr">
        <is>
          <t>浙江精准学科技有限公司</t>
        </is>
      </c>
      <c r="G22" s="111" t="inlineStr">
        <is>
          <t>记-17</t>
        </is>
      </c>
      <c r="H22" s="111" t="inlineStr">
        <is>
          <t>支付银行手续费</t>
        </is>
      </c>
      <c r="I22" s="118" t="n">
        <v>0</v>
      </c>
      <c r="J22" s="118" t="n">
        <v>4.38</v>
      </c>
    </row>
    <row r="23">
      <c r="A23" s="111" t="inlineStr">
        <is>
          <t>100201</t>
        </is>
      </c>
      <c r="B23" s="111" t="inlineStr">
        <is>
          <t>银行存款_人民币户</t>
        </is>
      </c>
      <c r="C23" s="111" t="inlineStr">
        <is>
          <t>2025-09-02</t>
        </is>
      </c>
      <c r="D23" s="111" t="inlineStr">
        <is>
          <t>Q29010</t>
        </is>
      </c>
      <c r="E23" s="111" t="inlineStr">
        <is>
          <t>其他办公费用</t>
        </is>
      </c>
      <c r="F23" s="111" t="inlineStr">
        <is>
          <t>浙江精准学科技有限公司</t>
        </is>
      </c>
      <c r="G23" s="111" t="inlineStr">
        <is>
          <t>记-18</t>
        </is>
      </c>
      <c r="H23" s="111" t="inlineStr">
        <is>
          <t>徐帅申请支付购买账号费</t>
        </is>
      </c>
      <c r="I23" s="118" t="n">
        <v>0</v>
      </c>
      <c r="J23" s="118" t="n">
        <v>1615.92</v>
      </c>
    </row>
    <row r="24">
      <c r="A24" s="111" t="inlineStr">
        <is>
          <t>100201</t>
        </is>
      </c>
      <c r="B24" s="111" t="inlineStr">
        <is>
          <t>银行存款_人民币户</t>
        </is>
      </c>
      <c r="C24" s="111" t="inlineStr">
        <is>
          <t>2025-09-02</t>
        </is>
      </c>
      <c r="D24" s="111" t="inlineStr">
        <is>
          <t>Q2002</t>
        </is>
      </c>
      <c r="E24" s="111" t="inlineStr">
        <is>
          <t>抖音投放充值</t>
        </is>
      </c>
      <c r="F24" s="111" t="inlineStr">
        <is>
          <t>浙江精准学科技有限公司</t>
        </is>
      </c>
      <c r="G24" s="111" t="inlineStr">
        <is>
          <t>记-19</t>
        </is>
      </c>
      <c r="H24" s="111" t="inlineStr">
        <is>
          <t>杨文豪申请支付智能精准学直播间9.3-9.5推广费</t>
        </is>
      </c>
      <c r="I24" s="118" t="n">
        <v>0</v>
      </c>
      <c r="J24" s="118" t="n">
        <v>300000</v>
      </c>
    </row>
    <row r="25">
      <c r="A25" s="111" t="inlineStr">
        <is>
          <t>100201</t>
        </is>
      </c>
      <c r="B25" s="111" t="inlineStr">
        <is>
          <t>银行存款_人民币户</t>
        </is>
      </c>
      <c r="C25" s="111" t="inlineStr">
        <is>
          <t>2025-09-02</t>
        </is>
      </c>
      <c r="D25" s="111" t="inlineStr">
        <is>
          <t>Q1903</t>
        </is>
      </c>
      <c r="E25" s="111" t="inlineStr">
        <is>
          <t>抖音平台种草-达人合作</t>
        </is>
      </c>
      <c r="F25" s="111" t="inlineStr">
        <is>
          <t>浙江精准学科技有限公司</t>
        </is>
      </c>
      <c r="G25" s="111" t="inlineStr">
        <is>
          <t>记-20</t>
        </is>
      </c>
      <c r="H25" s="111" t="inlineStr">
        <is>
          <t>收到合作达人退还款项</t>
        </is>
      </c>
      <c r="I25" s="118" t="n">
        <v>6000</v>
      </c>
      <c r="J25" s="118" t="n">
        <v>0</v>
      </c>
    </row>
    <row r="26">
      <c r="A26" s="111" t="inlineStr">
        <is>
          <t>100201</t>
        </is>
      </c>
      <c r="B26" s="111" t="inlineStr">
        <is>
          <t>银行存款_人民币户</t>
        </is>
      </c>
      <c r="C26" s="111" t="inlineStr">
        <is>
          <t>2025-09-02</t>
        </is>
      </c>
      <c r="D26" s="111" t="inlineStr">
        <is>
          <t>Q2002</t>
        </is>
      </c>
      <c r="E26" s="111" t="inlineStr">
        <is>
          <t>抖音投放充值</t>
        </is>
      </c>
      <c r="F26" s="111" t="inlineStr">
        <is>
          <t>浙江精准学科技有限公司</t>
        </is>
      </c>
      <c r="G26" s="111" t="inlineStr">
        <is>
          <t>记-21</t>
        </is>
      </c>
      <c r="H26" s="111" t="inlineStr">
        <is>
          <t>吴浙鹏申请支付智能精准学官方旗舰店直播间9.3-9.4投放款</t>
        </is>
      </c>
      <c r="I26" s="118" t="n">
        <v>0</v>
      </c>
      <c r="J26" s="118" t="n">
        <v>300000</v>
      </c>
    </row>
    <row r="27">
      <c r="A27" s="111" t="inlineStr">
        <is>
          <t>101203</t>
        </is>
      </c>
      <c r="B27" s="111" t="inlineStr">
        <is>
          <t>其他货币资金_抖音</t>
        </is>
      </c>
      <c r="C27" s="111" t="inlineStr">
        <is>
          <t>2025-09-02</t>
        </is>
      </c>
      <c r="D27" s="111" t="inlineStr">
        <is>
          <t>Else01</t>
        </is>
      </c>
      <c r="E27" s="111" t="inlineStr">
        <is>
          <t>中转</t>
        </is>
      </c>
      <c r="F27" s="111" t="inlineStr">
        <is>
          <t>浙江精准学科技有限公司</t>
        </is>
      </c>
      <c r="G27" s="111" t="inlineStr">
        <is>
          <t>记-22</t>
        </is>
      </c>
      <c r="H27" s="111" t="inlineStr">
        <is>
          <t>抖音1449平台收款</t>
        </is>
      </c>
      <c r="I27" s="118" t="n">
        <v>401003.02</v>
      </c>
      <c r="J27" s="118" t="n">
        <v>0</v>
      </c>
    </row>
    <row r="28">
      <c r="A28" s="111" t="inlineStr">
        <is>
          <t>101207</t>
        </is>
      </c>
      <c r="B28" s="111" t="inlineStr">
        <is>
          <t>其他货币资金_京东钱包</t>
        </is>
      </c>
      <c r="C28" s="111" t="inlineStr">
        <is>
          <t>2025-09-02</t>
        </is>
      </c>
      <c r="D28" s="111" t="inlineStr">
        <is>
          <t>Else01</t>
        </is>
      </c>
      <c r="E28" s="111" t="inlineStr">
        <is>
          <t>中转</t>
        </is>
      </c>
      <c r="F28" s="111" t="inlineStr">
        <is>
          <t>浙江精准学科技有限公司</t>
        </is>
      </c>
      <c r="G28" s="111" t="inlineStr">
        <is>
          <t>记-22</t>
        </is>
      </c>
      <c r="H28" s="111" t="inlineStr">
        <is>
          <t>京东5518平台收入</t>
        </is>
      </c>
      <c r="I28" s="118" t="n">
        <v>33505.45</v>
      </c>
      <c r="J28" s="118" t="n">
        <v>0</v>
      </c>
    </row>
    <row r="29">
      <c r="A29" s="111" t="inlineStr">
        <is>
          <t>101201</t>
        </is>
      </c>
      <c r="B29" s="111" t="inlineStr">
        <is>
          <t>其他货币资金_支付宝</t>
        </is>
      </c>
      <c r="C29" s="111" t="inlineStr">
        <is>
          <t>2025-09-02</t>
        </is>
      </c>
      <c r="D29" s="111" t="inlineStr">
        <is>
          <t>Else01</t>
        </is>
      </c>
      <c r="E29" s="111" t="inlineStr">
        <is>
          <t>中转</t>
        </is>
      </c>
      <c r="F29" s="111" t="inlineStr">
        <is>
          <t>浙江精准学科技有限公司</t>
        </is>
      </c>
      <c r="G29" s="111" t="inlineStr">
        <is>
          <t>记-22</t>
        </is>
      </c>
      <c r="H29" s="111" t="inlineStr">
        <is>
          <t>天猫4074平台收入</t>
        </is>
      </c>
      <c r="I29" s="118" t="n">
        <v>13488</v>
      </c>
      <c r="J29" s="118" t="n">
        <v>0</v>
      </c>
    </row>
    <row r="30">
      <c r="A30" s="111" t="inlineStr">
        <is>
          <t>101203</t>
        </is>
      </c>
      <c r="B30" s="111" t="inlineStr">
        <is>
          <t>其他货币资金_抖音</t>
        </is>
      </c>
      <c r="C30" s="111" t="inlineStr">
        <is>
          <t>2025-09-02</t>
        </is>
      </c>
      <c r="D30" s="111" t="inlineStr">
        <is>
          <t>Else01</t>
        </is>
      </c>
      <c r="E30" s="111" t="inlineStr">
        <is>
          <t>中转</t>
        </is>
      </c>
      <c r="F30" s="111" t="inlineStr">
        <is>
          <t>浙江精准学科技有限公司</t>
        </is>
      </c>
      <c r="G30" s="111" t="inlineStr">
        <is>
          <t>记-22</t>
        </is>
      </c>
      <c r="H30" s="111" t="inlineStr">
        <is>
          <t>抖音2983平台收入</t>
        </is>
      </c>
      <c r="I30" s="118" t="n">
        <v>6658.81</v>
      </c>
      <c r="J30" s="118" t="n">
        <v>0</v>
      </c>
    </row>
    <row r="31">
      <c r="A31" s="111" t="inlineStr">
        <is>
          <t>101203</t>
        </is>
      </c>
      <c r="B31" s="111" t="inlineStr">
        <is>
          <t>其他货币资金_抖音</t>
        </is>
      </c>
      <c r="C31" s="111" t="inlineStr">
        <is>
          <t>2025-09-02</t>
        </is>
      </c>
      <c r="D31" s="111" t="inlineStr">
        <is>
          <t>Else01</t>
        </is>
      </c>
      <c r="E31" s="111" t="inlineStr">
        <is>
          <t>中转</t>
        </is>
      </c>
      <c r="F31" s="111" t="inlineStr">
        <is>
          <t>浙江精准学科技有限公司</t>
        </is>
      </c>
      <c r="G31" s="111" t="inlineStr">
        <is>
          <t>记-23</t>
        </is>
      </c>
      <c r="H31" s="111" t="inlineStr">
        <is>
          <t>抖音1449平台支出</t>
        </is>
      </c>
      <c r="I31" s="118" t="n">
        <v>0</v>
      </c>
      <c r="J31" s="118" t="n">
        <v>122215.96</v>
      </c>
    </row>
    <row r="32">
      <c r="A32" s="111" t="inlineStr">
        <is>
          <t>101207</t>
        </is>
      </c>
      <c r="B32" s="111" t="inlineStr">
        <is>
          <t>其他货币资金_京东钱包</t>
        </is>
      </c>
      <c r="C32" s="111" t="inlineStr">
        <is>
          <t>2025-09-02</t>
        </is>
      </c>
      <c r="D32" s="111" t="inlineStr">
        <is>
          <t>Else01</t>
        </is>
      </c>
      <c r="E32" s="111" t="inlineStr">
        <is>
          <t>中转</t>
        </is>
      </c>
      <c r="F32" s="111" t="inlineStr">
        <is>
          <t>浙江精准学科技有限公司</t>
        </is>
      </c>
      <c r="G32" s="111" t="inlineStr">
        <is>
          <t>记-23</t>
        </is>
      </c>
      <c r="H32" s="111" t="inlineStr">
        <is>
          <t>京东5518平台支出</t>
        </is>
      </c>
      <c r="I32" s="118" t="n">
        <v>0</v>
      </c>
      <c r="J32" s="118" t="n">
        <v>15430.38</v>
      </c>
    </row>
    <row r="33">
      <c r="A33" s="111" t="inlineStr">
        <is>
          <t>101201</t>
        </is>
      </c>
      <c r="B33" s="111" t="inlineStr">
        <is>
          <t>其他货币资金_支付宝</t>
        </is>
      </c>
      <c r="C33" s="111" t="inlineStr">
        <is>
          <t>2025-09-02</t>
        </is>
      </c>
      <c r="D33" s="111" t="inlineStr">
        <is>
          <t>Else01</t>
        </is>
      </c>
      <c r="E33" s="111" t="inlineStr">
        <is>
          <t>中转</t>
        </is>
      </c>
      <c r="F33" s="111" t="inlineStr">
        <is>
          <t>浙江精准学科技有限公司</t>
        </is>
      </c>
      <c r="G33" s="111" t="inlineStr">
        <is>
          <t>记-23</t>
        </is>
      </c>
      <c r="H33" s="111" t="inlineStr">
        <is>
          <t>天猫4074平台支出</t>
        </is>
      </c>
      <c r="I33" s="118" t="n">
        <v>0</v>
      </c>
      <c r="J33" s="118" t="n">
        <v>832.38</v>
      </c>
    </row>
    <row r="34">
      <c r="A34" s="111" t="inlineStr">
        <is>
          <t>101203</t>
        </is>
      </c>
      <c r="B34" s="111" t="inlineStr">
        <is>
          <t>其他货币资金_抖音</t>
        </is>
      </c>
      <c r="C34" s="111" t="inlineStr">
        <is>
          <t>2025-09-02</t>
        </is>
      </c>
      <c r="D34" s="111" t="inlineStr">
        <is>
          <t>Else01</t>
        </is>
      </c>
      <c r="E34" s="111" t="inlineStr">
        <is>
          <t>中转</t>
        </is>
      </c>
      <c r="F34" s="111" t="inlineStr">
        <is>
          <t>浙江精准学科技有限公司</t>
        </is>
      </c>
      <c r="G34" s="111" t="inlineStr">
        <is>
          <t>记-23</t>
        </is>
      </c>
      <c r="H34" s="111" t="inlineStr">
        <is>
          <t>抖音2983平台支出</t>
        </is>
      </c>
      <c r="I34" s="118" t="n">
        <v>0</v>
      </c>
      <c r="J34" s="118" t="n">
        <v>1.22</v>
      </c>
    </row>
    <row r="35">
      <c r="A35" s="111" t="inlineStr">
        <is>
          <t>100201</t>
        </is>
      </c>
      <c r="B35" s="111" t="inlineStr">
        <is>
          <t>银行存款_人民币户</t>
        </is>
      </c>
      <c r="C35" s="111" t="inlineStr">
        <is>
          <t>2025-09-03</t>
        </is>
      </c>
      <c r="D35" s="111" t="inlineStr">
        <is>
          <t>Q0401</t>
        </is>
      </c>
      <c r="E35" s="111" t="inlineStr">
        <is>
          <t>内部往来收入</t>
        </is>
      </c>
      <c r="F35" s="111" t="inlineStr">
        <is>
          <t>浙江精准学科技有限公司</t>
        </is>
      </c>
      <c r="G35" s="111" t="inlineStr">
        <is>
          <t>记-24</t>
        </is>
      </c>
      <c r="H35" s="111" t="inlineStr">
        <is>
          <t>支付宝提现到招行基本户</t>
        </is>
      </c>
      <c r="I35" s="118" t="n">
        <v>62650.44</v>
      </c>
      <c r="J35" s="118" t="n">
        <v>0</v>
      </c>
    </row>
    <row r="36">
      <c r="A36" s="111" t="inlineStr">
        <is>
          <t>101201</t>
        </is>
      </c>
      <c r="B36" s="111" t="inlineStr">
        <is>
          <t>其他货币资金_支付宝</t>
        </is>
      </c>
      <c r="C36" s="111" t="inlineStr">
        <is>
          <t>2025-09-03</t>
        </is>
      </c>
      <c r="D36" s="111" t="inlineStr">
        <is>
          <t>Q0401</t>
        </is>
      </c>
      <c r="E36" s="111" t="inlineStr">
        <is>
          <t>内部往来收入</t>
        </is>
      </c>
      <c r="F36" s="111" t="inlineStr">
        <is>
          <t>浙江精准学科技有限公司</t>
        </is>
      </c>
      <c r="G36" s="111" t="inlineStr">
        <is>
          <t>记-24</t>
        </is>
      </c>
      <c r="H36" s="111" t="inlineStr">
        <is>
          <t>支付宝提现到招行基本户</t>
        </is>
      </c>
      <c r="I36" s="118" t="n">
        <v>0</v>
      </c>
      <c r="J36" s="118" t="n">
        <v>62650.44</v>
      </c>
    </row>
    <row r="37">
      <c r="A37" s="111" t="inlineStr">
        <is>
          <t>100201</t>
        </is>
      </c>
      <c r="B37" s="111" t="inlineStr">
        <is>
          <t>银行存款_人民币户</t>
        </is>
      </c>
      <c r="C37" s="111" t="inlineStr">
        <is>
          <t>2025-09-03</t>
        </is>
      </c>
      <c r="D37" s="111" t="inlineStr">
        <is>
          <t>Q0401</t>
        </is>
      </c>
      <c r="E37" s="111" t="inlineStr">
        <is>
          <t>内部往来收入</t>
        </is>
      </c>
      <c r="F37" s="111" t="inlineStr">
        <is>
          <t>浙江精准学科技有限公司</t>
        </is>
      </c>
      <c r="G37" s="111" t="inlineStr">
        <is>
          <t>记-25</t>
        </is>
      </c>
      <c r="H37" s="111" t="inlineStr">
        <is>
          <t>抖音提现到招行基本户</t>
        </is>
      </c>
      <c r="I37" s="118" t="n">
        <v>469464.84</v>
      </c>
      <c r="J37" s="118" t="n">
        <v>0</v>
      </c>
    </row>
    <row r="38">
      <c r="A38" s="111" t="inlineStr">
        <is>
          <t>101203</t>
        </is>
      </c>
      <c r="B38" s="111" t="inlineStr">
        <is>
          <t>其他货币资金_抖音</t>
        </is>
      </c>
      <c r="C38" s="111" t="inlineStr">
        <is>
          <t>2025-09-03</t>
        </is>
      </c>
      <c r="D38" s="111" t="inlineStr">
        <is>
          <t>Q0401</t>
        </is>
      </c>
      <c r="E38" s="111" t="inlineStr">
        <is>
          <t>内部往来收入</t>
        </is>
      </c>
      <c r="F38" s="111" t="inlineStr">
        <is>
          <t>浙江精准学科技有限公司</t>
        </is>
      </c>
      <c r="G38" s="111" t="inlineStr">
        <is>
          <t>记-25</t>
        </is>
      </c>
      <c r="H38" s="111" t="inlineStr">
        <is>
          <t>抖音提现到招行基本户</t>
        </is>
      </c>
      <c r="I38" s="118" t="n">
        <v>0</v>
      </c>
      <c r="J38" s="118" t="n">
        <v>469464.84</v>
      </c>
    </row>
    <row r="39">
      <c r="A39" s="111" t="inlineStr">
        <is>
          <t>100201</t>
        </is>
      </c>
      <c r="B39" s="111" t="inlineStr">
        <is>
          <t>银行存款_人民币户</t>
        </is>
      </c>
      <c r="C39" s="111" t="inlineStr">
        <is>
          <t>2025-09-03</t>
        </is>
      </c>
      <c r="D39" s="111" t="inlineStr">
        <is>
          <t>Q1903</t>
        </is>
      </c>
      <c r="E39" s="111" t="inlineStr">
        <is>
          <t>抖音平台种草-达人合作</t>
        </is>
      </c>
      <c r="F39" s="111" t="inlineStr">
        <is>
          <t>浙江精准学科技有限公司</t>
        </is>
      </c>
      <c r="G39" s="111" t="inlineStr">
        <is>
          <t>记-26</t>
        </is>
      </c>
      <c r="H39" s="111" t="inlineStr">
        <is>
          <t>收到合作达人退还款项</t>
        </is>
      </c>
      <c r="I39" s="118" t="n">
        <v>7600</v>
      </c>
      <c r="J39" s="118" t="n">
        <v>0</v>
      </c>
    </row>
    <row r="40">
      <c r="A40" s="111" t="inlineStr">
        <is>
          <t>100201</t>
        </is>
      </c>
      <c r="B40" s="111" t="inlineStr">
        <is>
          <t>银行存款_人民币户</t>
        </is>
      </c>
      <c r="C40" s="111" t="inlineStr">
        <is>
          <t>2025-09-03</t>
        </is>
      </c>
      <c r="D40" s="111" t="inlineStr">
        <is>
          <t>Q0401</t>
        </is>
      </c>
      <c r="E40" s="111" t="inlineStr">
        <is>
          <t>内部往来收入</t>
        </is>
      </c>
      <c r="F40" s="111" t="inlineStr">
        <is>
          <t>浙江精准学科技有限公司</t>
        </is>
      </c>
      <c r="G40" s="111" t="inlineStr">
        <is>
          <t>记-27</t>
        </is>
      </c>
      <c r="H40" s="111" t="inlineStr">
        <is>
          <t>京东提现到招行基本户</t>
        </is>
      </c>
      <c r="I40" s="118" t="n">
        <v>310000</v>
      </c>
      <c r="J40" s="118" t="n">
        <v>0</v>
      </c>
    </row>
    <row r="41">
      <c r="A41" s="111" t="inlineStr">
        <is>
          <t>101207</t>
        </is>
      </c>
      <c r="B41" s="111" t="inlineStr">
        <is>
          <t>其他货币资金_京东钱包</t>
        </is>
      </c>
      <c r="C41" s="111" t="inlineStr">
        <is>
          <t>2025-09-03</t>
        </is>
      </c>
      <c r="D41" s="111" t="inlineStr">
        <is>
          <t>Q0401</t>
        </is>
      </c>
      <c r="E41" s="111" t="inlineStr">
        <is>
          <t>内部往来收入</t>
        </is>
      </c>
      <c r="F41" s="111" t="inlineStr">
        <is>
          <t>浙江精准学科技有限公司</t>
        </is>
      </c>
      <c r="G41" s="111" t="inlineStr">
        <is>
          <t>记-27</t>
        </is>
      </c>
      <c r="H41" s="111" t="inlineStr">
        <is>
          <t>京东提现到招行基本户</t>
        </is>
      </c>
      <c r="I41" s="118" t="n">
        <v>0</v>
      </c>
      <c r="J41" s="118" t="n">
        <v>310000</v>
      </c>
    </row>
    <row r="42">
      <c r="A42" s="111" t="inlineStr">
        <is>
          <t>100201</t>
        </is>
      </c>
      <c r="B42" s="111" t="inlineStr">
        <is>
          <t>银行存款_人民币户</t>
        </is>
      </c>
      <c r="C42" s="111" t="inlineStr">
        <is>
          <t>2025-09-03</t>
        </is>
      </c>
      <c r="D42" s="111" t="inlineStr">
        <is>
          <t>Q1903</t>
        </is>
      </c>
      <c r="E42" s="111" t="inlineStr">
        <is>
          <t>抖音平台种草-达人合作</t>
        </is>
      </c>
      <c r="F42" s="111" t="inlineStr">
        <is>
          <t>浙江精准学科技有限公司</t>
        </is>
      </c>
      <c r="G42" s="111" t="inlineStr">
        <is>
          <t>记-28</t>
        </is>
      </c>
      <c r="H42" s="111" t="inlineStr">
        <is>
          <t>收到合作达人退还款项</t>
        </is>
      </c>
      <c r="I42" s="118" t="n">
        <v>6950</v>
      </c>
      <c r="J42" s="118" t="n">
        <v>0</v>
      </c>
    </row>
    <row r="43">
      <c r="A43" s="111" t="inlineStr">
        <is>
          <t>100201</t>
        </is>
      </c>
      <c r="B43" s="111" t="inlineStr">
        <is>
          <t>银行存款_人民币户</t>
        </is>
      </c>
      <c r="C43" s="111" t="inlineStr">
        <is>
          <t>2025-09-03</t>
        </is>
      </c>
      <c r="D43" s="111" t="inlineStr">
        <is>
          <t>Q1903</t>
        </is>
      </c>
      <c r="E43" s="111" t="inlineStr">
        <is>
          <t>抖音平台种草-达人合作</t>
        </is>
      </c>
      <c r="F43" s="111" t="inlineStr">
        <is>
          <t>浙江精准学科技有限公司</t>
        </is>
      </c>
      <c r="G43" s="111" t="inlineStr">
        <is>
          <t>记-29</t>
        </is>
      </c>
      <c r="H43" s="111" t="inlineStr">
        <is>
          <t>收到合作达人退还款项</t>
        </is>
      </c>
      <c r="I43" s="118" t="n">
        <v>6355</v>
      </c>
      <c r="J43" s="118" t="n">
        <v>0</v>
      </c>
    </row>
    <row r="44">
      <c r="A44" s="111" t="inlineStr">
        <is>
          <t>100201</t>
        </is>
      </c>
      <c r="B44" s="111" t="inlineStr">
        <is>
          <t>银行存款_人民币户</t>
        </is>
      </c>
      <c r="C44" s="111" t="inlineStr">
        <is>
          <t>2025-09-03</t>
        </is>
      </c>
      <c r="D44" s="111" t="inlineStr">
        <is>
          <t>Q0401</t>
        </is>
      </c>
      <c r="E44" s="111" t="inlineStr">
        <is>
          <t>内部往来收入</t>
        </is>
      </c>
      <c r="F44" s="111" t="inlineStr">
        <is>
          <t>浙江精准学科技有限公司</t>
        </is>
      </c>
      <c r="G44" s="111" t="inlineStr">
        <is>
          <t>记-30</t>
        </is>
      </c>
      <c r="H44" s="111" t="inlineStr">
        <is>
          <t>抖音提现到招行基本户</t>
        </is>
      </c>
      <c r="I44" s="118" t="n">
        <v>200000</v>
      </c>
      <c r="J44" s="118" t="n">
        <v>0</v>
      </c>
    </row>
    <row r="45">
      <c r="A45" s="111" t="inlineStr">
        <is>
          <t>101203</t>
        </is>
      </c>
      <c r="B45" s="111" t="inlineStr">
        <is>
          <t>其他货币资金_抖音</t>
        </is>
      </c>
      <c r="C45" s="111" t="inlineStr">
        <is>
          <t>2025-09-03</t>
        </is>
      </c>
      <c r="D45" s="111" t="inlineStr">
        <is>
          <t>Q0401</t>
        </is>
      </c>
      <c r="E45" s="111" t="inlineStr">
        <is>
          <t>内部往来收入</t>
        </is>
      </c>
      <c r="F45" s="111" t="inlineStr">
        <is>
          <t>浙江精准学科技有限公司</t>
        </is>
      </c>
      <c r="G45" s="111" t="inlineStr">
        <is>
          <t>记-30</t>
        </is>
      </c>
      <c r="H45" s="111" t="inlineStr">
        <is>
          <t>抖音提现到招行基本户</t>
        </is>
      </c>
      <c r="I45" s="118" t="n">
        <v>0</v>
      </c>
      <c r="J45" s="118" t="n">
        <v>200000</v>
      </c>
    </row>
    <row r="46">
      <c r="A46" s="111" t="inlineStr">
        <is>
          <t>100201</t>
        </is>
      </c>
      <c r="B46" s="111" t="inlineStr">
        <is>
          <t>银行存款_人民币户</t>
        </is>
      </c>
      <c r="C46" s="111" t="inlineStr">
        <is>
          <t>2025-09-03</t>
        </is>
      </c>
      <c r="D46" s="111" t="inlineStr">
        <is>
          <t>Q0601</t>
        </is>
      </c>
      <c r="E46" s="111" t="inlineStr">
        <is>
          <t>内部往来支出</t>
        </is>
      </c>
      <c r="F46" s="111" t="inlineStr">
        <is>
          <t>浙江精准学科技有限公司</t>
        </is>
      </c>
      <c r="G46" s="111" t="inlineStr">
        <is>
          <t>记-31</t>
        </is>
      </c>
      <c r="H46" s="111" t="inlineStr">
        <is>
          <t>浙江精准学给知识跳跳往来款</t>
        </is>
      </c>
      <c r="I46" s="118" t="n">
        <v>0</v>
      </c>
      <c r="J46" s="118" t="n">
        <v>100000</v>
      </c>
    </row>
    <row r="47">
      <c r="A47" s="111" t="inlineStr">
        <is>
          <t>100201</t>
        </is>
      </c>
      <c r="B47" s="111" t="inlineStr">
        <is>
          <t>银行存款_人民币户</t>
        </is>
      </c>
      <c r="C47" s="111" t="inlineStr">
        <is>
          <t>2025-09-03</t>
        </is>
      </c>
      <c r="D47" s="111" t="inlineStr">
        <is>
          <t>Q1001</t>
        </is>
      </c>
      <c r="E47" s="111" t="inlineStr">
        <is>
          <t>BOE平板电脑款项</t>
        </is>
      </c>
      <c r="F47" s="111" t="inlineStr">
        <is>
          <t>浙江精准学科技有限公司</t>
        </is>
      </c>
      <c r="G47" s="111" t="inlineStr">
        <is>
          <t>记-32</t>
        </is>
      </c>
      <c r="H47" s="111" t="inlineStr">
        <is>
          <t>张辉申请支付BOE5K订单30%首付款</t>
        </is>
      </c>
      <c r="I47" s="118" t="n">
        <v>0</v>
      </c>
      <c r="J47" s="118" t="n">
        <v>2169645</v>
      </c>
    </row>
    <row r="48">
      <c r="A48" s="111" t="inlineStr">
        <is>
          <t>100201</t>
        </is>
      </c>
      <c r="B48" s="111" t="inlineStr">
        <is>
          <t>银行存款_人民币户</t>
        </is>
      </c>
      <c r="C48" s="111" t="inlineStr">
        <is>
          <t>2025-09-03</t>
        </is>
      </c>
      <c r="D48" s="111" t="inlineStr">
        <is>
          <t>Q1505</t>
        </is>
      </c>
      <c r="E48" s="111" t="inlineStr">
        <is>
          <t>其他服务器算法充值</t>
        </is>
      </c>
      <c r="F48" s="111" t="inlineStr">
        <is>
          <t>浙江精准学科技有限公司</t>
        </is>
      </c>
      <c r="G48" s="111" t="inlineStr">
        <is>
          <t>记-33</t>
        </is>
      </c>
      <c r="H48" s="111" t="inlineStr">
        <is>
          <t>陈灵琪申请支付minimax模型费用</t>
        </is>
      </c>
      <c r="I48" s="118" t="n">
        <v>0</v>
      </c>
      <c r="J48" s="118" t="n">
        <v>27573.67</v>
      </c>
    </row>
    <row r="49">
      <c r="A49" s="111" t="inlineStr">
        <is>
          <t>1001</t>
        </is>
      </c>
      <c r="B49" s="111" t="inlineStr">
        <is>
          <t>库存现金</t>
        </is>
      </c>
      <c r="C49" s="111" t="inlineStr">
        <is>
          <t>2025-09-24</t>
        </is>
      </c>
      <c r="D49" s="111" t="inlineStr"/>
      <c r="E49" s="111" t="inlineStr"/>
      <c r="F49" s="111" t="inlineStr">
        <is>
          <t>杭州实时查科技有限公司</t>
        </is>
      </c>
      <c r="G49" s="111" t="inlineStr">
        <is>
          <t>记-1</t>
        </is>
      </c>
      <c r="H49" s="111" t="inlineStr">
        <is>
          <t>123456</t>
        </is>
      </c>
      <c r="I49" s="118" t="n">
        <v>111</v>
      </c>
      <c r="J49" s="118" t="n">
        <v>0</v>
      </c>
    </row>
    <row r="50">
      <c r="A50" s="111" t="inlineStr">
        <is>
          <t>100201</t>
        </is>
      </c>
      <c r="B50" s="111" t="inlineStr">
        <is>
          <t>银行存款_人民币户</t>
        </is>
      </c>
      <c r="C50" s="111" t="inlineStr">
        <is>
          <t>2025-09-24</t>
        </is>
      </c>
      <c r="D50" s="111" t="inlineStr">
        <is>
          <t>Q0401</t>
        </is>
      </c>
      <c r="E50" s="111" t="inlineStr">
        <is>
          <t>内部往来收入</t>
        </is>
      </c>
      <c r="F50" s="111" t="inlineStr">
        <is>
          <t>杭州实时查科技有限公司</t>
        </is>
      </c>
      <c r="G50" s="111" t="inlineStr">
        <is>
          <t>记-1</t>
        </is>
      </c>
      <c r="H50" s="111" t="inlineStr">
        <is>
          <t>123455</t>
        </is>
      </c>
      <c r="I50" s="118" t="n">
        <v>0</v>
      </c>
      <c r="J50" s="118" t="n">
        <v>111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I16" sqref="I16"/>
    </sheetView>
  </sheetViews>
  <sheetFormatPr baseColWidth="8" defaultColWidth="8.90769230769231" defaultRowHeight="15.5" outlineLevelRow="4"/>
  <sheetData>
    <row r="1">
      <c r="A1" s="1" t="inlineStr">
        <is>
          <t>科目编码</t>
        </is>
      </c>
      <c r="B1" s="1" t="inlineStr">
        <is>
          <t>科目名称</t>
        </is>
      </c>
      <c r="C1" s="1" t="inlineStr">
        <is>
          <t>日期</t>
        </is>
      </c>
      <c r="D1" s="1" t="inlineStr">
        <is>
          <t>费用项目编码</t>
        </is>
      </c>
      <c r="E1" s="1" t="inlineStr">
        <is>
          <t>费用项目名称</t>
        </is>
      </c>
      <c r="F1" s="1" t="inlineStr">
        <is>
          <t>核算账簿</t>
        </is>
      </c>
      <c r="G1" s="1" t="inlineStr">
        <is>
          <t>凭证号</t>
        </is>
      </c>
      <c r="H1" s="1" t="inlineStr">
        <is>
          <t>摘要</t>
        </is>
      </c>
      <c r="I1" s="103" t="inlineStr">
        <is>
          <t>借方本币</t>
        </is>
      </c>
      <c r="J1" s="103" t="inlineStr">
        <is>
          <t>贷方本币</t>
        </is>
      </c>
      <c r="K1" s="1" t="n"/>
      <c r="L1" s="103" t="n"/>
      <c r="M1" s="1" t="n"/>
    </row>
    <row r="2">
      <c r="A2" s="2" t="inlineStr">
        <is>
          <t>100201</t>
        </is>
      </c>
      <c r="B2" s="2" t="n"/>
      <c r="C2" s="2" t="inlineStr">
        <is>
          <t>2025-07-15</t>
        </is>
      </c>
      <c r="D2" s="2" t="inlineStr">
        <is>
          <t>Q0801</t>
        </is>
      </c>
      <c r="E2" s="2" t="n"/>
      <c r="F2" s="2" t="inlineStr">
        <is>
          <t>海南精准学科技有限公司</t>
        </is>
      </c>
      <c r="G2" s="2" t="inlineStr">
        <is>
          <t>记-6</t>
        </is>
      </c>
      <c r="H2" s="2" t="n"/>
      <c r="I2" s="104" t="n"/>
      <c r="J2" s="104" t="n">
        <v>7</v>
      </c>
      <c r="K2" s="1" t="n"/>
      <c r="L2" s="104" t="n"/>
      <c r="M2" s="2" t="n"/>
    </row>
    <row r="3">
      <c r="A3" s="2" t="inlineStr">
        <is>
          <t>100201</t>
        </is>
      </c>
      <c r="B3" s="2" t="n"/>
      <c r="C3" s="2" t="inlineStr">
        <is>
          <t>2025-07-03</t>
        </is>
      </c>
      <c r="D3" s="2" t="inlineStr">
        <is>
          <t>Q0803</t>
        </is>
      </c>
      <c r="E3" s="2" t="n"/>
      <c r="F3" s="2" t="inlineStr">
        <is>
          <t>海南精准学科技有限公司</t>
        </is>
      </c>
      <c r="G3" s="2" t="inlineStr">
        <is>
          <t>记-2</t>
        </is>
      </c>
      <c r="H3" s="2" t="n"/>
      <c r="I3" s="104" t="n"/>
      <c r="J3" s="104" t="n">
        <v>7</v>
      </c>
      <c r="K3" s="1" t="n"/>
      <c r="L3" s="104" t="n"/>
      <c r="M3" s="2" t="n"/>
    </row>
    <row r="4">
      <c r="A4" s="2" t="inlineStr">
        <is>
          <t>100201</t>
        </is>
      </c>
      <c r="B4" s="2" t="n"/>
      <c r="C4" s="2" t="inlineStr">
        <is>
          <t>2025-07-23</t>
        </is>
      </c>
      <c r="D4" s="2" t="inlineStr">
        <is>
          <t>Q0804</t>
        </is>
      </c>
      <c r="E4" s="2" t="n"/>
      <c r="F4" s="2" t="inlineStr">
        <is>
          <t>海南精准学科技有限公司</t>
        </is>
      </c>
      <c r="G4" s="2" t="inlineStr">
        <is>
          <t>记-9</t>
        </is>
      </c>
      <c r="H4" s="2" t="n"/>
      <c r="I4" s="104" t="n"/>
      <c r="J4" s="104" t="n">
        <v>7</v>
      </c>
      <c r="K4" s="1" t="n"/>
      <c r="L4" s="104" t="n"/>
      <c r="M4" s="2" t="n"/>
    </row>
    <row r="5">
      <c r="A5" s="2" t="inlineStr">
        <is>
          <t>100201</t>
        </is>
      </c>
      <c r="B5" s="2" t="n"/>
      <c r="C5" s="2" t="inlineStr">
        <is>
          <t>2025-07-15</t>
        </is>
      </c>
      <c r="D5" s="2" t="inlineStr">
        <is>
          <t>Q0805</t>
        </is>
      </c>
      <c r="E5" s="2" t="n"/>
      <c r="F5" s="2" t="inlineStr">
        <is>
          <t>海南精准学科技有限公司</t>
        </is>
      </c>
      <c r="G5" s="2" t="inlineStr">
        <is>
          <t>记-5</t>
        </is>
      </c>
      <c r="H5" s="2" t="n"/>
      <c r="I5" s="104" t="n"/>
      <c r="J5" s="104" t="n">
        <v>7</v>
      </c>
      <c r="K5" s="1" t="n"/>
      <c r="L5" s="104" t="n"/>
      <c r="M5" s="2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K22" sqref="K22"/>
    </sheetView>
  </sheetViews>
  <sheetFormatPr baseColWidth="8" defaultColWidth="8.90769230769231" defaultRowHeight="15.5" outlineLevelRow="4"/>
  <sheetData>
    <row r="1">
      <c r="A1" s="1" t="inlineStr">
        <is>
          <t>科目编码</t>
        </is>
      </c>
      <c r="B1" s="1" t="inlineStr">
        <is>
          <t>科目名称</t>
        </is>
      </c>
      <c r="C1" s="1" t="inlineStr">
        <is>
          <t>日期</t>
        </is>
      </c>
      <c r="D1" s="1" t="inlineStr">
        <is>
          <t>费用项目编码</t>
        </is>
      </c>
      <c r="E1" s="1" t="inlineStr">
        <is>
          <t>费用项目名称</t>
        </is>
      </c>
      <c r="F1" s="1" t="inlineStr">
        <is>
          <t>核算账簿</t>
        </is>
      </c>
      <c r="G1" s="1" t="inlineStr">
        <is>
          <t>凭证号</t>
        </is>
      </c>
      <c r="H1" s="1" t="inlineStr">
        <is>
          <t>摘要</t>
        </is>
      </c>
      <c r="I1" s="103" t="inlineStr">
        <is>
          <t>借方本币</t>
        </is>
      </c>
      <c r="J1" s="103" t="inlineStr">
        <is>
          <t>贷方本币</t>
        </is>
      </c>
      <c r="K1" s="1" t="n"/>
      <c r="L1" s="103" t="n"/>
      <c r="M1" s="1" t="n"/>
    </row>
    <row r="2">
      <c r="A2" s="2" t="inlineStr">
        <is>
          <t>100201</t>
        </is>
      </c>
      <c r="B2" s="2" t="n"/>
      <c r="C2" s="2" t="inlineStr">
        <is>
          <t>2025-07-15</t>
        </is>
      </c>
      <c r="D2" s="2" t="inlineStr">
        <is>
          <t>Q0801</t>
        </is>
      </c>
      <c r="E2" s="2" t="n"/>
      <c r="F2" s="2" t="inlineStr">
        <is>
          <t>海南精准学科技有限公司</t>
        </is>
      </c>
      <c r="G2" s="2" t="inlineStr">
        <is>
          <t>记-6</t>
        </is>
      </c>
      <c r="H2" s="2" t="n"/>
      <c r="I2" s="104" t="n"/>
      <c r="J2" s="104" t="n">
        <v>7</v>
      </c>
      <c r="K2" s="1" t="n"/>
      <c r="L2" s="104" t="n"/>
      <c r="M2" s="2" t="n"/>
    </row>
    <row r="3">
      <c r="A3" s="2" t="inlineStr">
        <is>
          <t>100201</t>
        </is>
      </c>
      <c r="B3" s="2" t="n"/>
      <c r="C3" s="2" t="inlineStr">
        <is>
          <t>2025-07-03</t>
        </is>
      </c>
      <c r="D3" s="2" t="inlineStr">
        <is>
          <t>Q0803</t>
        </is>
      </c>
      <c r="E3" s="2" t="n"/>
      <c r="F3" s="2" t="inlineStr">
        <is>
          <t>海南精准学科技有限公司</t>
        </is>
      </c>
      <c r="G3" s="2" t="inlineStr">
        <is>
          <t>记-2</t>
        </is>
      </c>
      <c r="H3" s="2" t="n"/>
      <c r="I3" s="104" t="n"/>
      <c r="J3" s="104" t="n">
        <v>7</v>
      </c>
      <c r="K3" s="1" t="n"/>
      <c r="L3" s="104" t="n"/>
      <c r="M3" s="2" t="n"/>
    </row>
    <row r="4">
      <c r="A4" s="2" t="inlineStr">
        <is>
          <t>100201</t>
        </is>
      </c>
      <c r="B4" s="2" t="n"/>
      <c r="C4" s="2" t="inlineStr">
        <is>
          <t>2025-07-23</t>
        </is>
      </c>
      <c r="D4" s="2" t="inlineStr">
        <is>
          <t>Q0804</t>
        </is>
      </c>
      <c r="E4" s="2" t="n"/>
      <c r="F4" s="2" t="inlineStr">
        <is>
          <t>海南精准学科技有限公司</t>
        </is>
      </c>
      <c r="G4" s="2" t="inlineStr">
        <is>
          <t>记-9</t>
        </is>
      </c>
      <c r="H4" s="2" t="n"/>
      <c r="I4" s="104" t="n"/>
      <c r="J4" s="104" t="n">
        <v>7</v>
      </c>
      <c r="K4" s="1" t="n"/>
      <c r="L4" s="104" t="n"/>
      <c r="M4" s="2" t="n"/>
    </row>
    <row r="5">
      <c r="A5" s="2" t="inlineStr">
        <is>
          <t>100201</t>
        </is>
      </c>
      <c r="B5" s="2" t="n"/>
      <c r="C5" s="2" t="inlineStr">
        <is>
          <t>2025-07-15</t>
        </is>
      </c>
      <c r="D5" s="2" t="inlineStr">
        <is>
          <t>Q0805</t>
        </is>
      </c>
      <c r="E5" s="2" t="n"/>
      <c r="F5" s="2" t="inlineStr">
        <is>
          <t>海南精准学科技有限公司</t>
        </is>
      </c>
      <c r="G5" s="2" t="inlineStr">
        <is>
          <t>记-5</t>
        </is>
      </c>
      <c r="H5" s="2" t="n"/>
      <c r="I5" s="104" t="n"/>
      <c r="J5" s="104" t="n">
        <v>7</v>
      </c>
      <c r="K5" s="1" t="n"/>
      <c r="L5" s="104" t="n"/>
      <c r="M5" s="2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D2" sqref="D2"/>
    </sheetView>
  </sheetViews>
  <sheetFormatPr baseColWidth="8" defaultColWidth="8.90769230769231" defaultRowHeight="15.5" outlineLevelRow="4"/>
  <cols>
    <col width="20.6153846153846" customWidth="1" style="83" min="6" max="6"/>
  </cols>
  <sheetData>
    <row r="1">
      <c r="A1" s="1" t="inlineStr">
        <is>
          <t>科目编码</t>
        </is>
      </c>
      <c r="B1" s="1" t="inlineStr">
        <is>
          <t>科目名称</t>
        </is>
      </c>
      <c r="C1" s="1" t="inlineStr">
        <is>
          <t>日期</t>
        </is>
      </c>
      <c r="D1" s="1" t="inlineStr">
        <is>
          <t>费用项目编码</t>
        </is>
      </c>
      <c r="E1" s="1" t="inlineStr">
        <is>
          <t>费用项目名称</t>
        </is>
      </c>
      <c r="F1" s="1" t="inlineStr">
        <is>
          <t>核算账簿</t>
        </is>
      </c>
      <c r="G1" s="1" t="inlineStr">
        <is>
          <t>凭证号</t>
        </is>
      </c>
      <c r="H1" s="1" t="inlineStr">
        <is>
          <t>摘要</t>
        </is>
      </c>
      <c r="I1" s="103" t="inlineStr">
        <is>
          <t>借方本币</t>
        </is>
      </c>
      <c r="J1" s="103" t="inlineStr">
        <is>
          <t>贷方本币</t>
        </is>
      </c>
      <c r="K1" s="1" t="n"/>
      <c r="L1" s="103" t="n"/>
      <c r="M1" s="1" t="n"/>
    </row>
    <row r="2">
      <c r="A2" s="2" t="inlineStr">
        <is>
          <t>100201</t>
        </is>
      </c>
      <c r="B2" s="2" t="n"/>
      <c r="C2" s="2" t="inlineStr">
        <is>
          <t>2025-07-15</t>
        </is>
      </c>
      <c r="D2" s="2" t="inlineStr">
        <is>
          <t>Q0801</t>
        </is>
      </c>
      <c r="E2" s="2" t="n"/>
      <c r="F2" s="2" t="inlineStr">
        <is>
          <t>海南精准学科技有限公司</t>
        </is>
      </c>
      <c r="G2" s="2" t="inlineStr">
        <is>
          <t>记-6</t>
        </is>
      </c>
      <c r="H2" s="2" t="n"/>
      <c r="I2" s="104" t="n"/>
      <c r="J2" s="104" t="n">
        <v>7</v>
      </c>
      <c r="K2" s="1" t="n"/>
      <c r="L2" s="104" t="n"/>
      <c r="M2" s="2" t="n"/>
    </row>
    <row r="3">
      <c r="A3" s="2" t="inlineStr">
        <is>
          <t>100201</t>
        </is>
      </c>
      <c r="B3" s="2" t="n"/>
      <c r="C3" s="2" t="inlineStr">
        <is>
          <t>2025-07-03</t>
        </is>
      </c>
      <c r="D3" s="2" t="inlineStr">
        <is>
          <t>Q0803</t>
        </is>
      </c>
      <c r="E3" s="2" t="n"/>
      <c r="F3" s="2" t="inlineStr">
        <is>
          <t>海南精准学科技有限公司</t>
        </is>
      </c>
      <c r="G3" s="2" t="inlineStr">
        <is>
          <t>记-2</t>
        </is>
      </c>
      <c r="H3" s="2" t="n"/>
      <c r="I3" s="104" t="n"/>
      <c r="J3" s="104" t="n">
        <v>7</v>
      </c>
      <c r="K3" s="1" t="n"/>
      <c r="L3" s="104" t="n"/>
      <c r="M3" s="2" t="n"/>
    </row>
    <row r="4">
      <c r="A4" s="2" t="inlineStr">
        <is>
          <t>100201</t>
        </is>
      </c>
      <c r="B4" s="2" t="n"/>
      <c r="C4" s="2" t="inlineStr">
        <is>
          <t>2025-07-23</t>
        </is>
      </c>
      <c r="D4" s="2" t="inlineStr">
        <is>
          <t>Q0804</t>
        </is>
      </c>
      <c r="E4" s="2" t="n"/>
      <c r="F4" s="2" t="inlineStr">
        <is>
          <t>海南精准学科技有限公司</t>
        </is>
      </c>
      <c r="G4" s="2" t="inlineStr">
        <is>
          <t>记-9</t>
        </is>
      </c>
      <c r="H4" s="2" t="n"/>
      <c r="I4" s="104" t="n"/>
      <c r="J4" s="104" t="n">
        <v>7</v>
      </c>
      <c r="K4" s="1" t="n"/>
      <c r="L4" s="104" t="n"/>
      <c r="M4" s="2" t="n"/>
    </row>
    <row r="5">
      <c r="A5" s="2" t="inlineStr">
        <is>
          <t>100201</t>
        </is>
      </c>
      <c r="B5" s="2" t="n"/>
      <c r="C5" s="2" t="inlineStr">
        <is>
          <t>2025-07-15</t>
        </is>
      </c>
      <c r="D5" s="2" t="inlineStr">
        <is>
          <t>Q0805</t>
        </is>
      </c>
      <c r="E5" s="2" t="n"/>
      <c r="F5" s="2" t="inlineStr">
        <is>
          <t>海南精准学科技有限公司</t>
        </is>
      </c>
      <c r="G5" s="2" t="inlineStr">
        <is>
          <t>记-5</t>
        </is>
      </c>
      <c r="H5" s="2" t="n"/>
      <c r="I5" s="104" t="n"/>
      <c r="J5" s="104" t="n">
        <v>7</v>
      </c>
      <c r="K5" s="1" t="n"/>
      <c r="L5" s="104" t="n"/>
      <c r="M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DingTalk</dc:creator>
  <dcterms:created xsi:type="dcterms:W3CDTF">2006-09-16T00:00:00Z</dcterms:created>
  <dcterms:modified xsi:type="dcterms:W3CDTF">2025-09-25T06:37:33Z</dcterms:modified>
  <cp:lastModifiedBy>余谦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443D485300B649A9BF6CD2092E3B4E8D_13</vt:lpwstr>
  </property>
  <property name="KSOProductBuildVer" fmtid="{D5CDD505-2E9C-101B-9397-08002B2CF9AE}" pid="3">
    <vt:lpwstr>2052-12.1.0.22529</vt:lpwstr>
  </property>
  <property name="KSOReadingLayout" fmtid="{D5CDD505-2E9C-101B-9397-08002B2CF9AE}" pid="4">
    <vt:bool>0</vt:bool>
  </property>
</Properties>
</file>